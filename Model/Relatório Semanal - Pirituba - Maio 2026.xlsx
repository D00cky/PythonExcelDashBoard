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6.xml" ContentType="application/vnd.openxmlformats-officedocument.drawing+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defaultThemeVersion="166925"/>
  <mc:AlternateContent xmlns:mc="http://schemas.openxmlformats.org/markup-compatibility/2006">
    <mc:Choice Requires="x15">
      <x15ac:absPath xmlns:x15ac="http://schemas.microsoft.com/office/spreadsheetml/2010/11/ac" url="C:\Users\vdias.alphage\Desktop\PC Victor Bckp\Relatório Semanal Base dos Polos\Novos Relatórios 2.0 + fórmula + cesar - Março 2026\"/>
    </mc:Choice>
  </mc:AlternateContent>
  <xr:revisionPtr revIDLastSave="11855" documentId="13_ncr:1_{785823C1-55B6-46EC-B108-A7831165797E}" xr6:coauthVersionLast="47" xr6:coauthVersionMax="47" xr10:uidLastSave="{E25FEC18-DA8D-496A-8F13-E5DB1FAC481D}"/>
  <bookViews>
    <workbookView xWindow="0" yWindow="0" windowWidth="24000" windowHeight="10110" tabRatio="861" firstSheet="7" activeTab="7" xr2:uid="{00000000-000D-0000-FFFF-FFFF00000000}"/>
  </bookViews>
  <sheets>
    <sheet name="GRÁFICOS - PIRITUBA" sheetId="1" r:id="rId1"/>
    <sheet name="CAPA" sheetId="12" r:id="rId2"/>
    <sheet name="DADOS - PIRITUBA" sheetId="2" r:id="rId3"/>
    <sheet name="GRÁFICOS - ÁGUA" sheetId="5" r:id="rId4"/>
    <sheet name="ÁGUA" sheetId="10" r:id="rId5"/>
    <sheet name="EQUIPES - ÁGUA" sheetId="16" state="hidden" r:id="rId6"/>
    <sheet name="GRÁFICOS - ESGOTO" sheetId="4" r:id="rId7"/>
    <sheet name="ESGOTO" sheetId="9" r:id="rId8"/>
    <sheet name="EQUIPES - ESGOTO" sheetId="15" state="hidden" r:id="rId9"/>
    <sheet name="GRÁFICOS - CAVALETE" sheetId="7" r:id="rId10"/>
    <sheet name="CAVALETE" sheetId="8" r:id="rId11"/>
    <sheet name="GRÁFICOS - REPOSIÇÃO" sheetId="6" r:id="rId12"/>
    <sheet name="EQUIPES - CAVALETE " sheetId="13" state="hidden" r:id="rId13"/>
    <sheet name="REPOSIÇÃO" sheetId="11" r:id="rId14"/>
    <sheet name="EQUIPES - REPOSIÇÃO" sheetId="14" state="hidden" r:id="rId15"/>
  </sheets>
  <definedNames>
    <definedName name="_xlnm._FilterDatabase" localSheetId="4" hidden="1">ÁGUA!$A$1:$AK$959</definedName>
    <definedName name="_xlnm._FilterDatabase" localSheetId="13" hidden="1">REPOSIÇÃO!$A$1:$AJ$1000</definedName>
    <definedName name="_xlnm._FilterDatabase" localSheetId="10" hidden="1">CAVALETE!$A$1:$AF$936</definedName>
    <definedName name="_xlnm._FilterDatabase" localSheetId="7" hidden="1">ESGOTO!$A$1:$AK$957</definedName>
    <definedName name="_xlnm.Print_Area" localSheetId="1">CAPA!$B$1:$K$44</definedName>
    <definedName name="_xlnm.Print_Area" localSheetId="5">'EQUIPES - ÁGUA'!$A$1:$H$4</definedName>
    <definedName name="_xlnm.Print_Area" localSheetId="12">'EQUIPES - CAVALETE '!$A$1:$H$4</definedName>
    <definedName name="_xlnm.Print_Area" localSheetId="8">'EQUIPES - ESGOTO'!$A$1:$H$15</definedName>
    <definedName name="_xlnm.Print_Area" localSheetId="14">'EQUIPES - REPOSIÇÃO'!$A$1:$H$4</definedName>
    <definedName name="_xlnm.Print_Area" localSheetId="3">'GRÁFICOS - ÁGUA'!$A$1:$F$136</definedName>
    <definedName name="_xlnm.Print_Area" localSheetId="9">'GRÁFICOS - CAVALETE'!$A$1:$F$138</definedName>
    <definedName name="_xlnm.Print_Area" localSheetId="6">'GRÁFICOS - ESGOTO'!$A$1:$F$139</definedName>
    <definedName name="_xlnm.Print_Area" localSheetId="0">'GRÁFICOS - PIRITUBA'!$A$1:$I$118</definedName>
    <definedName name="_xlnm.Print_Area" localSheetId="11">'GRÁFICOS - REPOSIÇÃO'!$A$1:$F$111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64" i="9" l="1"/>
  <c r="AG257" i="9"/>
  <c r="AG249" i="9"/>
  <c r="AA729" i="8"/>
  <c r="AG200" i="9"/>
  <c r="AF2" i="11"/>
  <c r="AG2" i="11"/>
  <c r="AF3" i="11"/>
  <c r="AG3" i="11"/>
  <c r="AF4" i="11"/>
  <c r="AG4" i="11"/>
  <c r="AF5" i="11"/>
  <c r="AG5" i="11"/>
  <c r="AF6" i="11"/>
  <c r="AG6" i="11"/>
  <c r="AF7" i="11"/>
  <c r="AG7" i="11"/>
  <c r="AF8" i="11"/>
  <c r="AG8" i="11"/>
  <c r="AF9" i="11"/>
  <c r="AG9" i="11"/>
  <c r="AF10" i="11"/>
  <c r="AG10" i="11"/>
  <c r="AF11" i="11"/>
  <c r="AG11" i="11"/>
  <c r="AF12" i="11"/>
  <c r="AG12" i="11"/>
  <c r="AF13" i="11"/>
  <c r="AG13" i="11"/>
  <c r="AF14" i="11"/>
  <c r="AG14" i="11"/>
  <c r="AF15" i="11"/>
  <c r="AG15" i="11"/>
  <c r="AF16" i="11"/>
  <c r="AG16" i="11"/>
  <c r="AF17" i="11"/>
  <c r="AG17" i="11"/>
  <c r="AF18" i="11"/>
  <c r="AG18" i="11"/>
  <c r="AF19" i="11"/>
  <c r="AG19" i="11"/>
  <c r="AF20" i="11"/>
  <c r="AG20" i="11"/>
  <c r="AF21" i="11"/>
  <c r="AG21" i="11"/>
  <c r="AF22" i="11"/>
  <c r="AG22" i="11"/>
  <c r="AF23" i="11"/>
  <c r="AG23" i="11"/>
  <c r="AF24" i="11"/>
  <c r="AG24" i="11"/>
  <c r="AF25" i="11"/>
  <c r="AG25" i="11"/>
  <c r="AF26" i="11"/>
  <c r="AG26" i="11"/>
  <c r="AF27" i="11"/>
  <c r="AG27" i="11"/>
  <c r="AF28" i="11"/>
  <c r="AG28" i="11"/>
  <c r="AF29" i="11"/>
  <c r="AG29" i="11"/>
  <c r="AF30" i="11"/>
  <c r="AG30" i="11"/>
  <c r="AF31" i="11"/>
  <c r="AG31" i="11"/>
  <c r="AF32" i="11"/>
  <c r="AG32" i="11"/>
  <c r="AF33" i="11"/>
  <c r="AG33" i="11"/>
  <c r="AF34" i="11"/>
  <c r="AG34" i="11"/>
  <c r="AF35" i="11"/>
  <c r="AG35" i="11"/>
  <c r="AF36" i="11"/>
  <c r="AG36" i="11"/>
  <c r="AF37" i="11"/>
  <c r="AG37" i="11"/>
  <c r="AF38" i="11"/>
  <c r="AG38" i="11"/>
  <c r="AF39" i="11"/>
  <c r="AG39" i="11"/>
  <c r="AF40" i="11"/>
  <c r="AG40" i="11"/>
  <c r="AF41" i="11"/>
  <c r="AG41" i="11"/>
  <c r="AF42" i="11"/>
  <c r="AG42" i="11"/>
  <c r="AF43" i="11"/>
  <c r="AG43" i="11"/>
  <c r="AF44" i="11"/>
  <c r="AG44" i="11"/>
  <c r="AF45" i="11"/>
  <c r="AG45" i="11"/>
  <c r="AF46" i="11"/>
  <c r="AG46" i="11"/>
  <c r="AF47" i="11"/>
  <c r="AG47" i="11"/>
  <c r="AF48" i="11"/>
  <c r="AG48" i="11"/>
  <c r="AF49" i="11"/>
  <c r="AG49" i="11"/>
  <c r="AF50" i="11"/>
  <c r="AG50" i="11"/>
  <c r="AF51" i="11"/>
  <c r="AG51" i="11"/>
  <c r="AF52" i="11"/>
  <c r="AG52" i="11"/>
  <c r="AF53" i="11"/>
  <c r="AG53" i="11"/>
  <c r="AF54" i="11"/>
  <c r="AG54" i="11"/>
  <c r="AF55" i="11"/>
  <c r="AG55" i="11"/>
  <c r="AF56" i="11"/>
  <c r="AG56" i="11"/>
  <c r="AF57" i="11"/>
  <c r="AG57" i="11"/>
  <c r="AF58" i="11"/>
  <c r="AG58" i="11"/>
  <c r="AF59" i="11"/>
  <c r="AG59" i="11"/>
  <c r="AF60" i="11"/>
  <c r="AG60" i="11"/>
  <c r="AF61" i="11"/>
  <c r="AG61" i="11"/>
  <c r="AF62" i="11"/>
  <c r="AG62" i="11"/>
  <c r="AF63" i="11"/>
  <c r="AG63" i="11"/>
  <c r="AF64" i="11"/>
  <c r="AG64" i="11"/>
  <c r="AF65" i="11"/>
  <c r="AG65" i="11"/>
  <c r="AF66" i="11"/>
  <c r="AG66" i="11"/>
  <c r="AF67" i="11"/>
  <c r="AG67" i="11"/>
  <c r="AF68" i="11"/>
  <c r="AG68" i="11"/>
  <c r="AF69" i="11"/>
  <c r="AG69" i="11"/>
  <c r="AF70" i="11"/>
  <c r="AG70" i="11"/>
  <c r="AF71" i="11"/>
  <c r="AG71" i="11"/>
  <c r="AF72" i="11"/>
  <c r="AG72" i="11"/>
  <c r="AF73" i="11"/>
  <c r="AG73" i="11"/>
  <c r="AF74" i="11"/>
  <c r="AG74" i="11"/>
  <c r="AF75" i="11"/>
  <c r="AG75" i="11"/>
  <c r="AF76" i="11"/>
  <c r="AG76" i="11"/>
  <c r="AF77" i="11"/>
  <c r="AG77" i="11"/>
  <c r="AF78" i="11"/>
  <c r="AG78" i="11"/>
  <c r="AF79" i="11"/>
  <c r="AG79" i="11"/>
  <c r="AF80" i="11"/>
  <c r="AG80" i="11"/>
  <c r="AF81" i="11"/>
  <c r="AG81" i="11"/>
  <c r="AF82" i="11"/>
  <c r="AG82" i="11"/>
  <c r="AF83" i="11"/>
  <c r="AG83" i="11"/>
  <c r="AF84" i="11"/>
  <c r="AG84" i="11"/>
  <c r="AF85" i="11"/>
  <c r="AG85" i="11"/>
  <c r="AF86" i="11"/>
  <c r="AG86" i="11"/>
  <c r="AF87" i="11"/>
  <c r="AG87" i="11"/>
  <c r="AF88" i="11"/>
  <c r="AG88" i="11"/>
  <c r="AF89" i="11"/>
  <c r="AG89" i="11"/>
  <c r="AF90" i="11"/>
  <c r="AG90" i="11"/>
  <c r="AF91" i="11"/>
  <c r="AG91" i="11"/>
  <c r="AF92" i="11"/>
  <c r="AG92" i="11"/>
  <c r="AF93" i="11"/>
  <c r="AG93" i="11"/>
  <c r="AF94" i="11"/>
  <c r="AG94" i="11"/>
  <c r="AF95" i="11"/>
  <c r="AG95" i="11"/>
  <c r="AF96" i="11"/>
  <c r="AG96" i="11"/>
  <c r="AF97" i="11"/>
  <c r="AG97" i="11"/>
  <c r="AF98" i="11"/>
  <c r="AG98" i="11"/>
  <c r="AF99" i="11"/>
  <c r="AG99" i="11"/>
  <c r="AF100" i="11"/>
  <c r="AG100" i="11"/>
  <c r="AF101" i="11"/>
  <c r="AG101" i="11"/>
  <c r="AF102" i="11"/>
  <c r="AG102" i="11"/>
  <c r="AF103" i="11"/>
  <c r="AG103" i="11"/>
  <c r="AF104" i="11"/>
  <c r="AG104" i="11"/>
  <c r="AF105" i="11"/>
  <c r="AG105" i="11"/>
  <c r="AF106" i="11"/>
  <c r="AG106" i="11"/>
  <c r="AF107" i="11"/>
  <c r="AG107" i="11"/>
  <c r="AF108" i="11"/>
  <c r="AG108" i="11"/>
  <c r="AF109" i="11"/>
  <c r="AG109" i="11"/>
  <c r="AF110" i="11"/>
  <c r="AG110" i="11"/>
  <c r="AF111" i="11"/>
  <c r="AG111" i="11"/>
  <c r="AF112" i="11"/>
  <c r="AG112" i="11"/>
  <c r="AF113" i="11"/>
  <c r="AG113" i="11"/>
  <c r="AF114" i="11"/>
  <c r="AG114" i="11"/>
  <c r="AF115" i="11"/>
  <c r="AG115" i="11"/>
  <c r="AF116" i="11"/>
  <c r="AG116" i="11"/>
  <c r="AF117" i="11"/>
  <c r="AG117" i="11"/>
  <c r="AF118" i="11"/>
  <c r="AG118" i="11"/>
  <c r="AF119" i="11"/>
  <c r="AG119" i="11"/>
  <c r="AF120" i="11"/>
  <c r="AG120" i="11"/>
  <c r="AF121" i="11"/>
  <c r="AG121" i="11"/>
  <c r="AF122" i="11"/>
  <c r="AG122" i="11"/>
  <c r="AF123" i="11"/>
  <c r="AG123" i="11"/>
  <c r="AF124" i="11"/>
  <c r="AG124" i="11"/>
  <c r="AF125" i="11"/>
  <c r="AG125" i="11"/>
  <c r="AF126" i="11"/>
  <c r="AG126" i="11"/>
  <c r="AF127" i="11"/>
  <c r="AG127" i="11"/>
  <c r="AF128" i="11"/>
  <c r="AG128" i="11"/>
  <c r="AF129" i="11"/>
  <c r="AG129" i="11"/>
  <c r="AF130" i="11"/>
  <c r="AG130" i="11"/>
  <c r="AF131" i="11"/>
  <c r="AG131" i="11"/>
  <c r="AF132" i="11"/>
  <c r="AG132" i="11"/>
  <c r="AF133" i="11"/>
  <c r="AG133" i="11"/>
  <c r="AF134" i="11"/>
  <c r="AG134" i="11"/>
  <c r="AF135" i="11"/>
  <c r="AG135" i="11"/>
  <c r="AF136" i="11"/>
  <c r="AG136" i="11"/>
  <c r="AF137" i="11"/>
  <c r="AG137" i="11"/>
  <c r="AF138" i="11"/>
  <c r="AG138" i="11"/>
  <c r="AF139" i="11"/>
  <c r="AG139" i="11"/>
  <c r="AF140" i="11"/>
  <c r="AG140" i="11"/>
  <c r="AF141" i="11"/>
  <c r="AG141" i="11"/>
  <c r="AF142" i="11"/>
  <c r="AG142" i="11"/>
  <c r="AF143" i="11"/>
  <c r="AG143" i="11"/>
  <c r="AF196" i="9"/>
  <c r="AF197" i="9"/>
  <c r="AF198" i="9"/>
  <c r="AF199" i="9"/>
  <c r="AF200" i="9"/>
  <c r="AF201" i="9"/>
  <c r="AF202" i="9"/>
  <c r="AF203" i="9"/>
  <c r="AF204" i="9"/>
  <c r="AF205" i="9"/>
  <c r="AF206" i="9"/>
  <c r="AF207" i="9"/>
  <c r="AF208" i="9"/>
  <c r="AF194" i="9"/>
  <c r="AG240" i="10"/>
  <c r="AG192" i="9"/>
  <c r="AF625" i="10"/>
  <c r="AF626" i="10"/>
  <c r="AF627" i="10"/>
  <c r="AF628" i="10"/>
  <c r="AF629" i="10"/>
  <c r="AF630" i="10"/>
  <c r="AF631" i="10"/>
  <c r="AF632" i="10"/>
  <c r="AF633" i="10"/>
  <c r="AF634" i="10"/>
  <c r="AF635" i="10"/>
  <c r="AF636" i="10"/>
  <c r="AF637" i="10"/>
  <c r="AF638" i="10"/>
  <c r="AF639" i="10"/>
  <c r="AF640" i="10"/>
  <c r="AF641" i="10"/>
  <c r="AF642" i="10"/>
  <c r="AF643" i="10"/>
  <c r="AF644" i="10"/>
  <c r="AF645" i="10"/>
  <c r="AF646" i="10"/>
  <c r="AF647" i="10"/>
  <c r="AF648" i="10"/>
  <c r="AF649" i="10"/>
  <c r="AF650" i="10"/>
  <c r="AF195" i="9"/>
  <c r="AF998" i="9"/>
  <c r="AF997" i="9"/>
  <c r="AF996" i="9"/>
  <c r="AF995" i="9"/>
  <c r="AF994" i="9"/>
  <c r="AF993" i="9"/>
  <c r="AF992" i="9"/>
  <c r="AF991" i="9"/>
  <c r="AF990" i="9"/>
  <c r="AF989" i="9"/>
  <c r="AF988" i="9"/>
  <c r="AF987" i="9"/>
  <c r="AF986" i="9"/>
  <c r="AF985" i="9"/>
  <c r="AF984" i="9"/>
  <c r="AF983" i="9"/>
  <c r="AF982" i="9"/>
  <c r="AF981" i="9"/>
  <c r="AF980" i="9"/>
  <c r="AF979" i="9"/>
  <c r="AF978" i="9"/>
  <c r="AF977" i="9"/>
  <c r="AF976" i="9"/>
  <c r="AF975" i="9"/>
  <c r="AF974" i="9"/>
  <c r="AF973" i="9"/>
  <c r="AF972" i="9"/>
  <c r="AF971" i="9"/>
  <c r="AF970" i="9"/>
  <c r="AF969" i="9"/>
  <c r="AF968" i="9"/>
  <c r="AF967" i="9"/>
  <c r="AF966" i="9"/>
  <c r="AF965" i="9"/>
  <c r="AF964" i="9"/>
  <c r="AF963" i="9"/>
  <c r="AF962" i="9"/>
  <c r="AF961" i="9"/>
  <c r="AF960" i="9"/>
  <c r="AF959" i="9"/>
  <c r="AF958" i="9"/>
  <c r="AF290" i="9"/>
  <c r="AF289" i="9"/>
  <c r="AF288" i="9"/>
  <c r="AF263" i="9"/>
  <c r="AF238" i="9"/>
  <c r="AF237" i="9"/>
  <c r="AF236" i="9"/>
  <c r="AF235" i="9"/>
  <c r="AF226" i="9"/>
  <c r="AF225" i="9"/>
  <c r="AF212" i="9"/>
  <c r="AF211" i="9"/>
  <c r="AF210" i="9"/>
  <c r="AF209" i="9"/>
  <c r="AG195" i="9"/>
  <c r="AF193" i="9"/>
  <c r="AG193" i="9" s="1"/>
  <c r="AA689" i="8"/>
  <c r="AD669" i="8"/>
  <c r="Z663" i="8"/>
  <c r="AA653" i="8"/>
  <c r="AA646" i="8"/>
  <c r="AA638" i="8"/>
  <c r="AA637" i="8"/>
  <c r="AA630" i="8"/>
  <c r="AA610" i="8"/>
  <c r="Z495" i="8"/>
  <c r="Z485" i="8"/>
  <c r="Z486" i="8"/>
  <c r="Z487" i="8"/>
  <c r="Z488" i="8"/>
  <c r="Z489" i="8"/>
  <c r="Z490" i="8"/>
  <c r="Z491" i="8"/>
  <c r="Z492" i="8"/>
  <c r="Z493" i="8"/>
  <c r="Z494" i="8"/>
  <c r="Z496" i="8"/>
  <c r="Z497" i="8"/>
  <c r="Z498" i="8"/>
  <c r="Z499" i="8"/>
  <c r="Z500" i="8"/>
  <c r="Z501" i="8"/>
  <c r="Z502" i="8"/>
  <c r="Z503" i="8"/>
  <c r="Z504" i="8"/>
  <c r="Z505" i="8"/>
  <c r="Z506" i="8"/>
  <c r="Z507" i="8"/>
  <c r="Z508" i="8"/>
  <c r="Z509" i="8"/>
  <c r="Z510" i="8"/>
  <c r="Z511" i="8"/>
  <c r="Z512" i="8"/>
  <c r="Z513" i="8"/>
  <c r="Z514" i="8"/>
  <c r="Z515" i="8"/>
  <c r="Z516" i="8"/>
  <c r="Z517" i="8"/>
  <c r="Z518" i="8"/>
  <c r="Z519" i="8"/>
  <c r="Z520" i="8"/>
  <c r="Z521" i="8"/>
  <c r="Z522" i="8"/>
  <c r="Z523" i="8"/>
  <c r="Z524" i="8"/>
  <c r="Z525" i="8"/>
  <c r="Z526" i="8"/>
  <c r="Z527" i="8"/>
  <c r="Z528" i="8"/>
  <c r="Z529" i="8"/>
  <c r="Z530" i="8"/>
  <c r="Z531" i="8"/>
  <c r="Z532" i="8"/>
  <c r="Z533" i="8"/>
  <c r="Z534" i="8"/>
  <c r="Z535" i="8"/>
  <c r="Z536" i="8"/>
  <c r="Z537" i="8"/>
  <c r="Z538" i="8"/>
  <c r="Z539" i="8"/>
  <c r="Z540" i="8"/>
  <c r="Z541" i="8"/>
  <c r="Z542" i="8"/>
  <c r="Z543" i="8"/>
  <c r="Z544" i="8"/>
  <c r="Z545" i="8"/>
  <c r="Z546" i="8"/>
  <c r="Z547" i="8"/>
  <c r="Z548" i="8"/>
  <c r="Z549" i="8"/>
  <c r="Z550" i="8"/>
  <c r="Z551" i="8"/>
  <c r="Z552" i="8"/>
  <c r="Z553" i="8"/>
  <c r="Z554" i="8"/>
  <c r="Z555" i="8"/>
  <c r="Z556" i="8"/>
  <c r="Z557" i="8"/>
  <c r="Z558" i="8"/>
  <c r="Z559" i="8"/>
  <c r="Z560" i="8"/>
  <c r="Z561" i="8"/>
  <c r="Z562" i="8"/>
  <c r="Z563" i="8"/>
  <c r="Z564" i="8"/>
  <c r="Z565" i="8"/>
  <c r="Z566" i="8"/>
  <c r="Z567" i="8"/>
  <c r="Z568" i="8"/>
  <c r="Z569" i="8"/>
  <c r="Z570" i="8"/>
  <c r="Z571" i="8"/>
  <c r="Z572" i="8"/>
  <c r="Z573" i="8"/>
  <c r="Z574" i="8"/>
  <c r="Z575" i="8"/>
  <c r="Z576" i="8"/>
  <c r="Z577" i="8"/>
  <c r="Z578" i="8"/>
  <c r="Z579" i="8"/>
  <c r="Z580" i="8"/>
  <c r="Z581" i="8"/>
  <c r="Z582" i="8"/>
  <c r="Z583" i="8"/>
  <c r="Z584" i="8"/>
  <c r="Z585" i="8"/>
  <c r="Z586" i="8"/>
  <c r="Z587" i="8"/>
  <c r="Z588" i="8"/>
  <c r="Z589" i="8"/>
  <c r="Z590" i="8"/>
  <c r="Z591" i="8"/>
  <c r="Z592" i="8"/>
  <c r="Z593" i="8"/>
  <c r="Z594" i="8"/>
  <c r="Z595" i="8"/>
  <c r="Z596" i="8"/>
  <c r="Z327" i="8"/>
  <c r="Z118" i="8"/>
  <c r="AF119" i="9"/>
  <c r="AF120" i="9"/>
  <c r="AF121" i="9"/>
  <c r="AF122" i="9"/>
  <c r="AF123" i="9"/>
  <c r="AG123" i="9" s="1"/>
  <c r="AF124" i="9"/>
  <c r="AG124" i="9" s="1"/>
  <c r="AF125" i="9"/>
  <c r="AF126" i="9"/>
  <c r="AF127" i="9"/>
  <c r="AF128" i="9"/>
  <c r="AG128" i="9" s="1"/>
  <c r="AF129" i="9"/>
  <c r="AG129" i="9" s="1"/>
  <c r="AF130" i="9"/>
  <c r="AG130" i="9" s="1"/>
  <c r="AF131" i="9"/>
  <c r="AG131" i="9" s="1"/>
  <c r="AF132" i="9"/>
  <c r="AG132" i="9" s="1"/>
  <c r="AF133" i="9"/>
  <c r="AG133" i="9" s="1"/>
  <c r="AF134" i="9"/>
  <c r="AG134" i="9" s="1"/>
  <c r="AF135" i="9"/>
  <c r="AG135" i="9" s="1"/>
  <c r="AF136" i="9"/>
  <c r="AG136" i="9" s="1"/>
  <c r="AF137" i="9"/>
  <c r="AG137" i="9" s="1"/>
  <c r="AF138" i="9"/>
  <c r="AG138" i="9" s="1"/>
  <c r="AF139" i="9"/>
  <c r="AG139" i="9" s="1"/>
  <c r="AF140" i="9"/>
  <c r="AG140" i="9" s="1"/>
  <c r="AF141" i="9"/>
  <c r="AG141" i="9" s="1"/>
  <c r="AF142" i="9"/>
  <c r="AG142" i="9" s="1"/>
  <c r="AF143" i="9"/>
  <c r="AG143" i="9" s="1"/>
  <c r="AF144" i="9"/>
  <c r="AG144" i="9" s="1"/>
  <c r="AF145" i="9"/>
  <c r="AG145" i="9" s="1"/>
  <c r="AF146" i="9"/>
  <c r="AG146" i="9" s="1"/>
  <c r="AF147" i="9"/>
  <c r="AG147" i="9" s="1"/>
  <c r="AF148" i="9"/>
  <c r="AG148" i="9" s="1"/>
  <c r="AF149" i="9"/>
  <c r="AG149" i="9" s="1"/>
  <c r="AF150" i="9"/>
  <c r="AG150" i="9" s="1"/>
  <c r="AF151" i="9"/>
  <c r="AG151" i="9" s="1"/>
  <c r="AF152" i="9"/>
  <c r="AG152" i="9" s="1"/>
  <c r="AF153" i="9"/>
  <c r="AG153" i="9" s="1"/>
  <c r="AF154" i="9"/>
  <c r="AG154" i="9" s="1"/>
  <c r="AF155" i="9"/>
  <c r="AG155" i="9" s="1"/>
  <c r="AF156" i="9"/>
  <c r="AG156" i="9" s="1"/>
  <c r="AF157" i="9"/>
  <c r="AG157" i="9" s="1"/>
  <c r="AF158" i="9"/>
  <c r="AG158" i="9" s="1"/>
  <c r="AF159" i="9"/>
  <c r="AG159" i="9" s="1"/>
  <c r="AF160" i="9"/>
  <c r="AF161" i="9"/>
  <c r="AF163" i="9"/>
  <c r="AF164" i="9"/>
  <c r="AF165" i="9"/>
  <c r="AF166" i="9"/>
  <c r="AF167" i="9"/>
  <c r="AF168" i="9"/>
  <c r="AF169" i="9"/>
  <c r="AF170" i="9"/>
  <c r="AF171" i="9"/>
  <c r="AF172" i="9"/>
  <c r="AF173" i="9"/>
  <c r="AF174" i="9"/>
  <c r="AF175" i="9"/>
  <c r="AF176" i="9"/>
  <c r="AF177" i="9"/>
  <c r="AG177" i="9" s="1"/>
  <c r="AF178" i="9"/>
  <c r="AF179" i="9"/>
  <c r="AF180" i="9"/>
  <c r="AF181" i="9"/>
  <c r="AF182" i="9"/>
  <c r="AG182" i="9" s="1"/>
  <c r="AF183" i="9"/>
  <c r="AF184" i="9"/>
  <c r="AF185" i="9"/>
  <c r="AF186" i="9"/>
  <c r="AG186" i="9" s="1"/>
  <c r="AF187" i="9"/>
  <c r="AF188" i="9"/>
  <c r="AF189" i="9"/>
  <c r="AF190" i="9"/>
  <c r="AF191" i="9"/>
  <c r="H5" i="6"/>
  <c r="G6" i="7"/>
  <c r="G5" i="4"/>
  <c r="I5" i="5"/>
  <c r="AF45" i="10"/>
  <c r="AG45" i="10"/>
  <c r="AF40" i="10"/>
  <c r="AF4" i="10"/>
  <c r="Z62" i="8"/>
  <c r="B4" i="6"/>
  <c r="B4" i="7"/>
  <c r="B4" i="4"/>
  <c r="B4" i="5"/>
  <c r="AF4" i="9" l="1"/>
  <c r="AF5" i="9"/>
  <c r="AF6" i="9"/>
  <c r="AF7" i="9"/>
  <c r="AF8" i="9"/>
  <c r="AF9" i="9"/>
  <c r="AF10" i="9"/>
  <c r="AF11" i="9"/>
  <c r="AF12" i="9"/>
  <c r="AF13" i="9"/>
  <c r="AF14" i="9"/>
  <c r="AF15" i="9"/>
  <c r="AF16" i="9"/>
  <c r="AF17" i="9"/>
  <c r="AF18" i="9"/>
  <c r="AF19" i="9"/>
  <c r="AF20" i="9"/>
  <c r="AF21" i="9"/>
  <c r="AF22" i="9"/>
  <c r="AF23" i="9"/>
  <c r="AF24" i="9"/>
  <c r="AF25" i="9"/>
  <c r="AF26" i="9"/>
  <c r="AF27" i="9"/>
  <c r="AF28" i="9"/>
  <c r="AF29" i="9"/>
  <c r="AF30" i="9"/>
  <c r="AF31" i="9"/>
  <c r="AF32" i="9"/>
  <c r="AF33" i="9"/>
  <c r="AF34" i="9"/>
  <c r="AF35" i="9"/>
  <c r="AF36" i="9"/>
  <c r="AF37" i="9"/>
  <c r="AF38" i="9"/>
  <c r="AF39" i="9"/>
  <c r="AF40" i="9"/>
  <c r="AF41" i="9"/>
  <c r="AF42" i="9"/>
  <c r="AF43" i="9"/>
  <c r="AF44" i="9"/>
  <c r="AF45" i="9"/>
  <c r="AF46" i="9"/>
  <c r="AF47" i="9"/>
  <c r="AF48" i="9"/>
  <c r="AF49" i="9"/>
  <c r="AF50" i="9"/>
  <c r="AF51" i="9"/>
  <c r="AF52" i="9"/>
  <c r="AF53" i="9"/>
  <c r="AF54" i="9"/>
  <c r="AF55" i="9"/>
  <c r="AF56" i="9"/>
  <c r="AF57" i="9"/>
  <c r="AF58" i="9"/>
  <c r="AF59" i="9"/>
  <c r="AF60" i="9"/>
  <c r="AF61" i="9"/>
  <c r="AF62" i="9"/>
  <c r="AF63" i="9"/>
  <c r="AF64" i="9"/>
  <c r="AF65" i="9"/>
  <c r="AF66" i="9"/>
  <c r="AF67" i="9"/>
  <c r="AF68" i="9"/>
  <c r="AF69" i="9"/>
  <c r="AF70" i="9"/>
  <c r="AF71" i="9"/>
  <c r="AF72" i="9"/>
  <c r="AF73" i="9"/>
  <c r="I161" i="2"/>
  <c r="B5" i="13" l="1"/>
  <c r="B5" i="14"/>
  <c r="D402" i="2" l="1"/>
  <c r="E402" i="2"/>
  <c r="D403" i="2"/>
  <c r="E403" i="2"/>
  <c r="D404" i="2"/>
  <c r="E404" i="2"/>
  <c r="D405" i="2"/>
  <c r="E405" i="2"/>
  <c r="D406" i="2"/>
  <c r="E406" i="2"/>
  <c r="D407" i="2"/>
  <c r="E407" i="2"/>
  <c r="D408" i="2"/>
  <c r="E408" i="2"/>
  <c r="D409" i="2"/>
  <c r="E409" i="2"/>
  <c r="D410" i="2"/>
  <c r="E410" i="2"/>
  <c r="D411" i="2"/>
  <c r="E411" i="2"/>
  <c r="D412" i="2"/>
  <c r="E412" i="2"/>
  <c r="D413" i="2"/>
  <c r="E413" i="2"/>
  <c r="D414" i="2"/>
  <c r="E414" i="2"/>
  <c r="D415" i="2"/>
  <c r="E415" i="2"/>
  <c r="D416" i="2"/>
  <c r="E416" i="2"/>
  <c r="D417" i="2"/>
  <c r="E417" i="2"/>
  <c r="D418" i="2"/>
  <c r="E418" i="2"/>
  <c r="D419" i="2"/>
  <c r="E419" i="2"/>
  <c r="D420" i="2"/>
  <c r="E420" i="2"/>
  <c r="D421" i="2"/>
  <c r="E421" i="2"/>
  <c r="D422" i="2"/>
  <c r="E422" i="2"/>
  <c r="D423" i="2"/>
  <c r="E423" i="2"/>
  <c r="D424" i="2"/>
  <c r="E424" i="2"/>
  <c r="D425" i="2"/>
  <c r="E425" i="2"/>
  <c r="D426" i="2"/>
  <c r="E426" i="2"/>
  <c r="D427" i="2"/>
  <c r="E427" i="2"/>
  <c r="D428" i="2"/>
  <c r="E428" i="2"/>
  <c r="D429" i="2"/>
  <c r="E429" i="2"/>
  <c r="D430" i="2"/>
  <c r="E430" i="2"/>
  <c r="D431" i="2"/>
  <c r="E431" i="2"/>
  <c r="D432" i="2"/>
  <c r="E432" i="2"/>
  <c r="D433" i="2"/>
  <c r="E433" i="2"/>
  <c r="D434" i="2"/>
  <c r="E434" i="2"/>
  <c r="D435" i="2"/>
  <c r="E435" i="2"/>
  <c r="D436" i="2"/>
  <c r="E436" i="2"/>
  <c r="D437" i="2"/>
  <c r="E437" i="2"/>
  <c r="D438" i="2"/>
  <c r="E438" i="2"/>
  <c r="D439" i="2"/>
  <c r="E439" i="2"/>
  <c r="D298" i="2"/>
  <c r="E298" i="2"/>
  <c r="D299" i="2"/>
  <c r="E299" i="2"/>
  <c r="D300" i="2"/>
  <c r="E300" i="2"/>
  <c r="D301" i="2"/>
  <c r="E301" i="2"/>
  <c r="D302" i="2"/>
  <c r="E302" i="2"/>
  <c r="D303" i="2"/>
  <c r="E303" i="2"/>
  <c r="D304" i="2"/>
  <c r="E304" i="2"/>
  <c r="D305" i="2"/>
  <c r="E305" i="2"/>
  <c r="D306" i="2"/>
  <c r="E306" i="2"/>
  <c r="D307" i="2"/>
  <c r="E307" i="2"/>
  <c r="D308" i="2"/>
  <c r="E308" i="2"/>
  <c r="D309" i="2"/>
  <c r="E309" i="2"/>
  <c r="D310" i="2"/>
  <c r="E310" i="2"/>
  <c r="D311" i="2"/>
  <c r="E311" i="2"/>
  <c r="D312" i="2"/>
  <c r="E312" i="2"/>
  <c r="D313" i="2"/>
  <c r="E313" i="2"/>
  <c r="D314" i="2"/>
  <c r="E314" i="2"/>
  <c r="D315" i="2"/>
  <c r="E315" i="2"/>
  <c r="D316" i="2"/>
  <c r="E316" i="2"/>
  <c r="D317" i="2"/>
  <c r="E317" i="2"/>
  <c r="D318" i="2"/>
  <c r="E318" i="2"/>
  <c r="D319" i="2"/>
  <c r="E319" i="2"/>
  <c r="D320" i="2"/>
  <c r="E320" i="2"/>
  <c r="D321" i="2"/>
  <c r="E321" i="2"/>
  <c r="D322" i="2"/>
  <c r="E322" i="2"/>
  <c r="D323" i="2"/>
  <c r="E323" i="2"/>
  <c r="D76" i="2"/>
  <c r="E76" i="2"/>
  <c r="D77" i="2"/>
  <c r="E77" i="2"/>
  <c r="D78" i="2"/>
  <c r="E78" i="2"/>
  <c r="D79" i="2"/>
  <c r="E79" i="2"/>
  <c r="D80" i="2"/>
  <c r="E80" i="2"/>
  <c r="D81" i="2"/>
  <c r="E81" i="2"/>
  <c r="D82" i="2"/>
  <c r="E82" i="2"/>
  <c r="D83" i="2"/>
  <c r="E83" i="2"/>
  <c r="D84" i="2"/>
  <c r="E84" i="2"/>
  <c r="D85" i="2"/>
  <c r="E85" i="2"/>
  <c r="D86" i="2"/>
  <c r="E86" i="2"/>
  <c r="D87" i="2"/>
  <c r="E87" i="2"/>
  <c r="D88" i="2"/>
  <c r="E88" i="2"/>
  <c r="D89" i="2"/>
  <c r="E89" i="2"/>
  <c r="D90" i="2"/>
  <c r="E90" i="2"/>
  <c r="D91" i="2"/>
  <c r="E91" i="2"/>
  <c r="D92" i="2"/>
  <c r="E92" i="2"/>
  <c r="D93" i="2"/>
  <c r="E93" i="2"/>
  <c r="D94" i="2"/>
  <c r="E94" i="2"/>
  <c r="D95" i="2"/>
  <c r="E95" i="2"/>
  <c r="D96" i="2"/>
  <c r="E96" i="2"/>
  <c r="D97" i="2"/>
  <c r="E97" i="2"/>
  <c r="D98" i="2"/>
  <c r="E98" i="2"/>
  <c r="D99" i="2"/>
  <c r="E99" i="2"/>
  <c r="D100" i="2"/>
  <c r="E100" i="2"/>
  <c r="D101" i="2"/>
  <c r="E101" i="2"/>
  <c r="D102" i="2"/>
  <c r="E102" i="2"/>
  <c r="D103" i="2"/>
  <c r="E103" i="2"/>
  <c r="D104" i="2"/>
  <c r="E104" i="2"/>
  <c r="D105" i="2"/>
  <c r="E105" i="2"/>
  <c r="D106" i="2"/>
  <c r="E106" i="2"/>
  <c r="D211" i="2"/>
  <c r="E211" i="2"/>
  <c r="D196" i="2"/>
  <c r="E196" i="2"/>
  <c r="D197" i="2"/>
  <c r="E197" i="2"/>
  <c r="D198" i="2"/>
  <c r="E198" i="2"/>
  <c r="D199" i="2"/>
  <c r="E199" i="2"/>
  <c r="D200" i="2"/>
  <c r="E200" i="2"/>
  <c r="D201" i="2"/>
  <c r="E201" i="2"/>
  <c r="D202" i="2"/>
  <c r="E202" i="2"/>
  <c r="D203" i="2"/>
  <c r="E203" i="2"/>
  <c r="D204" i="2"/>
  <c r="E204" i="2"/>
  <c r="D205" i="2"/>
  <c r="E205" i="2"/>
  <c r="D206" i="2"/>
  <c r="E206" i="2"/>
  <c r="D186" i="2"/>
  <c r="E186" i="2"/>
  <c r="D187" i="2"/>
  <c r="E187" i="2"/>
  <c r="D188" i="2"/>
  <c r="E188" i="2"/>
  <c r="D189" i="2"/>
  <c r="E189" i="2"/>
  <c r="D190" i="2"/>
  <c r="E190" i="2"/>
  <c r="D191" i="2"/>
  <c r="E191" i="2"/>
  <c r="D192" i="2"/>
  <c r="E192" i="2"/>
  <c r="D193" i="2"/>
  <c r="E193" i="2"/>
  <c r="D194" i="2"/>
  <c r="E194" i="2"/>
  <c r="D195" i="2"/>
  <c r="E195" i="2"/>
  <c r="D207" i="2"/>
  <c r="E207" i="2"/>
  <c r="D208" i="2"/>
  <c r="E208" i="2"/>
  <c r="D209" i="2"/>
  <c r="E209" i="2"/>
  <c r="D210" i="2"/>
  <c r="E210" i="2"/>
  <c r="D212" i="2"/>
  <c r="E212" i="2"/>
  <c r="D213" i="2"/>
  <c r="E213" i="2"/>
  <c r="D214" i="2"/>
  <c r="E214" i="2"/>
  <c r="D215" i="2"/>
  <c r="E215" i="2"/>
  <c r="D216" i="2"/>
  <c r="E216" i="2"/>
  <c r="D217" i="2"/>
  <c r="E217" i="2"/>
  <c r="D218" i="2"/>
  <c r="E218" i="2"/>
  <c r="D219" i="2"/>
  <c r="E219" i="2"/>
  <c r="D220" i="2"/>
  <c r="E220" i="2"/>
  <c r="D221" i="2"/>
  <c r="E221" i="2"/>
  <c r="AF144" i="11"/>
  <c r="AG144" i="11" s="1"/>
  <c r="AF145" i="11"/>
  <c r="AG145" i="11" s="1"/>
  <c r="AF146" i="11"/>
  <c r="AG146" i="11" s="1"/>
  <c r="AF147" i="11"/>
  <c r="AG147" i="11" s="1"/>
  <c r="AF148" i="11"/>
  <c r="AG148" i="11" s="1"/>
  <c r="AF149" i="11"/>
  <c r="AG149" i="11" s="1"/>
  <c r="AF150" i="11"/>
  <c r="AG150" i="11" s="1"/>
  <c r="AF151" i="11"/>
  <c r="AG151" i="11" s="1"/>
  <c r="AF152" i="11"/>
  <c r="AG152" i="11" s="1"/>
  <c r="AF153" i="11"/>
  <c r="AG153" i="11" s="1"/>
  <c r="AF154" i="11"/>
  <c r="AG154" i="11" s="1"/>
  <c r="AF155" i="11"/>
  <c r="AG155" i="11" s="1"/>
  <c r="AF156" i="11"/>
  <c r="AG156" i="11" s="1"/>
  <c r="AF157" i="11"/>
  <c r="AG157" i="11" s="1"/>
  <c r="AF158" i="11"/>
  <c r="AG158" i="11" s="1"/>
  <c r="AF159" i="11"/>
  <c r="AG159" i="11" s="1"/>
  <c r="AF160" i="11"/>
  <c r="AG160" i="11" s="1"/>
  <c r="AF161" i="11"/>
  <c r="AG161" i="11" s="1"/>
  <c r="AF162" i="11"/>
  <c r="AG162" i="11" s="1"/>
  <c r="AF163" i="11"/>
  <c r="AG163" i="11" s="1"/>
  <c r="AF164" i="11"/>
  <c r="AG164" i="11" s="1"/>
  <c r="AF165" i="11"/>
  <c r="AG165" i="11" s="1"/>
  <c r="AF166" i="11"/>
  <c r="AG166" i="11" s="1"/>
  <c r="AF167" i="11"/>
  <c r="AG167" i="11" s="1"/>
  <c r="AF168" i="11"/>
  <c r="AG168" i="11" s="1"/>
  <c r="AF169" i="11"/>
  <c r="AG169" i="11" s="1"/>
  <c r="AF170" i="11"/>
  <c r="AG170" i="11" s="1"/>
  <c r="AF171" i="11"/>
  <c r="AG171" i="11" s="1"/>
  <c r="AF172" i="11"/>
  <c r="AG172" i="11" s="1"/>
  <c r="AF173" i="11"/>
  <c r="AG173" i="11" s="1"/>
  <c r="AF174" i="11"/>
  <c r="AG174" i="11" s="1"/>
  <c r="AF175" i="11"/>
  <c r="AG175" i="11" s="1"/>
  <c r="AF176" i="11"/>
  <c r="AG176" i="11" s="1"/>
  <c r="AF177" i="11"/>
  <c r="AG177" i="11" s="1"/>
  <c r="AF178" i="11"/>
  <c r="AG178" i="11" s="1"/>
  <c r="AF179" i="11"/>
  <c r="AG179" i="11" s="1"/>
  <c r="AF180" i="11"/>
  <c r="AG180" i="11" s="1"/>
  <c r="AF181" i="11"/>
  <c r="AG181" i="11" s="1"/>
  <c r="AF182" i="11"/>
  <c r="AG182" i="11" s="1"/>
  <c r="AF183" i="11"/>
  <c r="AG183" i="11" s="1"/>
  <c r="AF184" i="11"/>
  <c r="AG184" i="11" s="1"/>
  <c r="AF185" i="11"/>
  <c r="AG185" i="11" s="1"/>
  <c r="AF186" i="11"/>
  <c r="AG186" i="11" s="1"/>
  <c r="AF187" i="11"/>
  <c r="AG187" i="11" s="1"/>
  <c r="AF188" i="11"/>
  <c r="AG188" i="11" s="1"/>
  <c r="AF189" i="11"/>
  <c r="AG189" i="11" s="1"/>
  <c r="AF190" i="11"/>
  <c r="AG190" i="11" s="1"/>
  <c r="AF191" i="11"/>
  <c r="AG191" i="11" s="1"/>
  <c r="AF192" i="11"/>
  <c r="AG192" i="11" s="1"/>
  <c r="AF193" i="11"/>
  <c r="AG193" i="11" s="1"/>
  <c r="AF194" i="11"/>
  <c r="AG194" i="11" s="1"/>
  <c r="AF195" i="11"/>
  <c r="AG195" i="11" s="1"/>
  <c r="AF196" i="11"/>
  <c r="AG196" i="11" s="1"/>
  <c r="AF197" i="11"/>
  <c r="AG197" i="11" s="1"/>
  <c r="AF198" i="11"/>
  <c r="AG198" i="11" s="1"/>
  <c r="AF199" i="11"/>
  <c r="AG199" i="11" s="1"/>
  <c r="AF200" i="11"/>
  <c r="AG200" i="11" s="1"/>
  <c r="AF201" i="11"/>
  <c r="AG201" i="11" s="1"/>
  <c r="AF202" i="11"/>
  <c r="AG202" i="11" s="1"/>
  <c r="AF203" i="11"/>
  <c r="AG203" i="11" s="1"/>
  <c r="AF204" i="11"/>
  <c r="AG204" i="11" s="1"/>
  <c r="AF205" i="11"/>
  <c r="AG205" i="11" s="1"/>
  <c r="AF206" i="11"/>
  <c r="AG206" i="11" s="1"/>
  <c r="AF207" i="11"/>
  <c r="AG207" i="11" s="1"/>
  <c r="AF208" i="11"/>
  <c r="AG208" i="11" s="1"/>
  <c r="AF209" i="11"/>
  <c r="AG209" i="11" s="1"/>
  <c r="AF210" i="11"/>
  <c r="AG210" i="11" s="1"/>
  <c r="AF211" i="11"/>
  <c r="AG211" i="11" s="1"/>
  <c r="AF212" i="11"/>
  <c r="AG212" i="11" s="1"/>
  <c r="AF213" i="11"/>
  <c r="AG213" i="11" s="1"/>
  <c r="AF214" i="11"/>
  <c r="AG214" i="11" s="1"/>
  <c r="AF215" i="11"/>
  <c r="AG215" i="11" s="1"/>
  <c r="AF216" i="11"/>
  <c r="AG216" i="11" s="1"/>
  <c r="AF217" i="11"/>
  <c r="AG217" i="11" s="1"/>
  <c r="AF218" i="11"/>
  <c r="AG218" i="11" s="1"/>
  <c r="AF219" i="11"/>
  <c r="AG219" i="11" s="1"/>
  <c r="AF220" i="11"/>
  <c r="AG220" i="11" s="1"/>
  <c r="AF221" i="11"/>
  <c r="AG221" i="11" s="1"/>
  <c r="AF222" i="11"/>
  <c r="AG222" i="11" s="1"/>
  <c r="AF223" i="11"/>
  <c r="AG223" i="11" s="1"/>
  <c r="AF224" i="11"/>
  <c r="AG224" i="11" s="1"/>
  <c r="AF225" i="11"/>
  <c r="AG225" i="11" s="1"/>
  <c r="AF226" i="11"/>
  <c r="AG226" i="11" s="1"/>
  <c r="AF227" i="11"/>
  <c r="AG227" i="11" s="1"/>
  <c r="AF228" i="11"/>
  <c r="AG228" i="11" s="1"/>
  <c r="AF229" i="11"/>
  <c r="AG229" i="11" s="1"/>
  <c r="AF230" i="11"/>
  <c r="AG230" i="11" s="1"/>
  <c r="AF231" i="11"/>
  <c r="AG231" i="11" s="1"/>
  <c r="AF232" i="11"/>
  <c r="AG232" i="11" s="1"/>
  <c r="AF233" i="11"/>
  <c r="AG233" i="11" s="1"/>
  <c r="AF234" i="11"/>
  <c r="AG234" i="11" s="1"/>
  <c r="AF235" i="11"/>
  <c r="AG235" i="11" s="1"/>
  <c r="AF236" i="11"/>
  <c r="AG236" i="11" s="1"/>
  <c r="AF237" i="11"/>
  <c r="AG237" i="11" s="1"/>
  <c r="AF238" i="11"/>
  <c r="AG238" i="11" s="1"/>
  <c r="AF239" i="11"/>
  <c r="AG239" i="11" s="1"/>
  <c r="AF240" i="11"/>
  <c r="AG240" i="11" s="1"/>
  <c r="AF241" i="11"/>
  <c r="AG241" i="11" s="1"/>
  <c r="AF242" i="11"/>
  <c r="AG242" i="11" s="1"/>
  <c r="AF243" i="11"/>
  <c r="AG243" i="11" s="1"/>
  <c r="AF244" i="11"/>
  <c r="AG244" i="11" s="1"/>
  <c r="AF245" i="11"/>
  <c r="AG245" i="11" s="1"/>
  <c r="AF246" i="11"/>
  <c r="AG246" i="11" s="1"/>
  <c r="AF247" i="11"/>
  <c r="AG247" i="11" s="1"/>
  <c r="AF248" i="11"/>
  <c r="AG248" i="11" s="1"/>
  <c r="AF249" i="11"/>
  <c r="AG249" i="11" s="1"/>
  <c r="AF250" i="11"/>
  <c r="AG250" i="11" s="1"/>
  <c r="AF251" i="11"/>
  <c r="AG251" i="11" s="1"/>
  <c r="AF252" i="11"/>
  <c r="AG252" i="11" s="1"/>
  <c r="AF253" i="11"/>
  <c r="AG253" i="11" s="1"/>
  <c r="AF254" i="11"/>
  <c r="AG254" i="11" s="1"/>
  <c r="AF255" i="11"/>
  <c r="AG255" i="11" s="1"/>
  <c r="AF256" i="11"/>
  <c r="AG256" i="11" s="1"/>
  <c r="AF257" i="11"/>
  <c r="AG257" i="11" s="1"/>
  <c r="AF258" i="11"/>
  <c r="AG258" i="11" s="1"/>
  <c r="AF259" i="11"/>
  <c r="AG259" i="11" s="1"/>
  <c r="AF260" i="11"/>
  <c r="AG260" i="11" s="1"/>
  <c r="AF261" i="11"/>
  <c r="AG261" i="11" s="1"/>
  <c r="AF262" i="11"/>
  <c r="AG262" i="11" s="1"/>
  <c r="AF263" i="11"/>
  <c r="AG263" i="11" s="1"/>
  <c r="AF264" i="11"/>
  <c r="AG264" i="11" s="1"/>
  <c r="AF265" i="11"/>
  <c r="AG265" i="11" s="1"/>
  <c r="AF266" i="11"/>
  <c r="AG266" i="11" s="1"/>
  <c r="AF267" i="11"/>
  <c r="AG267" i="11" s="1"/>
  <c r="AF268" i="11"/>
  <c r="AG268" i="11" s="1"/>
  <c r="AF269" i="11"/>
  <c r="AG269" i="11" s="1"/>
  <c r="AF270" i="11"/>
  <c r="AG270" i="11" s="1"/>
  <c r="AF271" i="11"/>
  <c r="AG271" i="11" s="1"/>
  <c r="AF272" i="11"/>
  <c r="AG272" i="11" s="1"/>
  <c r="AF273" i="11"/>
  <c r="AG273" i="11" s="1"/>
  <c r="AF274" i="11"/>
  <c r="AG274" i="11" s="1"/>
  <c r="AF275" i="11"/>
  <c r="AG275" i="11" s="1"/>
  <c r="AF276" i="11"/>
  <c r="AG276" i="11" s="1"/>
  <c r="AF277" i="11"/>
  <c r="AG277" i="11" s="1"/>
  <c r="AF278" i="11"/>
  <c r="AG278" i="11" s="1"/>
  <c r="AF279" i="11"/>
  <c r="AG279" i="11" s="1"/>
  <c r="AF280" i="11"/>
  <c r="AG280" i="11" s="1"/>
  <c r="AF281" i="11"/>
  <c r="AG281" i="11" s="1"/>
  <c r="AF282" i="11"/>
  <c r="AG282" i="11" s="1"/>
  <c r="AF283" i="11"/>
  <c r="AG283" i="11" s="1"/>
  <c r="AF284" i="11"/>
  <c r="AG284" i="11" s="1"/>
  <c r="AF285" i="11"/>
  <c r="AG285" i="11" s="1"/>
  <c r="AF286" i="11"/>
  <c r="AG286" i="11" s="1"/>
  <c r="AF287" i="11"/>
  <c r="AG287" i="11" s="1"/>
  <c r="AF288" i="11"/>
  <c r="AG288" i="11" s="1"/>
  <c r="AF289" i="11"/>
  <c r="AG289" i="11" s="1"/>
  <c r="AF290" i="11"/>
  <c r="AG290" i="11" s="1"/>
  <c r="AF291" i="11"/>
  <c r="AG291" i="11" s="1"/>
  <c r="AF292" i="11"/>
  <c r="AG292" i="11" s="1"/>
  <c r="AF293" i="11"/>
  <c r="AG293" i="11" s="1"/>
  <c r="AF294" i="11"/>
  <c r="AG294" i="11" s="1"/>
  <c r="AF295" i="11"/>
  <c r="AG295" i="11" s="1"/>
  <c r="AF296" i="11"/>
  <c r="AG296" i="11" s="1"/>
  <c r="AF297" i="11"/>
  <c r="AG297" i="11" s="1"/>
  <c r="AF298" i="11"/>
  <c r="AG298" i="11" s="1"/>
  <c r="AF299" i="11"/>
  <c r="AG299" i="11" s="1"/>
  <c r="AF300" i="11"/>
  <c r="AG300" i="11" s="1"/>
  <c r="AF301" i="11"/>
  <c r="AG301" i="11" s="1"/>
  <c r="AF302" i="11"/>
  <c r="AG302" i="11" s="1"/>
  <c r="AF303" i="11"/>
  <c r="AG303" i="11" s="1"/>
  <c r="AF304" i="11"/>
  <c r="AG304" i="11" s="1"/>
  <c r="AF305" i="11"/>
  <c r="AG305" i="11" s="1"/>
  <c r="AF306" i="11"/>
  <c r="AG306" i="11" s="1"/>
  <c r="AF307" i="11"/>
  <c r="AG307" i="11" s="1"/>
  <c r="AF308" i="11"/>
  <c r="AG308" i="11" s="1"/>
  <c r="AF309" i="11"/>
  <c r="AG309" i="11" s="1"/>
  <c r="AF310" i="11"/>
  <c r="AG310" i="11" s="1"/>
  <c r="AF311" i="11"/>
  <c r="AG311" i="11" s="1"/>
  <c r="AF312" i="11"/>
  <c r="AG312" i="11" s="1"/>
  <c r="AF313" i="11"/>
  <c r="AG313" i="11" s="1"/>
  <c r="AF314" i="11"/>
  <c r="AG314" i="11" s="1"/>
  <c r="AF315" i="11"/>
  <c r="AG315" i="11" s="1"/>
  <c r="AF316" i="11"/>
  <c r="AG316" i="11" s="1"/>
  <c r="AF317" i="11"/>
  <c r="AG317" i="11" s="1"/>
  <c r="AF318" i="11"/>
  <c r="AG318" i="11" s="1"/>
  <c r="AF319" i="11"/>
  <c r="AG319" i="11" s="1"/>
  <c r="AF320" i="11"/>
  <c r="AG320" i="11" s="1"/>
  <c r="AF321" i="11"/>
  <c r="AG321" i="11" s="1"/>
  <c r="AF322" i="11"/>
  <c r="AG322" i="11" s="1"/>
  <c r="AF323" i="11"/>
  <c r="AG323" i="11" s="1"/>
  <c r="AF324" i="11"/>
  <c r="AG324" i="11" s="1"/>
  <c r="AF325" i="11"/>
  <c r="AG325" i="11" s="1"/>
  <c r="AF326" i="11"/>
  <c r="AG326" i="11" s="1"/>
  <c r="AF327" i="11"/>
  <c r="AG327" i="11" s="1"/>
  <c r="AF328" i="11"/>
  <c r="AG328" i="11" s="1"/>
  <c r="AF329" i="11"/>
  <c r="AG329" i="11" s="1"/>
  <c r="AF330" i="11"/>
  <c r="AG330" i="11" s="1"/>
  <c r="AF331" i="11"/>
  <c r="AG331" i="11" s="1"/>
  <c r="AF332" i="11"/>
  <c r="AG332" i="11" s="1"/>
  <c r="AF333" i="11"/>
  <c r="AG333" i="11" s="1"/>
  <c r="AF334" i="11"/>
  <c r="AG334" i="11" s="1"/>
  <c r="AF335" i="11"/>
  <c r="AG335" i="11" s="1"/>
  <c r="AF336" i="11"/>
  <c r="AG336" i="11" s="1"/>
  <c r="AF337" i="11"/>
  <c r="AG337" i="11" s="1"/>
  <c r="AF338" i="11"/>
  <c r="AG338" i="11" s="1"/>
  <c r="AF339" i="11"/>
  <c r="AG339" i="11" s="1"/>
  <c r="AF340" i="11"/>
  <c r="AG340" i="11" s="1"/>
  <c r="AF341" i="11"/>
  <c r="AG341" i="11" s="1"/>
  <c r="AF342" i="11"/>
  <c r="AG342" i="11" s="1"/>
  <c r="AF343" i="11"/>
  <c r="AG343" i="11" s="1"/>
  <c r="AF344" i="11"/>
  <c r="AG344" i="11" s="1"/>
  <c r="AF345" i="11"/>
  <c r="AG345" i="11" s="1"/>
  <c r="AF346" i="11"/>
  <c r="AG346" i="11" s="1"/>
  <c r="AF347" i="11"/>
  <c r="AG347" i="11" s="1"/>
  <c r="AF348" i="11"/>
  <c r="AG348" i="11" s="1"/>
  <c r="AF349" i="11"/>
  <c r="AG349" i="11" s="1"/>
  <c r="AF350" i="11"/>
  <c r="AG350" i="11" s="1"/>
  <c r="AF351" i="11"/>
  <c r="AG351" i="11" s="1"/>
  <c r="AF352" i="11"/>
  <c r="AG352" i="11" s="1"/>
  <c r="AF353" i="11"/>
  <c r="AG353" i="11" s="1"/>
  <c r="AF354" i="11"/>
  <c r="AG354" i="11" s="1"/>
  <c r="AF355" i="11"/>
  <c r="AG355" i="11" s="1"/>
  <c r="AF356" i="11"/>
  <c r="AG356" i="11" s="1"/>
  <c r="AF357" i="11"/>
  <c r="AG357" i="11" s="1"/>
  <c r="AF358" i="11"/>
  <c r="AG358" i="11" s="1"/>
  <c r="AF359" i="11"/>
  <c r="AG359" i="11" s="1"/>
  <c r="AF360" i="11"/>
  <c r="AG360" i="11" s="1"/>
  <c r="AF361" i="11"/>
  <c r="AG361" i="11" s="1"/>
  <c r="AF362" i="11"/>
  <c r="AG362" i="11" s="1"/>
  <c r="AF363" i="11"/>
  <c r="AG363" i="11" s="1"/>
  <c r="AF364" i="11"/>
  <c r="AG364" i="11" s="1"/>
  <c r="AF365" i="11"/>
  <c r="AG365" i="11" s="1"/>
  <c r="AF366" i="11"/>
  <c r="AG366" i="11" s="1"/>
  <c r="AF367" i="11"/>
  <c r="AG367" i="11" s="1"/>
  <c r="AF368" i="11"/>
  <c r="AG368" i="11" s="1"/>
  <c r="AF369" i="11"/>
  <c r="AG369" i="11" s="1"/>
  <c r="AF370" i="11"/>
  <c r="AG370" i="11" s="1"/>
  <c r="AF371" i="11"/>
  <c r="AG371" i="11" s="1"/>
  <c r="AF372" i="11"/>
  <c r="AG372" i="11" s="1"/>
  <c r="AF373" i="11"/>
  <c r="AG373" i="11" s="1"/>
  <c r="AF374" i="11"/>
  <c r="AG374" i="11" s="1"/>
  <c r="AF375" i="11"/>
  <c r="AG375" i="11" s="1"/>
  <c r="AF376" i="11"/>
  <c r="AG376" i="11" s="1"/>
  <c r="AF377" i="11"/>
  <c r="AG377" i="11" s="1"/>
  <c r="AF378" i="11"/>
  <c r="AG378" i="11" s="1"/>
  <c r="AF379" i="11"/>
  <c r="AG379" i="11" s="1"/>
  <c r="AF380" i="11"/>
  <c r="AG380" i="11" s="1"/>
  <c r="AF381" i="11"/>
  <c r="AG381" i="11" s="1"/>
  <c r="AF382" i="11"/>
  <c r="AG382" i="11" s="1"/>
  <c r="AF383" i="11"/>
  <c r="AG383" i="11" s="1"/>
  <c r="AF384" i="11"/>
  <c r="AG384" i="11" s="1"/>
  <c r="AF385" i="11"/>
  <c r="AG385" i="11" s="1"/>
  <c r="AF386" i="11"/>
  <c r="AG386" i="11" s="1"/>
  <c r="AF387" i="11"/>
  <c r="AG387" i="11" s="1"/>
  <c r="AF388" i="11"/>
  <c r="AG388" i="11" s="1"/>
  <c r="AF389" i="11"/>
  <c r="AG389" i="11" s="1"/>
  <c r="AF390" i="11"/>
  <c r="AG390" i="11" s="1"/>
  <c r="AF391" i="11"/>
  <c r="AG391" i="11" s="1"/>
  <c r="AF392" i="11"/>
  <c r="AG392" i="11" s="1"/>
  <c r="AF393" i="11"/>
  <c r="AG393" i="11" s="1"/>
  <c r="AF394" i="11"/>
  <c r="AG394" i="11" s="1"/>
  <c r="AF395" i="11"/>
  <c r="AG395" i="11" s="1"/>
  <c r="AF396" i="11"/>
  <c r="AG396" i="11" s="1"/>
  <c r="AF397" i="11"/>
  <c r="AG397" i="11" s="1"/>
  <c r="AF398" i="11"/>
  <c r="AG398" i="11" s="1"/>
  <c r="AF399" i="11"/>
  <c r="AG399" i="11" s="1"/>
  <c r="AF400" i="11"/>
  <c r="AG400" i="11" s="1"/>
  <c r="AF401" i="11"/>
  <c r="AG401" i="11" s="1"/>
  <c r="AF402" i="11"/>
  <c r="AG402" i="11" s="1"/>
  <c r="AF403" i="11"/>
  <c r="AG403" i="11" s="1"/>
  <c r="AF404" i="11"/>
  <c r="AG404" i="11" s="1"/>
  <c r="AF405" i="11"/>
  <c r="AG405" i="11" s="1"/>
  <c r="AF406" i="11"/>
  <c r="AG406" i="11" s="1"/>
  <c r="AF407" i="11"/>
  <c r="AG407" i="11" s="1"/>
  <c r="AF408" i="11"/>
  <c r="AG408" i="11" s="1"/>
  <c r="AF409" i="11"/>
  <c r="AG409" i="11" s="1"/>
  <c r="AF410" i="11"/>
  <c r="AG410" i="11" s="1"/>
  <c r="AF411" i="11"/>
  <c r="AG411" i="11" s="1"/>
  <c r="AF412" i="11"/>
  <c r="AG412" i="11" s="1"/>
  <c r="AF413" i="11"/>
  <c r="AG413" i="11" s="1"/>
  <c r="AF414" i="11"/>
  <c r="AG414" i="11" s="1"/>
  <c r="AF415" i="11"/>
  <c r="AG415" i="11" s="1"/>
  <c r="AF416" i="11"/>
  <c r="AG416" i="11" s="1"/>
  <c r="AF417" i="11"/>
  <c r="AG417" i="11" s="1"/>
  <c r="AF418" i="11"/>
  <c r="AG418" i="11" s="1"/>
  <c r="AF419" i="11"/>
  <c r="AG419" i="11" s="1"/>
  <c r="AF420" i="11"/>
  <c r="AG420" i="11" s="1"/>
  <c r="AF421" i="11"/>
  <c r="AG421" i="11" s="1"/>
  <c r="AF422" i="11"/>
  <c r="AG422" i="11" s="1"/>
  <c r="AF423" i="11"/>
  <c r="AG423" i="11" s="1"/>
  <c r="AF424" i="11"/>
  <c r="AG424" i="11" s="1"/>
  <c r="AF425" i="11"/>
  <c r="AG425" i="11" s="1"/>
  <c r="AF426" i="11"/>
  <c r="AG426" i="11" s="1"/>
  <c r="AF427" i="11"/>
  <c r="AG427" i="11" s="1"/>
  <c r="AF428" i="11"/>
  <c r="AG428" i="11" s="1"/>
  <c r="AF429" i="11"/>
  <c r="AG429" i="11" s="1"/>
  <c r="AF430" i="11"/>
  <c r="AG430" i="11" s="1"/>
  <c r="AF431" i="11"/>
  <c r="AG431" i="11" s="1"/>
  <c r="AF432" i="11"/>
  <c r="AG432" i="11" s="1"/>
  <c r="AF433" i="11"/>
  <c r="AG433" i="11" s="1"/>
  <c r="AF434" i="11"/>
  <c r="AG434" i="11" s="1"/>
  <c r="AF435" i="11"/>
  <c r="AG435" i="11" s="1"/>
  <c r="AF436" i="11"/>
  <c r="AG436" i="11" s="1"/>
  <c r="AF437" i="11"/>
  <c r="AG437" i="11" s="1"/>
  <c r="AF438" i="11"/>
  <c r="AG438" i="11" s="1"/>
  <c r="AF439" i="11"/>
  <c r="AG439" i="11" s="1"/>
  <c r="AF440" i="11"/>
  <c r="AG440" i="11" s="1"/>
  <c r="AF441" i="11"/>
  <c r="AG441" i="11" s="1"/>
  <c r="AF442" i="11"/>
  <c r="AG442" i="11" s="1"/>
  <c r="AF443" i="11"/>
  <c r="AG443" i="11" s="1"/>
  <c r="AF444" i="11"/>
  <c r="AG444" i="11" s="1"/>
  <c r="AF445" i="11"/>
  <c r="AG445" i="11" s="1"/>
  <c r="AF446" i="11"/>
  <c r="AG446" i="11" s="1"/>
  <c r="AF447" i="11"/>
  <c r="AG447" i="11" s="1"/>
  <c r="AF448" i="11"/>
  <c r="AG448" i="11" s="1"/>
  <c r="AF449" i="11"/>
  <c r="AG449" i="11" s="1"/>
  <c r="AF450" i="11"/>
  <c r="AG450" i="11" s="1"/>
  <c r="AF451" i="11"/>
  <c r="AG451" i="11" s="1"/>
  <c r="AF452" i="11"/>
  <c r="AG452" i="11" s="1"/>
  <c r="AF453" i="11"/>
  <c r="AG453" i="11" s="1"/>
  <c r="AF454" i="11"/>
  <c r="AG454" i="11" s="1"/>
  <c r="AF455" i="11"/>
  <c r="AG455" i="11" s="1"/>
  <c r="AF456" i="11"/>
  <c r="AG456" i="11" s="1"/>
  <c r="AF457" i="11"/>
  <c r="AG457" i="11" s="1"/>
  <c r="AF458" i="11"/>
  <c r="AG458" i="11" s="1"/>
  <c r="AF459" i="11"/>
  <c r="AG459" i="11" s="1"/>
  <c r="AF460" i="11"/>
  <c r="AG460" i="11" s="1"/>
  <c r="AF461" i="11"/>
  <c r="AG461" i="11" s="1"/>
  <c r="AF462" i="11"/>
  <c r="AG462" i="11" s="1"/>
  <c r="AF463" i="11"/>
  <c r="AG463" i="11" s="1"/>
  <c r="AF464" i="11"/>
  <c r="AG464" i="11" s="1"/>
  <c r="AF465" i="11"/>
  <c r="AG465" i="11" s="1"/>
  <c r="AF466" i="11"/>
  <c r="AG466" i="11" s="1"/>
  <c r="AF467" i="11"/>
  <c r="AG467" i="11" s="1"/>
  <c r="AF468" i="11"/>
  <c r="AG468" i="11" s="1"/>
  <c r="AF469" i="11"/>
  <c r="AG469" i="11" s="1"/>
  <c r="AF470" i="11"/>
  <c r="AG470" i="11" s="1"/>
  <c r="AF471" i="11"/>
  <c r="AG471" i="11" s="1"/>
  <c r="AF472" i="11"/>
  <c r="AG472" i="11" s="1"/>
  <c r="AF473" i="11"/>
  <c r="AG473" i="11" s="1"/>
  <c r="AF474" i="11"/>
  <c r="AG474" i="11" s="1"/>
  <c r="AF475" i="11"/>
  <c r="AG475" i="11" s="1"/>
  <c r="AF476" i="11"/>
  <c r="AG476" i="11" s="1"/>
  <c r="AF477" i="11"/>
  <c r="AG477" i="11" s="1"/>
  <c r="AF478" i="11"/>
  <c r="AG478" i="11" s="1"/>
  <c r="AF479" i="11"/>
  <c r="AG479" i="11" s="1"/>
  <c r="AF480" i="11"/>
  <c r="AG480" i="11" s="1"/>
  <c r="AF481" i="11"/>
  <c r="AG481" i="11" s="1"/>
  <c r="AF482" i="11"/>
  <c r="AG482" i="11" s="1"/>
  <c r="AF483" i="11"/>
  <c r="AG483" i="11" s="1"/>
  <c r="AF484" i="11"/>
  <c r="AG484" i="11" s="1"/>
  <c r="AF485" i="11"/>
  <c r="AG485" i="11" s="1"/>
  <c r="AF486" i="11"/>
  <c r="AG486" i="11" s="1"/>
  <c r="AF487" i="11"/>
  <c r="AG487" i="11" s="1"/>
  <c r="AF488" i="11"/>
  <c r="AG488" i="11" s="1"/>
  <c r="AF489" i="11"/>
  <c r="AG489" i="11" s="1"/>
  <c r="AF490" i="11"/>
  <c r="AG490" i="11" s="1"/>
  <c r="AF491" i="11"/>
  <c r="AG491" i="11" s="1"/>
  <c r="AF492" i="11"/>
  <c r="AG492" i="11" s="1"/>
  <c r="AF493" i="11"/>
  <c r="AG493" i="11" s="1"/>
  <c r="AF494" i="11"/>
  <c r="AG494" i="11" s="1"/>
  <c r="AF495" i="11"/>
  <c r="AG495" i="11" s="1"/>
  <c r="AF496" i="11"/>
  <c r="AG496" i="11" s="1"/>
  <c r="AF497" i="11"/>
  <c r="AG497" i="11" s="1"/>
  <c r="AF498" i="11"/>
  <c r="AG498" i="11" s="1"/>
  <c r="AF499" i="11"/>
  <c r="AG499" i="11" s="1"/>
  <c r="AF500" i="11"/>
  <c r="AG500" i="11" s="1"/>
  <c r="AF501" i="11"/>
  <c r="AG501" i="11" s="1"/>
  <c r="AF502" i="11"/>
  <c r="AG502" i="11" s="1"/>
  <c r="AF503" i="11"/>
  <c r="AG503" i="11" s="1"/>
  <c r="AF504" i="11"/>
  <c r="AG504" i="11" s="1"/>
  <c r="AF505" i="11"/>
  <c r="AG505" i="11" s="1"/>
  <c r="AF506" i="11"/>
  <c r="AG506" i="11" s="1"/>
  <c r="AF507" i="11"/>
  <c r="AG507" i="11" s="1"/>
  <c r="AF508" i="11"/>
  <c r="AG508" i="11" s="1"/>
  <c r="AF509" i="11"/>
  <c r="AG509" i="11" s="1"/>
  <c r="AF510" i="11"/>
  <c r="AG510" i="11" s="1"/>
  <c r="AF511" i="11"/>
  <c r="AG511" i="11" s="1"/>
  <c r="AF512" i="11"/>
  <c r="AG512" i="11" s="1"/>
  <c r="AF513" i="11"/>
  <c r="AG513" i="11" s="1"/>
  <c r="AF514" i="11"/>
  <c r="AG514" i="11" s="1"/>
  <c r="AF515" i="11"/>
  <c r="AG515" i="11" s="1"/>
  <c r="AF516" i="11"/>
  <c r="AG516" i="11" s="1"/>
  <c r="AF517" i="11"/>
  <c r="AG517" i="11" s="1"/>
  <c r="AF518" i="11"/>
  <c r="AG518" i="11" s="1"/>
  <c r="AF519" i="11"/>
  <c r="AG519" i="11" s="1"/>
  <c r="AF520" i="11"/>
  <c r="AG520" i="11" s="1"/>
  <c r="AF521" i="11"/>
  <c r="AG521" i="11" s="1"/>
  <c r="AF522" i="11"/>
  <c r="AG522" i="11" s="1"/>
  <c r="AF523" i="11"/>
  <c r="AG523" i="11" s="1"/>
  <c r="AF524" i="11"/>
  <c r="AG524" i="11" s="1"/>
  <c r="AF525" i="11"/>
  <c r="AG525" i="11" s="1"/>
  <c r="AF526" i="11"/>
  <c r="AG526" i="11" s="1"/>
  <c r="AF527" i="11"/>
  <c r="AG527" i="11" s="1"/>
  <c r="AF528" i="11"/>
  <c r="AG528" i="11" s="1"/>
  <c r="AF529" i="11"/>
  <c r="AG529" i="11" s="1"/>
  <c r="AF530" i="11"/>
  <c r="AG530" i="11" s="1"/>
  <c r="AF531" i="11"/>
  <c r="AG531" i="11" s="1"/>
  <c r="AF532" i="11"/>
  <c r="AG532" i="11" s="1"/>
  <c r="AF533" i="11"/>
  <c r="AG533" i="11" s="1"/>
  <c r="AF534" i="11"/>
  <c r="AG534" i="11" s="1"/>
  <c r="AF535" i="11"/>
  <c r="AG535" i="11" s="1"/>
  <c r="AF536" i="11"/>
  <c r="AG536" i="11" s="1"/>
  <c r="AF537" i="11"/>
  <c r="AG537" i="11" s="1"/>
  <c r="AF538" i="11"/>
  <c r="AG538" i="11" s="1"/>
  <c r="AF539" i="11"/>
  <c r="AG539" i="11" s="1"/>
  <c r="AF540" i="11"/>
  <c r="AG540" i="11" s="1"/>
  <c r="AF541" i="11"/>
  <c r="AG541" i="11" s="1"/>
  <c r="AF542" i="11"/>
  <c r="AG542" i="11" s="1"/>
  <c r="AF543" i="11"/>
  <c r="AG543" i="11" s="1"/>
  <c r="AF544" i="11"/>
  <c r="AG544" i="11" s="1"/>
  <c r="AF545" i="11"/>
  <c r="AG545" i="11" s="1"/>
  <c r="AF546" i="11"/>
  <c r="AG546" i="11" s="1"/>
  <c r="AF547" i="11"/>
  <c r="AG547" i="11" s="1"/>
  <c r="AF548" i="11"/>
  <c r="AG548" i="11" s="1"/>
  <c r="AF549" i="11"/>
  <c r="AG549" i="11" s="1"/>
  <c r="AF550" i="11"/>
  <c r="AG550" i="11" s="1"/>
  <c r="AF551" i="11"/>
  <c r="AG551" i="11" s="1"/>
  <c r="AF552" i="11"/>
  <c r="AG552" i="11" s="1"/>
  <c r="AF553" i="11"/>
  <c r="AG553" i="11" s="1"/>
  <c r="AF554" i="11"/>
  <c r="AG554" i="11" s="1"/>
  <c r="AF555" i="11"/>
  <c r="AG555" i="11" s="1"/>
  <c r="AF556" i="11"/>
  <c r="AG556" i="11" s="1"/>
  <c r="AF557" i="11"/>
  <c r="AG557" i="11" s="1"/>
  <c r="AF558" i="11"/>
  <c r="AG558" i="11" s="1"/>
  <c r="AF559" i="11"/>
  <c r="AG559" i="11" s="1"/>
  <c r="AF560" i="11"/>
  <c r="AG560" i="11" s="1"/>
  <c r="AF561" i="11"/>
  <c r="AG561" i="11" s="1"/>
  <c r="AF562" i="11"/>
  <c r="AG562" i="11" s="1"/>
  <c r="AF563" i="11"/>
  <c r="AG563" i="11" s="1"/>
  <c r="AF564" i="11"/>
  <c r="AG564" i="11" s="1"/>
  <c r="AF565" i="11"/>
  <c r="AG565" i="11" s="1"/>
  <c r="AF566" i="11"/>
  <c r="AG566" i="11" s="1"/>
  <c r="AF567" i="11"/>
  <c r="AG567" i="11" s="1"/>
  <c r="AF568" i="11"/>
  <c r="AG568" i="11" s="1"/>
  <c r="AF569" i="11"/>
  <c r="AG569" i="11" s="1"/>
  <c r="AF570" i="11"/>
  <c r="AG570" i="11" s="1"/>
  <c r="AF571" i="11"/>
  <c r="AG571" i="11" s="1"/>
  <c r="AF572" i="11"/>
  <c r="AG572" i="11" s="1"/>
  <c r="AF573" i="11"/>
  <c r="AG573" i="11" s="1"/>
  <c r="AF574" i="11"/>
  <c r="AG574" i="11" s="1"/>
  <c r="AF575" i="11"/>
  <c r="AG575" i="11" s="1"/>
  <c r="AF576" i="11"/>
  <c r="AG576" i="11" s="1"/>
  <c r="AF577" i="11"/>
  <c r="AG577" i="11" s="1"/>
  <c r="AF578" i="11"/>
  <c r="AG578" i="11" s="1"/>
  <c r="AF579" i="11"/>
  <c r="AG579" i="11" s="1"/>
  <c r="AF580" i="11"/>
  <c r="AG580" i="11" s="1"/>
  <c r="AF581" i="11"/>
  <c r="AG581" i="11" s="1"/>
  <c r="AF582" i="11"/>
  <c r="AG582" i="11" s="1"/>
  <c r="AF583" i="11"/>
  <c r="AG583" i="11" s="1"/>
  <c r="AF584" i="11"/>
  <c r="AG584" i="11" s="1"/>
  <c r="AF585" i="11"/>
  <c r="AG585" i="11" s="1"/>
  <c r="AF586" i="11"/>
  <c r="AG586" i="11" s="1"/>
  <c r="AF587" i="11"/>
  <c r="AG587" i="11" s="1"/>
  <c r="AF588" i="11"/>
  <c r="AG588" i="11" s="1"/>
  <c r="AF589" i="11"/>
  <c r="AG589" i="11" s="1"/>
  <c r="AF590" i="11"/>
  <c r="AG590" i="11" s="1"/>
  <c r="AF591" i="11"/>
  <c r="AG591" i="11" s="1"/>
  <c r="AF592" i="11"/>
  <c r="AG592" i="11" s="1"/>
  <c r="AF593" i="11"/>
  <c r="AG593" i="11" s="1"/>
  <c r="AF594" i="11"/>
  <c r="AG594" i="11" s="1"/>
  <c r="AF595" i="11"/>
  <c r="AG595" i="11" s="1"/>
  <c r="AF596" i="11"/>
  <c r="AG596" i="11" s="1"/>
  <c r="AF597" i="11"/>
  <c r="AG597" i="11" s="1"/>
  <c r="AF598" i="11"/>
  <c r="AG598" i="11" s="1"/>
  <c r="AF599" i="11"/>
  <c r="AG599" i="11" s="1"/>
  <c r="AF600" i="11"/>
  <c r="AG600" i="11" s="1"/>
  <c r="AF601" i="11"/>
  <c r="AG601" i="11" s="1"/>
  <c r="AF602" i="11"/>
  <c r="AG602" i="11" s="1"/>
  <c r="AF603" i="11"/>
  <c r="AG603" i="11" s="1"/>
  <c r="AF604" i="11"/>
  <c r="AG604" i="11" s="1"/>
  <c r="AF605" i="11"/>
  <c r="AG605" i="11" s="1"/>
  <c r="AF606" i="11"/>
  <c r="AG606" i="11" s="1"/>
  <c r="AF607" i="11"/>
  <c r="AG607" i="11" s="1"/>
  <c r="AF608" i="11"/>
  <c r="AG608" i="11" s="1"/>
  <c r="AF609" i="11"/>
  <c r="AG609" i="11" s="1"/>
  <c r="AF610" i="11"/>
  <c r="AG610" i="11" s="1"/>
  <c r="AF611" i="11"/>
  <c r="AG611" i="11" s="1"/>
  <c r="AF612" i="11"/>
  <c r="AG612" i="11" s="1"/>
  <c r="AF613" i="11"/>
  <c r="AG613" i="11" s="1"/>
  <c r="AF614" i="11"/>
  <c r="AG614" i="11" s="1"/>
  <c r="AF615" i="11"/>
  <c r="AG615" i="11" s="1"/>
  <c r="AF616" i="11"/>
  <c r="AG616" i="11" s="1"/>
  <c r="AF617" i="11"/>
  <c r="AG617" i="11" s="1"/>
  <c r="AF618" i="11"/>
  <c r="AG618" i="11" s="1"/>
  <c r="AF619" i="11"/>
  <c r="AG619" i="11" s="1"/>
  <c r="AF620" i="11"/>
  <c r="AG620" i="11" s="1"/>
  <c r="AF621" i="11"/>
  <c r="AG621" i="11" s="1"/>
  <c r="AF622" i="11"/>
  <c r="AG622" i="11" s="1"/>
  <c r="AF623" i="11"/>
  <c r="AG623" i="11" s="1"/>
  <c r="AF624" i="11"/>
  <c r="AG624" i="11" s="1"/>
  <c r="AF625" i="11"/>
  <c r="AG625" i="11" s="1"/>
  <c r="AF626" i="11"/>
  <c r="AG626" i="11" s="1"/>
  <c r="AF627" i="11"/>
  <c r="AG627" i="11" s="1"/>
  <c r="AF628" i="11"/>
  <c r="AG628" i="11" s="1"/>
  <c r="AF629" i="11"/>
  <c r="AG629" i="11" s="1"/>
  <c r="AF630" i="11"/>
  <c r="AG630" i="11" s="1"/>
  <c r="AF631" i="11"/>
  <c r="AG631" i="11" s="1"/>
  <c r="AF632" i="11"/>
  <c r="AG632" i="11" s="1"/>
  <c r="AF633" i="11"/>
  <c r="AG633" i="11" s="1"/>
  <c r="AF634" i="11"/>
  <c r="AG634" i="11" s="1"/>
  <c r="AF635" i="11"/>
  <c r="AG635" i="11" s="1"/>
  <c r="AF636" i="11"/>
  <c r="AG636" i="11" s="1"/>
  <c r="AF637" i="11"/>
  <c r="AG637" i="11" s="1"/>
  <c r="AF638" i="11"/>
  <c r="AG638" i="11" s="1"/>
  <c r="AF639" i="11"/>
  <c r="AG639" i="11" s="1"/>
  <c r="AF640" i="11"/>
  <c r="AG640" i="11" s="1"/>
  <c r="AF641" i="11"/>
  <c r="AG641" i="11" s="1"/>
  <c r="AF642" i="11"/>
  <c r="AG642" i="11" s="1"/>
  <c r="AF643" i="11"/>
  <c r="AG643" i="11" s="1"/>
  <c r="AF644" i="11"/>
  <c r="AG644" i="11" s="1"/>
  <c r="AF645" i="11"/>
  <c r="AG645" i="11" s="1"/>
  <c r="AF646" i="11"/>
  <c r="AG646" i="11" s="1"/>
  <c r="AF647" i="11"/>
  <c r="AG647" i="11" s="1"/>
  <c r="AF648" i="11"/>
  <c r="AG648" i="11" s="1"/>
  <c r="AF649" i="11"/>
  <c r="AG649" i="11" s="1"/>
  <c r="AF650" i="11"/>
  <c r="AG650" i="11" s="1"/>
  <c r="AF651" i="11"/>
  <c r="AG651" i="11" s="1"/>
  <c r="AF652" i="11"/>
  <c r="AG652" i="11" s="1"/>
  <c r="AF653" i="11"/>
  <c r="AG653" i="11" s="1"/>
  <c r="AF654" i="11"/>
  <c r="AG654" i="11" s="1"/>
  <c r="AF655" i="11"/>
  <c r="AG655" i="11" s="1"/>
  <c r="AF656" i="11"/>
  <c r="AG656" i="11" s="1"/>
  <c r="AF657" i="11"/>
  <c r="AG657" i="11" s="1"/>
  <c r="AF658" i="11"/>
  <c r="AG658" i="11" s="1"/>
  <c r="AF659" i="11"/>
  <c r="AG659" i="11" s="1"/>
  <c r="AF660" i="11"/>
  <c r="AG660" i="11" s="1"/>
  <c r="AF661" i="11"/>
  <c r="AG661" i="11" s="1"/>
  <c r="AF662" i="11"/>
  <c r="AG662" i="11" s="1"/>
  <c r="AF663" i="11"/>
  <c r="AG663" i="11" s="1"/>
  <c r="AF664" i="11"/>
  <c r="AG664" i="11" s="1"/>
  <c r="AF665" i="11"/>
  <c r="AG665" i="11" s="1"/>
  <c r="AF666" i="11"/>
  <c r="AG666" i="11" s="1"/>
  <c r="AF667" i="11"/>
  <c r="AG667" i="11" s="1"/>
  <c r="AF668" i="11"/>
  <c r="AG668" i="11" s="1"/>
  <c r="AF669" i="11"/>
  <c r="AG669" i="11" s="1"/>
  <c r="AF670" i="11"/>
  <c r="AG670" i="11" s="1"/>
  <c r="AF671" i="11"/>
  <c r="AG671" i="11" s="1"/>
  <c r="AF672" i="11"/>
  <c r="AG672" i="11" s="1"/>
  <c r="AF673" i="11"/>
  <c r="AG673" i="11" s="1"/>
  <c r="AF674" i="11"/>
  <c r="AG674" i="11" s="1"/>
  <c r="AF675" i="11"/>
  <c r="AG675" i="11" s="1"/>
  <c r="AF676" i="11"/>
  <c r="AG676" i="11" s="1"/>
  <c r="AF677" i="11"/>
  <c r="AG677" i="11" s="1"/>
  <c r="AF678" i="11"/>
  <c r="AG678" i="11" s="1"/>
  <c r="AF679" i="11"/>
  <c r="AG679" i="11" s="1"/>
  <c r="AF680" i="11"/>
  <c r="AG680" i="11" s="1"/>
  <c r="AF681" i="11"/>
  <c r="AG681" i="11" s="1"/>
  <c r="AF682" i="11"/>
  <c r="AG682" i="11" s="1"/>
  <c r="AF683" i="11"/>
  <c r="AG683" i="11" s="1"/>
  <c r="AF684" i="11"/>
  <c r="AG684" i="11" s="1"/>
  <c r="AF685" i="11"/>
  <c r="AG685" i="11" s="1"/>
  <c r="AF686" i="11"/>
  <c r="AG686" i="11" s="1"/>
  <c r="AF687" i="11"/>
  <c r="AG687" i="11" s="1"/>
  <c r="AF688" i="11"/>
  <c r="AG688" i="11" s="1"/>
  <c r="AF689" i="11"/>
  <c r="AG689" i="11" s="1"/>
  <c r="AF690" i="11"/>
  <c r="AG690" i="11" s="1"/>
  <c r="AF691" i="11"/>
  <c r="AG691" i="11" s="1"/>
  <c r="AF692" i="11"/>
  <c r="AG692" i="11" s="1"/>
  <c r="AF693" i="11"/>
  <c r="AG693" i="11" s="1"/>
  <c r="AF694" i="11"/>
  <c r="AG694" i="11" s="1"/>
  <c r="AF695" i="11"/>
  <c r="AG695" i="11" s="1"/>
  <c r="AF696" i="11"/>
  <c r="AG696" i="11" s="1"/>
  <c r="AF697" i="11"/>
  <c r="AG697" i="11" s="1"/>
  <c r="AF698" i="11"/>
  <c r="AG698" i="11" s="1"/>
  <c r="AF699" i="11"/>
  <c r="AG699" i="11" s="1"/>
  <c r="AF700" i="11"/>
  <c r="AG700" i="11" s="1"/>
  <c r="AF701" i="11"/>
  <c r="AG701" i="11" s="1"/>
  <c r="AF702" i="11"/>
  <c r="AG702" i="11" s="1"/>
  <c r="AF703" i="11"/>
  <c r="AG703" i="11" s="1"/>
  <c r="AF704" i="11"/>
  <c r="AG704" i="11" s="1"/>
  <c r="AF705" i="11"/>
  <c r="AG705" i="11" s="1"/>
  <c r="AF706" i="11"/>
  <c r="AG706" i="11" s="1"/>
  <c r="AF707" i="11"/>
  <c r="AG707" i="11" s="1"/>
  <c r="AF708" i="11"/>
  <c r="AG708" i="11" s="1"/>
  <c r="AF709" i="11"/>
  <c r="AG709" i="11" s="1"/>
  <c r="AF710" i="11"/>
  <c r="AG710" i="11" s="1"/>
  <c r="AF711" i="11"/>
  <c r="AG711" i="11" s="1"/>
  <c r="AF712" i="11"/>
  <c r="AG712" i="11" s="1"/>
  <c r="AF713" i="11"/>
  <c r="AG713" i="11" s="1"/>
  <c r="AF714" i="11"/>
  <c r="AG714" i="11" s="1"/>
  <c r="AF715" i="11"/>
  <c r="AG715" i="11" s="1"/>
  <c r="AF716" i="11"/>
  <c r="AG716" i="11" s="1"/>
  <c r="AF717" i="11"/>
  <c r="AG717" i="11" s="1"/>
  <c r="AF718" i="11"/>
  <c r="AG718" i="11" s="1"/>
  <c r="AF719" i="11"/>
  <c r="AG719" i="11" s="1"/>
  <c r="AF720" i="11"/>
  <c r="AG720" i="11" s="1"/>
  <c r="AF721" i="11"/>
  <c r="AG721" i="11" s="1"/>
  <c r="AF722" i="11"/>
  <c r="AG722" i="11" s="1"/>
  <c r="AF723" i="11"/>
  <c r="AG723" i="11" s="1"/>
  <c r="AF724" i="11"/>
  <c r="AG724" i="11" s="1"/>
  <c r="AF725" i="11"/>
  <c r="AG725" i="11" s="1"/>
  <c r="AF726" i="11"/>
  <c r="AG726" i="11" s="1"/>
  <c r="AF727" i="11"/>
  <c r="AG727" i="11" s="1"/>
  <c r="AF728" i="11"/>
  <c r="AG728" i="11" s="1"/>
  <c r="AF729" i="11"/>
  <c r="AG729" i="11" s="1"/>
  <c r="AF730" i="11"/>
  <c r="AG730" i="11" s="1"/>
  <c r="AF731" i="11"/>
  <c r="AG731" i="11" s="1"/>
  <c r="AF732" i="11"/>
  <c r="AG732" i="11" s="1"/>
  <c r="AF733" i="11"/>
  <c r="AG733" i="11" s="1"/>
  <c r="AF734" i="11"/>
  <c r="AG734" i="11" s="1"/>
  <c r="AF735" i="11"/>
  <c r="AG735" i="11" s="1"/>
  <c r="AF736" i="11"/>
  <c r="AG736" i="11" s="1"/>
  <c r="AF737" i="11"/>
  <c r="AG737" i="11" s="1"/>
  <c r="AF738" i="11"/>
  <c r="AG738" i="11" s="1"/>
  <c r="AF739" i="11"/>
  <c r="AG739" i="11" s="1"/>
  <c r="AF740" i="11"/>
  <c r="AG740" i="11" s="1"/>
  <c r="AF741" i="11"/>
  <c r="AG741" i="11" s="1"/>
  <c r="AF742" i="11"/>
  <c r="AG742" i="11" s="1"/>
  <c r="AF743" i="11"/>
  <c r="AG743" i="11" s="1"/>
  <c r="AF744" i="11"/>
  <c r="AG744" i="11" s="1"/>
  <c r="AF745" i="11"/>
  <c r="AG745" i="11" s="1"/>
  <c r="AF746" i="11"/>
  <c r="AG746" i="11" s="1"/>
  <c r="AF747" i="11"/>
  <c r="AG747" i="11" s="1"/>
  <c r="AF748" i="11"/>
  <c r="AG748" i="11" s="1"/>
  <c r="AF749" i="11"/>
  <c r="AG749" i="11" s="1"/>
  <c r="AF750" i="11"/>
  <c r="AG750" i="11" s="1"/>
  <c r="AF751" i="11"/>
  <c r="AG751" i="11" s="1"/>
  <c r="AF752" i="11"/>
  <c r="AG752" i="11" s="1"/>
  <c r="AF753" i="11"/>
  <c r="AG753" i="11" s="1"/>
  <c r="AF754" i="11"/>
  <c r="AG754" i="11" s="1"/>
  <c r="AF755" i="11"/>
  <c r="AG755" i="11" s="1"/>
  <c r="AF756" i="11"/>
  <c r="AG756" i="11" s="1"/>
  <c r="AF757" i="11"/>
  <c r="AG757" i="11" s="1"/>
  <c r="AF758" i="11"/>
  <c r="AG758" i="11" s="1"/>
  <c r="AF759" i="11"/>
  <c r="AG759" i="11" s="1"/>
  <c r="AF760" i="11"/>
  <c r="AG760" i="11" s="1"/>
  <c r="AF761" i="11"/>
  <c r="AG761" i="11" s="1"/>
  <c r="AF762" i="11"/>
  <c r="AG762" i="11" s="1"/>
  <c r="AF763" i="11"/>
  <c r="AG763" i="11" s="1"/>
  <c r="AF764" i="11"/>
  <c r="AG764" i="11" s="1"/>
  <c r="AF765" i="11"/>
  <c r="AG765" i="11" s="1"/>
  <c r="AF766" i="11"/>
  <c r="AG766" i="11" s="1"/>
  <c r="AF767" i="11"/>
  <c r="AG767" i="11" s="1"/>
  <c r="AF768" i="11"/>
  <c r="AG768" i="11" s="1"/>
  <c r="AF769" i="11"/>
  <c r="AG769" i="11" s="1"/>
  <c r="AF770" i="11"/>
  <c r="AG770" i="11" s="1"/>
  <c r="AF771" i="11"/>
  <c r="AG771" i="11" s="1"/>
  <c r="AF772" i="11"/>
  <c r="AG772" i="11" s="1"/>
  <c r="AF773" i="11"/>
  <c r="AG773" i="11" s="1"/>
  <c r="AF774" i="11"/>
  <c r="AG774" i="11" s="1"/>
  <c r="AF775" i="11"/>
  <c r="AG775" i="11" s="1"/>
  <c r="AF776" i="11"/>
  <c r="AG776" i="11" s="1"/>
  <c r="AF777" i="11"/>
  <c r="AG777" i="11" s="1"/>
  <c r="AF778" i="11"/>
  <c r="AG778" i="11" s="1"/>
  <c r="AF779" i="11"/>
  <c r="AG779" i="11" s="1"/>
  <c r="AF780" i="11"/>
  <c r="AG780" i="11" s="1"/>
  <c r="AF781" i="11"/>
  <c r="AG781" i="11" s="1"/>
  <c r="AF782" i="11"/>
  <c r="AG782" i="11" s="1"/>
  <c r="AF783" i="11"/>
  <c r="AG783" i="11" s="1"/>
  <c r="AF784" i="11"/>
  <c r="AG784" i="11" s="1"/>
  <c r="AF785" i="11"/>
  <c r="AG785" i="11" s="1"/>
  <c r="AF786" i="11"/>
  <c r="AG786" i="11" s="1"/>
  <c r="AF787" i="11"/>
  <c r="AG787" i="11" s="1"/>
  <c r="AF788" i="11"/>
  <c r="AG788" i="11" s="1"/>
  <c r="AF789" i="11"/>
  <c r="AG789" i="11" s="1"/>
  <c r="AF790" i="11"/>
  <c r="AG790" i="11" s="1"/>
  <c r="AF791" i="11"/>
  <c r="AG791" i="11" s="1"/>
  <c r="AF792" i="11"/>
  <c r="AG792" i="11" s="1"/>
  <c r="AF793" i="11"/>
  <c r="AG793" i="11" s="1"/>
  <c r="AF794" i="11"/>
  <c r="AG794" i="11" s="1"/>
  <c r="AF795" i="11"/>
  <c r="AG795" i="11" s="1"/>
  <c r="AF796" i="11"/>
  <c r="AG796" i="11" s="1"/>
  <c r="AF797" i="11"/>
  <c r="AG797" i="11" s="1"/>
  <c r="AF798" i="11"/>
  <c r="AG798" i="11" s="1"/>
  <c r="AF799" i="11"/>
  <c r="AG799" i="11" s="1"/>
  <c r="AF800" i="11"/>
  <c r="AG800" i="11" s="1"/>
  <c r="AF801" i="11"/>
  <c r="AG801" i="11" s="1"/>
  <c r="AF802" i="11"/>
  <c r="AG802" i="11" s="1"/>
  <c r="AF803" i="11"/>
  <c r="AG803" i="11" s="1"/>
  <c r="AF804" i="11"/>
  <c r="AG804" i="11" s="1"/>
  <c r="AF805" i="11"/>
  <c r="AG805" i="11" s="1"/>
  <c r="AF806" i="11"/>
  <c r="AG806" i="11" s="1"/>
  <c r="AF807" i="11"/>
  <c r="AG807" i="11" s="1"/>
  <c r="AF808" i="11"/>
  <c r="AG808" i="11" s="1"/>
  <c r="AF809" i="11"/>
  <c r="AG809" i="11" s="1"/>
  <c r="AF810" i="11"/>
  <c r="AG810" i="11" s="1"/>
  <c r="AF811" i="11"/>
  <c r="AG811" i="11" s="1"/>
  <c r="AF812" i="11"/>
  <c r="AG812" i="11" s="1"/>
  <c r="AF813" i="11"/>
  <c r="AG813" i="11" s="1"/>
  <c r="AF814" i="11"/>
  <c r="AG814" i="11" s="1"/>
  <c r="AF815" i="11"/>
  <c r="AG815" i="11" s="1"/>
  <c r="AF816" i="11"/>
  <c r="AG816" i="11" s="1"/>
  <c r="AF817" i="11"/>
  <c r="AG817" i="11" s="1"/>
  <c r="AF818" i="11"/>
  <c r="AG818" i="11" s="1"/>
  <c r="AF819" i="11"/>
  <c r="AG819" i="11" s="1"/>
  <c r="AF820" i="11"/>
  <c r="AG820" i="11" s="1"/>
  <c r="AF821" i="11"/>
  <c r="AG821" i="11" s="1"/>
  <c r="AF822" i="11"/>
  <c r="AG822" i="11" s="1"/>
  <c r="AF823" i="11"/>
  <c r="AG823" i="11" s="1"/>
  <c r="AF824" i="11"/>
  <c r="AG824" i="11" s="1"/>
  <c r="AF825" i="11"/>
  <c r="AG825" i="11" s="1"/>
  <c r="AF826" i="11"/>
  <c r="AG826" i="11" s="1"/>
  <c r="AF827" i="11"/>
  <c r="AG827" i="11" s="1"/>
  <c r="AF828" i="11"/>
  <c r="AG828" i="11" s="1"/>
  <c r="AF829" i="11"/>
  <c r="AG829" i="11" s="1"/>
  <c r="AF830" i="11"/>
  <c r="AG830" i="11" s="1"/>
  <c r="AF831" i="11"/>
  <c r="AG831" i="11" s="1"/>
  <c r="AF832" i="11"/>
  <c r="AG832" i="11" s="1"/>
  <c r="AF833" i="11"/>
  <c r="AG833" i="11" s="1"/>
  <c r="AF834" i="11"/>
  <c r="AG834" i="11" s="1"/>
  <c r="AF835" i="11"/>
  <c r="AG835" i="11" s="1"/>
  <c r="AF836" i="11"/>
  <c r="AG836" i="11" s="1"/>
  <c r="AF837" i="11"/>
  <c r="AG837" i="11" s="1"/>
  <c r="AF838" i="11"/>
  <c r="AG838" i="11" s="1"/>
  <c r="AF839" i="11"/>
  <c r="AG839" i="11" s="1"/>
  <c r="AF840" i="11"/>
  <c r="AG840" i="11" s="1"/>
  <c r="AF841" i="11"/>
  <c r="AG841" i="11" s="1"/>
  <c r="AF842" i="11"/>
  <c r="AG842" i="11" s="1"/>
  <c r="AF843" i="11"/>
  <c r="AG843" i="11" s="1"/>
  <c r="AF844" i="11"/>
  <c r="AG844" i="11" s="1"/>
  <c r="AF845" i="11"/>
  <c r="AG845" i="11" s="1"/>
  <c r="AF846" i="11"/>
  <c r="AG846" i="11" s="1"/>
  <c r="AF847" i="11"/>
  <c r="AG847" i="11" s="1"/>
  <c r="AF848" i="11"/>
  <c r="AG848" i="11" s="1"/>
  <c r="AF849" i="11"/>
  <c r="AG849" i="11" s="1"/>
  <c r="AF850" i="11"/>
  <c r="AG850" i="11" s="1"/>
  <c r="AF851" i="11"/>
  <c r="AG851" i="11" s="1"/>
  <c r="AF852" i="11"/>
  <c r="AG852" i="11" s="1"/>
  <c r="AF853" i="11"/>
  <c r="AG853" i="11" s="1"/>
  <c r="AF854" i="11"/>
  <c r="AG854" i="11" s="1"/>
  <c r="AF855" i="11"/>
  <c r="AG855" i="11" s="1"/>
  <c r="AF856" i="11"/>
  <c r="AG856" i="11" s="1"/>
  <c r="AF857" i="11"/>
  <c r="AG857" i="11" s="1"/>
  <c r="AF858" i="11"/>
  <c r="AG858" i="11" s="1"/>
  <c r="AF859" i="11"/>
  <c r="AG859" i="11" s="1"/>
  <c r="AF860" i="11"/>
  <c r="AG860" i="11" s="1"/>
  <c r="AF861" i="11"/>
  <c r="AG861" i="11" s="1"/>
  <c r="AF862" i="11"/>
  <c r="AG862" i="11" s="1"/>
  <c r="AF863" i="11"/>
  <c r="AG863" i="11" s="1"/>
  <c r="AF864" i="11"/>
  <c r="AG864" i="11" s="1"/>
  <c r="AF865" i="11"/>
  <c r="AG865" i="11" s="1"/>
  <c r="AF866" i="11"/>
  <c r="AG866" i="11" s="1"/>
  <c r="AF867" i="11"/>
  <c r="AG867" i="11" s="1"/>
  <c r="AF868" i="11"/>
  <c r="AG868" i="11" s="1"/>
  <c r="AF869" i="11"/>
  <c r="AG869" i="11" s="1"/>
  <c r="AF870" i="11"/>
  <c r="AG870" i="11" s="1"/>
  <c r="AF871" i="11"/>
  <c r="AG871" i="11" s="1"/>
  <c r="AF872" i="11"/>
  <c r="AG872" i="11" s="1"/>
  <c r="AF873" i="11"/>
  <c r="AG873" i="11" s="1"/>
  <c r="AF874" i="11"/>
  <c r="AG874" i="11" s="1"/>
  <c r="AF875" i="11"/>
  <c r="AG875" i="11" s="1"/>
  <c r="AF876" i="11"/>
  <c r="AG876" i="11" s="1"/>
  <c r="AF877" i="11"/>
  <c r="AG877" i="11" s="1"/>
  <c r="AF878" i="11"/>
  <c r="AG878" i="11" s="1"/>
  <c r="AF879" i="11"/>
  <c r="AG879" i="11" s="1"/>
  <c r="AF880" i="11"/>
  <c r="AG880" i="11" s="1"/>
  <c r="AF881" i="11"/>
  <c r="AG881" i="11" s="1"/>
  <c r="AF882" i="11"/>
  <c r="AG882" i="11" s="1"/>
  <c r="AF883" i="11"/>
  <c r="AG883" i="11" s="1"/>
  <c r="AF884" i="11"/>
  <c r="AG884" i="11" s="1"/>
  <c r="AF885" i="11"/>
  <c r="AG885" i="11" s="1"/>
  <c r="AF886" i="11"/>
  <c r="AG886" i="11" s="1"/>
  <c r="AF887" i="11"/>
  <c r="AG887" i="11" s="1"/>
  <c r="AF888" i="11"/>
  <c r="AG888" i="11" s="1"/>
  <c r="AF889" i="11"/>
  <c r="AG889" i="11" s="1"/>
  <c r="AF890" i="11"/>
  <c r="AG890" i="11" s="1"/>
  <c r="AF891" i="11"/>
  <c r="AG891" i="11" s="1"/>
  <c r="AF892" i="11"/>
  <c r="AG892" i="11" s="1"/>
  <c r="AF893" i="11"/>
  <c r="AG893" i="11" s="1"/>
  <c r="AF894" i="11"/>
  <c r="AG894" i="11" s="1"/>
  <c r="AF895" i="11"/>
  <c r="AG895" i="11" s="1"/>
  <c r="AF896" i="11"/>
  <c r="AG896" i="11" s="1"/>
  <c r="AF897" i="11"/>
  <c r="AG897" i="11" s="1"/>
  <c r="AF898" i="11"/>
  <c r="AG898" i="11" s="1"/>
  <c r="AF899" i="11"/>
  <c r="AG899" i="11" s="1"/>
  <c r="AF900" i="11"/>
  <c r="AG900" i="11" s="1"/>
  <c r="AF901" i="11"/>
  <c r="AG901" i="11" s="1"/>
  <c r="AF902" i="11"/>
  <c r="AG902" i="11" s="1"/>
  <c r="AF903" i="11"/>
  <c r="AG903" i="11" s="1"/>
  <c r="AF904" i="11"/>
  <c r="AG904" i="11" s="1"/>
  <c r="AF905" i="11"/>
  <c r="AG905" i="11" s="1"/>
  <c r="AF906" i="11"/>
  <c r="AG906" i="11" s="1"/>
  <c r="AF907" i="11"/>
  <c r="AG907" i="11" s="1"/>
  <c r="AF908" i="11"/>
  <c r="AG908" i="11" s="1"/>
  <c r="AF909" i="11"/>
  <c r="AG909" i="11" s="1"/>
  <c r="AF910" i="11"/>
  <c r="AG910" i="11" s="1"/>
  <c r="AF911" i="11"/>
  <c r="AG911" i="11" s="1"/>
  <c r="AF912" i="11"/>
  <c r="AG912" i="11" s="1"/>
  <c r="AF913" i="11"/>
  <c r="AG913" i="11" s="1"/>
  <c r="AF914" i="11"/>
  <c r="AG914" i="11" s="1"/>
  <c r="AF915" i="11"/>
  <c r="AG915" i="11" s="1"/>
  <c r="AF916" i="11"/>
  <c r="AG916" i="11" s="1"/>
  <c r="AF917" i="11"/>
  <c r="AG917" i="11" s="1"/>
  <c r="AF918" i="11"/>
  <c r="AG918" i="11" s="1"/>
  <c r="AF919" i="11"/>
  <c r="AG919" i="11" s="1"/>
  <c r="AF920" i="11"/>
  <c r="AG920" i="11" s="1"/>
  <c r="AF921" i="11"/>
  <c r="AG921" i="11" s="1"/>
  <c r="AF922" i="11"/>
  <c r="AG922" i="11" s="1"/>
  <c r="AF923" i="11"/>
  <c r="AG923" i="11" s="1"/>
  <c r="AF924" i="11"/>
  <c r="AG924" i="11" s="1"/>
  <c r="AF925" i="11"/>
  <c r="AG925" i="11" s="1"/>
  <c r="AF926" i="11"/>
  <c r="AG926" i="11" s="1"/>
  <c r="AF927" i="11"/>
  <c r="AG927" i="11" s="1"/>
  <c r="AF928" i="11"/>
  <c r="AG928" i="11" s="1"/>
  <c r="AF929" i="11"/>
  <c r="AG929" i="11" s="1"/>
  <c r="AF930" i="11"/>
  <c r="AG930" i="11" s="1"/>
  <c r="AF931" i="11"/>
  <c r="AG931" i="11" s="1"/>
  <c r="AF932" i="11"/>
  <c r="AG932" i="11" s="1"/>
  <c r="AF933" i="11"/>
  <c r="AG933" i="11" s="1"/>
  <c r="AF934" i="11"/>
  <c r="AG934" i="11" s="1"/>
  <c r="AF935" i="11"/>
  <c r="AG935" i="11" s="1"/>
  <c r="AF936" i="11"/>
  <c r="AG936" i="11" s="1"/>
  <c r="AF937" i="11"/>
  <c r="AG937" i="11" s="1"/>
  <c r="AF938" i="11"/>
  <c r="AG938" i="11" s="1"/>
  <c r="AF939" i="11"/>
  <c r="AG939" i="11" s="1"/>
  <c r="AF940" i="11"/>
  <c r="AG940" i="11" s="1"/>
  <c r="AF941" i="11"/>
  <c r="AG941" i="11" s="1"/>
  <c r="AF942" i="11"/>
  <c r="AG942" i="11" s="1"/>
  <c r="AF943" i="11"/>
  <c r="AG943" i="11" s="1"/>
  <c r="AF944" i="11"/>
  <c r="AG944" i="11" s="1"/>
  <c r="AF945" i="11"/>
  <c r="AG945" i="11" s="1"/>
  <c r="AF946" i="11"/>
  <c r="AG946" i="11" s="1"/>
  <c r="AF947" i="11"/>
  <c r="AG947" i="11" s="1"/>
  <c r="AF948" i="11"/>
  <c r="AG948" i="11" s="1"/>
  <c r="AF949" i="11"/>
  <c r="AG949" i="11" s="1"/>
  <c r="AF950" i="11"/>
  <c r="AG950" i="11" s="1"/>
  <c r="AF951" i="11"/>
  <c r="AG951" i="11" s="1"/>
  <c r="AF952" i="11"/>
  <c r="AG952" i="11" s="1"/>
  <c r="AF953" i="11"/>
  <c r="AG953" i="11" s="1"/>
  <c r="AF954" i="11"/>
  <c r="AG954" i="11" s="1"/>
  <c r="AF955" i="11"/>
  <c r="AG955" i="11" s="1"/>
  <c r="AF956" i="11"/>
  <c r="AG956" i="11" s="1"/>
  <c r="AF957" i="11"/>
  <c r="AG957" i="11" s="1"/>
  <c r="AF958" i="11"/>
  <c r="AG958" i="11" s="1"/>
  <c r="AF959" i="11"/>
  <c r="AG959" i="11" s="1"/>
  <c r="AF960" i="11"/>
  <c r="AG960" i="11" s="1"/>
  <c r="AF961" i="11"/>
  <c r="AG961" i="11" s="1"/>
  <c r="AF962" i="11"/>
  <c r="AG962" i="11" s="1"/>
  <c r="AF963" i="11"/>
  <c r="AG963" i="11" s="1"/>
  <c r="AF964" i="11"/>
  <c r="AG964" i="11" s="1"/>
  <c r="AF965" i="11"/>
  <c r="AG965" i="11" s="1"/>
  <c r="AF966" i="11"/>
  <c r="AG966" i="11" s="1"/>
  <c r="AF967" i="11"/>
  <c r="AG967" i="11" s="1"/>
  <c r="AF968" i="11"/>
  <c r="AG968" i="11" s="1"/>
  <c r="AF969" i="11"/>
  <c r="AG969" i="11" s="1"/>
  <c r="AF970" i="11"/>
  <c r="AG970" i="11" s="1"/>
  <c r="AF971" i="11"/>
  <c r="AG971" i="11" s="1"/>
  <c r="AF972" i="11"/>
  <c r="AG972" i="11" s="1"/>
  <c r="AF973" i="11"/>
  <c r="AG973" i="11" s="1"/>
  <c r="AF974" i="11"/>
  <c r="AG974" i="11" s="1"/>
  <c r="AF975" i="11"/>
  <c r="AG975" i="11" s="1"/>
  <c r="AF976" i="11"/>
  <c r="AG976" i="11" s="1"/>
  <c r="AF977" i="11"/>
  <c r="AG977" i="11" s="1"/>
  <c r="AF978" i="11"/>
  <c r="AG978" i="11" s="1"/>
  <c r="AF979" i="11"/>
  <c r="AG979" i="11" s="1"/>
  <c r="AF980" i="11"/>
  <c r="AG980" i="11" s="1"/>
  <c r="AF981" i="11"/>
  <c r="AG981" i="11" s="1"/>
  <c r="AF982" i="11"/>
  <c r="AG982" i="11" s="1"/>
  <c r="AF983" i="11"/>
  <c r="AG983" i="11" s="1"/>
  <c r="AF984" i="11"/>
  <c r="AG984" i="11" s="1"/>
  <c r="AF985" i="11"/>
  <c r="AG985" i="11" s="1"/>
  <c r="AF986" i="11"/>
  <c r="AG986" i="11" s="1"/>
  <c r="AF987" i="11"/>
  <c r="AG987" i="11" s="1"/>
  <c r="AF988" i="11"/>
  <c r="AG988" i="11" s="1"/>
  <c r="AF989" i="11"/>
  <c r="AG989" i="11" s="1"/>
  <c r="AF990" i="11"/>
  <c r="AG990" i="11" s="1"/>
  <c r="AF991" i="11"/>
  <c r="AG991" i="11" s="1"/>
  <c r="AF992" i="11"/>
  <c r="AG992" i="11" s="1"/>
  <c r="AF993" i="11"/>
  <c r="AG993" i="11" s="1"/>
  <c r="AF994" i="11"/>
  <c r="AG994" i="11" s="1"/>
  <c r="AF995" i="11"/>
  <c r="AG995" i="11" s="1"/>
  <c r="AF996" i="11"/>
  <c r="AG996" i="11" s="1"/>
  <c r="AF997" i="11"/>
  <c r="AG997" i="11" s="1"/>
  <c r="AF998" i="11"/>
  <c r="AG998" i="11" s="1"/>
  <c r="AF999" i="11"/>
  <c r="AG999" i="11" s="1"/>
  <c r="AF1000" i="11"/>
  <c r="AG1000" i="11" s="1"/>
  <c r="Z3" i="8"/>
  <c r="AA3" i="8" s="1"/>
  <c r="Z4" i="8"/>
  <c r="Z5" i="8"/>
  <c r="AA5" i="8" s="1"/>
  <c r="Z6" i="8"/>
  <c r="Z7" i="8"/>
  <c r="AA7" i="8" s="1"/>
  <c r="Z8" i="8"/>
  <c r="AA8" i="8" s="1"/>
  <c r="Z9" i="8"/>
  <c r="Z10" i="8"/>
  <c r="Z11" i="8"/>
  <c r="AA11" i="8" s="1"/>
  <c r="Z12" i="8"/>
  <c r="Z13" i="8"/>
  <c r="AA13" i="8" s="1"/>
  <c r="Z14" i="8"/>
  <c r="AA14" i="8" s="1"/>
  <c r="Z15" i="8"/>
  <c r="Z16" i="8"/>
  <c r="AA16" i="8" s="1"/>
  <c r="Z17" i="8"/>
  <c r="AA17" i="8" s="1"/>
  <c r="Z18" i="8"/>
  <c r="Z19" i="8"/>
  <c r="AA19" i="8" s="1"/>
  <c r="Z20" i="8"/>
  <c r="AA20" i="8" s="1"/>
  <c r="Z21" i="8"/>
  <c r="Z22" i="8"/>
  <c r="AA22" i="8" s="1"/>
  <c r="Z23" i="8"/>
  <c r="AA23" i="8" s="1"/>
  <c r="Z24" i="8"/>
  <c r="AA24" i="8" s="1"/>
  <c r="Z25" i="8"/>
  <c r="AA25" i="8" s="1"/>
  <c r="Z26" i="8"/>
  <c r="AA26" i="8" s="1"/>
  <c r="Z27" i="8"/>
  <c r="Z28" i="8"/>
  <c r="Z29" i="8"/>
  <c r="AA29" i="8" s="1"/>
  <c r="Z30" i="8"/>
  <c r="AA30" i="8" s="1"/>
  <c r="Z31" i="8"/>
  <c r="AA31" i="8" s="1"/>
  <c r="Z32" i="8"/>
  <c r="AA32" i="8" s="1"/>
  <c r="Z33" i="8"/>
  <c r="Z34" i="8"/>
  <c r="AA34" i="8" s="1"/>
  <c r="Z35" i="8"/>
  <c r="Z36" i="8"/>
  <c r="Z37" i="8"/>
  <c r="AA37" i="8" s="1"/>
  <c r="Z38" i="8"/>
  <c r="AA38" i="8" s="1"/>
  <c r="Z39" i="8"/>
  <c r="Z40" i="8"/>
  <c r="Z41" i="8"/>
  <c r="AA41" i="8" s="1"/>
  <c r="Z42" i="8"/>
  <c r="AA42" i="8" s="1"/>
  <c r="Z43" i="8"/>
  <c r="AA43" i="8" s="1"/>
  <c r="Z44" i="8"/>
  <c r="AA44" i="8" s="1"/>
  <c r="Z45" i="8"/>
  <c r="Z46" i="8"/>
  <c r="Z47" i="8"/>
  <c r="AA47" i="8" s="1"/>
  <c r="Z48" i="8"/>
  <c r="AA48" i="8" s="1"/>
  <c r="Z49" i="8"/>
  <c r="AA49" i="8" s="1"/>
  <c r="Z50" i="8"/>
  <c r="AA50" i="8" s="1"/>
  <c r="Z51" i="8"/>
  <c r="Z52" i="8"/>
  <c r="AA52" i="8" s="1"/>
  <c r="Z53" i="8"/>
  <c r="AA53" i="8" s="1"/>
  <c r="Z54" i="8"/>
  <c r="Z55" i="8"/>
  <c r="AA55" i="8" s="1"/>
  <c r="Z56" i="8"/>
  <c r="AA56" i="8" s="1"/>
  <c r="Z57" i="8"/>
  <c r="Z58" i="8"/>
  <c r="AA58" i="8" s="1"/>
  <c r="Z59" i="8"/>
  <c r="AA59" i="8" s="1"/>
  <c r="Z60" i="8"/>
  <c r="Z61" i="8"/>
  <c r="AA62" i="8"/>
  <c r="Z63" i="8"/>
  <c r="Z64" i="8"/>
  <c r="Z65" i="8"/>
  <c r="AA65" i="8" s="1"/>
  <c r="Z66" i="8"/>
  <c r="AA66" i="8" s="1"/>
  <c r="Z67" i="8"/>
  <c r="AA67" i="8" s="1"/>
  <c r="Z68" i="8"/>
  <c r="AA68" i="8" s="1"/>
  <c r="Z69" i="8"/>
  <c r="Z70" i="8"/>
  <c r="Z71" i="8"/>
  <c r="AA71" i="8" s="1"/>
  <c r="Z72" i="8"/>
  <c r="Z73" i="8"/>
  <c r="AA73" i="8" s="1"/>
  <c r="Z74" i="8"/>
  <c r="AA74" i="8" s="1"/>
  <c r="Z75" i="8"/>
  <c r="Z76" i="8"/>
  <c r="AA76" i="8" s="1"/>
  <c r="Z77" i="8"/>
  <c r="AA77" i="8" s="1"/>
  <c r="Z78" i="8"/>
  <c r="Z79" i="8"/>
  <c r="Z80" i="8"/>
  <c r="AA80" i="8" s="1"/>
  <c r="Z81" i="8"/>
  <c r="Z82" i="8"/>
  <c r="AA82" i="8" s="1"/>
  <c r="Z83" i="8"/>
  <c r="AA83" i="8" s="1"/>
  <c r="Z84" i="8"/>
  <c r="Z85" i="8"/>
  <c r="AA85" i="8" s="1"/>
  <c r="Z86" i="8"/>
  <c r="AA86" i="8" s="1"/>
  <c r="Z87" i="8"/>
  <c r="Z88" i="8"/>
  <c r="AA88" i="8" s="1"/>
  <c r="Z89" i="8"/>
  <c r="AA89" i="8" s="1"/>
  <c r="Z90" i="8"/>
  <c r="AA90" i="8" s="1"/>
  <c r="Z91" i="8"/>
  <c r="AA91" i="8" s="1"/>
  <c r="Z92" i="8"/>
  <c r="AA92" i="8" s="1"/>
  <c r="Z93" i="8"/>
  <c r="AA93" i="8" s="1"/>
  <c r="Z94" i="8"/>
  <c r="Z95" i="8"/>
  <c r="AA95" i="8" s="1"/>
  <c r="Z96" i="8"/>
  <c r="Z97" i="8"/>
  <c r="AA97" i="8" s="1"/>
  <c r="Z98" i="8"/>
  <c r="AA98" i="8" s="1"/>
  <c r="Z99" i="8"/>
  <c r="Z100" i="8"/>
  <c r="AA100" i="8" s="1"/>
  <c r="Z101" i="8"/>
  <c r="AA101" i="8" s="1"/>
  <c r="Z102" i="8"/>
  <c r="AA102" i="8" s="1"/>
  <c r="Z103" i="8"/>
  <c r="Z104" i="8"/>
  <c r="AA104" i="8" s="1"/>
  <c r="Z105" i="8"/>
  <c r="Z106" i="8"/>
  <c r="Z107" i="8"/>
  <c r="AA107" i="8" s="1"/>
  <c r="Z108" i="8"/>
  <c r="AA108" i="8" s="1"/>
  <c r="Z109" i="8"/>
  <c r="AA109" i="8" s="1"/>
  <c r="Z110" i="8"/>
  <c r="AA110" i="8" s="1"/>
  <c r="Z111" i="8"/>
  <c r="Z112" i="8"/>
  <c r="Z113" i="8"/>
  <c r="AA113" i="8" s="1"/>
  <c r="Z114" i="8"/>
  <c r="Z115" i="8"/>
  <c r="AA115" i="8" s="1"/>
  <c r="Z116" i="8"/>
  <c r="AA116" i="8" s="1"/>
  <c r="Z117" i="8"/>
  <c r="Z119" i="8"/>
  <c r="AA119" i="8" s="1"/>
  <c r="Z120" i="8"/>
  <c r="Z121" i="8"/>
  <c r="AA121" i="8" s="1"/>
  <c r="Z122" i="8"/>
  <c r="AA122" i="8" s="1"/>
  <c r="Z123" i="8"/>
  <c r="Z124" i="8"/>
  <c r="AA124" i="8" s="1"/>
  <c r="Z125" i="8"/>
  <c r="AA125" i="8" s="1"/>
  <c r="Z126" i="8"/>
  <c r="Z127" i="8"/>
  <c r="Z128" i="8"/>
  <c r="AA128" i="8" s="1"/>
  <c r="Z129" i="8"/>
  <c r="Z130" i="8"/>
  <c r="Z131" i="8"/>
  <c r="AA131" i="8" s="1"/>
  <c r="Z132" i="8"/>
  <c r="AA132" i="8" s="1"/>
  <c r="Z133" i="8"/>
  <c r="AA133" i="8" s="1"/>
  <c r="Z134" i="8"/>
  <c r="AA134" i="8" s="1"/>
  <c r="Z135" i="8"/>
  <c r="Z136" i="8"/>
  <c r="Z137" i="8"/>
  <c r="AA137" i="8" s="1"/>
  <c r="Z138" i="8"/>
  <c r="AA138" i="8" s="1"/>
  <c r="Z139" i="8"/>
  <c r="Z140" i="8"/>
  <c r="AA140" i="8" s="1"/>
  <c r="Z141" i="8"/>
  <c r="Z142" i="8"/>
  <c r="AA142" i="8" s="1"/>
  <c r="Z143" i="8"/>
  <c r="AA143" i="8" s="1"/>
  <c r="Z144" i="8"/>
  <c r="Z145" i="8"/>
  <c r="AA145" i="8" s="1"/>
  <c r="Z146" i="8"/>
  <c r="AA146" i="8" s="1"/>
  <c r="Z147" i="8"/>
  <c r="Z148" i="8"/>
  <c r="Z149" i="8"/>
  <c r="AA149" i="8" s="1"/>
  <c r="Z150" i="8"/>
  <c r="AA150" i="8" s="1"/>
  <c r="Z151" i="8"/>
  <c r="Z152" i="8"/>
  <c r="AA152" i="8" s="1"/>
  <c r="Z153" i="8"/>
  <c r="Z154" i="8"/>
  <c r="AA154" i="8" s="1"/>
  <c r="Z155" i="8"/>
  <c r="AA155" i="8" s="1"/>
  <c r="Z156" i="8"/>
  <c r="AA156" i="8" s="1"/>
  <c r="Z157" i="8"/>
  <c r="AA157" i="8" s="1"/>
  <c r="Z158" i="8"/>
  <c r="AA158" i="8" s="1"/>
  <c r="Z159" i="8"/>
  <c r="Z160" i="8"/>
  <c r="AA160" i="8" s="1"/>
  <c r="Z161" i="8"/>
  <c r="AA161" i="8" s="1"/>
  <c r="Z162" i="8"/>
  <c r="Z163" i="8"/>
  <c r="AA163" i="8" s="1"/>
  <c r="Z164" i="8"/>
  <c r="AA164" i="8" s="1"/>
  <c r="Z165" i="8"/>
  <c r="Z166" i="8"/>
  <c r="AA166" i="8" s="1"/>
  <c r="Z167" i="8"/>
  <c r="AA167" i="8" s="1"/>
  <c r="Z168" i="8"/>
  <c r="Z169" i="8"/>
  <c r="Z170" i="8"/>
  <c r="AA170" i="8" s="1"/>
  <c r="Z171" i="8"/>
  <c r="Z172" i="8"/>
  <c r="Z173" i="8"/>
  <c r="AA173" i="8" s="1"/>
  <c r="Z174" i="8"/>
  <c r="AA174" i="8" s="1"/>
  <c r="Z175" i="8"/>
  <c r="AA175" i="8" s="1"/>
  <c r="Z176" i="8"/>
  <c r="AA176" i="8" s="1"/>
  <c r="Z177" i="8"/>
  <c r="Z178" i="8"/>
  <c r="Z179" i="8"/>
  <c r="AA179" i="8" s="1"/>
  <c r="Z180" i="8"/>
  <c r="Z181" i="8"/>
  <c r="AA181" i="8" s="1"/>
  <c r="Z182" i="8"/>
  <c r="AA182" i="8" s="1"/>
  <c r="Z183" i="8"/>
  <c r="Z184" i="8"/>
  <c r="AA184" i="8" s="1"/>
  <c r="Z185" i="8"/>
  <c r="Z186" i="8"/>
  <c r="Z187" i="8"/>
  <c r="AA187" i="8" s="1"/>
  <c r="Z188" i="8"/>
  <c r="AA188" i="8" s="1"/>
  <c r="Z189" i="8"/>
  <c r="Z190" i="8"/>
  <c r="AA190" i="8" s="1"/>
  <c r="Z191" i="8"/>
  <c r="AA191" i="8" s="1"/>
  <c r="Z192" i="8"/>
  <c r="Z193" i="8"/>
  <c r="AA193" i="8" s="1"/>
  <c r="Z194" i="8"/>
  <c r="AA194" i="8" s="1"/>
  <c r="Z195" i="8"/>
  <c r="Z196" i="8"/>
  <c r="AA196" i="8" s="1"/>
  <c r="Z197" i="8"/>
  <c r="AA197" i="8" s="1"/>
  <c r="Z198" i="8"/>
  <c r="AA198" i="8" s="1"/>
  <c r="Z199" i="8"/>
  <c r="AA199" i="8" s="1"/>
  <c r="Z200" i="8"/>
  <c r="AA200" i="8" s="1"/>
  <c r="Z201" i="8"/>
  <c r="Z202" i="8"/>
  <c r="Z203" i="8"/>
  <c r="AA203" i="8" s="1"/>
  <c r="Z204" i="8"/>
  <c r="Z205" i="8"/>
  <c r="AA205" i="8" s="1"/>
  <c r="Z206" i="8"/>
  <c r="AA206" i="8" s="1"/>
  <c r="Z207" i="8"/>
  <c r="Z208" i="8"/>
  <c r="AA208" i="8" s="1"/>
  <c r="Z209" i="8"/>
  <c r="AA209" i="8" s="1"/>
  <c r="Z210" i="8"/>
  <c r="AA210" i="8" s="1"/>
  <c r="Z211" i="8"/>
  <c r="AA211" i="8" s="1"/>
  <c r="Z212" i="8"/>
  <c r="AA212" i="8" s="1"/>
  <c r="Z213" i="8"/>
  <c r="Z214" i="8"/>
  <c r="Z215" i="8"/>
  <c r="AA215" i="8" s="1"/>
  <c r="Z216" i="8"/>
  <c r="AA216" i="8" s="1"/>
  <c r="Z217" i="8"/>
  <c r="AA217" i="8" s="1"/>
  <c r="Z218" i="8"/>
  <c r="AA218" i="8" s="1"/>
  <c r="Z219" i="8"/>
  <c r="Z220" i="8"/>
  <c r="Z221" i="8"/>
  <c r="AA221" i="8" s="1"/>
  <c r="Z222" i="8"/>
  <c r="Z223" i="8"/>
  <c r="AA223" i="8" s="1"/>
  <c r="Z224" i="8"/>
  <c r="AA224" i="8" s="1"/>
  <c r="Z225" i="8"/>
  <c r="Z226" i="8"/>
  <c r="Z227" i="8"/>
  <c r="AA227" i="8" s="1"/>
  <c r="Z228" i="8"/>
  <c r="Z229" i="8"/>
  <c r="AA229" i="8" s="1"/>
  <c r="Z230" i="8"/>
  <c r="AA230" i="8" s="1"/>
  <c r="Z231" i="8"/>
  <c r="Z232" i="8"/>
  <c r="AA232" i="8" s="1"/>
  <c r="Z233" i="8"/>
  <c r="AA233" i="8" s="1"/>
  <c r="Z234" i="8"/>
  <c r="Z235" i="8"/>
  <c r="Z236" i="8"/>
  <c r="AA236" i="8" s="1"/>
  <c r="Z237" i="8"/>
  <c r="Z238" i="8"/>
  <c r="AA238" i="8" s="1"/>
  <c r="Z239" i="8"/>
  <c r="AA239" i="8" s="1"/>
  <c r="Z240" i="8"/>
  <c r="AA240" i="8" s="1"/>
  <c r="Z241" i="8"/>
  <c r="AA241" i="8" s="1"/>
  <c r="Z242" i="8"/>
  <c r="AA242" i="8" s="1"/>
  <c r="Z243" i="8"/>
  <c r="Z244" i="8"/>
  <c r="Z245" i="8"/>
  <c r="AA245" i="8" s="1"/>
  <c r="Z246" i="8"/>
  <c r="AA246" i="8" s="1"/>
  <c r="Z247" i="8"/>
  <c r="Z248" i="8"/>
  <c r="AA248" i="8" s="1"/>
  <c r="Z249" i="8"/>
  <c r="Z250" i="8"/>
  <c r="AA250" i="8" s="1"/>
  <c r="Z251" i="8"/>
  <c r="Z252" i="8"/>
  <c r="Z253" i="8"/>
  <c r="AA253" i="8" s="1"/>
  <c r="Z254" i="8"/>
  <c r="AA254" i="8" s="1"/>
  <c r="Z255" i="8"/>
  <c r="Z256" i="8"/>
  <c r="Z257" i="8"/>
  <c r="AA257" i="8" s="1"/>
  <c r="Z258" i="8"/>
  <c r="AA258" i="8" s="1"/>
  <c r="Z259" i="8"/>
  <c r="Z260" i="8"/>
  <c r="AA260" i="8" s="1"/>
  <c r="Z261" i="8"/>
  <c r="Z262" i="8"/>
  <c r="Z263" i="8"/>
  <c r="AA263" i="8" s="1"/>
  <c r="Z264" i="8"/>
  <c r="AA264" i="8" s="1"/>
  <c r="Z265" i="8"/>
  <c r="AA265" i="8" s="1"/>
  <c r="Z266" i="8"/>
  <c r="AA266" i="8" s="1"/>
  <c r="Z267" i="8"/>
  <c r="Z268" i="8"/>
  <c r="AA268" i="8" s="1"/>
  <c r="Z269" i="8"/>
  <c r="AA269" i="8" s="1"/>
  <c r="Z270" i="8"/>
  <c r="Z271" i="8"/>
  <c r="AA271" i="8" s="1"/>
  <c r="Z272" i="8"/>
  <c r="AA272" i="8" s="1"/>
  <c r="Z273" i="8"/>
  <c r="Z274" i="8"/>
  <c r="AA274" i="8" s="1"/>
  <c r="Z275" i="8"/>
  <c r="AA275" i="8" s="1"/>
  <c r="Z276" i="8"/>
  <c r="AA276" i="8" s="1"/>
  <c r="Z277" i="8"/>
  <c r="AA277" i="8" s="1"/>
  <c r="Z278" i="8"/>
  <c r="Z279" i="8"/>
  <c r="AA279" i="8" s="1"/>
  <c r="Z280" i="8"/>
  <c r="AA280" i="8" s="1"/>
  <c r="Z281" i="8"/>
  <c r="Z282" i="8"/>
  <c r="Z283" i="8"/>
  <c r="AA283" i="8" s="1"/>
  <c r="Z284" i="8"/>
  <c r="AA284" i="8" s="1"/>
  <c r="Z285" i="8"/>
  <c r="AA285" i="8" s="1"/>
  <c r="Z286" i="8"/>
  <c r="AA286" i="8" s="1"/>
  <c r="Z287" i="8"/>
  <c r="Z288" i="8"/>
  <c r="AA288" i="8" s="1"/>
  <c r="Z289" i="8"/>
  <c r="AA289" i="8" s="1"/>
  <c r="Z290" i="8"/>
  <c r="AA290" i="8" s="1"/>
  <c r="Z291" i="8"/>
  <c r="AA291" i="8" s="1"/>
  <c r="Z292" i="8"/>
  <c r="AA292" i="8" s="1"/>
  <c r="Z293" i="8"/>
  <c r="Z294" i="8"/>
  <c r="AA294" i="8" s="1"/>
  <c r="Z295" i="8"/>
  <c r="Z296" i="8"/>
  <c r="Z297" i="8"/>
  <c r="AA297" i="8" s="1"/>
  <c r="Z298" i="8"/>
  <c r="AA298" i="8" s="1"/>
  <c r="Z299" i="8"/>
  <c r="Z300" i="8"/>
  <c r="Z301" i="8"/>
  <c r="AA301" i="8" s="1"/>
  <c r="Z302" i="8"/>
  <c r="AA302" i="8" s="1"/>
  <c r="Z303" i="8"/>
  <c r="AA303" i="8" s="1"/>
  <c r="Z304" i="8"/>
  <c r="AA304" i="8" s="1"/>
  <c r="Z305" i="8"/>
  <c r="Z306" i="8"/>
  <c r="Z308" i="8"/>
  <c r="Z309" i="8"/>
  <c r="AA309" i="8" s="1"/>
  <c r="Z310" i="8"/>
  <c r="AA310" i="8" s="1"/>
  <c r="Z311" i="8"/>
  <c r="Z312" i="8"/>
  <c r="AA312" i="8" s="1"/>
  <c r="Z313" i="8"/>
  <c r="AA313" i="8" s="1"/>
  <c r="Z314" i="8"/>
  <c r="Z315" i="8"/>
  <c r="AA315" i="8" s="1"/>
  <c r="Z316" i="8"/>
  <c r="AA316" i="8" s="1"/>
  <c r="Z317" i="8"/>
  <c r="Z318" i="8"/>
  <c r="AA318" i="8" s="1"/>
  <c r="Z319" i="8"/>
  <c r="AA319" i="8" s="1"/>
  <c r="Z320" i="8"/>
  <c r="Z321" i="8"/>
  <c r="AA321" i="8" s="1"/>
  <c r="Z322" i="8"/>
  <c r="AA322" i="8" s="1"/>
  <c r="Z323" i="8"/>
  <c r="Z324" i="8"/>
  <c r="Z325" i="8"/>
  <c r="AA325" i="8" s="1"/>
  <c r="Z326" i="8"/>
  <c r="AA326" i="8" s="1"/>
  <c r="AA327" i="8"/>
  <c r="Z328" i="8"/>
  <c r="AA328" i="8" s="1"/>
  <c r="Z329" i="8"/>
  <c r="Z330" i="8"/>
  <c r="Z331" i="8"/>
  <c r="AA331" i="8" s="1"/>
  <c r="Z332" i="8"/>
  <c r="Z333" i="8"/>
  <c r="AA333" i="8" s="1"/>
  <c r="Z334" i="8"/>
  <c r="AA334" i="8" s="1"/>
  <c r="Z335" i="8"/>
  <c r="Z336" i="8"/>
  <c r="AA336" i="8" s="1"/>
  <c r="Z337" i="8"/>
  <c r="AA337" i="8" s="1"/>
  <c r="Z338" i="8"/>
  <c r="Z339" i="8"/>
  <c r="AA339" i="8" s="1"/>
  <c r="Z340" i="8"/>
  <c r="AA340" i="8" s="1"/>
  <c r="Z341" i="8"/>
  <c r="Z342" i="8"/>
  <c r="Z343" i="8"/>
  <c r="AA343" i="8" s="1"/>
  <c r="Z344" i="8"/>
  <c r="Z345" i="8"/>
  <c r="AA345" i="8" s="1"/>
  <c r="Z346" i="8"/>
  <c r="AA346" i="8" s="1"/>
  <c r="Z347" i="8"/>
  <c r="Z348" i="8"/>
  <c r="AA348" i="8" s="1"/>
  <c r="Z349" i="8"/>
  <c r="AA349" i="8" s="1"/>
  <c r="Z350" i="8"/>
  <c r="Z351" i="8"/>
  <c r="AA351" i="8" s="1"/>
  <c r="Z352" i="8"/>
  <c r="AA352" i="8" s="1"/>
  <c r="Z353" i="8"/>
  <c r="Z354" i="8"/>
  <c r="Z355" i="8"/>
  <c r="AA355" i="8" s="1"/>
  <c r="Z356" i="8"/>
  <c r="Z357" i="8"/>
  <c r="Z358" i="8"/>
  <c r="AA358" i="8" s="1"/>
  <c r="Z359" i="8"/>
  <c r="Z360" i="8"/>
  <c r="AA360" i="8" s="1"/>
  <c r="Z361" i="8"/>
  <c r="AA361" i="8" s="1"/>
  <c r="Z362" i="8"/>
  <c r="AA362" i="8" s="1"/>
  <c r="Z363" i="8"/>
  <c r="AA363" i="8" s="1"/>
  <c r="Z364" i="8"/>
  <c r="AA364" i="8" s="1"/>
  <c r="Z365" i="8"/>
  <c r="Z366" i="8"/>
  <c r="AA366" i="8" s="1"/>
  <c r="Z367" i="8"/>
  <c r="Z368" i="8"/>
  <c r="AA368" i="8" s="1"/>
  <c r="Z369" i="8"/>
  <c r="AA369" i="8" s="1"/>
  <c r="Z370" i="8"/>
  <c r="AA370" i="8" s="1"/>
  <c r="Z371" i="8"/>
  <c r="Z372" i="8"/>
  <c r="Z373" i="8"/>
  <c r="AA373" i="8" s="1"/>
  <c r="Z374" i="8"/>
  <c r="Z375" i="8"/>
  <c r="AA375" i="8" s="1"/>
  <c r="Z376" i="8"/>
  <c r="AA376" i="8" s="1"/>
  <c r="Z377" i="8"/>
  <c r="Z378" i="8"/>
  <c r="Z379" i="8"/>
  <c r="AA379" i="8" s="1"/>
  <c r="Z380" i="8"/>
  <c r="Z381" i="8"/>
  <c r="Z382" i="8"/>
  <c r="AA382" i="8" s="1"/>
  <c r="Z383" i="8"/>
  <c r="Z384" i="8"/>
  <c r="AA384" i="8" s="1"/>
  <c r="Z385" i="8"/>
  <c r="AA385" i="8" s="1"/>
  <c r="Z386" i="8"/>
  <c r="Z387" i="8"/>
  <c r="AA387" i="8" s="1"/>
  <c r="Z388" i="8"/>
  <c r="AA388" i="8" s="1"/>
  <c r="Z389" i="8"/>
  <c r="Z390" i="8"/>
  <c r="Z391" i="8"/>
  <c r="AA391" i="8" s="1"/>
  <c r="Z392" i="8"/>
  <c r="Z393" i="8"/>
  <c r="AA393" i="8" s="1"/>
  <c r="Z394" i="8"/>
  <c r="AA394" i="8" s="1"/>
  <c r="Z395" i="8"/>
  <c r="Z396" i="8"/>
  <c r="Z397" i="8"/>
  <c r="AA397" i="8" s="1"/>
  <c r="Z398" i="8"/>
  <c r="AA398" i="8" s="1"/>
  <c r="Z399" i="8"/>
  <c r="AA399" i="8" s="1"/>
  <c r="Z400" i="8"/>
  <c r="AA400" i="8" s="1"/>
  <c r="Z401" i="8"/>
  <c r="Z402" i="8"/>
  <c r="AA402" i="8" s="1"/>
  <c r="Z403" i="8"/>
  <c r="Z404" i="8"/>
  <c r="Z405" i="8"/>
  <c r="AA405" i="8" s="1"/>
  <c r="Z406" i="8"/>
  <c r="AA406" i="8" s="1"/>
  <c r="Z407" i="8"/>
  <c r="Z408" i="8"/>
  <c r="Z409" i="8"/>
  <c r="AA409" i="8" s="1"/>
  <c r="Z410" i="8"/>
  <c r="AA410" i="8" s="1"/>
  <c r="Z411" i="8"/>
  <c r="AA411" i="8" s="1"/>
  <c r="Z412" i="8"/>
  <c r="AA412" i="8" s="1"/>
  <c r="Z413" i="8"/>
  <c r="Z414" i="8"/>
  <c r="Z415" i="8"/>
  <c r="Z416" i="8"/>
  <c r="Z417" i="8"/>
  <c r="AA417" i="8" s="1"/>
  <c r="Z418" i="8"/>
  <c r="AA418" i="8" s="1"/>
  <c r="Z419" i="8"/>
  <c r="Z420" i="8"/>
  <c r="AA420" i="8" s="1"/>
  <c r="Z421" i="8"/>
  <c r="AA421" i="8" s="1"/>
  <c r="Z422" i="8"/>
  <c r="Z423" i="8"/>
  <c r="AA423" i="8" s="1"/>
  <c r="Z424" i="8"/>
  <c r="AA424" i="8" s="1"/>
  <c r="Z425" i="8"/>
  <c r="Z426" i="8"/>
  <c r="AA426" i="8" s="1"/>
  <c r="Z427" i="8"/>
  <c r="AA427" i="8" s="1"/>
  <c r="Z428" i="8"/>
  <c r="Z429" i="8"/>
  <c r="AA429" i="8" s="1"/>
  <c r="Z430" i="8"/>
  <c r="AA430" i="8" s="1"/>
  <c r="Z431" i="8"/>
  <c r="Z432" i="8"/>
  <c r="Z433" i="8"/>
  <c r="AA433" i="8" s="1"/>
  <c r="Z434" i="8"/>
  <c r="AA434" i="8" s="1"/>
  <c r="Z435" i="8"/>
  <c r="AA435" i="8" s="1"/>
  <c r="Z436" i="8"/>
  <c r="AA436" i="8" s="1"/>
  <c r="Z437" i="8"/>
  <c r="Z438" i="8"/>
  <c r="Z439" i="8"/>
  <c r="AA439" i="8" s="1"/>
  <c r="Z440" i="8"/>
  <c r="Z441" i="8"/>
  <c r="AA441" i="8" s="1"/>
  <c r="Z442" i="8"/>
  <c r="AA442" i="8" s="1"/>
  <c r="Z443" i="8"/>
  <c r="Z444" i="8"/>
  <c r="AA444" i="8" s="1"/>
  <c r="Z445" i="8"/>
  <c r="AA445" i="8" s="1"/>
  <c r="Z446" i="8"/>
  <c r="Z447" i="8"/>
  <c r="AA447" i="8" s="1"/>
  <c r="Z448" i="8"/>
  <c r="AA448" i="8" s="1"/>
  <c r="Z449" i="8"/>
  <c r="Z450" i="8"/>
  <c r="Z451" i="8"/>
  <c r="AA451" i="8" s="1"/>
  <c r="Z452" i="8"/>
  <c r="Z453" i="8"/>
  <c r="AA453" i="8" s="1"/>
  <c r="Z454" i="8"/>
  <c r="AA454" i="8" s="1"/>
  <c r="Z455" i="8"/>
  <c r="Z456" i="8"/>
  <c r="AA456" i="8" s="1"/>
  <c r="Z457" i="8"/>
  <c r="AA457" i="8" s="1"/>
  <c r="Z458" i="8"/>
  <c r="Z459" i="8"/>
  <c r="AA459" i="8" s="1"/>
  <c r="Z460" i="8"/>
  <c r="AA460" i="8" s="1"/>
  <c r="Z461" i="8"/>
  <c r="Z462" i="8"/>
  <c r="Z463" i="8"/>
  <c r="AA463" i="8" s="1"/>
  <c r="Z464" i="8"/>
  <c r="Z465" i="8"/>
  <c r="Z466" i="8"/>
  <c r="AA466" i="8" s="1"/>
  <c r="Z467" i="8"/>
  <c r="Z468" i="8"/>
  <c r="AA468" i="8" s="1"/>
  <c r="Z469" i="8"/>
  <c r="AA469" i="8" s="1"/>
  <c r="Z470" i="8"/>
  <c r="AA470" i="8" s="1"/>
  <c r="Z471" i="8"/>
  <c r="AA471" i="8" s="1"/>
  <c r="Z472" i="8"/>
  <c r="AA472" i="8" s="1"/>
  <c r="Z473" i="8"/>
  <c r="Z474" i="8"/>
  <c r="Z475" i="8"/>
  <c r="Z476" i="8"/>
  <c r="AA476" i="8" s="1"/>
  <c r="Z477" i="8"/>
  <c r="AA477" i="8" s="1"/>
  <c r="Z478" i="8"/>
  <c r="AA478" i="8" s="1"/>
  <c r="Z479" i="8"/>
  <c r="Z480" i="8"/>
  <c r="Z481" i="8"/>
  <c r="AA481" i="8" s="1"/>
  <c r="Z482" i="8"/>
  <c r="Z483" i="8"/>
  <c r="AA483" i="8" s="1"/>
  <c r="Z484" i="8"/>
  <c r="AA484" i="8" s="1"/>
  <c r="AA487" i="8"/>
  <c r="AA490" i="8"/>
  <c r="AA492" i="8"/>
  <c r="AA493" i="8"/>
  <c r="AA495" i="8"/>
  <c r="AA496" i="8"/>
  <c r="AA499" i="8"/>
  <c r="AA501" i="8"/>
  <c r="AA502" i="8"/>
  <c r="AA505" i="8"/>
  <c r="AA506" i="8"/>
  <c r="AA507" i="8"/>
  <c r="AA508" i="8"/>
  <c r="AA510" i="8"/>
  <c r="AA513" i="8"/>
  <c r="AA514" i="8"/>
  <c r="AA517" i="8"/>
  <c r="AA518" i="8"/>
  <c r="AA519" i="8"/>
  <c r="AA520" i="8"/>
  <c r="AA525" i="8"/>
  <c r="AA526" i="8"/>
  <c r="AA528" i="8"/>
  <c r="AA529" i="8"/>
  <c r="AA531" i="8"/>
  <c r="AA532" i="8"/>
  <c r="AA534" i="8"/>
  <c r="AA535" i="8"/>
  <c r="AA537" i="8"/>
  <c r="AA538" i="8"/>
  <c r="AA541" i="8"/>
  <c r="AA542" i="8"/>
  <c r="AA543" i="8"/>
  <c r="AA544" i="8"/>
  <c r="AA547" i="8"/>
  <c r="AA549" i="8"/>
  <c r="AA550" i="8"/>
  <c r="AA552" i="8"/>
  <c r="AA553" i="8"/>
  <c r="AA555" i="8"/>
  <c r="AA556" i="8"/>
  <c r="AA559" i="8"/>
  <c r="AA561" i="8"/>
  <c r="AA562" i="8"/>
  <c r="AA564" i="8"/>
  <c r="AA565" i="8"/>
  <c r="AA567" i="8"/>
  <c r="AA568" i="8"/>
  <c r="AA571" i="8"/>
  <c r="AA574" i="8"/>
  <c r="AA576" i="8"/>
  <c r="AA577" i="8"/>
  <c r="AA578" i="8"/>
  <c r="AA579" i="8"/>
  <c r="AA580" i="8"/>
  <c r="AA584" i="8"/>
  <c r="AA585" i="8"/>
  <c r="AA586" i="8"/>
  <c r="AA589" i="8"/>
  <c r="AA591" i="8"/>
  <c r="AA592" i="8"/>
  <c r="AA595" i="8"/>
  <c r="Z597" i="8"/>
  <c r="AA597" i="8" s="1"/>
  <c r="Z598" i="8"/>
  <c r="AA598" i="8" s="1"/>
  <c r="Z599" i="8"/>
  <c r="Z600" i="8"/>
  <c r="AA600" i="8" s="1"/>
  <c r="Z601" i="8"/>
  <c r="AA601" i="8" s="1"/>
  <c r="Z602" i="8"/>
  <c r="Z603" i="8"/>
  <c r="AA603" i="8" s="1"/>
  <c r="Z604" i="8"/>
  <c r="AA604" i="8" s="1"/>
  <c r="Z605" i="8"/>
  <c r="Z606" i="8"/>
  <c r="Z607" i="8"/>
  <c r="AA607" i="8" s="1"/>
  <c r="Z608" i="8"/>
  <c r="Z609" i="8"/>
  <c r="AA609" i="8" s="1"/>
  <c r="Z611" i="8"/>
  <c r="Z612" i="8"/>
  <c r="Z613" i="8"/>
  <c r="AA613" i="8" s="1"/>
  <c r="Z614" i="8"/>
  <c r="AA614" i="8" s="1"/>
  <c r="Z615" i="8"/>
  <c r="AA615" i="8" s="1"/>
  <c r="Z616" i="8"/>
  <c r="AA616" i="8" s="1"/>
  <c r="Z617" i="8"/>
  <c r="AA618" i="8"/>
  <c r="Z619" i="8"/>
  <c r="Z620" i="8"/>
  <c r="Z621" i="8"/>
  <c r="AA621" i="8" s="1"/>
  <c r="Z622" i="8"/>
  <c r="AA622" i="8" s="1"/>
  <c r="Z623" i="8"/>
  <c r="Z624" i="8"/>
  <c r="Z625" i="8"/>
  <c r="AA625" i="8" s="1"/>
  <c r="Z626" i="8"/>
  <c r="AA626" i="8" s="1"/>
  <c r="Z627" i="8"/>
  <c r="AA627" i="8" s="1"/>
  <c r="Z628" i="8"/>
  <c r="AA628" i="8" s="1"/>
  <c r="Z630" i="8"/>
  <c r="Z631" i="8"/>
  <c r="Z632" i="8"/>
  <c r="Z633" i="8"/>
  <c r="AA633" i="8" s="1"/>
  <c r="Z634" i="8"/>
  <c r="AA634" i="8" s="1"/>
  <c r="Z635" i="8"/>
  <c r="Z636" i="8"/>
  <c r="Z637" i="8"/>
  <c r="Z638" i="8"/>
  <c r="Z639" i="8"/>
  <c r="Z640" i="8"/>
  <c r="AA640" i="8" s="1"/>
  <c r="Z641" i="8"/>
  <c r="Z642" i="8"/>
  <c r="Z643" i="8"/>
  <c r="AA643" i="8" s="1"/>
  <c r="Z644" i="8"/>
  <c r="Z645" i="8"/>
  <c r="AA645" i="8" s="1"/>
  <c r="Z646" i="8"/>
  <c r="Z647" i="8"/>
  <c r="Z648" i="8"/>
  <c r="AA648" i="8" s="1"/>
  <c r="Z649" i="8"/>
  <c r="AA649" i="8" s="1"/>
  <c r="Z650" i="8"/>
  <c r="Z651" i="8"/>
  <c r="AA651" i="8" s="1"/>
  <c r="Z652" i="8"/>
  <c r="AA652" i="8" s="1"/>
  <c r="Z653" i="8"/>
  <c r="Z654" i="8"/>
  <c r="Z655" i="8"/>
  <c r="AA655" i="8" s="1"/>
  <c r="Z656" i="8"/>
  <c r="AA657" i="8"/>
  <c r="Z658" i="8"/>
  <c r="AA658" i="8" s="1"/>
  <c r="Z659" i="8"/>
  <c r="Z660" i="8"/>
  <c r="Z661" i="8"/>
  <c r="Z662" i="8"/>
  <c r="AA662" i="8" s="1"/>
  <c r="AA663" i="8"/>
  <c r="Z664" i="8"/>
  <c r="AA664" i="8" s="1"/>
  <c r="Z665" i="8"/>
  <c r="Z666" i="8"/>
  <c r="Z667" i="8"/>
  <c r="AA667" i="8" s="1"/>
  <c r="Z668" i="8"/>
  <c r="Z669" i="8"/>
  <c r="AA669" i="8" s="1"/>
  <c r="Z670" i="8"/>
  <c r="AA670" i="8" s="1"/>
  <c r="Z671" i="8"/>
  <c r="Z672" i="8"/>
  <c r="Z673" i="8"/>
  <c r="Z674" i="8"/>
  <c r="Z675" i="8"/>
  <c r="AA675" i="8" s="1"/>
  <c r="Z676" i="8"/>
  <c r="AA676" i="8" s="1"/>
  <c r="Z677" i="8"/>
  <c r="Z678" i="8"/>
  <c r="Z679" i="8"/>
  <c r="AA679" i="8" s="1"/>
  <c r="Z680" i="8"/>
  <c r="Z681" i="8"/>
  <c r="AA681" i="8" s="1"/>
  <c r="Z682" i="8"/>
  <c r="AA682" i="8" s="1"/>
  <c r="Z683" i="8"/>
  <c r="Z684" i="8"/>
  <c r="AA684" i="8" s="1"/>
  <c r="Z685" i="8"/>
  <c r="AA685" i="8" s="1"/>
  <c r="Z686" i="8"/>
  <c r="Z687" i="8"/>
  <c r="AA687" i="8" s="1"/>
  <c r="Z688" i="8"/>
  <c r="AA688" i="8" s="1"/>
  <c r="Z690" i="8"/>
  <c r="Z691" i="8"/>
  <c r="AA691" i="8" s="1"/>
  <c r="Z692" i="8"/>
  <c r="Z693" i="8"/>
  <c r="AA693" i="8" s="1"/>
  <c r="Z694" i="8"/>
  <c r="AA694" i="8" s="1"/>
  <c r="Z695" i="8"/>
  <c r="Z696" i="8"/>
  <c r="Z697" i="8"/>
  <c r="Z698" i="8"/>
  <c r="AA698" i="8" s="1"/>
  <c r="Z699" i="8"/>
  <c r="AA699" i="8" s="1"/>
  <c r="Z700" i="8"/>
  <c r="AA700" i="8" s="1"/>
  <c r="Z701" i="8"/>
  <c r="Z702" i="8"/>
  <c r="Z703" i="8"/>
  <c r="Z704" i="8"/>
  <c r="Z705" i="8"/>
  <c r="AA705" i="8" s="1"/>
  <c r="Z706" i="8"/>
  <c r="AA706" i="8" s="1"/>
  <c r="Z707" i="8"/>
  <c r="Z708" i="8"/>
  <c r="Z709" i="8"/>
  <c r="AA709" i="8" s="1"/>
  <c r="Z710" i="8"/>
  <c r="Z711" i="8"/>
  <c r="AA711" i="8" s="1"/>
  <c r="Z712" i="8"/>
  <c r="AA712" i="8" s="1"/>
  <c r="Z713" i="8"/>
  <c r="Z714" i="8"/>
  <c r="Z715" i="8"/>
  <c r="AA715" i="8" s="1"/>
  <c r="Z716" i="8"/>
  <c r="Z717" i="8"/>
  <c r="AA717" i="8" s="1"/>
  <c r="Z718" i="8"/>
  <c r="AA718" i="8" s="1"/>
  <c r="Z719" i="8"/>
  <c r="Z720" i="8"/>
  <c r="Z721" i="8"/>
  <c r="Z722" i="8"/>
  <c r="Z723" i="8"/>
  <c r="AA723" i="8" s="1"/>
  <c r="Z724" i="8"/>
  <c r="AA724" i="8" s="1"/>
  <c r="Z725" i="8"/>
  <c r="Z726" i="8"/>
  <c r="Z727" i="8"/>
  <c r="AA727" i="8" s="1"/>
  <c r="Z728" i="8"/>
  <c r="Z729" i="8"/>
  <c r="Z730" i="8"/>
  <c r="AA730" i="8" s="1"/>
  <c r="Z731" i="8"/>
  <c r="Z732" i="8"/>
  <c r="Z733" i="8"/>
  <c r="Z734" i="8"/>
  <c r="Z735" i="8"/>
  <c r="Z736" i="8"/>
  <c r="AA736" i="8" s="1"/>
  <c r="Z737" i="8"/>
  <c r="Z738" i="8"/>
  <c r="Z739" i="8"/>
  <c r="AA739" i="8" s="1"/>
  <c r="Z740" i="8"/>
  <c r="Z741" i="8"/>
  <c r="AA741" i="8" s="1"/>
  <c r="Z742" i="8"/>
  <c r="AA742" i="8" s="1"/>
  <c r="Z743" i="8"/>
  <c r="Z744" i="8"/>
  <c r="Z745" i="8"/>
  <c r="AA745" i="8" s="1"/>
  <c r="Z746" i="8"/>
  <c r="Z747" i="8"/>
  <c r="AA747" i="8" s="1"/>
  <c r="Z748" i="8"/>
  <c r="AA748" i="8" s="1"/>
  <c r="Z749" i="8"/>
  <c r="Z750" i="8"/>
  <c r="Z751" i="8"/>
  <c r="AA751" i="8" s="1"/>
  <c r="Z752" i="8"/>
  <c r="Z753" i="8"/>
  <c r="AA753" i="8" s="1"/>
  <c r="Z754" i="8"/>
  <c r="AA754" i="8" s="1"/>
  <c r="Z755" i="8"/>
  <c r="Z756" i="8"/>
  <c r="Z757" i="8"/>
  <c r="Z758" i="8"/>
  <c r="Z759" i="8"/>
  <c r="AA759" i="8" s="1"/>
  <c r="Z760" i="8"/>
  <c r="AA760" i="8" s="1"/>
  <c r="Z761" i="8"/>
  <c r="Z762" i="8"/>
  <c r="Z763" i="8"/>
  <c r="AA763" i="8" s="1"/>
  <c r="Z764" i="8"/>
  <c r="Z765" i="8"/>
  <c r="AA765" i="8" s="1"/>
  <c r="Z766" i="8"/>
  <c r="AA766" i="8" s="1"/>
  <c r="Z767" i="8"/>
  <c r="Z768" i="8"/>
  <c r="Z769" i="8"/>
  <c r="Z770" i="8"/>
  <c r="Z771" i="8"/>
  <c r="Z772" i="8"/>
  <c r="AA772" i="8" s="1"/>
  <c r="Z773" i="8"/>
  <c r="Z774" i="8"/>
  <c r="Z775" i="8"/>
  <c r="AA775" i="8" s="1"/>
  <c r="Z776" i="8"/>
  <c r="Z777" i="8"/>
  <c r="AA777" i="8" s="1"/>
  <c r="Z778" i="8"/>
  <c r="AA778" i="8" s="1"/>
  <c r="Z779" i="8"/>
  <c r="Z780" i="8"/>
  <c r="Z781" i="8"/>
  <c r="AA781" i="8" s="1"/>
  <c r="Z782" i="8"/>
  <c r="Z783" i="8"/>
  <c r="AA783" i="8" s="1"/>
  <c r="Z784" i="8"/>
  <c r="AA784" i="8" s="1"/>
  <c r="Z785" i="8"/>
  <c r="Z786" i="8"/>
  <c r="Z787" i="8"/>
  <c r="AA787" i="8" s="1"/>
  <c r="Z788" i="8"/>
  <c r="Z789" i="8"/>
  <c r="AA789" i="8" s="1"/>
  <c r="Z790" i="8"/>
  <c r="AA790" i="8" s="1"/>
  <c r="Z791" i="8"/>
  <c r="Z792" i="8"/>
  <c r="Z793" i="8"/>
  <c r="Z794" i="8"/>
  <c r="Z795" i="8"/>
  <c r="AA795" i="8" s="1"/>
  <c r="Z796" i="8"/>
  <c r="AA796" i="8" s="1"/>
  <c r="Z797" i="8"/>
  <c r="Z798" i="8"/>
  <c r="Z799" i="8"/>
  <c r="AA799" i="8" s="1"/>
  <c r="Z800" i="8"/>
  <c r="Z801" i="8"/>
  <c r="AA801" i="8" s="1"/>
  <c r="Z802" i="8"/>
  <c r="AA802" i="8" s="1"/>
  <c r="Z803" i="8"/>
  <c r="Z804" i="8"/>
  <c r="Z805" i="8"/>
  <c r="Z806" i="8"/>
  <c r="Z807" i="8"/>
  <c r="Z808" i="8"/>
  <c r="AA808" i="8" s="1"/>
  <c r="Z809" i="8"/>
  <c r="Z810" i="8"/>
  <c r="Z811" i="8"/>
  <c r="AA811" i="8" s="1"/>
  <c r="Z812" i="8"/>
  <c r="Z813" i="8"/>
  <c r="AA813" i="8" s="1"/>
  <c r="Z814" i="8"/>
  <c r="AA814" i="8" s="1"/>
  <c r="Z815" i="8"/>
  <c r="Z816" i="8"/>
  <c r="Z817" i="8"/>
  <c r="AA817" i="8" s="1"/>
  <c r="Z818" i="8"/>
  <c r="Z819" i="8"/>
  <c r="AA819" i="8" s="1"/>
  <c r="Z820" i="8"/>
  <c r="AA820" i="8" s="1"/>
  <c r="Z821" i="8"/>
  <c r="Z822" i="8"/>
  <c r="Z823" i="8"/>
  <c r="AA823" i="8" s="1"/>
  <c r="Z824" i="8"/>
  <c r="Z825" i="8"/>
  <c r="AA825" i="8" s="1"/>
  <c r="Z826" i="8"/>
  <c r="AA826" i="8" s="1"/>
  <c r="Z827" i="8"/>
  <c r="Z828" i="8"/>
  <c r="Z829" i="8"/>
  <c r="Z830" i="8"/>
  <c r="Z831" i="8"/>
  <c r="AA831" i="8" s="1"/>
  <c r="Z832" i="8"/>
  <c r="AA832" i="8" s="1"/>
  <c r="Z833" i="8"/>
  <c r="Z834" i="8"/>
  <c r="Z835" i="8"/>
  <c r="AA835" i="8" s="1"/>
  <c r="Z836" i="8"/>
  <c r="Z837" i="8"/>
  <c r="AA837" i="8" s="1"/>
  <c r="Z838" i="8"/>
  <c r="AA838" i="8" s="1"/>
  <c r="Z839" i="8"/>
  <c r="Z840" i="8"/>
  <c r="Z841" i="8"/>
  <c r="Z842" i="8"/>
  <c r="Z843" i="8"/>
  <c r="Z844" i="8"/>
  <c r="AA844" i="8" s="1"/>
  <c r="Z845" i="8"/>
  <c r="Z846" i="8"/>
  <c r="Z847" i="8"/>
  <c r="AA847" i="8" s="1"/>
  <c r="Z848" i="8"/>
  <c r="Z849" i="8"/>
  <c r="AA849" i="8" s="1"/>
  <c r="Z850" i="8"/>
  <c r="AA850" i="8" s="1"/>
  <c r="Z851" i="8"/>
  <c r="Z852" i="8"/>
  <c r="Z853" i="8"/>
  <c r="AA853" i="8" s="1"/>
  <c r="Z854" i="8"/>
  <c r="Z855" i="8"/>
  <c r="AA855" i="8" s="1"/>
  <c r="Z856" i="8"/>
  <c r="AA856" i="8" s="1"/>
  <c r="Z857" i="8"/>
  <c r="Z858" i="8"/>
  <c r="Z859" i="8"/>
  <c r="AA859" i="8" s="1"/>
  <c r="Z860" i="8"/>
  <c r="Z861" i="8"/>
  <c r="AA861" i="8" s="1"/>
  <c r="Z862" i="8"/>
  <c r="AA862" i="8" s="1"/>
  <c r="Z863" i="8"/>
  <c r="Z864" i="8"/>
  <c r="Z865" i="8"/>
  <c r="Z866" i="8"/>
  <c r="Z867" i="8"/>
  <c r="AA867" i="8" s="1"/>
  <c r="Z868" i="8"/>
  <c r="AA868" i="8" s="1"/>
  <c r="Z869" i="8"/>
  <c r="Z870" i="8"/>
  <c r="Z871" i="8"/>
  <c r="AA871" i="8" s="1"/>
  <c r="Z872" i="8"/>
  <c r="Z873" i="8"/>
  <c r="AA873" i="8" s="1"/>
  <c r="Z874" i="8"/>
  <c r="AA874" i="8" s="1"/>
  <c r="Z875" i="8"/>
  <c r="Z876" i="8"/>
  <c r="Z877" i="8"/>
  <c r="Z878" i="8"/>
  <c r="Z879" i="8"/>
  <c r="Z880" i="8"/>
  <c r="AA880" i="8" s="1"/>
  <c r="Z881" i="8"/>
  <c r="Z882" i="8"/>
  <c r="Z883" i="8"/>
  <c r="AA883" i="8" s="1"/>
  <c r="Z884" i="8"/>
  <c r="Z885" i="8"/>
  <c r="AA885" i="8" s="1"/>
  <c r="Z886" i="8"/>
  <c r="AA886" i="8" s="1"/>
  <c r="Z887" i="8"/>
  <c r="Z888" i="8"/>
  <c r="Z889" i="8"/>
  <c r="AA889" i="8" s="1"/>
  <c r="Z890" i="8"/>
  <c r="Z891" i="8"/>
  <c r="AA891" i="8" s="1"/>
  <c r="Z892" i="8"/>
  <c r="AA892" i="8" s="1"/>
  <c r="Z893" i="8"/>
  <c r="Z894" i="8"/>
  <c r="Z895" i="8"/>
  <c r="AA895" i="8" s="1"/>
  <c r="Z896" i="8"/>
  <c r="Z897" i="8"/>
  <c r="AA897" i="8" s="1"/>
  <c r="Z898" i="8"/>
  <c r="AA898" i="8" s="1"/>
  <c r="Z899" i="8"/>
  <c r="Z900" i="8"/>
  <c r="Z901" i="8"/>
  <c r="Z902" i="8"/>
  <c r="Z903" i="8"/>
  <c r="AA903" i="8" s="1"/>
  <c r="Z904" i="8"/>
  <c r="AA904" i="8" s="1"/>
  <c r="Z905" i="8"/>
  <c r="Z906" i="8"/>
  <c r="Z907" i="8"/>
  <c r="AA907" i="8" s="1"/>
  <c r="Z908" i="8"/>
  <c r="Z909" i="8"/>
  <c r="AA909" i="8" s="1"/>
  <c r="Z910" i="8"/>
  <c r="AA910" i="8" s="1"/>
  <c r="Z911" i="8"/>
  <c r="Z912" i="8"/>
  <c r="Z913" i="8"/>
  <c r="Z914" i="8"/>
  <c r="Z915" i="8"/>
  <c r="Z916" i="8"/>
  <c r="AA916" i="8" s="1"/>
  <c r="Z917" i="8"/>
  <c r="Z918" i="8"/>
  <c r="Z919" i="8"/>
  <c r="AA919" i="8" s="1"/>
  <c r="Z920" i="8"/>
  <c r="Z921" i="8"/>
  <c r="AA921" i="8" s="1"/>
  <c r="Z922" i="8"/>
  <c r="AA922" i="8" s="1"/>
  <c r="Z923" i="8"/>
  <c r="Z924" i="8"/>
  <c r="Z925" i="8"/>
  <c r="AA925" i="8" s="1"/>
  <c r="Z926" i="8"/>
  <c r="Z927" i="8"/>
  <c r="AA927" i="8" s="1"/>
  <c r="Z928" i="8"/>
  <c r="AA928" i="8" s="1"/>
  <c r="Z929" i="8"/>
  <c r="Z930" i="8"/>
  <c r="Z931" i="8"/>
  <c r="AA931" i="8" s="1"/>
  <c r="Z932" i="8"/>
  <c r="Z933" i="8"/>
  <c r="AA933" i="8" s="1"/>
  <c r="Z934" i="8"/>
  <c r="AA934" i="8" s="1"/>
  <c r="Z935" i="8"/>
  <c r="Z936" i="8"/>
  <c r="AF959" i="10"/>
  <c r="AF960" i="10"/>
  <c r="AF961" i="10"/>
  <c r="AG961" i="10" s="1"/>
  <c r="AF962" i="10"/>
  <c r="AF963" i="10"/>
  <c r="AF964" i="10"/>
  <c r="AG964" i="10" s="1"/>
  <c r="AF965" i="10"/>
  <c r="AF966" i="10"/>
  <c r="AF967" i="10"/>
  <c r="AG967" i="10" s="1"/>
  <c r="AF968" i="10"/>
  <c r="AF969" i="10"/>
  <c r="AF970" i="10"/>
  <c r="AG970" i="10" s="1"/>
  <c r="AF971" i="10"/>
  <c r="AF972" i="10"/>
  <c r="AF973" i="10"/>
  <c r="AG973" i="10" s="1"/>
  <c r="AF974" i="10"/>
  <c r="AF975" i="10"/>
  <c r="AF976" i="10"/>
  <c r="AG976" i="10" s="1"/>
  <c r="AF977" i="10"/>
  <c r="AF978" i="10"/>
  <c r="AF979" i="10"/>
  <c r="AG979" i="10" s="1"/>
  <c r="AF980" i="10"/>
  <c r="AF981" i="10"/>
  <c r="AF982" i="10"/>
  <c r="AG982" i="10" s="1"/>
  <c r="AF983" i="10"/>
  <c r="AF984" i="10"/>
  <c r="AF985" i="10"/>
  <c r="AG985" i="10" s="1"/>
  <c r="AF986" i="10"/>
  <c r="AF987" i="10"/>
  <c r="AF988" i="10"/>
  <c r="AG988" i="10" s="1"/>
  <c r="AF989" i="10"/>
  <c r="AF990" i="10"/>
  <c r="AF991" i="10"/>
  <c r="AG991" i="10" s="1"/>
  <c r="AF992" i="10"/>
  <c r="AF993" i="10"/>
  <c r="AF994" i="10"/>
  <c r="AG994" i="10" s="1"/>
  <c r="AF995" i="10"/>
  <c r="AF996" i="10"/>
  <c r="AF997" i="10"/>
  <c r="AG997" i="10" s="1"/>
  <c r="AF998" i="10"/>
  <c r="AF999" i="10"/>
  <c r="AF1000" i="10"/>
  <c r="AG1000" i="10" s="1"/>
  <c r="AF3" i="10"/>
  <c r="AF5" i="10"/>
  <c r="AF6" i="10"/>
  <c r="AF7" i="10"/>
  <c r="AF8" i="10"/>
  <c r="AG8" i="10" s="1"/>
  <c r="AF9" i="10"/>
  <c r="AF10" i="10"/>
  <c r="AF11" i="10"/>
  <c r="AF12" i="10"/>
  <c r="AF13" i="10"/>
  <c r="AF14" i="10"/>
  <c r="AG14" i="10" s="1"/>
  <c r="AF15" i="10"/>
  <c r="AF16" i="10"/>
  <c r="AF17" i="10"/>
  <c r="AF18" i="10"/>
  <c r="AF19" i="10"/>
  <c r="AF20" i="10"/>
  <c r="AG20" i="10" s="1"/>
  <c r="AF21" i="10"/>
  <c r="AF22" i="10"/>
  <c r="AF23" i="10"/>
  <c r="AF24" i="10"/>
  <c r="AF25" i="10"/>
  <c r="AF26" i="10"/>
  <c r="AG26" i="10" s="1"/>
  <c r="AF27" i="10"/>
  <c r="AF28" i="10"/>
  <c r="AF29" i="10"/>
  <c r="AF30" i="10"/>
  <c r="AF31" i="10"/>
  <c r="AF32" i="10"/>
  <c r="AG32" i="10" s="1"/>
  <c r="AF33" i="10"/>
  <c r="AF34" i="10"/>
  <c r="AF35" i="10"/>
  <c r="AF36" i="10"/>
  <c r="AF37" i="10"/>
  <c r="AF38" i="10"/>
  <c r="AG38" i="10" s="1"/>
  <c r="AF39" i="10"/>
  <c r="AF41" i="10"/>
  <c r="AF42" i="10"/>
  <c r="AF43" i="10"/>
  <c r="AF44" i="10"/>
  <c r="AG44" i="10" s="1"/>
  <c r="AF46" i="10"/>
  <c r="AF47" i="10"/>
  <c r="AF48" i="10"/>
  <c r="AF49" i="10"/>
  <c r="AF50" i="10"/>
  <c r="AG50" i="10" s="1"/>
  <c r="AF51" i="10"/>
  <c r="AF52" i="10"/>
  <c r="AF53" i="10"/>
  <c r="AF54" i="10"/>
  <c r="AF55" i="10"/>
  <c r="AF56" i="10"/>
  <c r="AG56" i="10" s="1"/>
  <c r="AF57" i="10"/>
  <c r="AF58" i="10"/>
  <c r="AF59" i="10"/>
  <c r="AF60" i="10"/>
  <c r="AF61" i="10"/>
  <c r="AF62" i="10"/>
  <c r="AG62" i="10" s="1"/>
  <c r="AF63" i="10"/>
  <c r="AF64" i="10"/>
  <c r="AF65" i="10"/>
  <c r="AF66" i="10"/>
  <c r="AF67" i="10"/>
  <c r="AF68" i="10"/>
  <c r="AG68" i="10" s="1"/>
  <c r="AF69" i="10"/>
  <c r="AF70" i="10"/>
  <c r="AF71" i="10"/>
  <c r="AF72" i="10"/>
  <c r="AF73" i="10"/>
  <c r="AF74" i="10"/>
  <c r="AG74" i="10" s="1"/>
  <c r="AF75" i="10"/>
  <c r="AF76" i="10"/>
  <c r="AF77" i="10"/>
  <c r="AF78" i="10"/>
  <c r="AF79" i="10"/>
  <c r="AF80" i="10"/>
  <c r="AG80" i="10" s="1"/>
  <c r="AF81" i="10"/>
  <c r="AF82" i="10"/>
  <c r="AF83" i="10"/>
  <c r="AF84" i="10"/>
  <c r="AF85" i="10"/>
  <c r="AF86" i="10"/>
  <c r="AG86" i="10" s="1"/>
  <c r="AF87" i="10"/>
  <c r="AF88" i="10"/>
  <c r="AF89" i="10"/>
  <c r="AF90" i="10"/>
  <c r="AF91" i="10"/>
  <c r="AF92" i="10"/>
  <c r="AG92" i="10" s="1"/>
  <c r="AF93" i="10"/>
  <c r="AF94" i="10"/>
  <c r="AF95" i="10"/>
  <c r="AF96" i="10"/>
  <c r="AF97" i="10"/>
  <c r="AF98" i="10"/>
  <c r="AG98" i="10" s="1"/>
  <c r="AF99" i="10"/>
  <c r="AF100" i="10"/>
  <c r="AF101" i="10"/>
  <c r="AF102" i="10"/>
  <c r="AF103" i="10"/>
  <c r="AF104" i="10"/>
  <c r="AG104" i="10" s="1"/>
  <c r="AF105" i="10"/>
  <c r="AF106" i="10"/>
  <c r="AF107" i="10"/>
  <c r="AF108" i="10"/>
  <c r="AF109" i="10"/>
  <c r="AF110" i="10"/>
  <c r="AG110" i="10" s="1"/>
  <c r="AF111" i="10"/>
  <c r="AF112" i="10"/>
  <c r="AF113" i="10"/>
  <c r="AF114" i="10"/>
  <c r="AF115" i="10"/>
  <c r="AF116" i="10"/>
  <c r="AG116" i="10" s="1"/>
  <c r="AF117" i="10"/>
  <c r="AF118" i="10"/>
  <c r="AF119" i="10"/>
  <c r="AF120" i="10"/>
  <c r="AF121" i="10"/>
  <c r="AF122" i="10"/>
  <c r="AG122" i="10" s="1"/>
  <c r="AF123" i="10"/>
  <c r="AF124" i="10"/>
  <c r="AF125" i="10"/>
  <c r="AF126" i="10"/>
  <c r="AF127" i="10"/>
  <c r="AF128" i="10"/>
  <c r="AG128" i="10" s="1"/>
  <c r="AF129" i="10"/>
  <c r="AF130" i="10"/>
  <c r="AF131" i="10"/>
  <c r="AF132" i="10"/>
  <c r="AF133" i="10"/>
  <c r="AF134" i="10"/>
  <c r="AG134" i="10" s="1"/>
  <c r="AF135" i="10"/>
  <c r="AF136" i="10"/>
  <c r="AF137" i="10"/>
  <c r="AF138" i="10"/>
  <c r="AF139" i="10"/>
  <c r="AF140" i="10"/>
  <c r="AG140" i="10" s="1"/>
  <c r="AF141" i="10"/>
  <c r="AF142" i="10"/>
  <c r="AF143" i="10"/>
  <c r="AF144" i="10"/>
  <c r="AF145" i="10"/>
  <c r="AF146" i="10"/>
  <c r="AG146" i="10" s="1"/>
  <c r="AF147" i="10"/>
  <c r="AF148" i="10"/>
  <c r="AF149" i="10"/>
  <c r="AF150" i="10"/>
  <c r="AF151" i="10"/>
  <c r="AF152" i="10"/>
  <c r="AG152" i="10" s="1"/>
  <c r="AF153" i="10"/>
  <c r="AF154" i="10"/>
  <c r="AF155" i="10"/>
  <c r="AF156" i="10"/>
  <c r="AF157" i="10"/>
  <c r="AF158" i="10"/>
  <c r="AG158" i="10" s="1"/>
  <c r="AF159" i="10"/>
  <c r="AF160" i="10"/>
  <c r="AF161" i="10"/>
  <c r="AF162" i="10"/>
  <c r="AF163" i="10"/>
  <c r="AF164" i="10"/>
  <c r="AG164" i="10" s="1"/>
  <c r="AF165" i="10"/>
  <c r="AF166" i="10"/>
  <c r="AF167" i="10"/>
  <c r="AF168" i="10"/>
  <c r="AF169" i="10"/>
  <c r="AF170" i="10"/>
  <c r="AG170" i="10" s="1"/>
  <c r="AF171" i="10"/>
  <c r="AF172" i="10"/>
  <c r="AF173" i="10"/>
  <c r="AF174" i="10"/>
  <c r="AF175" i="10"/>
  <c r="AF176" i="10"/>
  <c r="AG176" i="10" s="1"/>
  <c r="AF177" i="10"/>
  <c r="AF178" i="10"/>
  <c r="AF179" i="10"/>
  <c r="AF180" i="10"/>
  <c r="AF181" i="10"/>
  <c r="AF182" i="10"/>
  <c r="AG182" i="10" s="1"/>
  <c r="AF183" i="10"/>
  <c r="AF184" i="10"/>
  <c r="AF185" i="10"/>
  <c r="AF186" i="10"/>
  <c r="AF187" i="10"/>
  <c r="AF188" i="10"/>
  <c r="AG188" i="10" s="1"/>
  <c r="AF189" i="10"/>
  <c r="AF190" i="10"/>
  <c r="AF191" i="10"/>
  <c r="AF192" i="10"/>
  <c r="AF193" i="10"/>
  <c r="AF194" i="10"/>
  <c r="AG194" i="10" s="1"/>
  <c r="AF195" i="10"/>
  <c r="AF196" i="10"/>
  <c r="AF197" i="10"/>
  <c r="AF198" i="10"/>
  <c r="AF199" i="10"/>
  <c r="AF200" i="10"/>
  <c r="AG200" i="10" s="1"/>
  <c r="AF201" i="10"/>
  <c r="AF202" i="10"/>
  <c r="AF203" i="10"/>
  <c r="AF204" i="10"/>
  <c r="AF205" i="10"/>
  <c r="AF206" i="10"/>
  <c r="AG206" i="10" s="1"/>
  <c r="AF207" i="10"/>
  <c r="AF208" i="10"/>
  <c r="AF209" i="10"/>
  <c r="AF210" i="10"/>
  <c r="AF211" i="10"/>
  <c r="AF212" i="10"/>
  <c r="AG212" i="10" s="1"/>
  <c r="AF213" i="10"/>
  <c r="AF214" i="10"/>
  <c r="AF215" i="10"/>
  <c r="AF216" i="10"/>
  <c r="AF217" i="10"/>
  <c r="AF218" i="10"/>
  <c r="AG218" i="10" s="1"/>
  <c r="AF219" i="10"/>
  <c r="AF220" i="10"/>
  <c r="AF221" i="10"/>
  <c r="AF222" i="10"/>
  <c r="AF223" i="10"/>
  <c r="AF224" i="10"/>
  <c r="AG224" i="10" s="1"/>
  <c r="AF225" i="10"/>
  <c r="AF226" i="10"/>
  <c r="AF227" i="10"/>
  <c r="AF228" i="10"/>
  <c r="AF229" i="10"/>
  <c r="AF230" i="10"/>
  <c r="AG230" i="10" s="1"/>
  <c r="AF231" i="10"/>
  <c r="AF232" i="10"/>
  <c r="AF233" i="10"/>
  <c r="AF234" i="10"/>
  <c r="AF235" i="10"/>
  <c r="AF236" i="10"/>
  <c r="AG236" i="10" s="1"/>
  <c r="AF237" i="10"/>
  <c r="AF238" i="10"/>
  <c r="AF239" i="10"/>
  <c r="AF240" i="10"/>
  <c r="AF241" i="10"/>
  <c r="AF242" i="10"/>
  <c r="AG242" i="10" s="1"/>
  <c r="AF243" i="10"/>
  <c r="AF244" i="10"/>
  <c r="AF245" i="10"/>
  <c r="AF246" i="10"/>
  <c r="AF247" i="10"/>
  <c r="AF248" i="10"/>
  <c r="AG248" i="10" s="1"/>
  <c r="AF249" i="10"/>
  <c r="AF250" i="10"/>
  <c r="AF251" i="10"/>
  <c r="AF252" i="10"/>
  <c r="AF253" i="10"/>
  <c r="AF254" i="10"/>
  <c r="AG254" i="10" s="1"/>
  <c r="AF255" i="10"/>
  <c r="AF256" i="10"/>
  <c r="AF257" i="10"/>
  <c r="AF258" i="10"/>
  <c r="AF259" i="10"/>
  <c r="AF260" i="10"/>
  <c r="AG260" i="10" s="1"/>
  <c r="AF261" i="10"/>
  <c r="AF262" i="10"/>
  <c r="AF263" i="10"/>
  <c r="AF264" i="10"/>
  <c r="AF265" i="10"/>
  <c r="AF266" i="10"/>
  <c r="AG266" i="10" s="1"/>
  <c r="AF267" i="10"/>
  <c r="AF268" i="10"/>
  <c r="AF269" i="10"/>
  <c r="AF270" i="10"/>
  <c r="AF271" i="10"/>
  <c r="AF272" i="10"/>
  <c r="AG272" i="10" s="1"/>
  <c r="AF273" i="10"/>
  <c r="AF274" i="10"/>
  <c r="AF275" i="10"/>
  <c r="AF276" i="10"/>
  <c r="AF277" i="10"/>
  <c r="AF278" i="10"/>
  <c r="AG278" i="10" s="1"/>
  <c r="AF279" i="10"/>
  <c r="AF280" i="10"/>
  <c r="AF281" i="10"/>
  <c r="AF282" i="10"/>
  <c r="AF283" i="10"/>
  <c r="AF284" i="10"/>
  <c r="AG284" i="10" s="1"/>
  <c r="AF285" i="10"/>
  <c r="AF286" i="10"/>
  <c r="AF287" i="10"/>
  <c r="AF288" i="10"/>
  <c r="AF289" i="10"/>
  <c r="AF290" i="10"/>
  <c r="AG290" i="10" s="1"/>
  <c r="AF291" i="10"/>
  <c r="AF292" i="10"/>
  <c r="AF293" i="10"/>
  <c r="AF294" i="10"/>
  <c r="AF295" i="10"/>
  <c r="AF296" i="10"/>
  <c r="AG296" i="10" s="1"/>
  <c r="AF297" i="10"/>
  <c r="AF298" i="10"/>
  <c r="AF299" i="10"/>
  <c r="AF300" i="10"/>
  <c r="AF301" i="10"/>
  <c r="AF302" i="10"/>
  <c r="AG302" i="10" s="1"/>
  <c r="AF303" i="10"/>
  <c r="AF304" i="10"/>
  <c r="AF305" i="10"/>
  <c r="AF306" i="10"/>
  <c r="AF307" i="10"/>
  <c r="AF308" i="10"/>
  <c r="AG308" i="10" s="1"/>
  <c r="AF309" i="10"/>
  <c r="AF310" i="10"/>
  <c r="AF311" i="10"/>
  <c r="AF312" i="10"/>
  <c r="AF313" i="10"/>
  <c r="AF314" i="10"/>
  <c r="AG314" i="10" s="1"/>
  <c r="AF315" i="10"/>
  <c r="AF316" i="10"/>
  <c r="AF317" i="10"/>
  <c r="AF318" i="10"/>
  <c r="AF319" i="10"/>
  <c r="AF320" i="10"/>
  <c r="AG320" i="10" s="1"/>
  <c r="AF321" i="10"/>
  <c r="AF322" i="10"/>
  <c r="AF323" i="10"/>
  <c r="AF324" i="10"/>
  <c r="AF325" i="10"/>
  <c r="AF326" i="10"/>
  <c r="AG326" i="10" s="1"/>
  <c r="AF327" i="10"/>
  <c r="AF328" i="10"/>
  <c r="AF329" i="10"/>
  <c r="AF330" i="10"/>
  <c r="AF331" i="10"/>
  <c r="AF332" i="10"/>
  <c r="AG332" i="10" s="1"/>
  <c r="AF333" i="10"/>
  <c r="AF334" i="10"/>
  <c r="AF335" i="10"/>
  <c r="AF336" i="10"/>
  <c r="AF337" i="10"/>
  <c r="AF338" i="10"/>
  <c r="AG338" i="10" s="1"/>
  <c r="AF339" i="10"/>
  <c r="AF340" i="10"/>
  <c r="AF341" i="10"/>
  <c r="AF342" i="10"/>
  <c r="AF343" i="10"/>
  <c r="AF344" i="10"/>
  <c r="AG344" i="10" s="1"/>
  <c r="AF345" i="10"/>
  <c r="AF346" i="10"/>
  <c r="AF347" i="10"/>
  <c r="AF348" i="10"/>
  <c r="AF349" i="10"/>
  <c r="AF350" i="10"/>
  <c r="AG350" i="10" s="1"/>
  <c r="AF351" i="10"/>
  <c r="AF352" i="10"/>
  <c r="AF353" i="10"/>
  <c r="AF354" i="10"/>
  <c r="AF355" i="10"/>
  <c r="AF356" i="10"/>
  <c r="AG356" i="10" s="1"/>
  <c r="AF357" i="10"/>
  <c r="AF358" i="10"/>
  <c r="AF359" i="10"/>
  <c r="AF360" i="10"/>
  <c r="AF361" i="10"/>
  <c r="AF362" i="10"/>
  <c r="AG362" i="10" s="1"/>
  <c r="AF363" i="10"/>
  <c r="AF364" i="10"/>
  <c r="AF365" i="10"/>
  <c r="AF366" i="10"/>
  <c r="AF367" i="10"/>
  <c r="AF368" i="10"/>
  <c r="AG368" i="10" s="1"/>
  <c r="AF369" i="10"/>
  <c r="AF370" i="10"/>
  <c r="AF371" i="10"/>
  <c r="AF372" i="10"/>
  <c r="AF373" i="10"/>
  <c r="AF374" i="10"/>
  <c r="AG374" i="10" s="1"/>
  <c r="AF375" i="10"/>
  <c r="AF376" i="10"/>
  <c r="AF377" i="10"/>
  <c r="AF378" i="10"/>
  <c r="AF379" i="10"/>
  <c r="AF380" i="10"/>
  <c r="AG380" i="10" s="1"/>
  <c r="AF381" i="10"/>
  <c r="AF382" i="10"/>
  <c r="AF383" i="10"/>
  <c r="AF384" i="10"/>
  <c r="AF385" i="10"/>
  <c r="AF386" i="10"/>
  <c r="AG386" i="10" s="1"/>
  <c r="AF387" i="10"/>
  <c r="AF388" i="10"/>
  <c r="AF389" i="10"/>
  <c r="AF390" i="10"/>
  <c r="AF391" i="10"/>
  <c r="AF392" i="10"/>
  <c r="AG392" i="10" s="1"/>
  <c r="AF393" i="10"/>
  <c r="AF394" i="10"/>
  <c r="AF395" i="10"/>
  <c r="AF396" i="10"/>
  <c r="AF397" i="10"/>
  <c r="AF398" i="10"/>
  <c r="AG398" i="10" s="1"/>
  <c r="AF399" i="10"/>
  <c r="AF400" i="10"/>
  <c r="AF401" i="10"/>
  <c r="AF402" i="10"/>
  <c r="AF403" i="10"/>
  <c r="AF404" i="10"/>
  <c r="AG404" i="10" s="1"/>
  <c r="AF405" i="10"/>
  <c r="AF406" i="10"/>
  <c r="AF407" i="10"/>
  <c r="AF408" i="10"/>
  <c r="AF409" i="10"/>
  <c r="AF410" i="10"/>
  <c r="AG410" i="10" s="1"/>
  <c r="AF411" i="10"/>
  <c r="AF412" i="10"/>
  <c r="AF413" i="10"/>
  <c r="AF414" i="10"/>
  <c r="AF415" i="10"/>
  <c r="AF416" i="10"/>
  <c r="AG416" i="10" s="1"/>
  <c r="AF417" i="10"/>
  <c r="AF418" i="10"/>
  <c r="AF419" i="10"/>
  <c r="AF420" i="10"/>
  <c r="AF421" i="10"/>
  <c r="AF422" i="10"/>
  <c r="AG422" i="10" s="1"/>
  <c r="AF423" i="10"/>
  <c r="AF424" i="10"/>
  <c r="AF425" i="10"/>
  <c r="AF426" i="10"/>
  <c r="AF427" i="10"/>
  <c r="AF428" i="10"/>
  <c r="AG428" i="10" s="1"/>
  <c r="AF429" i="10"/>
  <c r="AF430" i="10"/>
  <c r="AF431" i="10"/>
  <c r="AF432" i="10"/>
  <c r="AF433" i="10"/>
  <c r="AF434" i="10"/>
  <c r="AG434" i="10" s="1"/>
  <c r="AF435" i="10"/>
  <c r="AF436" i="10"/>
  <c r="AF437" i="10"/>
  <c r="AF438" i="10"/>
  <c r="AF439" i="10"/>
  <c r="AF440" i="10"/>
  <c r="AG440" i="10" s="1"/>
  <c r="AF441" i="10"/>
  <c r="AF442" i="10"/>
  <c r="AF443" i="10"/>
  <c r="AF444" i="10"/>
  <c r="AF445" i="10"/>
  <c r="AF446" i="10"/>
  <c r="AG446" i="10" s="1"/>
  <c r="AF447" i="10"/>
  <c r="AF448" i="10"/>
  <c r="AF449" i="10"/>
  <c r="AF450" i="10"/>
  <c r="AF451" i="10"/>
  <c r="AF452" i="10"/>
  <c r="AG452" i="10" s="1"/>
  <c r="AF453" i="10"/>
  <c r="AF454" i="10"/>
  <c r="AF455" i="10"/>
  <c r="AF456" i="10"/>
  <c r="AF457" i="10"/>
  <c r="AF458" i="10"/>
  <c r="AG458" i="10" s="1"/>
  <c r="AF459" i="10"/>
  <c r="AF460" i="10"/>
  <c r="AF461" i="10"/>
  <c r="AF462" i="10"/>
  <c r="AF463" i="10"/>
  <c r="AF464" i="10"/>
  <c r="AG464" i="10" s="1"/>
  <c r="AF465" i="10"/>
  <c r="AF466" i="10"/>
  <c r="AF467" i="10"/>
  <c r="AF468" i="10"/>
  <c r="AF469" i="10"/>
  <c r="AF470" i="10"/>
  <c r="AG470" i="10" s="1"/>
  <c r="AF471" i="10"/>
  <c r="AF472" i="10"/>
  <c r="AF473" i="10"/>
  <c r="AF474" i="10"/>
  <c r="AF475" i="10"/>
  <c r="AF476" i="10"/>
  <c r="AG476" i="10" s="1"/>
  <c r="AF477" i="10"/>
  <c r="AF478" i="10"/>
  <c r="AF479" i="10"/>
  <c r="AF480" i="10"/>
  <c r="AF481" i="10"/>
  <c r="AF482" i="10"/>
  <c r="AG482" i="10" s="1"/>
  <c r="AF483" i="10"/>
  <c r="AF484" i="10"/>
  <c r="AF485" i="10"/>
  <c r="AF486" i="10"/>
  <c r="AF487" i="10"/>
  <c r="AF488" i="10"/>
  <c r="AG488" i="10" s="1"/>
  <c r="AF489" i="10"/>
  <c r="AF490" i="10"/>
  <c r="AF491" i="10"/>
  <c r="AF492" i="10"/>
  <c r="AF493" i="10"/>
  <c r="AF494" i="10"/>
  <c r="AG494" i="10" s="1"/>
  <c r="AF495" i="10"/>
  <c r="AF496" i="10"/>
  <c r="AF497" i="10"/>
  <c r="AF498" i="10"/>
  <c r="AF499" i="10"/>
  <c r="AF500" i="10"/>
  <c r="AG500" i="10" s="1"/>
  <c r="AF501" i="10"/>
  <c r="AF502" i="10"/>
  <c r="AF503" i="10"/>
  <c r="AF504" i="10"/>
  <c r="AF505" i="10"/>
  <c r="AF506" i="10"/>
  <c r="AG506" i="10" s="1"/>
  <c r="AF507" i="10"/>
  <c r="AF508" i="10"/>
  <c r="AF509" i="10"/>
  <c r="AF510" i="10"/>
  <c r="AF511" i="10"/>
  <c r="AF512" i="10"/>
  <c r="AG512" i="10" s="1"/>
  <c r="AF513" i="10"/>
  <c r="AF514" i="10"/>
  <c r="AF515" i="10"/>
  <c r="AF516" i="10"/>
  <c r="AF517" i="10"/>
  <c r="AF518" i="10"/>
  <c r="AG518" i="10" s="1"/>
  <c r="AF519" i="10"/>
  <c r="AF520" i="10"/>
  <c r="AF521" i="10"/>
  <c r="AF522" i="10"/>
  <c r="AF523" i="10"/>
  <c r="AF524" i="10"/>
  <c r="AG524" i="10" s="1"/>
  <c r="AF525" i="10"/>
  <c r="AF526" i="10"/>
  <c r="AF527" i="10"/>
  <c r="AF528" i="10"/>
  <c r="AF529" i="10"/>
  <c r="AF530" i="10"/>
  <c r="AG530" i="10" s="1"/>
  <c r="AF531" i="10"/>
  <c r="AF532" i="10"/>
  <c r="AF533" i="10"/>
  <c r="AF534" i="10"/>
  <c r="AF535" i="10"/>
  <c r="AF536" i="10"/>
  <c r="AG536" i="10" s="1"/>
  <c r="AF537" i="10"/>
  <c r="AF538" i="10"/>
  <c r="AF539" i="10"/>
  <c r="AF540" i="10"/>
  <c r="AF541" i="10"/>
  <c r="AF542" i="10"/>
  <c r="AG542" i="10" s="1"/>
  <c r="AF543" i="10"/>
  <c r="AF544" i="10"/>
  <c r="AF545" i="10"/>
  <c r="AF546" i="10"/>
  <c r="AF547" i="10"/>
  <c r="AF548" i="10"/>
  <c r="AG548" i="10" s="1"/>
  <c r="AF549" i="10"/>
  <c r="AF550" i="10"/>
  <c r="AF551" i="10"/>
  <c r="AF552" i="10"/>
  <c r="AF553" i="10"/>
  <c r="AF554" i="10"/>
  <c r="AG554" i="10" s="1"/>
  <c r="AF555" i="10"/>
  <c r="AF556" i="10"/>
  <c r="AF557" i="10"/>
  <c r="AF558" i="10"/>
  <c r="AF559" i="10"/>
  <c r="AF560" i="10"/>
  <c r="AG560" i="10" s="1"/>
  <c r="AF561" i="10"/>
  <c r="AF562" i="10"/>
  <c r="AF563" i="10"/>
  <c r="AF564" i="10"/>
  <c r="AF565" i="10"/>
  <c r="AF566" i="10"/>
  <c r="AG566" i="10" s="1"/>
  <c r="AF567" i="10"/>
  <c r="AF568" i="10"/>
  <c r="AF569" i="10"/>
  <c r="AF570" i="10"/>
  <c r="AF571" i="10"/>
  <c r="AF572" i="10"/>
  <c r="AG572" i="10" s="1"/>
  <c r="AF573" i="10"/>
  <c r="AF574" i="10"/>
  <c r="AF575" i="10"/>
  <c r="AF576" i="10"/>
  <c r="AF577" i="10"/>
  <c r="AF578" i="10"/>
  <c r="AG578" i="10" s="1"/>
  <c r="AF579" i="10"/>
  <c r="AF580" i="10"/>
  <c r="AF581" i="10"/>
  <c r="AF582" i="10"/>
  <c r="AF583" i="10"/>
  <c r="AF584" i="10"/>
  <c r="AG584" i="10" s="1"/>
  <c r="AF585" i="10"/>
  <c r="AF586" i="10"/>
  <c r="AF587" i="10"/>
  <c r="AF588" i="10"/>
  <c r="AF589" i="10"/>
  <c r="AF590" i="10"/>
  <c r="AG590" i="10" s="1"/>
  <c r="AF591" i="10"/>
  <c r="AF592" i="10"/>
  <c r="AF593" i="10"/>
  <c r="AF594" i="10"/>
  <c r="AF595" i="10"/>
  <c r="AF596" i="10"/>
  <c r="AG596" i="10" s="1"/>
  <c r="AF597" i="10"/>
  <c r="AF598" i="10"/>
  <c r="AF599" i="10"/>
  <c r="AF600" i="10"/>
  <c r="AF601" i="10"/>
  <c r="AF602" i="10"/>
  <c r="AG602" i="10" s="1"/>
  <c r="AF603" i="10"/>
  <c r="AF604" i="10"/>
  <c r="AF605" i="10"/>
  <c r="AF606" i="10"/>
  <c r="AF607" i="10"/>
  <c r="AF608" i="10"/>
  <c r="AG608" i="10" s="1"/>
  <c r="AF609" i="10"/>
  <c r="AF610" i="10"/>
  <c r="AF611" i="10"/>
  <c r="AF612" i="10"/>
  <c r="AF613" i="10"/>
  <c r="AF614" i="10"/>
  <c r="AG614" i="10" s="1"/>
  <c r="AF615" i="10"/>
  <c r="AF616" i="10"/>
  <c r="AF617" i="10"/>
  <c r="AF618" i="10"/>
  <c r="AF619" i="10"/>
  <c r="AF620" i="10"/>
  <c r="AG620" i="10" s="1"/>
  <c r="AF621" i="10"/>
  <c r="AF622" i="10"/>
  <c r="AF623" i="10"/>
  <c r="AF624" i="10"/>
  <c r="AG626" i="10"/>
  <c r="AG632" i="10"/>
  <c r="AG638" i="10"/>
  <c r="AG644" i="10"/>
  <c r="AG650" i="10"/>
  <c r="AF651" i="10"/>
  <c r="AF652" i="10"/>
  <c r="AF653" i="10"/>
  <c r="AF654" i="10"/>
  <c r="AF655" i="10"/>
  <c r="AF656" i="10"/>
  <c r="AG656" i="10" s="1"/>
  <c r="AF657" i="10"/>
  <c r="AF658" i="10"/>
  <c r="AF659" i="10"/>
  <c r="AF660" i="10"/>
  <c r="AF661" i="10"/>
  <c r="AF662" i="10"/>
  <c r="AG662" i="10" s="1"/>
  <c r="AF663" i="10"/>
  <c r="AF664" i="10"/>
  <c r="AF665" i="10"/>
  <c r="AF666" i="10"/>
  <c r="AF667" i="10"/>
  <c r="AF668" i="10"/>
  <c r="AG668" i="10" s="1"/>
  <c r="AF669" i="10"/>
  <c r="AF670" i="10"/>
  <c r="AF671" i="10"/>
  <c r="AF672" i="10"/>
  <c r="AF673" i="10"/>
  <c r="AF674" i="10"/>
  <c r="AG674" i="10" s="1"/>
  <c r="AF675" i="10"/>
  <c r="AF676" i="10"/>
  <c r="AF677" i="10"/>
  <c r="AF678" i="10"/>
  <c r="AF679" i="10"/>
  <c r="AF680" i="10"/>
  <c r="AG680" i="10" s="1"/>
  <c r="AF681" i="10"/>
  <c r="AF682" i="10"/>
  <c r="AF683" i="10"/>
  <c r="AF684" i="10"/>
  <c r="AF685" i="10"/>
  <c r="AF686" i="10"/>
  <c r="AG686" i="10" s="1"/>
  <c r="AF687" i="10"/>
  <c r="AF688" i="10"/>
  <c r="AF689" i="10"/>
  <c r="AF690" i="10"/>
  <c r="AF691" i="10"/>
  <c r="AF692" i="10"/>
  <c r="AG692" i="10" s="1"/>
  <c r="AF693" i="10"/>
  <c r="AF694" i="10"/>
  <c r="AF695" i="10"/>
  <c r="AF696" i="10"/>
  <c r="AF697" i="10"/>
  <c r="AF698" i="10"/>
  <c r="AG698" i="10" s="1"/>
  <c r="AF699" i="10"/>
  <c r="AF700" i="10"/>
  <c r="AF701" i="10"/>
  <c r="AF702" i="10"/>
  <c r="AF703" i="10"/>
  <c r="AF704" i="10"/>
  <c r="AG704" i="10" s="1"/>
  <c r="AF705" i="10"/>
  <c r="AF706" i="10"/>
  <c r="AF707" i="10"/>
  <c r="AF708" i="10"/>
  <c r="AF709" i="10"/>
  <c r="AF710" i="10"/>
  <c r="AG710" i="10" s="1"/>
  <c r="AF711" i="10"/>
  <c r="AF712" i="10"/>
  <c r="AF713" i="10"/>
  <c r="AF714" i="10"/>
  <c r="AF715" i="10"/>
  <c r="AF716" i="10"/>
  <c r="AG716" i="10" s="1"/>
  <c r="AF717" i="10"/>
  <c r="AF718" i="10"/>
  <c r="AF719" i="10"/>
  <c r="AF720" i="10"/>
  <c r="AF721" i="10"/>
  <c r="AF722" i="10"/>
  <c r="AG722" i="10" s="1"/>
  <c r="AF723" i="10"/>
  <c r="AF724" i="10"/>
  <c r="AF725" i="10"/>
  <c r="AF726" i="10"/>
  <c r="AF727" i="10"/>
  <c r="AF728" i="10"/>
  <c r="AG728" i="10" s="1"/>
  <c r="AF729" i="10"/>
  <c r="AF730" i="10"/>
  <c r="AF731" i="10"/>
  <c r="AF732" i="10"/>
  <c r="AF733" i="10"/>
  <c r="AF734" i="10"/>
  <c r="AG734" i="10" s="1"/>
  <c r="AF735" i="10"/>
  <c r="AF736" i="10"/>
  <c r="AF737" i="10"/>
  <c r="AF738" i="10"/>
  <c r="AF739" i="10"/>
  <c r="AF740" i="10"/>
  <c r="AG740" i="10" s="1"/>
  <c r="AF741" i="10"/>
  <c r="AF742" i="10"/>
  <c r="AF743" i="10"/>
  <c r="AF744" i="10"/>
  <c r="AF745" i="10"/>
  <c r="AF746" i="10"/>
  <c r="AG746" i="10" s="1"/>
  <c r="AF747" i="10"/>
  <c r="AF748" i="10"/>
  <c r="AF749" i="10"/>
  <c r="AF750" i="10"/>
  <c r="AF751" i="10"/>
  <c r="AF752" i="10"/>
  <c r="AG752" i="10" s="1"/>
  <c r="AF753" i="10"/>
  <c r="AF754" i="10"/>
  <c r="AF755" i="10"/>
  <c r="AF756" i="10"/>
  <c r="AF757" i="10"/>
  <c r="AF758" i="10"/>
  <c r="AG758" i="10" s="1"/>
  <c r="AF759" i="10"/>
  <c r="AF760" i="10"/>
  <c r="AF761" i="10"/>
  <c r="AF762" i="10"/>
  <c r="AF763" i="10"/>
  <c r="AF764" i="10"/>
  <c r="AG764" i="10" s="1"/>
  <c r="AF765" i="10"/>
  <c r="AF766" i="10"/>
  <c r="AF767" i="10"/>
  <c r="AF768" i="10"/>
  <c r="AF769" i="10"/>
  <c r="AF770" i="10"/>
  <c r="AG770" i="10" s="1"/>
  <c r="AF771" i="10"/>
  <c r="AF772" i="10"/>
  <c r="AF773" i="10"/>
  <c r="AF774" i="10"/>
  <c r="AF775" i="10"/>
  <c r="AF776" i="10"/>
  <c r="AG776" i="10" s="1"/>
  <c r="AF777" i="10"/>
  <c r="AF778" i="10"/>
  <c r="AF779" i="10"/>
  <c r="AF780" i="10"/>
  <c r="AF781" i="10"/>
  <c r="AF782" i="10"/>
  <c r="AG782" i="10" s="1"/>
  <c r="AF783" i="10"/>
  <c r="AF784" i="10"/>
  <c r="AF785" i="10"/>
  <c r="AF786" i="10"/>
  <c r="AF787" i="10"/>
  <c r="AF788" i="10"/>
  <c r="AG788" i="10" s="1"/>
  <c r="AF789" i="10"/>
  <c r="AF790" i="10"/>
  <c r="AF791" i="10"/>
  <c r="AF792" i="10"/>
  <c r="AF793" i="10"/>
  <c r="AF794" i="10"/>
  <c r="AG794" i="10" s="1"/>
  <c r="AF795" i="10"/>
  <c r="AF796" i="10"/>
  <c r="AF797" i="10"/>
  <c r="AF798" i="10"/>
  <c r="AF799" i="10"/>
  <c r="AF800" i="10"/>
  <c r="AG800" i="10" s="1"/>
  <c r="AF801" i="10"/>
  <c r="AF802" i="10"/>
  <c r="AF803" i="10"/>
  <c r="AF804" i="10"/>
  <c r="AF805" i="10"/>
  <c r="AF806" i="10"/>
  <c r="AG806" i="10" s="1"/>
  <c r="AF807" i="10"/>
  <c r="AF808" i="10"/>
  <c r="AF809" i="10"/>
  <c r="AF810" i="10"/>
  <c r="AF811" i="10"/>
  <c r="AF812" i="10"/>
  <c r="AG812" i="10" s="1"/>
  <c r="AF813" i="10"/>
  <c r="AF814" i="10"/>
  <c r="AF815" i="10"/>
  <c r="AF816" i="10"/>
  <c r="AF817" i="10"/>
  <c r="AF818" i="10"/>
  <c r="AG818" i="10" s="1"/>
  <c r="AF819" i="10"/>
  <c r="AF820" i="10"/>
  <c r="AF821" i="10"/>
  <c r="AF822" i="10"/>
  <c r="AF823" i="10"/>
  <c r="AF824" i="10"/>
  <c r="AG824" i="10" s="1"/>
  <c r="AF825" i="10"/>
  <c r="AF826" i="10"/>
  <c r="AF827" i="10"/>
  <c r="AF828" i="10"/>
  <c r="AF829" i="10"/>
  <c r="AF830" i="10"/>
  <c r="AG830" i="10" s="1"/>
  <c r="AF831" i="10"/>
  <c r="AF832" i="10"/>
  <c r="AF833" i="10"/>
  <c r="AF834" i="10"/>
  <c r="AF835" i="10"/>
  <c r="AF836" i="10"/>
  <c r="AG836" i="10" s="1"/>
  <c r="AF837" i="10"/>
  <c r="AF838" i="10"/>
  <c r="AF839" i="10"/>
  <c r="AF840" i="10"/>
  <c r="AF841" i="10"/>
  <c r="AF842" i="10"/>
  <c r="AG842" i="10" s="1"/>
  <c r="AF843" i="10"/>
  <c r="AF844" i="10"/>
  <c r="AF845" i="10"/>
  <c r="AF846" i="10"/>
  <c r="AF847" i="10"/>
  <c r="AF848" i="10"/>
  <c r="AG848" i="10" s="1"/>
  <c r="AF849" i="10"/>
  <c r="AF850" i="10"/>
  <c r="AF851" i="10"/>
  <c r="AF852" i="10"/>
  <c r="AF853" i="10"/>
  <c r="AF854" i="10"/>
  <c r="AG854" i="10" s="1"/>
  <c r="AF855" i="10"/>
  <c r="AF856" i="10"/>
  <c r="AF857" i="10"/>
  <c r="AF858" i="10"/>
  <c r="AF859" i="10"/>
  <c r="AF860" i="10"/>
  <c r="AG860" i="10" s="1"/>
  <c r="AF861" i="10"/>
  <c r="AF862" i="10"/>
  <c r="AF863" i="10"/>
  <c r="AF864" i="10"/>
  <c r="AF865" i="10"/>
  <c r="AF866" i="10"/>
  <c r="AG866" i="10" s="1"/>
  <c r="AF867" i="10"/>
  <c r="AF868" i="10"/>
  <c r="AF869" i="10"/>
  <c r="AF870" i="10"/>
  <c r="AF871" i="10"/>
  <c r="AF872" i="10"/>
  <c r="AG872" i="10" s="1"/>
  <c r="AF873" i="10"/>
  <c r="AF874" i="10"/>
  <c r="AF875" i="10"/>
  <c r="AF876" i="10"/>
  <c r="AF877" i="10"/>
  <c r="AF878" i="10"/>
  <c r="AG878" i="10" s="1"/>
  <c r="AF879" i="10"/>
  <c r="AF880" i="10"/>
  <c r="AF881" i="10"/>
  <c r="AF882" i="10"/>
  <c r="AF883" i="10"/>
  <c r="AF884" i="10"/>
  <c r="AG884" i="10" s="1"/>
  <c r="AF885" i="10"/>
  <c r="AF886" i="10"/>
  <c r="AF887" i="10"/>
  <c r="AF888" i="10"/>
  <c r="AF889" i="10"/>
  <c r="AF890" i="10"/>
  <c r="AG890" i="10" s="1"/>
  <c r="AF891" i="10"/>
  <c r="AF892" i="10"/>
  <c r="AF893" i="10"/>
  <c r="AF894" i="10"/>
  <c r="AF895" i="10"/>
  <c r="AF896" i="10"/>
  <c r="AG896" i="10" s="1"/>
  <c r="AF897" i="10"/>
  <c r="AF898" i="10"/>
  <c r="AF899" i="10"/>
  <c r="AF900" i="10"/>
  <c r="AF901" i="10"/>
  <c r="AF902" i="10"/>
  <c r="AG902" i="10" s="1"/>
  <c r="AF903" i="10"/>
  <c r="AF904" i="10"/>
  <c r="AF905" i="10"/>
  <c r="AF906" i="10"/>
  <c r="AF907" i="10"/>
  <c r="AF908" i="10"/>
  <c r="AG908" i="10" s="1"/>
  <c r="AF909" i="10"/>
  <c r="AF910" i="10"/>
  <c r="AF911" i="10"/>
  <c r="AF912" i="10"/>
  <c r="AF913" i="10"/>
  <c r="AF914" i="10"/>
  <c r="AG914" i="10" s="1"/>
  <c r="AF915" i="10"/>
  <c r="AF916" i="10"/>
  <c r="AF917" i="10"/>
  <c r="AF918" i="10"/>
  <c r="AF919" i="10"/>
  <c r="AF920" i="10"/>
  <c r="AG920" i="10" s="1"/>
  <c r="AF921" i="10"/>
  <c r="AF922" i="10"/>
  <c r="AF923" i="10"/>
  <c r="AF924" i="10"/>
  <c r="AF925" i="10"/>
  <c r="AF926" i="10"/>
  <c r="AG926" i="10" s="1"/>
  <c r="AF927" i="10"/>
  <c r="AF928" i="10"/>
  <c r="AF929" i="10"/>
  <c r="AF930" i="10"/>
  <c r="AF931" i="10"/>
  <c r="AF932" i="10"/>
  <c r="AG932" i="10" s="1"/>
  <c r="AF933" i="10"/>
  <c r="AF934" i="10"/>
  <c r="AF935" i="10"/>
  <c r="AF936" i="10"/>
  <c r="AF937" i="10"/>
  <c r="AF938" i="10"/>
  <c r="AG938" i="10" s="1"/>
  <c r="AF939" i="10"/>
  <c r="AF940" i="10"/>
  <c r="AF941" i="10"/>
  <c r="AF942" i="10"/>
  <c r="AF943" i="10"/>
  <c r="AF944" i="10"/>
  <c r="AG944" i="10" s="1"/>
  <c r="AF945" i="10"/>
  <c r="AF946" i="10"/>
  <c r="AF947" i="10"/>
  <c r="AF948" i="10"/>
  <c r="AF949" i="10"/>
  <c r="AF950" i="10"/>
  <c r="AG950" i="10" s="1"/>
  <c r="AF951" i="10"/>
  <c r="AF952" i="10"/>
  <c r="AF953" i="10"/>
  <c r="AF954" i="10"/>
  <c r="AF955" i="10"/>
  <c r="AF956" i="10"/>
  <c r="AG956" i="10" s="1"/>
  <c r="AF957" i="10"/>
  <c r="AF958" i="10"/>
  <c r="AG960" i="10"/>
  <c r="AJ960" i="10"/>
  <c r="AJ961" i="10"/>
  <c r="AG962" i="10"/>
  <c r="AJ962" i="10"/>
  <c r="AG963" i="10"/>
  <c r="AJ963" i="10"/>
  <c r="AJ964" i="10"/>
  <c r="AG965" i="10"/>
  <c r="AJ965" i="10"/>
  <c r="AG966" i="10"/>
  <c r="AJ966" i="10"/>
  <c r="AJ967" i="10"/>
  <c r="AG968" i="10"/>
  <c r="AJ968" i="10"/>
  <c r="AG969" i="10"/>
  <c r="AJ969" i="10"/>
  <c r="AJ970" i="10"/>
  <c r="AG971" i="10"/>
  <c r="AJ971" i="10"/>
  <c r="AG972" i="10"/>
  <c r="AJ972" i="10"/>
  <c r="AJ973" i="10"/>
  <c r="AG974" i="10"/>
  <c r="AJ974" i="10"/>
  <c r="AG975" i="10"/>
  <c r="AJ975" i="10"/>
  <c r="AJ976" i="10"/>
  <c r="AG977" i="10"/>
  <c r="AJ977" i="10"/>
  <c r="AG978" i="10"/>
  <c r="AJ978" i="10"/>
  <c r="AJ979" i="10"/>
  <c r="AG980" i="10"/>
  <c r="AJ980" i="10"/>
  <c r="AG981" i="10"/>
  <c r="AJ981" i="10"/>
  <c r="AJ982" i="10"/>
  <c r="AG983" i="10"/>
  <c r="AJ983" i="10"/>
  <c r="AG984" i="10"/>
  <c r="AJ984" i="10"/>
  <c r="AJ985" i="10"/>
  <c r="AG986" i="10"/>
  <c r="AJ986" i="10"/>
  <c r="AG987" i="10"/>
  <c r="AJ987" i="10"/>
  <c r="AJ988" i="10"/>
  <c r="AG989" i="10"/>
  <c r="AJ989" i="10"/>
  <c r="AG990" i="10"/>
  <c r="AJ990" i="10"/>
  <c r="AJ991" i="10"/>
  <c r="AG992" i="10"/>
  <c r="AJ992" i="10"/>
  <c r="AG993" i="10"/>
  <c r="AJ993" i="10"/>
  <c r="AJ994" i="10"/>
  <c r="AG995" i="10"/>
  <c r="AJ995" i="10"/>
  <c r="AG996" i="10"/>
  <c r="AJ996" i="10"/>
  <c r="AJ997" i="10"/>
  <c r="AG998" i="10"/>
  <c r="AJ998" i="10"/>
  <c r="AG999" i="10"/>
  <c r="AJ999" i="10"/>
  <c r="AJ1000" i="10"/>
  <c r="AJ3" i="10"/>
  <c r="AJ4" i="10"/>
  <c r="AJ5" i="10"/>
  <c r="AJ6" i="10"/>
  <c r="AJ7" i="10"/>
  <c r="AJ8" i="10"/>
  <c r="AJ9" i="10"/>
  <c r="AJ10" i="10"/>
  <c r="AJ11" i="10"/>
  <c r="AJ12" i="10"/>
  <c r="AJ13" i="10"/>
  <c r="AJ14" i="10"/>
  <c r="AJ15" i="10"/>
  <c r="AJ16" i="10"/>
  <c r="AJ17" i="10"/>
  <c r="AJ18" i="10"/>
  <c r="AJ19" i="10"/>
  <c r="AJ20" i="10"/>
  <c r="AJ21" i="10"/>
  <c r="AJ22" i="10"/>
  <c r="AJ23" i="10"/>
  <c r="AJ24" i="10"/>
  <c r="AJ25" i="10"/>
  <c r="AJ26" i="10"/>
  <c r="AJ27" i="10"/>
  <c r="AJ28" i="10"/>
  <c r="AJ29" i="10"/>
  <c r="AJ30" i="10"/>
  <c r="AJ31" i="10"/>
  <c r="AJ32" i="10"/>
  <c r="AJ33" i="10"/>
  <c r="AJ34" i="10"/>
  <c r="AJ35" i="10"/>
  <c r="AJ36" i="10"/>
  <c r="AJ37" i="10"/>
  <c r="AJ38" i="10"/>
  <c r="AJ39" i="10"/>
  <c r="AJ40" i="10"/>
  <c r="AJ41" i="10"/>
  <c r="AJ42" i="10"/>
  <c r="AJ43" i="10"/>
  <c r="AJ44" i="10"/>
  <c r="AJ45" i="10"/>
  <c r="AJ46" i="10"/>
  <c r="AJ47" i="10"/>
  <c r="AJ48" i="10"/>
  <c r="AJ49" i="10"/>
  <c r="AJ50" i="10"/>
  <c r="AJ51" i="10"/>
  <c r="AJ52" i="10"/>
  <c r="AJ53" i="10"/>
  <c r="AJ54" i="10"/>
  <c r="AJ55" i="10"/>
  <c r="AJ56" i="10"/>
  <c r="AJ57" i="10"/>
  <c r="AJ58" i="10"/>
  <c r="AJ59" i="10"/>
  <c r="AJ60" i="10"/>
  <c r="AJ61" i="10"/>
  <c r="AJ62" i="10"/>
  <c r="AJ63" i="10"/>
  <c r="AJ64" i="10"/>
  <c r="AJ65" i="10"/>
  <c r="AJ66" i="10"/>
  <c r="AJ67" i="10"/>
  <c r="AJ68" i="10"/>
  <c r="AJ69" i="10"/>
  <c r="AJ70" i="10"/>
  <c r="AJ71" i="10"/>
  <c r="AJ72" i="10"/>
  <c r="AJ73" i="10"/>
  <c r="AJ74" i="10"/>
  <c r="AJ75" i="10"/>
  <c r="AJ76" i="10"/>
  <c r="AJ77" i="10"/>
  <c r="AJ78" i="10"/>
  <c r="AJ79" i="10"/>
  <c r="AJ80" i="10"/>
  <c r="AJ81" i="10"/>
  <c r="AJ82" i="10"/>
  <c r="AJ83" i="10"/>
  <c r="AJ84" i="10"/>
  <c r="AJ85" i="10"/>
  <c r="AJ86" i="10"/>
  <c r="AJ87" i="10"/>
  <c r="AJ88" i="10"/>
  <c r="AJ89" i="10"/>
  <c r="AJ90" i="10"/>
  <c r="AJ91" i="10"/>
  <c r="AJ92" i="10"/>
  <c r="AJ93" i="10"/>
  <c r="AJ94" i="10"/>
  <c r="AJ95" i="10"/>
  <c r="AJ96" i="10"/>
  <c r="AJ97" i="10"/>
  <c r="AJ98" i="10"/>
  <c r="AJ99" i="10"/>
  <c r="AJ100" i="10"/>
  <c r="AJ101" i="10"/>
  <c r="AJ102" i="10"/>
  <c r="AJ103" i="10"/>
  <c r="AJ104" i="10"/>
  <c r="AJ105" i="10"/>
  <c r="AJ106" i="10"/>
  <c r="AJ107" i="10"/>
  <c r="AJ108" i="10"/>
  <c r="AJ109" i="10"/>
  <c r="AJ110" i="10"/>
  <c r="AJ111" i="10"/>
  <c r="AJ112" i="10"/>
  <c r="AJ113" i="10"/>
  <c r="AJ114" i="10"/>
  <c r="AJ115" i="10"/>
  <c r="AJ116" i="10"/>
  <c r="AJ117" i="10"/>
  <c r="AJ118" i="10"/>
  <c r="AJ119" i="10"/>
  <c r="AJ120" i="10"/>
  <c r="AJ121" i="10"/>
  <c r="AJ122" i="10"/>
  <c r="AJ123" i="10"/>
  <c r="AJ124" i="10"/>
  <c r="AJ125" i="10"/>
  <c r="AJ126" i="10"/>
  <c r="AJ127" i="10"/>
  <c r="AJ128" i="10"/>
  <c r="AJ129" i="10"/>
  <c r="AJ130" i="10"/>
  <c r="AJ131" i="10"/>
  <c r="AJ132" i="10"/>
  <c r="AJ133" i="10"/>
  <c r="AJ134" i="10"/>
  <c r="AJ135" i="10"/>
  <c r="AJ136" i="10"/>
  <c r="AJ137" i="10"/>
  <c r="AJ138" i="10"/>
  <c r="AJ139" i="10"/>
  <c r="AJ140" i="10"/>
  <c r="AJ141" i="10"/>
  <c r="AJ142" i="10"/>
  <c r="AJ143" i="10"/>
  <c r="AJ144" i="10"/>
  <c r="AJ145" i="10"/>
  <c r="AJ146" i="10"/>
  <c r="AJ147" i="10"/>
  <c r="AJ148" i="10"/>
  <c r="AJ149" i="10"/>
  <c r="AJ150" i="10"/>
  <c r="AJ151" i="10"/>
  <c r="AJ152" i="10"/>
  <c r="AJ153" i="10"/>
  <c r="AJ154" i="10"/>
  <c r="AJ155" i="10"/>
  <c r="AJ156" i="10"/>
  <c r="AJ157" i="10"/>
  <c r="AJ158" i="10"/>
  <c r="AJ159" i="10"/>
  <c r="AJ160" i="10"/>
  <c r="AJ161" i="10"/>
  <c r="AJ162" i="10"/>
  <c r="AJ163" i="10"/>
  <c r="AJ164" i="10"/>
  <c r="AJ165" i="10"/>
  <c r="AJ166" i="10"/>
  <c r="AJ167" i="10"/>
  <c r="AJ168" i="10"/>
  <c r="AJ169" i="10"/>
  <c r="AJ170" i="10"/>
  <c r="AJ171" i="10"/>
  <c r="AJ172" i="10"/>
  <c r="AJ173" i="10"/>
  <c r="AJ174" i="10"/>
  <c r="AJ175" i="10"/>
  <c r="AJ176" i="10"/>
  <c r="AJ177" i="10"/>
  <c r="AJ178" i="10"/>
  <c r="AJ179" i="10"/>
  <c r="AJ180" i="10"/>
  <c r="AJ181" i="10"/>
  <c r="AJ182" i="10"/>
  <c r="AJ183" i="10"/>
  <c r="AJ184" i="10"/>
  <c r="AJ185" i="10"/>
  <c r="AJ186" i="10"/>
  <c r="AJ187" i="10"/>
  <c r="AJ188" i="10"/>
  <c r="AJ189" i="10"/>
  <c r="AJ190" i="10"/>
  <c r="AJ191" i="10"/>
  <c r="AJ192" i="10"/>
  <c r="AJ193" i="10"/>
  <c r="AJ194" i="10"/>
  <c r="AJ195" i="10"/>
  <c r="AJ196" i="10"/>
  <c r="AJ197" i="10"/>
  <c r="AJ198" i="10"/>
  <c r="AJ199" i="10"/>
  <c r="AJ200" i="10"/>
  <c r="AJ201" i="10"/>
  <c r="AJ202" i="10"/>
  <c r="AJ203" i="10"/>
  <c r="AJ204" i="10"/>
  <c r="AJ205" i="10"/>
  <c r="AJ206" i="10"/>
  <c r="AJ207" i="10"/>
  <c r="AJ208" i="10"/>
  <c r="AJ209" i="10"/>
  <c r="AJ210" i="10"/>
  <c r="AJ211" i="10"/>
  <c r="AJ212" i="10"/>
  <c r="AJ213" i="10"/>
  <c r="AJ214" i="10"/>
  <c r="AJ215" i="10"/>
  <c r="AJ216" i="10"/>
  <c r="AJ217" i="10"/>
  <c r="AJ218" i="10"/>
  <c r="AJ219" i="10"/>
  <c r="AJ220" i="10"/>
  <c r="AJ221" i="10"/>
  <c r="AJ222" i="10"/>
  <c r="AJ223" i="10"/>
  <c r="AJ224" i="10"/>
  <c r="AJ225" i="10"/>
  <c r="AJ226" i="10"/>
  <c r="AJ227" i="10"/>
  <c r="AJ228" i="10"/>
  <c r="AJ229" i="10"/>
  <c r="AJ230" i="10"/>
  <c r="AJ231" i="10"/>
  <c r="AJ232" i="10"/>
  <c r="AJ233" i="10"/>
  <c r="AJ234" i="10"/>
  <c r="AJ235" i="10"/>
  <c r="AJ236" i="10"/>
  <c r="AJ237" i="10"/>
  <c r="AJ238" i="10"/>
  <c r="AJ239" i="10"/>
  <c r="AJ240" i="10"/>
  <c r="AJ241" i="10"/>
  <c r="AJ242" i="10"/>
  <c r="AJ243" i="10"/>
  <c r="AJ244" i="10"/>
  <c r="AJ245" i="10"/>
  <c r="AJ246" i="10"/>
  <c r="AJ247" i="10"/>
  <c r="AJ248" i="10"/>
  <c r="AJ249" i="10"/>
  <c r="AJ250" i="10"/>
  <c r="AJ251" i="10"/>
  <c r="AJ252" i="10"/>
  <c r="AJ253" i="10"/>
  <c r="AJ254" i="10"/>
  <c r="AJ255" i="10"/>
  <c r="AJ256" i="10"/>
  <c r="AJ257" i="10"/>
  <c r="AJ258" i="10"/>
  <c r="AJ259" i="10"/>
  <c r="AJ260" i="10"/>
  <c r="AJ261" i="10"/>
  <c r="AJ262" i="10"/>
  <c r="AJ263" i="10"/>
  <c r="AJ264" i="10"/>
  <c r="AJ265" i="10"/>
  <c r="AJ266" i="10"/>
  <c r="AJ267" i="10"/>
  <c r="AJ268" i="10"/>
  <c r="AJ269" i="10"/>
  <c r="AJ270" i="10"/>
  <c r="AJ271" i="10"/>
  <c r="AJ272" i="10"/>
  <c r="AJ273" i="10"/>
  <c r="AJ274" i="10"/>
  <c r="AJ275" i="10"/>
  <c r="AJ276" i="10"/>
  <c r="AJ277" i="10"/>
  <c r="AJ278" i="10"/>
  <c r="AJ279" i="10"/>
  <c r="AJ280" i="10"/>
  <c r="AJ281" i="10"/>
  <c r="AJ282" i="10"/>
  <c r="AJ283" i="10"/>
  <c r="AJ284" i="10"/>
  <c r="AJ285" i="10"/>
  <c r="AJ286" i="10"/>
  <c r="AJ287" i="10"/>
  <c r="AJ288" i="10"/>
  <c r="AJ289" i="10"/>
  <c r="AJ290" i="10"/>
  <c r="AJ291" i="10"/>
  <c r="AJ292" i="10"/>
  <c r="AJ293" i="10"/>
  <c r="AJ294" i="10"/>
  <c r="AJ295" i="10"/>
  <c r="AJ296" i="10"/>
  <c r="AJ297" i="10"/>
  <c r="AJ298" i="10"/>
  <c r="AJ299" i="10"/>
  <c r="AJ300" i="10"/>
  <c r="AJ301" i="10"/>
  <c r="AJ302" i="10"/>
  <c r="AJ303" i="10"/>
  <c r="AJ304" i="10"/>
  <c r="AJ305" i="10"/>
  <c r="AJ306" i="10"/>
  <c r="AJ307" i="10"/>
  <c r="AJ308" i="10"/>
  <c r="AJ309" i="10"/>
  <c r="AJ310" i="10"/>
  <c r="AJ311" i="10"/>
  <c r="AJ312" i="10"/>
  <c r="AJ313" i="10"/>
  <c r="AJ314" i="10"/>
  <c r="AJ315" i="10"/>
  <c r="AJ316" i="10"/>
  <c r="AJ317" i="10"/>
  <c r="AJ318" i="10"/>
  <c r="AJ319" i="10"/>
  <c r="AJ320" i="10"/>
  <c r="AJ321" i="10"/>
  <c r="AJ322" i="10"/>
  <c r="AJ323" i="10"/>
  <c r="AJ324" i="10"/>
  <c r="AJ325" i="10"/>
  <c r="AJ326" i="10"/>
  <c r="AJ327" i="10"/>
  <c r="AJ328" i="10"/>
  <c r="AJ329" i="10"/>
  <c r="AJ330" i="10"/>
  <c r="AJ331" i="10"/>
  <c r="AJ332" i="10"/>
  <c r="AJ333" i="10"/>
  <c r="AJ334" i="10"/>
  <c r="AJ335" i="10"/>
  <c r="AJ336" i="10"/>
  <c r="AJ337" i="10"/>
  <c r="AJ338" i="10"/>
  <c r="AJ339" i="10"/>
  <c r="AJ340" i="10"/>
  <c r="AJ341" i="10"/>
  <c r="AJ342" i="10"/>
  <c r="AJ343" i="10"/>
  <c r="AJ344" i="10"/>
  <c r="AJ345" i="10"/>
  <c r="AJ346" i="10"/>
  <c r="AJ347" i="10"/>
  <c r="AJ348" i="10"/>
  <c r="AJ349" i="10"/>
  <c r="AJ350" i="10"/>
  <c r="AJ351" i="10"/>
  <c r="AJ352" i="10"/>
  <c r="AJ353" i="10"/>
  <c r="AJ354" i="10"/>
  <c r="AJ355" i="10"/>
  <c r="AJ356" i="10"/>
  <c r="AJ357" i="10"/>
  <c r="AJ358" i="10"/>
  <c r="AJ359" i="10"/>
  <c r="AJ360" i="10"/>
  <c r="AJ361" i="10"/>
  <c r="AJ362" i="10"/>
  <c r="AJ363" i="10"/>
  <c r="AJ364" i="10"/>
  <c r="AJ365" i="10"/>
  <c r="AJ366" i="10"/>
  <c r="AJ367" i="10"/>
  <c r="AJ368" i="10"/>
  <c r="AJ369" i="10"/>
  <c r="AJ370" i="10"/>
  <c r="AJ371" i="10"/>
  <c r="AJ372" i="10"/>
  <c r="AJ373" i="10"/>
  <c r="AJ374" i="10"/>
  <c r="AJ375" i="10"/>
  <c r="AJ376" i="10"/>
  <c r="AJ377" i="10"/>
  <c r="AJ378" i="10"/>
  <c r="AJ379" i="10"/>
  <c r="AJ380" i="10"/>
  <c r="AJ381" i="10"/>
  <c r="AJ382" i="10"/>
  <c r="AJ383" i="10"/>
  <c r="AJ384" i="10"/>
  <c r="AJ385" i="10"/>
  <c r="AJ386" i="10"/>
  <c r="AJ387" i="10"/>
  <c r="AJ388" i="10"/>
  <c r="AJ389" i="10"/>
  <c r="AJ390" i="10"/>
  <c r="AJ391" i="10"/>
  <c r="AJ392" i="10"/>
  <c r="AJ393" i="10"/>
  <c r="AJ394" i="10"/>
  <c r="AJ395" i="10"/>
  <c r="AJ396" i="10"/>
  <c r="AJ397" i="10"/>
  <c r="AJ398" i="10"/>
  <c r="AJ399" i="10"/>
  <c r="AJ400" i="10"/>
  <c r="AJ401" i="10"/>
  <c r="AJ402" i="10"/>
  <c r="AJ403" i="10"/>
  <c r="AJ404" i="10"/>
  <c r="AJ405" i="10"/>
  <c r="AJ406" i="10"/>
  <c r="AJ407" i="10"/>
  <c r="AJ408" i="10"/>
  <c r="AJ409" i="10"/>
  <c r="AJ410" i="10"/>
  <c r="AJ411" i="10"/>
  <c r="AJ412" i="10"/>
  <c r="AJ413" i="10"/>
  <c r="AJ414" i="10"/>
  <c r="AJ415" i="10"/>
  <c r="AJ416" i="10"/>
  <c r="AJ417" i="10"/>
  <c r="AJ418" i="10"/>
  <c r="AJ419" i="10"/>
  <c r="AJ420" i="10"/>
  <c r="AJ421" i="10"/>
  <c r="AJ422" i="10"/>
  <c r="AJ423" i="10"/>
  <c r="AJ424" i="10"/>
  <c r="AJ425" i="10"/>
  <c r="AJ426" i="10"/>
  <c r="AJ427" i="10"/>
  <c r="AJ428" i="10"/>
  <c r="AJ429" i="10"/>
  <c r="AJ430" i="10"/>
  <c r="AJ431" i="10"/>
  <c r="AJ432" i="10"/>
  <c r="AJ433" i="10"/>
  <c r="AJ434" i="10"/>
  <c r="AJ435" i="10"/>
  <c r="AJ436" i="10"/>
  <c r="AJ437" i="10"/>
  <c r="AJ438" i="10"/>
  <c r="AJ439" i="10"/>
  <c r="AJ440" i="10"/>
  <c r="AJ441" i="10"/>
  <c r="AJ442" i="10"/>
  <c r="AJ443" i="10"/>
  <c r="AJ444" i="10"/>
  <c r="AJ445" i="10"/>
  <c r="AJ446" i="10"/>
  <c r="AJ447" i="10"/>
  <c r="AJ448" i="10"/>
  <c r="AJ449" i="10"/>
  <c r="AJ450" i="10"/>
  <c r="AJ451" i="10"/>
  <c r="AJ452" i="10"/>
  <c r="AJ453" i="10"/>
  <c r="AJ454" i="10"/>
  <c r="AJ455" i="10"/>
  <c r="AJ456" i="10"/>
  <c r="AJ457" i="10"/>
  <c r="AJ458" i="10"/>
  <c r="AJ459" i="10"/>
  <c r="AJ460" i="10"/>
  <c r="AJ461" i="10"/>
  <c r="AJ462" i="10"/>
  <c r="AJ463" i="10"/>
  <c r="AJ464" i="10"/>
  <c r="AJ465" i="10"/>
  <c r="AJ466" i="10"/>
  <c r="AJ467" i="10"/>
  <c r="AJ468" i="10"/>
  <c r="AJ469" i="10"/>
  <c r="AJ470" i="10"/>
  <c r="AJ471" i="10"/>
  <c r="AJ472" i="10"/>
  <c r="AJ473" i="10"/>
  <c r="AJ474" i="10"/>
  <c r="AJ475" i="10"/>
  <c r="AJ476" i="10"/>
  <c r="AJ477" i="10"/>
  <c r="AJ478" i="10"/>
  <c r="AJ479" i="10"/>
  <c r="AJ480" i="10"/>
  <c r="AJ481" i="10"/>
  <c r="AJ482" i="10"/>
  <c r="AJ483" i="10"/>
  <c r="AJ484" i="10"/>
  <c r="AJ485" i="10"/>
  <c r="AJ486" i="10"/>
  <c r="AJ487" i="10"/>
  <c r="AJ488" i="10"/>
  <c r="AJ489" i="10"/>
  <c r="AJ490" i="10"/>
  <c r="AJ491" i="10"/>
  <c r="AJ492" i="10"/>
  <c r="AJ493" i="10"/>
  <c r="AJ494" i="10"/>
  <c r="AJ495" i="10"/>
  <c r="AJ496" i="10"/>
  <c r="AJ497" i="10"/>
  <c r="AJ498" i="10"/>
  <c r="AJ499" i="10"/>
  <c r="AJ500" i="10"/>
  <c r="AJ501" i="10"/>
  <c r="AJ502" i="10"/>
  <c r="AJ503" i="10"/>
  <c r="AJ504" i="10"/>
  <c r="AJ505" i="10"/>
  <c r="AJ506" i="10"/>
  <c r="AJ507" i="10"/>
  <c r="AJ508" i="10"/>
  <c r="AJ509" i="10"/>
  <c r="AJ510" i="10"/>
  <c r="AJ511" i="10"/>
  <c r="AJ512" i="10"/>
  <c r="AJ513" i="10"/>
  <c r="AJ514" i="10"/>
  <c r="AJ515" i="10"/>
  <c r="AJ516" i="10"/>
  <c r="AJ517" i="10"/>
  <c r="AJ518" i="10"/>
  <c r="AJ519" i="10"/>
  <c r="AJ520" i="10"/>
  <c r="AJ521" i="10"/>
  <c r="AJ522" i="10"/>
  <c r="AJ523" i="10"/>
  <c r="AJ524" i="10"/>
  <c r="AJ525" i="10"/>
  <c r="AJ526" i="10"/>
  <c r="AJ527" i="10"/>
  <c r="AJ528" i="10"/>
  <c r="AJ529" i="10"/>
  <c r="AJ530" i="10"/>
  <c r="AJ531" i="10"/>
  <c r="AJ532" i="10"/>
  <c r="AJ533" i="10"/>
  <c r="AJ534" i="10"/>
  <c r="AJ535" i="10"/>
  <c r="AJ536" i="10"/>
  <c r="AJ537" i="10"/>
  <c r="AJ538" i="10"/>
  <c r="AJ539" i="10"/>
  <c r="AJ540" i="10"/>
  <c r="AJ541" i="10"/>
  <c r="AJ542" i="10"/>
  <c r="AJ543" i="10"/>
  <c r="AJ544" i="10"/>
  <c r="AJ545" i="10"/>
  <c r="AJ546" i="10"/>
  <c r="AJ547" i="10"/>
  <c r="AJ548" i="10"/>
  <c r="AJ549" i="10"/>
  <c r="AJ550" i="10"/>
  <c r="AJ551" i="10"/>
  <c r="AJ552" i="10"/>
  <c r="AJ553" i="10"/>
  <c r="AJ554" i="10"/>
  <c r="AJ555" i="10"/>
  <c r="AJ556" i="10"/>
  <c r="AJ557" i="10"/>
  <c r="AJ558" i="10"/>
  <c r="AJ559" i="10"/>
  <c r="AJ560" i="10"/>
  <c r="AJ561" i="10"/>
  <c r="AJ562" i="10"/>
  <c r="AJ563" i="10"/>
  <c r="AJ564" i="10"/>
  <c r="AJ565" i="10"/>
  <c r="AJ566" i="10"/>
  <c r="AJ567" i="10"/>
  <c r="AJ568" i="10"/>
  <c r="AJ569" i="10"/>
  <c r="AJ570" i="10"/>
  <c r="AJ571" i="10"/>
  <c r="AJ572" i="10"/>
  <c r="AJ573" i="10"/>
  <c r="AJ574" i="10"/>
  <c r="AJ575" i="10"/>
  <c r="AJ576" i="10"/>
  <c r="AJ577" i="10"/>
  <c r="AJ578" i="10"/>
  <c r="AJ579" i="10"/>
  <c r="AJ580" i="10"/>
  <c r="AJ581" i="10"/>
  <c r="AJ582" i="10"/>
  <c r="AJ583" i="10"/>
  <c r="AJ584" i="10"/>
  <c r="AJ585" i="10"/>
  <c r="AJ586" i="10"/>
  <c r="AJ587" i="10"/>
  <c r="AJ588" i="10"/>
  <c r="AJ589" i="10"/>
  <c r="AJ590" i="10"/>
  <c r="AJ591" i="10"/>
  <c r="AJ592" i="10"/>
  <c r="AJ593" i="10"/>
  <c r="AJ594" i="10"/>
  <c r="AJ595" i="10"/>
  <c r="AJ596" i="10"/>
  <c r="AJ597" i="10"/>
  <c r="AJ598" i="10"/>
  <c r="AJ599" i="10"/>
  <c r="AJ600" i="10"/>
  <c r="AJ601" i="10"/>
  <c r="AJ602" i="10"/>
  <c r="AJ603" i="10"/>
  <c r="AJ604" i="10"/>
  <c r="AJ605" i="10"/>
  <c r="AJ606" i="10"/>
  <c r="AJ607" i="10"/>
  <c r="AJ608" i="10"/>
  <c r="AJ609" i="10"/>
  <c r="AJ610" i="10"/>
  <c r="AJ611" i="10"/>
  <c r="AJ612" i="10"/>
  <c r="AJ613" i="10"/>
  <c r="AJ614" i="10"/>
  <c r="AJ615" i="10"/>
  <c r="AJ616" i="10"/>
  <c r="AJ617" i="10"/>
  <c r="AJ618" i="10"/>
  <c r="AJ619" i="10"/>
  <c r="AJ620" i="10"/>
  <c r="AJ621" i="10"/>
  <c r="AJ622" i="10"/>
  <c r="AJ623" i="10"/>
  <c r="AJ624" i="10"/>
  <c r="AJ625" i="10"/>
  <c r="AJ626" i="10"/>
  <c r="AJ627" i="10"/>
  <c r="AJ628" i="10"/>
  <c r="AJ629" i="10"/>
  <c r="AJ630" i="10"/>
  <c r="AJ631" i="10"/>
  <c r="AJ632" i="10"/>
  <c r="AJ633" i="10"/>
  <c r="AJ634" i="10"/>
  <c r="AJ635" i="10"/>
  <c r="AJ636" i="10"/>
  <c r="AJ637" i="10"/>
  <c r="AJ638" i="10"/>
  <c r="AJ639" i="10"/>
  <c r="AJ640" i="10"/>
  <c r="AJ641" i="10"/>
  <c r="AJ642" i="10"/>
  <c r="AJ643" i="10"/>
  <c r="AJ644" i="10"/>
  <c r="AJ645" i="10"/>
  <c r="AJ646" i="10"/>
  <c r="AJ647" i="10"/>
  <c r="AJ648" i="10"/>
  <c r="AJ649" i="10"/>
  <c r="AJ650" i="10"/>
  <c r="AJ651" i="10"/>
  <c r="AJ652" i="10"/>
  <c r="AJ653" i="10"/>
  <c r="AJ654" i="10"/>
  <c r="AJ655" i="10"/>
  <c r="AJ656" i="10"/>
  <c r="AJ657" i="10"/>
  <c r="AJ658" i="10"/>
  <c r="AJ659" i="10"/>
  <c r="AJ660" i="10"/>
  <c r="AJ661" i="10"/>
  <c r="AJ662" i="10"/>
  <c r="AJ663" i="10"/>
  <c r="AJ664" i="10"/>
  <c r="AJ665" i="10"/>
  <c r="AJ666" i="10"/>
  <c r="AJ667" i="10"/>
  <c r="AJ668" i="10"/>
  <c r="AJ669" i="10"/>
  <c r="AJ670" i="10"/>
  <c r="AJ671" i="10"/>
  <c r="AJ672" i="10"/>
  <c r="AJ673" i="10"/>
  <c r="AJ674" i="10"/>
  <c r="AJ675" i="10"/>
  <c r="AJ676" i="10"/>
  <c r="AJ677" i="10"/>
  <c r="AJ678" i="10"/>
  <c r="AJ679" i="10"/>
  <c r="AJ680" i="10"/>
  <c r="AJ681" i="10"/>
  <c r="AJ682" i="10"/>
  <c r="AJ683" i="10"/>
  <c r="AJ684" i="10"/>
  <c r="AJ685" i="10"/>
  <c r="AJ686" i="10"/>
  <c r="AJ687" i="10"/>
  <c r="AJ688" i="10"/>
  <c r="AJ689" i="10"/>
  <c r="AJ690" i="10"/>
  <c r="AJ691" i="10"/>
  <c r="AJ692" i="10"/>
  <c r="AJ693" i="10"/>
  <c r="AJ694" i="10"/>
  <c r="AJ695" i="10"/>
  <c r="AJ696" i="10"/>
  <c r="AJ697" i="10"/>
  <c r="AJ698" i="10"/>
  <c r="AJ699" i="10"/>
  <c r="AJ700" i="10"/>
  <c r="AJ701" i="10"/>
  <c r="AJ702" i="10"/>
  <c r="AJ703" i="10"/>
  <c r="AJ704" i="10"/>
  <c r="AJ705" i="10"/>
  <c r="AJ706" i="10"/>
  <c r="AJ707" i="10"/>
  <c r="AJ708" i="10"/>
  <c r="AJ709" i="10"/>
  <c r="AJ710" i="10"/>
  <c r="AJ711" i="10"/>
  <c r="AJ712" i="10"/>
  <c r="AJ713" i="10"/>
  <c r="AJ714" i="10"/>
  <c r="AJ715" i="10"/>
  <c r="AJ716" i="10"/>
  <c r="AJ717" i="10"/>
  <c r="AJ718" i="10"/>
  <c r="AJ719" i="10"/>
  <c r="AJ720" i="10"/>
  <c r="AJ721" i="10"/>
  <c r="AJ722" i="10"/>
  <c r="AJ723" i="10"/>
  <c r="AJ724" i="10"/>
  <c r="AJ725" i="10"/>
  <c r="AJ726" i="10"/>
  <c r="AJ727" i="10"/>
  <c r="AJ728" i="10"/>
  <c r="AJ729" i="10"/>
  <c r="AJ730" i="10"/>
  <c r="AJ731" i="10"/>
  <c r="AJ732" i="10"/>
  <c r="AJ733" i="10"/>
  <c r="AJ734" i="10"/>
  <c r="AJ735" i="10"/>
  <c r="AJ736" i="10"/>
  <c r="AJ737" i="10"/>
  <c r="AJ738" i="10"/>
  <c r="AJ739" i="10"/>
  <c r="AJ740" i="10"/>
  <c r="AJ741" i="10"/>
  <c r="AJ742" i="10"/>
  <c r="AJ743" i="10"/>
  <c r="AJ744" i="10"/>
  <c r="AJ745" i="10"/>
  <c r="AJ746" i="10"/>
  <c r="AJ747" i="10"/>
  <c r="AJ748" i="10"/>
  <c r="AJ749" i="10"/>
  <c r="AJ750" i="10"/>
  <c r="AJ751" i="10"/>
  <c r="AJ752" i="10"/>
  <c r="AJ753" i="10"/>
  <c r="AJ754" i="10"/>
  <c r="AJ755" i="10"/>
  <c r="AJ756" i="10"/>
  <c r="AJ757" i="10"/>
  <c r="AJ758" i="10"/>
  <c r="AJ759" i="10"/>
  <c r="AJ760" i="10"/>
  <c r="AJ761" i="10"/>
  <c r="AJ762" i="10"/>
  <c r="AJ763" i="10"/>
  <c r="AJ764" i="10"/>
  <c r="AJ765" i="10"/>
  <c r="AJ766" i="10"/>
  <c r="AJ767" i="10"/>
  <c r="AJ768" i="10"/>
  <c r="AJ769" i="10"/>
  <c r="AJ770" i="10"/>
  <c r="AJ771" i="10"/>
  <c r="AJ772" i="10"/>
  <c r="AJ773" i="10"/>
  <c r="AJ774" i="10"/>
  <c r="AJ775" i="10"/>
  <c r="AJ776" i="10"/>
  <c r="AJ777" i="10"/>
  <c r="AJ778" i="10"/>
  <c r="AJ779" i="10"/>
  <c r="AJ780" i="10"/>
  <c r="AJ781" i="10"/>
  <c r="AJ782" i="10"/>
  <c r="AJ783" i="10"/>
  <c r="AJ784" i="10"/>
  <c r="AJ785" i="10"/>
  <c r="AJ786" i="10"/>
  <c r="AJ787" i="10"/>
  <c r="AJ788" i="10"/>
  <c r="AJ789" i="10"/>
  <c r="AJ790" i="10"/>
  <c r="AJ791" i="10"/>
  <c r="AJ792" i="10"/>
  <c r="AJ793" i="10"/>
  <c r="AJ794" i="10"/>
  <c r="AJ795" i="10"/>
  <c r="AJ796" i="10"/>
  <c r="AJ797" i="10"/>
  <c r="AJ798" i="10"/>
  <c r="AJ799" i="10"/>
  <c r="AJ800" i="10"/>
  <c r="AJ801" i="10"/>
  <c r="AJ802" i="10"/>
  <c r="AJ803" i="10"/>
  <c r="AJ804" i="10"/>
  <c r="AJ805" i="10"/>
  <c r="AJ806" i="10"/>
  <c r="AJ807" i="10"/>
  <c r="AJ808" i="10"/>
  <c r="AJ809" i="10"/>
  <c r="AJ810" i="10"/>
  <c r="AJ811" i="10"/>
  <c r="AJ812" i="10"/>
  <c r="AJ813" i="10"/>
  <c r="AJ814" i="10"/>
  <c r="AJ815" i="10"/>
  <c r="AJ816" i="10"/>
  <c r="AJ817" i="10"/>
  <c r="AJ818" i="10"/>
  <c r="AJ819" i="10"/>
  <c r="AJ820" i="10"/>
  <c r="AJ821" i="10"/>
  <c r="AJ822" i="10"/>
  <c r="AJ823" i="10"/>
  <c r="AJ824" i="10"/>
  <c r="AJ825" i="10"/>
  <c r="AJ826" i="10"/>
  <c r="AJ827" i="10"/>
  <c r="AJ828" i="10"/>
  <c r="AJ829" i="10"/>
  <c r="AJ830" i="10"/>
  <c r="AJ831" i="10"/>
  <c r="AJ832" i="10"/>
  <c r="AJ833" i="10"/>
  <c r="AJ834" i="10"/>
  <c r="AJ835" i="10"/>
  <c r="AJ836" i="10"/>
  <c r="AJ837" i="10"/>
  <c r="AJ838" i="10"/>
  <c r="AJ839" i="10"/>
  <c r="AJ840" i="10"/>
  <c r="AJ841" i="10"/>
  <c r="AJ842" i="10"/>
  <c r="AJ843" i="10"/>
  <c r="AJ844" i="10"/>
  <c r="AJ845" i="10"/>
  <c r="AJ846" i="10"/>
  <c r="AJ847" i="10"/>
  <c r="AJ848" i="10"/>
  <c r="AJ849" i="10"/>
  <c r="AJ850" i="10"/>
  <c r="AJ851" i="10"/>
  <c r="AJ852" i="10"/>
  <c r="AJ853" i="10"/>
  <c r="AJ854" i="10"/>
  <c r="AJ855" i="10"/>
  <c r="AJ856" i="10"/>
  <c r="AJ857" i="10"/>
  <c r="AJ858" i="10"/>
  <c r="AJ859" i="10"/>
  <c r="AJ860" i="10"/>
  <c r="AJ861" i="10"/>
  <c r="AJ862" i="10"/>
  <c r="AJ863" i="10"/>
  <c r="AJ864" i="10"/>
  <c r="AJ865" i="10"/>
  <c r="AJ866" i="10"/>
  <c r="AJ867" i="10"/>
  <c r="AJ868" i="10"/>
  <c r="AJ869" i="10"/>
  <c r="AJ870" i="10"/>
  <c r="AJ871" i="10"/>
  <c r="AJ872" i="10"/>
  <c r="AJ873" i="10"/>
  <c r="AJ874" i="10"/>
  <c r="AJ875" i="10"/>
  <c r="AJ876" i="10"/>
  <c r="AJ877" i="10"/>
  <c r="AJ878" i="10"/>
  <c r="AJ879" i="10"/>
  <c r="AJ880" i="10"/>
  <c r="AJ881" i="10"/>
  <c r="AJ882" i="10"/>
  <c r="AJ883" i="10"/>
  <c r="AJ884" i="10"/>
  <c r="AJ885" i="10"/>
  <c r="AJ886" i="10"/>
  <c r="AJ887" i="10"/>
  <c r="AJ888" i="10"/>
  <c r="AJ889" i="10"/>
  <c r="AJ890" i="10"/>
  <c r="AJ891" i="10"/>
  <c r="AJ892" i="10"/>
  <c r="AJ893" i="10"/>
  <c r="AJ894" i="10"/>
  <c r="AJ895" i="10"/>
  <c r="AJ896" i="10"/>
  <c r="AJ897" i="10"/>
  <c r="AJ898" i="10"/>
  <c r="AJ899" i="10"/>
  <c r="AJ900" i="10"/>
  <c r="AJ901" i="10"/>
  <c r="AJ902" i="10"/>
  <c r="AJ903" i="10"/>
  <c r="AJ904" i="10"/>
  <c r="AJ905" i="10"/>
  <c r="AJ906" i="10"/>
  <c r="AJ907" i="10"/>
  <c r="AJ908" i="10"/>
  <c r="AJ909" i="10"/>
  <c r="AJ910" i="10"/>
  <c r="AJ911" i="10"/>
  <c r="AJ912" i="10"/>
  <c r="AJ913" i="10"/>
  <c r="AJ914" i="10"/>
  <c r="AJ915" i="10"/>
  <c r="AJ916" i="10"/>
  <c r="AJ917" i="10"/>
  <c r="AJ918" i="10"/>
  <c r="AJ919" i="10"/>
  <c r="AJ920" i="10"/>
  <c r="AJ921" i="10"/>
  <c r="AJ922" i="10"/>
  <c r="AJ923" i="10"/>
  <c r="AJ924" i="10"/>
  <c r="AJ925" i="10"/>
  <c r="AJ926" i="10"/>
  <c r="AJ927" i="10"/>
  <c r="AJ928" i="10"/>
  <c r="AJ929" i="10"/>
  <c r="AJ930" i="10"/>
  <c r="AJ931" i="10"/>
  <c r="AJ932" i="10"/>
  <c r="AJ933" i="10"/>
  <c r="AJ934" i="10"/>
  <c r="AJ935" i="10"/>
  <c r="AJ936" i="10"/>
  <c r="AJ937" i="10"/>
  <c r="AJ938" i="10"/>
  <c r="AJ939" i="10"/>
  <c r="AJ940" i="10"/>
  <c r="AJ941" i="10"/>
  <c r="AJ942" i="10"/>
  <c r="AJ943" i="10"/>
  <c r="AJ944" i="10"/>
  <c r="AJ945" i="10"/>
  <c r="AJ946" i="10"/>
  <c r="AJ947" i="10"/>
  <c r="AJ948" i="10"/>
  <c r="AJ949" i="10"/>
  <c r="AJ950" i="10"/>
  <c r="AJ951" i="10"/>
  <c r="AJ952" i="10"/>
  <c r="AJ953" i="10"/>
  <c r="AJ954" i="10"/>
  <c r="AJ955" i="10"/>
  <c r="AJ956" i="10"/>
  <c r="AJ957" i="10"/>
  <c r="AJ958" i="10"/>
  <c r="AJ959" i="10"/>
  <c r="AG4" i="10"/>
  <c r="AG5" i="10"/>
  <c r="AG6" i="10"/>
  <c r="AG7" i="10"/>
  <c r="AG9" i="10"/>
  <c r="AG10" i="10"/>
  <c r="AG11" i="10"/>
  <c r="AG12" i="10"/>
  <c r="AG13" i="10"/>
  <c r="AG15" i="10"/>
  <c r="AG16" i="10"/>
  <c r="AG17" i="10"/>
  <c r="AG18" i="10"/>
  <c r="AG19" i="10"/>
  <c r="AG21" i="10"/>
  <c r="AG22" i="10"/>
  <c r="AG23" i="10"/>
  <c r="AG24" i="10"/>
  <c r="AG25" i="10"/>
  <c r="AG27" i="10"/>
  <c r="AG28" i="10"/>
  <c r="AG29" i="10"/>
  <c r="AG30" i="10"/>
  <c r="AG31" i="10"/>
  <c r="AG33" i="10"/>
  <c r="AG34" i="10"/>
  <c r="AG35" i="10"/>
  <c r="AG36" i="10"/>
  <c r="AG37" i="10"/>
  <c r="AG39" i="10"/>
  <c r="AG40" i="10"/>
  <c r="AG41" i="10"/>
  <c r="AG42" i="10"/>
  <c r="AG43" i="10"/>
  <c r="AG46" i="10"/>
  <c r="AG47" i="10"/>
  <c r="AG48" i="10"/>
  <c r="AG49" i="10"/>
  <c r="AG51" i="10"/>
  <c r="AG52" i="10"/>
  <c r="AG53" i="10"/>
  <c r="AG54" i="10"/>
  <c r="AG55" i="10"/>
  <c r="AG57" i="10"/>
  <c r="AG58" i="10"/>
  <c r="AG59" i="10"/>
  <c r="AG60" i="10"/>
  <c r="AG61" i="10"/>
  <c r="AG63" i="10"/>
  <c r="AG64" i="10"/>
  <c r="AG65" i="10"/>
  <c r="AG66" i="10"/>
  <c r="AG67" i="10"/>
  <c r="AG69" i="10"/>
  <c r="AG70" i="10"/>
  <c r="AG71" i="10"/>
  <c r="AG72" i="10"/>
  <c r="AG73" i="10"/>
  <c r="AG75" i="10"/>
  <c r="AG76" i="10"/>
  <c r="AG77" i="10"/>
  <c r="AG78" i="10"/>
  <c r="AG79" i="10"/>
  <c r="AG81" i="10"/>
  <c r="AG82" i="10"/>
  <c r="AG83" i="10"/>
  <c r="AG84" i="10"/>
  <c r="AG85" i="10"/>
  <c r="AG87" i="10"/>
  <c r="AG88" i="10"/>
  <c r="AG89" i="10"/>
  <c r="AG90" i="10"/>
  <c r="AG91" i="10"/>
  <c r="AG93" i="10"/>
  <c r="AG94" i="10"/>
  <c r="AG95" i="10"/>
  <c r="AG96" i="10"/>
  <c r="AG97" i="10"/>
  <c r="AG99" i="10"/>
  <c r="AG100" i="10"/>
  <c r="AG101" i="10"/>
  <c r="AG102" i="10"/>
  <c r="AG103" i="10"/>
  <c r="AG105" i="10"/>
  <c r="AG106" i="10"/>
  <c r="AG107" i="10"/>
  <c r="AG108" i="10"/>
  <c r="AG109" i="10"/>
  <c r="AG111" i="10"/>
  <c r="AG112" i="10"/>
  <c r="AG113" i="10"/>
  <c r="AG114" i="10"/>
  <c r="AG115" i="10"/>
  <c r="AG117" i="10"/>
  <c r="AG118" i="10"/>
  <c r="AG119" i="10"/>
  <c r="AG120" i="10"/>
  <c r="AG121" i="10"/>
  <c r="AG123" i="10"/>
  <c r="AG124" i="10"/>
  <c r="AG125" i="10"/>
  <c r="AG126" i="10"/>
  <c r="AG127" i="10"/>
  <c r="AG129" i="10"/>
  <c r="AG130" i="10"/>
  <c r="AG131" i="10"/>
  <c r="AG132" i="10"/>
  <c r="AG133" i="10"/>
  <c r="AG135" i="10"/>
  <c r="AG136" i="10"/>
  <c r="AG137" i="10"/>
  <c r="AG138" i="10"/>
  <c r="AG139" i="10"/>
  <c r="AG141" i="10"/>
  <c r="AG142" i="10"/>
  <c r="AG143" i="10"/>
  <c r="AG145" i="10"/>
  <c r="AG147" i="10"/>
  <c r="AG148" i="10"/>
  <c r="AG149" i="10"/>
  <c r="AG150" i="10"/>
  <c r="AG151" i="10"/>
  <c r="AG153" i="10"/>
  <c r="AG154" i="10"/>
  <c r="AG155" i="10"/>
  <c r="AG156" i="10"/>
  <c r="AG157" i="10"/>
  <c r="AG159" i="10"/>
  <c r="AG160" i="10"/>
  <c r="AG161" i="10"/>
  <c r="AG162" i="10"/>
  <c r="AG163" i="10"/>
  <c r="AG165" i="10"/>
  <c r="AG166" i="10"/>
  <c r="AG167" i="10"/>
  <c r="AG168" i="10"/>
  <c r="AG169" i="10"/>
  <c r="AG171" i="10"/>
  <c r="AG172" i="10"/>
  <c r="AG173" i="10"/>
  <c r="AG174" i="10"/>
  <c r="AG175" i="10"/>
  <c r="AG177" i="10"/>
  <c r="AG178" i="10"/>
  <c r="AG180" i="10"/>
  <c r="AG181" i="10"/>
  <c r="AG183" i="10"/>
  <c r="AG184" i="10"/>
  <c r="AG185" i="10"/>
  <c r="AG186" i="10"/>
  <c r="AG187" i="10"/>
  <c r="AG189" i="10"/>
  <c r="AG190" i="10"/>
  <c r="AG191" i="10"/>
  <c r="AG192" i="10"/>
  <c r="AG193" i="10"/>
  <c r="AG195" i="10"/>
  <c r="AG196" i="10"/>
  <c r="AG197" i="10"/>
  <c r="AG198" i="10"/>
  <c r="AG199" i="10"/>
  <c r="AG201" i="10"/>
  <c r="AG202" i="10"/>
  <c r="AG203" i="10"/>
  <c r="AG204" i="10"/>
  <c r="AG205" i="10"/>
  <c r="AG207" i="10"/>
  <c r="AG208" i="10"/>
  <c r="AG209" i="10"/>
  <c r="AG210" i="10"/>
  <c r="AG211" i="10"/>
  <c r="AG213" i="10"/>
  <c r="AG214" i="10"/>
  <c r="AG215" i="10"/>
  <c r="AG216" i="10"/>
  <c r="AG217" i="10"/>
  <c r="AG219" i="10"/>
  <c r="AG220" i="10"/>
  <c r="AG221" i="10"/>
  <c r="AG222" i="10"/>
  <c r="AG223" i="10"/>
  <c r="AG225" i="10"/>
  <c r="AG226" i="10"/>
  <c r="AG227" i="10"/>
  <c r="AG228" i="10"/>
  <c r="AG229" i="10"/>
  <c r="AG231" i="10"/>
  <c r="AG232" i="10"/>
  <c r="AG233" i="10"/>
  <c r="AG234" i="10"/>
  <c r="AG235" i="10"/>
  <c r="AG237" i="10"/>
  <c r="AG238" i="10"/>
  <c r="AG239" i="10"/>
  <c r="AG241" i="10"/>
  <c r="AG243" i="10"/>
  <c r="AG244" i="10"/>
  <c r="AG245" i="10"/>
  <c r="AG246" i="10"/>
  <c r="AG247" i="10"/>
  <c r="AG249" i="10"/>
  <c r="AG250" i="10"/>
  <c r="AG251" i="10"/>
  <c r="AG252" i="10"/>
  <c r="AG253" i="10"/>
  <c r="AG255" i="10"/>
  <c r="AG256" i="10"/>
  <c r="AG257" i="10"/>
  <c r="AG258" i="10"/>
  <c r="AG259" i="10"/>
  <c r="AG261" i="10"/>
  <c r="AG262" i="10"/>
  <c r="AG263" i="10"/>
  <c r="AG264" i="10"/>
  <c r="AG265" i="10"/>
  <c r="AG267" i="10"/>
  <c r="AG268" i="10"/>
  <c r="AG269" i="10"/>
  <c r="AG270" i="10"/>
  <c r="AG271" i="10"/>
  <c r="AG273" i="10"/>
  <c r="AG274" i="10"/>
  <c r="AG275" i="10"/>
  <c r="AG276" i="10"/>
  <c r="AG277" i="10"/>
  <c r="AG279" i="10"/>
  <c r="AG280" i="10"/>
  <c r="AG281" i="10"/>
  <c r="AG282" i="10"/>
  <c r="AG283" i="10"/>
  <c r="AG285" i="10"/>
  <c r="AG286" i="10"/>
  <c r="AG287" i="10"/>
  <c r="AG288" i="10"/>
  <c r="AG289" i="10"/>
  <c r="AG291" i="10"/>
  <c r="AG292" i="10"/>
  <c r="AG293" i="10"/>
  <c r="AG294" i="10"/>
  <c r="AG295" i="10"/>
  <c r="AG297" i="10"/>
  <c r="AG298" i="10"/>
  <c r="AG299" i="10"/>
  <c r="AG300" i="10"/>
  <c r="AG301" i="10"/>
  <c r="AG303" i="10"/>
  <c r="AG304" i="10"/>
  <c r="AG305" i="10"/>
  <c r="AG306" i="10"/>
  <c r="AG307" i="10"/>
  <c r="AG309" i="10"/>
  <c r="AG310" i="10"/>
  <c r="AG311" i="10"/>
  <c r="AG312" i="10"/>
  <c r="AG313" i="10"/>
  <c r="AG315" i="10"/>
  <c r="AG316" i="10"/>
  <c r="AG317" i="10"/>
  <c r="AG318" i="10"/>
  <c r="AG319" i="10"/>
  <c r="AG321" i="10"/>
  <c r="AG322" i="10"/>
  <c r="AG323" i="10"/>
  <c r="AG324" i="10"/>
  <c r="AG325" i="10"/>
  <c r="AG327" i="10"/>
  <c r="AG328" i="10"/>
  <c r="AG329" i="10"/>
  <c r="AG330" i="10"/>
  <c r="AG331" i="10"/>
  <c r="AG333" i="10"/>
  <c r="AG334" i="10"/>
  <c r="AG335" i="10"/>
  <c r="AG336" i="10"/>
  <c r="AG337" i="10"/>
  <c r="AG339" i="10"/>
  <c r="AG340" i="10"/>
  <c r="AG341" i="10"/>
  <c r="AG342" i="10"/>
  <c r="AG343" i="10"/>
  <c r="AG345" i="10"/>
  <c r="AG346" i="10"/>
  <c r="AG347" i="10"/>
  <c r="AG348" i="10"/>
  <c r="AG349" i="10"/>
  <c r="AG351" i="10"/>
  <c r="AG352" i="10"/>
  <c r="AG353" i="10"/>
  <c r="AG354" i="10"/>
  <c r="AG355" i="10"/>
  <c r="AG357" i="10"/>
  <c r="AG358" i="10"/>
  <c r="AG359" i="10"/>
  <c r="AG360" i="10"/>
  <c r="AG361" i="10"/>
  <c r="AG363" i="10"/>
  <c r="AG364" i="10"/>
  <c r="AG365" i="10"/>
  <c r="AG366" i="10"/>
  <c r="AG367" i="10"/>
  <c r="AG369" i="10"/>
  <c r="AG370" i="10"/>
  <c r="AG371" i="10"/>
  <c r="AG372" i="10"/>
  <c r="AG373" i="10"/>
  <c r="AG375" i="10"/>
  <c r="AG376" i="10"/>
  <c r="AG377" i="10"/>
  <c r="AG378" i="10"/>
  <c r="AG379" i="10"/>
  <c r="AG381" i="10"/>
  <c r="AG382" i="10"/>
  <c r="AG383" i="10"/>
  <c r="AG384" i="10"/>
  <c r="AG385" i="10"/>
  <c r="AG387" i="10"/>
  <c r="AG388" i="10"/>
  <c r="AG389" i="10"/>
  <c r="AG390" i="10"/>
  <c r="AG391" i="10"/>
  <c r="AG393" i="10"/>
  <c r="AG394" i="10"/>
  <c r="AG395" i="10"/>
  <c r="AG396" i="10"/>
  <c r="AG397" i="10"/>
  <c r="AG399" i="10"/>
  <c r="AG400" i="10"/>
  <c r="AG401" i="10"/>
  <c r="AG402" i="10"/>
  <c r="AG403" i="10"/>
  <c r="AG405" i="10"/>
  <c r="AG406" i="10"/>
  <c r="AG407" i="10"/>
  <c r="AG408" i="10"/>
  <c r="AG409" i="10"/>
  <c r="AG411" i="10"/>
  <c r="AG412" i="10"/>
  <c r="AG413" i="10"/>
  <c r="AG414" i="10"/>
  <c r="AG415" i="10"/>
  <c r="AG417" i="10"/>
  <c r="AG418" i="10"/>
  <c r="AG419" i="10"/>
  <c r="AG420" i="10"/>
  <c r="AG421" i="10"/>
  <c r="AG423" i="10"/>
  <c r="AG424" i="10"/>
  <c r="AG425" i="10"/>
  <c r="AG426" i="10"/>
  <c r="AG427" i="10"/>
  <c r="AG429" i="10"/>
  <c r="AG430" i="10"/>
  <c r="AG431" i="10"/>
  <c r="AG432" i="10"/>
  <c r="AG433" i="10"/>
  <c r="AG435" i="10"/>
  <c r="AG436" i="10"/>
  <c r="AG437" i="10"/>
  <c r="AG438" i="10"/>
  <c r="AG439" i="10"/>
  <c r="AG441" i="10"/>
  <c r="AG442" i="10"/>
  <c r="AG443" i="10"/>
  <c r="AG444" i="10"/>
  <c r="AG445" i="10"/>
  <c r="AG447" i="10"/>
  <c r="AG448" i="10"/>
  <c r="AG449" i="10"/>
  <c r="AG450" i="10"/>
  <c r="AG451" i="10"/>
  <c r="AG453" i="10"/>
  <c r="AG454" i="10"/>
  <c r="AG455" i="10"/>
  <c r="AG456" i="10"/>
  <c r="AG457" i="10"/>
  <c r="AG459" i="10"/>
  <c r="AG460" i="10"/>
  <c r="AG461" i="10"/>
  <c r="AG462" i="10"/>
  <c r="AG463" i="10"/>
  <c r="AG465" i="10"/>
  <c r="AG466" i="10"/>
  <c r="AG467" i="10"/>
  <c r="AG468" i="10"/>
  <c r="AG469" i="10"/>
  <c r="AG471" i="10"/>
  <c r="AG472" i="10"/>
  <c r="AG473" i="10"/>
  <c r="AG474" i="10"/>
  <c r="AG475" i="10"/>
  <c r="AG477" i="10"/>
  <c r="AG478" i="10"/>
  <c r="AG479" i="10"/>
  <c r="AG480" i="10"/>
  <c r="AG481" i="10"/>
  <c r="AG483" i="10"/>
  <c r="AG484" i="10"/>
  <c r="AG485" i="10"/>
  <c r="AG486" i="10"/>
  <c r="AG487" i="10"/>
  <c r="AG489" i="10"/>
  <c r="AG490" i="10"/>
  <c r="AG491" i="10"/>
  <c r="AG492" i="10"/>
  <c r="AG493" i="10"/>
  <c r="AG495" i="10"/>
  <c r="AG496" i="10"/>
  <c r="AG497" i="10"/>
  <c r="AG498" i="10"/>
  <c r="AG499" i="10"/>
  <c r="AG501" i="10"/>
  <c r="AG502" i="10"/>
  <c r="AG503" i="10"/>
  <c r="AG504" i="10"/>
  <c r="AG505" i="10"/>
  <c r="AG507" i="10"/>
  <c r="AG508" i="10"/>
  <c r="AG509" i="10"/>
  <c r="AG510" i="10"/>
  <c r="AG511" i="10"/>
  <c r="AG513" i="10"/>
  <c r="AG514" i="10"/>
  <c r="AG515" i="10"/>
  <c r="AG516" i="10"/>
  <c r="AG517" i="10"/>
  <c r="AG519" i="10"/>
  <c r="AG520" i="10"/>
  <c r="AG521" i="10"/>
  <c r="AG522" i="10"/>
  <c r="AG523" i="10"/>
  <c r="AG525" i="10"/>
  <c r="AG526" i="10"/>
  <c r="AG527" i="10"/>
  <c r="AG528" i="10"/>
  <c r="AG529" i="10"/>
  <c r="AG531" i="10"/>
  <c r="AG532" i="10"/>
  <c r="AG533" i="10"/>
  <c r="AG534" i="10"/>
  <c r="AG535" i="10"/>
  <c r="AG537" i="10"/>
  <c r="AG538" i="10"/>
  <c r="AG539" i="10"/>
  <c r="AG540" i="10"/>
  <c r="AG541" i="10"/>
  <c r="AG543" i="10"/>
  <c r="AG544" i="10"/>
  <c r="AG545" i="10"/>
  <c r="AG546" i="10"/>
  <c r="AG547" i="10"/>
  <c r="AG549" i="10"/>
  <c r="AG550" i="10"/>
  <c r="AG551" i="10"/>
  <c r="AG552" i="10"/>
  <c r="AG553" i="10"/>
  <c r="AG555" i="10"/>
  <c r="AG556" i="10"/>
  <c r="AG557" i="10"/>
  <c r="AG558" i="10"/>
  <c r="AG559" i="10"/>
  <c r="AG561" i="10"/>
  <c r="AG562" i="10"/>
  <c r="AG563" i="10"/>
  <c r="AG564" i="10"/>
  <c r="AG565" i="10"/>
  <c r="AG567" i="10"/>
  <c r="AG568" i="10"/>
  <c r="AG569" i="10"/>
  <c r="AG571" i="10"/>
  <c r="AG573" i="10"/>
  <c r="AG574" i="10"/>
  <c r="AG575" i="10"/>
  <c r="AG576" i="10"/>
  <c r="AG577" i="10"/>
  <c r="AG579" i="10"/>
  <c r="AG580" i="10"/>
  <c r="AG581" i="10"/>
  <c r="AG582" i="10"/>
  <c r="AG583" i="10"/>
  <c r="AG585" i="10"/>
  <c r="AG586" i="10"/>
  <c r="AG587" i="10"/>
  <c r="AG588" i="10"/>
  <c r="AG589" i="10"/>
  <c r="AG591" i="10"/>
  <c r="AG592" i="10"/>
  <c r="AG593" i="10"/>
  <c r="AG594" i="10"/>
  <c r="AG595" i="10"/>
  <c r="AG597" i="10"/>
  <c r="AG598" i="10"/>
  <c r="AG599" i="10"/>
  <c r="AG600" i="10"/>
  <c r="AG601" i="10"/>
  <c r="AG603" i="10"/>
  <c r="AG604" i="10"/>
  <c r="AG605" i="10"/>
  <c r="AG606" i="10"/>
  <c r="AG607" i="10"/>
  <c r="AG609" i="10"/>
  <c r="AG610" i="10"/>
  <c r="AG611" i="10"/>
  <c r="AG612" i="10"/>
  <c r="AG613" i="10"/>
  <c r="AG615" i="10"/>
  <c r="AG616" i="10"/>
  <c r="AG617" i="10"/>
  <c r="AG618" i="10"/>
  <c r="AG619" i="10"/>
  <c r="AG621" i="10"/>
  <c r="AG622" i="10"/>
  <c r="AG623" i="10"/>
  <c r="AG624" i="10"/>
  <c r="AG625" i="10"/>
  <c r="AG627" i="10"/>
  <c r="AG628" i="10"/>
  <c r="AG629" i="10"/>
  <c r="AG630" i="10"/>
  <c r="AG631" i="10"/>
  <c r="AG633" i="10"/>
  <c r="AG634" i="10"/>
  <c r="AG635" i="10"/>
  <c r="AG636" i="10"/>
  <c r="AG637" i="10"/>
  <c r="AG639" i="10"/>
  <c r="AG640" i="10"/>
  <c r="AG641" i="10"/>
  <c r="AG642" i="10"/>
  <c r="AG643" i="10"/>
  <c r="AG645" i="10"/>
  <c r="AG646" i="10"/>
  <c r="AG647" i="10"/>
  <c r="AG648" i="10"/>
  <c r="AG649" i="10"/>
  <c r="AG651" i="10"/>
  <c r="AG652" i="10"/>
  <c r="AG653" i="10"/>
  <c r="AG654" i="10"/>
  <c r="AG655" i="10"/>
  <c r="AG657" i="10"/>
  <c r="AG658" i="10"/>
  <c r="AG659" i="10"/>
  <c r="AG660" i="10"/>
  <c r="AG661" i="10"/>
  <c r="AG663" i="10"/>
  <c r="AG664" i="10"/>
  <c r="AG665" i="10"/>
  <c r="AG666" i="10"/>
  <c r="AG667" i="10"/>
  <c r="AG669" i="10"/>
  <c r="AG670" i="10"/>
  <c r="AG671" i="10"/>
  <c r="AG672" i="10"/>
  <c r="AG673" i="10"/>
  <c r="AG675" i="10"/>
  <c r="AG676" i="10"/>
  <c r="AG677" i="10"/>
  <c r="AG678" i="10"/>
  <c r="AG679" i="10"/>
  <c r="AG681" i="10"/>
  <c r="AG682" i="10"/>
  <c r="AG683" i="10"/>
  <c r="AG684" i="10"/>
  <c r="AG685" i="10"/>
  <c r="AG687" i="10"/>
  <c r="AG688" i="10"/>
  <c r="AG689" i="10"/>
  <c r="AG690" i="10"/>
  <c r="AG691" i="10"/>
  <c r="AG693" i="10"/>
  <c r="AG694" i="10"/>
  <c r="AG695" i="10"/>
  <c r="AG696" i="10"/>
  <c r="AG697" i="10"/>
  <c r="AG699" i="10"/>
  <c r="AG700" i="10"/>
  <c r="AG701" i="10"/>
  <c r="AG702" i="10"/>
  <c r="AG703" i="10"/>
  <c r="AG705" i="10"/>
  <c r="AG706" i="10"/>
  <c r="AG707" i="10"/>
  <c r="AG708" i="10"/>
  <c r="AG709" i="10"/>
  <c r="AG711" i="10"/>
  <c r="AG712" i="10"/>
  <c r="AG713" i="10"/>
  <c r="AG714" i="10"/>
  <c r="AG715" i="10"/>
  <c r="AG717" i="10"/>
  <c r="AG718" i="10"/>
  <c r="AG719" i="10"/>
  <c r="AG720" i="10"/>
  <c r="AG721" i="10"/>
  <c r="AG723" i="10"/>
  <c r="AG724" i="10"/>
  <c r="AG725" i="10"/>
  <c r="AG726" i="10"/>
  <c r="AG727" i="10"/>
  <c r="AG729" i="10"/>
  <c r="AG730" i="10"/>
  <c r="AG731" i="10"/>
  <c r="AG732" i="10"/>
  <c r="AG733" i="10"/>
  <c r="AG735" i="10"/>
  <c r="AG736" i="10"/>
  <c r="AG737" i="10"/>
  <c r="AG738" i="10"/>
  <c r="AG739" i="10"/>
  <c r="AG741" i="10"/>
  <c r="AG742" i="10"/>
  <c r="AG743" i="10"/>
  <c r="AG744" i="10"/>
  <c r="AG745" i="10"/>
  <c r="AG747" i="10"/>
  <c r="AG748" i="10"/>
  <c r="AG749" i="10"/>
  <c r="AG750" i="10"/>
  <c r="AG751" i="10"/>
  <c r="AG753" i="10"/>
  <c r="AG754" i="10"/>
  <c r="AG755" i="10"/>
  <c r="AG756" i="10"/>
  <c r="AG757" i="10"/>
  <c r="AG759" i="10"/>
  <c r="AG760" i="10"/>
  <c r="AG761" i="10"/>
  <c r="AG762" i="10"/>
  <c r="AG763" i="10"/>
  <c r="AG765" i="10"/>
  <c r="AG766" i="10"/>
  <c r="AG767" i="10"/>
  <c r="AG768" i="10"/>
  <c r="AG769" i="10"/>
  <c r="AG771" i="10"/>
  <c r="AG772" i="10"/>
  <c r="AG773" i="10"/>
  <c r="AG774" i="10"/>
  <c r="AG775" i="10"/>
  <c r="AG777" i="10"/>
  <c r="AG778" i="10"/>
  <c r="AG779" i="10"/>
  <c r="AG780" i="10"/>
  <c r="AG781" i="10"/>
  <c r="AG783" i="10"/>
  <c r="AG784" i="10"/>
  <c r="AG785" i="10"/>
  <c r="AG786" i="10"/>
  <c r="AG787" i="10"/>
  <c r="AG789" i="10"/>
  <c r="AG790" i="10"/>
  <c r="AG791" i="10"/>
  <c r="AG792" i="10"/>
  <c r="AG793" i="10"/>
  <c r="AG795" i="10"/>
  <c r="AG796" i="10"/>
  <c r="AG797" i="10"/>
  <c r="AG798" i="10"/>
  <c r="AG799" i="10"/>
  <c r="AG801" i="10"/>
  <c r="AG802" i="10"/>
  <c r="AG803" i="10"/>
  <c r="AG804" i="10"/>
  <c r="AG805" i="10"/>
  <c r="AG807" i="10"/>
  <c r="AG808" i="10"/>
  <c r="AG809" i="10"/>
  <c r="AG810" i="10"/>
  <c r="AG811" i="10"/>
  <c r="AG813" i="10"/>
  <c r="AG814" i="10"/>
  <c r="AG815" i="10"/>
  <c r="AG816" i="10"/>
  <c r="AG817" i="10"/>
  <c r="AG819" i="10"/>
  <c r="AG820" i="10"/>
  <c r="AG821" i="10"/>
  <c r="AG822" i="10"/>
  <c r="AG823" i="10"/>
  <c r="AG825" i="10"/>
  <c r="AG826" i="10"/>
  <c r="AG827" i="10"/>
  <c r="AG828" i="10"/>
  <c r="AG829" i="10"/>
  <c r="AG831" i="10"/>
  <c r="AG832" i="10"/>
  <c r="AG833" i="10"/>
  <c r="AG834" i="10"/>
  <c r="AG835" i="10"/>
  <c r="AG837" i="10"/>
  <c r="AG838" i="10"/>
  <c r="AG839" i="10"/>
  <c r="AG840" i="10"/>
  <c r="AG841" i="10"/>
  <c r="AG843" i="10"/>
  <c r="AG844" i="10"/>
  <c r="AG845" i="10"/>
  <c r="AG846" i="10"/>
  <c r="AG847" i="10"/>
  <c r="AG849" i="10"/>
  <c r="AG850" i="10"/>
  <c r="AG851" i="10"/>
  <c r="AG852" i="10"/>
  <c r="AG853" i="10"/>
  <c r="AG855" i="10"/>
  <c r="AG856" i="10"/>
  <c r="AG857" i="10"/>
  <c r="AG858" i="10"/>
  <c r="AG859" i="10"/>
  <c r="AG861" i="10"/>
  <c r="AG862" i="10"/>
  <c r="AG863" i="10"/>
  <c r="AG864" i="10"/>
  <c r="AG865" i="10"/>
  <c r="AG867" i="10"/>
  <c r="AG868" i="10"/>
  <c r="AG869" i="10"/>
  <c r="AG870" i="10"/>
  <c r="AG871" i="10"/>
  <c r="AG873" i="10"/>
  <c r="AG874" i="10"/>
  <c r="AG875" i="10"/>
  <c r="AG876" i="10"/>
  <c r="AG877" i="10"/>
  <c r="AG879" i="10"/>
  <c r="AG880" i="10"/>
  <c r="AG881" i="10"/>
  <c r="AG882" i="10"/>
  <c r="AG883" i="10"/>
  <c r="AG885" i="10"/>
  <c r="AG886" i="10"/>
  <c r="AG887" i="10"/>
  <c r="AG888" i="10"/>
  <c r="AG889" i="10"/>
  <c r="AG891" i="10"/>
  <c r="AG892" i="10"/>
  <c r="AG893" i="10"/>
  <c r="AG894" i="10"/>
  <c r="AG895" i="10"/>
  <c r="AG897" i="10"/>
  <c r="AG898" i="10"/>
  <c r="AG899" i="10"/>
  <c r="AG900" i="10"/>
  <c r="AG901" i="10"/>
  <c r="AG903" i="10"/>
  <c r="AG904" i="10"/>
  <c r="AG905" i="10"/>
  <c r="AG906" i="10"/>
  <c r="AG907" i="10"/>
  <c r="AG909" i="10"/>
  <c r="AG910" i="10"/>
  <c r="AG911" i="10"/>
  <c r="AG912" i="10"/>
  <c r="AG913" i="10"/>
  <c r="AG915" i="10"/>
  <c r="AG916" i="10"/>
  <c r="AG917" i="10"/>
  <c r="AG918" i="10"/>
  <c r="AG919" i="10"/>
  <c r="AG921" i="10"/>
  <c r="AG922" i="10"/>
  <c r="AG923" i="10"/>
  <c r="AG924" i="10"/>
  <c r="AG925" i="10"/>
  <c r="AG927" i="10"/>
  <c r="AG928" i="10"/>
  <c r="AG929" i="10"/>
  <c r="AG930" i="10"/>
  <c r="AG931" i="10"/>
  <c r="AG933" i="10"/>
  <c r="AG934" i="10"/>
  <c r="AG935" i="10"/>
  <c r="AG936" i="10"/>
  <c r="AG937" i="10"/>
  <c r="AG939" i="10"/>
  <c r="AG940" i="10"/>
  <c r="AG941" i="10"/>
  <c r="AG942" i="10"/>
  <c r="AG943" i="10"/>
  <c r="AG945" i="10"/>
  <c r="AG946" i="10"/>
  <c r="AG947" i="10"/>
  <c r="AG948" i="10"/>
  <c r="AG949" i="10"/>
  <c r="AG951" i="10"/>
  <c r="AG952" i="10"/>
  <c r="AG953" i="10"/>
  <c r="AG954" i="10"/>
  <c r="AG955" i="10"/>
  <c r="AG957" i="10"/>
  <c r="AG958" i="10"/>
  <c r="AG3" i="10"/>
  <c r="AG959" i="10"/>
  <c r="AF3" i="9"/>
  <c r="AG4" i="9"/>
  <c r="AG5" i="9"/>
  <c r="AG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G46" i="9"/>
  <c r="AG47" i="9"/>
  <c r="AG48" i="9"/>
  <c r="AG49" i="9"/>
  <c r="AG50" i="9"/>
  <c r="AG51" i="9"/>
  <c r="AG52" i="9"/>
  <c r="AG53" i="9"/>
  <c r="AG54" i="9"/>
  <c r="AG55" i="9"/>
  <c r="AG56" i="9"/>
  <c r="AG57" i="9"/>
  <c r="AG58" i="9"/>
  <c r="AG59" i="9"/>
  <c r="AG60" i="9"/>
  <c r="AG61" i="9"/>
  <c r="AG62" i="9"/>
  <c r="AG63" i="9"/>
  <c r="AG64" i="9"/>
  <c r="AG65" i="9"/>
  <c r="AG66" i="9"/>
  <c r="AG67" i="9"/>
  <c r="AG68" i="9"/>
  <c r="AG69" i="9"/>
  <c r="AG70" i="9"/>
  <c r="AG71" i="9"/>
  <c r="AG72" i="9"/>
  <c r="AG73" i="9"/>
  <c r="AF74" i="9"/>
  <c r="AG74" i="9" s="1"/>
  <c r="AF75" i="9"/>
  <c r="AG75" i="9" s="1"/>
  <c r="AF76" i="9"/>
  <c r="AG76" i="9" s="1"/>
  <c r="AF77" i="9"/>
  <c r="AG77" i="9" s="1"/>
  <c r="AF78" i="9"/>
  <c r="AG78" i="9" s="1"/>
  <c r="AF79" i="9"/>
  <c r="AG79" i="9" s="1"/>
  <c r="AF80" i="9"/>
  <c r="AG80" i="9" s="1"/>
  <c r="AF81" i="9"/>
  <c r="AG81" i="9" s="1"/>
  <c r="AF82" i="9"/>
  <c r="AG82" i="9" s="1"/>
  <c r="AF83" i="9"/>
  <c r="AG83" i="9" s="1"/>
  <c r="AF84" i="9"/>
  <c r="AG84" i="9" s="1"/>
  <c r="AF85" i="9"/>
  <c r="AG85" i="9" s="1"/>
  <c r="AF86" i="9"/>
  <c r="AG86" i="9" s="1"/>
  <c r="AF87" i="9"/>
  <c r="AG87" i="9" s="1"/>
  <c r="AF88" i="9"/>
  <c r="AG88" i="9" s="1"/>
  <c r="AF89" i="9"/>
  <c r="AG89" i="9" s="1"/>
  <c r="AF90" i="9"/>
  <c r="AG90" i="9" s="1"/>
  <c r="AF91" i="9"/>
  <c r="AG91" i="9" s="1"/>
  <c r="AF92" i="9"/>
  <c r="AG92" i="9" s="1"/>
  <c r="AF93" i="9"/>
  <c r="AG93" i="9" s="1"/>
  <c r="AF94" i="9"/>
  <c r="AG94" i="9" s="1"/>
  <c r="AF95" i="9"/>
  <c r="AG95" i="9" s="1"/>
  <c r="AF96" i="9"/>
  <c r="AG96" i="9" s="1"/>
  <c r="AF97" i="9"/>
  <c r="AG97" i="9" s="1"/>
  <c r="AF98" i="9"/>
  <c r="AG98" i="9" s="1"/>
  <c r="AF99" i="9"/>
  <c r="AG99" i="9" s="1"/>
  <c r="AF100" i="9"/>
  <c r="AG100" i="9" s="1"/>
  <c r="AF101" i="9"/>
  <c r="AG101" i="9" s="1"/>
  <c r="AF102" i="9"/>
  <c r="AG102" i="9" s="1"/>
  <c r="AF103" i="9"/>
  <c r="AG103" i="9" s="1"/>
  <c r="AF104" i="9"/>
  <c r="AG104" i="9" s="1"/>
  <c r="AF105" i="9"/>
  <c r="AG105" i="9" s="1"/>
  <c r="AF106" i="9"/>
  <c r="AG106" i="9" s="1"/>
  <c r="AF107" i="9"/>
  <c r="AG107" i="9" s="1"/>
  <c r="AF108" i="9"/>
  <c r="AG108" i="9" s="1"/>
  <c r="AF109" i="9"/>
  <c r="AG109" i="9" s="1"/>
  <c r="AF110" i="9"/>
  <c r="AG110" i="9" s="1"/>
  <c r="AF111" i="9"/>
  <c r="AG111" i="9" s="1"/>
  <c r="AF112" i="9"/>
  <c r="AG112" i="9" s="1"/>
  <c r="AF113" i="9"/>
  <c r="AG113" i="9" s="1"/>
  <c r="AF114" i="9"/>
  <c r="AG114" i="9" s="1"/>
  <c r="AF115" i="9"/>
  <c r="AG115" i="9" s="1"/>
  <c r="AF116" i="9"/>
  <c r="AG116" i="9" s="1"/>
  <c r="AF117" i="9"/>
  <c r="AG117" i="9" s="1"/>
  <c r="AF118" i="9"/>
  <c r="AG118" i="9" s="1"/>
  <c r="AG119" i="9"/>
  <c r="AG120" i="9"/>
  <c r="AG121" i="9"/>
  <c r="AG122" i="9"/>
  <c r="AG125" i="9"/>
  <c r="AG126" i="9"/>
  <c r="AG127" i="9"/>
  <c r="AG160" i="9"/>
  <c r="AG161" i="9"/>
  <c r="AG162" i="9"/>
  <c r="AG163" i="9"/>
  <c r="AG164" i="9"/>
  <c r="AG165" i="9"/>
  <c r="AG166" i="9"/>
  <c r="AG167" i="9"/>
  <c r="AG168" i="9"/>
  <c r="AG169" i="9"/>
  <c r="AG170" i="9"/>
  <c r="AG171" i="9"/>
  <c r="AG172" i="9"/>
  <c r="AG173" i="9"/>
  <c r="AG174" i="9"/>
  <c r="AG175" i="9"/>
  <c r="AG176" i="9"/>
  <c r="AG178" i="9"/>
  <c r="AG179" i="9"/>
  <c r="AG180" i="9"/>
  <c r="AG181" i="9"/>
  <c r="AG183" i="9"/>
  <c r="AG184" i="9"/>
  <c r="AG185" i="9"/>
  <c r="AG187" i="9"/>
  <c r="AG188" i="9"/>
  <c r="AG189" i="9"/>
  <c r="AG190" i="9"/>
  <c r="AG191" i="9"/>
  <c r="AG194" i="9"/>
  <c r="AG196" i="9"/>
  <c r="AG197" i="9"/>
  <c r="AG198" i="9"/>
  <c r="AG199" i="9"/>
  <c r="AG201" i="9"/>
  <c r="AG202" i="9"/>
  <c r="AG203" i="9"/>
  <c r="AG204" i="9"/>
  <c r="AG205" i="9"/>
  <c r="AG206" i="9"/>
  <c r="AG207" i="9"/>
  <c r="AG208" i="9"/>
  <c r="AG209" i="9"/>
  <c r="AG210" i="9"/>
  <c r="AG211" i="9"/>
  <c r="AG212" i="9"/>
  <c r="AF213" i="9"/>
  <c r="AG213" i="9" s="1"/>
  <c r="AF214" i="9"/>
  <c r="AG214" i="9" s="1"/>
  <c r="AF215" i="9"/>
  <c r="AG215" i="9" s="1"/>
  <c r="AF216" i="9"/>
  <c r="AG216" i="9" s="1"/>
  <c r="AF217" i="9"/>
  <c r="AG217" i="9" s="1"/>
  <c r="AF218" i="9"/>
  <c r="AG218" i="9" s="1"/>
  <c r="AF219" i="9"/>
  <c r="AG219" i="9" s="1"/>
  <c r="AF220" i="9"/>
  <c r="AG220" i="9" s="1"/>
  <c r="AF221" i="9"/>
  <c r="AG221" i="9" s="1"/>
  <c r="AF222" i="9"/>
  <c r="AG222" i="9" s="1"/>
  <c r="AF223" i="9"/>
  <c r="AG223" i="9" s="1"/>
  <c r="AF224" i="9"/>
  <c r="AG224" i="9" s="1"/>
  <c r="AG225" i="9"/>
  <c r="AG226" i="9"/>
  <c r="AF227" i="9"/>
  <c r="AG227" i="9" s="1"/>
  <c r="AF228" i="9"/>
  <c r="AG228" i="9" s="1"/>
  <c r="AF229" i="9"/>
  <c r="AG229" i="9" s="1"/>
  <c r="AF230" i="9"/>
  <c r="AG230" i="9" s="1"/>
  <c r="AF231" i="9"/>
  <c r="AG231" i="9" s="1"/>
  <c r="AF232" i="9"/>
  <c r="AG232" i="9" s="1"/>
  <c r="AF233" i="9"/>
  <c r="AG233" i="9" s="1"/>
  <c r="AF234" i="9"/>
  <c r="AG234" i="9" s="1"/>
  <c r="AG235" i="9"/>
  <c r="AG236" i="9"/>
  <c r="AG237" i="9"/>
  <c r="AG238" i="9"/>
  <c r="AF239" i="9"/>
  <c r="AG239" i="9" s="1"/>
  <c r="AF240" i="9"/>
  <c r="AG240" i="9" s="1"/>
  <c r="AF241" i="9"/>
  <c r="AG241" i="9" s="1"/>
  <c r="AF242" i="9"/>
  <c r="AG242" i="9" s="1"/>
  <c r="AF243" i="9"/>
  <c r="AG243" i="9" s="1"/>
  <c r="AF244" i="9"/>
  <c r="AG244" i="9" s="1"/>
  <c r="AF245" i="9"/>
  <c r="AG245" i="9" s="1"/>
  <c r="AF246" i="9"/>
  <c r="AG246" i="9" s="1"/>
  <c r="AF247" i="9"/>
  <c r="AG247" i="9" s="1"/>
  <c r="AF248" i="9"/>
  <c r="AG248" i="9" s="1"/>
  <c r="AF249" i="9"/>
  <c r="AF250" i="9"/>
  <c r="AG250" i="9" s="1"/>
  <c r="AF251" i="9"/>
  <c r="AG251" i="9" s="1"/>
  <c r="AF252" i="9"/>
  <c r="AG252" i="9" s="1"/>
  <c r="AF253" i="9"/>
  <c r="AG253" i="9" s="1"/>
  <c r="AF254" i="9"/>
  <c r="AG254" i="9" s="1"/>
  <c r="AF255" i="9"/>
  <c r="AG255" i="9" s="1"/>
  <c r="AF256" i="9"/>
  <c r="AG256" i="9" s="1"/>
  <c r="AF257" i="9"/>
  <c r="AF258" i="9"/>
  <c r="AG258" i="9" s="1"/>
  <c r="AF259" i="9"/>
  <c r="AG259" i="9" s="1"/>
  <c r="AF260" i="9"/>
  <c r="AG260" i="9" s="1"/>
  <c r="AF261" i="9"/>
  <c r="AG261" i="9" s="1"/>
  <c r="AF262" i="9"/>
  <c r="AG262" i="9" s="1"/>
  <c r="AG263" i="9"/>
  <c r="AF264" i="9"/>
  <c r="AF265" i="9"/>
  <c r="AG265" i="9" s="1"/>
  <c r="AF266" i="9"/>
  <c r="AG266" i="9" s="1"/>
  <c r="AF267" i="9"/>
  <c r="AG267" i="9" s="1"/>
  <c r="AF268" i="9"/>
  <c r="AG268" i="9" s="1"/>
  <c r="AF269" i="9"/>
  <c r="AG269" i="9" s="1"/>
  <c r="AF270" i="9"/>
  <c r="AG270" i="9" s="1"/>
  <c r="AF271" i="9"/>
  <c r="AG271" i="9" s="1"/>
  <c r="AF272" i="9"/>
  <c r="AG272" i="9" s="1"/>
  <c r="AF273" i="9"/>
  <c r="AG273" i="9" s="1"/>
  <c r="AF274" i="9"/>
  <c r="AG274" i="9" s="1"/>
  <c r="AF275" i="9"/>
  <c r="AG275" i="9" s="1"/>
  <c r="AF276" i="9"/>
  <c r="AG276" i="9" s="1"/>
  <c r="AF277" i="9"/>
  <c r="AG277" i="9" s="1"/>
  <c r="AF278" i="9"/>
  <c r="AG278" i="9" s="1"/>
  <c r="AF279" i="9"/>
  <c r="AG279" i="9" s="1"/>
  <c r="AF280" i="9"/>
  <c r="AG280" i="9" s="1"/>
  <c r="AF281" i="9"/>
  <c r="AG281" i="9" s="1"/>
  <c r="AF282" i="9"/>
  <c r="AG282" i="9" s="1"/>
  <c r="AF283" i="9"/>
  <c r="AG283" i="9" s="1"/>
  <c r="AF284" i="9"/>
  <c r="AG284" i="9" s="1"/>
  <c r="AF285" i="9"/>
  <c r="AG285" i="9" s="1"/>
  <c r="AF286" i="9"/>
  <c r="AG286" i="9" s="1"/>
  <c r="AF287" i="9"/>
  <c r="AG287" i="9" s="1"/>
  <c r="AG288" i="9"/>
  <c r="AG289" i="9"/>
  <c r="AG290" i="9"/>
  <c r="AF291" i="9"/>
  <c r="AG291" i="9" s="1"/>
  <c r="AF292" i="9"/>
  <c r="AG292" i="9" s="1"/>
  <c r="AF293" i="9"/>
  <c r="AG293" i="9" s="1"/>
  <c r="AF294" i="9"/>
  <c r="AG294" i="9" s="1"/>
  <c r="AF295" i="9"/>
  <c r="AG295" i="9" s="1"/>
  <c r="AF296" i="9"/>
  <c r="AG296" i="9" s="1"/>
  <c r="AF297" i="9"/>
  <c r="AG297" i="9" s="1"/>
  <c r="AF298" i="9"/>
  <c r="AG298" i="9" s="1"/>
  <c r="AF299" i="9"/>
  <c r="AG299" i="9" s="1"/>
  <c r="AF300" i="9"/>
  <c r="AG300" i="9" s="1"/>
  <c r="AF301" i="9"/>
  <c r="AG301" i="9" s="1"/>
  <c r="AF302" i="9"/>
  <c r="AG302" i="9" s="1"/>
  <c r="AF303" i="9"/>
  <c r="AG303" i="9" s="1"/>
  <c r="AF304" i="9"/>
  <c r="AG304" i="9" s="1"/>
  <c r="AF305" i="9"/>
  <c r="AG305" i="9" s="1"/>
  <c r="AF306" i="9"/>
  <c r="AG306" i="9" s="1"/>
  <c r="AF307" i="9"/>
  <c r="AG307" i="9" s="1"/>
  <c r="AF308" i="9"/>
  <c r="AG308" i="9" s="1"/>
  <c r="AF309" i="9"/>
  <c r="AG309" i="9" s="1"/>
  <c r="AF310" i="9"/>
  <c r="AG310" i="9" s="1"/>
  <c r="AF311" i="9"/>
  <c r="AG311" i="9" s="1"/>
  <c r="AF312" i="9"/>
  <c r="AG312" i="9" s="1"/>
  <c r="AF313" i="9"/>
  <c r="AG313" i="9" s="1"/>
  <c r="AF314" i="9"/>
  <c r="AG314" i="9" s="1"/>
  <c r="AF315" i="9"/>
  <c r="AG315" i="9" s="1"/>
  <c r="AF316" i="9"/>
  <c r="AG316" i="9" s="1"/>
  <c r="AF317" i="9"/>
  <c r="AG317" i="9" s="1"/>
  <c r="AF318" i="9"/>
  <c r="AG318" i="9" s="1"/>
  <c r="AF319" i="9"/>
  <c r="AG319" i="9" s="1"/>
  <c r="AF320" i="9"/>
  <c r="AG320" i="9" s="1"/>
  <c r="AF321" i="9"/>
  <c r="AG321" i="9" s="1"/>
  <c r="AF322" i="9"/>
  <c r="AG322" i="9" s="1"/>
  <c r="AF323" i="9"/>
  <c r="AG323" i="9" s="1"/>
  <c r="AF324" i="9"/>
  <c r="AG324" i="9" s="1"/>
  <c r="AF325" i="9"/>
  <c r="AG325" i="9" s="1"/>
  <c r="AF326" i="9"/>
  <c r="AG326" i="9" s="1"/>
  <c r="AF327" i="9"/>
  <c r="AG327" i="9" s="1"/>
  <c r="AF328" i="9"/>
  <c r="AG328" i="9" s="1"/>
  <c r="AF329" i="9"/>
  <c r="AG329" i="9" s="1"/>
  <c r="AF330" i="9"/>
  <c r="AG330" i="9" s="1"/>
  <c r="AF331" i="9"/>
  <c r="AG331" i="9" s="1"/>
  <c r="AF332" i="9"/>
  <c r="AG332" i="9" s="1"/>
  <c r="AF333" i="9"/>
  <c r="AG333" i="9" s="1"/>
  <c r="AF334" i="9"/>
  <c r="AG334" i="9" s="1"/>
  <c r="AF335" i="9"/>
  <c r="AG335" i="9" s="1"/>
  <c r="AF336" i="9"/>
  <c r="AG336" i="9" s="1"/>
  <c r="AF337" i="9"/>
  <c r="AG337" i="9" s="1"/>
  <c r="AF338" i="9"/>
  <c r="AG338" i="9" s="1"/>
  <c r="AF339" i="9"/>
  <c r="AG339" i="9" s="1"/>
  <c r="AF340" i="9"/>
  <c r="AG340" i="9" s="1"/>
  <c r="AF341" i="9"/>
  <c r="AG341" i="9" s="1"/>
  <c r="AF342" i="9"/>
  <c r="AG342" i="9" s="1"/>
  <c r="AF343" i="9"/>
  <c r="AG343" i="9" s="1"/>
  <c r="AF344" i="9"/>
  <c r="AG344" i="9" s="1"/>
  <c r="AF345" i="9"/>
  <c r="AG345" i="9" s="1"/>
  <c r="AF346" i="9"/>
  <c r="AG346" i="9" s="1"/>
  <c r="AF347" i="9"/>
  <c r="AG347" i="9" s="1"/>
  <c r="AF348" i="9"/>
  <c r="AG348" i="9" s="1"/>
  <c r="AF349" i="9"/>
  <c r="AG349" i="9" s="1"/>
  <c r="AF350" i="9"/>
  <c r="AG350" i="9" s="1"/>
  <c r="AF351" i="9"/>
  <c r="AG351" i="9" s="1"/>
  <c r="AF352" i="9"/>
  <c r="AG352" i="9" s="1"/>
  <c r="AF353" i="9"/>
  <c r="AG353" i="9" s="1"/>
  <c r="AF354" i="9"/>
  <c r="AG354" i="9" s="1"/>
  <c r="AF355" i="9"/>
  <c r="AG355" i="9" s="1"/>
  <c r="AF356" i="9"/>
  <c r="AG356" i="9" s="1"/>
  <c r="AF357" i="9"/>
  <c r="AG357" i="9" s="1"/>
  <c r="AF358" i="9"/>
  <c r="AG358" i="9" s="1"/>
  <c r="AF359" i="9"/>
  <c r="AG359" i="9" s="1"/>
  <c r="AF360" i="9"/>
  <c r="AG360" i="9" s="1"/>
  <c r="AF361" i="9"/>
  <c r="AG361" i="9" s="1"/>
  <c r="AF362" i="9"/>
  <c r="AG362" i="9" s="1"/>
  <c r="AF363" i="9"/>
  <c r="AG363" i="9" s="1"/>
  <c r="AF364" i="9"/>
  <c r="AG364" i="9" s="1"/>
  <c r="AF365" i="9"/>
  <c r="AG365" i="9" s="1"/>
  <c r="AF366" i="9"/>
  <c r="AG366" i="9" s="1"/>
  <c r="AF367" i="9"/>
  <c r="AG367" i="9" s="1"/>
  <c r="AF368" i="9"/>
  <c r="AG368" i="9" s="1"/>
  <c r="AF369" i="9"/>
  <c r="AG369" i="9" s="1"/>
  <c r="AF370" i="9"/>
  <c r="AG370" i="9" s="1"/>
  <c r="AF371" i="9"/>
  <c r="AG371" i="9" s="1"/>
  <c r="AF372" i="9"/>
  <c r="AG372" i="9" s="1"/>
  <c r="AF373" i="9"/>
  <c r="AG373" i="9" s="1"/>
  <c r="AF374" i="9"/>
  <c r="AG374" i="9" s="1"/>
  <c r="AF375" i="9"/>
  <c r="AG375" i="9" s="1"/>
  <c r="AF376" i="9"/>
  <c r="AG376" i="9" s="1"/>
  <c r="AF377" i="9"/>
  <c r="AG377" i="9" s="1"/>
  <c r="AF378" i="9"/>
  <c r="AG378" i="9" s="1"/>
  <c r="AF379" i="9"/>
  <c r="AG379" i="9" s="1"/>
  <c r="AF380" i="9"/>
  <c r="AG380" i="9" s="1"/>
  <c r="AF381" i="9"/>
  <c r="AG381" i="9" s="1"/>
  <c r="AF382" i="9"/>
  <c r="AG382" i="9" s="1"/>
  <c r="AF383" i="9"/>
  <c r="AG383" i="9" s="1"/>
  <c r="AF384" i="9"/>
  <c r="AG384" i="9" s="1"/>
  <c r="AF385" i="9"/>
  <c r="AG385" i="9" s="1"/>
  <c r="AF386" i="9"/>
  <c r="AG386" i="9" s="1"/>
  <c r="AF387" i="9"/>
  <c r="AG387" i="9" s="1"/>
  <c r="AF388" i="9"/>
  <c r="AG388" i="9" s="1"/>
  <c r="AF389" i="9"/>
  <c r="AG389" i="9" s="1"/>
  <c r="AF390" i="9"/>
  <c r="AG390" i="9" s="1"/>
  <c r="AF391" i="9"/>
  <c r="AG391" i="9" s="1"/>
  <c r="AF392" i="9"/>
  <c r="AG392" i="9" s="1"/>
  <c r="AF393" i="9"/>
  <c r="AG393" i="9" s="1"/>
  <c r="AF394" i="9"/>
  <c r="AG394" i="9" s="1"/>
  <c r="AF395" i="9"/>
  <c r="AG395" i="9" s="1"/>
  <c r="AF396" i="9"/>
  <c r="AG396" i="9" s="1"/>
  <c r="AF397" i="9"/>
  <c r="AG397" i="9" s="1"/>
  <c r="AF398" i="9"/>
  <c r="AG398" i="9" s="1"/>
  <c r="AF399" i="9"/>
  <c r="AG399" i="9" s="1"/>
  <c r="AF400" i="9"/>
  <c r="AG400" i="9" s="1"/>
  <c r="AF401" i="9"/>
  <c r="AG401" i="9" s="1"/>
  <c r="AF402" i="9"/>
  <c r="AG402" i="9" s="1"/>
  <c r="AF403" i="9"/>
  <c r="AG403" i="9" s="1"/>
  <c r="AF404" i="9"/>
  <c r="AG404" i="9" s="1"/>
  <c r="AF405" i="9"/>
  <c r="AG405" i="9" s="1"/>
  <c r="AF406" i="9"/>
  <c r="AG406" i="9" s="1"/>
  <c r="AF407" i="9"/>
  <c r="AG407" i="9" s="1"/>
  <c r="AF408" i="9"/>
  <c r="AG408" i="9" s="1"/>
  <c r="AF409" i="9"/>
  <c r="AG409" i="9" s="1"/>
  <c r="AF410" i="9"/>
  <c r="AG410" i="9" s="1"/>
  <c r="AF411" i="9"/>
  <c r="AG411" i="9" s="1"/>
  <c r="AF412" i="9"/>
  <c r="AG412" i="9" s="1"/>
  <c r="AF413" i="9"/>
  <c r="AG413" i="9" s="1"/>
  <c r="AF414" i="9"/>
  <c r="AG414" i="9" s="1"/>
  <c r="AF415" i="9"/>
  <c r="AG415" i="9" s="1"/>
  <c r="AF416" i="9"/>
  <c r="AG416" i="9" s="1"/>
  <c r="AF417" i="9"/>
  <c r="AG417" i="9" s="1"/>
  <c r="AF418" i="9"/>
  <c r="AG418" i="9" s="1"/>
  <c r="AF419" i="9"/>
  <c r="AG419" i="9" s="1"/>
  <c r="AF420" i="9"/>
  <c r="AG420" i="9" s="1"/>
  <c r="AF421" i="9"/>
  <c r="AG421" i="9" s="1"/>
  <c r="AF422" i="9"/>
  <c r="AG422" i="9" s="1"/>
  <c r="AF423" i="9"/>
  <c r="AG423" i="9" s="1"/>
  <c r="AF424" i="9"/>
  <c r="AG424" i="9" s="1"/>
  <c r="AF425" i="9"/>
  <c r="AG425" i="9" s="1"/>
  <c r="AF426" i="9"/>
  <c r="AG426" i="9" s="1"/>
  <c r="AF427" i="9"/>
  <c r="AG427" i="9" s="1"/>
  <c r="AF428" i="9"/>
  <c r="AG428" i="9" s="1"/>
  <c r="AF429" i="9"/>
  <c r="AG429" i="9" s="1"/>
  <c r="AF430" i="9"/>
  <c r="AG430" i="9" s="1"/>
  <c r="AF431" i="9"/>
  <c r="AG431" i="9" s="1"/>
  <c r="AF432" i="9"/>
  <c r="AG432" i="9" s="1"/>
  <c r="AF433" i="9"/>
  <c r="AG433" i="9" s="1"/>
  <c r="AF434" i="9"/>
  <c r="AG434" i="9" s="1"/>
  <c r="AF435" i="9"/>
  <c r="AG435" i="9" s="1"/>
  <c r="AF436" i="9"/>
  <c r="AG436" i="9" s="1"/>
  <c r="AF437" i="9"/>
  <c r="AG437" i="9" s="1"/>
  <c r="AF438" i="9"/>
  <c r="AG438" i="9" s="1"/>
  <c r="AF439" i="9"/>
  <c r="AG439" i="9" s="1"/>
  <c r="AF440" i="9"/>
  <c r="AG440" i="9" s="1"/>
  <c r="AF441" i="9"/>
  <c r="AG441" i="9" s="1"/>
  <c r="AF442" i="9"/>
  <c r="AG442" i="9" s="1"/>
  <c r="AF443" i="9"/>
  <c r="AG443" i="9" s="1"/>
  <c r="AF444" i="9"/>
  <c r="AG444" i="9" s="1"/>
  <c r="AF445" i="9"/>
  <c r="AG445" i="9" s="1"/>
  <c r="AF446" i="9"/>
  <c r="AG446" i="9" s="1"/>
  <c r="AF447" i="9"/>
  <c r="AG447" i="9" s="1"/>
  <c r="AF448" i="9"/>
  <c r="AG448" i="9" s="1"/>
  <c r="AF449" i="9"/>
  <c r="AG449" i="9" s="1"/>
  <c r="AF450" i="9"/>
  <c r="AG450" i="9" s="1"/>
  <c r="AF451" i="9"/>
  <c r="AG451" i="9" s="1"/>
  <c r="AF452" i="9"/>
  <c r="AG452" i="9" s="1"/>
  <c r="AF453" i="9"/>
  <c r="AG453" i="9" s="1"/>
  <c r="AF454" i="9"/>
  <c r="AG454" i="9" s="1"/>
  <c r="AF455" i="9"/>
  <c r="AG455" i="9" s="1"/>
  <c r="AF456" i="9"/>
  <c r="AG456" i="9" s="1"/>
  <c r="AF457" i="9"/>
  <c r="AG457" i="9" s="1"/>
  <c r="AF458" i="9"/>
  <c r="AG458" i="9" s="1"/>
  <c r="AF459" i="9"/>
  <c r="AG459" i="9" s="1"/>
  <c r="AF460" i="9"/>
  <c r="AG460" i="9" s="1"/>
  <c r="AF461" i="9"/>
  <c r="AG461" i="9" s="1"/>
  <c r="AF462" i="9"/>
  <c r="AG462" i="9" s="1"/>
  <c r="AF463" i="9"/>
  <c r="AG463" i="9" s="1"/>
  <c r="AF464" i="9"/>
  <c r="AG464" i="9" s="1"/>
  <c r="AF465" i="9"/>
  <c r="AG465" i="9" s="1"/>
  <c r="AF466" i="9"/>
  <c r="AG466" i="9" s="1"/>
  <c r="AF467" i="9"/>
  <c r="AG467" i="9" s="1"/>
  <c r="AF468" i="9"/>
  <c r="AG468" i="9" s="1"/>
  <c r="AF469" i="9"/>
  <c r="AG469" i="9" s="1"/>
  <c r="AF470" i="9"/>
  <c r="AG470" i="9" s="1"/>
  <c r="AF471" i="9"/>
  <c r="AG471" i="9" s="1"/>
  <c r="AF472" i="9"/>
  <c r="AG472" i="9" s="1"/>
  <c r="AF473" i="9"/>
  <c r="AG473" i="9" s="1"/>
  <c r="AF474" i="9"/>
  <c r="AG474" i="9" s="1"/>
  <c r="AF475" i="9"/>
  <c r="AG475" i="9" s="1"/>
  <c r="AF476" i="9"/>
  <c r="AG476" i="9" s="1"/>
  <c r="AF477" i="9"/>
  <c r="AG477" i="9" s="1"/>
  <c r="AF478" i="9"/>
  <c r="AG478" i="9" s="1"/>
  <c r="AF479" i="9"/>
  <c r="AG479" i="9" s="1"/>
  <c r="AF480" i="9"/>
  <c r="AG480" i="9" s="1"/>
  <c r="AF481" i="9"/>
  <c r="AG481" i="9" s="1"/>
  <c r="AF482" i="9"/>
  <c r="AG482" i="9" s="1"/>
  <c r="AF483" i="9"/>
  <c r="AG483" i="9" s="1"/>
  <c r="AF484" i="9"/>
  <c r="AG484" i="9" s="1"/>
  <c r="AF485" i="9"/>
  <c r="AG485" i="9" s="1"/>
  <c r="AF486" i="9"/>
  <c r="AG486" i="9" s="1"/>
  <c r="AF487" i="9"/>
  <c r="AG487" i="9" s="1"/>
  <c r="AF488" i="9"/>
  <c r="AG488" i="9" s="1"/>
  <c r="AF489" i="9"/>
  <c r="AG489" i="9" s="1"/>
  <c r="AF490" i="9"/>
  <c r="AG490" i="9" s="1"/>
  <c r="AF491" i="9"/>
  <c r="AG491" i="9" s="1"/>
  <c r="AF492" i="9"/>
  <c r="AG492" i="9" s="1"/>
  <c r="AF493" i="9"/>
  <c r="AG493" i="9" s="1"/>
  <c r="AF494" i="9"/>
  <c r="AG494" i="9" s="1"/>
  <c r="AF495" i="9"/>
  <c r="AG495" i="9" s="1"/>
  <c r="AF496" i="9"/>
  <c r="AG496" i="9" s="1"/>
  <c r="AF497" i="9"/>
  <c r="AG497" i="9" s="1"/>
  <c r="AF498" i="9"/>
  <c r="AG498" i="9" s="1"/>
  <c r="AF499" i="9"/>
  <c r="AG499" i="9" s="1"/>
  <c r="AF500" i="9"/>
  <c r="AG500" i="9" s="1"/>
  <c r="AF501" i="9"/>
  <c r="AG501" i="9" s="1"/>
  <c r="AF502" i="9"/>
  <c r="AG502" i="9" s="1"/>
  <c r="AF503" i="9"/>
  <c r="AG503" i="9" s="1"/>
  <c r="AF504" i="9"/>
  <c r="AG504" i="9" s="1"/>
  <c r="AF505" i="9"/>
  <c r="AG505" i="9" s="1"/>
  <c r="AF506" i="9"/>
  <c r="AG506" i="9" s="1"/>
  <c r="AF507" i="9"/>
  <c r="AG507" i="9" s="1"/>
  <c r="AF508" i="9"/>
  <c r="AG508" i="9" s="1"/>
  <c r="AF509" i="9"/>
  <c r="AG509" i="9" s="1"/>
  <c r="AF510" i="9"/>
  <c r="AG510" i="9" s="1"/>
  <c r="AF511" i="9"/>
  <c r="AG511" i="9" s="1"/>
  <c r="AF512" i="9"/>
  <c r="AG512" i="9" s="1"/>
  <c r="AF513" i="9"/>
  <c r="AG513" i="9" s="1"/>
  <c r="AF514" i="9"/>
  <c r="AG514" i="9" s="1"/>
  <c r="AF515" i="9"/>
  <c r="AG515" i="9" s="1"/>
  <c r="AF516" i="9"/>
  <c r="AG516" i="9" s="1"/>
  <c r="AF517" i="9"/>
  <c r="AG517" i="9" s="1"/>
  <c r="AF518" i="9"/>
  <c r="AG518" i="9" s="1"/>
  <c r="AF519" i="9"/>
  <c r="AG519" i="9" s="1"/>
  <c r="AF520" i="9"/>
  <c r="AG520" i="9" s="1"/>
  <c r="AF521" i="9"/>
  <c r="AG521" i="9" s="1"/>
  <c r="AF522" i="9"/>
  <c r="AG522" i="9" s="1"/>
  <c r="AF523" i="9"/>
  <c r="AG523" i="9" s="1"/>
  <c r="AF524" i="9"/>
  <c r="AG524" i="9" s="1"/>
  <c r="AF525" i="9"/>
  <c r="AG525" i="9" s="1"/>
  <c r="AF526" i="9"/>
  <c r="AG526" i="9" s="1"/>
  <c r="AF527" i="9"/>
  <c r="AG527" i="9" s="1"/>
  <c r="AF528" i="9"/>
  <c r="AG528" i="9" s="1"/>
  <c r="AF529" i="9"/>
  <c r="AG529" i="9" s="1"/>
  <c r="AF530" i="9"/>
  <c r="AG530" i="9" s="1"/>
  <c r="AF531" i="9"/>
  <c r="AG531" i="9" s="1"/>
  <c r="AF532" i="9"/>
  <c r="AG532" i="9" s="1"/>
  <c r="AF533" i="9"/>
  <c r="AG533" i="9" s="1"/>
  <c r="AF534" i="9"/>
  <c r="AG534" i="9" s="1"/>
  <c r="AF535" i="9"/>
  <c r="AG535" i="9" s="1"/>
  <c r="AF536" i="9"/>
  <c r="AG536" i="9" s="1"/>
  <c r="AF537" i="9"/>
  <c r="AG537" i="9" s="1"/>
  <c r="AF538" i="9"/>
  <c r="AG538" i="9" s="1"/>
  <c r="AF539" i="9"/>
  <c r="AG539" i="9" s="1"/>
  <c r="AF540" i="9"/>
  <c r="AG540" i="9" s="1"/>
  <c r="AF541" i="9"/>
  <c r="AG541" i="9" s="1"/>
  <c r="AF542" i="9"/>
  <c r="AG542" i="9" s="1"/>
  <c r="AF543" i="9"/>
  <c r="AG543" i="9" s="1"/>
  <c r="AF544" i="9"/>
  <c r="AG544" i="9" s="1"/>
  <c r="AF545" i="9"/>
  <c r="AG545" i="9" s="1"/>
  <c r="AF546" i="9"/>
  <c r="AG546" i="9" s="1"/>
  <c r="AF547" i="9"/>
  <c r="AG547" i="9" s="1"/>
  <c r="AF548" i="9"/>
  <c r="AG548" i="9" s="1"/>
  <c r="AF549" i="9"/>
  <c r="AG549" i="9" s="1"/>
  <c r="AF550" i="9"/>
  <c r="AG550" i="9" s="1"/>
  <c r="AF551" i="9"/>
  <c r="AG551" i="9" s="1"/>
  <c r="AF552" i="9"/>
  <c r="AG552" i="9" s="1"/>
  <c r="AF553" i="9"/>
  <c r="AG553" i="9" s="1"/>
  <c r="AF554" i="9"/>
  <c r="AG554" i="9" s="1"/>
  <c r="AF555" i="9"/>
  <c r="AG555" i="9" s="1"/>
  <c r="AF556" i="9"/>
  <c r="AG556" i="9" s="1"/>
  <c r="AF557" i="9"/>
  <c r="AG557" i="9" s="1"/>
  <c r="AF558" i="9"/>
  <c r="AG558" i="9" s="1"/>
  <c r="AF559" i="9"/>
  <c r="AG559" i="9" s="1"/>
  <c r="AF560" i="9"/>
  <c r="AG560" i="9" s="1"/>
  <c r="AF561" i="9"/>
  <c r="AG561" i="9" s="1"/>
  <c r="AF562" i="9"/>
  <c r="AG562" i="9" s="1"/>
  <c r="AF563" i="9"/>
  <c r="AG563" i="9" s="1"/>
  <c r="AF564" i="9"/>
  <c r="AG564" i="9" s="1"/>
  <c r="AF565" i="9"/>
  <c r="AG565" i="9" s="1"/>
  <c r="AF566" i="9"/>
  <c r="AG566" i="9" s="1"/>
  <c r="AF567" i="9"/>
  <c r="AG567" i="9" s="1"/>
  <c r="AF568" i="9"/>
  <c r="AG568" i="9" s="1"/>
  <c r="AF569" i="9"/>
  <c r="AG569" i="9" s="1"/>
  <c r="AF570" i="9"/>
  <c r="AG570" i="9" s="1"/>
  <c r="AF571" i="9"/>
  <c r="AG571" i="9" s="1"/>
  <c r="AF572" i="9"/>
  <c r="AG572" i="9" s="1"/>
  <c r="AF573" i="9"/>
  <c r="AG573" i="9" s="1"/>
  <c r="AF574" i="9"/>
  <c r="AG574" i="9" s="1"/>
  <c r="AF575" i="9"/>
  <c r="AG575" i="9" s="1"/>
  <c r="AF576" i="9"/>
  <c r="AG576" i="9" s="1"/>
  <c r="AF577" i="9"/>
  <c r="AG577" i="9" s="1"/>
  <c r="AF578" i="9"/>
  <c r="AG578" i="9" s="1"/>
  <c r="AF579" i="9"/>
  <c r="AG579" i="9" s="1"/>
  <c r="AF580" i="9"/>
  <c r="AG580" i="9" s="1"/>
  <c r="AF581" i="9"/>
  <c r="AG581" i="9" s="1"/>
  <c r="AF582" i="9"/>
  <c r="AG582" i="9" s="1"/>
  <c r="AF583" i="9"/>
  <c r="AG583" i="9" s="1"/>
  <c r="AF584" i="9"/>
  <c r="AG584" i="9" s="1"/>
  <c r="AF585" i="9"/>
  <c r="AG585" i="9" s="1"/>
  <c r="AF586" i="9"/>
  <c r="AG586" i="9" s="1"/>
  <c r="AF587" i="9"/>
  <c r="AG587" i="9" s="1"/>
  <c r="AF588" i="9"/>
  <c r="AG588" i="9" s="1"/>
  <c r="AF589" i="9"/>
  <c r="AG589" i="9" s="1"/>
  <c r="AF590" i="9"/>
  <c r="AG590" i="9" s="1"/>
  <c r="AF591" i="9"/>
  <c r="AG591" i="9" s="1"/>
  <c r="AF592" i="9"/>
  <c r="AG592" i="9" s="1"/>
  <c r="AF593" i="9"/>
  <c r="AG593" i="9" s="1"/>
  <c r="AF594" i="9"/>
  <c r="AG594" i="9" s="1"/>
  <c r="AF595" i="9"/>
  <c r="AG595" i="9" s="1"/>
  <c r="AF596" i="9"/>
  <c r="AG596" i="9" s="1"/>
  <c r="AF597" i="9"/>
  <c r="AG597" i="9" s="1"/>
  <c r="AF598" i="9"/>
  <c r="AG598" i="9" s="1"/>
  <c r="AF599" i="9"/>
  <c r="AG599" i="9" s="1"/>
  <c r="AF600" i="9"/>
  <c r="AG600" i="9" s="1"/>
  <c r="AF601" i="9"/>
  <c r="AG601" i="9" s="1"/>
  <c r="AF602" i="9"/>
  <c r="AG602" i="9" s="1"/>
  <c r="AF603" i="9"/>
  <c r="AG603" i="9" s="1"/>
  <c r="AF604" i="9"/>
  <c r="AG604" i="9" s="1"/>
  <c r="AF605" i="9"/>
  <c r="AG605" i="9" s="1"/>
  <c r="AF606" i="9"/>
  <c r="AG606" i="9" s="1"/>
  <c r="AF607" i="9"/>
  <c r="AG607" i="9" s="1"/>
  <c r="AF608" i="9"/>
  <c r="AG608" i="9" s="1"/>
  <c r="AF609" i="9"/>
  <c r="AG609" i="9" s="1"/>
  <c r="AF610" i="9"/>
  <c r="AG610" i="9" s="1"/>
  <c r="AF611" i="9"/>
  <c r="AG611" i="9" s="1"/>
  <c r="AF612" i="9"/>
  <c r="AG612" i="9" s="1"/>
  <c r="AF613" i="9"/>
  <c r="AG613" i="9" s="1"/>
  <c r="AF614" i="9"/>
  <c r="AG614" i="9" s="1"/>
  <c r="AF615" i="9"/>
  <c r="AG615" i="9" s="1"/>
  <c r="AF616" i="9"/>
  <c r="AG616" i="9" s="1"/>
  <c r="AF617" i="9"/>
  <c r="AG617" i="9" s="1"/>
  <c r="AF618" i="9"/>
  <c r="AG618" i="9" s="1"/>
  <c r="AF619" i="9"/>
  <c r="AG619" i="9" s="1"/>
  <c r="AF620" i="9"/>
  <c r="AG620" i="9" s="1"/>
  <c r="AF621" i="9"/>
  <c r="AG621" i="9" s="1"/>
  <c r="AF622" i="9"/>
  <c r="AG622" i="9" s="1"/>
  <c r="AF623" i="9"/>
  <c r="AG623" i="9" s="1"/>
  <c r="AF624" i="9"/>
  <c r="AG624" i="9" s="1"/>
  <c r="AF625" i="9"/>
  <c r="AG625" i="9" s="1"/>
  <c r="AF626" i="9"/>
  <c r="AG626" i="9" s="1"/>
  <c r="AF627" i="9"/>
  <c r="AG627" i="9" s="1"/>
  <c r="AF628" i="9"/>
  <c r="AG628" i="9" s="1"/>
  <c r="AF629" i="9"/>
  <c r="AG629" i="9" s="1"/>
  <c r="AF630" i="9"/>
  <c r="AG630" i="9" s="1"/>
  <c r="AF631" i="9"/>
  <c r="AG631" i="9" s="1"/>
  <c r="AF632" i="9"/>
  <c r="AG632" i="9" s="1"/>
  <c r="AF633" i="9"/>
  <c r="AG633" i="9" s="1"/>
  <c r="AF634" i="9"/>
  <c r="AG634" i="9" s="1"/>
  <c r="AF635" i="9"/>
  <c r="AG635" i="9" s="1"/>
  <c r="AF636" i="9"/>
  <c r="AG636" i="9" s="1"/>
  <c r="AF637" i="9"/>
  <c r="AG637" i="9" s="1"/>
  <c r="AF638" i="9"/>
  <c r="AG638" i="9" s="1"/>
  <c r="AF639" i="9"/>
  <c r="AG639" i="9" s="1"/>
  <c r="AF640" i="9"/>
  <c r="AG640" i="9" s="1"/>
  <c r="AF641" i="9"/>
  <c r="AG641" i="9" s="1"/>
  <c r="AF642" i="9"/>
  <c r="AG642" i="9" s="1"/>
  <c r="AF643" i="9"/>
  <c r="AG643" i="9" s="1"/>
  <c r="AF644" i="9"/>
  <c r="AG644" i="9" s="1"/>
  <c r="AF645" i="9"/>
  <c r="AG645" i="9" s="1"/>
  <c r="AF646" i="9"/>
  <c r="AG646" i="9" s="1"/>
  <c r="AF647" i="9"/>
  <c r="AG647" i="9" s="1"/>
  <c r="AF648" i="9"/>
  <c r="AG648" i="9" s="1"/>
  <c r="AF649" i="9"/>
  <c r="AG649" i="9" s="1"/>
  <c r="AF650" i="9"/>
  <c r="AG650" i="9" s="1"/>
  <c r="AF651" i="9"/>
  <c r="AG651" i="9" s="1"/>
  <c r="AF652" i="9"/>
  <c r="AG652" i="9" s="1"/>
  <c r="AF653" i="9"/>
  <c r="AG653" i="9" s="1"/>
  <c r="AF654" i="9"/>
  <c r="AG654" i="9" s="1"/>
  <c r="AF655" i="9"/>
  <c r="AG655" i="9" s="1"/>
  <c r="AF656" i="9"/>
  <c r="AG656" i="9" s="1"/>
  <c r="AF657" i="9"/>
  <c r="AG657" i="9" s="1"/>
  <c r="AF658" i="9"/>
  <c r="AG658" i="9" s="1"/>
  <c r="AF659" i="9"/>
  <c r="AG659" i="9" s="1"/>
  <c r="AF660" i="9"/>
  <c r="AG660" i="9" s="1"/>
  <c r="AF661" i="9"/>
  <c r="AG661" i="9" s="1"/>
  <c r="AF662" i="9"/>
  <c r="AG662" i="9" s="1"/>
  <c r="AF663" i="9"/>
  <c r="AG663" i="9" s="1"/>
  <c r="AF664" i="9"/>
  <c r="AG664" i="9" s="1"/>
  <c r="AF665" i="9"/>
  <c r="AG665" i="9" s="1"/>
  <c r="AF666" i="9"/>
  <c r="AG666" i="9" s="1"/>
  <c r="AF667" i="9"/>
  <c r="AG667" i="9" s="1"/>
  <c r="AF668" i="9"/>
  <c r="AG668" i="9" s="1"/>
  <c r="AF669" i="9"/>
  <c r="AG669" i="9" s="1"/>
  <c r="AF670" i="9"/>
  <c r="AG670" i="9" s="1"/>
  <c r="AF671" i="9"/>
  <c r="AG671" i="9" s="1"/>
  <c r="AF672" i="9"/>
  <c r="AG672" i="9" s="1"/>
  <c r="AF673" i="9"/>
  <c r="AG673" i="9" s="1"/>
  <c r="AF674" i="9"/>
  <c r="AG674" i="9" s="1"/>
  <c r="AF675" i="9"/>
  <c r="AG675" i="9" s="1"/>
  <c r="AF676" i="9"/>
  <c r="AG676" i="9" s="1"/>
  <c r="AF677" i="9"/>
  <c r="AG677" i="9" s="1"/>
  <c r="AF678" i="9"/>
  <c r="AG678" i="9" s="1"/>
  <c r="AF679" i="9"/>
  <c r="AG679" i="9" s="1"/>
  <c r="AF680" i="9"/>
  <c r="AG680" i="9" s="1"/>
  <c r="AF681" i="9"/>
  <c r="AG681" i="9" s="1"/>
  <c r="AF682" i="9"/>
  <c r="AG682" i="9" s="1"/>
  <c r="AF683" i="9"/>
  <c r="AG683" i="9" s="1"/>
  <c r="AF684" i="9"/>
  <c r="AG684" i="9" s="1"/>
  <c r="AF685" i="9"/>
  <c r="AG685" i="9" s="1"/>
  <c r="AF686" i="9"/>
  <c r="AG686" i="9" s="1"/>
  <c r="AF687" i="9"/>
  <c r="AG687" i="9" s="1"/>
  <c r="AF688" i="9"/>
  <c r="AG688" i="9" s="1"/>
  <c r="AF689" i="9"/>
  <c r="AG689" i="9" s="1"/>
  <c r="AF690" i="9"/>
  <c r="AG690" i="9" s="1"/>
  <c r="AF691" i="9"/>
  <c r="AG691" i="9" s="1"/>
  <c r="AF692" i="9"/>
  <c r="AG692" i="9" s="1"/>
  <c r="AF693" i="9"/>
  <c r="AG693" i="9" s="1"/>
  <c r="AF694" i="9"/>
  <c r="AG694" i="9" s="1"/>
  <c r="AF695" i="9"/>
  <c r="AG695" i="9" s="1"/>
  <c r="AF696" i="9"/>
  <c r="AG696" i="9" s="1"/>
  <c r="AF697" i="9"/>
  <c r="AG697" i="9" s="1"/>
  <c r="AF698" i="9"/>
  <c r="AG698" i="9" s="1"/>
  <c r="AF699" i="9"/>
  <c r="AG699" i="9" s="1"/>
  <c r="AF700" i="9"/>
  <c r="AG700" i="9" s="1"/>
  <c r="AF701" i="9"/>
  <c r="AG701" i="9" s="1"/>
  <c r="AF702" i="9"/>
  <c r="AG702" i="9" s="1"/>
  <c r="AF703" i="9"/>
  <c r="AG703" i="9" s="1"/>
  <c r="AF704" i="9"/>
  <c r="AG704" i="9" s="1"/>
  <c r="AF705" i="9"/>
  <c r="AG705" i="9" s="1"/>
  <c r="AF706" i="9"/>
  <c r="AG706" i="9" s="1"/>
  <c r="AF707" i="9"/>
  <c r="AG707" i="9" s="1"/>
  <c r="AF708" i="9"/>
  <c r="AG708" i="9" s="1"/>
  <c r="AF709" i="9"/>
  <c r="AG709" i="9" s="1"/>
  <c r="AF710" i="9"/>
  <c r="AG710" i="9" s="1"/>
  <c r="AF711" i="9"/>
  <c r="AG711" i="9" s="1"/>
  <c r="AF712" i="9"/>
  <c r="AG712" i="9" s="1"/>
  <c r="AF713" i="9"/>
  <c r="AG713" i="9" s="1"/>
  <c r="AF714" i="9"/>
  <c r="AG714" i="9" s="1"/>
  <c r="AF715" i="9"/>
  <c r="AG715" i="9" s="1"/>
  <c r="AF716" i="9"/>
  <c r="AG716" i="9" s="1"/>
  <c r="AF717" i="9"/>
  <c r="AG717" i="9" s="1"/>
  <c r="AF718" i="9"/>
  <c r="AG718" i="9" s="1"/>
  <c r="AF719" i="9"/>
  <c r="AG719" i="9" s="1"/>
  <c r="AF720" i="9"/>
  <c r="AG720" i="9" s="1"/>
  <c r="AF721" i="9"/>
  <c r="AG721" i="9" s="1"/>
  <c r="AF722" i="9"/>
  <c r="AG722" i="9" s="1"/>
  <c r="AF723" i="9"/>
  <c r="AG723" i="9" s="1"/>
  <c r="AF724" i="9"/>
  <c r="AG724" i="9" s="1"/>
  <c r="AF725" i="9"/>
  <c r="AG725" i="9" s="1"/>
  <c r="AF726" i="9"/>
  <c r="AG726" i="9" s="1"/>
  <c r="AF727" i="9"/>
  <c r="AG727" i="9" s="1"/>
  <c r="AF728" i="9"/>
  <c r="AG728" i="9" s="1"/>
  <c r="AF729" i="9"/>
  <c r="AG729" i="9" s="1"/>
  <c r="AF730" i="9"/>
  <c r="AG730" i="9" s="1"/>
  <c r="AF731" i="9"/>
  <c r="AG731" i="9" s="1"/>
  <c r="AF732" i="9"/>
  <c r="AG732" i="9" s="1"/>
  <c r="AF733" i="9"/>
  <c r="AG733" i="9" s="1"/>
  <c r="AF734" i="9"/>
  <c r="AG734" i="9" s="1"/>
  <c r="AF735" i="9"/>
  <c r="AG735" i="9" s="1"/>
  <c r="AF736" i="9"/>
  <c r="AG736" i="9" s="1"/>
  <c r="AF737" i="9"/>
  <c r="AG737" i="9" s="1"/>
  <c r="AF738" i="9"/>
  <c r="AG738" i="9" s="1"/>
  <c r="AF739" i="9"/>
  <c r="AG739" i="9" s="1"/>
  <c r="AF740" i="9"/>
  <c r="AG740" i="9" s="1"/>
  <c r="AF741" i="9"/>
  <c r="AG741" i="9" s="1"/>
  <c r="AF742" i="9"/>
  <c r="AG742" i="9" s="1"/>
  <c r="AF743" i="9"/>
  <c r="AG743" i="9" s="1"/>
  <c r="AF744" i="9"/>
  <c r="AG744" i="9" s="1"/>
  <c r="AF745" i="9"/>
  <c r="AG745" i="9" s="1"/>
  <c r="AF746" i="9"/>
  <c r="AG746" i="9" s="1"/>
  <c r="AF747" i="9"/>
  <c r="AG747" i="9" s="1"/>
  <c r="AF748" i="9"/>
  <c r="AG748" i="9" s="1"/>
  <c r="AF749" i="9"/>
  <c r="AG749" i="9" s="1"/>
  <c r="AF750" i="9"/>
  <c r="AG750" i="9" s="1"/>
  <c r="AF751" i="9"/>
  <c r="AG751" i="9" s="1"/>
  <c r="AF752" i="9"/>
  <c r="AG752" i="9" s="1"/>
  <c r="AF753" i="9"/>
  <c r="AG753" i="9" s="1"/>
  <c r="AF754" i="9"/>
  <c r="AG754" i="9" s="1"/>
  <c r="AF755" i="9"/>
  <c r="AG755" i="9" s="1"/>
  <c r="AF756" i="9"/>
  <c r="AG756" i="9" s="1"/>
  <c r="AF757" i="9"/>
  <c r="AG757" i="9" s="1"/>
  <c r="AF758" i="9"/>
  <c r="AG758" i="9" s="1"/>
  <c r="AF759" i="9"/>
  <c r="AG759" i="9" s="1"/>
  <c r="AF760" i="9"/>
  <c r="AG760" i="9" s="1"/>
  <c r="AF761" i="9"/>
  <c r="AG761" i="9" s="1"/>
  <c r="AF762" i="9"/>
  <c r="AG762" i="9" s="1"/>
  <c r="AF763" i="9"/>
  <c r="AG763" i="9" s="1"/>
  <c r="AF764" i="9"/>
  <c r="AG764" i="9" s="1"/>
  <c r="AF765" i="9"/>
  <c r="AG765" i="9" s="1"/>
  <c r="AF766" i="9"/>
  <c r="AG766" i="9" s="1"/>
  <c r="AF767" i="9"/>
  <c r="AG767" i="9" s="1"/>
  <c r="AF768" i="9"/>
  <c r="AG768" i="9" s="1"/>
  <c r="AF769" i="9"/>
  <c r="AG769" i="9" s="1"/>
  <c r="AF770" i="9"/>
  <c r="AG770" i="9" s="1"/>
  <c r="AF771" i="9"/>
  <c r="AG771" i="9" s="1"/>
  <c r="AF772" i="9"/>
  <c r="AG772" i="9" s="1"/>
  <c r="AF773" i="9"/>
  <c r="AG773" i="9" s="1"/>
  <c r="AF774" i="9"/>
  <c r="AG774" i="9" s="1"/>
  <c r="AF775" i="9"/>
  <c r="AG775" i="9" s="1"/>
  <c r="AF776" i="9"/>
  <c r="AG776" i="9" s="1"/>
  <c r="AF777" i="9"/>
  <c r="AG777" i="9" s="1"/>
  <c r="AF778" i="9"/>
  <c r="AG778" i="9" s="1"/>
  <c r="AF779" i="9"/>
  <c r="AG779" i="9" s="1"/>
  <c r="AF780" i="9"/>
  <c r="AG780" i="9" s="1"/>
  <c r="AF781" i="9"/>
  <c r="AG781" i="9" s="1"/>
  <c r="AF782" i="9"/>
  <c r="AG782" i="9" s="1"/>
  <c r="AF783" i="9"/>
  <c r="AG783" i="9" s="1"/>
  <c r="AF784" i="9"/>
  <c r="AG784" i="9" s="1"/>
  <c r="AF785" i="9"/>
  <c r="AG785" i="9" s="1"/>
  <c r="AF786" i="9"/>
  <c r="AG786" i="9" s="1"/>
  <c r="AF787" i="9"/>
  <c r="AG787" i="9" s="1"/>
  <c r="AF788" i="9"/>
  <c r="AG788" i="9" s="1"/>
  <c r="AF789" i="9"/>
  <c r="AG789" i="9" s="1"/>
  <c r="AF790" i="9"/>
  <c r="AG790" i="9" s="1"/>
  <c r="AF791" i="9"/>
  <c r="AG791" i="9" s="1"/>
  <c r="AF792" i="9"/>
  <c r="AG792" i="9" s="1"/>
  <c r="AF793" i="9"/>
  <c r="AG793" i="9" s="1"/>
  <c r="AF794" i="9"/>
  <c r="AG794" i="9" s="1"/>
  <c r="AF795" i="9"/>
  <c r="AG795" i="9" s="1"/>
  <c r="AF796" i="9"/>
  <c r="AG796" i="9" s="1"/>
  <c r="AF797" i="9"/>
  <c r="AG797" i="9" s="1"/>
  <c r="AF798" i="9"/>
  <c r="AG798" i="9" s="1"/>
  <c r="AF799" i="9"/>
  <c r="AG799" i="9" s="1"/>
  <c r="AF800" i="9"/>
  <c r="AG800" i="9" s="1"/>
  <c r="AF801" i="9"/>
  <c r="AG801" i="9" s="1"/>
  <c r="AF802" i="9"/>
  <c r="AG802" i="9" s="1"/>
  <c r="AF803" i="9"/>
  <c r="AG803" i="9" s="1"/>
  <c r="AF804" i="9"/>
  <c r="AG804" i="9" s="1"/>
  <c r="AF805" i="9"/>
  <c r="AG805" i="9" s="1"/>
  <c r="AF806" i="9"/>
  <c r="AG806" i="9" s="1"/>
  <c r="AF807" i="9"/>
  <c r="AG807" i="9" s="1"/>
  <c r="AF808" i="9"/>
  <c r="AG808" i="9" s="1"/>
  <c r="AF809" i="9"/>
  <c r="AG809" i="9" s="1"/>
  <c r="AF810" i="9"/>
  <c r="AG810" i="9" s="1"/>
  <c r="AF811" i="9"/>
  <c r="AG811" i="9" s="1"/>
  <c r="AF812" i="9"/>
  <c r="AG812" i="9" s="1"/>
  <c r="AF813" i="9"/>
  <c r="AG813" i="9" s="1"/>
  <c r="AF814" i="9"/>
  <c r="AG814" i="9" s="1"/>
  <c r="AF815" i="9"/>
  <c r="AG815" i="9" s="1"/>
  <c r="AF816" i="9"/>
  <c r="AG816" i="9" s="1"/>
  <c r="AF817" i="9"/>
  <c r="AG817" i="9" s="1"/>
  <c r="AF818" i="9"/>
  <c r="AG818" i="9" s="1"/>
  <c r="AF819" i="9"/>
  <c r="AG819" i="9" s="1"/>
  <c r="AF820" i="9"/>
  <c r="AG820" i="9" s="1"/>
  <c r="AF821" i="9"/>
  <c r="AG821" i="9" s="1"/>
  <c r="AF822" i="9"/>
  <c r="AG822" i="9" s="1"/>
  <c r="AF823" i="9"/>
  <c r="AG823" i="9" s="1"/>
  <c r="AF824" i="9"/>
  <c r="AG824" i="9" s="1"/>
  <c r="AF825" i="9"/>
  <c r="AG825" i="9" s="1"/>
  <c r="AF826" i="9"/>
  <c r="AG826" i="9" s="1"/>
  <c r="AF827" i="9"/>
  <c r="AG827" i="9" s="1"/>
  <c r="AF828" i="9"/>
  <c r="AG828" i="9" s="1"/>
  <c r="AF829" i="9"/>
  <c r="AG829" i="9" s="1"/>
  <c r="AF830" i="9"/>
  <c r="AG830" i="9" s="1"/>
  <c r="AF831" i="9"/>
  <c r="AG831" i="9" s="1"/>
  <c r="AF832" i="9"/>
  <c r="AG832" i="9" s="1"/>
  <c r="AF833" i="9"/>
  <c r="AG833" i="9" s="1"/>
  <c r="AF834" i="9"/>
  <c r="AG834" i="9" s="1"/>
  <c r="AF835" i="9"/>
  <c r="AG835" i="9" s="1"/>
  <c r="AF836" i="9"/>
  <c r="AG836" i="9" s="1"/>
  <c r="AF837" i="9"/>
  <c r="AG837" i="9" s="1"/>
  <c r="AF838" i="9"/>
  <c r="AG838" i="9" s="1"/>
  <c r="AF839" i="9"/>
  <c r="AG839" i="9" s="1"/>
  <c r="AF840" i="9"/>
  <c r="AG840" i="9" s="1"/>
  <c r="AF841" i="9"/>
  <c r="AG841" i="9" s="1"/>
  <c r="AF842" i="9"/>
  <c r="AG842" i="9" s="1"/>
  <c r="AF843" i="9"/>
  <c r="AG843" i="9" s="1"/>
  <c r="AF844" i="9"/>
  <c r="AG844" i="9" s="1"/>
  <c r="AF845" i="9"/>
  <c r="AG845" i="9" s="1"/>
  <c r="AF846" i="9"/>
  <c r="AG846" i="9" s="1"/>
  <c r="AF847" i="9"/>
  <c r="AG847" i="9" s="1"/>
  <c r="AF848" i="9"/>
  <c r="AG848" i="9" s="1"/>
  <c r="AF849" i="9"/>
  <c r="AG849" i="9" s="1"/>
  <c r="AF850" i="9"/>
  <c r="AG850" i="9" s="1"/>
  <c r="AF851" i="9"/>
  <c r="AG851" i="9" s="1"/>
  <c r="AF852" i="9"/>
  <c r="AG852" i="9" s="1"/>
  <c r="AF853" i="9"/>
  <c r="AG853" i="9" s="1"/>
  <c r="AF854" i="9"/>
  <c r="AG854" i="9" s="1"/>
  <c r="AF855" i="9"/>
  <c r="AG855" i="9" s="1"/>
  <c r="AF856" i="9"/>
  <c r="AG856" i="9" s="1"/>
  <c r="AF857" i="9"/>
  <c r="AG857" i="9" s="1"/>
  <c r="AF858" i="9"/>
  <c r="AG858" i="9" s="1"/>
  <c r="AF859" i="9"/>
  <c r="AG859" i="9" s="1"/>
  <c r="AF860" i="9"/>
  <c r="AG860" i="9" s="1"/>
  <c r="AF861" i="9"/>
  <c r="AG861" i="9" s="1"/>
  <c r="AF862" i="9"/>
  <c r="AG862" i="9" s="1"/>
  <c r="AF863" i="9"/>
  <c r="AG863" i="9" s="1"/>
  <c r="AF864" i="9"/>
  <c r="AG864" i="9" s="1"/>
  <c r="AF865" i="9"/>
  <c r="AG865" i="9" s="1"/>
  <c r="AF866" i="9"/>
  <c r="AG866" i="9" s="1"/>
  <c r="AF867" i="9"/>
  <c r="AG867" i="9" s="1"/>
  <c r="AF868" i="9"/>
  <c r="AG868" i="9" s="1"/>
  <c r="AF869" i="9"/>
  <c r="AG869" i="9" s="1"/>
  <c r="AF870" i="9"/>
  <c r="AG870" i="9" s="1"/>
  <c r="AF871" i="9"/>
  <c r="AG871" i="9" s="1"/>
  <c r="AF872" i="9"/>
  <c r="AG872" i="9" s="1"/>
  <c r="AF873" i="9"/>
  <c r="AG873" i="9" s="1"/>
  <c r="AF874" i="9"/>
  <c r="AG874" i="9" s="1"/>
  <c r="AF875" i="9"/>
  <c r="AG875" i="9" s="1"/>
  <c r="AF876" i="9"/>
  <c r="AG876" i="9" s="1"/>
  <c r="AF877" i="9"/>
  <c r="AG877" i="9" s="1"/>
  <c r="AF878" i="9"/>
  <c r="AG878" i="9" s="1"/>
  <c r="AF879" i="9"/>
  <c r="AG879" i="9" s="1"/>
  <c r="AF880" i="9"/>
  <c r="AG880" i="9" s="1"/>
  <c r="AF881" i="9"/>
  <c r="AG881" i="9" s="1"/>
  <c r="AF882" i="9"/>
  <c r="AG882" i="9" s="1"/>
  <c r="AF883" i="9"/>
  <c r="AG883" i="9" s="1"/>
  <c r="AF884" i="9"/>
  <c r="AG884" i="9" s="1"/>
  <c r="AF885" i="9"/>
  <c r="AG885" i="9" s="1"/>
  <c r="AF886" i="9"/>
  <c r="AG886" i="9" s="1"/>
  <c r="AF887" i="9"/>
  <c r="AG887" i="9" s="1"/>
  <c r="AF888" i="9"/>
  <c r="AG888" i="9" s="1"/>
  <c r="AF889" i="9"/>
  <c r="AG889" i="9" s="1"/>
  <c r="AF890" i="9"/>
  <c r="AG890" i="9" s="1"/>
  <c r="AF891" i="9"/>
  <c r="AG891" i="9" s="1"/>
  <c r="AF892" i="9"/>
  <c r="AG892" i="9" s="1"/>
  <c r="AF893" i="9"/>
  <c r="AG893" i="9" s="1"/>
  <c r="AF894" i="9"/>
  <c r="AG894" i="9" s="1"/>
  <c r="AF895" i="9"/>
  <c r="AG895" i="9" s="1"/>
  <c r="AF896" i="9"/>
  <c r="AG896" i="9" s="1"/>
  <c r="AF897" i="9"/>
  <c r="AG897" i="9" s="1"/>
  <c r="AF898" i="9"/>
  <c r="AG898" i="9" s="1"/>
  <c r="AF899" i="9"/>
  <c r="AG899" i="9" s="1"/>
  <c r="AF900" i="9"/>
  <c r="AG900" i="9" s="1"/>
  <c r="AF901" i="9"/>
  <c r="AG901" i="9" s="1"/>
  <c r="AF902" i="9"/>
  <c r="AG902" i="9" s="1"/>
  <c r="AF903" i="9"/>
  <c r="AG903" i="9" s="1"/>
  <c r="AF904" i="9"/>
  <c r="AG904" i="9" s="1"/>
  <c r="AF905" i="9"/>
  <c r="AG905" i="9" s="1"/>
  <c r="AF906" i="9"/>
  <c r="AG906" i="9" s="1"/>
  <c r="AF907" i="9"/>
  <c r="AG907" i="9" s="1"/>
  <c r="AF908" i="9"/>
  <c r="AG908" i="9" s="1"/>
  <c r="AF909" i="9"/>
  <c r="AG909" i="9" s="1"/>
  <c r="AF910" i="9"/>
  <c r="AG910" i="9" s="1"/>
  <c r="AF911" i="9"/>
  <c r="AG911" i="9" s="1"/>
  <c r="AF912" i="9"/>
  <c r="AG912" i="9" s="1"/>
  <c r="AF913" i="9"/>
  <c r="AG913" i="9" s="1"/>
  <c r="AF914" i="9"/>
  <c r="AG914" i="9" s="1"/>
  <c r="AF915" i="9"/>
  <c r="AG915" i="9" s="1"/>
  <c r="AF916" i="9"/>
  <c r="AG916" i="9" s="1"/>
  <c r="AF917" i="9"/>
  <c r="AG917" i="9" s="1"/>
  <c r="AF918" i="9"/>
  <c r="AG918" i="9" s="1"/>
  <c r="AF919" i="9"/>
  <c r="AG919" i="9" s="1"/>
  <c r="AF920" i="9"/>
  <c r="AG920" i="9" s="1"/>
  <c r="AF921" i="9"/>
  <c r="AG921" i="9" s="1"/>
  <c r="AF922" i="9"/>
  <c r="AG922" i="9" s="1"/>
  <c r="AF923" i="9"/>
  <c r="AG923" i="9" s="1"/>
  <c r="AF924" i="9"/>
  <c r="AG924" i="9" s="1"/>
  <c r="AF925" i="9"/>
  <c r="AG925" i="9" s="1"/>
  <c r="AF926" i="9"/>
  <c r="AG926" i="9" s="1"/>
  <c r="AF927" i="9"/>
  <c r="AG927" i="9" s="1"/>
  <c r="AF928" i="9"/>
  <c r="AG928" i="9" s="1"/>
  <c r="AF929" i="9"/>
  <c r="AG929" i="9" s="1"/>
  <c r="AF930" i="9"/>
  <c r="AG930" i="9" s="1"/>
  <c r="AF931" i="9"/>
  <c r="AG931" i="9" s="1"/>
  <c r="AF932" i="9"/>
  <c r="AG932" i="9" s="1"/>
  <c r="AF933" i="9"/>
  <c r="AG933" i="9" s="1"/>
  <c r="AF934" i="9"/>
  <c r="AG934" i="9" s="1"/>
  <c r="AF935" i="9"/>
  <c r="AG935" i="9" s="1"/>
  <c r="AF936" i="9"/>
  <c r="AG936" i="9" s="1"/>
  <c r="AF937" i="9"/>
  <c r="AG937" i="9" s="1"/>
  <c r="AF938" i="9"/>
  <c r="AG938" i="9" s="1"/>
  <c r="AF939" i="9"/>
  <c r="AG939" i="9" s="1"/>
  <c r="AF940" i="9"/>
  <c r="AG940" i="9" s="1"/>
  <c r="AF941" i="9"/>
  <c r="AG941" i="9" s="1"/>
  <c r="AF942" i="9"/>
  <c r="AG942" i="9" s="1"/>
  <c r="AF943" i="9"/>
  <c r="AG943" i="9" s="1"/>
  <c r="AF944" i="9"/>
  <c r="AG944" i="9" s="1"/>
  <c r="AF945" i="9"/>
  <c r="AG945" i="9" s="1"/>
  <c r="AF946" i="9"/>
  <c r="AG946" i="9" s="1"/>
  <c r="AF947" i="9"/>
  <c r="AG947" i="9" s="1"/>
  <c r="AF948" i="9"/>
  <c r="AG948" i="9" s="1"/>
  <c r="AF949" i="9"/>
  <c r="AG949" i="9" s="1"/>
  <c r="AF950" i="9"/>
  <c r="AG950" i="9" s="1"/>
  <c r="AF951" i="9"/>
  <c r="AG951" i="9" s="1"/>
  <c r="AF952" i="9"/>
  <c r="AG952" i="9" s="1"/>
  <c r="AF953" i="9"/>
  <c r="AG953" i="9" s="1"/>
  <c r="AF954" i="9"/>
  <c r="AG954" i="9" s="1"/>
  <c r="AF955" i="9"/>
  <c r="AG955" i="9" s="1"/>
  <c r="AF956" i="9"/>
  <c r="AG956" i="9" s="1"/>
  <c r="AF957" i="9"/>
  <c r="AG957" i="9" s="1"/>
  <c r="AG958" i="9"/>
  <c r="AG959" i="9"/>
  <c r="AG960" i="9"/>
  <c r="AG961" i="9"/>
  <c r="AG962" i="9"/>
  <c r="AG963" i="9"/>
  <c r="AG964" i="9"/>
  <c r="AG965" i="9"/>
  <c r="AG966" i="9"/>
  <c r="AG967" i="9"/>
  <c r="AG968" i="9"/>
  <c r="AG969" i="9"/>
  <c r="AG970" i="9"/>
  <c r="AG971" i="9"/>
  <c r="AG972" i="9"/>
  <c r="AG973" i="9"/>
  <c r="AG974" i="9"/>
  <c r="AG975" i="9"/>
  <c r="AG976" i="9"/>
  <c r="AG977" i="9"/>
  <c r="AG978" i="9"/>
  <c r="AG979" i="9"/>
  <c r="AG980" i="9"/>
  <c r="AG981" i="9"/>
  <c r="AG982" i="9"/>
  <c r="AG983" i="9"/>
  <c r="AG984" i="9"/>
  <c r="AG985" i="9"/>
  <c r="AG986" i="9"/>
  <c r="AG987" i="9"/>
  <c r="AG988" i="9"/>
  <c r="AG989" i="9"/>
  <c r="AG990" i="9"/>
  <c r="AG991" i="9"/>
  <c r="AG992" i="9"/>
  <c r="AG993" i="9"/>
  <c r="AG994" i="9"/>
  <c r="AG995" i="9"/>
  <c r="AG996" i="9"/>
  <c r="AG997" i="9"/>
  <c r="AG998" i="9"/>
  <c r="AA4" i="8"/>
  <c r="AA6" i="8"/>
  <c r="AA9" i="8"/>
  <c r="AA10" i="8"/>
  <c r="AA12" i="8"/>
  <c r="AA15" i="8"/>
  <c r="AA18" i="8"/>
  <c r="AA21" i="8"/>
  <c r="AA27" i="8"/>
  <c r="AA28" i="8"/>
  <c r="AA33" i="8"/>
  <c r="AA35" i="8"/>
  <c r="AA36" i="8"/>
  <c r="AA39" i="8"/>
  <c r="AA40" i="8"/>
  <c r="AA45" i="8"/>
  <c r="AA46" i="8"/>
  <c r="AA51" i="8"/>
  <c r="AA54" i="8"/>
  <c r="AA57" i="8"/>
  <c r="AA60" i="8"/>
  <c r="AA61" i="8"/>
  <c r="AA63" i="8"/>
  <c r="AA64" i="8"/>
  <c r="AA69" i="8"/>
  <c r="AA70" i="8"/>
  <c r="AA72" i="8"/>
  <c r="AA75" i="8"/>
  <c r="AA78" i="8"/>
  <c r="AA79" i="8"/>
  <c r="AA81" i="8"/>
  <c r="AA84" i="8"/>
  <c r="AA87" i="8"/>
  <c r="AA94" i="8"/>
  <c r="AA96" i="8"/>
  <c r="AA99" i="8"/>
  <c r="AA103" i="8"/>
  <c r="AA105" i="8"/>
  <c r="AA106" i="8"/>
  <c r="AA111" i="8"/>
  <c r="AA112" i="8"/>
  <c r="AA114" i="8"/>
  <c r="AA117" i="8"/>
  <c r="AA118" i="8"/>
  <c r="AA120" i="8"/>
  <c r="AA123" i="8"/>
  <c r="AA126" i="8"/>
  <c r="AA127" i="8"/>
  <c r="AA129" i="8"/>
  <c r="AA130" i="8"/>
  <c r="AA135" i="8"/>
  <c r="AA136" i="8"/>
  <c r="AA139" i="8"/>
  <c r="AA141" i="8"/>
  <c r="AA144" i="8"/>
  <c r="AA147" i="8"/>
  <c r="AA148" i="8"/>
  <c r="AA151" i="8"/>
  <c r="AA153" i="8"/>
  <c r="AA159" i="8"/>
  <c r="AA162" i="8"/>
  <c r="AA165" i="8"/>
  <c r="AA168" i="8"/>
  <c r="AA169" i="8"/>
  <c r="AA171" i="8"/>
  <c r="AA172" i="8"/>
  <c r="AA177" i="8"/>
  <c r="AA178" i="8"/>
  <c r="AA180" i="8"/>
  <c r="AA183" i="8"/>
  <c r="AA185" i="8"/>
  <c r="AA186" i="8"/>
  <c r="AA189" i="8"/>
  <c r="AA192" i="8"/>
  <c r="AA195" i="8"/>
  <c r="AA201" i="8"/>
  <c r="AA202" i="8"/>
  <c r="AA204" i="8"/>
  <c r="AA207" i="8"/>
  <c r="AA213" i="8"/>
  <c r="AA214" i="8"/>
  <c r="AA219" i="8"/>
  <c r="AA220" i="8"/>
  <c r="AA222" i="8"/>
  <c r="AA225" i="8"/>
  <c r="AA226" i="8"/>
  <c r="AA228" i="8"/>
  <c r="AA231" i="8"/>
  <c r="AA234" i="8"/>
  <c r="AA235" i="8"/>
  <c r="AA237" i="8"/>
  <c r="AA243" i="8"/>
  <c r="AA244" i="8"/>
  <c r="AA247" i="8"/>
  <c r="AA249" i="8"/>
  <c r="AA251" i="8"/>
  <c r="AA252" i="8"/>
  <c r="AA255" i="8"/>
  <c r="AA256" i="8"/>
  <c r="AA259" i="8"/>
  <c r="AA261" i="8"/>
  <c r="AA262" i="8"/>
  <c r="AA267" i="8"/>
  <c r="AA270" i="8"/>
  <c r="AA273" i="8"/>
  <c r="AA278" i="8"/>
  <c r="AA281" i="8"/>
  <c r="AA282" i="8"/>
  <c r="AA287" i="8"/>
  <c r="AA293" i="8"/>
  <c r="AA295" i="8"/>
  <c r="AA296" i="8"/>
  <c r="AA299" i="8"/>
  <c r="AA300" i="8"/>
  <c r="AA305" i="8"/>
  <c r="AA306" i="8"/>
  <c r="AA307" i="8"/>
  <c r="AA308" i="8"/>
  <c r="AA311" i="8"/>
  <c r="AA314" i="8"/>
  <c r="AA317" i="8"/>
  <c r="AA320" i="8"/>
  <c r="AA323" i="8"/>
  <c r="AA324" i="8"/>
  <c r="AA329" i="8"/>
  <c r="AA330" i="8"/>
  <c r="AA332" i="8"/>
  <c r="AA335" i="8"/>
  <c r="AA338" i="8"/>
  <c r="AA341" i="8"/>
  <c r="AA342" i="8"/>
  <c r="AA344" i="8"/>
  <c r="AA347" i="8"/>
  <c r="AA350" i="8"/>
  <c r="AA353" i="8"/>
  <c r="AA354" i="8"/>
  <c r="AA356" i="8"/>
  <c r="AA357" i="8"/>
  <c r="AA359" i="8"/>
  <c r="AA365" i="8"/>
  <c r="AA367" i="8"/>
  <c r="AA371" i="8"/>
  <c r="AA372" i="8"/>
  <c r="AA374" i="8"/>
  <c r="AA377" i="8"/>
  <c r="AA378" i="8"/>
  <c r="AA380" i="8"/>
  <c r="AA381" i="8"/>
  <c r="AA383" i="8"/>
  <c r="AA386" i="8"/>
  <c r="AA389" i="8"/>
  <c r="AA390" i="8"/>
  <c r="AA392" i="8"/>
  <c r="AA395" i="8"/>
  <c r="AA396" i="8"/>
  <c r="AA401" i="8"/>
  <c r="AA403" i="8"/>
  <c r="AA404" i="8"/>
  <c r="AA407" i="8"/>
  <c r="AA408" i="8"/>
  <c r="AA413" i="8"/>
  <c r="AA414" i="8"/>
  <c r="AA415" i="8"/>
  <c r="AA416" i="8"/>
  <c r="AA419" i="8"/>
  <c r="AA422" i="8"/>
  <c r="AA425" i="8"/>
  <c r="AA428" i="8"/>
  <c r="AA431" i="8"/>
  <c r="AA432" i="8"/>
  <c r="AA437" i="8"/>
  <c r="AA438" i="8"/>
  <c r="AA440" i="8"/>
  <c r="AA443" i="8"/>
  <c r="AA446" i="8"/>
  <c r="AA449" i="8"/>
  <c r="AA450" i="8"/>
  <c r="AA452" i="8"/>
  <c r="AA455" i="8"/>
  <c r="AA458" i="8"/>
  <c r="AA461" i="8"/>
  <c r="AA462" i="8"/>
  <c r="AA464" i="8"/>
  <c r="AA465" i="8"/>
  <c r="AA467" i="8"/>
  <c r="AA473" i="8"/>
  <c r="AA474" i="8"/>
  <c r="AA475" i="8"/>
  <c r="AA479" i="8"/>
  <c r="AA480" i="8"/>
  <c r="AA482" i="8"/>
  <c r="AA485" i="8"/>
  <c r="AA486" i="8"/>
  <c r="AA488" i="8"/>
  <c r="AA489" i="8"/>
  <c r="AA491" i="8"/>
  <c r="AA494" i="8"/>
  <c r="AA497" i="8"/>
  <c r="AA498" i="8"/>
  <c r="AA500" i="8"/>
  <c r="AA503" i="8"/>
  <c r="AA504" i="8"/>
  <c r="AA509" i="8"/>
  <c r="AA511" i="8"/>
  <c r="AA512" i="8"/>
  <c r="AA515" i="8"/>
  <c r="AA516" i="8"/>
  <c r="AA521" i="8"/>
  <c r="AA522" i="8"/>
  <c r="AA523" i="8"/>
  <c r="AA524" i="8"/>
  <c r="AA527" i="8"/>
  <c r="AA530" i="8"/>
  <c r="AA533" i="8"/>
  <c r="AA536" i="8"/>
  <c r="AA539" i="8"/>
  <c r="AA540" i="8"/>
  <c r="AA545" i="8"/>
  <c r="AA546" i="8"/>
  <c r="AA548" i="8"/>
  <c r="AA551" i="8"/>
  <c r="AA554" i="8"/>
  <c r="AA557" i="8"/>
  <c r="AA558" i="8"/>
  <c r="AA560" i="8"/>
  <c r="AA563" i="8"/>
  <c r="AA566" i="8"/>
  <c r="AA569" i="8"/>
  <c r="AA570" i="8"/>
  <c r="AA572" i="8"/>
  <c r="AA573" i="8"/>
  <c r="AA575" i="8"/>
  <c r="AA581" i="8"/>
  <c r="AA582" i="8"/>
  <c r="AA583" i="8"/>
  <c r="AA587" i="8"/>
  <c r="AA588" i="8"/>
  <c r="AA590" i="8"/>
  <c r="AA593" i="8"/>
  <c r="AA594" i="8"/>
  <c r="AA596" i="8"/>
  <c r="AA599" i="8"/>
  <c r="AA602" i="8"/>
  <c r="AA605" i="8"/>
  <c r="AA606" i="8"/>
  <c r="AA608" i="8"/>
  <c r="AA611" i="8"/>
  <c r="AA612" i="8"/>
  <c r="AA617" i="8"/>
  <c r="AA619" i="8"/>
  <c r="AA620" i="8"/>
  <c r="AA623" i="8"/>
  <c r="AA624" i="8"/>
  <c r="AA629" i="8"/>
  <c r="AA631" i="8"/>
  <c r="AA632" i="8"/>
  <c r="AA635" i="8"/>
  <c r="AA636" i="8"/>
  <c r="AA639" i="8"/>
  <c r="AA641" i="8"/>
  <c r="AA642" i="8"/>
  <c r="AA644" i="8"/>
  <c r="AA647" i="8"/>
  <c r="AA650" i="8"/>
  <c r="AA654" i="8"/>
  <c r="AA656" i="8"/>
  <c r="AA659" i="8"/>
  <c r="AA660" i="8"/>
  <c r="AA661" i="8"/>
  <c r="AA665" i="8"/>
  <c r="AA666" i="8"/>
  <c r="AA668" i="8"/>
  <c r="AA671" i="8"/>
  <c r="AA672" i="8"/>
  <c r="AA673" i="8"/>
  <c r="AA674" i="8"/>
  <c r="AA677" i="8"/>
  <c r="AA678" i="8"/>
  <c r="AA680" i="8"/>
  <c r="AA683" i="8"/>
  <c r="AA686" i="8"/>
  <c r="AA690" i="8"/>
  <c r="AA692" i="8"/>
  <c r="AA695" i="8"/>
  <c r="AA696" i="8"/>
  <c r="AA697" i="8"/>
  <c r="AA701" i="8"/>
  <c r="AA702" i="8"/>
  <c r="AA703" i="8"/>
  <c r="AA704" i="8"/>
  <c r="AA707" i="8"/>
  <c r="AA708" i="8"/>
  <c r="AA710" i="8"/>
  <c r="AA713" i="8"/>
  <c r="AA714" i="8"/>
  <c r="AA716" i="8"/>
  <c r="AA719" i="8"/>
  <c r="AA720" i="8"/>
  <c r="AA721" i="8"/>
  <c r="AA722" i="8"/>
  <c r="AA725" i="8"/>
  <c r="AA726" i="8"/>
  <c r="AA728" i="8"/>
  <c r="AA731" i="8"/>
  <c r="AA732" i="8"/>
  <c r="AA733" i="8"/>
  <c r="AA734" i="8"/>
  <c r="AA735" i="8"/>
  <c r="AA737" i="8"/>
  <c r="AA738" i="8"/>
  <c r="AA740" i="8"/>
  <c r="AA743" i="8"/>
  <c r="AA744" i="8"/>
  <c r="AA746" i="8"/>
  <c r="AA749" i="8"/>
  <c r="AA750" i="8"/>
  <c r="AA752" i="8"/>
  <c r="AA755" i="8"/>
  <c r="AA756" i="8"/>
  <c r="AA757" i="8"/>
  <c r="AA758" i="8"/>
  <c r="AA761" i="8"/>
  <c r="AA762" i="8"/>
  <c r="AA764" i="8"/>
  <c r="AA767" i="8"/>
  <c r="AA768" i="8"/>
  <c r="AA769" i="8"/>
  <c r="AA770" i="8"/>
  <c r="AA771" i="8"/>
  <c r="AA773" i="8"/>
  <c r="AA774" i="8"/>
  <c r="AA776" i="8"/>
  <c r="AA779" i="8"/>
  <c r="AA780" i="8"/>
  <c r="AA782" i="8"/>
  <c r="AA785" i="8"/>
  <c r="AA786" i="8"/>
  <c r="AA788" i="8"/>
  <c r="AA791" i="8"/>
  <c r="AA792" i="8"/>
  <c r="AA793" i="8"/>
  <c r="AA794" i="8"/>
  <c r="AA797" i="8"/>
  <c r="AA798" i="8"/>
  <c r="AA800" i="8"/>
  <c r="AA803" i="8"/>
  <c r="AA804" i="8"/>
  <c r="AA805" i="8"/>
  <c r="AA806" i="8"/>
  <c r="AA807" i="8"/>
  <c r="AA809" i="8"/>
  <c r="AA810" i="8"/>
  <c r="AA812" i="8"/>
  <c r="AA815" i="8"/>
  <c r="AA816" i="8"/>
  <c r="AA818" i="8"/>
  <c r="AA821" i="8"/>
  <c r="AA822" i="8"/>
  <c r="AA824" i="8"/>
  <c r="AA827" i="8"/>
  <c r="AA828" i="8"/>
  <c r="AA829" i="8"/>
  <c r="AA830" i="8"/>
  <c r="AA833" i="8"/>
  <c r="AA834" i="8"/>
  <c r="AA836" i="8"/>
  <c r="AA839" i="8"/>
  <c r="AA840" i="8"/>
  <c r="AA841" i="8"/>
  <c r="AA842" i="8"/>
  <c r="AA843" i="8"/>
  <c r="AA845" i="8"/>
  <c r="AA846" i="8"/>
  <c r="AA848" i="8"/>
  <c r="AA851" i="8"/>
  <c r="AA852" i="8"/>
  <c r="AA854" i="8"/>
  <c r="AA857" i="8"/>
  <c r="AA858" i="8"/>
  <c r="AA860" i="8"/>
  <c r="AA863" i="8"/>
  <c r="AA864" i="8"/>
  <c r="AA865" i="8"/>
  <c r="AA866" i="8"/>
  <c r="AA869" i="8"/>
  <c r="AA870" i="8"/>
  <c r="AA872" i="8"/>
  <c r="AA875" i="8"/>
  <c r="AA876" i="8"/>
  <c r="AA877" i="8"/>
  <c r="AA878" i="8"/>
  <c r="AA879" i="8"/>
  <c r="AA881" i="8"/>
  <c r="AA882" i="8"/>
  <c r="AA884" i="8"/>
  <c r="AA887" i="8"/>
  <c r="AA888" i="8"/>
  <c r="AA890" i="8"/>
  <c r="AA893" i="8"/>
  <c r="AA894" i="8"/>
  <c r="AA896" i="8"/>
  <c r="AA899" i="8"/>
  <c r="AA900" i="8"/>
  <c r="AA901" i="8"/>
  <c r="AA902" i="8"/>
  <c r="AA905" i="8"/>
  <c r="AA906" i="8"/>
  <c r="AA908" i="8"/>
  <c r="AA911" i="8"/>
  <c r="AA912" i="8"/>
  <c r="AA913" i="8"/>
  <c r="AA914" i="8"/>
  <c r="AA915" i="8"/>
  <c r="AA917" i="8"/>
  <c r="AA918" i="8"/>
  <c r="AA920" i="8"/>
  <c r="AA923" i="8"/>
  <c r="AA924" i="8"/>
  <c r="AA926" i="8"/>
  <c r="AA929" i="8"/>
  <c r="AA930" i="8"/>
  <c r="AA932" i="8"/>
  <c r="AA935" i="8"/>
  <c r="AA936" i="8"/>
  <c r="AJ958" i="9"/>
  <c r="AJ959" i="9"/>
  <c r="AJ960" i="9"/>
  <c r="AJ961" i="9"/>
  <c r="AJ962" i="9"/>
  <c r="AJ963" i="9"/>
  <c r="AJ964" i="9"/>
  <c r="AJ965" i="9"/>
  <c r="AJ966" i="9"/>
  <c r="AJ967" i="9"/>
  <c r="AJ968" i="9"/>
  <c r="AJ969" i="9"/>
  <c r="AJ970" i="9"/>
  <c r="AJ971" i="9"/>
  <c r="AJ972" i="9"/>
  <c r="AJ973" i="9"/>
  <c r="AJ974" i="9"/>
  <c r="AJ975" i="9"/>
  <c r="AJ976" i="9"/>
  <c r="AJ977" i="9"/>
  <c r="AJ978" i="9"/>
  <c r="AJ979" i="9"/>
  <c r="AJ980" i="9"/>
  <c r="AJ981" i="9"/>
  <c r="AJ982" i="9"/>
  <c r="AJ983" i="9"/>
  <c r="AJ984" i="9"/>
  <c r="AJ985" i="9"/>
  <c r="AJ986" i="9"/>
  <c r="AJ987" i="9"/>
  <c r="AJ988" i="9"/>
  <c r="AJ989" i="9"/>
  <c r="AJ990" i="9"/>
  <c r="AJ991" i="9"/>
  <c r="AJ992" i="9"/>
  <c r="AJ993" i="9"/>
  <c r="AJ994" i="9"/>
  <c r="AJ995" i="9"/>
  <c r="AJ996" i="9"/>
  <c r="AJ997" i="9"/>
  <c r="AJ998" i="9"/>
  <c r="AD840" i="8"/>
  <c r="AD841" i="8"/>
  <c r="AD842" i="8"/>
  <c r="AD843" i="8"/>
  <c r="AD844" i="8"/>
  <c r="AD845" i="8"/>
  <c r="AD846" i="8"/>
  <c r="AD847" i="8"/>
  <c r="AD848" i="8"/>
  <c r="AD849" i="8"/>
  <c r="AD850" i="8"/>
  <c r="AD851" i="8"/>
  <c r="AD852" i="8"/>
  <c r="AD853" i="8"/>
  <c r="AD854" i="8"/>
  <c r="AD855" i="8"/>
  <c r="AD856" i="8"/>
  <c r="AD857" i="8"/>
  <c r="AD858" i="8"/>
  <c r="AD859" i="8"/>
  <c r="AD860" i="8"/>
  <c r="AD861" i="8"/>
  <c r="AD862" i="8"/>
  <c r="AD863" i="8"/>
  <c r="AD864" i="8"/>
  <c r="AD865" i="8"/>
  <c r="AD866" i="8"/>
  <c r="AD867" i="8"/>
  <c r="AD868" i="8"/>
  <c r="AD869" i="8"/>
  <c r="AD870" i="8"/>
  <c r="AD871" i="8"/>
  <c r="AD872" i="8"/>
  <c r="AD873" i="8"/>
  <c r="AD874" i="8"/>
  <c r="AD875" i="8"/>
  <c r="AD876" i="8"/>
  <c r="AD877" i="8"/>
  <c r="AD878" i="8"/>
  <c r="AD879" i="8"/>
  <c r="AD880" i="8"/>
  <c r="AD881" i="8"/>
  <c r="AD882" i="8"/>
  <c r="AD883" i="8"/>
  <c r="AD884" i="8"/>
  <c r="AD885" i="8"/>
  <c r="AD886" i="8"/>
  <c r="AD887" i="8"/>
  <c r="AD888" i="8"/>
  <c r="AD889" i="8"/>
  <c r="AD890" i="8"/>
  <c r="AD891" i="8"/>
  <c r="AD892" i="8"/>
  <c r="AD893" i="8"/>
  <c r="AD894" i="8"/>
  <c r="AD895" i="8"/>
  <c r="AD896" i="8"/>
  <c r="AD897" i="8"/>
  <c r="AD898" i="8"/>
  <c r="AD899" i="8"/>
  <c r="AD900" i="8"/>
  <c r="AD901" i="8"/>
  <c r="AD902" i="8"/>
  <c r="AD903" i="8"/>
  <c r="AD904" i="8"/>
  <c r="AD905" i="8"/>
  <c r="AD906" i="8"/>
  <c r="AD907" i="8"/>
  <c r="AD908" i="8"/>
  <c r="AD909" i="8"/>
  <c r="AD910" i="8"/>
  <c r="AD911" i="8"/>
  <c r="AD912" i="8"/>
  <c r="AD913" i="8"/>
  <c r="AD914" i="8"/>
  <c r="AD915" i="8"/>
  <c r="AD916" i="8"/>
  <c r="AD917" i="8"/>
  <c r="AD918" i="8"/>
  <c r="AD919" i="8"/>
  <c r="AD920" i="8"/>
  <c r="AD921" i="8"/>
  <c r="AD922" i="8"/>
  <c r="AD923" i="8"/>
  <c r="AD924" i="8"/>
  <c r="AD925" i="8"/>
  <c r="AD926" i="8"/>
  <c r="AD927" i="8"/>
  <c r="AD928" i="8"/>
  <c r="AD929" i="8"/>
  <c r="AD930" i="8"/>
  <c r="AD931" i="8"/>
  <c r="AD932" i="8"/>
  <c r="AD933" i="8"/>
  <c r="AD934" i="8"/>
  <c r="AD935" i="8"/>
  <c r="AD936" i="8"/>
  <c r="AI972" i="11"/>
  <c r="AI973" i="11"/>
  <c r="AI974" i="11"/>
  <c r="AI975" i="11"/>
  <c r="AI976" i="11"/>
  <c r="AI977" i="11"/>
  <c r="AI978" i="11"/>
  <c r="AI979" i="11"/>
  <c r="AI980" i="11"/>
  <c r="AI981" i="11"/>
  <c r="AI982" i="11"/>
  <c r="AI983" i="11"/>
  <c r="AI984" i="11"/>
  <c r="AI985" i="11"/>
  <c r="AI986" i="11"/>
  <c r="AI987" i="11"/>
  <c r="AI988" i="11"/>
  <c r="AI989" i="11"/>
  <c r="AI990" i="11"/>
  <c r="AI991" i="11"/>
  <c r="AI992" i="11"/>
  <c r="AI993" i="11"/>
  <c r="AI994" i="11"/>
  <c r="AI995" i="11"/>
  <c r="AI996" i="11"/>
  <c r="AI997" i="11"/>
  <c r="AI998" i="11"/>
  <c r="AI999" i="11"/>
  <c r="AI1000" i="11"/>
  <c r="AG3" i="9" l="1"/>
  <c r="K161" i="2"/>
  <c r="J161" i="2" s="1"/>
  <c r="C405" i="2"/>
  <c r="F405" i="2" s="1"/>
  <c r="G405" i="2" s="1"/>
  <c r="C402" i="2"/>
  <c r="C439" i="2"/>
  <c r="F439" i="2" s="1"/>
  <c r="G439" i="2" s="1"/>
  <c r="C427" i="2"/>
  <c r="F427" i="2" s="1"/>
  <c r="G427" i="2" s="1"/>
  <c r="C421" i="2"/>
  <c r="F421" i="2" s="1"/>
  <c r="G421" i="2" s="1"/>
  <c r="C415" i="2"/>
  <c r="F415" i="2" s="1"/>
  <c r="G415" i="2" s="1"/>
  <c r="C409" i="2"/>
  <c r="F409" i="2" s="1"/>
  <c r="G409" i="2" s="1"/>
  <c r="C437" i="2"/>
  <c r="F437" i="2" s="1"/>
  <c r="G437" i="2" s="1"/>
  <c r="C431" i="2"/>
  <c r="C425" i="2"/>
  <c r="F425" i="2" s="1"/>
  <c r="G425" i="2" s="1"/>
  <c r="C422" i="2"/>
  <c r="F422" i="2" s="1"/>
  <c r="G422" i="2" s="1"/>
  <c r="C419" i="2"/>
  <c r="C416" i="2"/>
  <c r="F416" i="2" s="1"/>
  <c r="G416" i="2" s="1"/>
  <c r="C410" i="2"/>
  <c r="F410" i="2" s="1"/>
  <c r="G410" i="2" s="1"/>
  <c r="C407" i="2"/>
  <c r="F407" i="2" s="1"/>
  <c r="G407" i="2" s="1"/>
  <c r="C413" i="2"/>
  <c r="F413" i="2" s="1"/>
  <c r="G413" i="2" s="1"/>
  <c r="C436" i="2"/>
  <c r="F436" i="2" s="1"/>
  <c r="G436" i="2" s="1"/>
  <c r="C430" i="2"/>
  <c r="F430" i="2" s="1"/>
  <c r="G430" i="2" s="1"/>
  <c r="C424" i="2"/>
  <c r="F424" i="2" s="1"/>
  <c r="G424" i="2" s="1"/>
  <c r="C418" i="2"/>
  <c r="F418" i="2" s="1"/>
  <c r="G418" i="2" s="1"/>
  <c r="C412" i="2"/>
  <c r="F412" i="2" s="1"/>
  <c r="G412" i="2" s="1"/>
  <c r="C404" i="2"/>
  <c r="F404" i="2" s="1"/>
  <c r="G404" i="2" s="1"/>
  <c r="C406" i="2"/>
  <c r="F406" i="2" s="1"/>
  <c r="G406" i="2" s="1"/>
  <c r="C438" i="2"/>
  <c r="F438" i="2" s="1"/>
  <c r="G438" i="2" s="1"/>
  <c r="C435" i="2"/>
  <c r="F435" i="2" s="1"/>
  <c r="G435" i="2" s="1"/>
  <c r="C432" i="2"/>
  <c r="F432" i="2" s="1"/>
  <c r="G432" i="2" s="1"/>
  <c r="C429" i="2"/>
  <c r="F429" i="2" s="1"/>
  <c r="G429" i="2" s="1"/>
  <c r="C426" i="2"/>
  <c r="F426" i="2" s="1"/>
  <c r="G426" i="2" s="1"/>
  <c r="C423" i="2"/>
  <c r="F423" i="2" s="1"/>
  <c r="G423" i="2" s="1"/>
  <c r="C420" i="2"/>
  <c r="F420" i="2" s="1"/>
  <c r="G420" i="2" s="1"/>
  <c r="C417" i="2"/>
  <c r="F417" i="2" s="1"/>
  <c r="G417" i="2" s="1"/>
  <c r="C414" i="2"/>
  <c r="F414" i="2" s="1"/>
  <c r="G414" i="2" s="1"/>
  <c r="C411" i="2"/>
  <c r="F411" i="2" s="1"/>
  <c r="G411" i="2" s="1"/>
  <c r="C408" i="2"/>
  <c r="F408" i="2" s="1"/>
  <c r="G408" i="2" s="1"/>
  <c r="C433" i="2"/>
  <c r="F433" i="2" s="1"/>
  <c r="G433" i="2" s="1"/>
  <c r="C403" i="2"/>
  <c r="F403" i="2" s="1"/>
  <c r="G403" i="2" s="1"/>
  <c r="C434" i="2"/>
  <c r="F434" i="2" s="1"/>
  <c r="G434" i="2" s="1"/>
  <c r="F431" i="2"/>
  <c r="G431" i="2" s="1"/>
  <c r="C428" i="2"/>
  <c r="F428" i="2" s="1"/>
  <c r="G428" i="2" s="1"/>
  <c r="F419" i="2"/>
  <c r="G419" i="2" s="1"/>
  <c r="F402" i="2"/>
  <c r="G402" i="2" s="1"/>
  <c r="C305" i="2"/>
  <c r="F305" i="2" s="1"/>
  <c r="G305" i="2" s="1"/>
  <c r="C299" i="2"/>
  <c r="F299" i="2" s="1"/>
  <c r="G299" i="2" s="1"/>
  <c r="C313" i="2"/>
  <c r="F313" i="2" s="1"/>
  <c r="G313" i="2" s="1"/>
  <c r="C310" i="2"/>
  <c r="F310" i="2" s="1"/>
  <c r="G310" i="2" s="1"/>
  <c r="C307" i="2"/>
  <c r="F307" i="2" s="1"/>
  <c r="G307" i="2" s="1"/>
  <c r="C304" i="2"/>
  <c r="F304" i="2" s="1"/>
  <c r="G304" i="2" s="1"/>
  <c r="C301" i="2"/>
  <c r="F301" i="2" s="1"/>
  <c r="G301" i="2" s="1"/>
  <c r="C298" i="2"/>
  <c r="F298" i="2" s="1"/>
  <c r="G298" i="2" s="1"/>
  <c r="C321" i="2"/>
  <c r="C318" i="2"/>
  <c r="F318" i="2" s="1"/>
  <c r="G318" i="2" s="1"/>
  <c r="C315" i="2"/>
  <c r="F315" i="2" s="1"/>
  <c r="G315" i="2" s="1"/>
  <c r="C320" i="2"/>
  <c r="F320" i="2" s="1"/>
  <c r="G320" i="2" s="1"/>
  <c r="C314" i="2"/>
  <c r="F314" i="2" s="1"/>
  <c r="G314" i="2" s="1"/>
  <c r="C311" i="2"/>
  <c r="F311" i="2" s="1"/>
  <c r="G311" i="2" s="1"/>
  <c r="C323" i="2"/>
  <c r="F323" i="2" s="1"/>
  <c r="G323" i="2" s="1"/>
  <c r="C317" i="2"/>
  <c r="F317" i="2" s="1"/>
  <c r="G317" i="2" s="1"/>
  <c r="C312" i="2"/>
  <c r="F312" i="2" s="1"/>
  <c r="G312" i="2" s="1"/>
  <c r="C309" i="2"/>
  <c r="F309" i="2" s="1"/>
  <c r="G309" i="2" s="1"/>
  <c r="C306" i="2"/>
  <c r="F306" i="2" s="1"/>
  <c r="G306" i="2" s="1"/>
  <c r="C303" i="2"/>
  <c r="F303" i="2" s="1"/>
  <c r="G303" i="2" s="1"/>
  <c r="C300" i="2"/>
  <c r="F300" i="2" s="1"/>
  <c r="G300" i="2" s="1"/>
  <c r="C308" i="2"/>
  <c r="F308" i="2" s="1"/>
  <c r="G308" i="2" s="1"/>
  <c r="C302" i="2"/>
  <c r="F302" i="2" s="1"/>
  <c r="G302" i="2" s="1"/>
  <c r="C319" i="2"/>
  <c r="F319" i="2" s="1"/>
  <c r="G319" i="2" s="1"/>
  <c r="C316" i="2"/>
  <c r="F316" i="2" s="1"/>
  <c r="G316" i="2" s="1"/>
  <c r="C322" i="2"/>
  <c r="F322" i="2" s="1"/>
  <c r="G322" i="2" s="1"/>
  <c r="F321" i="2"/>
  <c r="G321" i="2" s="1"/>
  <c r="C85" i="2"/>
  <c r="F85" i="2" s="1"/>
  <c r="G85" i="2" s="1"/>
  <c r="C82" i="2"/>
  <c r="F82" i="2" s="1"/>
  <c r="G82" i="2" s="1"/>
  <c r="C79" i="2"/>
  <c r="F79" i="2" s="1"/>
  <c r="G79" i="2" s="1"/>
  <c r="C76" i="2"/>
  <c r="F76" i="2" s="1"/>
  <c r="G76" i="2" s="1"/>
  <c r="C98" i="2"/>
  <c r="F98" i="2" s="1"/>
  <c r="G98" i="2" s="1"/>
  <c r="C92" i="2"/>
  <c r="F92" i="2" s="1"/>
  <c r="G92" i="2" s="1"/>
  <c r="C105" i="2"/>
  <c r="F105" i="2" s="1"/>
  <c r="G105" i="2" s="1"/>
  <c r="C86" i="2"/>
  <c r="F86" i="2" s="1"/>
  <c r="G86" i="2" s="1"/>
  <c r="C80" i="2"/>
  <c r="F80" i="2" s="1"/>
  <c r="G80" i="2" s="1"/>
  <c r="C104" i="2"/>
  <c r="F104" i="2" s="1"/>
  <c r="G104" i="2" s="1"/>
  <c r="C102" i="2"/>
  <c r="F102" i="2" s="1"/>
  <c r="G102" i="2" s="1"/>
  <c r="C99" i="2"/>
  <c r="F99" i="2" s="1"/>
  <c r="G99" i="2" s="1"/>
  <c r="C96" i="2"/>
  <c r="F96" i="2" s="1"/>
  <c r="G96" i="2" s="1"/>
  <c r="C93" i="2"/>
  <c r="F93" i="2" s="1"/>
  <c r="G93" i="2" s="1"/>
  <c r="C90" i="2"/>
  <c r="F90" i="2" s="1"/>
  <c r="G90" i="2" s="1"/>
  <c r="C87" i="2"/>
  <c r="F87" i="2" s="1"/>
  <c r="G87" i="2" s="1"/>
  <c r="C84" i="2"/>
  <c r="F84" i="2" s="1"/>
  <c r="G84" i="2" s="1"/>
  <c r="C81" i="2"/>
  <c r="F81" i="2" s="1"/>
  <c r="G81" i="2" s="1"/>
  <c r="C78" i="2"/>
  <c r="F78" i="2" s="1"/>
  <c r="G78" i="2" s="1"/>
  <c r="C101" i="2"/>
  <c r="F101" i="2" s="1"/>
  <c r="G101" i="2" s="1"/>
  <c r="C95" i="2"/>
  <c r="F95" i="2" s="1"/>
  <c r="G95" i="2" s="1"/>
  <c r="C89" i="2"/>
  <c r="F89" i="2" s="1"/>
  <c r="G89" i="2" s="1"/>
  <c r="C83" i="2"/>
  <c r="F83" i="2" s="1"/>
  <c r="G83" i="2" s="1"/>
  <c r="C103" i="2"/>
  <c r="F103" i="2" s="1"/>
  <c r="G103" i="2" s="1"/>
  <c r="C100" i="2"/>
  <c r="F100" i="2" s="1"/>
  <c r="G100" i="2" s="1"/>
  <c r="C97" i="2"/>
  <c r="F97" i="2" s="1"/>
  <c r="G97" i="2" s="1"/>
  <c r="C94" i="2"/>
  <c r="F94" i="2" s="1"/>
  <c r="G94" i="2" s="1"/>
  <c r="C91" i="2"/>
  <c r="F91" i="2" s="1"/>
  <c r="G91" i="2" s="1"/>
  <c r="C88" i="2"/>
  <c r="F88" i="2" s="1"/>
  <c r="G88" i="2" s="1"/>
  <c r="C77" i="2"/>
  <c r="F77" i="2" s="1"/>
  <c r="G77" i="2" s="1"/>
  <c r="C106" i="2"/>
  <c r="F106" i="2" s="1"/>
  <c r="G106" i="2" s="1"/>
  <c r="C202" i="2"/>
  <c r="F202" i="2" s="1"/>
  <c r="G202" i="2" s="1"/>
  <c r="C199" i="2"/>
  <c r="F199" i="2" s="1"/>
  <c r="G199" i="2" s="1"/>
  <c r="C196" i="2"/>
  <c r="F196" i="2" s="1"/>
  <c r="G196" i="2" s="1"/>
  <c r="C211" i="2"/>
  <c r="F211" i="2" s="1"/>
  <c r="G211" i="2" s="1"/>
  <c r="C203" i="2"/>
  <c r="F203" i="2" s="1"/>
  <c r="G203" i="2" s="1"/>
  <c r="C197" i="2"/>
  <c r="F197" i="2" s="1"/>
  <c r="G197" i="2" s="1"/>
  <c r="C205" i="2"/>
  <c r="F205" i="2" s="1"/>
  <c r="G205" i="2" s="1"/>
  <c r="C201" i="2"/>
  <c r="F201" i="2" s="1"/>
  <c r="G201" i="2" s="1"/>
  <c r="C198" i="2"/>
  <c r="F198" i="2" s="1"/>
  <c r="G198" i="2" s="1"/>
  <c r="C206" i="2"/>
  <c r="F206" i="2" s="1"/>
  <c r="G206" i="2" s="1"/>
  <c r="C200" i="2"/>
  <c r="F200" i="2" s="1"/>
  <c r="G200" i="2" s="1"/>
  <c r="C204" i="2"/>
  <c r="F204" i="2" s="1"/>
  <c r="G204" i="2" s="1"/>
  <c r="C208" i="2"/>
  <c r="F208" i="2" s="1"/>
  <c r="G208" i="2" s="1"/>
  <c r="C221" i="2"/>
  <c r="F221" i="2" s="1"/>
  <c r="G221" i="2" s="1"/>
  <c r="C215" i="2"/>
  <c r="F215" i="2" s="1"/>
  <c r="G215" i="2" s="1"/>
  <c r="C189" i="2"/>
  <c r="F189" i="2" s="1"/>
  <c r="G189" i="2" s="1"/>
  <c r="C186" i="2"/>
  <c r="F186" i="2" s="1"/>
  <c r="G186" i="2" s="1"/>
  <c r="C191" i="2"/>
  <c r="F191" i="2" s="1"/>
  <c r="G191" i="2" s="1"/>
  <c r="C220" i="2"/>
  <c r="F220" i="2" s="1"/>
  <c r="G220" i="2" s="1"/>
  <c r="C214" i="2"/>
  <c r="F214" i="2" s="1"/>
  <c r="G214" i="2" s="1"/>
  <c r="C207" i="2"/>
  <c r="F207" i="2" s="1"/>
  <c r="G207" i="2" s="1"/>
  <c r="C190" i="2"/>
  <c r="F190" i="2" s="1"/>
  <c r="G190" i="2" s="1"/>
  <c r="C219" i="2"/>
  <c r="F219" i="2" s="1"/>
  <c r="G219" i="2" s="1"/>
  <c r="C213" i="2"/>
  <c r="F213" i="2" s="1"/>
  <c r="G213" i="2" s="1"/>
  <c r="C218" i="2"/>
  <c r="F218" i="2" s="1"/>
  <c r="G218" i="2" s="1"/>
  <c r="C212" i="2"/>
  <c r="F212" i="2" s="1"/>
  <c r="G212" i="2" s="1"/>
  <c r="C194" i="2"/>
  <c r="F194" i="2" s="1"/>
  <c r="G194" i="2" s="1"/>
  <c r="C210" i="2"/>
  <c r="F210" i="2" s="1"/>
  <c r="G210" i="2" s="1"/>
  <c r="C193" i="2"/>
  <c r="F193" i="2" s="1"/>
  <c r="G193" i="2" s="1"/>
  <c r="C188" i="2"/>
  <c r="F188" i="2" s="1"/>
  <c r="G188" i="2" s="1"/>
  <c r="C216" i="2"/>
  <c r="F216" i="2" s="1"/>
  <c r="G216" i="2" s="1"/>
  <c r="C209" i="2"/>
  <c r="F209" i="2" s="1"/>
  <c r="G209" i="2" s="1"/>
  <c r="C195" i="2"/>
  <c r="F195" i="2" s="1"/>
  <c r="G195" i="2" s="1"/>
  <c r="C192" i="2"/>
  <c r="F192" i="2" s="1"/>
  <c r="G192" i="2" s="1"/>
  <c r="C217" i="2"/>
  <c r="F217" i="2" s="1"/>
  <c r="G217" i="2" s="1"/>
  <c r="C187" i="2"/>
  <c r="F187" i="2" s="1"/>
  <c r="G187" i="2" s="1"/>
  <c r="E563" i="2"/>
  <c r="D563" i="2"/>
  <c r="E562" i="2"/>
  <c r="D562" i="2"/>
  <c r="E561" i="2"/>
  <c r="D561" i="2"/>
  <c r="E554" i="2"/>
  <c r="D554" i="2"/>
  <c r="E553" i="2"/>
  <c r="D553" i="2"/>
  <c r="E552" i="2"/>
  <c r="D552" i="2"/>
  <c r="E551" i="2"/>
  <c r="D551" i="2"/>
  <c r="E549" i="2"/>
  <c r="D549" i="2"/>
  <c r="E548" i="2"/>
  <c r="D548" i="2"/>
  <c r="E547" i="2"/>
  <c r="D547" i="2"/>
  <c r="E546" i="2"/>
  <c r="D546" i="2"/>
  <c r="E545" i="2"/>
  <c r="D545" i="2"/>
  <c r="E542" i="2"/>
  <c r="D542" i="2"/>
  <c r="F553" i="2" l="1"/>
  <c r="C546" i="2"/>
  <c r="C548" i="2"/>
  <c r="C551" i="2"/>
  <c r="C554" i="2"/>
  <c r="F554" i="2"/>
  <c r="C547" i="2"/>
  <c r="F542" i="2"/>
  <c r="F561" i="2"/>
  <c r="F563" i="2"/>
  <c r="F545" i="2"/>
  <c r="C545" i="2"/>
  <c r="C542" i="2"/>
  <c r="C562" i="2"/>
  <c r="C549" i="2"/>
  <c r="F547" i="2"/>
  <c r="C552" i="2"/>
  <c r="C553" i="2"/>
  <c r="F548" i="2"/>
  <c r="F551" i="2"/>
  <c r="C563" i="2"/>
  <c r="C561" i="2"/>
  <c r="F546" i="2"/>
  <c r="F549" i="2"/>
  <c r="F552" i="2"/>
  <c r="F562" i="2"/>
  <c r="AJ2" i="10" l="1"/>
  <c r="AJ3" i="9"/>
  <c r="AJ4" i="9"/>
  <c r="AJ5" i="9"/>
  <c r="AJ6" i="9"/>
  <c r="AJ7" i="9"/>
  <c r="AJ8" i="9"/>
  <c r="AJ9" i="9"/>
  <c r="AJ10" i="9"/>
  <c r="AJ11" i="9"/>
  <c r="AJ12" i="9"/>
  <c r="AJ13" i="9"/>
  <c r="AJ14" i="9"/>
  <c r="AJ15" i="9"/>
  <c r="AJ16" i="9"/>
  <c r="AJ17" i="9"/>
  <c r="AJ18" i="9"/>
  <c r="AJ19" i="9"/>
  <c r="AJ20" i="9"/>
  <c r="AJ21" i="9"/>
  <c r="AJ22" i="9"/>
  <c r="AJ23" i="9"/>
  <c r="AJ24" i="9"/>
  <c r="AJ25" i="9"/>
  <c r="AJ26" i="9"/>
  <c r="AJ27" i="9"/>
  <c r="AJ28" i="9"/>
  <c r="AJ29" i="9"/>
  <c r="AJ30" i="9"/>
  <c r="AJ31" i="9"/>
  <c r="AJ32" i="9"/>
  <c r="AJ33" i="9"/>
  <c r="AJ34" i="9"/>
  <c r="AJ35" i="9"/>
  <c r="AJ36" i="9"/>
  <c r="AJ37" i="9"/>
  <c r="AJ38" i="9"/>
  <c r="AJ39" i="9"/>
  <c r="AJ40" i="9"/>
  <c r="AJ41" i="9"/>
  <c r="AJ42" i="9"/>
  <c r="AJ43" i="9"/>
  <c r="AJ44" i="9"/>
  <c r="AJ45" i="9"/>
  <c r="AJ46" i="9"/>
  <c r="AJ47" i="9"/>
  <c r="AJ48" i="9"/>
  <c r="AJ49" i="9"/>
  <c r="AJ50" i="9"/>
  <c r="AJ51" i="9"/>
  <c r="AJ52" i="9"/>
  <c r="AJ53" i="9"/>
  <c r="AJ54" i="9"/>
  <c r="AJ55" i="9"/>
  <c r="AJ56" i="9"/>
  <c r="AJ57" i="9"/>
  <c r="AJ58" i="9"/>
  <c r="AJ59" i="9"/>
  <c r="AJ60" i="9"/>
  <c r="AJ61" i="9"/>
  <c r="AJ62" i="9"/>
  <c r="AJ63" i="9"/>
  <c r="AJ64" i="9"/>
  <c r="AJ65" i="9"/>
  <c r="AJ66" i="9"/>
  <c r="AJ67" i="9"/>
  <c r="AJ68" i="9"/>
  <c r="AJ69" i="9"/>
  <c r="AJ70" i="9"/>
  <c r="AJ71" i="9"/>
  <c r="AJ72" i="9"/>
  <c r="AJ73" i="9"/>
  <c r="AJ74" i="9"/>
  <c r="AJ75" i="9"/>
  <c r="AJ76" i="9"/>
  <c r="AJ77" i="9"/>
  <c r="AJ78" i="9"/>
  <c r="AJ79" i="9"/>
  <c r="AJ80" i="9"/>
  <c r="AJ81" i="9"/>
  <c r="AJ82" i="9"/>
  <c r="AJ83" i="9"/>
  <c r="AJ84" i="9"/>
  <c r="AJ85" i="9"/>
  <c r="AJ86" i="9"/>
  <c r="AJ87" i="9"/>
  <c r="AJ88" i="9"/>
  <c r="AJ89" i="9"/>
  <c r="AJ90" i="9"/>
  <c r="AJ91" i="9"/>
  <c r="AJ92" i="9"/>
  <c r="AJ93" i="9"/>
  <c r="AJ94" i="9"/>
  <c r="AJ95" i="9"/>
  <c r="AJ96" i="9"/>
  <c r="AJ97" i="9"/>
  <c r="AJ98" i="9"/>
  <c r="AJ99" i="9"/>
  <c r="AJ100" i="9"/>
  <c r="AJ101" i="9"/>
  <c r="AJ102" i="9"/>
  <c r="AJ103" i="9"/>
  <c r="AJ104" i="9"/>
  <c r="AJ105" i="9"/>
  <c r="AJ106" i="9"/>
  <c r="AJ107" i="9"/>
  <c r="AJ108" i="9"/>
  <c r="AJ109" i="9"/>
  <c r="AJ110" i="9"/>
  <c r="AJ111" i="9"/>
  <c r="AJ112" i="9"/>
  <c r="AJ113" i="9"/>
  <c r="AJ114" i="9"/>
  <c r="AJ115" i="9"/>
  <c r="AJ116" i="9"/>
  <c r="AJ117" i="9"/>
  <c r="AJ118" i="9"/>
  <c r="AJ119" i="9"/>
  <c r="AJ120" i="9"/>
  <c r="AJ121" i="9"/>
  <c r="AJ122" i="9"/>
  <c r="AJ123" i="9"/>
  <c r="AJ124" i="9"/>
  <c r="AJ125" i="9"/>
  <c r="AJ126" i="9"/>
  <c r="AJ127" i="9"/>
  <c r="AJ128" i="9"/>
  <c r="AJ129" i="9"/>
  <c r="AJ130" i="9"/>
  <c r="AJ131" i="9"/>
  <c r="AJ132" i="9"/>
  <c r="AJ133" i="9"/>
  <c r="AJ134" i="9"/>
  <c r="AJ135" i="9"/>
  <c r="AJ136" i="9"/>
  <c r="AJ137" i="9"/>
  <c r="AJ138" i="9"/>
  <c r="AJ139" i="9"/>
  <c r="AJ140" i="9"/>
  <c r="AJ141" i="9"/>
  <c r="AJ142" i="9"/>
  <c r="AJ143" i="9"/>
  <c r="AJ144" i="9"/>
  <c r="AJ145" i="9"/>
  <c r="AJ146" i="9"/>
  <c r="AJ147" i="9"/>
  <c r="AJ148" i="9"/>
  <c r="AJ149" i="9"/>
  <c r="AJ150" i="9"/>
  <c r="AJ151" i="9"/>
  <c r="AJ152" i="9"/>
  <c r="AJ153" i="9"/>
  <c r="AJ154" i="9"/>
  <c r="AJ155" i="9"/>
  <c r="AJ156" i="9"/>
  <c r="AJ157" i="9"/>
  <c r="AJ158" i="9"/>
  <c r="AJ159" i="9"/>
  <c r="AJ160" i="9"/>
  <c r="AJ161" i="9"/>
  <c r="AJ162" i="9"/>
  <c r="AJ163" i="9"/>
  <c r="AJ164" i="9"/>
  <c r="AJ165" i="9"/>
  <c r="AJ166" i="9"/>
  <c r="AJ167" i="9"/>
  <c r="AJ168" i="9"/>
  <c r="AJ169" i="9"/>
  <c r="AJ170" i="9"/>
  <c r="AJ171" i="9"/>
  <c r="AJ172" i="9"/>
  <c r="AJ173" i="9"/>
  <c r="AJ174" i="9"/>
  <c r="AJ175" i="9"/>
  <c r="AJ176" i="9"/>
  <c r="AJ177" i="9"/>
  <c r="AJ178" i="9"/>
  <c r="AJ179" i="9"/>
  <c r="AJ180" i="9"/>
  <c r="AJ181" i="9"/>
  <c r="AJ182" i="9"/>
  <c r="AJ183" i="9"/>
  <c r="AJ184" i="9"/>
  <c r="AJ185" i="9"/>
  <c r="AJ186" i="9"/>
  <c r="AJ187" i="9"/>
  <c r="AJ188" i="9"/>
  <c r="AJ189" i="9"/>
  <c r="AJ190" i="9"/>
  <c r="AJ191" i="9"/>
  <c r="AJ192" i="9"/>
  <c r="AJ193" i="9"/>
  <c r="AJ194" i="9"/>
  <c r="AJ195" i="9"/>
  <c r="AJ196" i="9"/>
  <c r="AJ197" i="9"/>
  <c r="AJ198" i="9"/>
  <c r="AJ199" i="9"/>
  <c r="AJ200" i="9"/>
  <c r="AJ201" i="9"/>
  <c r="AJ202" i="9"/>
  <c r="AJ203" i="9"/>
  <c r="AJ204" i="9"/>
  <c r="AJ205" i="9"/>
  <c r="AJ206" i="9"/>
  <c r="AJ207" i="9"/>
  <c r="AJ208" i="9"/>
  <c r="AJ209" i="9"/>
  <c r="AJ210" i="9"/>
  <c r="AJ211" i="9"/>
  <c r="AJ212" i="9"/>
  <c r="AJ213" i="9"/>
  <c r="AJ214" i="9"/>
  <c r="AJ215" i="9"/>
  <c r="AJ216" i="9"/>
  <c r="AJ217" i="9"/>
  <c r="AJ218" i="9"/>
  <c r="AJ219" i="9"/>
  <c r="AJ220" i="9"/>
  <c r="AJ221" i="9"/>
  <c r="AJ222" i="9"/>
  <c r="AJ223" i="9"/>
  <c r="AJ224" i="9"/>
  <c r="AJ225" i="9"/>
  <c r="AJ226" i="9"/>
  <c r="AJ227" i="9"/>
  <c r="AJ228" i="9"/>
  <c r="AJ229" i="9"/>
  <c r="AJ230" i="9"/>
  <c r="AJ231" i="9"/>
  <c r="AJ232" i="9"/>
  <c r="AJ233" i="9"/>
  <c r="AJ234" i="9"/>
  <c r="AJ235" i="9"/>
  <c r="AJ236" i="9"/>
  <c r="AJ237" i="9"/>
  <c r="AJ238" i="9"/>
  <c r="AJ239" i="9"/>
  <c r="AJ240" i="9"/>
  <c r="AJ241" i="9"/>
  <c r="AJ242" i="9"/>
  <c r="AJ243" i="9"/>
  <c r="AJ244" i="9"/>
  <c r="AJ245" i="9"/>
  <c r="AJ246" i="9"/>
  <c r="AJ247" i="9"/>
  <c r="AJ248" i="9"/>
  <c r="AJ249" i="9"/>
  <c r="AJ250" i="9"/>
  <c r="AJ251" i="9"/>
  <c r="AJ252" i="9"/>
  <c r="AJ253" i="9"/>
  <c r="AJ254" i="9"/>
  <c r="AJ255" i="9"/>
  <c r="AJ256" i="9"/>
  <c r="AJ257" i="9"/>
  <c r="AJ258" i="9"/>
  <c r="AJ259" i="9"/>
  <c r="AJ260" i="9"/>
  <c r="AJ261" i="9"/>
  <c r="AJ262" i="9"/>
  <c r="AJ263" i="9"/>
  <c r="AJ264" i="9"/>
  <c r="AJ265" i="9"/>
  <c r="AJ266" i="9"/>
  <c r="AJ267" i="9"/>
  <c r="AJ268" i="9"/>
  <c r="AJ269" i="9"/>
  <c r="AJ270" i="9"/>
  <c r="AJ271" i="9"/>
  <c r="AJ272" i="9"/>
  <c r="AJ273" i="9"/>
  <c r="AJ274" i="9"/>
  <c r="AJ275" i="9"/>
  <c r="AJ276" i="9"/>
  <c r="AJ277" i="9"/>
  <c r="AJ278" i="9"/>
  <c r="AJ279" i="9"/>
  <c r="AJ280" i="9"/>
  <c r="AJ281" i="9"/>
  <c r="AJ282" i="9"/>
  <c r="AJ283" i="9"/>
  <c r="AJ284" i="9"/>
  <c r="AJ285" i="9"/>
  <c r="AJ286" i="9"/>
  <c r="AJ287" i="9"/>
  <c r="AJ288" i="9"/>
  <c r="AJ289" i="9"/>
  <c r="AJ290" i="9"/>
  <c r="AJ291" i="9"/>
  <c r="AJ292" i="9"/>
  <c r="AJ293" i="9"/>
  <c r="AJ294" i="9"/>
  <c r="AJ295" i="9"/>
  <c r="AJ296" i="9"/>
  <c r="AJ297" i="9"/>
  <c r="AJ298" i="9"/>
  <c r="AJ299" i="9"/>
  <c r="AJ300" i="9"/>
  <c r="AJ301" i="9"/>
  <c r="AJ302" i="9"/>
  <c r="AJ303" i="9"/>
  <c r="AJ304" i="9"/>
  <c r="AJ305" i="9"/>
  <c r="AJ306" i="9"/>
  <c r="AJ307" i="9"/>
  <c r="AJ308" i="9"/>
  <c r="AJ309" i="9"/>
  <c r="AJ310" i="9"/>
  <c r="AJ311" i="9"/>
  <c r="AJ312" i="9"/>
  <c r="AJ313" i="9"/>
  <c r="AJ314" i="9"/>
  <c r="AJ315" i="9"/>
  <c r="AJ316" i="9"/>
  <c r="AJ317" i="9"/>
  <c r="AJ318" i="9"/>
  <c r="AJ319" i="9"/>
  <c r="AJ320" i="9"/>
  <c r="AJ321" i="9"/>
  <c r="AJ322" i="9"/>
  <c r="AJ323" i="9"/>
  <c r="AJ324" i="9"/>
  <c r="AJ325" i="9"/>
  <c r="AJ326" i="9"/>
  <c r="AJ327" i="9"/>
  <c r="AJ328" i="9"/>
  <c r="AJ329" i="9"/>
  <c r="AJ330" i="9"/>
  <c r="AJ331" i="9"/>
  <c r="AJ332" i="9"/>
  <c r="AJ333" i="9"/>
  <c r="AJ334" i="9"/>
  <c r="AJ335" i="9"/>
  <c r="AJ336" i="9"/>
  <c r="AJ337" i="9"/>
  <c r="AJ338" i="9"/>
  <c r="AJ339" i="9"/>
  <c r="AJ340" i="9"/>
  <c r="AJ341" i="9"/>
  <c r="AJ342" i="9"/>
  <c r="AJ343" i="9"/>
  <c r="AJ344" i="9"/>
  <c r="AJ345" i="9"/>
  <c r="AJ346" i="9"/>
  <c r="AJ347" i="9"/>
  <c r="AJ348" i="9"/>
  <c r="AJ349" i="9"/>
  <c r="AJ350" i="9"/>
  <c r="AJ351" i="9"/>
  <c r="AJ352" i="9"/>
  <c r="AJ353" i="9"/>
  <c r="AJ354" i="9"/>
  <c r="AJ355" i="9"/>
  <c r="AJ356" i="9"/>
  <c r="AJ357" i="9"/>
  <c r="AJ358" i="9"/>
  <c r="AJ359" i="9"/>
  <c r="AJ360" i="9"/>
  <c r="AJ361" i="9"/>
  <c r="AJ362" i="9"/>
  <c r="AJ363" i="9"/>
  <c r="AJ364" i="9"/>
  <c r="AJ365" i="9"/>
  <c r="AJ366" i="9"/>
  <c r="AJ367" i="9"/>
  <c r="AJ368" i="9"/>
  <c r="AJ369" i="9"/>
  <c r="AJ370" i="9"/>
  <c r="AJ371" i="9"/>
  <c r="AJ372" i="9"/>
  <c r="AJ373" i="9"/>
  <c r="AJ374" i="9"/>
  <c r="AJ375" i="9"/>
  <c r="AJ376" i="9"/>
  <c r="AJ377" i="9"/>
  <c r="AJ378" i="9"/>
  <c r="AJ379" i="9"/>
  <c r="AJ380" i="9"/>
  <c r="AJ381" i="9"/>
  <c r="AJ382" i="9"/>
  <c r="AJ383" i="9"/>
  <c r="AJ384" i="9"/>
  <c r="AJ385" i="9"/>
  <c r="AJ386" i="9"/>
  <c r="AJ387" i="9"/>
  <c r="AJ388" i="9"/>
  <c r="AJ389" i="9"/>
  <c r="AJ390" i="9"/>
  <c r="AJ391" i="9"/>
  <c r="AJ392" i="9"/>
  <c r="AJ393" i="9"/>
  <c r="AJ394" i="9"/>
  <c r="AJ395" i="9"/>
  <c r="AJ396" i="9"/>
  <c r="AJ397" i="9"/>
  <c r="AJ398" i="9"/>
  <c r="AJ399" i="9"/>
  <c r="AJ400" i="9"/>
  <c r="AJ401" i="9"/>
  <c r="AJ402" i="9"/>
  <c r="AJ403" i="9"/>
  <c r="AJ404" i="9"/>
  <c r="AJ405" i="9"/>
  <c r="AJ406" i="9"/>
  <c r="AJ407" i="9"/>
  <c r="AJ408" i="9"/>
  <c r="AJ409" i="9"/>
  <c r="AJ410" i="9"/>
  <c r="AJ411" i="9"/>
  <c r="AJ412" i="9"/>
  <c r="AJ413" i="9"/>
  <c r="AJ414" i="9"/>
  <c r="AJ415" i="9"/>
  <c r="AJ416" i="9"/>
  <c r="AJ417" i="9"/>
  <c r="AJ418" i="9"/>
  <c r="AJ419" i="9"/>
  <c r="AJ420" i="9"/>
  <c r="AJ421" i="9"/>
  <c r="AJ422" i="9"/>
  <c r="AJ423" i="9"/>
  <c r="AJ424" i="9"/>
  <c r="AJ425" i="9"/>
  <c r="AJ426" i="9"/>
  <c r="AJ427" i="9"/>
  <c r="AJ428" i="9"/>
  <c r="AJ429" i="9"/>
  <c r="AJ430" i="9"/>
  <c r="AJ431" i="9"/>
  <c r="AJ432" i="9"/>
  <c r="AJ433" i="9"/>
  <c r="AJ434" i="9"/>
  <c r="AJ435" i="9"/>
  <c r="AJ436" i="9"/>
  <c r="AJ437" i="9"/>
  <c r="AJ438" i="9"/>
  <c r="AJ439" i="9"/>
  <c r="AJ440" i="9"/>
  <c r="AJ441" i="9"/>
  <c r="AJ442" i="9"/>
  <c r="AJ443" i="9"/>
  <c r="AJ444" i="9"/>
  <c r="AJ445" i="9"/>
  <c r="AJ446" i="9"/>
  <c r="AJ447" i="9"/>
  <c r="AJ448" i="9"/>
  <c r="AJ449" i="9"/>
  <c r="AJ450" i="9"/>
  <c r="AJ451" i="9"/>
  <c r="AJ452" i="9"/>
  <c r="AJ453" i="9"/>
  <c r="AJ454" i="9"/>
  <c r="AJ455" i="9"/>
  <c r="AJ456" i="9"/>
  <c r="AJ457" i="9"/>
  <c r="AJ458" i="9"/>
  <c r="AJ459" i="9"/>
  <c r="AJ460" i="9"/>
  <c r="AJ461" i="9"/>
  <c r="AJ462" i="9"/>
  <c r="AJ463" i="9"/>
  <c r="AJ464" i="9"/>
  <c r="AJ465" i="9"/>
  <c r="AJ466" i="9"/>
  <c r="AJ467" i="9"/>
  <c r="AJ468" i="9"/>
  <c r="AJ469" i="9"/>
  <c r="AJ470" i="9"/>
  <c r="AJ471" i="9"/>
  <c r="AJ472" i="9"/>
  <c r="AJ473" i="9"/>
  <c r="AJ474" i="9"/>
  <c r="AJ475" i="9"/>
  <c r="AJ476" i="9"/>
  <c r="AJ477" i="9"/>
  <c r="AJ478" i="9"/>
  <c r="AJ479" i="9"/>
  <c r="AJ480" i="9"/>
  <c r="AJ481" i="9"/>
  <c r="AJ482" i="9"/>
  <c r="AJ483" i="9"/>
  <c r="AJ484" i="9"/>
  <c r="AJ485" i="9"/>
  <c r="AJ486" i="9"/>
  <c r="AJ487" i="9"/>
  <c r="AJ488" i="9"/>
  <c r="AJ489" i="9"/>
  <c r="AJ490" i="9"/>
  <c r="AJ491" i="9"/>
  <c r="AJ492" i="9"/>
  <c r="AJ493" i="9"/>
  <c r="AJ494" i="9"/>
  <c r="AJ495" i="9"/>
  <c r="AJ496" i="9"/>
  <c r="AJ497" i="9"/>
  <c r="AJ498" i="9"/>
  <c r="AJ499" i="9"/>
  <c r="AJ500" i="9"/>
  <c r="AJ501" i="9"/>
  <c r="AJ502" i="9"/>
  <c r="AJ503" i="9"/>
  <c r="AJ504" i="9"/>
  <c r="AJ505" i="9"/>
  <c r="AJ506" i="9"/>
  <c r="AJ507" i="9"/>
  <c r="AJ508" i="9"/>
  <c r="AJ509" i="9"/>
  <c r="AJ510" i="9"/>
  <c r="AJ511" i="9"/>
  <c r="AJ512" i="9"/>
  <c r="AJ513" i="9"/>
  <c r="AJ514" i="9"/>
  <c r="AJ515" i="9"/>
  <c r="AJ516" i="9"/>
  <c r="AJ517" i="9"/>
  <c r="AJ518" i="9"/>
  <c r="AJ519" i="9"/>
  <c r="AJ520" i="9"/>
  <c r="AJ521" i="9"/>
  <c r="AJ522" i="9"/>
  <c r="AJ523" i="9"/>
  <c r="AJ524" i="9"/>
  <c r="AJ525" i="9"/>
  <c r="AJ526" i="9"/>
  <c r="AJ527" i="9"/>
  <c r="AJ528" i="9"/>
  <c r="AJ529" i="9"/>
  <c r="AJ530" i="9"/>
  <c r="AJ531" i="9"/>
  <c r="AJ532" i="9"/>
  <c r="AJ533" i="9"/>
  <c r="AJ534" i="9"/>
  <c r="AJ535" i="9"/>
  <c r="AJ536" i="9"/>
  <c r="AJ537" i="9"/>
  <c r="AJ538" i="9"/>
  <c r="AJ539" i="9"/>
  <c r="AJ540" i="9"/>
  <c r="AJ541" i="9"/>
  <c r="AJ542" i="9"/>
  <c r="AJ543" i="9"/>
  <c r="AJ544" i="9"/>
  <c r="AJ545" i="9"/>
  <c r="AJ546" i="9"/>
  <c r="AJ547" i="9"/>
  <c r="AJ548" i="9"/>
  <c r="AJ549" i="9"/>
  <c r="AJ550" i="9"/>
  <c r="AJ551" i="9"/>
  <c r="AJ552" i="9"/>
  <c r="AJ553" i="9"/>
  <c r="AJ554" i="9"/>
  <c r="AJ555" i="9"/>
  <c r="AJ556" i="9"/>
  <c r="AJ557" i="9"/>
  <c r="AJ558" i="9"/>
  <c r="AJ559" i="9"/>
  <c r="AJ560" i="9"/>
  <c r="AJ561" i="9"/>
  <c r="AJ562" i="9"/>
  <c r="AJ563" i="9"/>
  <c r="AJ564" i="9"/>
  <c r="AJ565" i="9"/>
  <c r="AJ566" i="9"/>
  <c r="AJ567" i="9"/>
  <c r="AJ568" i="9"/>
  <c r="AJ569" i="9"/>
  <c r="AJ570" i="9"/>
  <c r="AJ571" i="9"/>
  <c r="AJ572" i="9"/>
  <c r="AJ573" i="9"/>
  <c r="AJ574" i="9"/>
  <c r="AJ575" i="9"/>
  <c r="AJ576" i="9"/>
  <c r="AJ577" i="9"/>
  <c r="AJ578" i="9"/>
  <c r="AJ579" i="9"/>
  <c r="AJ580" i="9"/>
  <c r="AJ581" i="9"/>
  <c r="AJ582" i="9"/>
  <c r="AJ583" i="9"/>
  <c r="AJ584" i="9"/>
  <c r="AJ585" i="9"/>
  <c r="AJ586" i="9"/>
  <c r="AJ587" i="9"/>
  <c r="AJ588" i="9"/>
  <c r="AJ589" i="9"/>
  <c r="AJ590" i="9"/>
  <c r="AJ591" i="9"/>
  <c r="AJ592" i="9"/>
  <c r="AJ593" i="9"/>
  <c r="AJ594" i="9"/>
  <c r="AJ595" i="9"/>
  <c r="AJ596" i="9"/>
  <c r="AJ597" i="9"/>
  <c r="AJ598" i="9"/>
  <c r="AJ599" i="9"/>
  <c r="AJ600" i="9"/>
  <c r="AJ601" i="9"/>
  <c r="AJ602" i="9"/>
  <c r="AJ603" i="9"/>
  <c r="AJ604" i="9"/>
  <c r="AJ605" i="9"/>
  <c r="AJ606" i="9"/>
  <c r="AJ607" i="9"/>
  <c r="AJ608" i="9"/>
  <c r="AJ609" i="9"/>
  <c r="AJ610" i="9"/>
  <c r="AJ611" i="9"/>
  <c r="AJ612" i="9"/>
  <c r="AJ613" i="9"/>
  <c r="AJ614" i="9"/>
  <c r="AJ615" i="9"/>
  <c r="AJ616" i="9"/>
  <c r="AJ617" i="9"/>
  <c r="AJ618" i="9"/>
  <c r="AJ619" i="9"/>
  <c r="AJ620" i="9"/>
  <c r="AJ621" i="9"/>
  <c r="AJ622" i="9"/>
  <c r="AJ623" i="9"/>
  <c r="AJ624" i="9"/>
  <c r="AJ625" i="9"/>
  <c r="AJ626" i="9"/>
  <c r="AJ627" i="9"/>
  <c r="AJ628" i="9"/>
  <c r="AJ629" i="9"/>
  <c r="AJ630" i="9"/>
  <c r="AJ631" i="9"/>
  <c r="AJ632" i="9"/>
  <c r="AJ633" i="9"/>
  <c r="AJ634" i="9"/>
  <c r="AJ635" i="9"/>
  <c r="AJ636" i="9"/>
  <c r="AJ637" i="9"/>
  <c r="AJ638" i="9"/>
  <c r="AJ639" i="9"/>
  <c r="AJ640" i="9"/>
  <c r="AJ641" i="9"/>
  <c r="AJ642" i="9"/>
  <c r="AJ643" i="9"/>
  <c r="AJ644" i="9"/>
  <c r="AJ645" i="9"/>
  <c r="AJ646" i="9"/>
  <c r="AJ647" i="9"/>
  <c r="AJ648" i="9"/>
  <c r="AJ649" i="9"/>
  <c r="AJ650" i="9"/>
  <c r="AJ651" i="9"/>
  <c r="AJ652" i="9"/>
  <c r="AJ653" i="9"/>
  <c r="AJ654" i="9"/>
  <c r="AJ655" i="9"/>
  <c r="AJ656" i="9"/>
  <c r="AJ657" i="9"/>
  <c r="AJ658" i="9"/>
  <c r="AJ659" i="9"/>
  <c r="AJ660" i="9"/>
  <c r="AJ661" i="9"/>
  <c r="AJ662" i="9"/>
  <c r="AJ663" i="9"/>
  <c r="AJ664" i="9"/>
  <c r="AJ665" i="9"/>
  <c r="AJ666" i="9"/>
  <c r="AJ667" i="9"/>
  <c r="AJ668" i="9"/>
  <c r="AJ669" i="9"/>
  <c r="AJ670" i="9"/>
  <c r="AJ671" i="9"/>
  <c r="AJ672" i="9"/>
  <c r="AJ673" i="9"/>
  <c r="AJ674" i="9"/>
  <c r="AJ675" i="9"/>
  <c r="AJ676" i="9"/>
  <c r="AJ677" i="9"/>
  <c r="AJ678" i="9"/>
  <c r="AJ679" i="9"/>
  <c r="AJ680" i="9"/>
  <c r="AJ681" i="9"/>
  <c r="AJ682" i="9"/>
  <c r="AJ683" i="9"/>
  <c r="AJ684" i="9"/>
  <c r="AJ685" i="9"/>
  <c r="AJ686" i="9"/>
  <c r="AJ687" i="9"/>
  <c r="AJ688" i="9"/>
  <c r="AJ689" i="9"/>
  <c r="AJ690" i="9"/>
  <c r="AJ691" i="9"/>
  <c r="AJ692" i="9"/>
  <c r="AJ693" i="9"/>
  <c r="AJ694" i="9"/>
  <c r="AJ695" i="9"/>
  <c r="AJ696" i="9"/>
  <c r="AJ697" i="9"/>
  <c r="AJ698" i="9"/>
  <c r="AJ699" i="9"/>
  <c r="AJ700" i="9"/>
  <c r="AJ701" i="9"/>
  <c r="AJ702" i="9"/>
  <c r="AJ703" i="9"/>
  <c r="AJ704" i="9"/>
  <c r="AJ705" i="9"/>
  <c r="AJ706" i="9"/>
  <c r="AJ707" i="9"/>
  <c r="AJ708" i="9"/>
  <c r="AJ709" i="9"/>
  <c r="AJ710" i="9"/>
  <c r="AJ711" i="9"/>
  <c r="AJ712" i="9"/>
  <c r="AJ713" i="9"/>
  <c r="AJ714" i="9"/>
  <c r="AJ715" i="9"/>
  <c r="AJ716" i="9"/>
  <c r="AJ717" i="9"/>
  <c r="AJ718" i="9"/>
  <c r="AJ719" i="9"/>
  <c r="AJ720" i="9"/>
  <c r="AJ721" i="9"/>
  <c r="AJ722" i="9"/>
  <c r="AJ723" i="9"/>
  <c r="AJ724" i="9"/>
  <c r="AJ725" i="9"/>
  <c r="AJ726" i="9"/>
  <c r="AJ727" i="9"/>
  <c r="AJ728" i="9"/>
  <c r="AJ729" i="9"/>
  <c r="AJ730" i="9"/>
  <c r="AJ731" i="9"/>
  <c r="AJ732" i="9"/>
  <c r="AJ733" i="9"/>
  <c r="AJ734" i="9"/>
  <c r="AJ735" i="9"/>
  <c r="AJ736" i="9"/>
  <c r="AJ737" i="9"/>
  <c r="AJ738" i="9"/>
  <c r="AJ739" i="9"/>
  <c r="AJ740" i="9"/>
  <c r="AJ741" i="9"/>
  <c r="AJ742" i="9"/>
  <c r="AJ743" i="9"/>
  <c r="AJ744" i="9"/>
  <c r="AJ745" i="9"/>
  <c r="AJ746" i="9"/>
  <c r="AJ747" i="9"/>
  <c r="AJ748" i="9"/>
  <c r="AJ749" i="9"/>
  <c r="AJ750" i="9"/>
  <c r="AJ751" i="9"/>
  <c r="AJ752" i="9"/>
  <c r="AJ753" i="9"/>
  <c r="AJ754" i="9"/>
  <c r="AJ755" i="9"/>
  <c r="AJ756" i="9"/>
  <c r="AJ757" i="9"/>
  <c r="AJ758" i="9"/>
  <c r="AJ759" i="9"/>
  <c r="AJ760" i="9"/>
  <c r="AJ761" i="9"/>
  <c r="AJ762" i="9"/>
  <c r="AJ763" i="9"/>
  <c r="AJ764" i="9"/>
  <c r="AJ765" i="9"/>
  <c r="AJ766" i="9"/>
  <c r="AJ767" i="9"/>
  <c r="AJ768" i="9"/>
  <c r="AJ769" i="9"/>
  <c r="AJ770" i="9"/>
  <c r="AJ771" i="9"/>
  <c r="AJ772" i="9"/>
  <c r="AJ773" i="9"/>
  <c r="AJ774" i="9"/>
  <c r="AJ775" i="9"/>
  <c r="AJ776" i="9"/>
  <c r="AJ777" i="9"/>
  <c r="AJ778" i="9"/>
  <c r="AJ779" i="9"/>
  <c r="AJ780" i="9"/>
  <c r="AJ781" i="9"/>
  <c r="AJ782" i="9"/>
  <c r="AJ783" i="9"/>
  <c r="AJ784" i="9"/>
  <c r="AJ785" i="9"/>
  <c r="AJ786" i="9"/>
  <c r="AJ787" i="9"/>
  <c r="AJ788" i="9"/>
  <c r="AJ789" i="9"/>
  <c r="AJ790" i="9"/>
  <c r="AJ791" i="9"/>
  <c r="AJ792" i="9"/>
  <c r="AJ793" i="9"/>
  <c r="AJ794" i="9"/>
  <c r="AJ795" i="9"/>
  <c r="AJ796" i="9"/>
  <c r="AJ797" i="9"/>
  <c r="AJ798" i="9"/>
  <c r="AJ799" i="9"/>
  <c r="AJ800" i="9"/>
  <c r="AJ801" i="9"/>
  <c r="AJ802" i="9"/>
  <c r="AJ803" i="9"/>
  <c r="AJ804" i="9"/>
  <c r="AJ805" i="9"/>
  <c r="AJ806" i="9"/>
  <c r="AJ807" i="9"/>
  <c r="AJ808" i="9"/>
  <c r="AJ809" i="9"/>
  <c r="AJ810" i="9"/>
  <c r="AJ811" i="9"/>
  <c r="AJ812" i="9"/>
  <c r="AJ813" i="9"/>
  <c r="AJ814" i="9"/>
  <c r="AJ815" i="9"/>
  <c r="AJ816" i="9"/>
  <c r="AJ817" i="9"/>
  <c r="AJ818" i="9"/>
  <c r="AJ819" i="9"/>
  <c r="AJ820" i="9"/>
  <c r="AJ821" i="9"/>
  <c r="AJ822" i="9"/>
  <c r="AJ823" i="9"/>
  <c r="AJ824" i="9"/>
  <c r="AJ825" i="9"/>
  <c r="AJ826" i="9"/>
  <c r="AJ827" i="9"/>
  <c r="AJ828" i="9"/>
  <c r="AJ829" i="9"/>
  <c r="AJ830" i="9"/>
  <c r="AJ831" i="9"/>
  <c r="AJ832" i="9"/>
  <c r="AJ833" i="9"/>
  <c r="AJ834" i="9"/>
  <c r="AJ835" i="9"/>
  <c r="AJ836" i="9"/>
  <c r="AJ837" i="9"/>
  <c r="AJ838" i="9"/>
  <c r="AJ839" i="9"/>
  <c r="AJ840" i="9"/>
  <c r="AJ841" i="9"/>
  <c r="AJ842" i="9"/>
  <c r="AJ843" i="9"/>
  <c r="AJ844" i="9"/>
  <c r="AJ845" i="9"/>
  <c r="AJ846" i="9"/>
  <c r="AJ847" i="9"/>
  <c r="AJ848" i="9"/>
  <c r="AJ849" i="9"/>
  <c r="AJ850" i="9"/>
  <c r="AJ851" i="9"/>
  <c r="AJ852" i="9"/>
  <c r="AJ853" i="9"/>
  <c r="AJ854" i="9"/>
  <c r="AJ855" i="9"/>
  <c r="AJ856" i="9"/>
  <c r="AJ857" i="9"/>
  <c r="AJ858" i="9"/>
  <c r="AJ859" i="9"/>
  <c r="AJ860" i="9"/>
  <c r="AJ861" i="9"/>
  <c r="AJ862" i="9"/>
  <c r="AJ863" i="9"/>
  <c r="AJ864" i="9"/>
  <c r="AJ865" i="9"/>
  <c r="AJ866" i="9"/>
  <c r="AJ867" i="9"/>
  <c r="AJ868" i="9"/>
  <c r="AJ869" i="9"/>
  <c r="AJ870" i="9"/>
  <c r="AJ871" i="9"/>
  <c r="AJ872" i="9"/>
  <c r="AJ873" i="9"/>
  <c r="AJ874" i="9"/>
  <c r="AJ875" i="9"/>
  <c r="AJ876" i="9"/>
  <c r="AJ877" i="9"/>
  <c r="AJ878" i="9"/>
  <c r="AJ879" i="9"/>
  <c r="AJ880" i="9"/>
  <c r="AJ881" i="9"/>
  <c r="AJ882" i="9"/>
  <c r="AJ883" i="9"/>
  <c r="AJ884" i="9"/>
  <c r="AJ885" i="9"/>
  <c r="AJ886" i="9"/>
  <c r="AJ887" i="9"/>
  <c r="AJ888" i="9"/>
  <c r="AJ889" i="9"/>
  <c r="AJ890" i="9"/>
  <c r="AJ891" i="9"/>
  <c r="AJ892" i="9"/>
  <c r="AJ893" i="9"/>
  <c r="AJ894" i="9"/>
  <c r="AJ895" i="9"/>
  <c r="AJ896" i="9"/>
  <c r="AJ897" i="9"/>
  <c r="AJ898" i="9"/>
  <c r="AJ899" i="9"/>
  <c r="AJ900" i="9"/>
  <c r="AJ901" i="9"/>
  <c r="AJ902" i="9"/>
  <c r="AJ903" i="9"/>
  <c r="AJ904" i="9"/>
  <c r="AJ905" i="9"/>
  <c r="AJ906" i="9"/>
  <c r="AJ907" i="9"/>
  <c r="AJ908" i="9"/>
  <c r="AJ909" i="9"/>
  <c r="AJ910" i="9"/>
  <c r="AJ911" i="9"/>
  <c r="AJ912" i="9"/>
  <c r="AJ913" i="9"/>
  <c r="AJ914" i="9"/>
  <c r="AJ915" i="9"/>
  <c r="AJ916" i="9"/>
  <c r="AJ917" i="9"/>
  <c r="AJ918" i="9"/>
  <c r="AJ919" i="9"/>
  <c r="AJ920" i="9"/>
  <c r="AJ921" i="9"/>
  <c r="AJ922" i="9"/>
  <c r="AJ923" i="9"/>
  <c r="AJ924" i="9"/>
  <c r="AJ925" i="9"/>
  <c r="AJ926" i="9"/>
  <c r="AJ927" i="9"/>
  <c r="AJ928" i="9"/>
  <c r="AJ929" i="9"/>
  <c r="AJ930" i="9"/>
  <c r="AJ931" i="9"/>
  <c r="AJ932" i="9"/>
  <c r="AJ933" i="9"/>
  <c r="AJ934" i="9"/>
  <c r="AJ935" i="9"/>
  <c r="AJ936" i="9"/>
  <c r="AJ937" i="9"/>
  <c r="AJ938" i="9"/>
  <c r="AJ939" i="9"/>
  <c r="AJ940" i="9"/>
  <c r="AJ941" i="9"/>
  <c r="AJ942" i="9"/>
  <c r="AJ943" i="9"/>
  <c r="AJ944" i="9"/>
  <c r="AJ945" i="9"/>
  <c r="AJ946" i="9"/>
  <c r="AJ947" i="9"/>
  <c r="AJ948" i="9"/>
  <c r="AJ949" i="9"/>
  <c r="AJ950" i="9"/>
  <c r="AJ951" i="9"/>
  <c r="AJ952" i="9"/>
  <c r="AJ953" i="9"/>
  <c r="AJ954" i="9"/>
  <c r="AJ955" i="9"/>
  <c r="AJ956" i="9"/>
  <c r="AJ957" i="9"/>
  <c r="AJ2" i="9"/>
  <c r="AI3" i="11"/>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I514" i="11"/>
  <c r="AI515" i="11"/>
  <c r="AI516" i="11"/>
  <c r="AI517" i="11"/>
  <c r="AI518" i="11"/>
  <c r="AI519" i="11"/>
  <c r="AI520" i="11"/>
  <c r="AI521" i="11"/>
  <c r="AI522" i="11"/>
  <c r="AI523" i="11"/>
  <c r="AI524" i="11"/>
  <c r="AI525" i="11"/>
  <c r="AI526" i="11"/>
  <c r="AI527" i="11"/>
  <c r="AI528" i="11"/>
  <c r="AI529" i="11"/>
  <c r="AI530" i="11"/>
  <c r="AI531" i="11"/>
  <c r="AI532" i="11"/>
  <c r="AI533" i="11"/>
  <c r="AI534" i="11"/>
  <c r="AI535" i="11"/>
  <c r="AI536" i="11"/>
  <c r="AI537" i="11"/>
  <c r="AI538" i="11"/>
  <c r="AI539" i="11"/>
  <c r="AI540" i="11"/>
  <c r="AI541" i="11"/>
  <c r="AI542" i="11"/>
  <c r="AI543" i="11"/>
  <c r="AI544" i="11"/>
  <c r="AI545" i="11"/>
  <c r="AI546" i="11"/>
  <c r="AI547" i="11"/>
  <c r="AI548" i="11"/>
  <c r="AI549" i="11"/>
  <c r="AI550" i="11"/>
  <c r="AI551" i="11"/>
  <c r="AI552" i="11"/>
  <c r="AI553" i="11"/>
  <c r="AI554" i="11"/>
  <c r="AI555" i="11"/>
  <c r="AI556" i="11"/>
  <c r="AI557" i="11"/>
  <c r="AI558" i="11"/>
  <c r="AI559" i="11"/>
  <c r="AI560" i="11"/>
  <c r="AI561" i="11"/>
  <c r="AI562" i="11"/>
  <c r="AI563" i="11"/>
  <c r="AI564" i="11"/>
  <c r="AI565" i="11"/>
  <c r="AI566" i="11"/>
  <c r="AI567" i="11"/>
  <c r="AI568" i="11"/>
  <c r="AI569" i="11"/>
  <c r="AI570" i="11"/>
  <c r="AI571" i="11"/>
  <c r="AI572" i="11"/>
  <c r="AI573" i="11"/>
  <c r="AI574" i="11"/>
  <c r="AI575" i="11"/>
  <c r="AI576" i="11"/>
  <c r="AI577" i="11"/>
  <c r="AI578" i="11"/>
  <c r="AI579" i="11"/>
  <c r="AI580" i="11"/>
  <c r="AI581" i="11"/>
  <c r="AI582" i="11"/>
  <c r="AI583" i="11"/>
  <c r="AI584" i="11"/>
  <c r="AI585" i="11"/>
  <c r="AI586" i="11"/>
  <c r="AI587" i="11"/>
  <c r="AI588" i="11"/>
  <c r="AI589" i="11"/>
  <c r="AI590" i="11"/>
  <c r="AI591" i="11"/>
  <c r="AI592" i="11"/>
  <c r="AI593" i="11"/>
  <c r="AI594" i="11"/>
  <c r="AI595" i="11"/>
  <c r="AI596" i="11"/>
  <c r="AI597" i="11"/>
  <c r="AI598" i="11"/>
  <c r="AI599" i="11"/>
  <c r="AI600" i="11"/>
  <c r="AI601" i="11"/>
  <c r="AI602" i="11"/>
  <c r="AI603" i="11"/>
  <c r="AI604" i="11"/>
  <c r="AI605" i="11"/>
  <c r="AI606" i="11"/>
  <c r="AI607" i="11"/>
  <c r="AI608" i="11"/>
  <c r="AI609" i="11"/>
  <c r="AI610" i="11"/>
  <c r="AI611" i="11"/>
  <c r="AI612" i="11"/>
  <c r="AI613" i="11"/>
  <c r="AI614" i="11"/>
  <c r="AI615" i="11"/>
  <c r="AI616" i="11"/>
  <c r="AI617" i="11"/>
  <c r="AI618" i="11"/>
  <c r="AI619" i="11"/>
  <c r="AI620" i="11"/>
  <c r="AI621" i="11"/>
  <c r="AI622" i="11"/>
  <c r="AI623" i="11"/>
  <c r="AI624" i="11"/>
  <c r="AI625" i="11"/>
  <c r="AI626" i="11"/>
  <c r="AI627" i="11"/>
  <c r="AI628" i="11"/>
  <c r="AI629" i="11"/>
  <c r="AI630" i="11"/>
  <c r="AI631" i="11"/>
  <c r="AI632" i="11"/>
  <c r="AI633" i="11"/>
  <c r="AI634" i="11"/>
  <c r="AI635" i="11"/>
  <c r="AI636" i="11"/>
  <c r="AI637" i="11"/>
  <c r="AI638" i="11"/>
  <c r="AI639" i="11"/>
  <c r="AI640" i="11"/>
  <c r="AI641" i="11"/>
  <c r="AI642" i="11"/>
  <c r="AI643" i="11"/>
  <c r="AI644" i="11"/>
  <c r="AI645" i="11"/>
  <c r="AI646" i="11"/>
  <c r="AI647" i="11"/>
  <c r="AI648" i="11"/>
  <c r="AI649" i="11"/>
  <c r="AI650" i="11"/>
  <c r="AI651" i="11"/>
  <c r="AI652" i="11"/>
  <c r="AI653" i="11"/>
  <c r="AI654" i="11"/>
  <c r="AI655" i="11"/>
  <c r="AI656" i="11"/>
  <c r="AI657" i="11"/>
  <c r="AI658" i="11"/>
  <c r="AI659" i="11"/>
  <c r="AI660" i="11"/>
  <c r="AI661" i="11"/>
  <c r="AI662" i="11"/>
  <c r="AI663" i="11"/>
  <c r="AI664" i="11"/>
  <c r="AI665" i="11"/>
  <c r="AI666" i="11"/>
  <c r="AI667" i="11"/>
  <c r="AI668" i="11"/>
  <c r="AI669" i="11"/>
  <c r="AI670" i="11"/>
  <c r="AI671" i="11"/>
  <c r="AI672" i="11"/>
  <c r="AI673" i="11"/>
  <c r="AI674" i="11"/>
  <c r="AI675" i="11"/>
  <c r="AI676" i="11"/>
  <c r="AI677" i="11"/>
  <c r="AI678" i="11"/>
  <c r="AI679" i="11"/>
  <c r="AI680" i="11"/>
  <c r="AI681" i="11"/>
  <c r="AI682" i="11"/>
  <c r="AI683" i="11"/>
  <c r="AI684" i="11"/>
  <c r="AI685" i="11"/>
  <c r="AI686" i="11"/>
  <c r="AI687" i="11"/>
  <c r="AI688" i="11"/>
  <c r="AI689" i="11"/>
  <c r="AI690" i="11"/>
  <c r="AI691" i="11"/>
  <c r="AI692" i="11"/>
  <c r="AI693" i="11"/>
  <c r="AI694" i="11"/>
  <c r="AI695" i="11"/>
  <c r="AI696" i="11"/>
  <c r="AI697" i="11"/>
  <c r="AI698" i="11"/>
  <c r="AI699" i="11"/>
  <c r="AI700" i="11"/>
  <c r="AI701" i="11"/>
  <c r="AI702" i="11"/>
  <c r="AI703" i="11"/>
  <c r="AI704" i="11"/>
  <c r="AI705" i="11"/>
  <c r="AI706" i="11"/>
  <c r="AI707" i="11"/>
  <c r="AI708" i="11"/>
  <c r="AI709" i="11"/>
  <c r="AI710" i="11"/>
  <c r="AI711" i="11"/>
  <c r="AI712" i="11"/>
  <c r="AI713" i="11"/>
  <c r="AI714" i="11"/>
  <c r="AI715" i="11"/>
  <c r="AI716" i="11"/>
  <c r="AI717" i="11"/>
  <c r="AI718" i="11"/>
  <c r="AI719" i="11"/>
  <c r="AI720" i="11"/>
  <c r="AI721" i="11"/>
  <c r="AI722" i="11"/>
  <c r="AI723" i="11"/>
  <c r="AI724" i="11"/>
  <c r="AI725" i="11"/>
  <c r="AI726" i="11"/>
  <c r="AI727" i="11"/>
  <c r="AI728" i="11"/>
  <c r="AI729" i="11"/>
  <c r="AI730" i="11"/>
  <c r="AI731" i="11"/>
  <c r="AI732" i="11"/>
  <c r="AI733" i="11"/>
  <c r="AI734" i="11"/>
  <c r="AI735" i="11"/>
  <c r="AI736" i="11"/>
  <c r="AI737" i="11"/>
  <c r="AI738" i="11"/>
  <c r="AI739" i="11"/>
  <c r="AI740" i="11"/>
  <c r="AI741" i="11"/>
  <c r="AI742" i="11"/>
  <c r="AI743" i="11"/>
  <c r="AI744" i="11"/>
  <c r="AI745" i="11"/>
  <c r="AI746" i="11"/>
  <c r="AI747" i="11"/>
  <c r="AI748" i="11"/>
  <c r="AI749" i="11"/>
  <c r="AI750" i="11"/>
  <c r="AI751" i="11"/>
  <c r="AI752" i="11"/>
  <c r="AI753" i="11"/>
  <c r="AI754" i="11"/>
  <c r="AI755" i="11"/>
  <c r="AI756" i="11"/>
  <c r="AI757" i="11"/>
  <c r="AI758" i="11"/>
  <c r="AI759" i="11"/>
  <c r="AI760" i="11"/>
  <c r="AI761" i="11"/>
  <c r="AI762" i="11"/>
  <c r="AI763" i="11"/>
  <c r="AI764" i="11"/>
  <c r="AI765" i="11"/>
  <c r="AI766" i="11"/>
  <c r="AI767" i="11"/>
  <c r="AI768" i="11"/>
  <c r="AI769" i="11"/>
  <c r="AI770" i="11"/>
  <c r="AI771" i="11"/>
  <c r="AI772" i="11"/>
  <c r="AI773" i="11"/>
  <c r="AI774" i="11"/>
  <c r="AI775" i="11"/>
  <c r="AI776" i="11"/>
  <c r="AI777" i="11"/>
  <c r="AI778" i="11"/>
  <c r="AI779" i="11"/>
  <c r="AI780" i="11"/>
  <c r="AI781" i="11"/>
  <c r="AI782" i="11"/>
  <c r="AI783" i="11"/>
  <c r="AI784" i="11"/>
  <c r="AI785" i="11"/>
  <c r="AI786" i="11"/>
  <c r="AI787" i="11"/>
  <c r="AI788" i="11"/>
  <c r="AI789" i="11"/>
  <c r="AI790" i="11"/>
  <c r="AI791" i="11"/>
  <c r="AI792" i="11"/>
  <c r="AI793" i="11"/>
  <c r="AI794" i="11"/>
  <c r="AI795" i="11"/>
  <c r="AI796" i="11"/>
  <c r="AI797" i="11"/>
  <c r="AI798" i="11"/>
  <c r="AI799" i="11"/>
  <c r="AI800" i="11"/>
  <c r="AI801" i="11"/>
  <c r="AI802" i="11"/>
  <c r="AI803" i="11"/>
  <c r="AI804" i="11"/>
  <c r="AI805" i="11"/>
  <c r="AI806" i="11"/>
  <c r="AI807" i="11"/>
  <c r="AI808" i="11"/>
  <c r="AI809" i="11"/>
  <c r="AI810" i="11"/>
  <c r="AI811" i="11"/>
  <c r="AI812" i="11"/>
  <c r="AI813" i="11"/>
  <c r="AI814" i="11"/>
  <c r="AI815" i="11"/>
  <c r="AI816" i="11"/>
  <c r="AI817" i="11"/>
  <c r="AI818" i="11"/>
  <c r="AI819" i="11"/>
  <c r="AI820" i="11"/>
  <c r="AI821" i="11"/>
  <c r="AI822" i="11"/>
  <c r="AI823" i="11"/>
  <c r="AI824" i="11"/>
  <c r="AI825" i="11"/>
  <c r="AI826" i="11"/>
  <c r="AI827" i="11"/>
  <c r="AI828" i="11"/>
  <c r="AI829" i="11"/>
  <c r="AI830" i="11"/>
  <c r="AI831" i="11"/>
  <c r="AI832" i="11"/>
  <c r="AI833" i="11"/>
  <c r="AI834" i="11"/>
  <c r="AI835" i="11"/>
  <c r="AI836" i="11"/>
  <c r="AI837" i="11"/>
  <c r="AI838" i="11"/>
  <c r="AI839" i="11"/>
  <c r="AI840" i="11"/>
  <c r="AI841" i="11"/>
  <c r="AI842" i="11"/>
  <c r="AI843" i="11"/>
  <c r="AI844" i="11"/>
  <c r="AI845" i="11"/>
  <c r="AI846" i="11"/>
  <c r="AI847" i="11"/>
  <c r="AI848" i="11"/>
  <c r="AI849" i="11"/>
  <c r="AI850" i="11"/>
  <c r="AI851" i="11"/>
  <c r="AI852" i="11"/>
  <c r="AI853" i="11"/>
  <c r="AI854" i="11"/>
  <c r="AI855" i="11"/>
  <c r="AI856" i="11"/>
  <c r="AI857" i="11"/>
  <c r="AI858" i="11"/>
  <c r="AI859" i="11"/>
  <c r="AI860" i="11"/>
  <c r="AI861" i="11"/>
  <c r="AI862" i="11"/>
  <c r="AI863" i="11"/>
  <c r="AI864" i="11"/>
  <c r="AI865" i="11"/>
  <c r="AI866" i="11"/>
  <c r="AI867" i="11"/>
  <c r="AI868" i="11"/>
  <c r="AI869" i="11"/>
  <c r="AI870" i="11"/>
  <c r="AI871" i="11"/>
  <c r="AI872" i="11"/>
  <c r="AI873" i="11"/>
  <c r="AI874" i="11"/>
  <c r="AI875" i="11"/>
  <c r="AI876" i="11"/>
  <c r="AI877" i="11"/>
  <c r="AI878" i="11"/>
  <c r="AI879" i="11"/>
  <c r="AI880" i="11"/>
  <c r="AI881" i="11"/>
  <c r="AI882" i="11"/>
  <c r="AI883" i="11"/>
  <c r="AI884" i="11"/>
  <c r="AI885" i="11"/>
  <c r="AI886" i="11"/>
  <c r="AI887" i="11"/>
  <c r="AI888" i="11"/>
  <c r="AI889" i="11"/>
  <c r="AI890" i="11"/>
  <c r="AI891" i="11"/>
  <c r="AI892" i="11"/>
  <c r="AI893" i="11"/>
  <c r="AI894" i="11"/>
  <c r="AI895" i="11"/>
  <c r="AI896" i="11"/>
  <c r="AI897" i="11"/>
  <c r="AI898" i="11"/>
  <c r="AI899" i="11"/>
  <c r="AI900" i="11"/>
  <c r="AI901" i="11"/>
  <c r="AI902" i="11"/>
  <c r="AI903" i="11"/>
  <c r="AI904" i="11"/>
  <c r="AI905" i="11"/>
  <c r="AI906" i="11"/>
  <c r="AI907" i="11"/>
  <c r="AI908" i="11"/>
  <c r="AI909" i="11"/>
  <c r="AI910" i="11"/>
  <c r="AI911" i="11"/>
  <c r="AI912" i="11"/>
  <c r="AI913" i="11"/>
  <c r="AI914" i="11"/>
  <c r="AI915" i="11"/>
  <c r="AI916" i="11"/>
  <c r="AI917" i="11"/>
  <c r="AI918" i="11"/>
  <c r="AI919" i="11"/>
  <c r="AI920" i="11"/>
  <c r="AI921" i="11"/>
  <c r="AI922" i="11"/>
  <c r="AI923" i="11"/>
  <c r="AI924" i="11"/>
  <c r="AI925" i="11"/>
  <c r="AI926" i="11"/>
  <c r="AI927" i="11"/>
  <c r="AI928" i="11"/>
  <c r="AI929" i="11"/>
  <c r="AI930" i="11"/>
  <c r="AI931" i="11"/>
  <c r="AI932" i="11"/>
  <c r="AI933" i="11"/>
  <c r="AI934" i="11"/>
  <c r="AI935" i="11"/>
  <c r="AI936" i="11"/>
  <c r="AI937" i="11"/>
  <c r="AI938" i="11"/>
  <c r="AI939" i="11"/>
  <c r="AI940" i="11"/>
  <c r="AI941" i="11"/>
  <c r="AI942" i="11"/>
  <c r="AI943" i="11"/>
  <c r="AI944" i="11"/>
  <c r="AI945" i="11"/>
  <c r="AI946" i="11"/>
  <c r="AI947" i="11"/>
  <c r="AI948" i="11"/>
  <c r="AI949" i="11"/>
  <c r="AI950" i="11"/>
  <c r="AI951" i="11"/>
  <c r="AI952" i="11"/>
  <c r="AI953" i="11"/>
  <c r="AI954" i="11"/>
  <c r="AI955" i="11"/>
  <c r="AI956" i="11"/>
  <c r="AI957" i="11"/>
  <c r="AI958" i="11"/>
  <c r="AI959" i="11"/>
  <c r="AI960" i="11"/>
  <c r="AI961" i="11"/>
  <c r="AI962" i="11"/>
  <c r="AI963" i="11"/>
  <c r="AI964" i="11"/>
  <c r="AI965" i="11"/>
  <c r="AI966" i="11"/>
  <c r="AI967" i="11"/>
  <c r="AI968" i="11"/>
  <c r="AI969" i="11"/>
  <c r="AI970" i="11"/>
  <c r="AI971" i="11"/>
  <c r="AI2" i="11"/>
  <c r="AD3" i="8"/>
  <c r="AD4" i="8"/>
  <c r="AD5" i="8"/>
  <c r="AD6" i="8"/>
  <c r="AD7" i="8"/>
  <c r="AD8" i="8"/>
  <c r="AD9" i="8"/>
  <c r="AD10" i="8"/>
  <c r="AD11" i="8"/>
  <c r="AD12" i="8"/>
  <c r="AD13" i="8"/>
  <c r="AD14" i="8"/>
  <c r="AD15" i="8"/>
  <c r="AD16" i="8"/>
  <c r="AD17" i="8"/>
  <c r="AD18" i="8"/>
  <c r="AD19" i="8"/>
  <c r="AD20" i="8"/>
  <c r="AD21" i="8"/>
  <c r="AD22" i="8"/>
  <c r="AD23" i="8"/>
  <c r="AD24" i="8"/>
  <c r="AD25" i="8"/>
  <c r="AD26" i="8"/>
  <c r="AD27" i="8"/>
  <c r="AD28" i="8"/>
  <c r="AD29" i="8"/>
  <c r="AD30" i="8"/>
  <c r="AD31" i="8"/>
  <c r="AD32" i="8"/>
  <c r="AD33" i="8"/>
  <c r="AD34" i="8"/>
  <c r="AD35" i="8"/>
  <c r="AD36" i="8"/>
  <c r="AD37" i="8"/>
  <c r="AD38" i="8"/>
  <c r="AD39" i="8"/>
  <c r="AD40" i="8"/>
  <c r="AD41" i="8"/>
  <c r="AD42" i="8"/>
  <c r="AD43" i="8"/>
  <c r="AD44" i="8"/>
  <c r="AD45" i="8"/>
  <c r="AD46" i="8"/>
  <c r="AD47" i="8"/>
  <c r="AD48" i="8"/>
  <c r="AD49" i="8"/>
  <c r="AD50" i="8"/>
  <c r="AD51" i="8"/>
  <c r="AD52" i="8"/>
  <c r="AD53" i="8"/>
  <c r="AD54" i="8"/>
  <c r="AD55" i="8"/>
  <c r="AD56" i="8"/>
  <c r="AD57" i="8"/>
  <c r="AD58" i="8"/>
  <c r="AD59" i="8"/>
  <c r="AD60" i="8"/>
  <c r="AD61" i="8"/>
  <c r="AD62" i="8"/>
  <c r="AD63" i="8"/>
  <c r="AD64" i="8"/>
  <c r="AD65" i="8"/>
  <c r="AD66" i="8"/>
  <c r="AD67" i="8"/>
  <c r="AD68" i="8"/>
  <c r="AD69" i="8"/>
  <c r="AD70" i="8"/>
  <c r="AD71" i="8"/>
  <c r="AD72" i="8"/>
  <c r="AD73" i="8"/>
  <c r="AD74" i="8"/>
  <c r="AD75" i="8"/>
  <c r="AD76" i="8"/>
  <c r="AD77" i="8"/>
  <c r="AD78" i="8"/>
  <c r="AD79" i="8"/>
  <c r="AD80" i="8"/>
  <c r="AD81" i="8"/>
  <c r="AD82" i="8"/>
  <c r="AD83" i="8"/>
  <c r="AD84" i="8"/>
  <c r="AD85" i="8"/>
  <c r="AD86" i="8"/>
  <c r="AD87" i="8"/>
  <c r="AD88" i="8"/>
  <c r="AD89" i="8"/>
  <c r="AD90" i="8"/>
  <c r="AD91" i="8"/>
  <c r="AD92" i="8"/>
  <c r="AD93" i="8"/>
  <c r="AD94" i="8"/>
  <c r="AD95" i="8"/>
  <c r="AD96" i="8"/>
  <c r="AD97" i="8"/>
  <c r="AD98" i="8"/>
  <c r="AD99" i="8"/>
  <c r="AD100" i="8"/>
  <c r="AD101" i="8"/>
  <c r="AD102" i="8"/>
  <c r="AD103" i="8"/>
  <c r="AD104" i="8"/>
  <c r="AD105" i="8"/>
  <c r="AD106" i="8"/>
  <c r="AD107" i="8"/>
  <c r="AD108" i="8"/>
  <c r="AD109" i="8"/>
  <c r="AD110" i="8"/>
  <c r="AD111" i="8"/>
  <c r="AD112" i="8"/>
  <c r="AD113" i="8"/>
  <c r="AD114" i="8"/>
  <c r="AD115" i="8"/>
  <c r="AD116" i="8"/>
  <c r="AD117" i="8"/>
  <c r="AD118" i="8"/>
  <c r="AD119" i="8"/>
  <c r="AD120" i="8"/>
  <c r="AD121" i="8"/>
  <c r="AD122" i="8"/>
  <c r="AD123" i="8"/>
  <c r="AD124" i="8"/>
  <c r="AD125" i="8"/>
  <c r="AD126" i="8"/>
  <c r="AD127" i="8"/>
  <c r="AD128" i="8"/>
  <c r="AD129" i="8"/>
  <c r="AD130" i="8"/>
  <c r="AD131" i="8"/>
  <c r="AD132" i="8"/>
  <c r="AD133" i="8"/>
  <c r="AD134" i="8"/>
  <c r="AD135" i="8"/>
  <c r="AD136" i="8"/>
  <c r="AD137" i="8"/>
  <c r="AD138" i="8"/>
  <c r="AD139" i="8"/>
  <c r="AD140" i="8"/>
  <c r="AD141" i="8"/>
  <c r="AD142" i="8"/>
  <c r="AD143" i="8"/>
  <c r="AD144" i="8"/>
  <c r="AD145" i="8"/>
  <c r="AD146" i="8"/>
  <c r="AD147" i="8"/>
  <c r="AD148" i="8"/>
  <c r="AD149" i="8"/>
  <c r="AD150" i="8"/>
  <c r="AD151" i="8"/>
  <c r="AD152" i="8"/>
  <c r="AD153" i="8"/>
  <c r="AD154" i="8"/>
  <c r="AD155" i="8"/>
  <c r="AD156" i="8"/>
  <c r="AD157" i="8"/>
  <c r="AD158" i="8"/>
  <c r="AD159" i="8"/>
  <c r="AD160" i="8"/>
  <c r="AD161" i="8"/>
  <c r="AD162" i="8"/>
  <c r="AD163" i="8"/>
  <c r="AD164" i="8"/>
  <c r="AD165" i="8"/>
  <c r="AD166" i="8"/>
  <c r="AD167" i="8"/>
  <c r="AD168" i="8"/>
  <c r="AD169" i="8"/>
  <c r="AD170" i="8"/>
  <c r="AD171" i="8"/>
  <c r="AD172" i="8"/>
  <c r="AD173" i="8"/>
  <c r="AD174" i="8"/>
  <c r="AD175" i="8"/>
  <c r="AD176" i="8"/>
  <c r="AD177" i="8"/>
  <c r="AD178" i="8"/>
  <c r="AD179" i="8"/>
  <c r="AD180" i="8"/>
  <c r="AD181" i="8"/>
  <c r="AD182" i="8"/>
  <c r="AD183" i="8"/>
  <c r="AD184" i="8"/>
  <c r="AD185" i="8"/>
  <c r="AD186" i="8"/>
  <c r="AD187" i="8"/>
  <c r="AD188" i="8"/>
  <c r="AD189" i="8"/>
  <c r="AD190" i="8"/>
  <c r="AD191" i="8"/>
  <c r="AD192" i="8"/>
  <c r="AD193" i="8"/>
  <c r="AD194" i="8"/>
  <c r="AD195" i="8"/>
  <c r="AD196" i="8"/>
  <c r="AD197" i="8"/>
  <c r="AD198" i="8"/>
  <c r="AD199" i="8"/>
  <c r="AD200" i="8"/>
  <c r="AD201" i="8"/>
  <c r="AD202" i="8"/>
  <c r="AD203" i="8"/>
  <c r="AD204" i="8"/>
  <c r="AD205" i="8"/>
  <c r="AD206" i="8"/>
  <c r="AD207" i="8"/>
  <c r="AD208" i="8"/>
  <c r="AD209" i="8"/>
  <c r="AD210" i="8"/>
  <c r="AD211" i="8"/>
  <c r="AD212" i="8"/>
  <c r="AD213" i="8"/>
  <c r="AD214" i="8"/>
  <c r="AD215" i="8"/>
  <c r="AD216" i="8"/>
  <c r="AD217" i="8"/>
  <c r="AD218" i="8"/>
  <c r="AD219" i="8"/>
  <c r="AD220" i="8"/>
  <c r="AD221" i="8"/>
  <c r="AD222" i="8"/>
  <c r="AD223" i="8"/>
  <c r="AD224" i="8"/>
  <c r="AD225" i="8"/>
  <c r="AD226" i="8"/>
  <c r="AD227" i="8"/>
  <c r="AD228" i="8"/>
  <c r="AD229" i="8"/>
  <c r="AD230" i="8"/>
  <c r="AD231" i="8"/>
  <c r="AD232" i="8"/>
  <c r="AD233" i="8"/>
  <c r="AD234" i="8"/>
  <c r="AD235" i="8"/>
  <c r="AD236" i="8"/>
  <c r="AD237" i="8"/>
  <c r="AD238" i="8"/>
  <c r="AD239" i="8"/>
  <c r="AD240" i="8"/>
  <c r="AD241" i="8"/>
  <c r="AD242" i="8"/>
  <c r="AD243" i="8"/>
  <c r="AD244" i="8"/>
  <c r="AD245" i="8"/>
  <c r="AD246" i="8"/>
  <c r="AD247" i="8"/>
  <c r="AD248" i="8"/>
  <c r="AD249" i="8"/>
  <c r="AD250" i="8"/>
  <c r="AD251" i="8"/>
  <c r="AD252" i="8"/>
  <c r="AD253" i="8"/>
  <c r="AD254" i="8"/>
  <c r="AD255" i="8"/>
  <c r="AD256" i="8"/>
  <c r="AD257" i="8"/>
  <c r="AD258" i="8"/>
  <c r="AD259" i="8"/>
  <c r="AD260" i="8"/>
  <c r="AD261" i="8"/>
  <c r="AD262" i="8"/>
  <c r="AD263" i="8"/>
  <c r="AD264" i="8"/>
  <c r="AD265" i="8"/>
  <c r="AD266" i="8"/>
  <c r="AD267" i="8"/>
  <c r="AD268" i="8"/>
  <c r="AD269" i="8"/>
  <c r="AD270" i="8"/>
  <c r="AD271" i="8"/>
  <c r="AD272" i="8"/>
  <c r="AD273" i="8"/>
  <c r="AD274" i="8"/>
  <c r="AD275" i="8"/>
  <c r="AD276" i="8"/>
  <c r="AD277" i="8"/>
  <c r="AD278" i="8"/>
  <c r="AD279" i="8"/>
  <c r="AD280" i="8"/>
  <c r="AD281" i="8"/>
  <c r="AD282" i="8"/>
  <c r="AD283" i="8"/>
  <c r="AD284" i="8"/>
  <c r="AD285" i="8"/>
  <c r="AD286" i="8"/>
  <c r="AD287" i="8"/>
  <c r="AD288" i="8"/>
  <c r="AD289" i="8"/>
  <c r="AD290" i="8"/>
  <c r="AD291" i="8"/>
  <c r="AD292" i="8"/>
  <c r="AD293" i="8"/>
  <c r="AD294" i="8"/>
  <c r="AD295" i="8"/>
  <c r="AD296" i="8"/>
  <c r="AD297" i="8"/>
  <c r="AD298" i="8"/>
  <c r="AD299" i="8"/>
  <c r="AD300" i="8"/>
  <c r="AD301" i="8"/>
  <c r="AD302" i="8"/>
  <c r="AD303" i="8"/>
  <c r="AD304" i="8"/>
  <c r="AD305" i="8"/>
  <c r="AD306" i="8"/>
  <c r="AD307" i="8"/>
  <c r="AD308" i="8"/>
  <c r="AD309" i="8"/>
  <c r="AD310" i="8"/>
  <c r="AD311" i="8"/>
  <c r="AD312" i="8"/>
  <c r="AD313" i="8"/>
  <c r="AD314" i="8"/>
  <c r="AD315" i="8"/>
  <c r="AD316" i="8"/>
  <c r="AD317" i="8"/>
  <c r="AD318" i="8"/>
  <c r="AD319" i="8"/>
  <c r="AD320" i="8"/>
  <c r="AD321" i="8"/>
  <c r="AD322" i="8"/>
  <c r="AD323" i="8"/>
  <c r="AD324" i="8"/>
  <c r="AD325" i="8"/>
  <c r="AD326" i="8"/>
  <c r="AD327" i="8"/>
  <c r="AD328" i="8"/>
  <c r="AD329" i="8"/>
  <c r="AD330" i="8"/>
  <c r="AD331" i="8"/>
  <c r="AD332" i="8"/>
  <c r="AD333" i="8"/>
  <c r="AD334" i="8"/>
  <c r="AD335" i="8"/>
  <c r="AD336" i="8"/>
  <c r="AD337" i="8"/>
  <c r="AD338" i="8"/>
  <c r="AD339" i="8"/>
  <c r="AD340" i="8"/>
  <c r="AD341" i="8"/>
  <c r="AD342" i="8"/>
  <c r="AD343" i="8"/>
  <c r="AD344" i="8"/>
  <c r="AD345" i="8"/>
  <c r="AD346" i="8"/>
  <c r="AD347" i="8"/>
  <c r="AD348" i="8"/>
  <c r="AD349" i="8"/>
  <c r="AD350" i="8"/>
  <c r="AD351" i="8"/>
  <c r="AD352" i="8"/>
  <c r="AD353" i="8"/>
  <c r="AD354" i="8"/>
  <c r="AD355" i="8"/>
  <c r="AD356" i="8"/>
  <c r="AD357" i="8"/>
  <c r="AD358" i="8"/>
  <c r="AD359" i="8"/>
  <c r="AD360" i="8"/>
  <c r="AD361" i="8"/>
  <c r="AD362" i="8"/>
  <c r="AD363" i="8"/>
  <c r="AD364" i="8"/>
  <c r="AD365" i="8"/>
  <c r="AD366" i="8"/>
  <c r="AD367" i="8"/>
  <c r="AD368" i="8"/>
  <c r="AD369" i="8"/>
  <c r="AD370" i="8"/>
  <c r="AD371" i="8"/>
  <c r="AD372" i="8"/>
  <c r="AD373" i="8"/>
  <c r="AD374" i="8"/>
  <c r="AD375" i="8"/>
  <c r="AD376" i="8"/>
  <c r="AD377" i="8"/>
  <c r="AD378" i="8"/>
  <c r="AD379" i="8"/>
  <c r="AD380" i="8"/>
  <c r="AD381" i="8"/>
  <c r="AD382" i="8"/>
  <c r="AD383" i="8"/>
  <c r="AD384" i="8"/>
  <c r="AD385" i="8"/>
  <c r="AD386" i="8"/>
  <c r="AD387" i="8"/>
  <c r="AD388" i="8"/>
  <c r="AD389" i="8"/>
  <c r="AD390" i="8"/>
  <c r="AD391" i="8"/>
  <c r="AD392" i="8"/>
  <c r="AD393" i="8"/>
  <c r="AD394" i="8"/>
  <c r="AD395" i="8"/>
  <c r="AD396" i="8"/>
  <c r="AD397" i="8"/>
  <c r="AD398" i="8"/>
  <c r="AD399" i="8"/>
  <c r="AD400" i="8"/>
  <c r="AD401" i="8"/>
  <c r="AD402" i="8"/>
  <c r="AD403" i="8"/>
  <c r="AD404" i="8"/>
  <c r="AD405" i="8"/>
  <c r="AD406" i="8"/>
  <c r="AD407" i="8"/>
  <c r="AD408" i="8"/>
  <c r="AD409" i="8"/>
  <c r="AD410" i="8"/>
  <c r="AD411" i="8"/>
  <c r="AD412" i="8"/>
  <c r="AD413" i="8"/>
  <c r="AD414" i="8"/>
  <c r="AD415" i="8"/>
  <c r="AD416" i="8"/>
  <c r="AD417" i="8"/>
  <c r="AD418" i="8"/>
  <c r="AD419" i="8"/>
  <c r="AD420" i="8"/>
  <c r="AD421" i="8"/>
  <c r="AD422" i="8"/>
  <c r="AD423" i="8"/>
  <c r="AD424" i="8"/>
  <c r="AD425" i="8"/>
  <c r="AD426" i="8"/>
  <c r="AD427" i="8"/>
  <c r="AD428" i="8"/>
  <c r="AD429" i="8"/>
  <c r="AD430" i="8"/>
  <c r="AD431" i="8"/>
  <c r="AD432" i="8"/>
  <c r="AD433" i="8"/>
  <c r="AD434" i="8"/>
  <c r="AD435" i="8"/>
  <c r="AD436" i="8"/>
  <c r="AD437" i="8"/>
  <c r="AD438" i="8"/>
  <c r="AD439" i="8"/>
  <c r="AD440" i="8"/>
  <c r="AD441" i="8"/>
  <c r="AD442" i="8"/>
  <c r="AD443" i="8"/>
  <c r="AD444" i="8"/>
  <c r="AD445" i="8"/>
  <c r="AD446" i="8"/>
  <c r="AD447" i="8"/>
  <c r="AD448" i="8"/>
  <c r="AD449" i="8"/>
  <c r="AD450" i="8"/>
  <c r="AD451" i="8"/>
  <c r="AD452" i="8"/>
  <c r="AD453" i="8"/>
  <c r="AD454" i="8"/>
  <c r="AD455" i="8"/>
  <c r="AD456" i="8"/>
  <c r="AD457" i="8"/>
  <c r="AD458" i="8"/>
  <c r="AD459" i="8"/>
  <c r="AD460" i="8"/>
  <c r="AD461" i="8"/>
  <c r="AD462" i="8"/>
  <c r="AD463" i="8"/>
  <c r="AD464" i="8"/>
  <c r="AD465" i="8"/>
  <c r="AD466" i="8"/>
  <c r="AD467" i="8"/>
  <c r="AD468" i="8"/>
  <c r="AD469" i="8"/>
  <c r="AD470" i="8"/>
  <c r="AD471" i="8"/>
  <c r="AD472" i="8"/>
  <c r="AD473" i="8"/>
  <c r="AD474" i="8"/>
  <c r="AD475" i="8"/>
  <c r="AD476" i="8"/>
  <c r="AD477" i="8"/>
  <c r="AD478" i="8"/>
  <c r="AD479" i="8"/>
  <c r="AD480" i="8"/>
  <c r="AD481" i="8"/>
  <c r="AD482" i="8"/>
  <c r="AD483" i="8"/>
  <c r="AD484" i="8"/>
  <c r="AD485" i="8"/>
  <c r="AD486" i="8"/>
  <c r="AD487" i="8"/>
  <c r="AD488" i="8"/>
  <c r="AD489" i="8"/>
  <c r="AD490" i="8"/>
  <c r="AD491" i="8"/>
  <c r="AD492" i="8"/>
  <c r="AD493" i="8"/>
  <c r="AD494" i="8"/>
  <c r="AD495" i="8"/>
  <c r="AD496" i="8"/>
  <c r="AD497" i="8"/>
  <c r="AD498" i="8"/>
  <c r="AD499" i="8"/>
  <c r="AD500" i="8"/>
  <c r="AD501" i="8"/>
  <c r="AD502" i="8"/>
  <c r="AD503" i="8"/>
  <c r="AD504" i="8"/>
  <c r="AD505" i="8"/>
  <c r="AD506" i="8"/>
  <c r="AD507" i="8"/>
  <c r="AD508" i="8"/>
  <c r="AD509" i="8"/>
  <c r="AD510" i="8"/>
  <c r="AD511" i="8"/>
  <c r="AD512" i="8"/>
  <c r="AD513" i="8"/>
  <c r="AD514" i="8"/>
  <c r="AD515" i="8"/>
  <c r="AD516" i="8"/>
  <c r="AD517" i="8"/>
  <c r="AD518" i="8"/>
  <c r="AD519" i="8"/>
  <c r="AD520" i="8"/>
  <c r="AD521" i="8"/>
  <c r="AD522" i="8"/>
  <c r="AD523" i="8"/>
  <c r="AD524" i="8"/>
  <c r="AD525" i="8"/>
  <c r="AD526" i="8"/>
  <c r="AD527" i="8"/>
  <c r="AD528" i="8"/>
  <c r="AD529" i="8"/>
  <c r="AD530" i="8"/>
  <c r="AD531" i="8"/>
  <c r="AD532" i="8"/>
  <c r="AD533" i="8"/>
  <c r="AD534" i="8"/>
  <c r="AD535" i="8"/>
  <c r="AD536" i="8"/>
  <c r="AD537" i="8"/>
  <c r="AD538" i="8"/>
  <c r="AD539" i="8"/>
  <c r="AD540" i="8"/>
  <c r="AD541" i="8"/>
  <c r="AD542" i="8"/>
  <c r="AD543" i="8"/>
  <c r="AD544" i="8"/>
  <c r="AD545" i="8"/>
  <c r="AD546" i="8"/>
  <c r="AD547" i="8"/>
  <c r="AD548" i="8"/>
  <c r="AD549" i="8"/>
  <c r="AD550" i="8"/>
  <c r="AD551" i="8"/>
  <c r="AD552" i="8"/>
  <c r="AD553" i="8"/>
  <c r="AD554" i="8"/>
  <c r="AD555" i="8"/>
  <c r="AD556" i="8"/>
  <c r="AD557" i="8"/>
  <c r="AD558" i="8"/>
  <c r="AD559" i="8"/>
  <c r="AD560" i="8"/>
  <c r="AD561" i="8"/>
  <c r="AD562" i="8"/>
  <c r="AD563" i="8"/>
  <c r="AD564" i="8"/>
  <c r="AD565" i="8"/>
  <c r="AD566" i="8"/>
  <c r="AD567" i="8"/>
  <c r="AD568" i="8"/>
  <c r="AD569" i="8"/>
  <c r="AD570" i="8"/>
  <c r="AD571" i="8"/>
  <c r="AD572" i="8"/>
  <c r="AD573" i="8"/>
  <c r="AD574" i="8"/>
  <c r="AD575" i="8"/>
  <c r="AD576" i="8"/>
  <c r="AD577" i="8"/>
  <c r="AD578" i="8"/>
  <c r="AD579" i="8"/>
  <c r="AD580" i="8"/>
  <c r="AD581" i="8"/>
  <c r="AD582" i="8"/>
  <c r="AD583" i="8"/>
  <c r="AD584" i="8"/>
  <c r="AD585" i="8"/>
  <c r="AD586" i="8"/>
  <c r="AD587" i="8"/>
  <c r="AD588" i="8"/>
  <c r="AD589" i="8"/>
  <c r="AD590" i="8"/>
  <c r="AD591" i="8"/>
  <c r="AD592" i="8"/>
  <c r="AD593" i="8"/>
  <c r="AD594" i="8"/>
  <c r="AD595" i="8"/>
  <c r="AD596" i="8"/>
  <c r="AD597" i="8"/>
  <c r="AD598" i="8"/>
  <c r="AD599" i="8"/>
  <c r="AD600" i="8"/>
  <c r="AD601" i="8"/>
  <c r="AD602" i="8"/>
  <c r="AD603" i="8"/>
  <c r="AD604" i="8"/>
  <c r="AD605" i="8"/>
  <c r="AD606" i="8"/>
  <c r="AD607" i="8"/>
  <c r="AD608" i="8"/>
  <c r="AD609" i="8"/>
  <c r="AD610" i="8"/>
  <c r="AD611" i="8"/>
  <c r="AD612" i="8"/>
  <c r="AD613" i="8"/>
  <c r="AD614" i="8"/>
  <c r="AD615" i="8"/>
  <c r="AD616" i="8"/>
  <c r="AD617" i="8"/>
  <c r="AD618" i="8"/>
  <c r="AD619" i="8"/>
  <c r="AD620" i="8"/>
  <c r="AD621" i="8"/>
  <c r="AD622" i="8"/>
  <c r="AD623" i="8"/>
  <c r="AD624" i="8"/>
  <c r="AD625" i="8"/>
  <c r="AD626" i="8"/>
  <c r="AD627" i="8"/>
  <c r="AD628" i="8"/>
  <c r="AD629" i="8"/>
  <c r="AD630" i="8"/>
  <c r="AD631" i="8"/>
  <c r="AD632" i="8"/>
  <c r="AD633" i="8"/>
  <c r="AD634" i="8"/>
  <c r="AD635" i="8"/>
  <c r="AD636" i="8"/>
  <c r="AD637" i="8"/>
  <c r="AD638" i="8"/>
  <c r="AD639" i="8"/>
  <c r="AD640" i="8"/>
  <c r="AD641" i="8"/>
  <c r="AD642" i="8"/>
  <c r="AD643" i="8"/>
  <c r="AD644" i="8"/>
  <c r="AD645" i="8"/>
  <c r="AD646" i="8"/>
  <c r="AD647" i="8"/>
  <c r="AD648" i="8"/>
  <c r="AD649" i="8"/>
  <c r="AD650" i="8"/>
  <c r="AD651" i="8"/>
  <c r="AD652" i="8"/>
  <c r="AD653" i="8"/>
  <c r="AD654" i="8"/>
  <c r="AD655" i="8"/>
  <c r="AD656" i="8"/>
  <c r="AD657" i="8"/>
  <c r="AD658" i="8"/>
  <c r="AD659" i="8"/>
  <c r="AD660" i="8"/>
  <c r="AD661" i="8"/>
  <c r="AD662" i="8"/>
  <c r="AD663" i="8"/>
  <c r="AD664" i="8"/>
  <c r="AD665" i="8"/>
  <c r="AD666" i="8"/>
  <c r="AD667" i="8"/>
  <c r="AD668" i="8"/>
  <c r="AD670" i="8"/>
  <c r="AD671" i="8"/>
  <c r="AD672" i="8"/>
  <c r="AD673" i="8"/>
  <c r="AD674" i="8"/>
  <c r="AD675" i="8"/>
  <c r="AD676" i="8"/>
  <c r="AD677" i="8"/>
  <c r="AD678" i="8"/>
  <c r="AD679" i="8"/>
  <c r="AD680" i="8"/>
  <c r="AD681" i="8"/>
  <c r="AD682" i="8"/>
  <c r="AD683" i="8"/>
  <c r="AD684" i="8"/>
  <c r="AD685" i="8"/>
  <c r="AD686" i="8"/>
  <c r="AD687" i="8"/>
  <c r="AD688" i="8"/>
  <c r="AD689" i="8"/>
  <c r="AD690" i="8"/>
  <c r="AD691" i="8"/>
  <c r="AD692" i="8"/>
  <c r="AD693" i="8"/>
  <c r="AD694" i="8"/>
  <c r="AD695" i="8"/>
  <c r="AD696" i="8"/>
  <c r="AD697" i="8"/>
  <c r="AD698" i="8"/>
  <c r="AD699" i="8"/>
  <c r="AD700" i="8"/>
  <c r="AD701" i="8"/>
  <c r="AD702" i="8"/>
  <c r="AD703" i="8"/>
  <c r="AD704" i="8"/>
  <c r="AD705" i="8"/>
  <c r="AD706" i="8"/>
  <c r="AD707" i="8"/>
  <c r="AD708" i="8"/>
  <c r="AD709" i="8"/>
  <c r="AD710" i="8"/>
  <c r="AD711" i="8"/>
  <c r="AD712" i="8"/>
  <c r="AD713" i="8"/>
  <c r="AD714" i="8"/>
  <c r="AD715" i="8"/>
  <c r="AD716" i="8"/>
  <c r="AD717" i="8"/>
  <c r="AD718" i="8"/>
  <c r="AD719" i="8"/>
  <c r="AD720" i="8"/>
  <c r="AD721" i="8"/>
  <c r="AD722" i="8"/>
  <c r="AD723" i="8"/>
  <c r="AD724" i="8"/>
  <c r="AD725" i="8"/>
  <c r="AD726" i="8"/>
  <c r="AD727" i="8"/>
  <c r="AD728" i="8"/>
  <c r="AD729" i="8"/>
  <c r="AD730" i="8"/>
  <c r="AD731" i="8"/>
  <c r="AD732" i="8"/>
  <c r="AD733" i="8"/>
  <c r="AD734" i="8"/>
  <c r="AD735" i="8"/>
  <c r="AD736" i="8"/>
  <c r="AD737" i="8"/>
  <c r="AD738" i="8"/>
  <c r="AD739" i="8"/>
  <c r="AD740" i="8"/>
  <c r="AD741" i="8"/>
  <c r="AD742" i="8"/>
  <c r="AD743" i="8"/>
  <c r="AD744" i="8"/>
  <c r="AD745" i="8"/>
  <c r="AD746" i="8"/>
  <c r="AD747" i="8"/>
  <c r="AD748" i="8"/>
  <c r="AD749" i="8"/>
  <c r="AD750" i="8"/>
  <c r="AD751" i="8"/>
  <c r="AD752" i="8"/>
  <c r="AD753" i="8"/>
  <c r="AD754" i="8"/>
  <c r="AD755" i="8"/>
  <c r="AD756" i="8"/>
  <c r="AD757" i="8"/>
  <c r="AD758" i="8"/>
  <c r="AD759" i="8"/>
  <c r="AD760" i="8"/>
  <c r="AD761" i="8"/>
  <c r="AD762" i="8"/>
  <c r="AD763" i="8"/>
  <c r="AD764" i="8"/>
  <c r="AD765" i="8"/>
  <c r="AD766" i="8"/>
  <c r="AD767" i="8"/>
  <c r="AD768" i="8"/>
  <c r="AD769" i="8"/>
  <c r="AD770" i="8"/>
  <c r="AD771" i="8"/>
  <c r="AD772" i="8"/>
  <c r="AD773" i="8"/>
  <c r="AD774" i="8"/>
  <c r="AD775" i="8"/>
  <c r="AD776" i="8"/>
  <c r="AD777" i="8"/>
  <c r="AD778" i="8"/>
  <c r="AD779" i="8"/>
  <c r="AD780" i="8"/>
  <c r="AD781" i="8"/>
  <c r="AD782" i="8"/>
  <c r="AD783" i="8"/>
  <c r="AD784" i="8"/>
  <c r="AD785" i="8"/>
  <c r="AD786" i="8"/>
  <c r="AD787" i="8"/>
  <c r="AD788" i="8"/>
  <c r="AD789" i="8"/>
  <c r="AD790" i="8"/>
  <c r="AD791" i="8"/>
  <c r="AD792" i="8"/>
  <c r="AD793" i="8"/>
  <c r="AD794" i="8"/>
  <c r="AD795" i="8"/>
  <c r="AD796" i="8"/>
  <c r="AD797" i="8"/>
  <c r="AD798" i="8"/>
  <c r="AD799" i="8"/>
  <c r="AD800" i="8"/>
  <c r="AD801" i="8"/>
  <c r="AD802" i="8"/>
  <c r="AD803" i="8"/>
  <c r="AD804" i="8"/>
  <c r="AD805" i="8"/>
  <c r="AD806" i="8"/>
  <c r="AD807" i="8"/>
  <c r="AD808" i="8"/>
  <c r="AD809" i="8"/>
  <c r="AD810" i="8"/>
  <c r="AD811" i="8"/>
  <c r="AD812" i="8"/>
  <c r="AD813" i="8"/>
  <c r="AD814" i="8"/>
  <c r="AD815" i="8"/>
  <c r="AD816" i="8"/>
  <c r="AD817" i="8"/>
  <c r="AD818" i="8"/>
  <c r="AD819" i="8"/>
  <c r="AD820" i="8"/>
  <c r="AD821" i="8"/>
  <c r="AD822" i="8"/>
  <c r="AD823" i="8"/>
  <c r="AD824" i="8"/>
  <c r="AD825" i="8"/>
  <c r="AD826" i="8"/>
  <c r="AD827" i="8"/>
  <c r="AD828" i="8"/>
  <c r="AD829" i="8"/>
  <c r="AD830" i="8"/>
  <c r="AD831" i="8"/>
  <c r="AD832" i="8"/>
  <c r="AD833" i="8"/>
  <c r="AD834" i="8"/>
  <c r="AD835" i="8"/>
  <c r="AD836" i="8"/>
  <c r="AD837" i="8"/>
  <c r="AD838" i="8"/>
  <c r="AD839" i="8"/>
  <c r="AD2" i="8"/>
  <c r="Z2" i="8"/>
  <c r="AF2" i="9"/>
  <c r="AF2" i="10"/>
  <c r="E550" i="2" l="1"/>
  <c r="D550" i="2"/>
  <c r="C550" i="2" s="1"/>
  <c r="E541" i="2"/>
  <c r="D541" i="2"/>
  <c r="C541" i="2" s="1"/>
  <c r="E560" i="2"/>
  <c r="D560" i="2"/>
  <c r="C560" i="2" s="1"/>
  <c r="E557" i="2"/>
  <c r="D557" i="2"/>
  <c r="C557" i="2" s="1"/>
  <c r="D447" i="2"/>
  <c r="E479" i="2"/>
  <c r="E476" i="2"/>
  <c r="E473" i="2"/>
  <c r="E470" i="2"/>
  <c r="E467" i="2"/>
  <c r="E464" i="2"/>
  <c r="E461" i="2"/>
  <c r="E458" i="2"/>
  <c r="E455" i="2"/>
  <c r="E452" i="2"/>
  <c r="E449" i="2"/>
  <c r="D479" i="2"/>
  <c r="C479" i="2" s="1"/>
  <c r="F479" i="2" s="1"/>
  <c r="G479" i="2" s="1"/>
  <c r="D476" i="2"/>
  <c r="C476" i="2" s="1"/>
  <c r="F476" i="2" s="1"/>
  <c r="G476" i="2" s="1"/>
  <c r="D473" i="2"/>
  <c r="C473" i="2" s="1"/>
  <c r="F473" i="2" s="1"/>
  <c r="G473" i="2" s="1"/>
  <c r="D470" i="2"/>
  <c r="C470" i="2" s="1"/>
  <c r="F470" i="2" s="1"/>
  <c r="G470" i="2" s="1"/>
  <c r="D467" i="2"/>
  <c r="C467" i="2" s="1"/>
  <c r="F467" i="2" s="1"/>
  <c r="G467" i="2" s="1"/>
  <c r="D464" i="2"/>
  <c r="C464" i="2" s="1"/>
  <c r="F464" i="2" s="1"/>
  <c r="G464" i="2" s="1"/>
  <c r="D461" i="2"/>
  <c r="C461" i="2" s="1"/>
  <c r="F461" i="2" s="1"/>
  <c r="G461" i="2" s="1"/>
  <c r="D458" i="2"/>
  <c r="C458" i="2" s="1"/>
  <c r="F458" i="2" s="1"/>
  <c r="G458" i="2" s="1"/>
  <c r="D455" i="2"/>
  <c r="C455" i="2" s="1"/>
  <c r="F455" i="2" s="1"/>
  <c r="G455" i="2" s="1"/>
  <c r="D452" i="2"/>
  <c r="C452" i="2" s="1"/>
  <c r="F452" i="2" s="1"/>
  <c r="G452" i="2" s="1"/>
  <c r="D449" i="2"/>
  <c r="C449" i="2" s="1"/>
  <c r="F449" i="2" s="1"/>
  <c r="G449" i="2" s="1"/>
  <c r="E481" i="2"/>
  <c r="E478" i="2"/>
  <c r="E475" i="2"/>
  <c r="E472" i="2"/>
  <c r="E469" i="2"/>
  <c r="E466" i="2"/>
  <c r="E463" i="2"/>
  <c r="E460" i="2"/>
  <c r="E457" i="2"/>
  <c r="E454" i="2"/>
  <c r="E451" i="2"/>
  <c r="E448" i="2"/>
  <c r="D481" i="2"/>
  <c r="C481" i="2" s="1"/>
  <c r="F481" i="2" s="1"/>
  <c r="G481" i="2" s="1"/>
  <c r="D478" i="2"/>
  <c r="C478" i="2" s="1"/>
  <c r="F478" i="2" s="1"/>
  <c r="G478" i="2" s="1"/>
  <c r="D475" i="2"/>
  <c r="C475" i="2" s="1"/>
  <c r="F475" i="2" s="1"/>
  <c r="G475" i="2" s="1"/>
  <c r="D472" i="2"/>
  <c r="C472" i="2" s="1"/>
  <c r="F472" i="2" s="1"/>
  <c r="G472" i="2" s="1"/>
  <c r="D469" i="2"/>
  <c r="C469" i="2" s="1"/>
  <c r="F469" i="2" s="1"/>
  <c r="G469" i="2" s="1"/>
  <c r="D466" i="2"/>
  <c r="C466" i="2" s="1"/>
  <c r="F466" i="2" s="1"/>
  <c r="G466" i="2" s="1"/>
  <c r="D463" i="2"/>
  <c r="C463" i="2" s="1"/>
  <c r="F463" i="2" s="1"/>
  <c r="G463" i="2" s="1"/>
  <c r="D460" i="2"/>
  <c r="C460" i="2" s="1"/>
  <c r="F460" i="2" s="1"/>
  <c r="G460" i="2" s="1"/>
  <c r="D457" i="2"/>
  <c r="C457" i="2" s="1"/>
  <c r="F457" i="2" s="1"/>
  <c r="G457" i="2" s="1"/>
  <c r="D454" i="2"/>
  <c r="C454" i="2" s="1"/>
  <c r="F454" i="2" s="1"/>
  <c r="G454" i="2" s="1"/>
  <c r="D451" i="2"/>
  <c r="C451" i="2" s="1"/>
  <c r="F451" i="2" s="1"/>
  <c r="G451" i="2" s="1"/>
  <c r="D448" i="2"/>
  <c r="C448" i="2" s="1"/>
  <c r="F448" i="2" s="1"/>
  <c r="G448" i="2" s="1"/>
  <c r="E480" i="2"/>
  <c r="E477" i="2"/>
  <c r="E474" i="2"/>
  <c r="E471" i="2"/>
  <c r="E468" i="2"/>
  <c r="E465" i="2"/>
  <c r="E462" i="2"/>
  <c r="E459" i="2"/>
  <c r="E456" i="2"/>
  <c r="E453" i="2"/>
  <c r="E450" i="2"/>
  <c r="E447" i="2"/>
  <c r="C447" i="2" s="1"/>
  <c r="F447" i="2" s="1"/>
  <c r="G447" i="2" s="1"/>
  <c r="D480" i="2"/>
  <c r="C480" i="2" s="1"/>
  <c r="F480" i="2" s="1"/>
  <c r="G480" i="2" s="1"/>
  <c r="D477" i="2"/>
  <c r="D474" i="2"/>
  <c r="C474" i="2" s="1"/>
  <c r="F474" i="2" s="1"/>
  <c r="G474" i="2" s="1"/>
  <c r="D471" i="2"/>
  <c r="D468" i="2"/>
  <c r="C468" i="2" s="1"/>
  <c r="F468" i="2" s="1"/>
  <c r="G468" i="2" s="1"/>
  <c r="D465" i="2"/>
  <c r="D462" i="2"/>
  <c r="C462" i="2" s="1"/>
  <c r="F462" i="2" s="1"/>
  <c r="G462" i="2" s="1"/>
  <c r="D459" i="2"/>
  <c r="D456" i="2"/>
  <c r="C456" i="2" s="1"/>
  <c r="F456" i="2" s="1"/>
  <c r="G456" i="2" s="1"/>
  <c r="D453" i="2"/>
  <c r="D450" i="2"/>
  <c r="C450" i="2" s="1"/>
  <c r="F450" i="2" s="1"/>
  <c r="G450" i="2" s="1"/>
  <c r="D119" i="2"/>
  <c r="E148" i="2"/>
  <c r="E145" i="2"/>
  <c r="E142" i="2"/>
  <c r="E139" i="2"/>
  <c r="E136" i="2"/>
  <c r="E133" i="2"/>
  <c r="E130" i="2"/>
  <c r="E127" i="2"/>
  <c r="E124" i="2"/>
  <c r="E121" i="2"/>
  <c r="D148" i="2"/>
  <c r="C148" i="2" s="1"/>
  <c r="F148" i="2" s="1"/>
  <c r="G148" i="2" s="1"/>
  <c r="D145" i="2"/>
  <c r="C145" i="2" s="1"/>
  <c r="F145" i="2" s="1"/>
  <c r="G145" i="2" s="1"/>
  <c r="D142" i="2"/>
  <c r="C142" i="2" s="1"/>
  <c r="F142" i="2" s="1"/>
  <c r="G142" i="2" s="1"/>
  <c r="D139" i="2"/>
  <c r="C139" i="2" s="1"/>
  <c r="F139" i="2" s="1"/>
  <c r="G139" i="2" s="1"/>
  <c r="D136" i="2"/>
  <c r="C136" i="2" s="1"/>
  <c r="F136" i="2" s="1"/>
  <c r="G136" i="2" s="1"/>
  <c r="D133" i="2"/>
  <c r="C133" i="2" s="1"/>
  <c r="F133" i="2" s="1"/>
  <c r="G133" i="2" s="1"/>
  <c r="D130" i="2"/>
  <c r="C130" i="2" s="1"/>
  <c r="F130" i="2" s="1"/>
  <c r="G130" i="2" s="1"/>
  <c r="D127" i="2"/>
  <c r="C127" i="2" s="1"/>
  <c r="F127" i="2" s="1"/>
  <c r="G127" i="2" s="1"/>
  <c r="D124" i="2"/>
  <c r="C124" i="2" s="1"/>
  <c r="F124" i="2" s="1"/>
  <c r="G124" i="2" s="1"/>
  <c r="D121" i="2"/>
  <c r="C121" i="2" s="1"/>
  <c r="F121" i="2" s="1"/>
  <c r="G121" i="2" s="1"/>
  <c r="E147" i="2"/>
  <c r="E144" i="2"/>
  <c r="E141" i="2"/>
  <c r="E138" i="2"/>
  <c r="E135" i="2"/>
  <c r="E132" i="2"/>
  <c r="E129" i="2"/>
  <c r="E126" i="2"/>
  <c r="E123" i="2"/>
  <c r="E120" i="2"/>
  <c r="D147" i="2"/>
  <c r="C147" i="2" s="1"/>
  <c r="F147" i="2" s="1"/>
  <c r="G147" i="2" s="1"/>
  <c r="D144" i="2"/>
  <c r="C144" i="2" s="1"/>
  <c r="F144" i="2" s="1"/>
  <c r="G144" i="2" s="1"/>
  <c r="D141" i="2"/>
  <c r="C141" i="2" s="1"/>
  <c r="F141" i="2" s="1"/>
  <c r="G141" i="2" s="1"/>
  <c r="D138" i="2"/>
  <c r="C138" i="2" s="1"/>
  <c r="F138" i="2" s="1"/>
  <c r="G138" i="2" s="1"/>
  <c r="D135" i="2"/>
  <c r="C135" i="2" s="1"/>
  <c r="F135" i="2" s="1"/>
  <c r="G135" i="2" s="1"/>
  <c r="D132" i="2"/>
  <c r="C132" i="2" s="1"/>
  <c r="F132" i="2" s="1"/>
  <c r="G132" i="2" s="1"/>
  <c r="D129" i="2"/>
  <c r="C129" i="2" s="1"/>
  <c r="F129" i="2" s="1"/>
  <c r="G129" i="2" s="1"/>
  <c r="D126" i="2"/>
  <c r="C126" i="2" s="1"/>
  <c r="F126" i="2" s="1"/>
  <c r="G126" i="2" s="1"/>
  <c r="D123" i="2"/>
  <c r="C123" i="2" s="1"/>
  <c r="F123" i="2" s="1"/>
  <c r="G123" i="2" s="1"/>
  <c r="D120" i="2"/>
  <c r="C120" i="2" s="1"/>
  <c r="F120" i="2" s="1"/>
  <c r="G120" i="2" s="1"/>
  <c r="E149" i="2"/>
  <c r="E146" i="2"/>
  <c r="E143" i="2"/>
  <c r="E140" i="2"/>
  <c r="E137" i="2"/>
  <c r="E134" i="2"/>
  <c r="E131" i="2"/>
  <c r="E128" i="2"/>
  <c r="E125" i="2"/>
  <c r="E122" i="2"/>
  <c r="E119" i="2"/>
  <c r="D149" i="2"/>
  <c r="C149" i="2" s="1"/>
  <c r="F149" i="2" s="1"/>
  <c r="G149" i="2" s="1"/>
  <c r="D146" i="2"/>
  <c r="C146" i="2" s="1"/>
  <c r="F146" i="2" s="1"/>
  <c r="G146" i="2" s="1"/>
  <c r="D143" i="2"/>
  <c r="C143" i="2" s="1"/>
  <c r="F143" i="2" s="1"/>
  <c r="G143" i="2" s="1"/>
  <c r="D140" i="2"/>
  <c r="C140" i="2" s="1"/>
  <c r="F140" i="2" s="1"/>
  <c r="G140" i="2" s="1"/>
  <c r="D137" i="2"/>
  <c r="C137" i="2" s="1"/>
  <c r="F137" i="2" s="1"/>
  <c r="G137" i="2" s="1"/>
  <c r="D134" i="2"/>
  <c r="C134" i="2" s="1"/>
  <c r="F134" i="2" s="1"/>
  <c r="G134" i="2" s="1"/>
  <c r="D131" i="2"/>
  <c r="C131" i="2" s="1"/>
  <c r="F131" i="2" s="1"/>
  <c r="G131" i="2" s="1"/>
  <c r="D128" i="2"/>
  <c r="C128" i="2" s="1"/>
  <c r="F128" i="2" s="1"/>
  <c r="G128" i="2" s="1"/>
  <c r="D125" i="2"/>
  <c r="C125" i="2" s="1"/>
  <c r="F125" i="2" s="1"/>
  <c r="G125" i="2" s="1"/>
  <c r="D122" i="2"/>
  <c r="C122" i="2" s="1"/>
  <c r="F122" i="2" s="1"/>
  <c r="G122" i="2" s="1"/>
  <c r="E263" i="2"/>
  <c r="E260" i="2"/>
  <c r="E257" i="2"/>
  <c r="E254" i="2"/>
  <c r="E251" i="2"/>
  <c r="E248" i="2"/>
  <c r="E244" i="2"/>
  <c r="E241" i="2"/>
  <c r="E238" i="2"/>
  <c r="E235" i="2"/>
  <c r="E232" i="2"/>
  <c r="E229" i="2"/>
  <c r="D263" i="2"/>
  <c r="C263" i="2" s="1"/>
  <c r="F263" i="2" s="1"/>
  <c r="G263" i="2" s="1"/>
  <c r="D260" i="2"/>
  <c r="C260" i="2" s="1"/>
  <c r="F260" i="2" s="1"/>
  <c r="G260" i="2" s="1"/>
  <c r="D257" i="2"/>
  <c r="C257" i="2" s="1"/>
  <c r="F257" i="2" s="1"/>
  <c r="G257" i="2" s="1"/>
  <c r="D254" i="2"/>
  <c r="C254" i="2" s="1"/>
  <c r="F254" i="2" s="1"/>
  <c r="G254" i="2" s="1"/>
  <c r="D251" i="2"/>
  <c r="C251" i="2" s="1"/>
  <c r="F251" i="2" s="1"/>
  <c r="G251" i="2" s="1"/>
  <c r="D248" i="2"/>
  <c r="C248" i="2" s="1"/>
  <c r="F248" i="2" s="1"/>
  <c r="G248" i="2" s="1"/>
  <c r="D244" i="2"/>
  <c r="C244" i="2" s="1"/>
  <c r="F244" i="2" s="1"/>
  <c r="G244" i="2" s="1"/>
  <c r="D241" i="2"/>
  <c r="C241" i="2" s="1"/>
  <c r="F241" i="2" s="1"/>
  <c r="G241" i="2" s="1"/>
  <c r="D238" i="2"/>
  <c r="C238" i="2" s="1"/>
  <c r="F238" i="2" s="1"/>
  <c r="G238" i="2" s="1"/>
  <c r="D235" i="2"/>
  <c r="C235" i="2" s="1"/>
  <c r="F235" i="2" s="1"/>
  <c r="G235" i="2" s="1"/>
  <c r="D232" i="2"/>
  <c r="C232" i="2" s="1"/>
  <c r="F232" i="2" s="1"/>
  <c r="G232" i="2" s="1"/>
  <c r="D229" i="2"/>
  <c r="C229" i="2" s="1"/>
  <c r="F229" i="2" s="1"/>
  <c r="G229" i="2" s="1"/>
  <c r="E262" i="2"/>
  <c r="E259" i="2"/>
  <c r="E256" i="2"/>
  <c r="E253" i="2"/>
  <c r="E250" i="2"/>
  <c r="E247" i="2"/>
  <c r="E243" i="2"/>
  <c r="E240" i="2"/>
  <c r="E237" i="2"/>
  <c r="E234" i="2"/>
  <c r="E231" i="2"/>
  <c r="E246" i="2"/>
  <c r="D262" i="2"/>
  <c r="C262" i="2" s="1"/>
  <c r="F262" i="2" s="1"/>
  <c r="G262" i="2" s="1"/>
  <c r="D259" i="2"/>
  <c r="C259" i="2" s="1"/>
  <c r="F259" i="2" s="1"/>
  <c r="G259" i="2" s="1"/>
  <c r="D256" i="2"/>
  <c r="C256" i="2" s="1"/>
  <c r="F256" i="2" s="1"/>
  <c r="G256" i="2" s="1"/>
  <c r="D253" i="2"/>
  <c r="C253" i="2" s="1"/>
  <c r="F253" i="2" s="1"/>
  <c r="G253" i="2" s="1"/>
  <c r="D250" i="2"/>
  <c r="C250" i="2" s="1"/>
  <c r="F250" i="2" s="1"/>
  <c r="G250" i="2" s="1"/>
  <c r="D247" i="2"/>
  <c r="C247" i="2" s="1"/>
  <c r="F247" i="2" s="1"/>
  <c r="G247" i="2" s="1"/>
  <c r="D243" i="2"/>
  <c r="C243" i="2" s="1"/>
  <c r="F243" i="2" s="1"/>
  <c r="G243" i="2" s="1"/>
  <c r="D240" i="2"/>
  <c r="C240" i="2" s="1"/>
  <c r="F240" i="2" s="1"/>
  <c r="G240" i="2" s="1"/>
  <c r="D237" i="2"/>
  <c r="C237" i="2" s="1"/>
  <c r="F237" i="2" s="1"/>
  <c r="G237" i="2" s="1"/>
  <c r="D234" i="2"/>
  <c r="C234" i="2" s="1"/>
  <c r="F234" i="2" s="1"/>
  <c r="G234" i="2" s="1"/>
  <c r="D231" i="2"/>
  <c r="C231" i="2" s="1"/>
  <c r="F231" i="2" s="1"/>
  <c r="G231" i="2" s="1"/>
  <c r="D246" i="2"/>
  <c r="C246" i="2" s="1"/>
  <c r="F246" i="2" s="1"/>
  <c r="G246" i="2" s="1"/>
  <c r="E264" i="2"/>
  <c r="E261" i="2"/>
  <c r="E258" i="2"/>
  <c r="E255" i="2"/>
  <c r="E252" i="2"/>
  <c r="E249" i="2"/>
  <c r="E245" i="2"/>
  <c r="E242" i="2"/>
  <c r="E239" i="2"/>
  <c r="E236" i="2"/>
  <c r="E233" i="2"/>
  <c r="E230" i="2"/>
  <c r="D264" i="2"/>
  <c r="C264" i="2" s="1"/>
  <c r="F264" i="2" s="1"/>
  <c r="G264" i="2" s="1"/>
  <c r="D261" i="2"/>
  <c r="C261" i="2" s="1"/>
  <c r="F261" i="2" s="1"/>
  <c r="G261" i="2" s="1"/>
  <c r="D258" i="2"/>
  <c r="C258" i="2" s="1"/>
  <c r="F258" i="2" s="1"/>
  <c r="G258" i="2" s="1"/>
  <c r="D255" i="2"/>
  <c r="C255" i="2" s="1"/>
  <c r="F255" i="2" s="1"/>
  <c r="G255" i="2" s="1"/>
  <c r="D252" i="2"/>
  <c r="C252" i="2" s="1"/>
  <c r="F252" i="2" s="1"/>
  <c r="G252" i="2" s="1"/>
  <c r="D249" i="2"/>
  <c r="C249" i="2" s="1"/>
  <c r="F249" i="2" s="1"/>
  <c r="G249" i="2" s="1"/>
  <c r="D245" i="2"/>
  <c r="C245" i="2" s="1"/>
  <c r="F245" i="2" s="1"/>
  <c r="G245" i="2" s="1"/>
  <c r="D242" i="2"/>
  <c r="C242" i="2" s="1"/>
  <c r="F242" i="2" s="1"/>
  <c r="G242" i="2" s="1"/>
  <c r="D239" i="2"/>
  <c r="C239" i="2" s="1"/>
  <c r="F239" i="2" s="1"/>
  <c r="G239" i="2" s="1"/>
  <c r="D236" i="2"/>
  <c r="C236" i="2" s="1"/>
  <c r="F236" i="2" s="1"/>
  <c r="G236" i="2" s="1"/>
  <c r="D233" i="2"/>
  <c r="C233" i="2" s="1"/>
  <c r="F233" i="2" s="1"/>
  <c r="G233" i="2" s="1"/>
  <c r="D230" i="2"/>
  <c r="C230" i="2" s="1"/>
  <c r="F230" i="2" s="1"/>
  <c r="G230" i="2" s="1"/>
  <c r="D341" i="2"/>
  <c r="D344" i="2"/>
  <c r="D347" i="2"/>
  <c r="D350" i="2"/>
  <c r="D353" i="2"/>
  <c r="D356" i="2"/>
  <c r="D359" i="2"/>
  <c r="D362" i="2"/>
  <c r="E341" i="2"/>
  <c r="E344" i="2"/>
  <c r="E347" i="2"/>
  <c r="E350" i="2"/>
  <c r="E353" i="2"/>
  <c r="E356" i="2"/>
  <c r="E359" i="2"/>
  <c r="E362" i="2"/>
  <c r="D339" i="2"/>
  <c r="D342" i="2"/>
  <c r="D345" i="2"/>
  <c r="D348" i="2"/>
  <c r="D351" i="2"/>
  <c r="D354" i="2"/>
  <c r="D357" i="2"/>
  <c r="D360" i="2"/>
  <c r="D363" i="2"/>
  <c r="E339" i="2"/>
  <c r="E342" i="2"/>
  <c r="E345" i="2"/>
  <c r="E348" i="2"/>
  <c r="E351" i="2"/>
  <c r="E354" i="2"/>
  <c r="E357" i="2"/>
  <c r="E360" i="2"/>
  <c r="E363" i="2"/>
  <c r="D340" i="2"/>
  <c r="D343" i="2"/>
  <c r="D346" i="2"/>
  <c r="D349" i="2"/>
  <c r="D352" i="2"/>
  <c r="D355" i="2"/>
  <c r="D358" i="2"/>
  <c r="D361" i="2"/>
  <c r="D364" i="2"/>
  <c r="E340" i="2"/>
  <c r="E343" i="2"/>
  <c r="E346" i="2"/>
  <c r="E349" i="2"/>
  <c r="E352" i="2"/>
  <c r="E355" i="2"/>
  <c r="E358" i="2"/>
  <c r="E361" i="2"/>
  <c r="E364" i="2"/>
  <c r="D28" i="2"/>
  <c r="E28" i="2"/>
  <c r="D29" i="2"/>
  <c r="E29" i="2"/>
  <c r="E509" i="2"/>
  <c r="D509" i="2"/>
  <c r="E488" i="2"/>
  <c r="D488" i="2"/>
  <c r="E515" i="2"/>
  <c r="D515" i="2"/>
  <c r="D519" i="2"/>
  <c r="E519" i="2"/>
  <c r="E511" i="2"/>
  <c r="D511" i="2"/>
  <c r="E496" i="2"/>
  <c r="D496" i="2"/>
  <c r="D516" i="2"/>
  <c r="E516" i="2"/>
  <c r="D498" i="2"/>
  <c r="E498" i="2"/>
  <c r="D501" i="2"/>
  <c r="E501" i="2"/>
  <c r="E518" i="2"/>
  <c r="D518" i="2"/>
  <c r="E502" i="2"/>
  <c r="D502" i="2"/>
  <c r="D513" i="2"/>
  <c r="D490" i="2"/>
  <c r="E490" i="2"/>
  <c r="E513" i="2"/>
  <c r="E508" i="2"/>
  <c r="D508" i="2"/>
  <c r="E517" i="2"/>
  <c r="D517" i="2"/>
  <c r="E497" i="2"/>
  <c r="D497" i="2"/>
  <c r="D507" i="2"/>
  <c r="E507" i="2"/>
  <c r="E500" i="2"/>
  <c r="D500" i="2"/>
  <c r="D495" i="2"/>
  <c r="E495" i="2"/>
  <c r="D504" i="2"/>
  <c r="E504" i="2"/>
  <c r="E499" i="2"/>
  <c r="E491" i="2"/>
  <c r="D499" i="2"/>
  <c r="D491" i="2"/>
  <c r="E503" i="2"/>
  <c r="D503" i="2"/>
  <c r="E506" i="2"/>
  <c r="D506" i="2"/>
  <c r="E514" i="2"/>
  <c r="D514" i="2"/>
  <c r="E489" i="2"/>
  <c r="D489" i="2"/>
  <c r="E505" i="2"/>
  <c r="D505" i="2"/>
  <c r="E512" i="2"/>
  <c r="E492" i="2"/>
  <c r="D512" i="2"/>
  <c r="D492" i="2"/>
  <c r="D26" i="2"/>
  <c r="E26" i="2"/>
  <c r="D510" i="2"/>
  <c r="E510" i="2"/>
  <c r="E530" i="2"/>
  <c r="D530" i="2"/>
  <c r="D529" i="2"/>
  <c r="E529" i="2"/>
  <c r="E534" i="2"/>
  <c r="D534" i="2"/>
  <c r="E532" i="2"/>
  <c r="D532" i="2"/>
  <c r="E531" i="2"/>
  <c r="D531" i="2"/>
  <c r="E525" i="2"/>
  <c r="E535" i="2"/>
  <c r="D525" i="2"/>
  <c r="D535" i="2"/>
  <c r="D523" i="2"/>
  <c r="E533" i="2"/>
  <c r="D533" i="2"/>
  <c r="E523" i="2"/>
  <c r="E27" i="2"/>
  <c r="D27" i="2"/>
  <c r="E536" i="2"/>
  <c r="E524" i="2"/>
  <c r="D524" i="2"/>
  <c r="D536" i="2"/>
  <c r="E522" i="2"/>
  <c r="E537" i="2"/>
  <c r="D522" i="2"/>
  <c r="D537" i="2"/>
  <c r="E526" i="2"/>
  <c r="D526" i="2"/>
  <c r="F541" i="2" l="1"/>
  <c r="F550" i="2"/>
  <c r="F557" i="2"/>
  <c r="F560" i="2"/>
  <c r="C119" i="2"/>
  <c r="F119" i="2" s="1"/>
  <c r="G119" i="2" s="1"/>
  <c r="C453" i="2"/>
  <c r="F453" i="2"/>
  <c r="G453" i="2" s="1"/>
  <c r="C459" i="2"/>
  <c r="F459" i="2"/>
  <c r="G459" i="2" s="1"/>
  <c r="C465" i="2"/>
  <c r="F465" i="2"/>
  <c r="G465" i="2" s="1"/>
  <c r="C471" i="2"/>
  <c r="F471" i="2"/>
  <c r="G471" i="2" s="1"/>
  <c r="C477" i="2"/>
  <c r="F477" i="2"/>
  <c r="G477" i="2" s="1"/>
  <c r="C361" i="2"/>
  <c r="F361" i="2" s="1"/>
  <c r="G361" i="2" s="1"/>
  <c r="C343" i="2"/>
  <c r="F343" i="2" s="1"/>
  <c r="G343" i="2" s="1"/>
  <c r="C360" i="2"/>
  <c r="F360" i="2" s="1"/>
  <c r="G360" i="2" s="1"/>
  <c r="C342" i="2"/>
  <c r="F342" i="2" s="1"/>
  <c r="G342" i="2" s="1"/>
  <c r="C356" i="2"/>
  <c r="F356" i="2" s="1"/>
  <c r="G356" i="2" s="1"/>
  <c r="C358" i="2"/>
  <c r="F358" i="2" s="1"/>
  <c r="G358" i="2" s="1"/>
  <c r="C340" i="2"/>
  <c r="F340" i="2" s="1"/>
  <c r="G340" i="2" s="1"/>
  <c r="C357" i="2"/>
  <c r="F357" i="2" s="1"/>
  <c r="G357" i="2" s="1"/>
  <c r="C339" i="2"/>
  <c r="F339" i="2" s="1"/>
  <c r="G339" i="2" s="1"/>
  <c r="C353" i="2"/>
  <c r="F353" i="2" s="1"/>
  <c r="G353" i="2" s="1"/>
  <c r="C355" i="2"/>
  <c r="F355" i="2" s="1"/>
  <c r="G355" i="2" s="1"/>
  <c r="C354" i="2"/>
  <c r="F354" i="2" s="1"/>
  <c r="G354" i="2" s="1"/>
  <c r="C350" i="2"/>
  <c r="F350" i="2" s="1"/>
  <c r="G350" i="2" s="1"/>
  <c r="C352" i="2"/>
  <c r="F352" i="2" s="1"/>
  <c r="G352" i="2" s="1"/>
  <c r="C351" i="2"/>
  <c r="F351" i="2" s="1"/>
  <c r="G351" i="2" s="1"/>
  <c r="C347" i="2"/>
  <c r="F347" i="2" s="1"/>
  <c r="G347" i="2" s="1"/>
  <c r="C349" i="2"/>
  <c r="F349" i="2" s="1"/>
  <c r="G349" i="2" s="1"/>
  <c r="C348" i="2"/>
  <c r="F348" i="2" s="1"/>
  <c r="G348" i="2" s="1"/>
  <c r="C362" i="2"/>
  <c r="F362" i="2" s="1"/>
  <c r="G362" i="2" s="1"/>
  <c r="C344" i="2"/>
  <c r="F344" i="2" s="1"/>
  <c r="G344" i="2" s="1"/>
  <c r="C364" i="2"/>
  <c r="F364" i="2" s="1"/>
  <c r="G364" i="2" s="1"/>
  <c r="C346" i="2"/>
  <c r="F346" i="2" s="1"/>
  <c r="G346" i="2" s="1"/>
  <c r="C363" i="2"/>
  <c r="F363" i="2" s="1"/>
  <c r="G363" i="2" s="1"/>
  <c r="C345" i="2"/>
  <c r="F345" i="2" s="1"/>
  <c r="G345" i="2" s="1"/>
  <c r="C359" i="2"/>
  <c r="F359" i="2" s="1"/>
  <c r="G359" i="2" s="1"/>
  <c r="C341" i="2"/>
  <c r="F341" i="2" s="1"/>
  <c r="G341" i="2" s="1"/>
  <c r="C537" i="2"/>
  <c r="C522" i="2"/>
  <c r="F524" i="2"/>
  <c r="C499" i="2"/>
  <c r="C506" i="2"/>
  <c r="C500" i="2"/>
  <c r="C517" i="2"/>
  <c r="F501" i="2"/>
  <c r="C496" i="2"/>
  <c r="C515" i="2"/>
  <c r="C526" i="2"/>
  <c r="C534" i="2"/>
  <c r="F529" i="2"/>
  <c r="C536" i="2"/>
  <c r="F523" i="2"/>
  <c r="F526" i="2"/>
  <c r="F525" i="2"/>
  <c r="F522" i="2"/>
  <c r="C28" i="2"/>
  <c r="F28" i="2" s="1"/>
  <c r="G28" i="2" s="1"/>
  <c r="C29" i="2"/>
  <c r="F29" i="2" s="1"/>
  <c r="G29" i="2" s="1"/>
  <c r="C505" i="2"/>
  <c r="F498" i="2"/>
  <c r="C511" i="2"/>
  <c r="C488" i="2"/>
  <c r="F491" i="2"/>
  <c r="C490" i="2"/>
  <c r="F512" i="2"/>
  <c r="F489" i="2"/>
  <c r="F503" i="2"/>
  <c r="C504" i="2"/>
  <c r="C507" i="2"/>
  <c r="F508" i="2"/>
  <c r="F502" i="2"/>
  <c r="F518" i="2"/>
  <c r="C516" i="2"/>
  <c r="C519" i="2"/>
  <c r="F509" i="2"/>
  <c r="C510" i="2"/>
  <c r="F492" i="2"/>
  <c r="C514" i="2"/>
  <c r="F495" i="2"/>
  <c r="C497" i="2"/>
  <c r="F513" i="2"/>
  <c r="F505" i="2"/>
  <c r="F506" i="2"/>
  <c r="F499" i="2"/>
  <c r="F500" i="2"/>
  <c r="F517" i="2"/>
  <c r="C513" i="2"/>
  <c r="C501" i="2"/>
  <c r="F496" i="2"/>
  <c r="F515" i="2"/>
  <c r="C26" i="2"/>
  <c r="F26" i="2" s="1"/>
  <c r="G26" i="2" s="1"/>
  <c r="E30" i="2"/>
  <c r="C492" i="2"/>
  <c r="C489" i="2"/>
  <c r="C503" i="2"/>
  <c r="F504" i="2"/>
  <c r="F507" i="2"/>
  <c r="C508" i="2"/>
  <c r="C502" i="2"/>
  <c r="F510" i="2"/>
  <c r="C512" i="2"/>
  <c r="C498" i="2"/>
  <c r="F511" i="2"/>
  <c r="F488" i="2"/>
  <c r="C491" i="2"/>
  <c r="C518" i="2"/>
  <c r="F516" i="2"/>
  <c r="F519" i="2"/>
  <c r="C509" i="2"/>
  <c r="F514" i="2"/>
  <c r="C495" i="2"/>
  <c r="F497" i="2"/>
  <c r="F490" i="2"/>
  <c r="F535" i="2"/>
  <c r="C524" i="2"/>
  <c r="C533" i="2"/>
  <c r="C531" i="2"/>
  <c r="C525" i="2"/>
  <c r="F532" i="2"/>
  <c r="C530" i="2"/>
  <c r="F534" i="2"/>
  <c r="F533" i="2"/>
  <c r="F536" i="2"/>
  <c r="C523" i="2"/>
  <c r="F531" i="2"/>
  <c r="C529" i="2"/>
  <c r="F537" i="2"/>
  <c r="D30" i="2"/>
  <c r="C27" i="2"/>
  <c r="C535" i="2"/>
  <c r="C532" i="2"/>
  <c r="F530" i="2"/>
  <c r="E13" i="15"/>
  <c r="E14" i="15"/>
  <c r="E179" i="2"/>
  <c r="D179" i="2"/>
  <c r="E178" i="2"/>
  <c r="D178" i="2"/>
  <c r="E177" i="2"/>
  <c r="D177" i="2"/>
  <c r="C177" i="2"/>
  <c r="C178" i="2"/>
  <c r="F27" i="2" l="1"/>
  <c r="C30" i="2"/>
  <c r="F178" i="2"/>
  <c r="G178" i="2" s="1"/>
  <c r="F177" i="2"/>
  <c r="G177" i="2" s="1"/>
  <c r="G27" i="2" l="1"/>
  <c r="G30" i="2" s="1"/>
  <c r="F30" i="2"/>
  <c r="G14" i="14"/>
  <c r="G11" i="13"/>
  <c r="B5" i="16"/>
  <c r="F13" i="16" s="1"/>
  <c r="G13" i="16" l="1"/>
  <c r="G9" i="16"/>
  <c r="E14" i="16"/>
  <c r="E10" i="16"/>
  <c r="F10" i="16"/>
  <c r="F14" i="16"/>
  <c r="E8" i="16"/>
  <c r="E12" i="16"/>
  <c r="G7" i="16"/>
  <c r="G11" i="16"/>
  <c r="F8" i="16"/>
  <c r="F12" i="16"/>
  <c r="G8" i="16"/>
  <c r="G10" i="16"/>
  <c r="G12" i="16"/>
  <c r="G14" i="16"/>
  <c r="E7" i="16"/>
  <c r="E9" i="16"/>
  <c r="E11" i="16"/>
  <c r="E13" i="16"/>
  <c r="F7" i="16"/>
  <c r="F9" i="16"/>
  <c r="F11" i="16"/>
  <c r="E7" i="14"/>
  <c r="E13" i="14"/>
  <c r="G13" i="14"/>
  <c r="E9" i="14"/>
  <c r="E11" i="14"/>
  <c r="F9" i="14"/>
  <c r="F11" i="14"/>
  <c r="G7" i="14"/>
  <c r="G11" i="14"/>
  <c r="E10" i="14"/>
  <c r="E14" i="14"/>
  <c r="F8" i="14"/>
  <c r="F10" i="14"/>
  <c r="F12" i="14"/>
  <c r="F14" i="14"/>
  <c r="F7" i="14"/>
  <c r="F13" i="14"/>
  <c r="G9" i="14"/>
  <c r="E8" i="14"/>
  <c r="E12" i="14"/>
  <c r="G8" i="14"/>
  <c r="G10" i="14"/>
  <c r="G12" i="14"/>
  <c r="E8" i="13"/>
  <c r="E10" i="13"/>
  <c r="G10" i="13"/>
  <c r="F8" i="13"/>
  <c r="F10" i="13"/>
  <c r="G8" i="13"/>
  <c r="E7" i="13"/>
  <c r="E9" i="13"/>
  <c r="E11" i="13"/>
  <c r="F7" i="13"/>
  <c r="F9" i="13"/>
  <c r="F11" i="13"/>
  <c r="G7" i="13"/>
  <c r="G9" i="13"/>
  <c r="D8" i="5"/>
  <c r="D6" i="5"/>
  <c r="D13" i="14" l="1"/>
  <c r="D12" i="16"/>
  <c r="D13" i="16"/>
  <c r="D10" i="16"/>
  <c r="D14" i="16"/>
  <c r="D9" i="16"/>
  <c r="D7" i="14"/>
  <c r="D7" i="16"/>
  <c r="D11" i="13"/>
  <c r="D11" i="16"/>
  <c r="D8" i="16"/>
  <c r="D14" i="14"/>
  <c r="D7" i="13"/>
  <c r="D8" i="13"/>
  <c r="D11" i="14"/>
  <c r="D8" i="14"/>
  <c r="D9" i="14"/>
  <c r="D12" i="14"/>
  <c r="D10" i="14"/>
  <c r="D9" i="13"/>
  <c r="D10" i="13"/>
  <c r="D8" i="7" l="1"/>
  <c r="D6" i="7"/>
  <c r="E395" i="2"/>
  <c r="D395" i="2"/>
  <c r="C395" i="2"/>
  <c r="D6" i="6"/>
  <c r="D8" i="6"/>
  <c r="C394" i="2"/>
  <c r="D394" i="2"/>
  <c r="E394" i="2"/>
  <c r="C69" i="2"/>
  <c r="D69" i="2"/>
  <c r="E69" i="2"/>
  <c r="E68" i="2"/>
  <c r="D68" i="2"/>
  <c r="C68" i="2"/>
  <c r="E67" i="2"/>
  <c r="D67" i="2"/>
  <c r="C67" i="2"/>
  <c r="E66" i="2"/>
  <c r="D66" i="2"/>
  <c r="C66" i="2"/>
  <c r="E65" i="2"/>
  <c r="D65" i="2"/>
  <c r="C65" i="2"/>
  <c r="F394" i="2" l="1"/>
  <c r="G394" i="2" s="1"/>
  <c r="F69" i="2"/>
  <c r="G69" i="2" s="1"/>
  <c r="F65" i="2"/>
  <c r="G65" i="2" s="1"/>
  <c r="AG2" i="10" l="1"/>
  <c r="AG2" i="9" l="1"/>
  <c r="AA2" i="8"/>
  <c r="D446" i="2" l="1"/>
  <c r="E446" i="2"/>
  <c r="D482" i="2"/>
  <c r="E482" i="2"/>
  <c r="C446" i="2" l="1"/>
  <c r="F446" i="2" s="1"/>
  <c r="G446" i="2" s="1"/>
  <c r="C482" i="2"/>
  <c r="F482" i="2" s="1"/>
  <c r="G482" i="2" s="1"/>
  <c r="D445" i="2" l="1"/>
  <c r="E445" i="2"/>
  <c r="D483" i="2"/>
  <c r="E483" i="2"/>
  <c r="D401" i="2"/>
  <c r="E401" i="2"/>
  <c r="D380" i="2"/>
  <c r="C445" i="2" l="1"/>
  <c r="F445" i="2" s="1"/>
  <c r="G445" i="2" s="1"/>
  <c r="C483" i="2"/>
  <c r="F483" i="2" s="1"/>
  <c r="G483" i="2" s="1"/>
  <c r="C401" i="2"/>
  <c r="F401" i="2" s="1"/>
  <c r="G401" i="2" s="1"/>
  <c r="D368" i="2" l="1"/>
  <c r="E368" i="2"/>
  <c r="D297" i="2"/>
  <c r="E297" i="2"/>
  <c r="D324" i="2"/>
  <c r="E324" i="2"/>
  <c r="D325" i="2"/>
  <c r="E325" i="2"/>
  <c r="D265" i="2"/>
  <c r="E265" i="2"/>
  <c r="D222" i="2"/>
  <c r="E222" i="2"/>
  <c r="D223" i="2"/>
  <c r="E223" i="2"/>
  <c r="D152" i="2"/>
  <c r="E152" i="2"/>
  <c r="D155" i="2"/>
  <c r="E155" i="2"/>
  <c r="D154" i="2"/>
  <c r="E154" i="2"/>
  <c r="D118" i="2"/>
  <c r="E118" i="2"/>
  <c r="D150" i="2"/>
  <c r="E150" i="2"/>
  <c r="D151" i="2"/>
  <c r="E151" i="2"/>
  <c r="D153" i="2"/>
  <c r="E153" i="2"/>
  <c r="D75" i="2"/>
  <c r="E75" i="2"/>
  <c r="D107" i="2"/>
  <c r="E107" i="2"/>
  <c r="D108" i="2"/>
  <c r="E108" i="2"/>
  <c r="D109" i="2"/>
  <c r="E109" i="2"/>
  <c r="D110" i="2"/>
  <c r="E110" i="2"/>
  <c r="C324" i="2" l="1"/>
  <c r="F324" i="2" s="1"/>
  <c r="G324" i="2" s="1"/>
  <c r="C368" i="2"/>
  <c r="F368" i="2" s="1"/>
  <c r="G368" i="2" s="1"/>
  <c r="C325" i="2"/>
  <c r="F325" i="2" s="1"/>
  <c r="G325" i="2" s="1"/>
  <c r="C297" i="2"/>
  <c r="F297" i="2" s="1"/>
  <c r="G297" i="2" s="1"/>
  <c r="C265" i="2"/>
  <c r="F265" i="2" s="1"/>
  <c r="G265" i="2" s="1"/>
  <c r="C222" i="2"/>
  <c r="F222" i="2" s="1"/>
  <c r="G222" i="2" s="1"/>
  <c r="C223" i="2"/>
  <c r="F223" i="2" s="1"/>
  <c r="G223" i="2" s="1"/>
  <c r="C152" i="2"/>
  <c r="F152" i="2" s="1"/>
  <c r="G152" i="2" s="1"/>
  <c r="C155" i="2"/>
  <c r="F155" i="2" s="1"/>
  <c r="G155" i="2" s="1"/>
  <c r="C154" i="2"/>
  <c r="F154" i="2" s="1"/>
  <c r="G154" i="2" s="1"/>
  <c r="C151" i="2"/>
  <c r="F151" i="2" s="1"/>
  <c r="G151" i="2" s="1"/>
  <c r="C153" i="2"/>
  <c r="F153" i="2" s="1"/>
  <c r="G153" i="2" s="1"/>
  <c r="C118" i="2"/>
  <c r="F118" i="2" s="1"/>
  <c r="G118" i="2" s="1"/>
  <c r="C150" i="2"/>
  <c r="F150" i="2" s="1"/>
  <c r="G150" i="2" s="1"/>
  <c r="C108" i="2"/>
  <c r="F108" i="2" s="1"/>
  <c r="G108" i="2" s="1"/>
  <c r="C109" i="2"/>
  <c r="F109" i="2" s="1"/>
  <c r="G109" i="2" s="1"/>
  <c r="C110" i="2"/>
  <c r="F110" i="2" s="1"/>
  <c r="G110" i="2" s="1"/>
  <c r="C107" i="2"/>
  <c r="F107" i="2" s="1"/>
  <c r="G107" i="2" s="1"/>
  <c r="C75" i="2"/>
  <c r="F75" i="2" s="1"/>
  <c r="G75" i="2" s="1"/>
  <c r="D111" i="2" l="1"/>
  <c r="E111" i="2"/>
  <c r="D336" i="2"/>
  <c r="E336" i="2"/>
  <c r="D337" i="2"/>
  <c r="E337" i="2"/>
  <c r="D338" i="2"/>
  <c r="E338" i="2"/>
  <c r="D365" i="2"/>
  <c r="E365" i="2"/>
  <c r="D366" i="2"/>
  <c r="E366" i="2"/>
  <c r="D367" i="2"/>
  <c r="E367" i="2"/>
  <c r="D369" i="2"/>
  <c r="E369" i="2"/>
  <c r="D370" i="2"/>
  <c r="E370" i="2"/>
  <c r="D371" i="2"/>
  <c r="E371" i="2"/>
  <c r="D372" i="2"/>
  <c r="E372" i="2"/>
  <c r="D373" i="2"/>
  <c r="E373" i="2"/>
  <c r="D374" i="2"/>
  <c r="E374" i="2"/>
  <c r="D293" i="2"/>
  <c r="E293" i="2"/>
  <c r="D294" i="2"/>
  <c r="E294" i="2"/>
  <c r="D295" i="2"/>
  <c r="E295" i="2"/>
  <c r="D296" i="2"/>
  <c r="E296" i="2"/>
  <c r="D326" i="2"/>
  <c r="E326" i="2"/>
  <c r="D327" i="2"/>
  <c r="E327" i="2"/>
  <c r="D328" i="2"/>
  <c r="E328" i="2"/>
  <c r="D329" i="2"/>
  <c r="E329" i="2"/>
  <c r="D330" i="2"/>
  <c r="E330" i="2"/>
  <c r="D331" i="2"/>
  <c r="E331" i="2"/>
  <c r="C329" i="2" l="1"/>
  <c r="F329" i="2" s="1"/>
  <c r="G329" i="2" s="1"/>
  <c r="C336" i="2"/>
  <c r="F336" i="2" s="1"/>
  <c r="G336" i="2" s="1"/>
  <c r="C111" i="2"/>
  <c r="F111" i="2" s="1"/>
  <c r="G111" i="2" s="1"/>
  <c r="C366" i="2"/>
  <c r="F366" i="2" s="1"/>
  <c r="G366" i="2" s="1"/>
  <c r="C337" i="2"/>
  <c r="F337" i="2" s="1"/>
  <c r="G337" i="2" s="1"/>
  <c r="C330" i="2"/>
  <c r="F330" i="2" s="1"/>
  <c r="G330" i="2" s="1"/>
  <c r="C327" i="2"/>
  <c r="F327" i="2" s="1"/>
  <c r="G327" i="2" s="1"/>
  <c r="C294" i="2"/>
  <c r="F294" i="2" s="1"/>
  <c r="G294" i="2" s="1"/>
  <c r="C293" i="2"/>
  <c r="F293" i="2" s="1"/>
  <c r="G293" i="2" s="1"/>
  <c r="C373" i="2"/>
  <c r="F373" i="2" s="1"/>
  <c r="G373" i="2" s="1"/>
  <c r="C370" i="2"/>
  <c r="F370" i="2" s="1"/>
  <c r="G370" i="2" s="1"/>
  <c r="C374" i="2"/>
  <c r="F374" i="2" s="1"/>
  <c r="G374" i="2" s="1"/>
  <c r="C367" i="2"/>
  <c r="F367" i="2" s="1"/>
  <c r="G367" i="2" s="1"/>
  <c r="C372" i="2"/>
  <c r="F372" i="2" s="1"/>
  <c r="G372" i="2" s="1"/>
  <c r="C369" i="2"/>
  <c r="F369" i="2" s="1"/>
  <c r="G369" i="2" s="1"/>
  <c r="C365" i="2"/>
  <c r="F365" i="2" s="1"/>
  <c r="G365" i="2" s="1"/>
  <c r="C371" i="2"/>
  <c r="F371" i="2" s="1"/>
  <c r="G371" i="2" s="1"/>
  <c r="C338" i="2"/>
  <c r="F338" i="2" s="1"/>
  <c r="G338" i="2" s="1"/>
  <c r="C331" i="2"/>
  <c r="F331" i="2" s="1"/>
  <c r="G331" i="2" s="1"/>
  <c r="C296" i="2"/>
  <c r="F296" i="2" s="1"/>
  <c r="G296" i="2" s="1"/>
  <c r="C328" i="2"/>
  <c r="F328" i="2" s="1"/>
  <c r="G328" i="2" s="1"/>
  <c r="C295" i="2"/>
  <c r="F295" i="2" s="1"/>
  <c r="G295" i="2" s="1"/>
  <c r="C326" i="2"/>
  <c r="F326" i="2" s="1"/>
  <c r="G326" i="2" s="1"/>
  <c r="D74" i="2"/>
  <c r="E74" i="2"/>
  <c r="D112" i="2"/>
  <c r="E112" i="2"/>
  <c r="D266" i="2"/>
  <c r="E266" i="2"/>
  <c r="D58" i="2"/>
  <c r="E58" i="2"/>
  <c r="D54" i="2"/>
  <c r="D50" i="2"/>
  <c r="E54" i="2"/>
  <c r="E50" i="2"/>
  <c r="D280" i="2"/>
  <c r="E280" i="2"/>
  <c r="C112" i="2" l="1"/>
  <c r="F112" i="2" s="1"/>
  <c r="G112" i="2" s="1"/>
  <c r="C74" i="2"/>
  <c r="F74" i="2" s="1"/>
  <c r="G74" i="2" s="1"/>
  <c r="C266" i="2"/>
  <c r="F266" i="2" s="1"/>
  <c r="G266" i="2" s="1"/>
  <c r="C50" i="2"/>
  <c r="G50" i="2" s="1"/>
  <c r="C58" i="2"/>
  <c r="F58" i="2" s="1"/>
  <c r="C54" i="2"/>
  <c r="F54" i="2" s="1"/>
  <c r="G54" i="2" s="1"/>
  <c r="B5" i="15"/>
  <c r="D184" i="2"/>
  <c r="E184" i="2"/>
  <c r="D185" i="2"/>
  <c r="E185" i="2"/>
  <c r="G14" i="15" l="1"/>
  <c r="G13" i="15"/>
  <c r="F14" i="15"/>
  <c r="D14" i="15" s="1"/>
  <c r="F13" i="15"/>
  <c r="D13" i="15" s="1"/>
  <c r="G12" i="15"/>
  <c r="F12" i="15"/>
  <c r="E12" i="15"/>
  <c r="G8" i="15"/>
  <c r="G11" i="15"/>
  <c r="G10" i="15"/>
  <c r="G9" i="15"/>
  <c r="F50" i="2"/>
  <c r="G58" i="2"/>
  <c r="G7" i="15"/>
  <c r="F7" i="15"/>
  <c r="C184" i="2"/>
  <c r="F184" i="2" s="1"/>
  <c r="G184" i="2" s="1"/>
  <c r="C185" i="2"/>
  <c r="F185" i="2" s="1"/>
  <c r="G185" i="2" s="1"/>
  <c r="D444" i="2" l="1"/>
  <c r="E444" i="2"/>
  <c r="D400" i="2"/>
  <c r="E400" i="2"/>
  <c r="C444" i="2" l="1"/>
  <c r="F444" i="2" s="1"/>
  <c r="G444" i="2" s="1"/>
  <c r="C400" i="2"/>
  <c r="F400" i="2" s="1"/>
  <c r="G400" i="2" s="1"/>
  <c r="E380" i="2" l="1"/>
  <c r="E6" i="5" l="1"/>
  <c r="E6" i="6" l="1"/>
  <c r="D272" i="2"/>
  <c r="E272" i="2"/>
  <c r="E276" i="2"/>
  <c r="D276" i="2"/>
  <c r="E6" i="7"/>
  <c r="E169" i="2"/>
  <c r="D169" i="2"/>
  <c r="E165" i="2"/>
  <c r="D165" i="2"/>
  <c r="D161" i="2"/>
  <c r="E161" i="2"/>
  <c r="D6" i="4"/>
  <c r="E6" i="4" s="1"/>
  <c r="E8" i="5"/>
  <c r="E35" i="2"/>
  <c r="C280" i="2" l="1"/>
  <c r="C272" i="2"/>
  <c r="F272" i="2" s="1"/>
  <c r="C276" i="2"/>
  <c r="F276" i="2" s="1"/>
  <c r="G276" i="2" s="1"/>
  <c r="C380" i="2"/>
  <c r="C169" i="2"/>
  <c r="F169" i="2" s="1"/>
  <c r="C165" i="2"/>
  <c r="F165" i="2" s="1"/>
  <c r="G165" i="2" s="1"/>
  <c r="C161" i="2"/>
  <c r="G161" i="2" s="1"/>
  <c r="D117" i="2"/>
  <c r="E117" i="2"/>
  <c r="D73" i="2"/>
  <c r="E73" i="2"/>
  <c r="A5" i="1"/>
  <c r="E38" i="2"/>
  <c r="D38" i="2"/>
  <c r="F161" i="2" l="1"/>
  <c r="G169" i="2"/>
  <c r="G272" i="2"/>
  <c r="G280" i="2"/>
  <c r="F280" i="2"/>
  <c r="G380" i="2"/>
  <c r="F380" i="2"/>
  <c r="F10" i="15"/>
  <c r="E11" i="15"/>
  <c r="E8" i="15"/>
  <c r="E10" i="15"/>
  <c r="F9" i="15"/>
  <c r="E7" i="15"/>
  <c r="F11" i="15"/>
  <c r="E9" i="15"/>
  <c r="F8" i="15"/>
  <c r="C117" i="2"/>
  <c r="F117" i="2" s="1"/>
  <c r="G117" i="2" s="1"/>
  <c r="C73" i="2"/>
  <c r="F73" i="2" s="1"/>
  <c r="G73" i="2" s="1"/>
  <c r="C21" i="12"/>
  <c r="E288" i="2"/>
  <c r="E287" i="2"/>
  <c r="E286" i="2"/>
  <c r="E285" i="2"/>
  <c r="E284" i="2"/>
  <c r="E393" i="2"/>
  <c r="E392" i="2"/>
  <c r="E391" i="2"/>
  <c r="E390" i="2"/>
  <c r="E389" i="2"/>
  <c r="E388" i="2"/>
  <c r="E64" i="2"/>
  <c r="E63" i="2"/>
  <c r="E62" i="2"/>
  <c r="E180" i="2"/>
  <c r="E176" i="2"/>
  <c r="E175" i="2"/>
  <c r="E174" i="2"/>
  <c r="E173" i="2"/>
  <c r="D7" i="15" l="1"/>
  <c r="D8" i="15"/>
  <c r="D10" i="15"/>
  <c r="D11" i="15"/>
  <c r="D9" i="15"/>
  <c r="D12" i="15"/>
  <c r="A85" i="1"/>
  <c r="E43" i="2" l="1"/>
  <c r="E44" i="2"/>
  <c r="D44" i="2"/>
  <c r="D43" i="2"/>
  <c r="E42" i="2"/>
  <c r="D42" i="2"/>
  <c r="E8" i="6"/>
  <c r="C44" i="2" l="1"/>
  <c r="F44" i="2" s="1"/>
  <c r="C43" i="2"/>
  <c r="F43" i="2" s="1"/>
  <c r="C42" i="2"/>
  <c r="G42" i="2" s="1"/>
  <c r="G44" i="2" l="1"/>
  <c r="F42" i="2"/>
  <c r="G43" i="2"/>
  <c r="D335" i="2"/>
  <c r="E335" i="2"/>
  <c r="D292" i="2"/>
  <c r="E292" i="2"/>
  <c r="C292" i="2" l="1"/>
  <c r="F292" i="2" s="1"/>
  <c r="G292" i="2" s="1"/>
  <c r="C335" i="2"/>
  <c r="F335" i="2" s="1"/>
  <c r="G335" i="2" s="1"/>
  <c r="D228" i="2" l="1"/>
  <c r="E228" i="2"/>
  <c r="C228" i="2" l="1"/>
  <c r="F228" i="2" s="1"/>
  <c r="G228" i="2" s="1"/>
  <c r="C62" i="2" l="1"/>
  <c r="D62" i="2"/>
  <c r="F68" i="2"/>
  <c r="F62" i="2" l="1"/>
  <c r="E105" i="1"/>
  <c r="D105" i="1"/>
  <c r="E104" i="1"/>
  <c r="D104" i="1"/>
  <c r="E103" i="1"/>
  <c r="D103" i="1"/>
  <c r="C105" i="1" l="1"/>
  <c r="F105" i="1" s="1"/>
  <c r="G105" i="1" s="1"/>
  <c r="C104" i="1"/>
  <c r="F104" i="1" s="1"/>
  <c r="G104" i="1" s="1"/>
  <c r="C103" i="1"/>
  <c r="F103" i="1" s="1"/>
  <c r="G103" i="1" s="1"/>
  <c r="D393" i="2"/>
  <c r="D392" i="2"/>
  <c r="D391" i="2"/>
  <c r="D390" i="2"/>
  <c r="D389" i="2"/>
  <c r="F395" i="2"/>
  <c r="G395" i="2" s="1"/>
  <c r="C393" i="2"/>
  <c r="F393" i="2" s="1"/>
  <c r="G393" i="2" s="1"/>
  <c r="C392" i="2"/>
  <c r="C391" i="2"/>
  <c r="C390" i="2"/>
  <c r="C389" i="2"/>
  <c r="D388" i="2"/>
  <c r="C388" i="2"/>
  <c r="D116" i="2"/>
  <c r="E116" i="2"/>
  <c r="D64" i="2"/>
  <c r="D63" i="2"/>
  <c r="F67" i="2"/>
  <c r="C64" i="2"/>
  <c r="C63" i="2"/>
  <c r="D35" i="2"/>
  <c r="F391" i="2" l="1"/>
  <c r="G391" i="2" s="1"/>
  <c r="F389" i="2"/>
  <c r="G389" i="2" s="1"/>
  <c r="F388" i="2"/>
  <c r="G388" i="2" s="1"/>
  <c r="F392" i="2"/>
  <c r="G392" i="2" s="1"/>
  <c r="F390" i="2"/>
  <c r="G390" i="2" s="1"/>
  <c r="F64" i="2"/>
  <c r="F66" i="2"/>
  <c r="F63" i="2"/>
  <c r="C116" i="2"/>
  <c r="F116" i="2" s="1"/>
  <c r="G116" i="2" s="1"/>
  <c r="C35" i="2"/>
  <c r="G35" i="2" s="1"/>
  <c r="C38" i="2"/>
  <c r="G68" i="2" l="1"/>
  <c r="G62" i="2"/>
  <c r="G63" i="2"/>
  <c r="G67" i="2"/>
  <c r="G64" i="2"/>
  <c r="G66" i="2"/>
  <c r="G38" i="2"/>
  <c r="F38" i="2"/>
  <c r="F35" i="2"/>
  <c r="D4" i="5"/>
  <c r="B6" i="5"/>
  <c r="C6" i="5" s="1"/>
  <c r="B8" i="5" l="1"/>
  <c r="C8" i="5" s="1"/>
  <c r="D8" i="4"/>
  <c r="E8" i="4" s="1"/>
  <c r="E227" i="2"/>
  <c r="D227" i="2"/>
  <c r="D180" i="2"/>
  <c r="D176" i="2"/>
  <c r="D175" i="2"/>
  <c r="D174" i="2"/>
  <c r="C180" i="2"/>
  <c r="C179" i="2"/>
  <c r="C176" i="2"/>
  <c r="C175" i="2"/>
  <c r="C174" i="2"/>
  <c r="D173" i="2"/>
  <c r="C173" i="2"/>
  <c r="E36" i="2"/>
  <c r="D36" i="2"/>
  <c r="F180" i="2" l="1"/>
  <c r="F173" i="2"/>
  <c r="F176" i="2"/>
  <c r="F175" i="2"/>
  <c r="F179" i="2"/>
  <c r="F174" i="2"/>
  <c r="B6" i="4"/>
  <c r="C6" i="4" s="1"/>
  <c r="C36" i="2"/>
  <c r="G36" i="2" s="1"/>
  <c r="C227" i="2"/>
  <c r="F227" i="2" s="1"/>
  <c r="G227" i="2" s="1"/>
  <c r="G174" i="2" l="1"/>
  <c r="G175" i="2"/>
  <c r="G179" i="2"/>
  <c r="G176" i="2"/>
  <c r="G173" i="2"/>
  <c r="G180" i="2"/>
  <c r="F36" i="2"/>
  <c r="B8" i="4"/>
  <c r="D4" i="4"/>
  <c r="C8" i="4" l="1"/>
  <c r="E8" i="7"/>
  <c r="D288" i="2"/>
  <c r="C288" i="2"/>
  <c r="D287" i="2"/>
  <c r="C287" i="2"/>
  <c r="D286" i="2"/>
  <c r="C286" i="2"/>
  <c r="D285" i="2"/>
  <c r="C285" i="2"/>
  <c r="D284" i="2"/>
  <c r="C284" i="2"/>
  <c r="D37" i="2"/>
  <c r="E37" i="2"/>
  <c r="F288" i="2" l="1"/>
  <c r="F284" i="2"/>
  <c r="F286" i="2"/>
  <c r="F285" i="2"/>
  <c r="F287" i="2"/>
  <c r="C37" i="2"/>
  <c r="F37" i="2" s="1"/>
  <c r="G284" i="2" l="1"/>
  <c r="G288" i="2"/>
  <c r="G286" i="2"/>
  <c r="G287" i="2"/>
  <c r="G285" i="2"/>
  <c r="G37" i="2"/>
  <c r="B6" i="7"/>
  <c r="C6" i="7" s="1"/>
  <c r="D4" i="7"/>
  <c r="B8" i="7" l="1"/>
  <c r="C8" i="7" l="1"/>
  <c r="E384" i="2"/>
  <c r="E106" i="1"/>
  <c r="D384" i="2"/>
  <c r="D106" i="1"/>
  <c r="C384" i="2" l="1"/>
  <c r="F384" i="2" s="1"/>
  <c r="G384" i="2" s="1"/>
  <c r="C106" i="1"/>
  <c r="F106" i="1" s="1"/>
  <c r="G106" i="1" s="1"/>
  <c r="G107" i="1" s="1"/>
  <c r="B6" i="6" l="1"/>
  <c r="C6" i="6" s="1"/>
  <c r="D4" i="6"/>
  <c r="B8" i="6" l="1"/>
  <c r="C8" i="6" l="1"/>
  <c r="F15" i="2"/>
</calcChain>
</file>

<file path=xl/sharedStrings.xml><?xml version="1.0" encoding="utf-8"?>
<sst xmlns="http://schemas.openxmlformats.org/spreadsheetml/2006/main" count="45125" uniqueCount="2898">
  <si>
    <t>POLO PIRITUBA</t>
  </si>
  <si>
    <t>ACOMPANHAMENTO EM CAMPO</t>
  </si>
  <si>
    <t>ÍNDICE TECNOLÓGICO</t>
  </si>
  <si>
    <t>O Índice Tecnológico pode ser obtido através da fórmula:</t>
  </si>
  <si>
    <t>IT = {[97 + 3 (Kc/100)] x Ks/100}</t>
  </si>
  <si>
    <t xml:space="preserve">Onde: </t>
  </si>
  <si>
    <t>IT = Índice Tecnológico</t>
  </si>
  <si>
    <t>Kc = Fator do Canteiro</t>
  </si>
  <si>
    <t>Ks = Média de Notas das LVs</t>
  </si>
  <si>
    <t>Estando acima de 80% o IT é considerado satisfatório.</t>
  </si>
  <si>
    <t>Nota: O Índice Tecnológico não foi calculado, pois a avaliação de Canteiro ainda não foi realizada.</t>
  </si>
  <si>
    <t>ACOMPANHAMENTO DE LISTAS DE VERIFICAÇÃO - LVS</t>
  </si>
  <si>
    <t>Índice de Conformidade (%)</t>
  </si>
  <si>
    <t>Quantidade de LVs</t>
  </si>
  <si>
    <t>TIPO DE SERVIÇO</t>
  </si>
  <si>
    <t>QUANTIDADE DE LVS ACIMA DE 80%</t>
  </si>
  <si>
    <t>Água</t>
  </si>
  <si>
    <t>Esgoto</t>
  </si>
  <si>
    <t>Reposição</t>
  </si>
  <si>
    <t>CONFORMIDADE POR CRITÉRIO DE AVALIAÇÃO</t>
  </si>
  <si>
    <t>OLHAR DIGITAL</t>
  </si>
  <si>
    <t>ÍNDICE DE QUALIDADE SABESP - IQS (%) - MARÇO</t>
  </si>
  <si>
    <t>ÍNDICE DE QUALIDADE SABESP - IQS (%)</t>
  </si>
  <si>
    <t>Tipo de Serviço</t>
  </si>
  <si>
    <t>Fotos Avaliadas</t>
  </si>
  <si>
    <t>Fotos NC</t>
  </si>
  <si>
    <t>Fotos Conforme</t>
  </si>
  <si>
    <t>Não Conforme (%)</t>
  </si>
  <si>
    <t>Conforme (%)</t>
  </si>
  <si>
    <t>Cavalete</t>
  </si>
  <si>
    <t>IQS (%):</t>
  </si>
  <si>
    <t>RELATÓRIO PARCIAL</t>
  </si>
  <si>
    <t>CONTROLE TECNOLÓGICO</t>
  </si>
  <si>
    <t>CONTRATADA AUDITADA: PASSARELLI</t>
  </si>
  <si>
    <t>CONTRATO: 11522787</t>
  </si>
  <si>
    <t>SÃO PAULO</t>
  </si>
  <si>
    <t>PIRITUBA</t>
  </si>
  <si>
    <t>Período: 01/03/2026 à 31/03/2026</t>
  </si>
  <si>
    <t>ÍNDICE TECNOLÓGICO (%)</t>
  </si>
  <si>
    <t>IT (%)</t>
  </si>
  <si>
    <t>ÍNDICE DE CONFORMIDADE (%)</t>
  </si>
  <si>
    <t>IC (%)</t>
  </si>
  <si>
    <t>FALTAM</t>
  </si>
  <si>
    <t>QUALIDADE</t>
  </si>
  <si>
    <t>PRAZO</t>
  </si>
  <si>
    <t>SEGURANÇA</t>
  </si>
  <si>
    <t>ORGANIZAÇÃO</t>
  </si>
  <si>
    <t>Total</t>
  </si>
  <si>
    <t>IQS Não Conforme (%):</t>
  </si>
  <si>
    <t>TEMPO DE EXECUÇÃO</t>
  </si>
  <si>
    <t>Avaliados</t>
  </si>
  <si>
    <t>Não Conforme</t>
  </si>
  <si>
    <t>Conforme</t>
  </si>
  <si>
    <t>BAIXA DE MATERIAIS</t>
  </si>
  <si>
    <t>ÁGUA</t>
  </si>
  <si>
    <t>ETAPAS - CONFORMIDADE</t>
  </si>
  <si>
    <t>CONFORME</t>
  </si>
  <si>
    <t>NÃO CONFORME</t>
  </si>
  <si>
    <t>SEM FOTO</t>
  </si>
  <si>
    <t>CONFORME (%)</t>
  </si>
  <si>
    <t>NÃO CONFORME(%)</t>
  </si>
  <si>
    <t>FACHADA</t>
  </si>
  <si>
    <t>SINALIZAÇÃO</t>
  </si>
  <si>
    <t>ENCERADO</t>
  </si>
  <si>
    <t>GEOMETRIA</t>
  </si>
  <si>
    <t>BERÇO DE AREIA</t>
  </si>
  <si>
    <t>ESTANQUEIDADE</t>
  </si>
  <si>
    <t>COMPACTAÇÃO</t>
  </si>
  <si>
    <t>FINALIZAÇÃO</t>
  </si>
  <si>
    <t>EQUIPES - CONFORMIDADE - TEMPO DE EXECUÇÃO</t>
  </si>
  <si>
    <t>EQUIPE</t>
  </si>
  <si>
    <t>AVALIADOS</t>
  </si>
  <si>
    <t>NÃO CONFORME (%)</t>
  </si>
  <si>
    <t>TESTE</t>
  </si>
  <si>
    <t>EQUIPES - CONFORMIDADE - SEQUÊNCIA DE FOTOS</t>
  </si>
  <si>
    <t>ESGOTO</t>
  </si>
  <si>
    <t>PI,PV e TL</t>
  </si>
  <si>
    <t>NA</t>
  </si>
  <si>
    <t>ESCORAMENTO</t>
  </si>
  <si>
    <t>CAVALETE</t>
  </si>
  <si>
    <t>ANTES</t>
  </si>
  <si>
    <t>HIDRÔMETRO</t>
  </si>
  <si>
    <t>LEITURA</t>
  </si>
  <si>
    <t>REPOSIÇÃO</t>
  </si>
  <si>
    <t>IMPRIMAÇÃO</t>
  </si>
  <si>
    <t>TERMÔMETRO</t>
  </si>
  <si>
    <t>RASTELO</t>
  </si>
  <si>
    <t>COMPAC. MASSA ASF.</t>
  </si>
  <si>
    <t>PLACA VIBRATÓRIA</t>
  </si>
  <si>
    <t>Tipos de Serviços conformes e não conformes</t>
  </si>
  <si>
    <t>Familia dos Serviços - Água</t>
  </si>
  <si>
    <t>Porcentagem de NC</t>
  </si>
  <si>
    <t>LIGAÇÃO DE ÁGUA</t>
  </si>
  <si>
    <t>OUTROS SERVIÇOS DE ÁGUA</t>
  </si>
  <si>
    <t>RAMAL DE ÁGUA</t>
  </si>
  <si>
    <t>REDE DE ÁGUA</t>
  </si>
  <si>
    <t>VAZAMENTO DE ÁGUA</t>
  </si>
  <si>
    <t>Descrição TSS - Água</t>
  </si>
  <si>
    <t>ARREBENTADO DE REDE DE ÁGUA</t>
  </si>
  <si>
    <t>INCLUIR LIG DE ÁGUA EM CAV MÚLTIPLO S/V</t>
  </si>
  <si>
    <t>INTERLIGAR REDE DE ÁGUA</t>
  </si>
  <si>
    <t>LIGAÇÃO DE ÁGUA S/V</t>
  </si>
  <si>
    <t>NIVELAR CAIXA DE PARADA</t>
  </si>
  <si>
    <t>PROLONGAR REDE DE ÁGUA</t>
  </si>
  <si>
    <t>SONDAR RAMAL DE ÁGUA</t>
  </si>
  <si>
    <t>SONDAR REDE DE ÁGUA</t>
  </si>
  <si>
    <t>SUBSTITUIR LIG AGUA SIMPLES PARA DIMENS</t>
  </si>
  <si>
    <t>SUBSTITUIR LIGAÇÃO DE AGUA</t>
  </si>
  <si>
    <t>SUBSTITUIR TAMPA DE CAIXA UMA</t>
  </si>
  <si>
    <t>TRANSFORMAÇÃO LIG EXIST COM APROV RAMAL</t>
  </si>
  <si>
    <t>TRANSFORMAÇÃO LIG EXIST SEM APROV RAMAL</t>
  </si>
  <si>
    <t>TRANSFORMAÇÃO LIG NOVA COM APROV RAMAL</t>
  </si>
  <si>
    <t>TRANSFORMAÇÃO LIG NOVA SEM APROV RAMAL</t>
  </si>
  <si>
    <t>TROCAR CONEXÃO DE LIGAÇÃO DE ÁGUA</t>
  </si>
  <si>
    <t>TROCAR RAMAL DE ÁGUA</t>
  </si>
  <si>
    <t>TROCAR RAMAL DE ÁGUA - VAZ NÃO VISIVEL</t>
  </si>
  <si>
    <t>TROCAR RAMAL DE ÁGUA PREVENTIVA</t>
  </si>
  <si>
    <t>VAZAMENTO DE ÁGUA COM INFILTRAÇÃO</t>
  </si>
  <si>
    <t>VAZAMENTO DE ÁGUA LEITO PAVIMENTADO</t>
  </si>
  <si>
    <t>VAZAMENTO DE ÁGUA LEITO TERRA</t>
  </si>
  <si>
    <t>VAZAMENTO DE ÁGUA NÃO VISÍVEL RAMAL</t>
  </si>
  <si>
    <t>VAZAMENTO DE ÁGUA NÃO VISÍVEL REDE</t>
  </si>
  <si>
    <t>VAZAMENTO DE ÁGUA NO PASSEIO</t>
  </si>
  <si>
    <t>Familia dos Serviços - Esgoto</t>
  </si>
  <si>
    <t>CONSERTO DE ESGOTO</t>
  </si>
  <si>
    <t>LIGAÇÃO DE ESGOTO</t>
  </si>
  <si>
    <t>OUTROS SERVIÇOS DE ESGOTO</t>
  </si>
  <si>
    <t>PI, PV, TL</t>
  </si>
  <si>
    <t>REDE DE ESGOTO</t>
  </si>
  <si>
    <t>Descrição TSS - Esgoto</t>
  </si>
  <si>
    <t>CONSERTAR POÇO DE INSPEÇÃO/VISITA</t>
  </si>
  <si>
    <t>CONSERTAR REDE DE ESGOTO</t>
  </si>
  <si>
    <t>CONSTRUIR POÇO DE VISITA</t>
  </si>
  <si>
    <t>LIGAÇÃO DE ESGOTO ADICIONAL</t>
  </si>
  <si>
    <t>LIGAÇÃO DE ESGOTO AVULSA S/V</t>
  </si>
  <si>
    <t>LIGAÇÃO DE ESGOTO S/V</t>
  </si>
  <si>
    <t>NIVELAR POÇO DE INSPEÇÃO/VISITA</t>
  </si>
  <si>
    <t>SONDAR REDE DE ESGOTO</t>
  </si>
  <si>
    <t>TROCAR RAMAL DE ESGOTO</t>
  </si>
  <si>
    <t>Familia dos Serviços - Cavalete</t>
  </si>
  <si>
    <t>OUTROS SERVIÇOS DE CAVALETE</t>
  </si>
  <si>
    <t>Descrição TSS - Cavalete</t>
  </si>
  <si>
    <t>CAVALETE QUEBRADO</t>
  </si>
  <si>
    <t>CAVALETE VAZANDO</t>
  </si>
  <si>
    <t>INSTALAR LACRE DIVERSOS</t>
  </si>
  <si>
    <t>READEQUAR CAVALETE</t>
  </si>
  <si>
    <t>REGISTRO DO CAVALETE QUEBRADO</t>
  </si>
  <si>
    <t>REGISTRO DO CAVALETE VAZANDO</t>
  </si>
  <si>
    <t>REGULARIZAR CAVALETE</t>
  </si>
  <si>
    <t>TROCAR CAVALETE (KIT)</t>
  </si>
  <si>
    <t>TROCAR CAVALETE POR UMA</t>
  </si>
  <si>
    <t>TROCAR PE DE CAVALETE PREVENTIVO</t>
  </si>
  <si>
    <t>Familia dos Serviços - Reposição</t>
  </si>
  <si>
    <t>Descrição TSS - Reposição</t>
  </si>
  <si>
    <t>REPOR ASFALTO</t>
  </si>
  <si>
    <t>REPOR ASFALTO INV</t>
  </si>
  <si>
    <t>REPOR CAPA ASFALTICA</t>
  </si>
  <si>
    <t>REPOR CAPA ASFALTICA INV</t>
  </si>
  <si>
    <t>AMOSTRA</t>
  </si>
  <si>
    <t>EXECUTADOS</t>
  </si>
  <si>
    <t>VERIFICADOS</t>
  </si>
  <si>
    <t>(%)</t>
  </si>
  <si>
    <t>SEM EVIDÊNCIAS</t>
  </si>
  <si>
    <t>NÃO VERIFICADOS</t>
  </si>
  <si>
    <t>NÃO SINCRONIZADOS</t>
  </si>
  <si>
    <t>RESULTADO</t>
  </si>
  <si>
    <t>AVALIAÇÃO DE MATERIAIS</t>
  </si>
  <si>
    <t>CONFORMIDADE POR ETAPAS DE SERVIÇO</t>
  </si>
  <si>
    <t>EQUIPES - CONFORMIDADES</t>
  </si>
  <si>
    <t>Unidade Executante</t>
  </si>
  <si>
    <t>Número OS</t>
  </si>
  <si>
    <t>Descrição TSS</t>
  </si>
  <si>
    <t>Família</t>
  </si>
  <si>
    <t>Município</t>
  </si>
  <si>
    <t>Endereço</t>
  </si>
  <si>
    <t>Número</t>
  </si>
  <si>
    <t>Complemento</t>
  </si>
  <si>
    <t>Bairro</t>
  </si>
  <si>
    <t>Resultado</t>
  </si>
  <si>
    <t>Nota Execução/Não Execução</t>
  </si>
  <si>
    <t>Data Início Execução</t>
  </si>
  <si>
    <t>Data Fim Execução</t>
  </si>
  <si>
    <t>Observação Fachada</t>
  </si>
  <si>
    <t>Observação Sinalização</t>
  </si>
  <si>
    <t>Observação encerado</t>
  </si>
  <si>
    <t>Observação Geometria</t>
  </si>
  <si>
    <t>Observação Berço de Areia</t>
  </si>
  <si>
    <t>Observaçao Estanqueidade</t>
  </si>
  <si>
    <t>.COMPACTAÇÃO</t>
  </si>
  <si>
    <t>Observação Compactação</t>
  </si>
  <si>
    <t>Observação Finalização</t>
  </si>
  <si>
    <t>Tempo de execução</t>
  </si>
  <si>
    <t>Sequência de Fotos</t>
  </si>
  <si>
    <t>Observações</t>
  </si>
  <si>
    <t>Baixa de materias</t>
  </si>
  <si>
    <t>POLO</t>
  </si>
  <si>
    <t>MUNICÍPIO</t>
  </si>
  <si>
    <t>CARACTERÍSTICA DO SERVIÇO</t>
  </si>
  <si>
    <t>ONMP - DIV MANUT SERV OPE PIRITUBA</t>
  </si>
  <si>
    <t xml:space="preserve"> TRAVESSA MURACATI</t>
  </si>
  <si>
    <t> </t>
  </si>
  <si>
    <t>V MANGALOT</t>
  </si>
  <si>
    <t>SUPRIMIDO RAMAL AGUA ABAND NÃO VISIVEL</t>
  </si>
  <si>
    <t>PAULO ADRIANO BORGES DA SILVA</t>
  </si>
  <si>
    <t xml:space="preserve"> AVENIDA RAIMUNDO PEREIRA DE MAGALHAES</t>
  </si>
  <si>
    <t>C/2</t>
  </si>
  <si>
    <t>ADRIANO SIMAO LINHARES</t>
  </si>
  <si>
    <t>C</t>
  </si>
  <si>
    <t>C/1</t>
  </si>
  <si>
    <t>JD IRIS</t>
  </si>
  <si>
    <t xml:space="preserve"> RUA DOUTOR MARIO MAURO RAMOS MATTOSO</t>
  </si>
  <si>
    <t>JD STA MONICA</t>
  </si>
  <si>
    <t>SUBSTITUIDA LIGAÇÃO DE AGUA</t>
  </si>
  <si>
    <t>JORGE LUIZ RODRIGUES DE OLIVEIRA</t>
  </si>
  <si>
    <t>SF</t>
  </si>
  <si>
    <t>NC</t>
  </si>
  <si>
    <t>FALTA RÉGUA E TRENA</t>
  </si>
  <si>
    <t xml:space="preserve"> RUA NARCISO CASTELO BRANCO</t>
  </si>
  <si>
    <t>JD RINCAO</t>
  </si>
  <si>
    <t xml:space="preserve"> RUA SANTA CRUZ DO PIAUI</t>
  </si>
  <si>
    <t>CONJ RES JD CANAA</t>
  </si>
  <si>
    <t>TROCA DE RAMAL DE AGUA PREVENTIVA</t>
  </si>
  <si>
    <t>MARCOS PEREIRA DE OLIVEIRA</t>
  </si>
  <si>
    <t>VAZAMENTO DE ÁGUA NÃO VISÍVEL CAVALETE</t>
  </si>
  <si>
    <t xml:space="preserve"> RUA SOLANEA</t>
  </si>
  <si>
    <t>JD ANHANGUERA</t>
  </si>
  <si>
    <t>TROCA DE PE DE CAVALETE NÃO VISIVEL</t>
  </si>
  <si>
    <t>FOTO DA FOTO</t>
  </si>
  <si>
    <t xml:space="preserve">FOTO DA FOTO </t>
  </si>
  <si>
    <t xml:space="preserve"> TRAVESSA DAS ROSAS</t>
  </si>
  <si>
    <t>RECANTO DOS HUMILDES</t>
  </si>
  <si>
    <t xml:space="preserve"> RUA ALBERTO CALLIX</t>
  </si>
  <si>
    <t>GILBERTO JOSE DA SILVA</t>
  </si>
  <si>
    <t xml:space="preserve"> RUA ADALBERTO KURT</t>
  </si>
  <si>
    <t>JD LIBANO</t>
  </si>
  <si>
    <t>ELCIO DE SOUZA FARIA</t>
  </si>
  <si>
    <t>FORA DO PADRÃO</t>
  </si>
  <si>
    <t>BAIXA INDEVIDA</t>
  </si>
  <si>
    <t>LIGAÇÃO DE ÁGUA EM CAVALETE MULTIPLO</t>
  </si>
  <si>
    <t xml:space="preserve"> RUA PIRACICABA</t>
  </si>
  <si>
    <t>Casa C/1</t>
  </si>
  <si>
    <t>PQ ANHANGUERA</t>
  </si>
  <si>
    <t>LIGAÇÃO DE AGUA EM CAVALETE MÚLTIPLO</t>
  </si>
  <si>
    <t>FALTA A FOTO DA FINALIZAÇÃO DA VALA ABERTA</t>
  </si>
  <si>
    <t>Casa C/2</t>
  </si>
  <si>
    <t>Casa C/3</t>
  </si>
  <si>
    <t>Casa C/4</t>
  </si>
  <si>
    <t xml:space="preserve"> RUA DECIO ARAUJO</t>
  </si>
  <si>
    <t>ESTANCIA JARAGUA</t>
  </si>
  <si>
    <t>SONDAGEM DE RAMAL DE AGUA</t>
  </si>
  <si>
    <t xml:space="preserve">foi feito sondagem trata-se de vazamento interno </t>
  </si>
  <si>
    <t>BRUNO GONCALVES DA COSTA</t>
  </si>
  <si>
    <t xml:space="preserve"> RUA PASCOAL FERNANDES</t>
  </si>
  <si>
    <t>V STA EDWIGES</t>
  </si>
  <si>
    <t xml:space="preserve"> RUA PIERRE LAFAGE</t>
  </si>
  <si>
    <t>C/4</t>
  </si>
  <si>
    <t>V JARAGUA</t>
  </si>
  <si>
    <t>C/3</t>
  </si>
  <si>
    <t xml:space="preserve"> RUA OLGA BENARIO</t>
  </si>
  <si>
    <t>JD ELISA MARIA</t>
  </si>
  <si>
    <t>TROCA DE RAMAL DE AGUA</t>
  </si>
  <si>
    <t xml:space="preserve">sem reposição cliente ciente esta em obras no local </t>
  </si>
  <si>
    <t>JUVENAL MORAIS DA SILVA</t>
  </si>
  <si>
    <t>FALTA PLACA DE ESTREITAMENTO DE PISTA E 50M</t>
  </si>
  <si>
    <t>BAIXA INDEVIDA, FALTA RÉGUA E TRENA</t>
  </si>
  <si>
    <t xml:space="preserve"> RUA LINO PINTO DOS SANTOS</t>
  </si>
  <si>
    <t>JD FELICIDADE</t>
  </si>
  <si>
    <t>SUPRIMIDO RAMAL DE AGUA ABANDONADO</t>
  </si>
  <si>
    <t>TROCA DE RAMAL DE AGUA NÃO VISIVEL</t>
  </si>
  <si>
    <t>FALTA LACRE</t>
  </si>
  <si>
    <t xml:space="preserve"> RUA ILHA DOS SETE ENGENHOS</t>
  </si>
  <si>
    <t>JARAGUA</t>
  </si>
  <si>
    <t>SONDAGEM DE REDE DE AGUA</t>
  </si>
  <si>
    <t xml:space="preserve">necessário geofone no local </t>
  </si>
  <si>
    <t>WELVES DE SOUSA BRITO</t>
  </si>
  <si>
    <t>NÃO UTILIZADO</t>
  </si>
  <si>
    <t xml:space="preserve"> RUA RODOLFO PEREIRA LIMA</t>
  </si>
  <si>
    <t>V TEREZINHA</t>
  </si>
  <si>
    <t>equipe pedro</t>
  </si>
  <si>
    <t>JHENIFER APARECIDA ALVES LIMA</t>
  </si>
  <si>
    <t xml:space="preserve"> RUA DELSUC ALVES DE MAGALHAES</t>
  </si>
  <si>
    <t>JD BRITANIA</t>
  </si>
  <si>
    <t>na mesma vala 522</t>
  </si>
  <si>
    <t xml:space="preserve"> RUA BRIOSO</t>
  </si>
  <si>
    <t>JD DO RUSSO</t>
  </si>
  <si>
    <t>BAIXA INDEVIDA, FALTA RÉGUA, TRENA E CARIMBO</t>
  </si>
  <si>
    <t xml:space="preserve"> AVENIDA DEPUTADO CANTIDIO SAMPAIO</t>
  </si>
  <si>
    <t>BRASILANDIA</t>
  </si>
  <si>
    <t>JOELINO GONCALVES NUNES</t>
  </si>
  <si>
    <t xml:space="preserve"> RUA ANTONIO VENEZIANO</t>
  </si>
  <si>
    <t>JD MARISA</t>
  </si>
  <si>
    <t>DEIVID MARTINS VIEIRA</t>
  </si>
  <si>
    <t xml:space="preserve"> RUA BARRA DA BURIQUIOCA</t>
  </si>
  <si>
    <t>PQ TAIPAS</t>
  </si>
  <si>
    <t>REPARO DE RAMAL DE AGUA NÃO VISIVEL</t>
  </si>
  <si>
    <t>VALDIZEL ALVES DE OLIVEIRA</t>
  </si>
  <si>
    <t xml:space="preserve"> RUA VALE DAS FLORES</t>
  </si>
  <si>
    <t>JD STA LUCRECIA</t>
  </si>
  <si>
    <t>FALTA RÉGUA, TRENA E CARIMBO</t>
  </si>
  <si>
    <t xml:space="preserve"> RUA LUIS PICCOLI</t>
  </si>
  <si>
    <t>PQ S DOMINGOS</t>
  </si>
  <si>
    <t>REPARO DE REDE DE AGUA</t>
  </si>
  <si>
    <t xml:space="preserve"> RUA FERNANDEZ CABALERO</t>
  </si>
  <si>
    <t>JD CID D'ABRIL</t>
  </si>
  <si>
    <t xml:space="preserve"> TRAVESSA LIBERDADE NOVA UNIAO</t>
  </si>
  <si>
    <t>NOVA UNIAO</t>
  </si>
  <si>
    <t xml:space="preserve"> TRAVESSA DOIS DO JD ELISA MARIA</t>
  </si>
  <si>
    <t xml:space="preserve"> RUA SEBASTIAO DE PINA</t>
  </si>
  <si>
    <t>JD REGINA</t>
  </si>
  <si>
    <t>MARIO RODRIGUES DOS SANTOS FILHO</t>
  </si>
  <si>
    <t>FALTA PLACA DE ESTREITAMENTO DE PISTA</t>
  </si>
  <si>
    <t xml:space="preserve"> VIELA PADRE IVO</t>
  </si>
  <si>
    <t>JD CARUMBE</t>
  </si>
  <si>
    <t xml:space="preserve"> RUA TALHA MAR</t>
  </si>
  <si>
    <t>JD DAMASCENO</t>
  </si>
  <si>
    <t>REPARO DE RAMAL DE AGUA</t>
  </si>
  <si>
    <t xml:space="preserve"> RUA ELISA DINA</t>
  </si>
  <si>
    <t>HARLEY GONÇALVES MADEIRA</t>
  </si>
  <si>
    <t xml:space="preserve"> RUA OSWALDO CRUZ</t>
  </si>
  <si>
    <t>RESIDENCIAL SOL NASCENTE</t>
  </si>
  <si>
    <t>NEDINO QUARESMA TAVARES DO NASCIMENTO</t>
  </si>
  <si>
    <t xml:space="preserve"> RUA JURUBIM</t>
  </si>
  <si>
    <t>V BOACAVA</t>
  </si>
  <si>
    <t>LEONARDO AQUINO PEREIRA</t>
  </si>
  <si>
    <t xml:space="preserve"> RUA PAULO FREIRE</t>
  </si>
  <si>
    <t>A C/2</t>
  </si>
  <si>
    <t>JD RODRIGO</t>
  </si>
  <si>
    <t>RODRIGO AMARO VIEGAS</t>
  </si>
  <si>
    <t xml:space="preserve"> VIELA UM DO JD NARDINI</t>
  </si>
  <si>
    <t>A C/1</t>
  </si>
  <si>
    <t>JD NARDINI</t>
  </si>
  <si>
    <t>MARCOS JOSE DO NASCIMENTO</t>
  </si>
  <si>
    <t xml:space="preserve"> RUA ANTONIO JOAQUIM DE MELLO</t>
  </si>
  <si>
    <t>SANDOVAL SILVA DO NASCIMENTO</t>
  </si>
  <si>
    <t xml:space="preserve"> RUA CLARA NUNES</t>
  </si>
  <si>
    <t>ANTIGO 4</t>
  </si>
  <si>
    <t>REPARO DE REDE DE AGUA NÃO VISIVEL</t>
  </si>
  <si>
    <t xml:space="preserve"> RUA JOANA PEDROSO DOS SANTOS</t>
  </si>
  <si>
    <t>JD SHANGRILA ZNORTE</t>
  </si>
  <si>
    <t>NÃO POSSÍVEL VISUALIZAR</t>
  </si>
  <si>
    <t xml:space="preserve"> RUA NOVA</t>
  </si>
  <si>
    <t xml:space="preserve">n tem cimentado pq e terra </t>
  </si>
  <si>
    <t xml:space="preserve"> TRAVESSA UM</t>
  </si>
  <si>
    <t xml:space="preserve"> RUA SANTANA DO ARAGUAIA</t>
  </si>
  <si>
    <t>CHACARA JARAGUA</t>
  </si>
  <si>
    <t>DOUGLAS MARCIO JOSE DA SILVA</t>
  </si>
  <si>
    <t xml:space="preserve"> RUA LUIZ PEREIRA DOS SANTOS</t>
  </si>
  <si>
    <t>A</t>
  </si>
  <si>
    <t>V PIAUI</t>
  </si>
  <si>
    <t>ADRIANO JOSE DE OLIVEIRA</t>
  </si>
  <si>
    <t xml:space="preserve">n e necessário fazer concreto </t>
  </si>
  <si>
    <t xml:space="preserve"> RUA AGRIPIANO BARROS</t>
  </si>
  <si>
    <t>JD MARILU</t>
  </si>
  <si>
    <t xml:space="preserve">FEITO SONDAGEM NO LOCAL, NADA CONSTA </t>
  </si>
  <si>
    <t xml:space="preserve"> RUA RUBENS RAUL DA SILVA</t>
  </si>
  <si>
    <t>JD CAROMBE</t>
  </si>
  <si>
    <t xml:space="preserve"> RUA SAO JERONIMO DA SERRA</t>
  </si>
  <si>
    <t>V JAGUARA</t>
  </si>
  <si>
    <t xml:space="preserve"> RUA GRECIA</t>
  </si>
  <si>
    <t>JD DA CONQUISTA ZONA OESTE</t>
  </si>
  <si>
    <t xml:space="preserve"> RUA D</t>
  </si>
  <si>
    <t>PLACA DE 50M PERTO DA FIRA ZEBRADA, FALTA PLACA DE PEDESTRE E ESTREITAMENTO DE PISTA</t>
  </si>
  <si>
    <t xml:space="preserve"> RUA CARAIBAS</t>
  </si>
  <si>
    <t xml:space="preserve">leito terra não faser reposição </t>
  </si>
  <si>
    <t>FRANCISCO MELO DA SILVA</t>
  </si>
  <si>
    <t xml:space="preserve">FALTA LACRE </t>
  </si>
  <si>
    <t xml:space="preserve"> RUA DA BENCAO</t>
  </si>
  <si>
    <t xml:space="preserve">LEITO TERRA NÃO FASER REPOSIÇÃO </t>
  </si>
  <si>
    <t>FALTA FOTO DA FINALIZAÇÃO DA VALA QUE FOI ABERTA</t>
  </si>
  <si>
    <t xml:space="preserve"> RUA RAIMUNDO ARONCO</t>
  </si>
  <si>
    <t xml:space="preserve"> TRAVESSA SETE DE SETEMBRO</t>
  </si>
  <si>
    <t>REC DOS HUMILDES</t>
  </si>
  <si>
    <t xml:space="preserve"> RUA DOUTOR NILO CAIRO</t>
  </si>
  <si>
    <t>CH MARIA TRINDADE</t>
  </si>
  <si>
    <t>INCLUSÃO DE LIG DE AGUA EM CAV MULT S/V</t>
  </si>
  <si>
    <t xml:space="preserve"> RUA AVELINO GINJO</t>
  </si>
  <si>
    <t>V ELEONORA</t>
  </si>
  <si>
    <t xml:space="preserve"> RUA JEQUITIBA</t>
  </si>
  <si>
    <t>V URSULINA</t>
  </si>
  <si>
    <t xml:space="preserve"> RUA BRIGADEIRO HENRIQUE FONTENELLE</t>
  </si>
  <si>
    <t>C/5</t>
  </si>
  <si>
    <t xml:space="preserve"> ESTRADA TURISTICA DO JARAGUA</t>
  </si>
  <si>
    <t>V NOVA JARAGUA</t>
  </si>
  <si>
    <t xml:space="preserve"> VIELA PINTASSILGO</t>
  </si>
  <si>
    <t>n precisa de Reposição e barro</t>
  </si>
  <si>
    <t xml:space="preserve"> RUA JAYME COMPRI</t>
  </si>
  <si>
    <t>JD LIDER</t>
  </si>
  <si>
    <t xml:space="preserve"> RUA MARCELINO JOSE DE FREITAS</t>
  </si>
  <si>
    <t xml:space="preserve"> RUA VITOR FLEMING</t>
  </si>
  <si>
    <t>JD VIVAM</t>
  </si>
  <si>
    <t>CAMILA DE PAULA OLIVEIRA</t>
  </si>
  <si>
    <t xml:space="preserve"> RUA ENGENHEIRO PAULO CARNEIRO DA CUNHA</t>
  </si>
  <si>
    <t>PQ NACOES UNIDAS</t>
  </si>
  <si>
    <t xml:space="preserve"> TRAVESSA DOS LIRIOS</t>
  </si>
  <si>
    <t xml:space="preserve"> RUA JOVINIANO DE OLIVEIRA</t>
  </si>
  <si>
    <t>V ITABERABA</t>
  </si>
  <si>
    <t xml:space="preserve"> RUA RUMI DE RANIERI</t>
  </si>
  <si>
    <t>REBATIDO CHUMBO NA JUNTA NÃO VISIVEL</t>
  </si>
  <si>
    <t xml:space="preserve"> RUA CARLOS MAUSER</t>
  </si>
  <si>
    <t>CITY REC ANASTACIO</t>
  </si>
  <si>
    <t xml:space="preserve"> RUA VITANTONIO MASTROROSA - VIELA</t>
  </si>
  <si>
    <t>B</t>
  </si>
  <si>
    <t>JD PRINCESA</t>
  </si>
  <si>
    <t>ADENALDO SILVA DOS SANTOS</t>
  </si>
  <si>
    <t xml:space="preserve"> RUA QUERANDIES</t>
  </si>
  <si>
    <t xml:space="preserve"> AVENIDA SANTA MONICA</t>
  </si>
  <si>
    <t>FALTA PLACA DE 50M E ESTREITAMENTO DE PISTA</t>
  </si>
  <si>
    <t xml:space="preserve"> RUA DEDALION</t>
  </si>
  <si>
    <t>JD ADELFIORE</t>
  </si>
  <si>
    <t xml:space="preserve"> VIELA PARTICULAR DE TRANSMISSAO</t>
  </si>
  <si>
    <t xml:space="preserve"> RUA DANIEL PEREIRA DE ANDRADE</t>
  </si>
  <si>
    <t>V PIRITUBA</t>
  </si>
  <si>
    <t xml:space="preserve"> RUA BATAIPORA</t>
  </si>
  <si>
    <t xml:space="preserve"> RUA CONCEICAO DO CANINDE</t>
  </si>
  <si>
    <t>JD MONTE BELO</t>
  </si>
  <si>
    <t xml:space="preserve"> RUA PADRE FRANCISCO BARRETO</t>
  </si>
  <si>
    <t xml:space="preserve"> RUA JOAO CABANILLA</t>
  </si>
  <si>
    <t>JD IPANEMA</t>
  </si>
  <si>
    <t>FALTA PLACA DE 50M</t>
  </si>
  <si>
    <t>BAIXA INDEVIDA, FALTA CARIMBO, TRENA E RÉGUA</t>
  </si>
  <si>
    <t xml:space="preserve"> RUA ANTONIO ROCHA MATTOS FILHO</t>
  </si>
  <si>
    <t>JD VISTA ALEGRE</t>
  </si>
  <si>
    <t xml:space="preserve"> RUA JOAQUIM OLIVEIRA FREITAS</t>
  </si>
  <si>
    <t xml:space="preserve"> RUA JOSE CORREIA LIMA</t>
  </si>
  <si>
    <t>JD FELICIDADE ZONA OESTE</t>
  </si>
  <si>
    <t xml:space="preserve"> RUA INACIO LUIS DA COSTA</t>
  </si>
  <si>
    <t>FDS</t>
  </si>
  <si>
    <t>NIVELADA CAIXA DE PARADA</t>
  </si>
  <si>
    <t xml:space="preserve"> RUA DOS JURITIS</t>
  </si>
  <si>
    <t>MORADA DO SOL</t>
  </si>
  <si>
    <t>FALTA CARIMBO, TRENA E RÉGUA</t>
  </si>
  <si>
    <t xml:space="preserve"> TRAVESSA DAS FLORES</t>
  </si>
  <si>
    <t xml:space="preserve"> RUA OURO VERDE</t>
  </si>
  <si>
    <t>JD PAULISTANO ZNORTE</t>
  </si>
  <si>
    <t>FALTA FOTO DA VALA QUE FOI ABERTA</t>
  </si>
  <si>
    <t xml:space="preserve"> RUA JEAN AUREL</t>
  </si>
  <si>
    <t>NÃO UTIULIZADO</t>
  </si>
  <si>
    <t xml:space="preserve"> RUA ILHAS BRITANICAS</t>
  </si>
  <si>
    <t>CHACARA MARIA TRINDADE</t>
  </si>
  <si>
    <t xml:space="preserve"> AVENIDA FIORELLI PECCICACCO</t>
  </si>
  <si>
    <t>PERUS</t>
  </si>
  <si>
    <t>FALTA CARIMBO, RÉGUA E TRENA</t>
  </si>
  <si>
    <t xml:space="preserve"> RUA SERRA DO PALMEIRAO</t>
  </si>
  <si>
    <t xml:space="preserve"> VIELA JANDAIA</t>
  </si>
  <si>
    <t xml:space="preserve">não foi feito a troca por motivo da avenida ser muito movimentada </t>
  </si>
  <si>
    <t>PLACA DE 50M PERTO DA FITA ZEBRADA</t>
  </si>
  <si>
    <t xml:space="preserve"> RUA MAGALHAES LEMOS</t>
  </si>
  <si>
    <t>V CAIUBA</t>
  </si>
  <si>
    <t xml:space="preserve"> RUA DOMINGOS AREVALO</t>
  </si>
  <si>
    <t xml:space="preserve"> RUA FILGUEIRAS LIMA</t>
  </si>
  <si>
    <t xml:space="preserve"> VIELA DOM FERNANDES</t>
  </si>
  <si>
    <t>CONJ PROMORAR ESTRADA DA PARADA</t>
  </si>
  <si>
    <t xml:space="preserve">foi feito 2 supressão ramal </t>
  </si>
  <si>
    <t>FORMATO INADEQUADO</t>
  </si>
  <si>
    <t xml:space="preserve"> TRAVESSA CINCO DA SALOA</t>
  </si>
  <si>
    <t>JD MUTINGA</t>
  </si>
  <si>
    <t xml:space="preserve">sem reposicao </t>
  </si>
  <si>
    <t xml:space="preserve"> RUA VICENTE MAZETTI</t>
  </si>
  <si>
    <t xml:space="preserve"> AVENIDA ALMYR DEHAR</t>
  </si>
  <si>
    <t>FDS C/3</t>
  </si>
  <si>
    <t>PQ BELEM</t>
  </si>
  <si>
    <t>L</t>
  </si>
  <si>
    <t>reposicao aberta pela os 2692243067</t>
  </si>
  <si>
    <t>reposicao aberta na os 2692243067</t>
  </si>
  <si>
    <t xml:space="preserve"> RUA MARGARIDA RAINHA</t>
  </si>
  <si>
    <t>FRANCISCO AROLDO SOARES MELO</t>
  </si>
  <si>
    <t xml:space="preserve"> RUA MONTE ALEGRE DO SUL</t>
  </si>
  <si>
    <t>JD BRASILIA ZNORTE</t>
  </si>
  <si>
    <t xml:space="preserve"> RUA MARIA HILDA PRUDENTE TEIXEIRA</t>
  </si>
  <si>
    <t>AUSENCIA DE REÉGUA E TRENA</t>
  </si>
  <si>
    <t xml:space="preserve"> TRAVESSA TAIPE</t>
  </si>
  <si>
    <t>JD DONARIA</t>
  </si>
  <si>
    <t xml:space="preserve">sem reposição  leitor terra </t>
  </si>
  <si>
    <t>2 metros de pad de 32</t>
  </si>
  <si>
    <t xml:space="preserve"> RUA AMADEU MENOCCHI</t>
  </si>
  <si>
    <t>V S JOAO BATISTA</t>
  </si>
  <si>
    <t xml:space="preserve"> RUA ERNESTO DIOGO DE FARIA</t>
  </si>
  <si>
    <t>FALTA AS PLACAS DE HOMENS TRABALHANDO, ESTREITAMENTO DE PISTA E 50M</t>
  </si>
  <si>
    <t xml:space="preserve"> RUA ANTONIO GALVAO MEDEIROS</t>
  </si>
  <si>
    <t>PQ PANAMERICANO</t>
  </si>
  <si>
    <t>AUSENCIA DE REÉGUA /TRENA E CARIMBO</t>
  </si>
  <si>
    <t xml:space="preserve"> RUA ROSINDA</t>
  </si>
  <si>
    <t>V INACIO</t>
  </si>
  <si>
    <t>usei 1 o.b de dn20</t>
  </si>
  <si>
    <t>AUSENCIA DE REÉGUA /TRENA</t>
  </si>
  <si>
    <t xml:space="preserve"> RUA OITO JD PAULISTANO</t>
  </si>
  <si>
    <t>leito obra</t>
  </si>
  <si>
    <t>B C/2</t>
  </si>
  <si>
    <t xml:space="preserve"> RUA ANDORINHA-DO-CAMPO</t>
  </si>
  <si>
    <t>AREA 28</t>
  </si>
  <si>
    <t>JD PINHEIRINHO</t>
  </si>
  <si>
    <t>B C/1</t>
  </si>
  <si>
    <t>CAIXA UMA ABERTA</t>
  </si>
  <si>
    <t xml:space="preserve"> RUA ANTONIO CANDIDO DE ALVARENGA</t>
  </si>
  <si>
    <t xml:space="preserve"> RUA MANOEL FERNANDES LEAO</t>
  </si>
  <si>
    <t>JD BRASILIA</t>
  </si>
  <si>
    <t xml:space="preserve"> RUA TEODORO RICARDO</t>
  </si>
  <si>
    <t>V NOVA PARADA</t>
  </si>
  <si>
    <t xml:space="preserve"> AVENIDA ELISIO TEIXEIRA LEITE</t>
  </si>
  <si>
    <t>JD JOSE MARIA</t>
  </si>
  <si>
    <t xml:space="preserve"> VIELA DAS FLORES</t>
  </si>
  <si>
    <t>JD PAULISTANO</t>
  </si>
  <si>
    <t xml:space="preserve">Francisco </t>
  </si>
  <si>
    <t xml:space="preserve"> RUA MAR DO LABRADOR</t>
  </si>
  <si>
    <t xml:space="preserve"> VIELA DO BANANAL</t>
  </si>
  <si>
    <t xml:space="preserve"> RUA SALOA</t>
  </si>
  <si>
    <t>SEM REPOSIÇÃO.</t>
  </si>
  <si>
    <t xml:space="preserve"> VIELA FRANCISCO JOSE BIRAL</t>
  </si>
  <si>
    <t>C C/2</t>
  </si>
  <si>
    <t xml:space="preserve"> AVENIDA DOM CARMINE ROCCO</t>
  </si>
  <si>
    <t>CITY AMERICA</t>
  </si>
  <si>
    <t xml:space="preserve"> ESTRADA JOSE LOPES</t>
  </si>
  <si>
    <t>C/ 1</t>
  </si>
  <si>
    <t>TAIPAS</t>
  </si>
  <si>
    <t xml:space="preserve"> RUA DA CONQUISTA</t>
  </si>
  <si>
    <t>RECANTO DO PARAISO</t>
  </si>
  <si>
    <t>2 ob de 20</t>
  </si>
  <si>
    <t>JOSE CICERO DOS SANTOS</t>
  </si>
  <si>
    <t xml:space="preserve"> RUA RIO COLORADO</t>
  </si>
  <si>
    <t xml:space="preserve"> RUA MARIA DA CRUZ CUNHA</t>
  </si>
  <si>
    <t xml:space="preserve"> RUA CORONEL FABRICIANO</t>
  </si>
  <si>
    <t xml:space="preserve"> RUA PHILONILIA GONCALVES SANTOS</t>
  </si>
  <si>
    <t>CDHU-PRD 2</t>
  </si>
  <si>
    <t xml:space="preserve"> RUA MANOEL DAS NEVES</t>
  </si>
  <si>
    <t xml:space="preserve"> RUA MANUEL BENTO DA CRUZ</t>
  </si>
  <si>
    <t>VILA CLARICE</t>
  </si>
  <si>
    <t xml:space="preserve"> RUA ALVARO GUIAO</t>
  </si>
  <si>
    <t>V APARECIDA IVONE</t>
  </si>
  <si>
    <t xml:space="preserve"> RUA ANTONIO AYROSA</t>
  </si>
  <si>
    <t xml:space="preserve">Obs  não  deu para tirar as fotos  tudo pq o pda travou  </t>
  </si>
  <si>
    <t xml:space="preserve"> RUA CRISTOVAO DE GOUVEIA</t>
  </si>
  <si>
    <t>LEITO OBRA</t>
  </si>
  <si>
    <t>FALTA TRENA, RÉGUA E CARIMBO</t>
  </si>
  <si>
    <t xml:space="preserve"> RUA SEIS DE NOVEMBRO</t>
  </si>
  <si>
    <t xml:space="preserve"> RUA TUNEIRAS DO OESTE</t>
  </si>
  <si>
    <t xml:space="preserve"> RUA JOAO PINTO DE OLIVEIRA</t>
  </si>
  <si>
    <t>JD GUARANI</t>
  </si>
  <si>
    <t xml:space="preserve">1..uniao capiada </t>
  </si>
  <si>
    <t xml:space="preserve">nao tem reposição obras no local </t>
  </si>
  <si>
    <t xml:space="preserve"> RUA UNIAO</t>
  </si>
  <si>
    <t xml:space="preserve"> RUA JOSE FRANCISCO CHAVES</t>
  </si>
  <si>
    <t xml:space="preserve"> RUA ALEXANDRE CATURLA</t>
  </si>
  <si>
    <t>V SULINA</t>
  </si>
  <si>
    <t xml:space="preserve"> RUA PROFESSOR SILVIO DE SA E SILVA</t>
  </si>
  <si>
    <t xml:space="preserve"> RUA MORAIS</t>
  </si>
  <si>
    <t>Francisco eudo</t>
  </si>
  <si>
    <t xml:space="preserve">1.uniao capiada </t>
  </si>
  <si>
    <t xml:space="preserve"> RUA TUFIK MEREB</t>
  </si>
  <si>
    <t>JD PIRITUBA</t>
  </si>
  <si>
    <t xml:space="preserve"> RUA JOAQUIM PIMENTEL</t>
  </si>
  <si>
    <t>CONJ RES ELISIO TEIXEIRA LEITE</t>
  </si>
  <si>
    <t xml:space="preserve"> RUA DIOGENES DOURADO</t>
  </si>
  <si>
    <t xml:space="preserve"> RUA DOS CANARINHOS</t>
  </si>
  <si>
    <t xml:space="preserve"> RUA JOAN BROSSA</t>
  </si>
  <si>
    <t xml:space="preserve"> RUA PEDRO RAVARA</t>
  </si>
  <si>
    <t xml:space="preserve"> RUA MIGUEL RIBAS</t>
  </si>
  <si>
    <t xml:space="preserve"> RUA SERRA DAS CAVOADAS</t>
  </si>
  <si>
    <t xml:space="preserve"> RUA MACEIO</t>
  </si>
  <si>
    <t>CJ HAB TURISTICA</t>
  </si>
  <si>
    <t>REPOSICAO ABERTA NA OS 2619150464</t>
  </si>
  <si>
    <t xml:space="preserve"> RUA IRINEU JOSE BORDON</t>
  </si>
  <si>
    <t xml:space="preserve"> RUA FORTALEZA S 124 Q 2068</t>
  </si>
  <si>
    <t>REGULARIZADO RAMAL AGUA DESV NÃO VISIVEL</t>
  </si>
  <si>
    <t xml:space="preserve"> AVENIDA MUTINGA</t>
  </si>
  <si>
    <t xml:space="preserve"> AVENIDA ELIAS ANTONIO LOPES</t>
  </si>
  <si>
    <t xml:space="preserve"> RUA CERCIRA</t>
  </si>
  <si>
    <t xml:space="preserve"> RUA SANTO SONCIN</t>
  </si>
  <si>
    <t>V FANTON</t>
  </si>
  <si>
    <t xml:space="preserve"> RUA MICHEL HADDAD</t>
  </si>
  <si>
    <t>V NOVA JAGUARA</t>
  </si>
  <si>
    <t xml:space="preserve"> RUA JOAO ALMEIDA SAMPAIO</t>
  </si>
  <si>
    <t>CH S JOAO</t>
  </si>
  <si>
    <t xml:space="preserve"> AVENIDA ALEXIOS JAFET</t>
  </si>
  <si>
    <t>JD IPANEMA ZONA OESTE</t>
  </si>
  <si>
    <t>SONDAGEM DE RAMAL DE AGUA NÃO VISIVEL</t>
  </si>
  <si>
    <t>feito sondagem. tratase de dc no local</t>
  </si>
  <si>
    <t xml:space="preserve"> RUA ILHA DO OURO</t>
  </si>
  <si>
    <t xml:space="preserve"> RUA DAS PEDRAS</t>
  </si>
  <si>
    <t xml:space="preserve"> RUA GALVAO BUENO TRIGUEIRINHO</t>
  </si>
  <si>
    <t xml:space="preserve"> RUA PADRE JOSINO</t>
  </si>
  <si>
    <t>V DOS PALMARES</t>
  </si>
  <si>
    <t xml:space="preserve"> RUA DOS RALIDEOS</t>
  </si>
  <si>
    <t xml:space="preserve"> RUA MARIO TUPINAMBA</t>
  </si>
  <si>
    <t xml:space="preserve"> RUA PETROLINA</t>
  </si>
  <si>
    <t>SOL NASCENTE 13-AREA</t>
  </si>
  <si>
    <t xml:space="preserve"> RUA PEDRO CICILIO OCCIUZZI</t>
  </si>
  <si>
    <t>e</t>
  </si>
  <si>
    <t xml:space="preserve"> RUA BARRA DA FORQUILHA</t>
  </si>
  <si>
    <t>eudo</t>
  </si>
  <si>
    <t xml:space="preserve"> RUA JOAO BATISTA FANTON</t>
  </si>
  <si>
    <t xml:space="preserve"> RUA LUA DE SAO JORGE</t>
  </si>
  <si>
    <t>JD ALVINA</t>
  </si>
  <si>
    <t xml:space="preserve"> AVENIDA CANDIDO PORTINARI</t>
  </si>
  <si>
    <t xml:space="preserve"> RUA NOVO JARDIM</t>
  </si>
  <si>
    <t xml:space="preserve"> RUA PROJETADA</t>
  </si>
  <si>
    <t>A C/4</t>
  </si>
  <si>
    <t>V CHICA LUIZA</t>
  </si>
  <si>
    <t xml:space="preserve"> AVENIDA ELISIO CORDEIRO DE SIQUEIRA</t>
  </si>
  <si>
    <t>JD STO ELIAS</t>
  </si>
  <si>
    <t xml:space="preserve"> RUA JOAO HENRIQUE DA SILVA</t>
  </si>
  <si>
    <t>PASSEIO EM OBRA.</t>
  </si>
  <si>
    <t xml:space="preserve"> RUA TRES</t>
  </si>
  <si>
    <t xml:space="preserve"> RUA PROFESSOR JOSE LOURENCO</t>
  </si>
  <si>
    <t>V ZAT</t>
  </si>
  <si>
    <t xml:space="preserve"> RUA CAPITAO OLIVEIRA CARVALHO</t>
  </si>
  <si>
    <t xml:space="preserve"> RUA JAIME MANHANI</t>
  </si>
  <si>
    <t xml:space="preserve"> RUA GAVIAO REAL</t>
  </si>
  <si>
    <t xml:space="preserve"> RUA RUTH</t>
  </si>
  <si>
    <t xml:space="preserve"> RUA ANTONIO DE CABEZON</t>
  </si>
  <si>
    <t xml:space="preserve"> RUA JAIR LEMES DE LIMA</t>
  </si>
  <si>
    <t xml:space="preserve">1 união capiada </t>
  </si>
  <si>
    <t xml:space="preserve"> RUA CAP MOR RODRIGUES DE ALMEIDA</t>
  </si>
  <si>
    <t>JD BELAURA</t>
  </si>
  <si>
    <t xml:space="preserve"> RUA POMPEU BERTINI</t>
  </si>
  <si>
    <t>JD STA FE</t>
  </si>
  <si>
    <t>V JAGUARI</t>
  </si>
  <si>
    <t xml:space="preserve"> RUA SÃO PAULO</t>
  </si>
  <si>
    <t>foi trocado o kit,  estava quebrado.</t>
  </si>
  <si>
    <t>PARADA DE TAIPAS</t>
  </si>
  <si>
    <t xml:space="preserve"> RUA LORENA</t>
  </si>
  <si>
    <t>A C/3</t>
  </si>
  <si>
    <t>SITIO ITABERABA I</t>
  </si>
  <si>
    <t xml:space="preserve"> RUA ENCRUZILHADA DO SUL</t>
  </si>
  <si>
    <t xml:space="preserve">não tem  reposição, obras no local </t>
  </si>
  <si>
    <t xml:space="preserve"> RUA MONTEIRO LOBATO</t>
  </si>
  <si>
    <t>CONJ RES MORADA DO SOL</t>
  </si>
  <si>
    <t xml:space="preserve">sondagem ramal novo </t>
  </si>
  <si>
    <t xml:space="preserve"> RUA CASPARINO DE QUADROS</t>
  </si>
  <si>
    <t xml:space="preserve"> RUA JARDIM DO EDEN</t>
  </si>
  <si>
    <t>nessesario apoio do segue e Pare , rua estreita,  e é a única saída,  melhor agendar pra final de semana.
está sem foto por motivo da os demorou pra cair no pda</t>
  </si>
  <si>
    <t>EXECUTADO POR CONSORCIO C2, OBRA NO LOCAL - SEM REPOSIÇÃO
SERVIÇO EXECUTADO PELA PROPRIA EMPREITEIRA</t>
  </si>
  <si>
    <t>V DOS REMEDIOS</t>
  </si>
  <si>
    <t>EXECUTADO POR CONSORCIO C2, OBRA NO LOCAL SEM REPOSIÇÃO;
SERVIÇO EXECUTADO PELA PROPRIA EMPREITEIRA</t>
  </si>
  <si>
    <t xml:space="preserve"> RUA LUIS ANTUNES CARDIA</t>
  </si>
  <si>
    <t>JD MTE ALEGRE</t>
  </si>
  <si>
    <t>reposicao abertoo na os 2618915742</t>
  </si>
  <si>
    <t>CJ HAB REC HUMILDES</t>
  </si>
  <si>
    <t xml:space="preserve">foi feito uma sondagem </t>
  </si>
  <si>
    <t xml:space="preserve"> RUA ILHA DA GALE</t>
  </si>
  <si>
    <t xml:space="preserve"> RUA TIBURNO</t>
  </si>
  <si>
    <t xml:space="preserve"> TRAVESSA JULIO BAS</t>
  </si>
  <si>
    <t xml:space="preserve"> RUA ANTONIO DE NAPOLI</t>
  </si>
  <si>
    <t>V STO ANTONIO</t>
  </si>
  <si>
    <t>JD ISMENIA</t>
  </si>
  <si>
    <t xml:space="preserve">passeio concreto pass pedreiros motivo..faser parede para jardin. </t>
  </si>
  <si>
    <t xml:space="preserve"> RUA DOMINGOS VEGA</t>
  </si>
  <si>
    <t xml:space="preserve">obs as fotos estão na etapa principal </t>
  </si>
  <si>
    <t xml:space="preserve"> RUA RUBENS PAIVA</t>
  </si>
  <si>
    <t xml:space="preserve"> RUA NUCLEO BANDEIRANTE</t>
  </si>
  <si>
    <t>JD PAQUETA ZNORTE</t>
  </si>
  <si>
    <t xml:space="preserve"> RUA CAVALO MARINHO</t>
  </si>
  <si>
    <t xml:space="preserve"> RUA DESEMBARGADOR DACIO REZENDE DE CAMPOS MAIA</t>
  </si>
  <si>
    <t>CONJUNTO RESIDENCIAL VISTA VERDE</t>
  </si>
  <si>
    <t xml:space="preserve">local verificado não tem Vazamento.
trata se de Vazamento interno </t>
  </si>
  <si>
    <t xml:space="preserve"> VIELA RIO GRANDE DO SUL</t>
  </si>
  <si>
    <t xml:space="preserve"> RUA ARGELIA</t>
  </si>
  <si>
    <t xml:space="preserve">eudo </t>
  </si>
  <si>
    <t xml:space="preserve"> RUA COLONIAL DE IRAI</t>
  </si>
  <si>
    <t>JD DOS CUNHAS</t>
  </si>
  <si>
    <t xml:space="preserve"> RUA ITAMBE DO MATO DENTRO</t>
  </si>
  <si>
    <t xml:space="preserve"> RUA GERALDO BENEDITO DA SILVA</t>
  </si>
  <si>
    <t>V SOUZA</t>
  </si>
  <si>
    <t xml:space="preserve"> RUA LAURO JOSE DOS SANTOS</t>
  </si>
  <si>
    <t xml:space="preserve"> RUA FREI BENVINDO DESTEFANI</t>
  </si>
  <si>
    <t>D</t>
  </si>
  <si>
    <t>CH INGLESA</t>
  </si>
  <si>
    <t>A de água nas menções, as portas fortes da tropa estão junta à supressão.</t>
  </si>
  <si>
    <t xml:space="preserve"> TRAVESSA UM STO EXPEDITO</t>
  </si>
  <si>
    <t xml:space="preserve"> RUA RAIMUNDO CARNEIRO</t>
  </si>
  <si>
    <t xml:space="preserve"> RUA JOSE CARLOS REZENDE</t>
  </si>
  <si>
    <t xml:space="preserve"> RUA ENGENHEIRO MARCILIO CARDOSO</t>
  </si>
  <si>
    <t xml:space="preserve"> RUA ILHA DE ITAPARICA</t>
  </si>
  <si>
    <t>BL 17</t>
  </si>
  <si>
    <t xml:space="preserve"> RUA BENEDITO LACERDA</t>
  </si>
  <si>
    <t xml:space="preserve"> AVENIDA DOUTOR SYLVIO DE CAMPOS</t>
  </si>
  <si>
    <t>V PERUS</t>
  </si>
  <si>
    <t xml:space="preserve"> RUA LIRIO BRANCO</t>
  </si>
  <si>
    <t xml:space="preserve"> RUA KALORE</t>
  </si>
  <si>
    <t xml:space="preserve"> RUA FRANCISCO BELLAZZI</t>
  </si>
  <si>
    <t>JD JARAGUA SAO DOMINGOS</t>
  </si>
  <si>
    <t xml:space="preserve"> RUA ADEMILDE FONSECA</t>
  </si>
  <si>
    <t xml:space="preserve"> RUA MARTINO AROSIO</t>
  </si>
  <si>
    <t xml:space="preserve"> RUA CANARIO-DO-AMAZONAS</t>
  </si>
  <si>
    <t xml:space="preserve"> RUA JOSE LOPES</t>
  </si>
  <si>
    <t xml:space="preserve">A </t>
  </si>
  <si>
    <t>JD VITORIA REGIA</t>
  </si>
  <si>
    <t>passeio em obra</t>
  </si>
  <si>
    <t xml:space="preserve"> RUA ALOISIO MAGALHAES</t>
  </si>
  <si>
    <t xml:space="preserve"> AVENIDA DO ANASTACIO</t>
  </si>
  <si>
    <t>PQ MARIA DOMITILA</t>
  </si>
  <si>
    <t xml:space="preserve">Usado 1 caps de 75 que não tem no caminhãozinho de material
não tem reposição </t>
  </si>
  <si>
    <t xml:space="preserve"> RUA DOM PEDRO HENRIQUE DE O E BRAGANCA</t>
  </si>
  <si>
    <t>reparo  de rede de água 75</t>
  </si>
  <si>
    <t xml:space="preserve"> </t>
  </si>
  <si>
    <t xml:space="preserve"> AVENIDA FERNANDO MENDES DE ALMEIDA</t>
  </si>
  <si>
    <t xml:space="preserve"> RUA DO BEIJA FLOR</t>
  </si>
  <si>
    <t xml:space="preserve"> AVENIDA LEOPOLDO DE PASSOS LIMA</t>
  </si>
  <si>
    <t xml:space="preserve"> RUA TOM JOBIM</t>
  </si>
  <si>
    <t xml:space="preserve"> RUA ITAGUARU</t>
  </si>
  <si>
    <t xml:space="preserve"> RUA CAMACA</t>
  </si>
  <si>
    <t xml:space="preserve"> RUA ILHA DA VITORIA</t>
  </si>
  <si>
    <t>JD SIDNEY</t>
  </si>
  <si>
    <t xml:space="preserve"> RUA FRANCISCO ALBANEZI</t>
  </si>
  <si>
    <t xml:space="preserve"> ESTRADA DE PIRAPORA</t>
  </si>
  <si>
    <t>CITY JARAGUA</t>
  </si>
  <si>
    <t>SERVIÇO DE VALORAÇÃO</t>
  </si>
  <si>
    <t>EDUARDA DE MELO PEREIRA</t>
  </si>
  <si>
    <t xml:space="preserve"> RUA MARIO PALMERIO</t>
  </si>
  <si>
    <t>MORRO DOCE</t>
  </si>
  <si>
    <t xml:space="preserve">leito terra </t>
  </si>
  <si>
    <t xml:space="preserve">passeio obras não faser reposição </t>
  </si>
  <si>
    <t xml:space="preserve"> RUA GLORIA DE DOURADOS</t>
  </si>
  <si>
    <t>TROCA DE CAIXA DE PARADA</t>
  </si>
  <si>
    <t xml:space="preserve"> RUA JOSE VICENTE RAMOS</t>
  </si>
  <si>
    <t xml:space="preserve"> RUA MOACIR SANTOS</t>
  </si>
  <si>
    <t xml:space="preserve"> RUA CACAPAVA DO SUL</t>
  </si>
  <si>
    <t xml:space="preserve"> RUA PENA DOURADA</t>
  </si>
  <si>
    <t>JD TAIPAS</t>
  </si>
  <si>
    <t xml:space="preserve"> RUA CORONEL VIRGILIO DOS SANTOS</t>
  </si>
  <si>
    <t xml:space="preserve">nao tem reposição leito terra </t>
  </si>
  <si>
    <t xml:space="preserve"> RUA FREDERICO LACROZE</t>
  </si>
  <si>
    <t xml:space="preserve"> RUA ANA AMARAL</t>
  </si>
  <si>
    <t>SAO PAULO</t>
  </si>
  <si>
    <t xml:space="preserve"> RUA WILSON BATISTA</t>
  </si>
  <si>
    <t xml:space="preserve"> TRAVESSA DO JOAQUIM TERRA PROMETIDA</t>
  </si>
  <si>
    <t>V BRASILANDIA</t>
  </si>
  <si>
    <t xml:space="preserve"> RUA CONSTANTINO PALUMBO</t>
  </si>
  <si>
    <t>reparo de cavalete</t>
  </si>
  <si>
    <t xml:space="preserve"> RUA JOSE BAHIA DE AMORIM</t>
  </si>
  <si>
    <t xml:space="preserve"> RUA PAVAO</t>
  </si>
  <si>
    <t xml:space="preserve"> RUA VENANCIO DINIZ JUNQUEIRA</t>
  </si>
  <si>
    <t xml:space="preserve"> RUA LITORAL PARANAENSE</t>
  </si>
  <si>
    <t xml:space="preserve"> RUA DOS TAMARINDOS</t>
  </si>
  <si>
    <t>supressão de ramal abandonado,  cliente continua com água normal...</t>
  </si>
  <si>
    <t>13/05/2026 03:47</t>
  </si>
  <si>
    <t>13/05/2026 03:52</t>
  </si>
  <si>
    <t xml:space="preserve"> RUA DOUTOR ANTONIO RUGGIERO JUNIOR</t>
  </si>
  <si>
    <t>13/05/2026 02:31</t>
  </si>
  <si>
    <t>13/05/2026 03:43</t>
  </si>
  <si>
    <t xml:space="preserve"> RUA CAPELA DE SANTANA</t>
  </si>
  <si>
    <t>13/05/2026 05:07</t>
  </si>
  <si>
    <t>13/05/2026 06:55</t>
  </si>
  <si>
    <t xml:space="preserve"> RUA VITORIA</t>
  </si>
  <si>
    <t xml:space="preserve">executado  supressão  em ramal abandonado </t>
  </si>
  <si>
    <t>13/05/2026 05:57</t>
  </si>
  <si>
    <t>13/05/2026 06:06</t>
  </si>
  <si>
    <t xml:space="preserve"> RUA ALBERTO VEIGA</t>
  </si>
  <si>
    <t>13/05/2026 05:27</t>
  </si>
  <si>
    <t>13/05/2026 05:30</t>
  </si>
  <si>
    <t xml:space="preserve"> RUA AURORA DO NORTE</t>
  </si>
  <si>
    <t>13/05/2026 03:45</t>
  </si>
  <si>
    <t>13/05/2026 05:20</t>
  </si>
  <si>
    <t xml:space="preserve"> AVENIDA AGENOR COUTO DE MAGALHAES</t>
  </si>
  <si>
    <t>13/05/2026 08:43</t>
  </si>
  <si>
    <t>13/05/2026 08:59</t>
  </si>
  <si>
    <t xml:space="preserve"> RUA HOMERO SALES</t>
  </si>
  <si>
    <t>13/05/2026 15:02</t>
  </si>
  <si>
    <t>13/05/2026 15:05</t>
  </si>
  <si>
    <t xml:space="preserve"> RUA ARISTIDES MALHEIROS</t>
  </si>
  <si>
    <t>13/05/2026 15:03</t>
  </si>
  <si>
    <t>13/05/2026 08:35</t>
  </si>
  <si>
    <t>13/05/2026 08:36</t>
  </si>
  <si>
    <t xml:space="preserve"> RUA MORADA DA PARAIBA</t>
  </si>
  <si>
    <t>SOL NASCENTE</t>
  </si>
  <si>
    <t>13/05/2026 10:41</t>
  </si>
  <si>
    <t>13/05/2026 10:49</t>
  </si>
  <si>
    <t>13/05/2026 08:26</t>
  </si>
  <si>
    <t>13/05/2026 08:38</t>
  </si>
  <si>
    <t>13/05/2026 08:22</t>
  </si>
  <si>
    <t>13/05/2026 08:25</t>
  </si>
  <si>
    <t>leito terra</t>
  </si>
  <si>
    <t>13/05/2026 09:02</t>
  </si>
  <si>
    <t>13/05/2026 09:05</t>
  </si>
  <si>
    <t>reposicao sera feita pela equipe de esgoto.</t>
  </si>
  <si>
    <t>13/05/2026 09:03</t>
  </si>
  <si>
    <t xml:space="preserve">sem foto, os demorou a ser aberta </t>
  </si>
  <si>
    <t>13/05/2026 11:06</t>
  </si>
  <si>
    <t>13/05/2026 11:10</t>
  </si>
  <si>
    <t>13/05/2026 10:24</t>
  </si>
  <si>
    <t>13/05/2026 11:14</t>
  </si>
  <si>
    <t>13/05/2026 11:16</t>
  </si>
  <si>
    <t>13/05/2026 11:11</t>
  </si>
  <si>
    <t>13/05/2026 11:13</t>
  </si>
  <si>
    <t>A C/5</t>
  </si>
  <si>
    <t>13/05/2026 11:19</t>
  </si>
  <si>
    <t>A C/6</t>
  </si>
  <si>
    <t>13/05/2026 11:23</t>
  </si>
  <si>
    <t>13/05/2026 11:24</t>
  </si>
  <si>
    <t>A C/7</t>
  </si>
  <si>
    <t>13/05/2026 11:27</t>
  </si>
  <si>
    <t>13/05/2026 11:29</t>
  </si>
  <si>
    <t>A C/8</t>
  </si>
  <si>
    <t>13/05/2026 11:31</t>
  </si>
  <si>
    <t xml:space="preserve"> RUA MANUEL BICUDO DE AGUIRRE</t>
  </si>
  <si>
    <t>13/05/2026 07:00</t>
  </si>
  <si>
    <t>13/05/2026 07:01</t>
  </si>
  <si>
    <t xml:space="preserve"> RUA APARECIDA DO TABOADO</t>
  </si>
  <si>
    <t>13/05/2026 12:20</t>
  </si>
  <si>
    <t>13/05/2026 12:23</t>
  </si>
  <si>
    <t xml:space="preserve"> RUA CIRILO CORREIA</t>
  </si>
  <si>
    <t>13/05/2026 11:46</t>
  </si>
  <si>
    <t>13/05/2026 11:49</t>
  </si>
  <si>
    <t xml:space="preserve"> RUA RECANTO DOS HUMILDES</t>
  </si>
  <si>
    <t>13/05/2026 09:59</t>
  </si>
  <si>
    <t>13/05/2026 10:00</t>
  </si>
  <si>
    <t xml:space="preserve"> RUA BARRA DO GARCA</t>
  </si>
  <si>
    <t>JD CIMOBIL</t>
  </si>
  <si>
    <t>13/05/2026 16:28</t>
  </si>
  <si>
    <t>13/05/2026 16:31</t>
  </si>
  <si>
    <t xml:space="preserve"> RUA ANTENOR DE OLIVEIRA E SILVA</t>
  </si>
  <si>
    <t>C/2 C/3</t>
  </si>
  <si>
    <t>JD DOS FRANCOS</t>
  </si>
  <si>
    <t>13/05/2026 11:45</t>
  </si>
  <si>
    <t>13/05/2026 10:39</t>
  </si>
  <si>
    <t>13/05/2026 16:22</t>
  </si>
  <si>
    <t>13/05/2026 16:26</t>
  </si>
  <si>
    <t>13/05/2026 04:24</t>
  </si>
  <si>
    <t>13/05/2026 11:56</t>
  </si>
  <si>
    <t>13/05/2026 11:58</t>
  </si>
  <si>
    <t>13/05/2026 11:59</t>
  </si>
  <si>
    <t>13/05/2026 12:01</t>
  </si>
  <si>
    <t>13/05/2026 10:02</t>
  </si>
  <si>
    <t>13/05/2026 10:03</t>
  </si>
  <si>
    <t xml:space="preserve"> RUA BRASIL</t>
  </si>
  <si>
    <t>13/05/2026 03:39</t>
  </si>
  <si>
    <t>13/05/2026 03:46</t>
  </si>
  <si>
    <t xml:space="preserve"> RUA PIERRE DUCHEN</t>
  </si>
  <si>
    <t>13/05/2026 09:48</t>
  </si>
  <si>
    <t xml:space="preserve"> RUA ITURAMA</t>
  </si>
  <si>
    <t>SITIO ITABERABA II</t>
  </si>
  <si>
    <t>13/05/2026 13:36</t>
  </si>
  <si>
    <t>13/05/2026 13:40</t>
  </si>
  <si>
    <t xml:space="preserve"> RUA GENESIO ARRUDA</t>
  </si>
  <si>
    <t>13/05/2026 09:01</t>
  </si>
  <si>
    <t>13/05/2026 09:44</t>
  </si>
  <si>
    <t>13/05/2026 14:02</t>
  </si>
  <si>
    <t>13/05/2026 14:03</t>
  </si>
  <si>
    <t xml:space="preserve"> RUA FORMOSO DO ARAGUAIA</t>
  </si>
  <si>
    <t>13/05/2026 09:30</t>
  </si>
  <si>
    <t>13/05/2026 09:40</t>
  </si>
  <si>
    <t xml:space="preserve"> TRAVESSA PETUNIA</t>
  </si>
  <si>
    <t xml:space="preserve"> VIELA UM</t>
  </si>
  <si>
    <t>13/05/2026 11:09</t>
  </si>
  <si>
    <t>13/05/2026 11:12</t>
  </si>
  <si>
    <t xml:space="preserve"> VIELA SEM NOME</t>
  </si>
  <si>
    <t>13/05/2026 09:52</t>
  </si>
  <si>
    <t>13/05/2026 09:56</t>
  </si>
  <si>
    <t>13/05/2026 10:22</t>
  </si>
  <si>
    <t>13/05/2026 10:28</t>
  </si>
  <si>
    <t xml:space="preserve"> RUA ALONCIO JOSE PINHO</t>
  </si>
  <si>
    <t>13/05/2026 17:14</t>
  </si>
  <si>
    <t>13/05/2026 18:08</t>
  </si>
  <si>
    <t xml:space="preserve"> RUA ASA DE TELHA</t>
  </si>
  <si>
    <t>RESIDENCIAL DAS ORQUIDEAS</t>
  </si>
  <si>
    <t>14/05/2026 14:25</t>
  </si>
  <si>
    <t>14/05/2026 14:34</t>
  </si>
  <si>
    <t>14/05/2026 17:53</t>
  </si>
  <si>
    <t>14/05/2026 18:00</t>
  </si>
  <si>
    <t xml:space="preserve"> RUA CARACOLEIRO</t>
  </si>
  <si>
    <t>14/05/2026 15:10</t>
  </si>
  <si>
    <t>14/05/2026 15:17</t>
  </si>
  <si>
    <t>14/05/2026 16:30</t>
  </si>
  <si>
    <t>14/05/2026 16:33</t>
  </si>
  <si>
    <t xml:space="preserve"> RUA SAPUCAINHA</t>
  </si>
  <si>
    <t>14/05/2026 10:16</t>
  </si>
  <si>
    <t>14/05/2026 11:02</t>
  </si>
  <si>
    <t>14/05/2026 11:03</t>
  </si>
  <si>
    <t>14/05/2026 11:04</t>
  </si>
  <si>
    <t xml:space="preserve"> RUA JOAO SALDANHA</t>
  </si>
  <si>
    <t>14/05/2026 10:11</t>
  </si>
  <si>
    <t>14/05/2026 18:02</t>
  </si>
  <si>
    <t xml:space="preserve"> RUA CACHOEIRA DO JATOBA</t>
  </si>
  <si>
    <t>C/1 C/1</t>
  </si>
  <si>
    <t>JD BOA VISTA ANHANGUERA</t>
  </si>
  <si>
    <t>14/05/2026 11:42</t>
  </si>
  <si>
    <t>14/05/2026 13:26</t>
  </si>
  <si>
    <t>C/1 C/2</t>
  </si>
  <si>
    <t>14/05/2026 13:27</t>
  </si>
  <si>
    <t>14/05/2026 13:28</t>
  </si>
  <si>
    <t xml:space="preserve"> RUA CIPRIANO DE GOIS</t>
  </si>
  <si>
    <t>14/05/2026 15:34</t>
  </si>
  <si>
    <t>14/05/2026 18:17</t>
  </si>
  <si>
    <t>FALTA TRENA E RÉGUA</t>
  </si>
  <si>
    <t xml:space="preserve"> RUA LOPE DE BAENA</t>
  </si>
  <si>
    <t>14/05/2026 04:46</t>
  </si>
  <si>
    <t>14/05/2026 09:18</t>
  </si>
  <si>
    <t xml:space="preserve"> RUA SALMISTAS</t>
  </si>
  <si>
    <t>14/05/2026 03:00</t>
  </si>
  <si>
    <t>14/05/2026 05:14</t>
  </si>
  <si>
    <t xml:space="preserve"> RUA GAVIAO</t>
  </si>
  <si>
    <t>LEITO TERRA</t>
  </si>
  <si>
    <t>14/05/2026 12:02</t>
  </si>
  <si>
    <t>14/05/2026 12:05</t>
  </si>
  <si>
    <t>APERTO DE GAXETA VALVULA REDE DE AGUA</t>
  </si>
  <si>
    <t>14/05/2026 06:07</t>
  </si>
  <si>
    <t>14/05/2026 06:08</t>
  </si>
  <si>
    <t>14/05/2026 15:02</t>
  </si>
  <si>
    <t>14/05/2026 15:03</t>
  </si>
  <si>
    <t>14/05/2026 02:54</t>
  </si>
  <si>
    <t>14/05/2026 03:33</t>
  </si>
  <si>
    <t xml:space="preserve"> RUA MOGEIRO</t>
  </si>
  <si>
    <t>14/05/2026 11:07</t>
  </si>
  <si>
    <t>14/05/2026 11:09</t>
  </si>
  <si>
    <t xml:space="preserve"> TRAVESSA DA PAPOULA</t>
  </si>
  <si>
    <t>14/05/2026 08:02</t>
  </si>
  <si>
    <t>14/05/2026 08:05</t>
  </si>
  <si>
    <t xml:space="preserve"> RUA ALEXANDRE ORLOV</t>
  </si>
  <si>
    <t>14/05/2026 14:05</t>
  </si>
  <si>
    <t>14/05/2026 14:08</t>
  </si>
  <si>
    <t xml:space="preserve"> RUA XAVIER DE CASTRO</t>
  </si>
  <si>
    <t>14/05/2026 05:51</t>
  </si>
  <si>
    <t>14/05/2026 05:53</t>
  </si>
  <si>
    <t>14/05/2026 06:01</t>
  </si>
  <si>
    <t>14/05/2026 06:02</t>
  </si>
  <si>
    <t>14/05/2026 09:00</t>
  </si>
  <si>
    <t>14/05/2026 10:58</t>
  </si>
  <si>
    <t xml:space="preserve"> RUA ANABA</t>
  </si>
  <si>
    <t>JD ROSINHA</t>
  </si>
  <si>
    <t>14/05/2026 00:46</t>
  </si>
  <si>
    <t>14/05/2026 04:23</t>
  </si>
  <si>
    <t xml:space="preserve">foi feito a sondagem e não há vazamentona rede </t>
  </si>
  <si>
    <t>14/05/2026 00:16</t>
  </si>
  <si>
    <t>14/05/2026 00:17</t>
  </si>
  <si>
    <t xml:space="preserve"> RUA JANAUBA</t>
  </si>
  <si>
    <t>14/05/2026 08:54</t>
  </si>
  <si>
    <t>14/05/2026 08:55</t>
  </si>
  <si>
    <t xml:space="preserve"> RUA SERTAO DE CANUDOS</t>
  </si>
  <si>
    <t>14/05/2026 09:14</t>
  </si>
  <si>
    <t>14/05/2026 09:26</t>
  </si>
  <si>
    <t xml:space="preserve"> RUA ANTONIO MAIA</t>
  </si>
  <si>
    <t>14/05/2026 08:16</t>
  </si>
  <si>
    <t>14/05/2026 09:11</t>
  </si>
  <si>
    <t xml:space="preserve"> VIELA DEZ</t>
  </si>
  <si>
    <t>14/05/2026 10:36</t>
  </si>
  <si>
    <t>14/05/2026 11:01</t>
  </si>
  <si>
    <t xml:space="preserve"> RUA ANTONIO DA SILVA SANTOS</t>
  </si>
  <si>
    <t xml:space="preserve">as fotos estão na etapa  principal </t>
  </si>
  <si>
    <t>14/05/2026 14:55</t>
  </si>
  <si>
    <t>14/05/2026 14:59</t>
  </si>
  <si>
    <t>14/05/2026 07:28</t>
  </si>
  <si>
    <t>14/05/2026 07:39</t>
  </si>
  <si>
    <t xml:space="preserve"> RUA MORUMBI</t>
  </si>
  <si>
    <t>14/05/2026 05:56</t>
  </si>
  <si>
    <t>14/05/2026 05:59</t>
  </si>
  <si>
    <t>14/05/2026 12:04</t>
  </si>
  <si>
    <t>14/05/2026 12:16</t>
  </si>
  <si>
    <t xml:space="preserve"> RUA DAS FLORES</t>
  </si>
  <si>
    <t>14/05/2026 06:09</t>
  </si>
  <si>
    <t>14/05/2026 06:12</t>
  </si>
  <si>
    <t>14/05/2026 11:25</t>
  </si>
  <si>
    <t>14/05/2026 11:30</t>
  </si>
  <si>
    <t xml:space="preserve"> RUA INAMBU SERRA</t>
  </si>
  <si>
    <t>15/05/2026 12:54</t>
  </si>
  <si>
    <t>15/05/2026 13:08</t>
  </si>
  <si>
    <t xml:space="preserve"> RUA LUIZ DOMINGUES DE CASTRO</t>
  </si>
  <si>
    <t>15/05/2026 12:07</t>
  </si>
  <si>
    <t>15/05/2026 12:08</t>
  </si>
  <si>
    <t>15/05/2026 11:53</t>
  </si>
  <si>
    <t>15/05/2026 12:06</t>
  </si>
  <si>
    <t>15/05/2026 08:05</t>
  </si>
  <si>
    <t>15/05/2026 08:09</t>
  </si>
  <si>
    <t xml:space="preserve"> RUA ROBERTO DE LAMENAIS</t>
  </si>
  <si>
    <t>15/05/2026 10:48</t>
  </si>
  <si>
    <t>15/05/2026 10:54</t>
  </si>
  <si>
    <t xml:space="preserve"> RUA MACHADO CORREIA</t>
  </si>
  <si>
    <t>15/05/2026 03:02</t>
  </si>
  <si>
    <t>15/05/2026 06:35</t>
  </si>
  <si>
    <t>15/05/2026 07:36</t>
  </si>
  <si>
    <t>15/05/2026 08:04</t>
  </si>
  <si>
    <t xml:space="preserve"> RUA GENERAL LAURO CAVALCANTI DE FARIAS</t>
  </si>
  <si>
    <t>JD MANGALOT</t>
  </si>
  <si>
    <t>15/05/2026 10:27</t>
  </si>
  <si>
    <t>15/05/2026 10:57</t>
  </si>
  <si>
    <t xml:space="preserve"> RUA ENGENHEIRO JAYME ROCHA PEREIRA</t>
  </si>
  <si>
    <t xml:space="preserve">não tem reposição
usado 1 caps de 75 não tem no caminhãozinho de material </t>
  </si>
  <si>
    <t>15/05/2026 02:31</t>
  </si>
  <si>
    <t>15/05/2026 04:51</t>
  </si>
  <si>
    <t xml:space="preserve"> RUA SOL DA LIBERDADE</t>
  </si>
  <si>
    <t>15/05/2026 07:09</t>
  </si>
  <si>
    <t>15/05/2026 07:11</t>
  </si>
  <si>
    <t>15/05/2026 07:04</t>
  </si>
  <si>
    <t>15/05/2026 07:08</t>
  </si>
  <si>
    <t>15/05/2026 10:59</t>
  </si>
  <si>
    <t>15/05/2026 11:00</t>
  </si>
  <si>
    <t>15/05/2026 07:14</t>
  </si>
  <si>
    <t>15/05/2026 07:19</t>
  </si>
  <si>
    <t>15/05/2026 07:13</t>
  </si>
  <si>
    <t>15/05/2026 11:01</t>
  </si>
  <si>
    <t>15/05/2026 11:03</t>
  </si>
  <si>
    <t>15/05/2026 11:04</t>
  </si>
  <si>
    <t>15/05/2026 11:06</t>
  </si>
  <si>
    <t>15/05/2026 11:08</t>
  </si>
  <si>
    <t>15/05/2026 11:15</t>
  </si>
  <si>
    <t>15/05/2026 10:05</t>
  </si>
  <si>
    <t>15/05/2026 10:07</t>
  </si>
  <si>
    <t xml:space="preserve"> VIELA DA JORNALISTA PAULO ZINGG</t>
  </si>
  <si>
    <t>15/05/2026 03:52</t>
  </si>
  <si>
    <t>15/05/2026 03:55</t>
  </si>
  <si>
    <t xml:space="preserve"> RUA ANDORINHA</t>
  </si>
  <si>
    <t>15/05/2026 16:45</t>
  </si>
  <si>
    <t>15/05/2026 16:49</t>
  </si>
  <si>
    <t>15/05/2026 05:38</t>
  </si>
  <si>
    <t>15/05/2026 08:24</t>
  </si>
  <si>
    <t>15/05/2026 16:51</t>
  </si>
  <si>
    <t xml:space="preserve"> RUA EMA ALBANI</t>
  </si>
  <si>
    <t>15/05/2026 02:38</t>
  </si>
  <si>
    <t>15/05/2026 03:13</t>
  </si>
  <si>
    <t xml:space="preserve"> RUA VIRGINIA GALILEI</t>
  </si>
  <si>
    <t>15/05/2026 09:32</t>
  </si>
  <si>
    <t>15/05/2026 14:01</t>
  </si>
  <si>
    <t>15/05/2026 14:02</t>
  </si>
  <si>
    <t>15/05/2026 14:04</t>
  </si>
  <si>
    <t xml:space="preserve"> RUA DO AMOR</t>
  </si>
  <si>
    <t>15/05/2026 04:53</t>
  </si>
  <si>
    <t>15/05/2026 05:20</t>
  </si>
  <si>
    <t>15/05/2026 08:32</t>
  </si>
  <si>
    <t>15/05/2026 08:33</t>
  </si>
  <si>
    <t xml:space="preserve"> RUA MAJOR ALFREDO ROMAO</t>
  </si>
  <si>
    <t>15/05/2026 07:37</t>
  </si>
  <si>
    <t>15/05/2026 10:23</t>
  </si>
  <si>
    <t xml:space="preserve"> RUA PEDRO ANES</t>
  </si>
  <si>
    <t>SONDAGEM DE REDE DE AGUA NÃO VISIVEL</t>
  </si>
  <si>
    <t>15/05/2026 10:29</t>
  </si>
  <si>
    <t>15/05/2026 10:46</t>
  </si>
  <si>
    <t xml:space="preserve"> ESTRADA DAS TAIPAS</t>
  </si>
  <si>
    <t>15/05/2026 09:02</t>
  </si>
  <si>
    <t>15/05/2026 09:03</t>
  </si>
  <si>
    <t xml:space="preserve"> RUA AURELIO BRASIL RIBEIRO</t>
  </si>
  <si>
    <t>15/05/2026 10:22</t>
  </si>
  <si>
    <t>15/05/2026 10:25</t>
  </si>
  <si>
    <t>VAZAMENTO DE ÁGUA NA VÁLVULA</t>
  </si>
  <si>
    <t>REPARO DE VALVULA DE REDE DE AGUA</t>
  </si>
  <si>
    <t>15/05/2026 06:17</t>
  </si>
  <si>
    <t>15/05/2026 07:56</t>
  </si>
  <si>
    <t xml:space="preserve"> RUA RIO SAPUCAIA DO SUL</t>
  </si>
  <si>
    <t>CJ RES BANDEIRANTES</t>
  </si>
  <si>
    <t xml:space="preserve">SONDAGEN asfalto 2X1 </t>
  </si>
  <si>
    <t>15/05/2026 05:48</t>
  </si>
  <si>
    <t>15/05/2026 05:51</t>
  </si>
  <si>
    <t>w</t>
  </si>
  <si>
    <t>15/05/2026 07:58</t>
  </si>
  <si>
    <t>15/05/2026 08:00</t>
  </si>
  <si>
    <t xml:space="preserve"> RUA AZALEIA</t>
  </si>
  <si>
    <t>15/05/2026 12:48</t>
  </si>
  <si>
    <t>15/05/2026 12:56</t>
  </si>
  <si>
    <t xml:space="preserve"> RUA SOUZA CARVALHO</t>
  </si>
  <si>
    <t>15/05/2026 12:40</t>
  </si>
  <si>
    <t>15/05/2026 12:45</t>
  </si>
  <si>
    <t>15/05/2026 06:30</t>
  </si>
  <si>
    <t>15/05/2026 09:56</t>
  </si>
  <si>
    <t>15/05/2026 09:58</t>
  </si>
  <si>
    <t>15/05/2026 06:07</t>
  </si>
  <si>
    <t>15/05/2026 06:31</t>
  </si>
  <si>
    <t xml:space="preserve"> RUA ALEXANDRE AGRICOLA</t>
  </si>
  <si>
    <t>15/05/2026 09:53</t>
  </si>
  <si>
    <t>15/05/2026 09:54</t>
  </si>
  <si>
    <t>15/05/2026 09:55</t>
  </si>
  <si>
    <t>Leito em Obras.</t>
  </si>
  <si>
    <t>15/05/2026 07:40</t>
  </si>
  <si>
    <t>15/05/2026 07:52</t>
  </si>
  <si>
    <t>as fotos da troca de ramal  se localizar 0s 2620347489</t>
  </si>
  <si>
    <t>15/05/2026 07:05</t>
  </si>
  <si>
    <t xml:space="preserve"> RUA JOSELITO</t>
  </si>
  <si>
    <t>16/05/2026 07:02</t>
  </si>
  <si>
    <t>16/05/2026 07:05</t>
  </si>
  <si>
    <t>15/05/2026 09:45</t>
  </si>
  <si>
    <t>15/05/2026 10:24</t>
  </si>
  <si>
    <t>15/05/2026 10:35</t>
  </si>
  <si>
    <t>15/05/2026 06:23</t>
  </si>
  <si>
    <t>15/05/2026 06:25</t>
  </si>
  <si>
    <t xml:space="preserve"> RUA EMILIO CASTRO</t>
  </si>
  <si>
    <t>16/05/2026 13:50</t>
  </si>
  <si>
    <t>16/05/2026 14:36</t>
  </si>
  <si>
    <t xml:space="preserve"> RUA GREGORIO POMAR</t>
  </si>
  <si>
    <t>16/05/2026 10:29</t>
  </si>
  <si>
    <t>16/05/2026 10:31</t>
  </si>
  <si>
    <t xml:space="preserve"> RUA EDELCIO</t>
  </si>
  <si>
    <t>V MALVINA</t>
  </si>
  <si>
    <t>16/05/2026 03:46</t>
  </si>
  <si>
    <t>16/05/2026 03:49</t>
  </si>
  <si>
    <t xml:space="preserve"> RUA FELICISSIMO DE SOUZA</t>
  </si>
  <si>
    <t>FDS C/2</t>
  </si>
  <si>
    <t>16/05/2026 08:05</t>
  </si>
  <si>
    <t>16/05/2026 08:08</t>
  </si>
  <si>
    <t>16/05/2026 11:02</t>
  </si>
  <si>
    <t>16/05/2026 11:05</t>
  </si>
  <si>
    <t xml:space="preserve"> VIELA B</t>
  </si>
  <si>
    <t>REPOSICAO DE PISO, CLIENTE FICOU RESPONSAVEL POR REPOR, O MESMO INFORMOU QUE ESTA EM REFORMA E NAO PRECISAVA ABRIR ETAPA.</t>
  </si>
  <si>
    <t>16/05/2026 13:02</t>
  </si>
  <si>
    <t>16/05/2026 13:05</t>
  </si>
  <si>
    <t>16/05/2026 04:20</t>
  </si>
  <si>
    <t>16/05/2026 05:26</t>
  </si>
  <si>
    <t xml:space="preserve"> RUA DONA GERTRUDES JORDAO</t>
  </si>
  <si>
    <t>FDS C/1</t>
  </si>
  <si>
    <t>16/05/2026 08:02</t>
  </si>
  <si>
    <t xml:space="preserve"> RUA DA COCHEIRA</t>
  </si>
  <si>
    <t>16/05/2026 04:45</t>
  </si>
  <si>
    <t>16/05/2026 04:55</t>
  </si>
  <si>
    <t>REPOSICAO ABERTA PELA OS 2620545702</t>
  </si>
  <si>
    <t>16/05/2026 10:02</t>
  </si>
  <si>
    <t>16/05/2026 10:05</t>
  </si>
  <si>
    <t>REPOSICAO ABERTA PELA OS 2620533268</t>
  </si>
  <si>
    <t>16/05/2026 15:55</t>
  </si>
  <si>
    <t>16/05/2026 15:56</t>
  </si>
  <si>
    <t xml:space="preserve"> RUA ARROIO DA SECA</t>
  </si>
  <si>
    <t>JD S JOAO JARAGUA</t>
  </si>
  <si>
    <t>17/05/2026 10:48</t>
  </si>
  <si>
    <t>17/05/2026 11:08</t>
  </si>
  <si>
    <t xml:space="preserve"> RUA ESTANCIA VELHA</t>
  </si>
  <si>
    <t>17/05/2026 09:59</t>
  </si>
  <si>
    <t>17/05/2026 10:02</t>
  </si>
  <si>
    <t xml:space="preserve"> RUA CORONEL JOSE VENANCIO DIAS</t>
  </si>
  <si>
    <t>17/05/2026 07:02</t>
  </si>
  <si>
    <t>17/05/2026 07:05</t>
  </si>
  <si>
    <t xml:space="preserve"> RUA PROFESSORA ALTINA MAYNARD ARAUJO</t>
  </si>
  <si>
    <t xml:space="preserve">nao tem reposição </t>
  </si>
  <si>
    <t>17/05/2026 06:45</t>
  </si>
  <si>
    <t>17/05/2026 06:49</t>
  </si>
  <si>
    <t xml:space="preserve"> TRAVESSA MAURICIO DE HERIARTE</t>
  </si>
  <si>
    <t>17/05/2026 07:36</t>
  </si>
  <si>
    <t>17/05/2026 07:48</t>
  </si>
  <si>
    <t>17/05/2026 08:16</t>
  </si>
  <si>
    <t>17/05/2026 08:17</t>
  </si>
  <si>
    <t xml:space="preserve"> RUA TOMAS RIBEIRO COLACO</t>
  </si>
  <si>
    <t>JD BANDEIRANTES</t>
  </si>
  <si>
    <t>17/05/2026 12:49</t>
  </si>
  <si>
    <t>17/05/2026 13:49</t>
  </si>
  <si>
    <t>17/05/2026 05:24</t>
  </si>
  <si>
    <t>17/05/2026 05:26</t>
  </si>
  <si>
    <t>17/05/2026 05:02</t>
  </si>
  <si>
    <t>17/05/2026 05:05</t>
  </si>
  <si>
    <t xml:space="preserve"> ALAMEDA DAS PITANGUEIRAS</t>
  </si>
  <si>
    <t>17/05/2026 04:51</t>
  </si>
  <si>
    <t>17/05/2026 04:54</t>
  </si>
  <si>
    <t>18/05/2026 09:16</t>
  </si>
  <si>
    <t>18/05/2026 10:44</t>
  </si>
  <si>
    <t>18/05/2026 09:48</t>
  </si>
  <si>
    <t>18/05/2026 14:48</t>
  </si>
  <si>
    <t>18/05/2026 10:03</t>
  </si>
  <si>
    <t>18/05/2026 11:29</t>
  </si>
  <si>
    <t>18/05/2026 09:41</t>
  </si>
  <si>
    <t>18/05/2026 09:43</t>
  </si>
  <si>
    <t xml:space="preserve"> VIA DE PEDESTRE SABIA CASTANHO</t>
  </si>
  <si>
    <t>18/05/2026 04:28</t>
  </si>
  <si>
    <t>18/05/2026 04:30</t>
  </si>
  <si>
    <t>18/05/2026 10:37</t>
  </si>
  <si>
    <t>18/05/2026 20:07</t>
  </si>
  <si>
    <t xml:space="preserve"> RUA TOMAS ARANDE</t>
  </si>
  <si>
    <t>V HOMERO</t>
  </si>
  <si>
    <t>18/05/2026 10:35</t>
  </si>
  <si>
    <t>18/05/2026 10:27</t>
  </si>
  <si>
    <t>18/05/2026 10:33</t>
  </si>
  <si>
    <t xml:space="preserve"> RUA ANAMOSA</t>
  </si>
  <si>
    <t>18/05/2026 11:43</t>
  </si>
  <si>
    <t>18/05/2026 12:16</t>
  </si>
  <si>
    <t xml:space="preserve"> RUA CAMARATIBA</t>
  </si>
  <si>
    <t>18/05/2026 02:22</t>
  </si>
  <si>
    <t>18/05/2026 02:29</t>
  </si>
  <si>
    <t xml:space="preserve"> RUA ANDRE OLINDO LEDNIK</t>
  </si>
  <si>
    <t>18/05/2026 03:08</t>
  </si>
  <si>
    <t>18/05/2026 03:11</t>
  </si>
  <si>
    <t xml:space="preserve"> RUA OURO VELHO</t>
  </si>
  <si>
    <t>18/05/2026 09:29</t>
  </si>
  <si>
    <t>18/05/2026 15:25</t>
  </si>
  <si>
    <t xml:space="preserve"> RUA REGINA GARBA</t>
  </si>
  <si>
    <t xml:space="preserve">cliente reclamou do asfalto que está pendente pra fazer </t>
  </si>
  <si>
    <t>18/05/2026 08:19</t>
  </si>
  <si>
    <t>18/05/2026 11:14</t>
  </si>
  <si>
    <t xml:space="preserve"> ALAMEDA ARISTOTELES CLAUDIO SBRIGHI</t>
  </si>
  <si>
    <t>18/05/2026 11:33</t>
  </si>
  <si>
    <t>18/05/2026 12:24</t>
  </si>
  <si>
    <t xml:space="preserve"> RUA BROVALIA</t>
  </si>
  <si>
    <t>PQ VITORIA DO SOL NASCENTE</t>
  </si>
  <si>
    <t>18/05/2026 14:12</t>
  </si>
  <si>
    <t>18/05/2026 16:35</t>
  </si>
  <si>
    <t xml:space="preserve"> RUA VIRAJUBA</t>
  </si>
  <si>
    <t>18/05/2026 13:47</t>
  </si>
  <si>
    <t>18/05/2026 13:50</t>
  </si>
  <si>
    <t>18/05/2026 04:12</t>
  </si>
  <si>
    <t>18/05/2026 04:26</t>
  </si>
  <si>
    <t xml:space="preserve"> RUA BUENO ANDRADAS</t>
  </si>
  <si>
    <t>18/05/2026 14:45</t>
  </si>
  <si>
    <t>18/05/2026 15:14</t>
  </si>
  <si>
    <t>18/05/2026 10:51</t>
  </si>
  <si>
    <t>18/05/2026 11:06</t>
  </si>
  <si>
    <t xml:space="preserve"> RUA MAURO DE ARAUJO RIBEIRO</t>
  </si>
  <si>
    <t>18/05/2026 04:52</t>
  </si>
  <si>
    <t>18/05/2026 06:05</t>
  </si>
  <si>
    <t>V AURORA</t>
  </si>
  <si>
    <t>18/05/2026 06:09</t>
  </si>
  <si>
    <t>18/05/2026 06:12</t>
  </si>
  <si>
    <t>18/05/2026 12:10</t>
  </si>
  <si>
    <t>18/05/2026 12:12</t>
  </si>
  <si>
    <t>18/05/2026 07:17</t>
  </si>
  <si>
    <t>18/05/2026 07:36</t>
  </si>
  <si>
    <t>18/05/2026 12:44</t>
  </si>
  <si>
    <t>18/05/2026 13:58</t>
  </si>
  <si>
    <t xml:space="preserve"> RUA ALFREDO LUCIO</t>
  </si>
  <si>
    <t>18/05/2026 08:16</t>
  </si>
  <si>
    <t>18/05/2026 08:27</t>
  </si>
  <si>
    <t xml:space="preserve"> RUA NATAL S 124 Q 2068</t>
  </si>
  <si>
    <t>Executado.Sondagem</t>
  </si>
  <si>
    <t>18/05/2026 10:40</t>
  </si>
  <si>
    <t xml:space="preserve"> RUA PERA DO NORTE</t>
  </si>
  <si>
    <t>19/05/2026 06:42</t>
  </si>
  <si>
    <t>19/05/2026 08:13</t>
  </si>
  <si>
    <t xml:space="preserve"> RUA CONSTANCA DA CONCEICAO</t>
  </si>
  <si>
    <t>19/05/2026 13:59</t>
  </si>
  <si>
    <t>19/05/2026 17:08</t>
  </si>
  <si>
    <t>19/05/2026 01:05</t>
  </si>
  <si>
    <t>19/05/2026 07:44</t>
  </si>
  <si>
    <t xml:space="preserve"> RUA DO CAMPINHO DA COCHEIRA</t>
  </si>
  <si>
    <t>COCHEIRA JD PAULISTANO</t>
  </si>
  <si>
    <t>19/05/2026 12:40</t>
  </si>
  <si>
    <t>19/05/2026 12:57</t>
  </si>
  <si>
    <t xml:space="preserve">sem reposição prefeitura obras no local </t>
  </si>
  <si>
    <t>19/05/2026 09:34</t>
  </si>
  <si>
    <t>19/05/2026 09:52</t>
  </si>
  <si>
    <t>19/05/2026 10:51</t>
  </si>
  <si>
    <t>19/05/2026 10:54</t>
  </si>
  <si>
    <t>19/05/2026 10:14</t>
  </si>
  <si>
    <t>19/05/2026 10:47</t>
  </si>
  <si>
    <t xml:space="preserve"> RUA C</t>
  </si>
  <si>
    <t>19/05/2026 13:28</t>
  </si>
  <si>
    <t>19/05/2026 13:33</t>
  </si>
  <si>
    <t xml:space="preserve"> TRAVESSA RENEE SABBAG</t>
  </si>
  <si>
    <t>19/05/2026 13:54</t>
  </si>
  <si>
    <t>19/05/2026 17:24</t>
  </si>
  <si>
    <t xml:space="preserve"> AVENIDA HUGO ITALO MERIGO</t>
  </si>
  <si>
    <t>19/05/2026 12:18</t>
  </si>
  <si>
    <t>19/05/2026 12:55</t>
  </si>
  <si>
    <t>19/05/2026 08:02</t>
  </si>
  <si>
    <t>19/05/2026 08:05</t>
  </si>
  <si>
    <t xml:space="preserve"> RUA CANDEIA BRANCA</t>
  </si>
  <si>
    <t>19/05/2026 13:57</t>
  </si>
  <si>
    <t>20/05/2026 06:50</t>
  </si>
  <si>
    <t xml:space="preserve"> RUA MOITA BONITA</t>
  </si>
  <si>
    <t>19/05/2026 11:24</t>
  </si>
  <si>
    <t>19/05/2026 12:07</t>
  </si>
  <si>
    <t xml:space="preserve"> RUA CRISTIANO DE SOUZA</t>
  </si>
  <si>
    <t>FEITO SONDAGEM, NAO HA VAZAMENTO NO LOCAL MARCADO</t>
  </si>
  <si>
    <t>19/05/2026 08:35</t>
  </si>
  <si>
    <t>19/05/2026 08:36</t>
  </si>
  <si>
    <t>19/05/2026 09:08</t>
  </si>
  <si>
    <t>19/05/2026 09:09</t>
  </si>
  <si>
    <t>reposicao aberta na os 2620791624</t>
  </si>
  <si>
    <t>19/05/2026 10:07</t>
  </si>
  <si>
    <t>19/05/2026 10:08</t>
  </si>
  <si>
    <t xml:space="preserve"> RUA DOUTOR VALENTIM DE QUEIROS</t>
  </si>
  <si>
    <t>19/05/2026 09:57</t>
  </si>
  <si>
    <t>19/05/2026 10:00</t>
  </si>
  <si>
    <t>DESCOBRIR VÁLVULA DE REDE DE ÁGUA</t>
  </si>
  <si>
    <t>DESCOBERTA VALVULA DE REDE DE AGUA</t>
  </si>
  <si>
    <t>19/05/2026 13:38</t>
  </si>
  <si>
    <t>19/05/2026 14:25</t>
  </si>
  <si>
    <t>19/05/2026 11:13</t>
  </si>
  <si>
    <t>19/05/2026 11:36</t>
  </si>
  <si>
    <t>19/05/2026 14:12</t>
  </si>
  <si>
    <t>19/05/2026 14:43</t>
  </si>
  <si>
    <t xml:space="preserve"> RUA FRANCISCO DE ALMEIDA LEITE</t>
  </si>
  <si>
    <t>JD JARAGUA</t>
  </si>
  <si>
    <t>19/05/2026 11:53</t>
  </si>
  <si>
    <t>19/05/2026 13:58</t>
  </si>
  <si>
    <t xml:space="preserve"> RUA ODILON AZEVEDO</t>
  </si>
  <si>
    <t xml:space="preserve">trata se  de esgoto </t>
  </si>
  <si>
    <t>19/05/2026 10:53</t>
  </si>
  <si>
    <t>19/05/2026 10:56</t>
  </si>
  <si>
    <t xml:space="preserve">n tem reposição pq e estrada de terra </t>
  </si>
  <si>
    <t>19/05/2026 07:58</t>
  </si>
  <si>
    <t>19/05/2026 08:03</t>
  </si>
  <si>
    <t>19/05/2026 10:02</t>
  </si>
  <si>
    <t>19/05/2026 10:05</t>
  </si>
  <si>
    <t>19/05/2026 10:04</t>
  </si>
  <si>
    <t>19/05/2026 10:18</t>
  </si>
  <si>
    <t>19/05/2026 11:44</t>
  </si>
  <si>
    <t>19/05/2026 11:56</t>
  </si>
  <si>
    <t>19/05/2026 12:28</t>
  </si>
  <si>
    <t>19/05/2026 11:43</t>
  </si>
  <si>
    <t>19/05/2026 11:45</t>
  </si>
  <si>
    <t xml:space="preserve"> RUA GOVERNADOR RODRIGO HENRIQUES</t>
  </si>
  <si>
    <t xml:space="preserve">sem reposição  no local </t>
  </si>
  <si>
    <t>19/05/2026 15:13</t>
  </si>
  <si>
    <t>19/05/2026 15:43</t>
  </si>
  <si>
    <t>19/05/2026 21:10</t>
  </si>
  <si>
    <t>19/05/2026 21:20</t>
  </si>
  <si>
    <t>As fotos do serviço estão juntos da supressão do 1 4 novo</t>
  </si>
  <si>
    <t>19/05/2026 21:27</t>
  </si>
  <si>
    <t>19/05/2026 21:36</t>
  </si>
  <si>
    <t>19/05/2026 15:12</t>
  </si>
  <si>
    <t xml:space="preserve"> AVENIDA MANOEL BOLIVAR</t>
  </si>
  <si>
    <t>19/05/2026 17:19</t>
  </si>
  <si>
    <t>19/05/2026 17:43</t>
  </si>
  <si>
    <t xml:space="preserve"> RUA TATSUO OKACHI</t>
  </si>
  <si>
    <t>19/05/2026 16:14</t>
  </si>
  <si>
    <t>19/05/2026 16:28</t>
  </si>
  <si>
    <t>19/05/2026 17:26</t>
  </si>
  <si>
    <t>19/05/2026 17:29</t>
  </si>
  <si>
    <t>20/05/2026 05:06</t>
  </si>
  <si>
    <t>20/05/2026 05:24</t>
  </si>
  <si>
    <t xml:space="preserve"> RUA GEORGE DANTU</t>
  </si>
  <si>
    <t>20/05/2026 10:45</t>
  </si>
  <si>
    <t>20/05/2026 12:00</t>
  </si>
  <si>
    <t>20/05/2026 09:35</t>
  </si>
  <si>
    <t>20/05/2026 10:04</t>
  </si>
  <si>
    <t>20/05/2026 04:35</t>
  </si>
  <si>
    <t>20/05/2026 04:39</t>
  </si>
  <si>
    <t xml:space="preserve"> RUA FELIPE CARDOSO DE CAMPOS</t>
  </si>
  <si>
    <t xml:space="preserve">REPOSICAO ABERTA POR OUTRA OS </t>
  </si>
  <si>
    <t>20/05/2026 09:08</t>
  </si>
  <si>
    <t>20/05/2026 09:10</t>
  </si>
  <si>
    <t>20/05/2026 05:15</t>
  </si>
  <si>
    <t>20/05/2026 05:25</t>
  </si>
  <si>
    <t xml:space="preserve"> AVENIDA GENERAL CHARLES DE GAULLE</t>
  </si>
  <si>
    <t>20/05/2026 04:32</t>
  </si>
  <si>
    <t>20/05/2026 06:33</t>
  </si>
  <si>
    <t>20/05/2026 11:23</t>
  </si>
  <si>
    <t>20/05/2026 11:26</t>
  </si>
  <si>
    <t xml:space="preserve"> RUA CANARIO</t>
  </si>
  <si>
    <t>20/05/2026 10:18</t>
  </si>
  <si>
    <t>20/05/2026 10:20</t>
  </si>
  <si>
    <t>20/05/2026 10:21</t>
  </si>
  <si>
    <t>20/05/2026 10:12</t>
  </si>
  <si>
    <t>20/05/2026 10:34</t>
  </si>
  <si>
    <t>20/05/2026 10:47</t>
  </si>
  <si>
    <t>20/05/2026 11:27</t>
  </si>
  <si>
    <t>20/05/2026 11:28</t>
  </si>
  <si>
    <t xml:space="preserve"> RUA LIBERO TEIXEIRA BRAGA</t>
  </si>
  <si>
    <t>20/05/2026 09:21</t>
  </si>
  <si>
    <t>20/05/2026 09:24</t>
  </si>
  <si>
    <t>20/05/2026 09:25</t>
  </si>
  <si>
    <t>20/05/2026 09:26</t>
  </si>
  <si>
    <t>FREGUESIA DO O</t>
  </si>
  <si>
    <t>20/05/2026 10:32</t>
  </si>
  <si>
    <t>20/05/2026 14:13</t>
  </si>
  <si>
    <t xml:space="preserve"> RUA PARANAIGUARA</t>
  </si>
  <si>
    <t xml:space="preserve">1 ..UNIÃO capiada </t>
  </si>
  <si>
    <t>20/05/2026 10:42</t>
  </si>
  <si>
    <t>20/05/2026 10:44</t>
  </si>
  <si>
    <t xml:space="preserve"> ESTRADA DA CACHOEIRA</t>
  </si>
  <si>
    <t>20/05/2026 08:17</t>
  </si>
  <si>
    <t>20/05/2026 08:27</t>
  </si>
  <si>
    <t xml:space="preserve"> RUA MAXIMO BARBOSA</t>
  </si>
  <si>
    <t>20/05/2026 06:17</t>
  </si>
  <si>
    <t>20/05/2026 06:32</t>
  </si>
  <si>
    <t xml:space="preserve"> RUA PEDRA DE BENDENGO</t>
  </si>
  <si>
    <t>20/05/2026 04:12</t>
  </si>
  <si>
    <t xml:space="preserve"> VIELA ALIONICE LUCAS DOS SANTOS</t>
  </si>
  <si>
    <t>20/05/2026 11:32</t>
  </si>
  <si>
    <t>20/05/2026 11:33</t>
  </si>
  <si>
    <t xml:space="preserve"> RUA SALVO VELOSO</t>
  </si>
  <si>
    <t>JD NSA SRA APARECIDA</t>
  </si>
  <si>
    <t>20/05/2026 09:51</t>
  </si>
  <si>
    <t>20/05/2026 10:57</t>
  </si>
  <si>
    <t xml:space="preserve"> RUA JOAO JUSTINIANO DA SILVA</t>
  </si>
  <si>
    <t>20/05/2026 10:05</t>
  </si>
  <si>
    <t>20/05/2026 10:09</t>
  </si>
  <si>
    <t>na mesma vala do117</t>
  </si>
  <si>
    <t>20/05/2026 13:55</t>
  </si>
  <si>
    <t>20/05/2026 14:00</t>
  </si>
  <si>
    <t>20/05/2026 13:44</t>
  </si>
  <si>
    <t>20/05/2026 13:48</t>
  </si>
  <si>
    <t>20/05/2026 18:30</t>
  </si>
  <si>
    <t>20/05/2026 18:32</t>
  </si>
  <si>
    <t>20/05/2026 18:15</t>
  </si>
  <si>
    <t>20/05/2026 18:29</t>
  </si>
  <si>
    <t xml:space="preserve"> RUA LAUDELINO ANTONIO DE BRITO</t>
  </si>
  <si>
    <t>edo</t>
  </si>
  <si>
    <t>20/05/2026 15:34</t>
  </si>
  <si>
    <t>20/05/2026 16:07</t>
  </si>
  <si>
    <t xml:space="preserve"> AVENIDA PRINCIPAL DO JD DA PAZ</t>
  </si>
  <si>
    <t>20/05/2026 15:02</t>
  </si>
  <si>
    <t>20/05/2026 15:03</t>
  </si>
  <si>
    <t>20/05/2026 15:01</t>
  </si>
  <si>
    <t>LIGAÇÃO DE ÁGUA DIMENSIONADA S/V</t>
  </si>
  <si>
    <t xml:space="preserve"> ESTRADA DE PERUS</t>
  </si>
  <si>
    <t>ANHANGUERA</t>
  </si>
  <si>
    <t xml:space="preserve"> RUA BARAO GERALDO DE REZENDE</t>
  </si>
  <si>
    <t xml:space="preserve">necessário geofone </t>
  </si>
  <si>
    <t xml:space="preserve"> RUA OLIMPIO BARCELOS</t>
  </si>
  <si>
    <t xml:space="preserve"> RUA DINAMARCA</t>
  </si>
  <si>
    <t xml:space="preserve"> TRAVESSA FANNI BIAS</t>
  </si>
  <si>
    <t>JD MAGGI</t>
  </si>
  <si>
    <t xml:space="preserve"> RUA JOSE DA SILVA RAMOS</t>
  </si>
  <si>
    <t xml:space="preserve"> RUA PEDRO DE LUCENA PEREIRA</t>
  </si>
  <si>
    <t xml:space="preserve"> RUA CARLO PALLAVICINO</t>
  </si>
  <si>
    <t xml:space="preserve">n precisa de reposição </t>
  </si>
  <si>
    <t xml:space="preserve">no ferrolho </t>
  </si>
  <si>
    <t xml:space="preserve"> RUA PRESIDENTE FELIX PAIVA</t>
  </si>
  <si>
    <t xml:space="preserve">foi feito a troca de ramal porém foi irmandade no passeio,o movimento e que o cliente nao está em casa pra ir ate o cavalete </t>
  </si>
  <si>
    <t>JD S JOSE</t>
  </si>
  <si>
    <t xml:space="preserve"> RUA SANDOVAL FERREIRA CABRAL</t>
  </si>
  <si>
    <t xml:space="preserve"> TRAVESSA MARIA SILVESTRE OLIVEIRA</t>
  </si>
  <si>
    <t xml:space="preserve"> RUA FRANCISCO CHAVES</t>
  </si>
  <si>
    <t>JD RAMOS FREITAS</t>
  </si>
  <si>
    <t xml:space="preserve">foi feito troca de ramal porém pouca pressão e geral </t>
  </si>
  <si>
    <t xml:space="preserve"> RUA DO OUTONO</t>
  </si>
  <si>
    <t>Leito Obras.
Foi necessário fazer Novo furo.</t>
  </si>
  <si>
    <t>F C/2</t>
  </si>
  <si>
    <t xml:space="preserve"> RUA DAS ORQUIDEAS</t>
  </si>
  <si>
    <t>, sem reposição,  cliente falou q vai refazer a calçada e já resolve tudo sobre reposição.</t>
  </si>
  <si>
    <t xml:space="preserve"> RUA DESEMBARGADOR LAURO DE SOUZA ALVES</t>
  </si>
  <si>
    <t xml:space="preserve"> RUA SANTANA DO ARACUAI</t>
  </si>
  <si>
    <t>V GUARANI</t>
  </si>
  <si>
    <t xml:space="preserve"> RUA LAURA BETTI</t>
  </si>
  <si>
    <t xml:space="preserve">piso especial MIRACEMA </t>
  </si>
  <si>
    <t>Leito Obras.
Fotos na OS. 2621486062.</t>
  </si>
  <si>
    <t xml:space="preserve"> RUA ERVA DE SAO CRISTOVAO</t>
  </si>
  <si>
    <t>JD MARISTELA</t>
  </si>
  <si>
    <t>Não há posição vazamento dentro da praça.</t>
  </si>
  <si>
    <t xml:space="preserve"> RUA PAULINO CABRAL</t>
  </si>
  <si>
    <t xml:space="preserve"> RUA DARIO VELOSO</t>
  </si>
  <si>
    <t>V CACHOEIRA</t>
  </si>
  <si>
    <t xml:space="preserve">P A concreto </t>
  </si>
  <si>
    <t>.</t>
  </si>
  <si>
    <t xml:space="preserve">Obs: fechado ferrule </t>
  </si>
  <si>
    <t xml:space="preserve"> RUA JOAQUIM DA COSTA PENHA</t>
  </si>
  <si>
    <t xml:space="preserve"> RUA DESEMBARGADOR PLINIO NOVAES ANDRADE</t>
  </si>
  <si>
    <t xml:space="preserve"> RUA GIULIO EREMITA</t>
  </si>
  <si>
    <t xml:space="preserve">cliente vai fazer a reposição </t>
  </si>
  <si>
    <t xml:space="preserve"> RUA VASCO BALBOA</t>
  </si>
  <si>
    <t>COHAB TAIPAS</t>
  </si>
  <si>
    <t>C/6</t>
  </si>
  <si>
    <t>Foi exec a TRA porém o problema continua.
Cliente está quase sem água baixa pressão não sobe pra caixa .</t>
  </si>
  <si>
    <t xml:space="preserve"> RUA COSME DAMIAO DA CUNHA</t>
  </si>
  <si>
    <t xml:space="preserve"> RUA FRANCISCO PERAZA</t>
  </si>
  <si>
    <t xml:space="preserve"> RUA FRANCISCO NERI</t>
  </si>
  <si>
    <t>V SOARES</t>
  </si>
  <si>
    <t xml:space="preserve"> ESTRADA DE LIGACAO DA AV CHICA LUIZA</t>
  </si>
  <si>
    <t xml:space="preserve"> RUA BENEDITO APARECIDO DA SILVA</t>
  </si>
  <si>
    <t xml:space="preserve"> RUA SEBASTIAO LARANJEIRAS</t>
  </si>
  <si>
    <t xml:space="preserve"> RUA ERNESTO BOTTONI</t>
  </si>
  <si>
    <t xml:space="preserve"> RUA SERRA DOS QUATIS</t>
  </si>
  <si>
    <t xml:space="preserve"> RUA BEM TE VI</t>
  </si>
  <si>
    <t xml:space="preserve">SEM CARIMBO PROVISÓRIO POR MOTIVO DE ESTA SEM A PLACA DE CARIMBO NO ALMAXERIFADO. </t>
  </si>
  <si>
    <t xml:space="preserve"> RUA JOAO MOREIRA</t>
  </si>
  <si>
    <t xml:space="preserve"> RUA BELARMINO PRESTES</t>
  </si>
  <si>
    <t xml:space="preserve"> VIELA SAO FRANCISCO</t>
  </si>
  <si>
    <t>JD S JOSE ZNORTE</t>
  </si>
  <si>
    <t xml:space="preserve"> TRAVESSA NUNES CHAGAS</t>
  </si>
  <si>
    <t xml:space="preserve">aperto de gracheta </t>
  </si>
  <si>
    <t xml:space="preserve"> RUA DEPUTADO CYRO ALBUQUERQUE</t>
  </si>
  <si>
    <t>B C/3</t>
  </si>
  <si>
    <t xml:space="preserve"> RUA DOUTOR FERNANDO DE OLIVEIRA SIMOES</t>
  </si>
  <si>
    <t xml:space="preserve"> RUA DONATO ALVAREZ</t>
  </si>
  <si>
    <t>Supressão no ramal abandonado se não quer</t>
  </si>
  <si>
    <t xml:space="preserve"> RUA DOUTOR EVALDO RAMALHO FOZ</t>
  </si>
  <si>
    <t>V TAIAU</t>
  </si>
  <si>
    <t xml:space="preserve"> RUA DENIS BREAN</t>
  </si>
  <si>
    <t xml:space="preserve"> RUA JOSE MOREIRA FRAGA</t>
  </si>
  <si>
    <t xml:space="preserve"> RUA HELCIO DA SILVA</t>
  </si>
  <si>
    <t>B C/4</t>
  </si>
  <si>
    <t>B C/5</t>
  </si>
  <si>
    <t xml:space="preserve">obras não faser reposição </t>
  </si>
  <si>
    <t xml:space="preserve"> RUA JACOB CORTEZ</t>
  </si>
  <si>
    <t xml:space="preserve"> TRAVESSA CIRO ADOLFI</t>
  </si>
  <si>
    <t xml:space="preserve"> RUA ANTONIO DE ALMEIDA VIANA</t>
  </si>
  <si>
    <t xml:space="preserve"> RUA JOSE DE SOUZA FREIRE</t>
  </si>
  <si>
    <t xml:space="preserve"> RUA VERDE DOS ALPES</t>
  </si>
  <si>
    <t xml:space="preserve"> RUA VALENTINO CARDOSO</t>
  </si>
  <si>
    <t xml:space="preserve"> RUA PINHALAO</t>
  </si>
  <si>
    <t xml:space="preserve"> RUA OITO</t>
  </si>
  <si>
    <t xml:space="preserve"> TRAVESSA JULIO SERAFINI</t>
  </si>
  <si>
    <t>foi baixar sem  fotos por foi apos serviço exercutado as fotos se encontra na tal 0s 2694162873</t>
  </si>
  <si>
    <t>serviço baixado sem fotos ficha  foi aberto apos serviço exercutado 0s tal 2694162873</t>
  </si>
  <si>
    <t xml:space="preserve"> AVENIDA JORNALISTA PAULO ZINGG</t>
  </si>
  <si>
    <t xml:space="preserve">trata-se de uma rede de esgoto
realizado a sondagem e foi constatado, necessitamos de Jet </t>
  </si>
  <si>
    <t xml:space="preserve"> RUA ALFONSO LAZZARI</t>
  </si>
  <si>
    <t xml:space="preserve">Sondado em 3 lugares e o vazamento continua vindo de cima. </t>
  </si>
  <si>
    <t>aah ficha foi aberta apos exercucao as  fotos estao na tal 0s 2694203175</t>
  </si>
  <si>
    <t xml:space="preserve"> ESTRADA DO MESTRE</t>
  </si>
  <si>
    <t xml:space="preserve"> RUA VISTA VERDE</t>
  </si>
  <si>
    <t xml:space="preserve"> RUA SIMPLICIANO FERREIRA</t>
  </si>
  <si>
    <t xml:space="preserve">sem reposição calçada em terra, obra do cliente,  pouca sinalização rua estreita </t>
  </si>
  <si>
    <t xml:space="preserve"> RUA AFONSO CLAUDIO</t>
  </si>
  <si>
    <t>eu</t>
  </si>
  <si>
    <t xml:space="preserve"> RUA STEFANO MAUSER</t>
  </si>
  <si>
    <t>S/N</t>
  </si>
  <si>
    <t xml:space="preserve"> RUA BOA VISTA NOVA UNIAO</t>
  </si>
  <si>
    <t xml:space="preserve"> RUA SAO FRANCISCO DE ASSIS</t>
  </si>
  <si>
    <t>C/7</t>
  </si>
  <si>
    <t>V GUEDES</t>
  </si>
  <si>
    <t xml:space="preserve"> RUA GUILHERME CORREIA DE MELO</t>
  </si>
  <si>
    <t>C/8</t>
  </si>
  <si>
    <t>C/9</t>
  </si>
  <si>
    <t>C/12</t>
  </si>
  <si>
    <t>C/13</t>
  </si>
  <si>
    <t>C/15</t>
  </si>
  <si>
    <t>C/14</t>
  </si>
  <si>
    <t>C/16</t>
  </si>
  <si>
    <t>C/10</t>
  </si>
  <si>
    <t>C/11</t>
  </si>
  <si>
    <t>C/17</t>
  </si>
  <si>
    <t>C/18</t>
  </si>
  <si>
    <t xml:space="preserve"> RUA CHIBANTE</t>
  </si>
  <si>
    <t xml:space="preserve"> RUA MANUEL ANTONIO CARVALHO</t>
  </si>
  <si>
    <t xml:space="preserve"> RUA MALHADOR</t>
  </si>
  <si>
    <t xml:space="preserve">PA Obras </t>
  </si>
  <si>
    <t xml:space="preserve"> RUA JERONIMO DE FIGUEIREDO</t>
  </si>
  <si>
    <t>REMANEJAR REDE DE ÁGUA</t>
  </si>
  <si>
    <t xml:space="preserve"> RUA ALVES FEITOSA</t>
  </si>
  <si>
    <t>REMANEJADA REDE DE AGUA</t>
  </si>
  <si>
    <t>2 REDES REMANEJADAS AFIM DE CONTORNAR ARVORE NO LOCAL (10M CADA)</t>
  </si>
  <si>
    <t>reposição aberta pela os 2694169569</t>
  </si>
  <si>
    <t xml:space="preserve">leito em obra. Danificado pela empreiteira que está no local </t>
  </si>
  <si>
    <t>CAIXA UAM ABERTA</t>
  </si>
  <si>
    <t xml:space="preserve"> RUA DOS RADIALISTAS</t>
  </si>
  <si>
    <t xml:space="preserve"> RUA DOIS VIZINHOS</t>
  </si>
  <si>
    <t>V MARIA EUGENIA</t>
  </si>
  <si>
    <t>EXTENSÃO 9 METROS DE TUBO PVC DN75, EQUIPE ADRIANO JOSÉ.
PASSEIO ESPECIAL MIRACEMA 1,5 X 1,5</t>
  </si>
  <si>
    <t xml:space="preserve"> RUA IRMA DORA VIOTTI</t>
  </si>
  <si>
    <t xml:space="preserve">sem reposição calçada obra do cliente </t>
  </si>
  <si>
    <t xml:space="preserve"> RUA SIMAO MAYER</t>
  </si>
  <si>
    <t>VL AURORA</t>
  </si>
  <si>
    <t xml:space="preserve"> RUA SUCUNDURI</t>
  </si>
  <si>
    <t>ETAPAS DE SERVIÇO - EQUIPES</t>
  </si>
  <si>
    <t>ETAPAS</t>
  </si>
  <si>
    <t xml:space="preserve">SEM FOTO </t>
  </si>
  <si>
    <t>Equipe</t>
  </si>
  <si>
    <t>Observação Escoramento</t>
  </si>
  <si>
    <t>FINALIZADO</t>
  </si>
  <si>
    <t xml:space="preserve">Observação Finalizado </t>
  </si>
  <si>
    <t>SEQUÊNCIA DE FOTOS</t>
  </si>
  <si>
    <t xml:space="preserve"> VIELA SANTO ELIAS</t>
  </si>
  <si>
    <t>REPARO DE REDE DE ESGOTO</t>
  </si>
  <si>
    <t>EDMUNDO TAVARES DIAS</t>
  </si>
  <si>
    <t>NIVELADO POÇO DE VISITA</t>
  </si>
  <si>
    <t>SONDAGEM DE REDE DE ESGOTO</t>
  </si>
  <si>
    <t xml:space="preserve">foi feito uma sondagem e trata se de vazamento de água limpa necessário geofonar </t>
  </si>
  <si>
    <t xml:space="preserve"> RUA LUIS SALADIN</t>
  </si>
  <si>
    <t xml:space="preserve">fizemos uma sondagem e vimos que o vazamento vem da água que escorre pela sarjeta, e o imóvel não tem ligação de esgoto,o esgoto do imóvel joga na casa do lado </t>
  </si>
  <si>
    <t>FALTA PLACA DE 50M, ESTREITAMENTO DE PISTA E PEDESTRE</t>
  </si>
  <si>
    <t xml:space="preserve"> RUA PARANA</t>
  </si>
  <si>
    <t>JARDIM PAINEIRAS</t>
  </si>
  <si>
    <t xml:space="preserve">nao  A todas fotos   terreno encharcado </t>
  </si>
  <si>
    <t>SONDAR RAMAL DE ESGOTO</t>
  </si>
  <si>
    <t xml:space="preserve"> RUA PROFESSOR ANGELO MAZZA</t>
  </si>
  <si>
    <t>SONDAGEM DE RAMAL DE ESGOTO</t>
  </si>
  <si>
    <t>JOSE RENATO JESUS DE SOUSA</t>
  </si>
  <si>
    <t xml:space="preserve"> RUA JOSE FERREIRA DE MENEZES</t>
  </si>
  <si>
    <t>TROCA DE RAMAL DE ESGOTO</t>
  </si>
  <si>
    <t>FALTA DE PLACA DE ESTREITAMENTO DE PISTA</t>
  </si>
  <si>
    <t>reparo dentro da vala do reparo de água equipe com vala aberta</t>
  </si>
  <si>
    <t>DESCOBRIR TERMINAL DE LIMPEZA</t>
  </si>
  <si>
    <t>DESCOBERTO TERMINAL DE LIMPEZA</t>
  </si>
  <si>
    <t xml:space="preserve">foi descobrimento e nivelamento </t>
  </si>
  <si>
    <t>FALTA CARIMBO</t>
  </si>
  <si>
    <t>JOSE CARLOS PRATES DA SILVA</t>
  </si>
  <si>
    <t>CONSERTAR RAMAL DE ESGOTO</t>
  </si>
  <si>
    <t xml:space="preserve"> RUA AZALEIA JD PARAISO</t>
  </si>
  <si>
    <t>REPARO DE RAMAL DE ESGOTO</t>
  </si>
  <si>
    <t>FALTA PLACA DE VIA INTERDITADA E 50M</t>
  </si>
  <si>
    <t xml:space="preserve"> RUA JOSE SOEIRO DE VAZ</t>
  </si>
  <si>
    <t xml:space="preserve"> RUA COLEIRINHO</t>
  </si>
  <si>
    <t>NIVELADO POÇO DE INSPEÇÃO</t>
  </si>
  <si>
    <t>FALTA TRENA E CARIMBO</t>
  </si>
  <si>
    <t>V RENATO ZNORTE</t>
  </si>
  <si>
    <t>REPARO DE POÇO DE INSPEÇÃO</t>
  </si>
  <si>
    <t xml:space="preserve">FALTA PLACA DE 50M E ESTREITAMENTO DE PISTA </t>
  </si>
  <si>
    <t xml:space="preserve">obs cliente não sai de cima !
foi utilizado
01 adaptador de 150
01 união para ramal de água </t>
  </si>
  <si>
    <t>FALTA PLACA DE 50M E VIA INTERDITADA</t>
  </si>
  <si>
    <t xml:space="preserve"> RUA JOSE CAMPOS BARRETO</t>
  </si>
  <si>
    <t>passeio em obras</t>
  </si>
  <si>
    <t xml:space="preserve"> RUA PROJETADA UM</t>
  </si>
  <si>
    <t>passeio terra</t>
  </si>
  <si>
    <t xml:space="preserve"> VIELA AIPARUCA</t>
  </si>
  <si>
    <t>GILVAN ROCHA BATISTA</t>
  </si>
  <si>
    <t>PLACA DE 50M EM CIMA DA FITA ZEBRADA E FALTA PLACA DE VIA INTERDITADA E PEDESTRE</t>
  </si>
  <si>
    <t xml:space="preserve"> VIELA RODRIGUES</t>
  </si>
  <si>
    <t>REPARO DE POÇO DE VISITA</t>
  </si>
  <si>
    <t>RECONSTRUIR POÇO DE VISITA</t>
  </si>
  <si>
    <t>RECONSTRUIDO POÇO DE VISITA</t>
  </si>
  <si>
    <t>executado ateriormente</t>
  </si>
  <si>
    <t>CARLOS DANIEL DE LIMA</t>
  </si>
  <si>
    <t xml:space="preserve"> RUA AMARAL DOS BARRETOS</t>
  </si>
  <si>
    <t>executado anteriormente</t>
  </si>
  <si>
    <t xml:space="preserve"> RUA VILA DO SAPE</t>
  </si>
  <si>
    <t>executada anteriormente</t>
  </si>
  <si>
    <t xml:space="preserve"> TRAVESSA PROSPERO RIBEIRO DINIS</t>
  </si>
  <si>
    <t>reconstrução do poço de visita.
foi feito reparo de trincas, rachaduras e buracos.
sem necessidade de nivelamento.</t>
  </si>
  <si>
    <t>reconstrução do poço de visita.
foi feito reparo de trincas, rachaduras e buracos.
foi executado nívelamento com concreto...</t>
  </si>
  <si>
    <t xml:space="preserve"> RUA MANOEL MARTINS DA ROCHA</t>
  </si>
  <si>
    <t>reconstrução do poço de visita.
foi feito reparo de trincas, rachaduras e buracos.
sem necessidade de nivelamento..</t>
  </si>
  <si>
    <t xml:space="preserve"> RUA LEONIDAS MORMELLO</t>
  </si>
  <si>
    <t>obs cliente refazer caixa de esgoto!</t>
  </si>
  <si>
    <t xml:space="preserve"> AVENIDA EUCLIDES DA CUNHA</t>
  </si>
  <si>
    <t xml:space="preserve"> RUA DOM JOAO GUEDES DE BRITO</t>
  </si>
  <si>
    <t>troca de tampão de pv. 600dm</t>
  </si>
  <si>
    <t xml:space="preserve"> RUA IRMA MARIA AMELIA</t>
  </si>
  <si>
    <t xml:space="preserve">reconstrução do poço de visita.
foi feito reparo de trincas, rachaduras e buracos.
sem necessidade de nivelamento... </t>
  </si>
  <si>
    <t xml:space="preserve"> RUA ITAPIRACO</t>
  </si>
  <si>
    <t xml:space="preserve"> RUA URBANO DA SILVA</t>
  </si>
  <si>
    <t>obs serviço realizado na calçada,  não é necessário reposição de calçada ( início de obras)</t>
  </si>
  <si>
    <t>PASSAR RAMAL DE ESGOTO PARA NOVA REDE</t>
  </si>
  <si>
    <t>PASSADO RAMAL DE ESGOTO PARA NOVA REDE</t>
  </si>
  <si>
    <t>IMOVEL DE SOLEIRA NEGATIVA, CAIDA PARA RUA DANIEL PEREIRA DE ANDRADE (ALTURA DO 115)</t>
  </si>
  <si>
    <t xml:space="preserve"> RUA MINAS GERAIS</t>
  </si>
  <si>
    <t>FALTA A TRENA</t>
  </si>
  <si>
    <t xml:space="preserve">troca de tampão 600mm </t>
  </si>
  <si>
    <t>TROCA DE TAMPÃO DE POÇO DE INSPEÇÃO</t>
  </si>
  <si>
    <t>RECONSTRUIR POÇO DE INSPEÇÃO</t>
  </si>
  <si>
    <t>RECONSTRUIDO POÇO DE INSPEÇÃO</t>
  </si>
  <si>
    <t xml:space="preserve"> RUA DIOGO FERNANDES</t>
  </si>
  <si>
    <t>reconstrução do poço de visita.
foi feito reparo de trincas rachaduras e buracos.
sem necessidade de nivelamento..</t>
  </si>
  <si>
    <t>reconstrução do poço de visita.
foi feito obstrução da tampa reparo de trincas, rachaduras e buracos.
sem necessidade de nivelamento..</t>
  </si>
  <si>
    <t>FALTA PLACA DE ESTREITAMENTO DE VIA E 50M</t>
  </si>
  <si>
    <t xml:space="preserve"> RUA ANA BARROS DE OLIVEIRA</t>
  </si>
  <si>
    <t>FALTA PLACA DE VIA INTERDITADA</t>
  </si>
  <si>
    <t xml:space="preserve"> RUA EMIR NOGUEIRA</t>
  </si>
  <si>
    <t>nao A danos  na rede  so o solo que sedeu</t>
  </si>
  <si>
    <t>rua de concreto
foi usado 01 adaptador de 150</t>
  </si>
  <si>
    <t xml:space="preserve"> RUA INDIA</t>
  </si>
  <si>
    <t>JD DA CONQUISTA</t>
  </si>
  <si>
    <t>CONSTRUIR POÇO DE INSPEÇÃO</t>
  </si>
  <si>
    <t>CONSTRUIDO POÇO DE INSPEÇÃO</t>
  </si>
  <si>
    <t>usei quatro aduela de 600</t>
  </si>
  <si>
    <t>PLACA DE 50M PERTO DA FITA ZEBRADA E VIA INTERDITADA</t>
  </si>
  <si>
    <t>DESCOBRIR POÇO INSPEÇÃO/VISITA</t>
  </si>
  <si>
    <t>DESCOBERTO E NIVELADO POÇO DE INSPEÇÃO</t>
  </si>
  <si>
    <t xml:space="preserve"> RUA BEIJA FLOR</t>
  </si>
  <si>
    <t>profundidade  1.25</t>
  </si>
  <si>
    <t>profundidade  1.50</t>
  </si>
  <si>
    <t xml:space="preserve"> RUA FIDELIS ALVES DA COSTA</t>
  </si>
  <si>
    <t>obs Vala profundidade 0,90 cm</t>
  </si>
  <si>
    <t>obs profundidade da Vala 10 mts
urgência Pedreiro refazer calçada concreto
Obs cadeirante na residência
largura da calçada 1,5 x 1,5 mts</t>
  </si>
  <si>
    <t>DESCOBERTO E NIVELADO POÇO DE VISITA</t>
  </si>
  <si>
    <t xml:space="preserve"> RUA PROFESSOR MARCIO DE BARROS</t>
  </si>
  <si>
    <t>FALTA PLACA DE ESTREITAMENTO</t>
  </si>
  <si>
    <t xml:space="preserve"> RUA PANDION</t>
  </si>
  <si>
    <t xml:space="preserve">reconstrução do poço de visita.
foi feito reparo de trincas rachaduras e buracos.
nivelamento executado com concreto. </t>
  </si>
  <si>
    <t xml:space="preserve"> RUA DINAH SILVEIRA DE QUEIROZ</t>
  </si>
  <si>
    <t xml:space="preserve"> RUA PALANTE</t>
  </si>
  <si>
    <t>reconstrução do poço de visita..
foi feito reparo de trincas, rachaduras e buracos..
sem necessidade de nivelamento...</t>
  </si>
  <si>
    <t>PROLONGAR REDE DE ESGOTO</t>
  </si>
  <si>
    <t>PROLONGAMENTO DE REDE DE ESGOTO</t>
  </si>
  <si>
    <t>57,92 - DN 200 até 1,5M - 72000690 - 12140107</t>
  </si>
  <si>
    <t>FALTA PLACA DE ESTREITAMENTO DE VIA</t>
  </si>
  <si>
    <t xml:space="preserve"> RUA PADRE MANUEL CAMPELLO</t>
  </si>
  <si>
    <t xml:space="preserve"> AVENIDA DOS REMEDIOS</t>
  </si>
  <si>
    <t>FALTA PLACA DE 50M E ESTREITAMENTO</t>
  </si>
  <si>
    <t xml:space="preserve"> RUA VALE DO SOL</t>
  </si>
  <si>
    <t xml:space="preserve"> RUA SERRA DA ESTRELA</t>
  </si>
  <si>
    <t>repor Calçada concreto 1,20 x 2,0</t>
  </si>
  <si>
    <t xml:space="preserve"> AVENIDA DOMINGOS ANTONIO DI SANDRO</t>
  </si>
  <si>
    <t>Obs serviço feito na calçada,  repor Calçada concreto
diâmetro 0,90 x 4,0 mts
01 adaptador de 150</t>
  </si>
  <si>
    <t>PASSAGEM DE RAMAL DE ESGOTO APÓS OBRA</t>
  </si>
  <si>
    <t>TRATA-SE DE PASSAGEM DE RAMAL PARA REDE NOVA, VALORAÇÃO</t>
  </si>
  <si>
    <t>TRATA-SE DE PASSAGEM DE RAMAL PARA REDE NOVA - VALORAÇÃO</t>
  </si>
  <si>
    <t>PASSAR RAMAL PARA REDE NOVA. VALORAÇÃO</t>
  </si>
  <si>
    <t>PASSAR RAMAL PARA REDE NOVA, VALORAÇÃO</t>
  </si>
  <si>
    <t xml:space="preserve"> RUA DIEGO VELASQUEZ</t>
  </si>
  <si>
    <t>PASSAR RAMAL PARA REDE NOVA. TERÇO ADJACENTE - VALORAÇÃO</t>
  </si>
  <si>
    <t>SUBSTITUIR LIGAÇÃO DE ESGOTO</t>
  </si>
  <si>
    <t>SUBSTITUIDA LIGAÇÃO DE ESGOTO</t>
  </si>
  <si>
    <t xml:space="preserve"> RUA IDA GOMES</t>
  </si>
  <si>
    <t>13/05/2026 14:47</t>
  </si>
  <si>
    <t xml:space="preserve"> VIELA 210 DA DOURADA DA COMENDADOR</t>
  </si>
  <si>
    <t xml:space="preserve">na viela c.c.e a rede coletora é de 100,e coleta varios imóvel e não material sabesp </t>
  </si>
  <si>
    <t>13/05/2026 11:05</t>
  </si>
  <si>
    <t>13/05/2026 14:29</t>
  </si>
  <si>
    <t xml:space="preserve"> RUA LUIS CUNHA</t>
  </si>
  <si>
    <t>13/05/2026 10:10</t>
  </si>
  <si>
    <t>13/05/2026 18:03</t>
  </si>
  <si>
    <t>13/05/2026 11:50</t>
  </si>
  <si>
    <t>FALTA RÉGUA</t>
  </si>
  <si>
    <t xml:space="preserve"> RUA ARACY RONDON AMARANTE</t>
  </si>
  <si>
    <t>13/05/2026 10:30</t>
  </si>
  <si>
    <t>13/05/2026 10:31</t>
  </si>
  <si>
    <t>13/05/2026 11:00</t>
  </si>
  <si>
    <t>13/05/2026 11:01</t>
  </si>
  <si>
    <t>14/05/2026 11:50</t>
  </si>
  <si>
    <t>14/05/2026 11:51</t>
  </si>
  <si>
    <t xml:space="preserve"> RUA JONAS EUDOQUE DOS SANTOS</t>
  </si>
  <si>
    <t>14/05/2026 07:00</t>
  </si>
  <si>
    <t>14/05/2026 07:01</t>
  </si>
  <si>
    <t xml:space="preserve"> RUA CRISPIM DO AMARAL</t>
  </si>
  <si>
    <t>14/05/2026 11:32</t>
  </si>
  <si>
    <t>14/05/2026 12:28</t>
  </si>
  <si>
    <t xml:space="preserve"> RUA JOSE DE SOUZA AGUIAR</t>
  </si>
  <si>
    <t>reconstrução executada</t>
  </si>
  <si>
    <t>14/05/2026 08:00</t>
  </si>
  <si>
    <t>14/05/2026 09:56</t>
  </si>
  <si>
    <t>14/05/2026 14:20</t>
  </si>
  <si>
    <t>14/05/2026 14:21</t>
  </si>
  <si>
    <t>14/05/2026 14:00</t>
  </si>
  <si>
    <t>14/05/2026 14:01</t>
  </si>
  <si>
    <t xml:space="preserve"> RUA MARIA LUCIA DUARTE</t>
  </si>
  <si>
    <t>troca de tampão  pv</t>
  </si>
  <si>
    <t>14/05/2026 17:16</t>
  </si>
  <si>
    <t>14/05/2026 17:21</t>
  </si>
  <si>
    <t>a passagem do ramal foi no número 90A</t>
  </si>
  <si>
    <t>14/05/2026 16:45</t>
  </si>
  <si>
    <t>14/05/2026 16:21</t>
  </si>
  <si>
    <t>14/05/2026 16:24</t>
  </si>
  <si>
    <t>15/05/2026 10:50</t>
  </si>
  <si>
    <t>15/05/2026 13:28</t>
  </si>
  <si>
    <t>15/05/2026 16:00</t>
  </si>
  <si>
    <t xml:space="preserve"> RUA DEZOITO DO JD PAULISTANO</t>
  </si>
  <si>
    <t>15/05/2026 09:29</t>
  </si>
  <si>
    <t>Obs  reposição de calçada concreto
1,0 x 2,0 mts
Obs foi utilizado 01 adaptador de 150</t>
  </si>
  <si>
    <t>15/05/2026 13:09</t>
  </si>
  <si>
    <t>15/05/2026 14:55</t>
  </si>
  <si>
    <t xml:space="preserve"> RUA FRANCISCO CHAVES PINHEIRO</t>
  </si>
  <si>
    <t>15/05/2026 15:01</t>
  </si>
  <si>
    <t>15/05/2026 15:57</t>
  </si>
  <si>
    <t>15/05/2026 14:05</t>
  </si>
  <si>
    <t>15/05/2026 14:45</t>
  </si>
  <si>
    <t xml:space="preserve"> RUA SICANO</t>
  </si>
  <si>
    <t>15/05/2026 22:07</t>
  </si>
  <si>
    <t>15/05/2026 22:08</t>
  </si>
  <si>
    <t>reconstrução do poço de visita.
foi feito reparo de trincas, rachaduras e buracos e limpeza.
sem necessidade de nivelamento...</t>
  </si>
  <si>
    <t>15/05/2026 09:13</t>
  </si>
  <si>
    <t>15/05/2026 09:36</t>
  </si>
  <si>
    <t xml:space="preserve"> RUA AMILCAR BARBUY</t>
  </si>
  <si>
    <t>15/05/2026 21:54</t>
  </si>
  <si>
    <t>15/05/2026 21:56</t>
  </si>
  <si>
    <t>15/05/2026 22:13</t>
  </si>
  <si>
    <t>15/05/2026 22:15</t>
  </si>
  <si>
    <t>15/05/2026 21:58</t>
  </si>
  <si>
    <t>15/05/2026 22:00</t>
  </si>
  <si>
    <t>reconstrução do poço de visita.
foi feito reparo de trincas, rachaduras e buracos.
nívelamento executado com concreto..</t>
  </si>
  <si>
    <t>15/05/2026 22:02</t>
  </si>
  <si>
    <t>15/05/2026 22:05</t>
  </si>
  <si>
    <t xml:space="preserve"> AVENIDA CAVALEIROS DE SAO PAULO</t>
  </si>
  <si>
    <t>15/05/2026 22:10</t>
  </si>
  <si>
    <t>15/05/2026 22:12</t>
  </si>
  <si>
    <t xml:space="preserve"> RUA JOSE REBOUCAS DE CARVALHO</t>
  </si>
  <si>
    <t>15/05/2026 21:49</t>
  </si>
  <si>
    <t>15/05/2026 21:52</t>
  </si>
  <si>
    <t>15/05/2026 07:00</t>
  </si>
  <si>
    <t>15/05/2026 07:01</t>
  </si>
  <si>
    <t xml:space="preserve"> RUA CORONEL AMILCAR MAGALHAES</t>
  </si>
  <si>
    <t>V ITAPEVA</t>
  </si>
  <si>
    <t>15/05/2026 15:34</t>
  </si>
  <si>
    <t>15/05/2026 15:35</t>
  </si>
  <si>
    <t>15/05/2026 15:58</t>
  </si>
  <si>
    <t xml:space="preserve"> RUA EXPEDITO RIBEIRO DE SOUZA</t>
  </si>
  <si>
    <t>na mesma vala número 150
troca de ramal de esgoto
um selim de 200x100
uma curva 90x100
uma luva de pvc de 100
3.50 tudo pvc de 100
Piso especial ladrilho branco e preto</t>
  </si>
  <si>
    <t>16/05/2026 11:40</t>
  </si>
  <si>
    <t>16/05/2026 12:42</t>
  </si>
  <si>
    <t>16/05/2026 13:19</t>
  </si>
  <si>
    <t>16/05/2026 13:31</t>
  </si>
  <si>
    <t xml:space="preserve"> RUA DONA HERMINDA BORBA ATTUY</t>
  </si>
  <si>
    <t>SUANE SOUSA COSTA</t>
  </si>
  <si>
    <t xml:space="preserve">PASSEIO EM OBRA PELO CLIENTE </t>
  </si>
  <si>
    <t>16/05/2026 12:05</t>
  </si>
  <si>
    <t>16/05/2026 12:08</t>
  </si>
  <si>
    <t>EQUIPE ANTOIO MANOEL OBRA</t>
  </si>
  <si>
    <t>16/05/2026 15:02</t>
  </si>
  <si>
    <t>16/05/2026 15:05</t>
  </si>
  <si>
    <t xml:space="preserve"> RUA ANTONIO CARDOSO NOGUEIRA</t>
  </si>
  <si>
    <t>17/05/2026 13:40</t>
  </si>
  <si>
    <t>17/05/2026 14:00</t>
  </si>
  <si>
    <t>17/05/2026 09:12</t>
  </si>
  <si>
    <t>17/05/2026 09:34</t>
  </si>
  <si>
    <t xml:space="preserve"> RUA ISABELLA CERQUEIRA CAMPOS</t>
  </si>
  <si>
    <t>S DOMINGOS</t>
  </si>
  <si>
    <t>17/05/2026 11:09</t>
  </si>
  <si>
    <t xml:space="preserve"> RUA PROFESSOR HENRIQUE ISOLA NETO</t>
  </si>
  <si>
    <t>17/05/2026 10:27</t>
  </si>
  <si>
    <t>17/05/2026 15:01</t>
  </si>
  <si>
    <t>17/05/2026 14:42</t>
  </si>
  <si>
    <t>17/05/2026 14:43</t>
  </si>
  <si>
    <t xml:space="preserve"> VIELA INACIO LEOPOLDO DE CAMARGO</t>
  </si>
  <si>
    <t>18/05/2026 09:51</t>
  </si>
  <si>
    <t>18/05/2026 15:55</t>
  </si>
  <si>
    <t>18/05/2026 07:10</t>
  </si>
  <si>
    <t>18/05/2026 07:13</t>
  </si>
  <si>
    <t>18/05/2026 07:00</t>
  </si>
  <si>
    <t>18/05/2026 07:01</t>
  </si>
  <si>
    <t>sem reposição de calçada
início de obras
Obs vala profundidade 1,20</t>
  </si>
  <si>
    <t>18/05/2026 15:26</t>
  </si>
  <si>
    <t xml:space="preserve"> TRAVESSA DOS DIAMANTES</t>
  </si>
  <si>
    <t xml:space="preserve"> RUA JORGE PILLI NETTO</t>
  </si>
  <si>
    <t>19/05/2026 06:10</t>
  </si>
  <si>
    <t>19/05/2026 06:13</t>
  </si>
  <si>
    <t xml:space="preserve"> RUA AMARAVATI</t>
  </si>
  <si>
    <t>CONJ CITY JARAGUA</t>
  </si>
  <si>
    <t>19/05/2026 06:05</t>
  </si>
  <si>
    <t>19/05/2026 12:27</t>
  </si>
  <si>
    <t xml:space="preserve"> RUA JOSE BENTO DE SOUZA NETO</t>
  </si>
  <si>
    <t>JD VISTA LINDA</t>
  </si>
  <si>
    <t>19/05/2026 10:48</t>
  </si>
  <si>
    <t>19/05/2026 15:42</t>
  </si>
  <si>
    <t xml:space="preserve"> RUA JOAQUIM ACHAVAL</t>
  </si>
  <si>
    <t>19/05/2026 21:52</t>
  </si>
  <si>
    <t>19/05/2026 21:53</t>
  </si>
  <si>
    <t xml:space="preserve"> RUA ALECRIM DO CAMPO</t>
  </si>
  <si>
    <t>19/05/2026 14:30</t>
  </si>
  <si>
    <t>19/05/2026 14:31</t>
  </si>
  <si>
    <t>19/05/2026 21:48</t>
  </si>
  <si>
    <t>19/05/2026 21:50</t>
  </si>
  <si>
    <t>19/05/2026 15:30</t>
  </si>
  <si>
    <t>19/05/2026 15:31</t>
  </si>
  <si>
    <t>feito sondagem, trata-se de vazamento de agua limpa.</t>
  </si>
  <si>
    <t>19/05/2026 15:20</t>
  </si>
  <si>
    <t>19/05/2026 15:21</t>
  </si>
  <si>
    <t>CONSTRUIDO POÇO DE VISITA</t>
  </si>
  <si>
    <t>ATÉ 2M</t>
  </si>
  <si>
    <t>19/05/2026 16:00</t>
  </si>
  <si>
    <t>19/05/2026 16:01</t>
  </si>
  <si>
    <t>REMANEJAR REDE DE ESGOTO</t>
  </si>
  <si>
    <t>REMANEJADA REDE DE ESGOTO</t>
  </si>
  <si>
    <t xml:space="preserve"> RUA FORTALEZA</t>
  </si>
  <si>
    <t>20/05/2026 11:01</t>
  </si>
  <si>
    <t>20/05/2026 11:02</t>
  </si>
  <si>
    <t>20/05/2026 10:01</t>
  </si>
  <si>
    <t>20/05/2026 10:59</t>
  </si>
  <si>
    <t>20/05/2026 07:00</t>
  </si>
  <si>
    <t>20/05/2026 07:01</t>
  </si>
  <si>
    <t xml:space="preserve"> RUA FRANCA</t>
  </si>
  <si>
    <t>20/05/2026 09:19</t>
  </si>
  <si>
    <t>20/05/2026 12:24</t>
  </si>
  <si>
    <t>FALTA RÉGUA E CARIMBO</t>
  </si>
  <si>
    <t>20/05/2026 10:28</t>
  </si>
  <si>
    <t>20/05/2026 11:36</t>
  </si>
  <si>
    <t xml:space="preserve"> RUA A</t>
  </si>
  <si>
    <t>20/05/2026 13:37</t>
  </si>
  <si>
    <t>20/05/2026 15:37</t>
  </si>
  <si>
    <t xml:space="preserve"> TRAVESSA LAZARO MERONE</t>
  </si>
  <si>
    <t>trata-se de água da sarjeta e água de chuva
foi executado sondagem e nada foi determinado</t>
  </si>
  <si>
    <t>20/05/2026 10:58</t>
  </si>
  <si>
    <t>PLACA DE 50M PERTO DA FITA ZEBRADA E ESTREITAMENTO DE VIA</t>
  </si>
  <si>
    <t xml:space="preserve"> RUA AGUIA CINZENTA</t>
  </si>
  <si>
    <t>passeio terra Ligação no terço adjacente</t>
  </si>
  <si>
    <t>20/05/2026 14:32</t>
  </si>
  <si>
    <t>20/05/2026 15:12</t>
  </si>
  <si>
    <t>FALTA PLACA DE ESTREITAMENTO DE VIS</t>
  </si>
  <si>
    <t xml:space="preserve"> RUA CARLOS DA CUNHA MATTOS</t>
  </si>
  <si>
    <t>reconstrução do poço de visita.
foi feito reparo de trincas rachaduras e buracos
sem necessidade de nivelamento.</t>
  </si>
  <si>
    <t>20/05/2026 11:58</t>
  </si>
  <si>
    <t>20/05/2026 12:12</t>
  </si>
  <si>
    <t xml:space="preserve">reconstrução do poço de visita.
foi feito reparo de trincas, rachaduras e buracos.
reparo do nivelamento.. </t>
  </si>
  <si>
    <t>20/05/2026 14:01</t>
  </si>
  <si>
    <t>20/05/2026 14:28</t>
  </si>
  <si>
    <t xml:space="preserve"> AVENIDA OTAVIANO ALVES DE LIMA</t>
  </si>
  <si>
    <t>CASA VERDE BAIXA</t>
  </si>
  <si>
    <t>reconstrução do poço de visita.
foi feito reparo de trincas, rachaduras e buracos.
sem necessidade de nivelamento...</t>
  </si>
  <si>
    <t>20/05/2026 14:42</t>
  </si>
  <si>
    <t>20/05/2026 15:18</t>
  </si>
  <si>
    <t xml:space="preserve"> AVENIDA ALEXANDRE COLARES</t>
  </si>
  <si>
    <t>20/05/2026 15:33</t>
  </si>
  <si>
    <t>20/05/2026 15:52</t>
  </si>
  <si>
    <t>COLOCAR TAMPÃO EM POÇO INSPEÇÃO/VISITA</t>
  </si>
  <si>
    <t xml:space="preserve"> PRACA ROCHA FALCAO</t>
  </si>
  <si>
    <t>TROCA DE TAMPÃO DE POÇO DE VISITA</t>
  </si>
  <si>
    <t>20/05/2026 12:23</t>
  </si>
  <si>
    <t>20/05/2026 13:16</t>
  </si>
  <si>
    <t>20/05/2026 13:00</t>
  </si>
  <si>
    <t>20/05/2026 13:01</t>
  </si>
  <si>
    <t>20/05/2026 13:02</t>
  </si>
  <si>
    <t xml:space="preserve"> RUA AKIO MORITA</t>
  </si>
  <si>
    <t xml:space="preserve"> RUA LUIZ JOSE MONTESANTI</t>
  </si>
  <si>
    <t>V COMERCIAL</t>
  </si>
  <si>
    <t xml:space="preserve"> RUA DOMINGOS DE MAGALHAES</t>
  </si>
  <si>
    <t xml:space="preserve">o que causou a cratera foi a água de chuva </t>
  </si>
  <si>
    <t xml:space="preserve"> RUA DOUTOR JOSE PACHECO E SILVA</t>
  </si>
  <si>
    <t xml:space="preserve">obs sem reposição de calçada </t>
  </si>
  <si>
    <t>MATERIAL UTILIZADO PARA FINALIZAÇÃO ESTÁ INSUFICIENTE</t>
  </si>
  <si>
    <t xml:space="preserve"> RUA PAULO ARENTINO</t>
  </si>
  <si>
    <t xml:space="preserve"> RUA PERSIO DE SOUZA QUEIROZ FILHO</t>
  </si>
  <si>
    <t xml:space="preserve"> RUA JOAQUIM DE SOUZA BRITO</t>
  </si>
  <si>
    <t xml:space="preserve">as fotos estão na O.S 2621091869 morador não deixou quebra o passeio </t>
  </si>
  <si>
    <t xml:space="preserve"> RUA PADRE ANIBAL DIFRANCIA</t>
  </si>
  <si>
    <t xml:space="preserve">profundidade 1mt </t>
  </si>
  <si>
    <t xml:space="preserve"> RUA VENCESLAU GOMES DA SILVA</t>
  </si>
  <si>
    <t>LIGAÇÃO DE ESGOTO DIMENSIONADA S/V</t>
  </si>
  <si>
    <t xml:space="preserve"> RUA CACHOEIRA DE PIRAPORA</t>
  </si>
  <si>
    <t xml:space="preserve"> RUA JOSE DA COSTA PEREIRA</t>
  </si>
  <si>
    <t xml:space="preserve"> RUA CANADA</t>
  </si>
  <si>
    <t xml:space="preserve"> RUA NOVA ROMA</t>
  </si>
  <si>
    <t>Obs sem reposição de calçada
início de obras cliente
vala profundidade 1,0 mtr
vala diâmetro 3,0 x 3,5</t>
  </si>
  <si>
    <t xml:space="preserve"> RUA ELISEU REINALDO MORAES VIEIRA</t>
  </si>
  <si>
    <t xml:space="preserve">troca de tampão </t>
  </si>
  <si>
    <t xml:space="preserve"> RUA EMILIO COLELLA</t>
  </si>
  <si>
    <t>executado sondagem no passeio especial miracema ramal novo nada foi identificado ramal ok trata-se de água da sarjeta</t>
  </si>
  <si>
    <t xml:space="preserve"> RUA OSWALDO IGNACIO DOMINGUES</t>
  </si>
  <si>
    <t>V SIQUEIRA ZNORTE</t>
  </si>
  <si>
    <t>FALTA PLACA DE 50M E ESTREITAMENTO DE VIA</t>
  </si>
  <si>
    <t xml:space="preserve"> RUA JOAO GOMES MENDONCA</t>
  </si>
  <si>
    <t>repor Calçada concreto com marinho de bloco 0,80 x 3,0 mts
repor Calçada concreto 1,5 x 3,0 mts</t>
  </si>
  <si>
    <t xml:space="preserve"> RUA GABRIEL ARREGUI</t>
  </si>
  <si>
    <t xml:space="preserve"> RUA DOUTOR ODON CARLOS DE F FERRAZ</t>
  </si>
  <si>
    <t xml:space="preserve">o ramal de esgoto estava quebrado, e foi executado a troca do ramal </t>
  </si>
  <si>
    <t xml:space="preserve"> RUA ALMERIO DE ALBUQUERQUE MELO</t>
  </si>
  <si>
    <t xml:space="preserve"> RUA ADEMAR MARTINS DE FREITAS</t>
  </si>
  <si>
    <t xml:space="preserve">troca de tampão pv 600mm </t>
  </si>
  <si>
    <t xml:space="preserve"> sondagem nada consta, fotos na os</t>
  </si>
  <si>
    <t xml:space="preserve"> RUA ESTEVAN RIBEIRO RESENDE</t>
  </si>
  <si>
    <t>COLOCADO TAMPÃO EM POÇO DE VISITA</t>
  </si>
  <si>
    <t>as fotos estão na O.S 2621867267</t>
  </si>
  <si>
    <t>rua fresada</t>
  </si>
  <si>
    <t xml:space="preserve"> RUA CELIO TATONI ROCHA</t>
  </si>
  <si>
    <t xml:space="preserve"> RUA HELDER FERNANDES GUIMARAES</t>
  </si>
  <si>
    <t>JD VIEIRA</t>
  </si>
  <si>
    <t xml:space="preserve"> RUA JOAQUIM TEODORO TAVARES</t>
  </si>
  <si>
    <t xml:space="preserve"> RUA JOAO OLIVEIRA CARMO</t>
  </si>
  <si>
    <t xml:space="preserve">passeio em obras </t>
  </si>
  <si>
    <t xml:space="preserve"> RUA NICOLAS BRAVO</t>
  </si>
  <si>
    <t xml:space="preserve">obs serviço feito em viela
repor cimentado  concreto
com escada de 5 degraus </t>
  </si>
  <si>
    <t xml:space="preserve"> RUA VIOLETA DOS ALPES</t>
  </si>
  <si>
    <t xml:space="preserve"> RUA LAVRINHA</t>
  </si>
  <si>
    <t>reconstrução do poço de visita.
foi feito reparo de trincas rachaduras e buracos.
sem necessidade de nivelamento.</t>
  </si>
  <si>
    <t xml:space="preserve"> RUA POCO REDONDO</t>
  </si>
  <si>
    <t xml:space="preserve"> RUA DIANORA</t>
  </si>
  <si>
    <t xml:space="preserve">Obs sem reposição de calçada
início de obras cliente </t>
  </si>
  <si>
    <t>PV COM LAJE</t>
  </si>
  <si>
    <t xml:space="preserve"> ACESSO UM</t>
  </si>
  <si>
    <t>JD ANAGILDA</t>
  </si>
  <si>
    <t>Observação fachada</t>
  </si>
  <si>
    <t>Observação antes</t>
  </si>
  <si>
    <t>Observação Hidrômetro</t>
  </si>
  <si>
    <t>Observação leitura</t>
  </si>
  <si>
    <t>Observação finalização</t>
  </si>
  <si>
    <t>PÓLO</t>
  </si>
  <si>
    <t xml:space="preserve"> RUA AGUA FRIA DE GOIAS</t>
  </si>
  <si>
    <t>TROCA DE REGISTRO DE CAVALETE</t>
  </si>
  <si>
    <t>DANILO DOS SANTOS JACINTO</t>
  </si>
  <si>
    <t>C C/1</t>
  </si>
  <si>
    <t>TROCA DE CAVALETE (KIT)</t>
  </si>
  <si>
    <t>SIDNEY FREDERICO CARLOS DA SILVA</t>
  </si>
  <si>
    <t>NÃO POSSÍVEL IDENTIFICAR O LACRE DA CAIXA UMA</t>
  </si>
  <si>
    <t xml:space="preserve"> RUA CALIXTO CORDEIRO</t>
  </si>
  <si>
    <t>VIVIANE APARECIDA DA SILVA ARAUJO</t>
  </si>
  <si>
    <t>REGISTRO DO CAVALETE INVERTIDO</t>
  </si>
  <si>
    <t xml:space="preserve"> RUA COMENDADOR HAROLDO JENSEN</t>
  </si>
  <si>
    <t>LUIZ CARLOS ALVES GOMES DA SILVA</t>
  </si>
  <si>
    <t xml:space="preserve"> RUA SAO JUDAS TADEU</t>
  </si>
  <si>
    <t xml:space="preserve">telefone só caixa postal </t>
  </si>
  <si>
    <t xml:space="preserve">telefone só chama </t>
  </si>
  <si>
    <t xml:space="preserve"> RUA PIRABEBE</t>
  </si>
  <si>
    <t xml:space="preserve"> RUA JACINTHO PEREIRA</t>
  </si>
  <si>
    <t>RAIMUNDO NONATO COSTA DA SILVA</t>
  </si>
  <si>
    <t>REPARO DE REGISTRO DE CAVALETE</t>
  </si>
  <si>
    <t>ALINE DE MELO SOUTO</t>
  </si>
  <si>
    <t xml:space="preserve"> RUA JOSE PEDRO ALEXANDRE</t>
  </si>
  <si>
    <t>PQ TAIPAS PQ DAS FLORES</t>
  </si>
  <si>
    <t>MICHAEL JONATHAN DE FREITAS MOITINHO</t>
  </si>
  <si>
    <t xml:space="preserve"> RUA SEVERINO SOMBRA</t>
  </si>
  <si>
    <t xml:space="preserve"> RUA DELFINO DE MELLO</t>
  </si>
  <si>
    <t xml:space="preserve"> RUA JOAQUIM MATEUS CORREIA</t>
  </si>
  <si>
    <t xml:space="preserve"> RUA BELO JARDIM</t>
  </si>
  <si>
    <t>C/60</t>
  </si>
  <si>
    <t xml:space="preserve"> RUA MARTINHO DO AMARAL</t>
  </si>
  <si>
    <t>REPARO DE CAVALETE</t>
  </si>
  <si>
    <t>DANILO DE ANDRADE SANTANA</t>
  </si>
  <si>
    <t xml:space="preserve"> RUA DA LADEIRA</t>
  </si>
  <si>
    <t xml:space="preserve"> RUA CAPELA DA LAGOA</t>
  </si>
  <si>
    <t xml:space="preserve"> TRAVESSA VIARIO</t>
  </si>
  <si>
    <t xml:space="preserve"> RUA MOVIMENTO DOS CANUDOS</t>
  </si>
  <si>
    <t xml:space="preserve"> RUA RICARDO ABED</t>
  </si>
  <si>
    <t xml:space="preserve"> RUA FILIPE CLEMENTI</t>
  </si>
  <si>
    <t xml:space="preserve"> RUA JOAO COSMO DOS SANTOS</t>
  </si>
  <si>
    <t>. C/1</t>
  </si>
  <si>
    <t>VL ICARAI</t>
  </si>
  <si>
    <t>INSTALADO LACRE DIVERSOS</t>
  </si>
  <si>
    <t xml:space="preserve"> RUA PARAIPABA</t>
  </si>
  <si>
    <t>JD CANAA</t>
  </si>
  <si>
    <t xml:space="preserve"> AVENIDA FELIPPO STURBA</t>
  </si>
  <si>
    <t xml:space="preserve"> RUA JOSE MAURO DE VASCONCELOS</t>
  </si>
  <si>
    <t>JD DOS PINHEIROS</t>
  </si>
  <si>
    <t>JD VITORIA REGIA ZNORTE</t>
  </si>
  <si>
    <t xml:space="preserve"> RUA SERGIO CORREA DA SILVA</t>
  </si>
  <si>
    <t xml:space="preserve"> RUA AHYLTON MARQUES</t>
  </si>
  <si>
    <t xml:space="preserve"> RUA ANTONINI FERDINANDO</t>
  </si>
  <si>
    <t xml:space="preserve"> RUA ADOLFO LAZZARI</t>
  </si>
  <si>
    <t xml:space="preserve"> RUA VITORIA REGIA</t>
  </si>
  <si>
    <t>TROCA DE PE DE CAVALETE PREVENTIVO</t>
  </si>
  <si>
    <t xml:space="preserve"> RUA PERA D AGUA</t>
  </si>
  <si>
    <t xml:space="preserve"> RUA JOSE XAVIER DA COSTA</t>
  </si>
  <si>
    <t xml:space="preserve"> TRAVESSA DO AMOR NOVA UNIAO</t>
  </si>
  <si>
    <t>Baixado sem foto devido ser área de risco</t>
  </si>
  <si>
    <t xml:space="preserve">baixado  sem foto devido ser área de risco </t>
  </si>
  <si>
    <t xml:space="preserve"> TRAVESSA HARMONIA NOVA UNIAO</t>
  </si>
  <si>
    <t xml:space="preserve"> RUA AMERICANA</t>
  </si>
  <si>
    <t xml:space="preserve"> RUA GEORGE DENOLA</t>
  </si>
  <si>
    <t xml:space="preserve"> RUA LUIS BOCCHIO</t>
  </si>
  <si>
    <t xml:space="preserve"> RUA CERRADO BRASILEIRO</t>
  </si>
  <si>
    <t xml:space="preserve"> RUA ADOLFO DE SOUZA CARNEIRO</t>
  </si>
  <si>
    <t xml:space="preserve"> RUA DOUTOR JOAO BATISTA BERNARDES DE LIMA</t>
  </si>
  <si>
    <t xml:space="preserve"> RUA ELIAS VITORINO DE SOUZA</t>
  </si>
  <si>
    <t xml:space="preserve"> AVENIDA JOSE ALVES DE MIRA</t>
  </si>
  <si>
    <t xml:space="preserve"> RUA VISSOSA</t>
  </si>
  <si>
    <t xml:space="preserve"> RUA DA CHACARA</t>
  </si>
  <si>
    <t xml:space="preserve"> RUA FELICIANO MALABIA</t>
  </si>
  <si>
    <t xml:space="preserve"> RUA ROQUE CALLAGE</t>
  </si>
  <si>
    <t xml:space="preserve"> RUA ENEIAS GALVAO</t>
  </si>
  <si>
    <t xml:space="preserve"> RUA ISRAEL FERREIRA FERRO</t>
  </si>
  <si>
    <t xml:space="preserve"> RUA PRESGRAVE DO AMARAL</t>
  </si>
  <si>
    <t xml:space="preserve"> PRACA LUIZ VAZ DE CAMOES</t>
  </si>
  <si>
    <t>MORRO VERDE</t>
  </si>
  <si>
    <t xml:space="preserve"> RUA DOUTOR ENEAS CARNEIRO</t>
  </si>
  <si>
    <t xml:space="preserve"> RUA ALMEIDA FILHO</t>
  </si>
  <si>
    <t xml:space="preserve"> RUA ANTONIO DE PADUA DIAS</t>
  </si>
  <si>
    <t xml:space="preserve"> RUA VITANTONIO MASTROROSA</t>
  </si>
  <si>
    <t xml:space="preserve"> TRAVESSA SAO FRANCISCO</t>
  </si>
  <si>
    <t xml:space="preserve"> TRAVESSA MANOEL BELIZAR</t>
  </si>
  <si>
    <t>NÃO POSSÍVEL VISUALIZAR A FACHADA E NÚMERO</t>
  </si>
  <si>
    <t xml:space="preserve"> RUA CINCO</t>
  </si>
  <si>
    <t xml:space="preserve"> RUA NOVA CANAA</t>
  </si>
  <si>
    <t>NÃO POSSÍVEL VISUALIZAR O LACRE</t>
  </si>
  <si>
    <t>Os aberta após a execução</t>
  </si>
  <si>
    <t xml:space="preserve"> RUA IPIROLDES MARTINS BORGES</t>
  </si>
  <si>
    <t xml:space="preserve"> TRAVESSA DA FAMILIA NOVA UNIAO</t>
  </si>
  <si>
    <t>sem cavalete no local  e sem a caixa uma feito a supressão  pra nao ficar vazando</t>
  </si>
  <si>
    <t xml:space="preserve"> RUA ACARICUARA</t>
  </si>
  <si>
    <t xml:space="preserve"> RUA MARCELINO FERREIRA BUENO</t>
  </si>
  <si>
    <t xml:space="preserve"> ESTRADA CORONEL JOSE GLADIADOR</t>
  </si>
  <si>
    <t xml:space="preserve"> AVENIDA AMADOR AGUIAR</t>
  </si>
  <si>
    <t xml:space="preserve"> RUA CONSTANTINO GAITO</t>
  </si>
  <si>
    <t xml:space="preserve"> RUA AGU</t>
  </si>
  <si>
    <t xml:space="preserve"> RUA LUIS FRANCISCO LOMBARD</t>
  </si>
  <si>
    <t xml:space="preserve"> RUA ROMENIA</t>
  </si>
  <si>
    <t xml:space="preserve"> RUA JABIBERI</t>
  </si>
  <si>
    <t xml:space="preserve"> RUA DOM ERICO FERRARI</t>
  </si>
  <si>
    <t xml:space="preserve"> RUA FRANCISCO SOLER</t>
  </si>
  <si>
    <t>JD S RICARDO</t>
  </si>
  <si>
    <t xml:space="preserve"> RUA FRANCISCO ANDRADE</t>
  </si>
  <si>
    <t xml:space="preserve"> RUA CLAUDIO SANTORO</t>
  </si>
  <si>
    <t xml:space="preserve"> RUA AGUA DOCE DE MANTENA</t>
  </si>
  <si>
    <t xml:space="preserve"> VIELA RAIMUNDO SOARES FERREIRA</t>
  </si>
  <si>
    <t>JD BANDEIRANTES ZNORTE</t>
  </si>
  <si>
    <t xml:space="preserve"> RUA CAPITAO DE CAMPOS</t>
  </si>
  <si>
    <t xml:space="preserve"> RUA HONORATO PEREIRA</t>
  </si>
  <si>
    <t xml:space="preserve"> VIELA DA BRISA DA CHICA LUIZA</t>
  </si>
  <si>
    <t xml:space="preserve"> RUA DOUTOR RAFAEL DE ARAUJO RIBEIRO</t>
  </si>
  <si>
    <t xml:space="preserve"> RUA MAURO DALAY</t>
  </si>
  <si>
    <t xml:space="preserve"> RUA ANTONIO CANDEIA FILHO</t>
  </si>
  <si>
    <t xml:space="preserve"> RUA JOAQUIM PEREIRA LIMA</t>
  </si>
  <si>
    <t xml:space="preserve"> RUA DIRCE MIGLIACCIO</t>
  </si>
  <si>
    <t xml:space="preserve"> RUA ALEX LIZAL</t>
  </si>
  <si>
    <t xml:space="preserve">serviço executado anteriormente </t>
  </si>
  <si>
    <t>NÃO É POSSIVEL NOTAR DIFERENÇA</t>
  </si>
  <si>
    <t xml:space="preserve"> RUA PADRE VICENTE GAUDINERI</t>
  </si>
  <si>
    <t xml:space="preserve"> RUA DOM OSCAR ROMERO</t>
  </si>
  <si>
    <t xml:space="preserve"> RUA MANUEL MARQUES DE SOUSA</t>
  </si>
  <si>
    <t xml:space="preserve"> RUA MUNIZ BARRETO</t>
  </si>
  <si>
    <t xml:space="preserve"> RUA FONTES DA SILVA</t>
  </si>
  <si>
    <t xml:space="preserve"> RUA JOSE BARONCELLI</t>
  </si>
  <si>
    <t xml:space="preserve"> RUA MANUEL FURTADO</t>
  </si>
  <si>
    <t xml:space="preserve"> RUA LUIZ FACCINI</t>
  </si>
  <si>
    <t xml:space="preserve"> RUA FREDERICO LECOR</t>
  </si>
  <si>
    <t xml:space="preserve"> RUA AIRUMA</t>
  </si>
  <si>
    <t xml:space="preserve"> RUA ARUNTA</t>
  </si>
  <si>
    <t xml:space="preserve"> RUA NOSSA SENHORA DA CONCEICAO</t>
  </si>
  <si>
    <t xml:space="preserve"> RUA ANGELO DA SILVA</t>
  </si>
  <si>
    <t xml:space="preserve"> RUA HIROSADA TAMURA</t>
  </si>
  <si>
    <t xml:space="preserve"> RUA RAMOS DE PAREJA</t>
  </si>
  <si>
    <t xml:space="preserve">cavalete suprimido e sem vazamento </t>
  </si>
  <si>
    <t xml:space="preserve"> RUA UBIRAJARA DONIZETE DE ANDRADE</t>
  </si>
  <si>
    <t xml:space="preserve"> RUA OTAVIO GONCALVES MARTINS</t>
  </si>
  <si>
    <t xml:space="preserve"> RUA PAUVA</t>
  </si>
  <si>
    <t>TROCA DE CAVALETE POR UMA</t>
  </si>
  <si>
    <t xml:space="preserve"> VIELA BORGES</t>
  </si>
  <si>
    <t xml:space="preserve"> TRAVESSA PARTICULAR</t>
  </si>
  <si>
    <t xml:space="preserve"> RUA SAO MATEUS</t>
  </si>
  <si>
    <t xml:space="preserve"> RUA EDUARDO COIMBRA</t>
  </si>
  <si>
    <t>;</t>
  </si>
  <si>
    <t xml:space="preserve"> RUA FALCAO-DE-COLEIRA</t>
  </si>
  <si>
    <t>QD A14-L32</t>
  </si>
  <si>
    <t xml:space="preserve"> RUA EXPEDITO DE ARAUJO OLIVEIRA</t>
  </si>
  <si>
    <t xml:space="preserve">serviço executado antes de abrir a OS </t>
  </si>
  <si>
    <t xml:space="preserve"> RUA BENTO ALVES DO NASCIMENTO</t>
  </si>
  <si>
    <t>VL ISABEL</t>
  </si>
  <si>
    <t xml:space="preserve"> RUA FORTUNATO DEVOTO</t>
  </si>
  <si>
    <t xml:space="preserve"> RUA VICENTE AMATO SOBRINHO</t>
  </si>
  <si>
    <t>HD6 CASA 2</t>
  </si>
  <si>
    <t xml:space="preserve"> RUA AVESTRUZ PETICA</t>
  </si>
  <si>
    <t xml:space="preserve"> RUA FRAGATA CONSTITUICAO</t>
  </si>
  <si>
    <t xml:space="preserve"> RUA ITAMOJI</t>
  </si>
  <si>
    <t xml:space="preserve"> RUA FLORENCIO FERREIRA</t>
  </si>
  <si>
    <t xml:space="preserve"> RUA INACIO DE CARVALHO</t>
  </si>
  <si>
    <t xml:space="preserve"> RUA ALBERTO GENTILI</t>
  </si>
  <si>
    <t>JD STA FE ZONA OESTE</t>
  </si>
  <si>
    <t xml:space="preserve"> RUA CEDRO JAPONES</t>
  </si>
  <si>
    <t xml:space="preserve"> RUA DA ASPEREZA</t>
  </si>
  <si>
    <t xml:space="preserve"> RUA PEDRO VALDIVIA</t>
  </si>
  <si>
    <t xml:space="preserve">cliente vai repor passeio cimentado interno..motivo corta a raiz da árvore  </t>
  </si>
  <si>
    <t xml:space="preserve"> RUA HONORATO DAS NEVES</t>
  </si>
  <si>
    <t xml:space="preserve"> RUA NORBERTO ALMANDOZ</t>
  </si>
  <si>
    <t xml:space="preserve"> CAMINHO OMAR BRADLEY</t>
  </si>
  <si>
    <t xml:space="preserve"> TRAVESSA LUIZ GONZAGA</t>
  </si>
  <si>
    <t xml:space="preserve"> RUA FRANCISCO COELHO</t>
  </si>
  <si>
    <t xml:space="preserve"> RUA CAPITAO ANTONIO BUENO RANGEL</t>
  </si>
  <si>
    <t xml:space="preserve"> RUA DOS ANHAMBUS</t>
  </si>
  <si>
    <t xml:space="preserve"> RUA ANTONIO DA SILVA LEITE</t>
  </si>
  <si>
    <t xml:space="preserve"> RUA DOUTOR ROBERTO UDIHARA</t>
  </si>
  <si>
    <t xml:space="preserve"> RUA TARCON</t>
  </si>
  <si>
    <t>casa 2</t>
  </si>
  <si>
    <t xml:space="preserve"> RUA TITO BATISTA</t>
  </si>
  <si>
    <t xml:space="preserve"> RUA RUDI SCHALY</t>
  </si>
  <si>
    <t>V FIAT LUX</t>
  </si>
  <si>
    <t xml:space="preserve"> RUA FISICO LAWRENCE</t>
  </si>
  <si>
    <t xml:space="preserve"> RUA GONCALO DA COSTA</t>
  </si>
  <si>
    <t xml:space="preserve"> RUA GONCALVES DE ANDRADE</t>
  </si>
  <si>
    <t xml:space="preserve"> TRAVESSA FRANCISCO BERNAL</t>
  </si>
  <si>
    <t xml:space="preserve"> RUA ENGENHEIRO DOLABELA</t>
  </si>
  <si>
    <t xml:space="preserve"> VIELA ONZE</t>
  </si>
  <si>
    <t>F</t>
  </si>
  <si>
    <t xml:space="preserve"> RUA ESTEVAO GASCON</t>
  </si>
  <si>
    <t xml:space="preserve"> RUA SILVEIRANIA</t>
  </si>
  <si>
    <t xml:space="preserve"> RUA ISIDORO CAMBIASI</t>
  </si>
  <si>
    <t xml:space="preserve"> RUA MINA RAMBAL</t>
  </si>
  <si>
    <t xml:space="preserve"> VIELA DO MAR</t>
  </si>
  <si>
    <t>C2</t>
  </si>
  <si>
    <t xml:space="preserve"> RUA ARVORE DE SAO TOMAS</t>
  </si>
  <si>
    <t xml:space="preserve"> TRAVESSA AYRTON SENNA</t>
  </si>
  <si>
    <t xml:space="preserve"> RUA JOAO JOSE DE GODOI</t>
  </si>
  <si>
    <t xml:space="preserve"> RUA BANANAL DO RIO</t>
  </si>
  <si>
    <t xml:space="preserve">cavalete unificado feito a troca da casa 1 e 2
fotos na os anterior </t>
  </si>
  <si>
    <t xml:space="preserve"> RUA ORLANDO VILLAS BOAS</t>
  </si>
  <si>
    <t xml:space="preserve"> RUA REPUBLICA DA BIELORRUSSIA</t>
  </si>
  <si>
    <t xml:space="preserve"> RUA GENERAL ALENCASTRO GUIMARAES</t>
  </si>
  <si>
    <t xml:space="preserve"> RUA LORDE CLEMENTE ATTLEE</t>
  </si>
  <si>
    <t xml:space="preserve"> RUA FELISBINO DOS SANTOS</t>
  </si>
  <si>
    <t xml:space="preserve"> RUA VICENTE JOSE DOS SANTOS</t>
  </si>
  <si>
    <t xml:space="preserve"> RUA DOMINGOS SERGIO DOS ANJOS</t>
  </si>
  <si>
    <t>NÃO É POSSVEL REALIZAR A LEITURA</t>
  </si>
  <si>
    <t xml:space="preserve"> RUA FAISAO</t>
  </si>
  <si>
    <t>FOTOS NA OS 2693023675</t>
  </si>
  <si>
    <t>VL ZAT</t>
  </si>
  <si>
    <t>fotos na os
2693066443</t>
  </si>
  <si>
    <t xml:space="preserve"> RUA VALDEMAR PEREIRA DA SILVA</t>
  </si>
  <si>
    <t xml:space="preserve"> RUA PARTICULAR A</t>
  </si>
  <si>
    <t>13/05/2026 10:35</t>
  </si>
  <si>
    <t>13/05/2026 09:43</t>
  </si>
  <si>
    <t xml:space="preserve"> RUA ILHA DE BALI</t>
  </si>
  <si>
    <t>13/05/2026 08:49</t>
  </si>
  <si>
    <t>13/05/2026 08:58</t>
  </si>
  <si>
    <t xml:space="preserve"> RUA NOEL ROSA</t>
  </si>
  <si>
    <t>13/05/2026 08:27</t>
  </si>
  <si>
    <t>13/05/2026 08:34</t>
  </si>
  <si>
    <t>13/05/2026 09:22</t>
  </si>
  <si>
    <t>13/05/2026 09:23</t>
  </si>
  <si>
    <t>13/05/2026 05:46</t>
  </si>
  <si>
    <t>13/05/2026 06:17</t>
  </si>
  <si>
    <t xml:space="preserve"> RUA CAPITAO CUSTODIO VALENTE</t>
  </si>
  <si>
    <t>13/05/2026 10:37</t>
  </si>
  <si>
    <t>13/05/2026 10:48</t>
  </si>
  <si>
    <t xml:space="preserve"> RUA ROSANGELA RIGO</t>
  </si>
  <si>
    <t>13/05/2026 07:28</t>
  </si>
  <si>
    <t>13/05/2026 08:16</t>
  </si>
  <si>
    <t>13/05/2026 08:29</t>
  </si>
  <si>
    <t>13/05/2026 08:57</t>
  </si>
  <si>
    <t>13/05/2026 06:47</t>
  </si>
  <si>
    <t>13/05/2026 06:53</t>
  </si>
  <si>
    <t xml:space="preserve"> RUA DA OLARIA</t>
  </si>
  <si>
    <t>13/05/2026 06:35</t>
  </si>
  <si>
    <t>13/05/2026 06:42</t>
  </si>
  <si>
    <t xml:space="preserve"> RUA MAXIMILIANO DE ALMEIDA</t>
  </si>
  <si>
    <t>13/05/2026 05:38</t>
  </si>
  <si>
    <t>13/05/2026 05:50</t>
  </si>
  <si>
    <t xml:space="preserve"> RUA EUVALDO AUGUSTO FREIRE</t>
  </si>
  <si>
    <t>13/05/2026 13:22</t>
  </si>
  <si>
    <t>13/05/2026 13:26</t>
  </si>
  <si>
    <t xml:space="preserve"> PRACA VIGARIO JOAO GONCALVES DE LIMA</t>
  </si>
  <si>
    <t>13/05/2026 08:52</t>
  </si>
  <si>
    <t>13/05/2026 08:53</t>
  </si>
  <si>
    <t xml:space="preserve"> RUA CUITEGI</t>
  </si>
  <si>
    <t>13/05/2026 07:57</t>
  </si>
  <si>
    <t>13/05/2026 07:58</t>
  </si>
  <si>
    <t>feito casa 1 e 2</t>
  </si>
  <si>
    <t>13/05/2026 07:52</t>
  </si>
  <si>
    <t>13/05/2026 08:51</t>
  </si>
  <si>
    <t>13/05/2026 08:44</t>
  </si>
  <si>
    <t>13/05/2026 08:45</t>
  </si>
  <si>
    <t>13/05/2026 07:10</t>
  </si>
  <si>
    <t>13/05/2026 07:21</t>
  </si>
  <si>
    <t xml:space="preserve"> TRAVESSA RECANTO DA LIBERDADE</t>
  </si>
  <si>
    <t xml:space="preserve"> RUA LUIS CARLOS DE ASSUMPCAO</t>
  </si>
  <si>
    <t>13/05/2026 11:30</t>
  </si>
  <si>
    <t>13/05/2026 12:25</t>
  </si>
  <si>
    <t>13/05/2026 15:23</t>
  </si>
  <si>
    <t>13/05/2026 15:40</t>
  </si>
  <si>
    <t>13/05/2026 12:26</t>
  </si>
  <si>
    <t>13/05/2026 12:27</t>
  </si>
  <si>
    <t>13/05/2026 11:39</t>
  </si>
  <si>
    <t>13/05/2026 11:43</t>
  </si>
  <si>
    <t>13/05/2026 12:28</t>
  </si>
  <si>
    <t>13/05/2026 11:44</t>
  </si>
  <si>
    <t xml:space="preserve">OS aberta após execução </t>
  </si>
  <si>
    <t>13/05/2026 09:39</t>
  </si>
  <si>
    <t>13/05/2026 09:41</t>
  </si>
  <si>
    <t xml:space="preserve"> RUA CLODOALDO GOYANNA</t>
  </si>
  <si>
    <t>13/05/2026 09:14</t>
  </si>
  <si>
    <t>13/05/2026 06:12</t>
  </si>
  <si>
    <t>13/05/2026 06:13</t>
  </si>
  <si>
    <t>13/05/2026 05:45</t>
  </si>
  <si>
    <t>13/05/2026 05:49</t>
  </si>
  <si>
    <t xml:space="preserve"> RUA ELIAS CASSEB</t>
  </si>
  <si>
    <t>13/05/2026 02:57</t>
  </si>
  <si>
    <t>13/05/2026 02:58</t>
  </si>
  <si>
    <t>13/05/2026 02:59</t>
  </si>
  <si>
    <t>13/05/2026 03:00</t>
  </si>
  <si>
    <t>MORRO VERDE 12-AREA</t>
  </si>
  <si>
    <t>13/05/2026 16:24</t>
  </si>
  <si>
    <t>13/05/2026 16:49</t>
  </si>
  <si>
    <t xml:space="preserve"> RUA AGUIA</t>
  </si>
  <si>
    <t>13/05/2026 11:48</t>
  </si>
  <si>
    <t xml:space="preserve"> RUA EMBAIXADOR ALEXANDRE CONTY</t>
  </si>
  <si>
    <t>13/05/2026 13:52</t>
  </si>
  <si>
    <t>13/05/2026 13:53</t>
  </si>
  <si>
    <t xml:space="preserve"> RUA AQUILINO RIBEIRO</t>
  </si>
  <si>
    <t>13/05/2026 14:22</t>
  </si>
  <si>
    <t>13/05/2026 14:23</t>
  </si>
  <si>
    <t xml:space="preserve"> RUA DANIEL CERRI</t>
  </si>
  <si>
    <t>13/05/2026 09:26</t>
  </si>
  <si>
    <t>13/05/2026 09:37</t>
  </si>
  <si>
    <t>13/05/2026 08:07</t>
  </si>
  <si>
    <t>13/05/2026 08:18</t>
  </si>
  <si>
    <t>13/05/2026 04:30</t>
  </si>
  <si>
    <t>13/05/2026 04:46</t>
  </si>
  <si>
    <t xml:space="preserve"> RUA JOAQUIM FERRER</t>
  </si>
  <si>
    <t xml:space="preserve">fotos tmb na OS anterior </t>
  </si>
  <si>
    <t>13/05/2026 13:42</t>
  </si>
  <si>
    <t>13/05/2026 13:45</t>
  </si>
  <si>
    <t>13/05/2026 15:42</t>
  </si>
  <si>
    <t>13/05/2026 15:43</t>
  </si>
  <si>
    <t xml:space="preserve"> RUA LEINA KRESPI</t>
  </si>
  <si>
    <t xml:space="preserve"> RUA ARAXICAL</t>
  </si>
  <si>
    <t>13/05/2026 08:56</t>
  </si>
  <si>
    <t>13/05/2026 09:51</t>
  </si>
  <si>
    <t>D C/1</t>
  </si>
  <si>
    <t>13/05/2026 07:50</t>
  </si>
  <si>
    <t>13/05/2026 08:06</t>
  </si>
  <si>
    <t xml:space="preserve"> RUA DOUTOR CAMPOS MELLO</t>
  </si>
  <si>
    <t>FDS C/5</t>
  </si>
  <si>
    <t>13/05/2026 08:04</t>
  </si>
  <si>
    <t xml:space="preserve"> TRAVESSA DOIS DA B12</t>
  </si>
  <si>
    <t>13/05/2026 13:11</t>
  </si>
  <si>
    <t>13/05/2026 13:13</t>
  </si>
  <si>
    <t xml:space="preserve"> RUA JORGE ANTONIO BENDA</t>
  </si>
  <si>
    <t>14/05/2026 09:07</t>
  </si>
  <si>
    <t>14/05/2026 10:10</t>
  </si>
  <si>
    <t xml:space="preserve"> RUA JOSE DE SOUZA FERREIRA</t>
  </si>
  <si>
    <t>14/05/2026 05:15</t>
  </si>
  <si>
    <t>14/05/2026 05:19</t>
  </si>
  <si>
    <t xml:space="preserve"> RUA DESEMBARGADOR JOAQUIM BANDEIRA DE MELLO</t>
  </si>
  <si>
    <t>14/05/2026 07:48</t>
  </si>
  <si>
    <t>14/05/2026 07:57</t>
  </si>
  <si>
    <t>14/05/2026 00:55</t>
  </si>
  <si>
    <t>14/05/2026 00:56</t>
  </si>
  <si>
    <t xml:space="preserve"> RUA ARTUR ORLANDO</t>
  </si>
  <si>
    <t>14/05/2026 04:05</t>
  </si>
  <si>
    <t>14/05/2026 04:07</t>
  </si>
  <si>
    <t xml:space="preserve"> RUA ANTONIO REGINALDO FILHO</t>
  </si>
  <si>
    <t>14/05/2026 03:07</t>
  </si>
  <si>
    <t>14/05/2026 03:52</t>
  </si>
  <si>
    <t xml:space="preserve"> RUA BOAVENTURA PEREIRA</t>
  </si>
  <si>
    <t>14/05/2026 04:49</t>
  </si>
  <si>
    <t>14/05/2026 01:54</t>
  </si>
  <si>
    <t>14/05/2026 02:05</t>
  </si>
  <si>
    <t>14/05/2026 05:36</t>
  </si>
  <si>
    <t>14/05/2026 05:43</t>
  </si>
  <si>
    <t xml:space="preserve"> RUA CORREA MORALES</t>
  </si>
  <si>
    <t>14/05/2026 10:50</t>
  </si>
  <si>
    <t xml:space="preserve"> RUA HORMA</t>
  </si>
  <si>
    <t>14/05/2026 05:42</t>
  </si>
  <si>
    <t>14/05/2026 05:44</t>
  </si>
  <si>
    <t xml:space="preserve"> TRAVESSA DA MILTON JANSEN DE FARIA</t>
  </si>
  <si>
    <t>14/05/2026 07:31</t>
  </si>
  <si>
    <t>14/05/2026 07:32</t>
  </si>
  <si>
    <t xml:space="preserve"> RUA GAIVOTAS</t>
  </si>
  <si>
    <t>14/05/2026 06:05</t>
  </si>
  <si>
    <t xml:space="preserve"> RUA FRAGOSO CAMPOS</t>
  </si>
  <si>
    <t>14/05/2026 08:03</t>
  </si>
  <si>
    <t xml:space="preserve"> RUA ALARICO RESENDE</t>
  </si>
  <si>
    <t>14/05/2026 09:46</t>
  </si>
  <si>
    <t>14/05/2026 09:53</t>
  </si>
  <si>
    <t xml:space="preserve"> RUA ALAGOA NOVA</t>
  </si>
  <si>
    <t>14/05/2026 13:33</t>
  </si>
  <si>
    <t>14/05/2026 13:34</t>
  </si>
  <si>
    <t>14/05/2026 13:18</t>
  </si>
  <si>
    <t xml:space="preserve"> RUA JOSE CANDIDO FREIRE</t>
  </si>
  <si>
    <t>14/05/2026 02:15</t>
  </si>
  <si>
    <t>14/05/2026 02:36</t>
  </si>
  <si>
    <t xml:space="preserve"> RUA JORGE PIRES RAMALHO</t>
  </si>
  <si>
    <t>14/05/2026 09:20</t>
  </si>
  <si>
    <t>14/05/2026 09:21</t>
  </si>
  <si>
    <t xml:space="preserve"> RUA LAGOA DA SERRA</t>
  </si>
  <si>
    <t>C C/3</t>
  </si>
  <si>
    <t>14/05/2026 15:23</t>
  </si>
  <si>
    <t>14/05/2026 15:24</t>
  </si>
  <si>
    <t xml:space="preserve"> RUA MARIA DA FE</t>
  </si>
  <si>
    <t>14/05/2026 10:51</t>
  </si>
  <si>
    <t>14/05/2026 10:53</t>
  </si>
  <si>
    <t xml:space="preserve"> RUA DOMINGOS DE BRAGA</t>
  </si>
  <si>
    <t>V RAMOS FREITAS</t>
  </si>
  <si>
    <t>14/05/2026 04:53</t>
  </si>
  <si>
    <t>14/05/2026 05:03</t>
  </si>
  <si>
    <t xml:space="preserve"> RUA MANUEL RODRIGUES DA COSTA</t>
  </si>
  <si>
    <t>14/05/2026 08:07</t>
  </si>
  <si>
    <t>14/05/2026 08:19</t>
  </si>
  <si>
    <t xml:space="preserve"> RUA DO LAZER</t>
  </si>
  <si>
    <t>14/05/2026 10:07</t>
  </si>
  <si>
    <t xml:space="preserve"> RUA PROFESSOR MALTA MACHADO</t>
  </si>
  <si>
    <t>14/05/2026 06:06</t>
  </si>
  <si>
    <t>14/05/2026 07:14</t>
  </si>
  <si>
    <t xml:space="preserve"> RUA ANDRADE VELOSINO</t>
  </si>
  <si>
    <t>14/05/2026 08:44</t>
  </si>
  <si>
    <t>14/05/2026 09:15</t>
  </si>
  <si>
    <t xml:space="preserve"> RUA JORDAO</t>
  </si>
  <si>
    <t>14/05/2026 14:27</t>
  </si>
  <si>
    <t>14/05/2026 14:28</t>
  </si>
  <si>
    <t>14/05/2026 07:23</t>
  </si>
  <si>
    <t>14/05/2026 07:25</t>
  </si>
  <si>
    <t xml:space="preserve"> RUA VALE DO RIO DOCE</t>
  </si>
  <si>
    <t>A BL 01</t>
  </si>
  <si>
    <t>14/05/2026 16:14</t>
  </si>
  <si>
    <t>14/05/2026 16:16</t>
  </si>
  <si>
    <t xml:space="preserve"> RUA PADRE GUIDO DEL TORO</t>
  </si>
  <si>
    <t>14/05/2026 14:49</t>
  </si>
  <si>
    <t>14/05/2026 14:50</t>
  </si>
  <si>
    <t>14/05/2026 16:46</t>
  </si>
  <si>
    <t>14/05/2026 16:48</t>
  </si>
  <si>
    <t xml:space="preserve"> RUA LUISA MARIA ROSA</t>
  </si>
  <si>
    <t>14/05/2026 16:53</t>
  </si>
  <si>
    <t>14/05/2026 16:54</t>
  </si>
  <si>
    <t>14/05/2026 16:17</t>
  </si>
  <si>
    <t xml:space="preserve"> RUA BELEM DE MARIA</t>
  </si>
  <si>
    <t xml:space="preserve">serviço executado antes de abrir OS </t>
  </si>
  <si>
    <t>14/05/2026 13:10</t>
  </si>
  <si>
    <t>14/05/2026 13:11</t>
  </si>
  <si>
    <t xml:space="preserve"> VIELA DAS HORTENSIAS</t>
  </si>
  <si>
    <t>fotos na os anterior</t>
  </si>
  <si>
    <t>14/05/2026 12:41</t>
  </si>
  <si>
    <t>14/05/2026 12:48</t>
  </si>
  <si>
    <t xml:space="preserve">serviço feito antes da os casa 1 e 2 cavalete unificado </t>
  </si>
  <si>
    <t>14/05/2026 12:30</t>
  </si>
  <si>
    <t xml:space="preserve"> RUA MATEUS FANTINI</t>
  </si>
  <si>
    <t>14/05/2026 17:02</t>
  </si>
  <si>
    <t>14/05/2026 17:05</t>
  </si>
  <si>
    <t>15/05/2026 11:30</t>
  </si>
  <si>
    <t>15/05/2026 11:50</t>
  </si>
  <si>
    <t xml:space="preserve"> RUA GABRIEL BESON DIAS</t>
  </si>
  <si>
    <t>15/05/2026 06:02</t>
  </si>
  <si>
    <t>15/05/2026 06:08</t>
  </si>
  <si>
    <t>NÃO POSSÍVEL AVALIAR</t>
  </si>
  <si>
    <t xml:space="preserve"> RUA CANHOBA</t>
  </si>
  <si>
    <t>15/05/2026 11:49</t>
  </si>
  <si>
    <t xml:space="preserve"> RUA ELISEU RODRIGUES DE ALMEIDA</t>
  </si>
  <si>
    <t>15/05/2026 04:46</t>
  </si>
  <si>
    <t>15/05/2026 04:59</t>
  </si>
  <si>
    <t>15/05/2026 10:04</t>
  </si>
  <si>
    <t>15/05/2026 08:02</t>
  </si>
  <si>
    <t xml:space="preserve"> RUA VIRGILIO PALTRINIERI</t>
  </si>
  <si>
    <t>15/05/2026 07:33</t>
  </si>
  <si>
    <t xml:space="preserve"> RUA LOPEZ CONTRERAS</t>
  </si>
  <si>
    <t>15/05/2026 13:16</t>
  </si>
  <si>
    <t>15/05/2026 13:17</t>
  </si>
  <si>
    <t>15/05/2026 07:24</t>
  </si>
  <si>
    <t xml:space="preserve"> RUA LIMOEIRO DO NORTE</t>
  </si>
  <si>
    <t>15/05/2026 11:45</t>
  </si>
  <si>
    <t>15/05/2026 11:46</t>
  </si>
  <si>
    <t xml:space="preserve"> RUA BLAS PARERA</t>
  </si>
  <si>
    <t>15/05/2026 07:15</t>
  </si>
  <si>
    <t>15/05/2026 08:16</t>
  </si>
  <si>
    <t>15/05/2026 15:21</t>
  </si>
  <si>
    <t>15/05/2026 15:23</t>
  </si>
  <si>
    <t xml:space="preserve"> RUA PORTUARIA</t>
  </si>
  <si>
    <t>15/05/2026 08:54</t>
  </si>
  <si>
    <t>15/05/2026 08:55</t>
  </si>
  <si>
    <t xml:space="preserve"> RUA PONTA DOS ANEIS</t>
  </si>
  <si>
    <t>15/05/2026 15:27</t>
  </si>
  <si>
    <t>15/05/2026 09:14</t>
  </si>
  <si>
    <t>15/05/2026 06:05</t>
  </si>
  <si>
    <t xml:space="preserve"> TRAVESSA ANTONIO RASPAL</t>
  </si>
  <si>
    <t>15/05/2026 08:18</t>
  </si>
  <si>
    <t>15/05/2026 08:19</t>
  </si>
  <si>
    <t xml:space="preserve"> RUA MANOEL LOPES DA CUNHA</t>
  </si>
  <si>
    <t>15/05/2026 09:08</t>
  </si>
  <si>
    <t>15/05/2026 09:09</t>
  </si>
  <si>
    <t>15/05/2026 16:04</t>
  </si>
  <si>
    <t>15/05/2026 16:05</t>
  </si>
  <si>
    <t xml:space="preserve"> RUA FRANCISCO PEREIRA PASSOS</t>
  </si>
  <si>
    <t xml:space="preserve">as fotos não ficaram boa devido a chuva. </t>
  </si>
  <si>
    <t>15/05/2026 08:47</t>
  </si>
  <si>
    <t>15/05/2026 08:48</t>
  </si>
  <si>
    <t>15/05/2026 08:35</t>
  </si>
  <si>
    <t xml:space="preserve"> RUA MONTE AZUL PAULISTA</t>
  </si>
  <si>
    <t>15/05/2026 08:26</t>
  </si>
  <si>
    <t xml:space="preserve"> RUA PALACIO DO CATETE</t>
  </si>
  <si>
    <t>15/05/2026 08:37</t>
  </si>
  <si>
    <t>15/05/2026 08:39</t>
  </si>
  <si>
    <t xml:space="preserve"> RUA MARIA LOPES</t>
  </si>
  <si>
    <t>15/05/2026 08:41</t>
  </si>
  <si>
    <t>15/05/2026 08:44</t>
  </si>
  <si>
    <t xml:space="preserve">serviço executado antes de abrir OS fotos OS anterior </t>
  </si>
  <si>
    <t>15/05/2026 12:46</t>
  </si>
  <si>
    <t xml:space="preserve"> RUA ILHA DA JUVENTUDE</t>
  </si>
  <si>
    <t>VL BRASILANDIA</t>
  </si>
  <si>
    <t>15/05/2026 01:03</t>
  </si>
  <si>
    <t>15/05/2026 01:26</t>
  </si>
  <si>
    <t xml:space="preserve"> RUA GREGORIO TAGLE</t>
  </si>
  <si>
    <t>16/05/2026 02:40</t>
  </si>
  <si>
    <t>16/05/2026 02:46</t>
  </si>
  <si>
    <t xml:space="preserve"> RUA ROGERIO CARDOSO</t>
  </si>
  <si>
    <t>16/05/2026 08:27</t>
  </si>
  <si>
    <t>16/05/2026 08:32</t>
  </si>
  <si>
    <t>16/05/2026 11:32</t>
  </si>
  <si>
    <t>16/05/2026 11:42</t>
  </si>
  <si>
    <t>16/05/2026 11:29</t>
  </si>
  <si>
    <t>16/05/2026 12:12</t>
  </si>
  <si>
    <t>16/05/2026 09:51</t>
  </si>
  <si>
    <t>16/05/2026 10:24</t>
  </si>
  <si>
    <t xml:space="preserve"> AVENIDA SOLIDARIEDADE</t>
  </si>
  <si>
    <t>16/05/2026 06:55</t>
  </si>
  <si>
    <t>16/05/2026 07:10</t>
  </si>
  <si>
    <t xml:space="preserve"> RUA BONDADE</t>
  </si>
  <si>
    <t>16/05/2026 10:57</t>
  </si>
  <si>
    <t>16/05/2026 11:20</t>
  </si>
  <si>
    <t>16/05/2026 03:26</t>
  </si>
  <si>
    <t>16/05/2026 03:44</t>
  </si>
  <si>
    <t xml:space="preserve"> RUA LUPE GIGLIOTTI</t>
  </si>
  <si>
    <t>16/05/2026 04:51</t>
  </si>
  <si>
    <t>16/05/2026 04:53</t>
  </si>
  <si>
    <t>16/05/2026 08:58</t>
  </si>
  <si>
    <t xml:space="preserve"> RUA ARY FERNANDES</t>
  </si>
  <si>
    <t>16/05/2026 05:27</t>
  </si>
  <si>
    <t>16/05/2026 06:10</t>
  </si>
  <si>
    <t>16/05/2026 06:33</t>
  </si>
  <si>
    <t xml:space="preserve"> RUA ANDRESA</t>
  </si>
  <si>
    <t xml:space="preserve"> RUA DOMINGOS ANTONIO GOMES</t>
  </si>
  <si>
    <t xml:space="preserve">serviço executado antes de abrir OS foto OS anterior </t>
  </si>
  <si>
    <t>16/05/2026 11:44</t>
  </si>
  <si>
    <t>16/05/2026 11:45</t>
  </si>
  <si>
    <t xml:space="preserve"> RUA DOUTOR CARMELO D'AGOSTINO</t>
  </si>
  <si>
    <t>16/05/2026 12:44</t>
  </si>
  <si>
    <t>16/05/2026 12:45</t>
  </si>
  <si>
    <t xml:space="preserve"> RUA SANTALUZ</t>
  </si>
  <si>
    <t xml:space="preserve">cavalete feito porém ligação interna está danificada </t>
  </si>
  <si>
    <t>17/05/2026 07:17</t>
  </si>
  <si>
    <t>17/05/2026 07:31</t>
  </si>
  <si>
    <t>17/05/2026 09:10</t>
  </si>
  <si>
    <t>17/05/2026 09:27</t>
  </si>
  <si>
    <t>PQ ANHANGUERA II</t>
  </si>
  <si>
    <t>17/05/2026 08:54</t>
  </si>
  <si>
    <t>17/05/2026 09:01</t>
  </si>
  <si>
    <t xml:space="preserve"> RUA TUPARETAMA</t>
  </si>
  <si>
    <t>17/05/2026 09:29</t>
  </si>
  <si>
    <t>17/05/2026 09:40</t>
  </si>
  <si>
    <t xml:space="preserve"> RUA MANUEL VAZ PINTO</t>
  </si>
  <si>
    <t>17/05/2026 08:32</t>
  </si>
  <si>
    <t>17/05/2026 08:40</t>
  </si>
  <si>
    <t>17/05/2026 10:17</t>
  </si>
  <si>
    <t>17/05/2026 10:24</t>
  </si>
  <si>
    <t>17/05/2026 09:42</t>
  </si>
  <si>
    <t>17/05/2026 10:11</t>
  </si>
  <si>
    <t xml:space="preserve"> RUA JOSE GALDINO DE LUCENA</t>
  </si>
  <si>
    <t>17/05/2026 06:40</t>
  </si>
  <si>
    <t>17/05/2026 07:00</t>
  </si>
  <si>
    <t xml:space="preserve"> RUA PROFESSOR AGUINALDO SIMOES</t>
  </si>
  <si>
    <t>17/05/2026 04:52</t>
  </si>
  <si>
    <t>17/05/2026 04:53</t>
  </si>
  <si>
    <t>17/05/2026 15:13</t>
  </si>
  <si>
    <t>17/05/2026 15:18</t>
  </si>
  <si>
    <t xml:space="preserve"> RUA AMADEU ROLDAN</t>
  </si>
  <si>
    <t>17/05/2026 15:20</t>
  </si>
  <si>
    <t>17/05/2026 15:21</t>
  </si>
  <si>
    <t xml:space="preserve">serviço executado antes da os </t>
  </si>
  <si>
    <t>17/05/2026 11:41</t>
  </si>
  <si>
    <t>17/05/2026 11:43</t>
  </si>
  <si>
    <t>serviço executado antes de abri a os sem foto</t>
  </si>
  <si>
    <t>17/05/2026 11:44</t>
  </si>
  <si>
    <t>17/05/2026 11:45</t>
  </si>
  <si>
    <t>17/05/2026 15:27</t>
  </si>
  <si>
    <t>17/05/2026 15:30</t>
  </si>
  <si>
    <t>17/05/2026 15:31</t>
  </si>
  <si>
    <t>17/05/2026 15:33</t>
  </si>
  <si>
    <t>17/05/2026 15:35</t>
  </si>
  <si>
    <t xml:space="preserve"> RUA BALTAZAR DE CAMPOS</t>
  </si>
  <si>
    <t>17/05/2026 11:47</t>
  </si>
  <si>
    <t>17/05/2026 11:51</t>
  </si>
  <si>
    <t xml:space="preserve">serviço executado antes de abri a os sem foto </t>
  </si>
  <si>
    <t>17/05/2026 12:29</t>
  </si>
  <si>
    <t>17/05/2026 12:30</t>
  </si>
  <si>
    <t>17/05/2026 15:26</t>
  </si>
  <si>
    <t>17/05/2026 15:29</t>
  </si>
  <si>
    <t>17/05/2026 05:32</t>
  </si>
  <si>
    <t>17/05/2026 05:33</t>
  </si>
  <si>
    <t xml:space="preserve"> RUA MIRASSOL</t>
  </si>
  <si>
    <t>serviço executado antes de abrir a OS
cavalete unificado feito casa 1 e 2</t>
  </si>
  <si>
    <t>17/05/2026 15:22</t>
  </si>
  <si>
    <t>17/05/2026 15:23</t>
  </si>
  <si>
    <t xml:space="preserve"> RUA BARRA DA LAGUNA</t>
  </si>
  <si>
    <t>17/05/2026 11:10</t>
  </si>
  <si>
    <t>17/05/2026 11:11</t>
  </si>
  <si>
    <t xml:space="preserve"> RUA ESLOVENIA</t>
  </si>
  <si>
    <t>17/05/2026 01:33</t>
  </si>
  <si>
    <t>17/05/2026 01:40</t>
  </si>
  <si>
    <t xml:space="preserve"> VIELA DA JUVENAL LIRA</t>
  </si>
  <si>
    <t>18/05/2026 09:44</t>
  </si>
  <si>
    <t>18/05/2026 10:52</t>
  </si>
  <si>
    <t xml:space="preserve"> RUA MARIANA CAMARGO</t>
  </si>
  <si>
    <t>18/05/2026 15:01</t>
  </si>
  <si>
    <t>18/05/2026 15:40</t>
  </si>
  <si>
    <t xml:space="preserve"> RUA JULIO VICENTE FERREIRA</t>
  </si>
  <si>
    <t>18/05/2026 12:47</t>
  </si>
  <si>
    <t>18/05/2026 12:58</t>
  </si>
  <si>
    <t xml:space="preserve"> RUA ADRIAO FERREIRA</t>
  </si>
  <si>
    <t>18/05/2026 08:42</t>
  </si>
  <si>
    <t>18/05/2026 03:51</t>
  </si>
  <si>
    <t>18/05/2026 03:56</t>
  </si>
  <si>
    <t xml:space="preserve"> RUA GUALTERIO</t>
  </si>
  <si>
    <t>18/05/2026 03:19</t>
  </si>
  <si>
    <t>18/05/2026 03:20</t>
  </si>
  <si>
    <t xml:space="preserve"> RUA BERNARDO FALCONE</t>
  </si>
  <si>
    <t>18/05/2026 06:03</t>
  </si>
  <si>
    <t>18/05/2026 06:11</t>
  </si>
  <si>
    <t>18/05/2026 07:06</t>
  </si>
  <si>
    <t>18/05/2026 07:08</t>
  </si>
  <si>
    <t xml:space="preserve"> AVENIDA JERIMANDUBA</t>
  </si>
  <si>
    <t>18/05/2026 11:30</t>
  </si>
  <si>
    <t>18/05/2026 11:51</t>
  </si>
  <si>
    <t>18/05/2026 09:50</t>
  </si>
  <si>
    <t>18/05/2026 09:57</t>
  </si>
  <si>
    <t>18/05/2026 09:34</t>
  </si>
  <si>
    <t>18/05/2026 09:49</t>
  </si>
  <si>
    <t>18/05/2026 15:38</t>
  </si>
  <si>
    <t>18/05/2026 15:41</t>
  </si>
  <si>
    <t xml:space="preserve"> RUA NASCENTE DO PAULISTANO</t>
  </si>
  <si>
    <t>18/05/2026 11:28</t>
  </si>
  <si>
    <t>18/05/2026 11:38</t>
  </si>
  <si>
    <t>18/05/2026 09:24</t>
  </si>
  <si>
    <t>18/05/2026 09:26</t>
  </si>
  <si>
    <t xml:space="preserve"> VIA DE PEDESTRE JOAO LENER</t>
  </si>
  <si>
    <t>18/05/2026 08:55</t>
  </si>
  <si>
    <t>18/05/2026 08:56</t>
  </si>
  <si>
    <t>18/05/2026 12:40</t>
  </si>
  <si>
    <t>18/05/2026 12:41</t>
  </si>
  <si>
    <t xml:space="preserve"> RUA REAL GRANDEZA</t>
  </si>
  <si>
    <t xml:space="preserve">serviço executado antes da </t>
  </si>
  <si>
    <t>18/05/2026 08:30</t>
  </si>
  <si>
    <t>18/05/2026 08:31</t>
  </si>
  <si>
    <t>18/05/2026 12:42</t>
  </si>
  <si>
    <t>18/05/2026 12:43</t>
  </si>
  <si>
    <t xml:space="preserve">serviço executado antes da os sem foto  cavalete unificado </t>
  </si>
  <si>
    <t>18/05/2026 08:32</t>
  </si>
  <si>
    <t>18/05/2026 08:34</t>
  </si>
  <si>
    <t>18/05/2026 08:51</t>
  </si>
  <si>
    <t>18/05/2026 08:52</t>
  </si>
  <si>
    <t>18/05/2026 08:50</t>
  </si>
  <si>
    <t>18/05/2026 14:18</t>
  </si>
  <si>
    <t>18/05/2026 14:21</t>
  </si>
  <si>
    <t>18/05/2026 17:30</t>
  </si>
  <si>
    <t>18/05/2026 17:32</t>
  </si>
  <si>
    <t xml:space="preserve"> RUA CARLOS ALBERTO VANZOLINI</t>
  </si>
  <si>
    <t>18/05/2026 10:28</t>
  </si>
  <si>
    <t xml:space="preserve"> RUA THEOPHILO JULIO BICUDO</t>
  </si>
  <si>
    <t>18/05/2026 10:29</t>
  </si>
  <si>
    <t xml:space="preserve"> RUA LUCAS FORTUNA</t>
  </si>
  <si>
    <t>19/05/2026 10:16</t>
  </si>
  <si>
    <t>19/05/2026 13:21</t>
  </si>
  <si>
    <t>19/05/2026 13:35</t>
  </si>
  <si>
    <t xml:space="preserve"> RUA DIRCE GOMES DE SOUZA</t>
  </si>
  <si>
    <t>19/05/2026 11:10</t>
  </si>
  <si>
    <t xml:space="preserve"> RUA HERBERT LAAS</t>
  </si>
  <si>
    <t>19/05/2026 07:05</t>
  </si>
  <si>
    <t>19/05/2026 07:16</t>
  </si>
  <si>
    <t xml:space="preserve"> RUA ANGELO GAYOTO</t>
  </si>
  <si>
    <t>19/05/2026 10:34</t>
  </si>
  <si>
    <t>19/05/2026 08:57</t>
  </si>
  <si>
    <t>19/05/2026 09:11</t>
  </si>
  <si>
    <t>19/05/2026 07:11</t>
  </si>
  <si>
    <t>19/05/2026 07:23</t>
  </si>
  <si>
    <t>19/05/2026 08:17</t>
  </si>
  <si>
    <t>19/05/2026 08:18</t>
  </si>
  <si>
    <t>19/05/2026 03:51</t>
  </si>
  <si>
    <t>19/05/2026 03:54</t>
  </si>
  <si>
    <t xml:space="preserve"> RUA BARRA DO SIRINHAEM</t>
  </si>
  <si>
    <t>19/05/2026 06:29</t>
  </si>
  <si>
    <t>19/05/2026 06:30</t>
  </si>
  <si>
    <t xml:space="preserve">serviço executado antes de abri a os </t>
  </si>
  <si>
    <t>19/05/2026 07:29</t>
  </si>
  <si>
    <t>19/05/2026 07:42</t>
  </si>
  <si>
    <t>19/05/2026 10:27</t>
  </si>
  <si>
    <t>19/05/2026 10:39</t>
  </si>
  <si>
    <t>19/05/2026 14:11</t>
  </si>
  <si>
    <t xml:space="preserve"> RUA LUIZ GUSSO</t>
  </si>
  <si>
    <t>19/05/2026 08:07</t>
  </si>
  <si>
    <t>19/05/2026 08:08</t>
  </si>
  <si>
    <t>19/05/2026 05:31</t>
  </si>
  <si>
    <t>19/05/2026 05:40</t>
  </si>
  <si>
    <t xml:space="preserve"> RUA BETANIA</t>
  </si>
  <si>
    <t>19/05/2026 10:35</t>
  </si>
  <si>
    <t>19/05/2026 10:44</t>
  </si>
  <si>
    <t xml:space="preserve"> RUA JOSE VAZ GUERREIRO</t>
  </si>
  <si>
    <t>19/05/2026 08:39</t>
  </si>
  <si>
    <t>19/05/2026 09:10</t>
  </si>
  <si>
    <t>FOTO BORRADA</t>
  </si>
  <si>
    <t xml:space="preserve"> RUA BENEDITO GAMA RICARDO</t>
  </si>
  <si>
    <t>19/05/2026 10:21</t>
  </si>
  <si>
    <t>19/05/2026 09:53</t>
  </si>
  <si>
    <t>19/05/2026 09:56</t>
  </si>
  <si>
    <t xml:space="preserve"> RUA GORGIAS</t>
  </si>
  <si>
    <t>19/05/2026 08:28</t>
  </si>
  <si>
    <t xml:space="preserve"> VIELA RIBEIRO</t>
  </si>
  <si>
    <t>19/05/2026 10:29</t>
  </si>
  <si>
    <t>19/05/2026 10:26</t>
  </si>
  <si>
    <t xml:space="preserve"> RUA CUSTODIO SERRAO</t>
  </si>
  <si>
    <t>19/05/2026 10:30</t>
  </si>
  <si>
    <t>19/05/2026 10:31</t>
  </si>
  <si>
    <t>19/05/2026 10:32</t>
  </si>
  <si>
    <t xml:space="preserve"> RUA PRAIA DOS ESTALEIROS</t>
  </si>
  <si>
    <t>19/05/2026 11:07</t>
  </si>
  <si>
    <t>19/05/2026 11:08</t>
  </si>
  <si>
    <t xml:space="preserve"> RUA ALTO JURUPARI</t>
  </si>
  <si>
    <t>19/05/2026 11:04</t>
  </si>
  <si>
    <t>19/05/2026 11:05</t>
  </si>
  <si>
    <t xml:space="preserve"> RUA ARISTEU SILVESTRE DE JESUS</t>
  </si>
  <si>
    <t xml:space="preserve">serviço executado antes da os  cavalete unificado </t>
  </si>
  <si>
    <t>19/05/2026 15:09</t>
  </si>
  <si>
    <t>19/05/2026 15:15</t>
  </si>
  <si>
    <t>19/05/2026 15:17</t>
  </si>
  <si>
    <t>19/05/2026 14:58</t>
  </si>
  <si>
    <t>19/05/2026 15:04</t>
  </si>
  <si>
    <t>19/05/2026 17:07</t>
  </si>
  <si>
    <t>19/05/2026 17:09</t>
  </si>
  <si>
    <t>19/05/2026 17:10</t>
  </si>
  <si>
    <t xml:space="preserve"> RUA GUSTAVO DE LACERDA</t>
  </si>
  <si>
    <t>19/05/2026 11:11</t>
  </si>
  <si>
    <t xml:space="preserve"> RUA CRIXA-MIRIM</t>
  </si>
  <si>
    <t>19/05/2026 17:27</t>
  </si>
  <si>
    <t xml:space="preserve"> RUA AZULONA</t>
  </si>
  <si>
    <t>19/05/2026 17:28</t>
  </si>
  <si>
    <t xml:space="preserve"> RUA SANTO DIAS</t>
  </si>
  <si>
    <t>19/05/2026 17:30</t>
  </si>
  <si>
    <t>19/05/2026 17:31</t>
  </si>
  <si>
    <t xml:space="preserve"> RUA AMITOLA</t>
  </si>
  <si>
    <t xml:space="preserve"> RUA BAHIA</t>
  </si>
  <si>
    <t>19/05/2026 17:32</t>
  </si>
  <si>
    <t xml:space="preserve"> RUA NANDIRAS</t>
  </si>
  <si>
    <t>20/05/2026 04:34</t>
  </si>
  <si>
    <t>20/05/2026 02:59</t>
  </si>
  <si>
    <t>20/05/2026 03:00</t>
  </si>
  <si>
    <t>20/05/2026 03:53</t>
  </si>
  <si>
    <t>20/05/2026 03:57</t>
  </si>
  <si>
    <t xml:space="preserve"> RUA CANDIDO AFONSO CAMARGO</t>
  </si>
  <si>
    <t>20/05/2026 02:36</t>
  </si>
  <si>
    <t>20/05/2026 02:37</t>
  </si>
  <si>
    <t>20/05/2026 11:30</t>
  </si>
  <si>
    <t>ANTIGO 111</t>
  </si>
  <si>
    <t>20/05/2026 11:15</t>
  </si>
  <si>
    <t>20/05/2026 12:56</t>
  </si>
  <si>
    <t>20/05/2026 07:57</t>
  </si>
  <si>
    <t>20/05/2026 08:38</t>
  </si>
  <si>
    <t xml:space="preserve"> RUA BERNARDO PIRES SILVA</t>
  </si>
  <si>
    <t>20/05/2026 05:33</t>
  </si>
  <si>
    <t>20/05/2026 07:11</t>
  </si>
  <si>
    <t xml:space="preserve"> VIELA ADRIANO SIQUEIRA ARAUJO</t>
  </si>
  <si>
    <t>20/05/2026 09:41</t>
  </si>
  <si>
    <t>20/05/2026 13:18</t>
  </si>
  <si>
    <t>20/05/2026 13:19</t>
  </si>
  <si>
    <t>20/05/2026 10:22</t>
  </si>
  <si>
    <t>20/05/2026 11:03</t>
  </si>
  <si>
    <t xml:space="preserve"> RUA PASTORIL DE ALMENARA</t>
  </si>
  <si>
    <t>20/05/2026 08:25</t>
  </si>
  <si>
    <t>20/05/2026 08:34</t>
  </si>
  <si>
    <t>20/05/2026 12:53</t>
  </si>
  <si>
    <t>20/05/2026 10:36</t>
  </si>
  <si>
    <t>20/05/2026 10:56</t>
  </si>
  <si>
    <t xml:space="preserve"> RUA ANTONIO MONIZ BARREIROS</t>
  </si>
  <si>
    <t>20/05/2026 11:40</t>
  </si>
  <si>
    <t>20/05/2026 08:00</t>
  </si>
  <si>
    <t>20/05/2026 08:02</t>
  </si>
  <si>
    <t>20/05/2026 12:51</t>
  </si>
  <si>
    <t>20/05/2026 12:52</t>
  </si>
  <si>
    <t>20/05/2026 10:23</t>
  </si>
  <si>
    <t>20/05/2026 10:24</t>
  </si>
  <si>
    <t>CLAUDEMIR DA SILVA SANTOS</t>
  </si>
  <si>
    <t xml:space="preserve">cavalete unificado  serviço executado antes da os </t>
  </si>
  <si>
    <t>20/05/2026 15:17</t>
  </si>
  <si>
    <t>20/05/2026 15:19</t>
  </si>
  <si>
    <t xml:space="preserve"> RUA GIOVANNI DOSIO</t>
  </si>
  <si>
    <t>ANT 1315</t>
  </si>
  <si>
    <t>20/05/2026 15:38</t>
  </si>
  <si>
    <t xml:space="preserve"> RUA VICENTE LISTO</t>
  </si>
  <si>
    <t>20/05/2026 12:34</t>
  </si>
  <si>
    <t>20/05/2026 12:36</t>
  </si>
  <si>
    <t xml:space="preserve"> VIELA VINTE E SETE DE JUNHO</t>
  </si>
  <si>
    <t>20/05/2026 15:59</t>
  </si>
  <si>
    <t>20/05/2026 17:17</t>
  </si>
  <si>
    <t>20/05/2026 17:18</t>
  </si>
  <si>
    <t>20/05/2026 17:15</t>
  </si>
  <si>
    <t>20/05/2026 17:19</t>
  </si>
  <si>
    <t>20/05/2026 10:33</t>
  </si>
  <si>
    <t>20/05/2026 15:20</t>
  </si>
  <si>
    <t>20/05/2026 15:22</t>
  </si>
  <si>
    <t xml:space="preserve"> RUA CORONEL JOSE RUFINO FREIRE</t>
  </si>
  <si>
    <t xml:space="preserve">Executado antes de abrir o.s </t>
  </si>
  <si>
    <t>20/05/2026 11:25</t>
  </si>
  <si>
    <t xml:space="preserve"> RUA FAZENDA MONTE ALEGRE</t>
  </si>
  <si>
    <t xml:space="preserve">executado antes de abrir o.s </t>
  </si>
  <si>
    <t>20/05/2026 11:22</t>
  </si>
  <si>
    <t>20/05/2026 11:24</t>
  </si>
  <si>
    <t xml:space="preserve"> VIELA SETE JD BANDEIRANTES</t>
  </si>
  <si>
    <t xml:space="preserve">serviço executado antes de abrir OS fotos na os anterior </t>
  </si>
  <si>
    <t>20/05/2026 14:29</t>
  </si>
  <si>
    <t xml:space="preserve"> RUA GUILHERME BRANCA</t>
  </si>
  <si>
    <t>20/05/2026 14:23</t>
  </si>
  <si>
    <t>20/05/2026 14:24</t>
  </si>
  <si>
    <t xml:space="preserve"> RUA JACURUPE</t>
  </si>
  <si>
    <t>20/05/2026 10:35</t>
  </si>
  <si>
    <t xml:space="preserve"> RUA SILVESTRO PALMA</t>
  </si>
  <si>
    <t>20/05/2026 11:31</t>
  </si>
  <si>
    <t xml:space="preserve"> RUA JOSE ADAO</t>
  </si>
  <si>
    <t>20/05/2026 17:12</t>
  </si>
  <si>
    <t>20/05/2026 17:13</t>
  </si>
  <si>
    <t xml:space="preserve"> RUA GIOVANNI ANCINA</t>
  </si>
  <si>
    <t>20/05/2026 16:54</t>
  </si>
  <si>
    <t>20/05/2026 17:05</t>
  </si>
  <si>
    <t xml:space="preserve"> RUA ANDRE REBOUCAS</t>
  </si>
  <si>
    <t>20/05/2026 07:48</t>
  </si>
  <si>
    <t>20/05/2026 07:49</t>
  </si>
  <si>
    <t xml:space="preserve"> RUA DAS ARARAS</t>
  </si>
  <si>
    <t xml:space="preserve"> RUA SERRA DAS EMBURANAS</t>
  </si>
  <si>
    <t>20/05/2026 17:14</t>
  </si>
  <si>
    <t>20/05/2026 16:45</t>
  </si>
  <si>
    <t>20/05/2026 16:46</t>
  </si>
  <si>
    <t xml:space="preserve"> RUA FLORIANO ALVES DA COSTA</t>
  </si>
  <si>
    <t>A C/23</t>
  </si>
  <si>
    <t>restante das fotos está na outra OS ( foi feito a troca do kit .)</t>
  </si>
  <si>
    <t xml:space="preserve"> VIELA SEM NOME S 190 Q 2011</t>
  </si>
  <si>
    <t xml:space="preserve"> RUA DA UNIAO</t>
  </si>
  <si>
    <t xml:space="preserve">cavalete unificado </t>
  </si>
  <si>
    <t xml:space="preserve"> RUA MONTE SINAI</t>
  </si>
  <si>
    <t xml:space="preserve"> PASSAGEM SALVADOR</t>
  </si>
  <si>
    <t>JD ELIZA MARIA</t>
  </si>
  <si>
    <t>FOTOS NA OS 2621315702</t>
  </si>
  <si>
    <t>FOTOS NA OS 2693775474</t>
  </si>
  <si>
    <t>fotos na os
2693835151</t>
  </si>
  <si>
    <t>serviço realizado antes da OS</t>
  </si>
  <si>
    <t xml:space="preserve"> RUA JOSE GALVEZ</t>
  </si>
  <si>
    <t>BL P-02</t>
  </si>
  <si>
    <t xml:space="preserve"> RUA SERRA DE MARACAJU</t>
  </si>
  <si>
    <t>serviço executado antes da OS</t>
  </si>
  <si>
    <t xml:space="preserve"> RUA BENEDITO EGIDIO BARBOSA</t>
  </si>
  <si>
    <t xml:space="preserve"> RUA CARLOS JOSE DE SPEZIO</t>
  </si>
  <si>
    <t xml:space="preserve"> RUA EDUARDO COSTA</t>
  </si>
  <si>
    <t xml:space="preserve"> RUA DOUTOR AZOR MONTENEGRO</t>
  </si>
  <si>
    <t xml:space="preserve"> TRAVESSA FLAVIO BIONDO</t>
  </si>
  <si>
    <t xml:space="preserve"> RUA TRAJANO DE CARVALHO</t>
  </si>
  <si>
    <t xml:space="preserve"> RUA AMAPOLA</t>
  </si>
  <si>
    <t xml:space="preserve"> RUA CARLOS DE RESENDE</t>
  </si>
  <si>
    <t xml:space="preserve"> RUA ANTONIO AUGUSTO T SEBILLA</t>
  </si>
  <si>
    <t xml:space="preserve"> RUA FLOR</t>
  </si>
  <si>
    <t xml:space="preserve"> RUA JAIRO DE ALMEIDA MACHADO</t>
  </si>
  <si>
    <t xml:space="preserve">serviço executado antes da os sem fotos </t>
  </si>
  <si>
    <t xml:space="preserve"> RUA ROSALVO JOSE DA SILVA</t>
  </si>
  <si>
    <t xml:space="preserve"> RUA ALBERTO BURITY</t>
  </si>
  <si>
    <t>Obra</t>
  </si>
  <si>
    <t xml:space="preserve">serviço executado antes da OS </t>
  </si>
  <si>
    <t xml:space="preserve"> RUA GENERAL ALEXANDRE LIMA</t>
  </si>
  <si>
    <t xml:space="preserve"> RUA BARRETOS</t>
  </si>
  <si>
    <t xml:space="preserve"> RUA ARMANDO CORREIA</t>
  </si>
  <si>
    <t>fotos na os 2693939315</t>
  </si>
  <si>
    <t xml:space="preserve"> RUA FRANCISCO MARGALL</t>
  </si>
  <si>
    <t xml:space="preserve"> RUA ERVA CIDREIRA</t>
  </si>
  <si>
    <t xml:space="preserve"> RUA JOAO DE ALMEIDA E SILVA</t>
  </si>
  <si>
    <t>READEQUADO CAVALETE</t>
  </si>
  <si>
    <t xml:space="preserve"> RUA MARIA JULIETA D ANDRADE</t>
  </si>
  <si>
    <t xml:space="preserve"> TRAVESSA DOM BAUMER</t>
  </si>
  <si>
    <t xml:space="preserve"> RUA PROFESSOR DEMARZO</t>
  </si>
  <si>
    <t xml:space="preserve"> RUA CELSO FALCONI MOREIRA</t>
  </si>
  <si>
    <t xml:space="preserve"> RUA CAROLINA GUEDES</t>
  </si>
  <si>
    <t xml:space="preserve"> RUA ENGENHEIRO AUGUSTO DURANTE</t>
  </si>
  <si>
    <t xml:space="preserve"> RUA SOROCABA</t>
  </si>
  <si>
    <t xml:space="preserve">cano interno do cliente quebrado </t>
  </si>
  <si>
    <t xml:space="preserve"> RUA JULIO DE MOURA LACERDA</t>
  </si>
  <si>
    <t xml:space="preserve"> RUA PADRE ACHILLES SILVESTRE</t>
  </si>
  <si>
    <t xml:space="preserve"> RUA ANTONIO DALCO</t>
  </si>
  <si>
    <t xml:space="preserve"> RUA ANTONIO PARANHOS</t>
  </si>
  <si>
    <t xml:space="preserve"> RUA MANUEL AQUILINO DOS SANTOS</t>
  </si>
  <si>
    <t xml:space="preserve"> RUA MARIA SALINA ROMEU</t>
  </si>
  <si>
    <t xml:space="preserve"> RUA FLOR DE COURO</t>
  </si>
  <si>
    <t xml:space="preserve"> RUA ERICO VERISSIMO</t>
  </si>
  <si>
    <t xml:space="preserve"> RUA MADEIRENSE</t>
  </si>
  <si>
    <t>V STA LUCRECIA</t>
  </si>
  <si>
    <t xml:space="preserve"> RUA E</t>
  </si>
  <si>
    <t>C/ 2</t>
  </si>
  <si>
    <t xml:space="preserve"> TRAVESSA DO SOL DA CHICA LUIZA</t>
  </si>
  <si>
    <t xml:space="preserve"> RUA TITO LIRA</t>
  </si>
  <si>
    <t xml:space="preserve"> RUA DOMINGOS SODERINI</t>
  </si>
  <si>
    <t xml:space="preserve"> RUA PEDRO ALCAZAR</t>
  </si>
  <si>
    <t xml:space="preserve"> RUA ROSALIO JOSE DA CONCEICAO</t>
  </si>
  <si>
    <t xml:space="preserve"> RUA PROFESSOR LUIZ BARBOSA</t>
  </si>
  <si>
    <t xml:space="preserve"> TRAVESSA SABIA</t>
  </si>
  <si>
    <t>AUSÊNCIA DE LACRE CAIXA UMA</t>
  </si>
  <si>
    <t xml:space="preserve"> RUA MANOEL NASCIMENTO PINTO</t>
  </si>
  <si>
    <t xml:space="preserve"> TRAVESSA DAS RESEDAS</t>
  </si>
  <si>
    <t xml:space="preserve"> RUA SUCRE</t>
  </si>
  <si>
    <t xml:space="preserve"> RUA BENEDITO LOPES DE SOUZA</t>
  </si>
  <si>
    <t xml:space="preserve"> RUA RUFINO DA COSTA GAVIAO</t>
  </si>
  <si>
    <t xml:space="preserve"> VIELA LANI DA COMENDADOR</t>
  </si>
  <si>
    <t xml:space="preserve"> RUA JOAO RODRIGUES LEITE</t>
  </si>
  <si>
    <t xml:space="preserve"> RUA ARTUR BASTOS</t>
  </si>
  <si>
    <t xml:space="preserve"> RUA DAS OLIVEIRAS</t>
  </si>
  <si>
    <t>RESIDENCIAL TAIPAS</t>
  </si>
  <si>
    <t xml:space="preserve">executado antes da OS </t>
  </si>
  <si>
    <t xml:space="preserve">reparo de cavalete,porém nao tem essas peças no meu PDA </t>
  </si>
  <si>
    <t xml:space="preserve"> RUA VINICIUS DE MORAES</t>
  </si>
  <si>
    <t xml:space="preserve">serviço realizado antes da OS </t>
  </si>
  <si>
    <t xml:space="preserve"> RUA DESEMBARGADOR RAPHAEL FLEURY F DE SAMPAIO</t>
  </si>
  <si>
    <t xml:space="preserve"> RUA PEDRO LADISLAU DE ALMEIDA</t>
  </si>
  <si>
    <t>A C/9</t>
  </si>
  <si>
    <t xml:space="preserve"> RUA CORDEIRO DA SILVA</t>
  </si>
  <si>
    <t xml:space="preserve"> RUA JESUINO ANTONIO BATISTA</t>
  </si>
  <si>
    <t xml:space="preserve"> RUA TEIXEIRA SOARES</t>
  </si>
  <si>
    <t xml:space="preserve"> RUA JOSE AMARO RECIFE</t>
  </si>
  <si>
    <t xml:space="preserve"> RUA GONZALEZ VELASQUEZ</t>
  </si>
  <si>
    <t xml:space="preserve"> TRAVESSA VANCOUVER</t>
  </si>
  <si>
    <t xml:space="preserve"> RUA PENSEU ABRAO</t>
  </si>
  <si>
    <t xml:space="preserve"> TRAVESSA PAPAGAIO</t>
  </si>
  <si>
    <t xml:space="preserve"> RUA DA FLORESTA</t>
  </si>
  <si>
    <t xml:space="preserve"> RUA JOSE ALBINO</t>
  </si>
  <si>
    <t xml:space="preserve"> TRAVESSA LELIO BERTANI</t>
  </si>
  <si>
    <t>V CLARICE</t>
  </si>
  <si>
    <t>JD ANA MARIA</t>
  </si>
  <si>
    <t xml:space="preserve"> RUA TURVANIA</t>
  </si>
  <si>
    <t xml:space="preserve"> RUA FELICIO BOTTINO</t>
  </si>
  <si>
    <t xml:space="preserve"> RUA VALPACOS</t>
  </si>
  <si>
    <t>CONJ RES PARAISO</t>
  </si>
  <si>
    <t xml:space="preserve"> RUA DO INVERNO</t>
  </si>
  <si>
    <t xml:space="preserve"> RUA ALIPIO BATISTA PINTO</t>
  </si>
  <si>
    <t xml:space="preserve"> RUA PALMEIROPOLIS</t>
  </si>
  <si>
    <t xml:space="preserve"> RUA VISCONDE DO RIO CLARO</t>
  </si>
  <si>
    <t xml:space="preserve"> RUA BARUARE</t>
  </si>
  <si>
    <t>fotos na os 2694238312</t>
  </si>
  <si>
    <t xml:space="preserve"> RUA JULIO MACIEL</t>
  </si>
  <si>
    <t>foto  na 0s 3694221956</t>
  </si>
  <si>
    <t xml:space="preserve"> RUA JOSE DE MORAIS</t>
  </si>
  <si>
    <t xml:space="preserve">Observação Sinalização </t>
  </si>
  <si>
    <t>Observação imprimação</t>
  </si>
  <si>
    <t>Observação Termômetro</t>
  </si>
  <si>
    <t>Observação Rastelo</t>
  </si>
  <si>
    <t>.COMPAC. MASSA ASF.</t>
  </si>
  <si>
    <t>Observação Compac. Da Massa ASF.</t>
  </si>
  <si>
    <t>Observação Placa Vibratória</t>
  </si>
  <si>
    <t>REPOSIÇÃO DE ASFALTO</t>
  </si>
  <si>
    <t>ANDRE LUIZ DE SOUZA</t>
  </si>
  <si>
    <t>REPOSIÇÃO DE ASFALTO INV</t>
  </si>
  <si>
    <t>ÁGUA SOBRE A REPOSIÇÃO E FALTA CARIMBO</t>
  </si>
  <si>
    <t xml:space="preserve"> RUA MARILIA</t>
  </si>
  <si>
    <t>FALTA PLACA DE ESTREITAMENTO DE PISTA E PEDESTRE</t>
  </si>
  <si>
    <t xml:space="preserve"> RUA ADONIRAM BARBOSA</t>
  </si>
  <si>
    <t>COMPACTAÇÃO COM ÁGUA</t>
  </si>
  <si>
    <t xml:space="preserve"> RUA PORTO ALEGRE</t>
  </si>
  <si>
    <t xml:space="preserve"> VIELA QUATRO</t>
  </si>
  <si>
    <t>FALTA RÉGUA, CARIMBO E TRENA</t>
  </si>
  <si>
    <t xml:space="preserve"> RUA MARIO DE ANDRADE</t>
  </si>
  <si>
    <t>FALTA TRENA</t>
  </si>
  <si>
    <t xml:space="preserve"> RUA TOMAS XAVIER DE ALMEIDA</t>
  </si>
  <si>
    <t>ST JOA</t>
  </si>
  <si>
    <t xml:space="preserve"> RUA MANUEL SOUTELO</t>
  </si>
  <si>
    <t xml:space="preserve"> ESTRADA DO CORREDOR</t>
  </si>
  <si>
    <t>14/05/2026 11:40</t>
  </si>
  <si>
    <t>14/05/2026 11:41</t>
  </si>
  <si>
    <t>14/05/2026 11:13</t>
  </si>
  <si>
    <t>14/05/2026 11:14</t>
  </si>
  <si>
    <t>14/05/2026 12:06</t>
  </si>
  <si>
    <t>14/05/2026 14:09</t>
  </si>
  <si>
    <t>15/05/2026 11:51</t>
  </si>
  <si>
    <t>15/05/2026 16:17</t>
  </si>
  <si>
    <t>15/05/2026 12:55</t>
  </si>
  <si>
    <t>FLTA PLACA DE ESTREITAMENTO DE VIA</t>
  </si>
  <si>
    <t>15/05/2026 10:43</t>
  </si>
  <si>
    <t>15/05/2026 11:18</t>
  </si>
  <si>
    <t>15/05/2026 15:03</t>
  </si>
  <si>
    <t>REPOSIÇÃO DE CAPA ASFALTICA INV</t>
  </si>
  <si>
    <t xml:space="preserve">executado a reposição do asfalto </t>
  </si>
  <si>
    <t>15/05/2026 13:27</t>
  </si>
  <si>
    <t>15/05/2026 13:29</t>
  </si>
  <si>
    <t>LEANDRO TEODORO DA SILVA JUNIOR</t>
  </si>
  <si>
    <t>18/05/2026 12:07</t>
  </si>
  <si>
    <t>18/05/2026 12:08</t>
  </si>
  <si>
    <t>18/05/2026 09:27</t>
  </si>
  <si>
    <t>18/05/2026 09:28</t>
  </si>
  <si>
    <t>18/05/2026 09:59</t>
  </si>
  <si>
    <t>18/05/2026 10:00</t>
  </si>
  <si>
    <t>18/05/2026 10:13</t>
  </si>
  <si>
    <t>18/05/2026 10:14</t>
  </si>
  <si>
    <t>18/05/2026 14:38</t>
  </si>
  <si>
    <t>REPOSIÇÃO DE CAPA ASFALTICA</t>
  </si>
  <si>
    <t>18/05/2026 17:00</t>
  </si>
  <si>
    <t>18/05/2026 17:01</t>
  </si>
  <si>
    <t>18/05/2026 07:11</t>
  </si>
  <si>
    <t>19/05/2026 11:28</t>
  </si>
  <si>
    <t>19/05/2026 11:40</t>
  </si>
  <si>
    <t>19/05/2026 09:43</t>
  </si>
  <si>
    <t>19/05/2026 09:44</t>
  </si>
  <si>
    <t>19/05/2026 10:19</t>
  </si>
  <si>
    <t>19/05/2026 10:20</t>
  </si>
  <si>
    <t>20/05/2026 09:20</t>
  </si>
  <si>
    <t>20/05/2026 12:13</t>
  </si>
  <si>
    <t>20/05/2026 12:14</t>
  </si>
  <si>
    <t>20/05/2026 15:21</t>
  </si>
  <si>
    <t>20/05/2026 15:15</t>
  </si>
  <si>
    <t>ÁGUA SOBRE A REPOSIÇÃO</t>
  </si>
  <si>
    <t xml:space="preserve"> RUA CONDE DO RIO PARDO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</si>
</sst>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family val="2"/>
      <scheme val="minor"/>
    </font>
    <font>
      <sz val="11"/>
      <color theme="1"/>
      <name val="Tahoma"/>
      <family val="2"/>
    </font>
    <font>
      <b/>
      <sz val="11"/>
      <color theme="0"/>
      <name val="Tahoma"/>
      <family val="2"/>
    </font>
    <font>
      <sz val="11"/>
      <color theme="4" tint="-0.499984740745262"/>
      <name val="Tahoma"/>
      <family val="2"/>
    </font>
    <font>
      <b/>
      <sz val="9"/>
      <color theme="4" tint="-0.499984740745262"/>
      <name val="Tahoma"/>
      <family val="2"/>
    </font>
    <font>
      <b/>
      <sz val="12"/>
      <color theme="0"/>
      <name val="Tahoma"/>
      <family val="2"/>
    </font>
    <font>
      <sz val="12"/>
      <color theme="1"/>
      <name val="Tahoma"/>
      <family val="2"/>
    </font>
    <font>
      <sz val="11"/>
      <color indexed="8"/>
      <name val="Calibri"/>
      <family val="2"/>
      <scheme val="minor"/>
    </font>
    <font>
      <sz val="28"/>
      <color theme="4" tint="-0.499984740745262"/>
      <name val="Tahoma"/>
      <family val="2"/>
    </font>
    <font>
      <b/>
      <sz val="14"/>
      <color theme="4" tint="-0.499984740745262"/>
      <name val="Tahoma"/>
      <family val="2"/>
    </font>
    <font>
      <sz val="8"/>
      <name val="Calibri"/>
      <family val="2"/>
      <scheme val="minor"/>
    </font>
    <font>
      <sz val="36"/>
      <color theme="4" tint="-0.499984740745262"/>
      <name val="Tahoma"/>
      <family val="2"/>
    </font>
    <font>
      <b/>
      <sz val="12"/>
      <color rgb="FFFFFFFF"/>
      <name val="Tahoma"/>
      <family val="2"/>
    </font>
    <font>
      <sz val="12"/>
      <color rgb="FF000000"/>
      <name val="Tahoma"/>
      <family val="2"/>
    </font>
    <font>
      <b/>
      <sz val="12"/>
      <color theme="1"/>
      <name val="Tahoma"/>
      <family val="2"/>
    </font>
    <font>
      <sz val="12"/>
      <name val="Tahoma"/>
      <family val="2"/>
    </font>
    <font>
      <sz val="12"/>
      <color rgb="FFFF0000"/>
      <name val="Tahoma"/>
      <family val="2"/>
    </font>
    <font>
      <b/>
      <sz val="12"/>
      <color theme="4" tint="-0.499984740745262"/>
      <name val="Tahoma"/>
      <family val="2"/>
    </font>
    <font>
      <sz val="12"/>
      <color theme="4" tint="-0.499984740745262"/>
      <name val="Tahoma"/>
      <family val="2"/>
    </font>
    <font>
      <sz val="12"/>
      <color theme="1"/>
      <name val="Tahoma"/>
      <family val="2"/>
    </font>
    <font>
      <sz val="11"/>
      <color theme="1"/>
      <name val="Tahoma"/>
      <family val="2"/>
    </font>
    <font>
      <sz val="16"/>
      <color theme="1"/>
      <name val="Tahoma"/>
      <family val="2"/>
    </font>
    <font>
      <b/>
      <sz val="14"/>
      <color theme="0"/>
      <name val="Tahoma"/>
      <family val="2"/>
    </font>
    <font>
      <sz val="14"/>
      <color theme="1"/>
      <name val="Tahoma"/>
      <family val="2"/>
    </font>
    <font>
      <b/>
      <sz val="14"/>
      <color theme="1"/>
      <name val="Tahoma"/>
      <family val="2"/>
    </font>
    <font>
      <b/>
      <sz val="16"/>
      <color theme="4" tint="-0.499984740745262"/>
      <name val="Tahoma"/>
      <family val="2"/>
    </font>
    <font>
      <sz val="16"/>
      <color theme="1"/>
      <name val="Tahoma"/>
      <family val="2"/>
    </font>
    <font>
      <b/>
      <sz val="16"/>
      <color theme="0"/>
      <name val="Tahoma"/>
      <family val="2"/>
    </font>
    <font>
      <sz val="16"/>
      <color rgb="FFFF0000"/>
      <name val="Tahoma"/>
      <family val="2"/>
    </font>
    <font>
      <b/>
      <sz val="18"/>
      <color theme="0"/>
      <name val="Tahoma"/>
      <family val="2"/>
    </font>
    <font>
      <sz val="18"/>
      <color theme="1"/>
      <name val="Tahoma"/>
      <family val="2"/>
    </font>
    <font>
      <b/>
      <sz val="24"/>
      <color theme="0"/>
      <name val="Tahoma"/>
      <family val="2"/>
    </font>
    <font>
      <b/>
      <sz val="18"/>
      <color theme="1"/>
      <name val="Tahoma"/>
      <family val="2"/>
    </font>
    <font>
      <sz val="12"/>
      <color rgb="FF000000"/>
      <name val="Tahoma"/>
    </font>
    <font>
      <sz val="12"/>
      <color theme="1"/>
      <name val="Tahoma"/>
    </font>
    <font>
      <sz val="11"/>
      <color rgb="FF000000"/>
      <name val="Calibri"/>
      <family val="2"/>
    </font>
    <font>
      <sz val="12"/>
      <color rgb="FF000000"/>
      <name val="Tahoma"/>
      <charset val="1"/>
    </font>
    <font>
      <b/>
      <sz val="12"/>
      <color rgb="FF000000"/>
      <name val="Tahoma"/>
      <family val="2"/>
    </font>
    <font>
      <b/>
      <sz val="11"/>
      <color theme="1"/>
      <name val="Tahoma"/>
      <family val="2"/>
    </font>
    <font>
      <sz val="12"/>
      <color rgb="FF000000"/>
      <name val="Arial"/>
    </font>
  </fonts>
  <fills count="19">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1"/>
        <bgColor indexed="64"/>
      </patternFill>
    </fill>
    <fill>
      <patternFill patternType="solid">
        <fgColor rgb="FFFFFFFF"/>
        <bgColor rgb="FF000000"/>
      </patternFill>
    </fill>
    <fill>
      <patternFill patternType="solid">
        <fgColor theme="8" tint="-0.249977111117893"/>
        <bgColor indexed="64"/>
      </patternFill>
    </fill>
    <fill>
      <patternFill patternType="solid">
        <fgColor rgb="FF0070C0"/>
        <bgColor indexed="64"/>
      </patternFill>
    </fill>
    <fill>
      <patternFill patternType="solid">
        <fgColor theme="8" tint="0.39997558519241921"/>
        <bgColor indexed="64"/>
      </patternFill>
    </fill>
    <fill>
      <patternFill patternType="solid">
        <fgColor theme="8" tint="0.39997558519241921"/>
        <bgColor theme="4" tint="0.79998168889431442"/>
      </patternFill>
    </fill>
    <fill>
      <patternFill patternType="solid">
        <fgColor theme="8" tint="-0.499984740745262"/>
        <bgColor indexed="64"/>
      </patternFill>
    </fill>
    <fill>
      <patternFill patternType="solid">
        <fgColor theme="4" tint="-0.249977111117893"/>
        <bgColor indexed="64"/>
      </patternFill>
    </fill>
    <fill>
      <patternFill patternType="solid">
        <fgColor theme="8" tint="0.39997558519241921"/>
        <bgColor rgb="FF000000"/>
      </patternFill>
    </fill>
    <fill>
      <patternFill patternType="solid">
        <fgColor theme="9" tint="0.39997558519241921"/>
        <bgColor indexed="64"/>
      </patternFill>
    </fill>
    <fill>
      <patternFill patternType="solid">
        <fgColor rgb="FFF58377"/>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000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indexed="64"/>
      </right>
      <top/>
      <bottom/>
      <diagonal/>
    </border>
    <border>
      <left style="thin">
        <color indexed="64"/>
      </left>
      <right style="thin">
        <color indexed="64"/>
      </right>
      <top/>
      <bottom/>
      <diagonal/>
    </border>
  </borders>
  <cellStyleXfs count="3">
    <xf numFmtId="0" fontId="0" fillId="0" borderId="0"/>
    <xf numFmtId="9" fontId="1" fillId="0" borderId="0" applyFont="0" applyFill="0" applyBorder="0" applyAlignment="0" applyProtection="0"/>
    <xf numFmtId="0" fontId="8" fillId="0" borderId="0"/>
  </cellStyleXfs>
  <cellXfs count="397">
    <xf numFmtId="0" fontId="0" fillId="0" borderId="0" xfId="0"/>
    <xf numFmtId="0" fontId="2" fillId="2" borderId="0" xfId="0" applyFont="1" applyFill="1"/>
    <xf numFmtId="0" fontId="2" fillId="2" borderId="0" xfId="0" applyFont="1" applyFill="1" applyAlignment="1">
      <alignment vertical="center"/>
    </xf>
    <xf numFmtId="0" fontId="5" fillId="2" borderId="0" xfId="0" applyFont="1" applyFill="1" applyAlignment="1">
      <alignment vertical="top"/>
    </xf>
    <xf numFmtId="0" fontId="5" fillId="2" borderId="0" xfId="0" applyFont="1" applyFill="1"/>
    <xf numFmtId="0" fontId="7" fillId="2" borderId="0" xfId="0" applyFont="1" applyFill="1" applyAlignment="1">
      <alignment vertical="center"/>
    </xf>
    <xf numFmtId="0" fontId="4" fillId="2" borderId="0" xfId="0" applyFont="1" applyFill="1"/>
    <xf numFmtId="0" fontId="9" fillId="2" borderId="0" xfId="0" applyFont="1" applyFill="1"/>
    <xf numFmtId="0" fontId="10" fillId="2" borderId="0" xfId="0" applyFont="1" applyFill="1"/>
    <xf numFmtId="0" fontId="7" fillId="2" borderId="4" xfId="0" applyFont="1" applyFill="1" applyBorder="1" applyAlignment="1">
      <alignment horizontal="center" vertical="center"/>
    </xf>
    <xf numFmtId="0" fontId="7" fillId="2" borderId="0" xfId="0" applyFont="1" applyFill="1" applyAlignment="1">
      <alignment horizontal="left" vertical="center"/>
    </xf>
    <xf numFmtId="0" fontId="7" fillId="2" borderId="0" xfId="0" applyFont="1" applyFill="1"/>
    <xf numFmtId="10" fontId="7" fillId="2" borderId="2" xfId="1" applyNumberFormat="1" applyFont="1" applyFill="1" applyBorder="1" applyAlignment="1">
      <alignment horizontal="center" vertical="center"/>
    </xf>
    <xf numFmtId="0" fontId="7" fillId="2" borderId="3" xfId="0" applyFont="1" applyFill="1" applyBorder="1" applyAlignment="1">
      <alignment horizontal="center" vertical="center"/>
    </xf>
    <xf numFmtId="0" fontId="7" fillId="2" borderId="0" xfId="0" applyFont="1" applyFill="1" applyAlignment="1">
      <alignment horizontal="center"/>
    </xf>
    <xf numFmtId="10" fontId="7" fillId="2" borderId="0" xfId="1" applyNumberFormat="1" applyFont="1" applyFill="1" applyBorder="1" applyAlignment="1">
      <alignment horizontal="left"/>
    </xf>
    <xf numFmtId="10" fontId="16" fillId="2" borderId="1" xfId="1" applyNumberFormat="1" applyFont="1" applyFill="1" applyBorder="1" applyAlignment="1">
      <alignment horizontal="center" vertical="center"/>
    </xf>
    <xf numFmtId="10" fontId="17" fillId="2" borderId="0" xfId="1" applyNumberFormat="1" applyFont="1" applyFill="1" applyBorder="1" applyAlignment="1">
      <alignment horizontal="center" vertical="center"/>
    </xf>
    <xf numFmtId="0" fontId="22" fillId="2" borderId="0" xfId="0" applyFont="1" applyFill="1"/>
    <xf numFmtId="10" fontId="22" fillId="2" borderId="0" xfId="1" applyNumberFormat="1" applyFont="1" applyFill="1" applyBorder="1" applyAlignment="1">
      <alignment horizontal="center" vertical="center"/>
    </xf>
    <xf numFmtId="0" fontId="24" fillId="2" borderId="0" xfId="0" applyFont="1" applyFill="1"/>
    <xf numFmtId="0" fontId="24" fillId="2" borderId="0" xfId="0" applyFont="1" applyFill="1" applyAlignment="1">
      <alignment horizontal="left" indent="1"/>
    </xf>
    <xf numFmtId="0" fontId="24" fillId="2" borderId="1" xfId="0" applyFont="1" applyFill="1" applyBorder="1" applyAlignment="1">
      <alignment horizontal="center" vertical="center"/>
    </xf>
    <xf numFmtId="0" fontId="3" fillId="2" borderId="0" xfId="0" applyFont="1" applyFill="1" applyAlignment="1">
      <alignment vertical="center"/>
    </xf>
    <xf numFmtId="0" fontId="26" fillId="2" borderId="0" xfId="0" applyFont="1" applyFill="1" applyAlignment="1">
      <alignment horizontal="center" vertical="center"/>
    </xf>
    <xf numFmtId="10" fontId="26" fillId="2" borderId="0" xfId="1" applyNumberFormat="1" applyFont="1" applyFill="1" applyAlignment="1">
      <alignment horizontal="center" vertical="center"/>
    </xf>
    <xf numFmtId="0" fontId="26" fillId="2" borderId="0" xfId="0" applyFont="1" applyFill="1"/>
    <xf numFmtId="0" fontId="26" fillId="2" borderId="0" xfId="0" applyFont="1" applyFill="1" applyAlignment="1">
      <alignment vertical="top"/>
    </xf>
    <xf numFmtId="10" fontId="26" fillId="2" borderId="0" xfId="1" applyNumberFormat="1" applyFont="1" applyFill="1" applyBorder="1" applyAlignment="1">
      <alignment horizontal="center" vertical="center"/>
    </xf>
    <xf numFmtId="0" fontId="27" fillId="2" borderId="0" xfId="0" applyFont="1" applyFill="1"/>
    <xf numFmtId="0" fontId="20" fillId="2" borderId="0" xfId="0" applyFont="1" applyFill="1" applyAlignment="1">
      <alignment vertical="center"/>
    </xf>
    <xf numFmtId="0" fontId="21" fillId="2" borderId="0" xfId="0" applyFont="1" applyFill="1" applyAlignment="1">
      <alignment vertical="center"/>
    </xf>
    <xf numFmtId="0" fontId="24" fillId="2" borderId="0" xfId="0" applyFont="1" applyFill="1" applyAlignment="1">
      <alignment horizontal="right"/>
    </xf>
    <xf numFmtId="0" fontId="22" fillId="2" borderId="0" xfId="0" applyFont="1" applyFill="1" applyAlignment="1">
      <alignment vertical="center"/>
    </xf>
    <xf numFmtId="0" fontId="28" fillId="2" borderId="0" xfId="0" applyFont="1" applyFill="1" applyAlignment="1">
      <alignment horizontal="center" vertical="center"/>
    </xf>
    <xf numFmtId="0" fontId="28" fillId="2" borderId="0" xfId="0" applyFont="1" applyFill="1" applyAlignment="1">
      <alignment vertical="center"/>
    </xf>
    <xf numFmtId="0" fontId="29" fillId="2" borderId="0" xfId="0" applyFont="1" applyFill="1"/>
    <xf numFmtId="0" fontId="24" fillId="2" borderId="0" xfId="0" applyFont="1" applyFill="1" applyAlignment="1">
      <alignment vertical="center"/>
    </xf>
    <xf numFmtId="0" fontId="25" fillId="2" borderId="0" xfId="0" applyFont="1" applyFill="1"/>
    <xf numFmtId="0" fontId="15" fillId="2" borderId="0" xfId="0" applyFont="1" applyFill="1" applyAlignment="1">
      <alignment vertical="center"/>
    </xf>
    <xf numFmtId="0" fontId="18" fillId="2" borderId="0" xfId="0" applyFont="1" applyFill="1" applyAlignment="1">
      <alignment vertical="center"/>
    </xf>
    <xf numFmtId="0" fontId="19" fillId="2" borderId="0" xfId="0" applyFont="1" applyFill="1" applyAlignment="1">
      <alignment vertical="center"/>
    </xf>
    <xf numFmtId="0" fontId="30" fillId="2" borderId="0" xfId="0" applyFont="1" applyFill="1" applyAlignment="1">
      <alignment horizontal="center" vertical="center"/>
    </xf>
    <xf numFmtId="0" fontId="31" fillId="2" borderId="0" xfId="0" applyFont="1" applyFill="1" applyAlignment="1">
      <alignment vertical="center"/>
    </xf>
    <xf numFmtId="10" fontId="26" fillId="2" borderId="19" xfId="1" applyNumberFormat="1" applyFont="1" applyFill="1" applyBorder="1" applyAlignment="1">
      <alignment horizontal="center" vertical="center"/>
    </xf>
    <xf numFmtId="0" fontId="23" fillId="2" borderId="0" xfId="0" applyFont="1" applyFill="1" applyAlignment="1">
      <alignment horizontal="center"/>
    </xf>
    <xf numFmtId="0" fontId="10" fillId="2" borderId="0" xfId="0" applyFont="1" applyFill="1" applyAlignment="1">
      <alignment horizontal="center" vertical="center"/>
    </xf>
    <xf numFmtId="10" fontId="10" fillId="2" borderId="0" xfId="1" applyNumberFormat="1" applyFont="1" applyFill="1" applyBorder="1" applyAlignment="1">
      <alignment horizontal="center" vertical="center"/>
    </xf>
    <xf numFmtId="0" fontId="2" fillId="2" borderId="10" xfId="0" applyFont="1" applyFill="1" applyBorder="1" applyAlignment="1">
      <alignment horizontal="center"/>
    </xf>
    <xf numFmtId="0" fontId="22" fillId="2" borderId="0" xfId="0" applyFont="1" applyFill="1" applyAlignment="1">
      <alignment horizontal="center" vertical="center"/>
    </xf>
    <xf numFmtId="10" fontId="7" fillId="2" borderId="1" xfId="1" applyNumberFormat="1" applyFont="1" applyFill="1" applyBorder="1" applyAlignment="1">
      <alignment horizontal="center"/>
    </xf>
    <xf numFmtId="0" fontId="7" fillId="2" borderId="0" xfId="0" applyFont="1" applyFill="1" applyAlignment="1">
      <alignment horizontal="center" vertical="center"/>
    </xf>
    <xf numFmtId="0" fontId="7" fillId="0" borderId="10" xfId="0" applyFont="1" applyBorder="1" applyAlignment="1">
      <alignment horizontal="center" vertical="center"/>
    </xf>
    <xf numFmtId="0" fontId="7" fillId="2" borderId="0" xfId="0" applyFont="1" applyFill="1" applyAlignment="1">
      <alignment horizontal="left"/>
    </xf>
    <xf numFmtId="0" fontId="7" fillId="2" borderId="10" xfId="0" applyFont="1" applyFill="1" applyBorder="1" applyAlignment="1">
      <alignment horizontal="center" vertical="center"/>
    </xf>
    <xf numFmtId="0" fontId="7" fillId="2" borderId="0" xfId="0" applyFont="1" applyFill="1" applyAlignment="1">
      <alignment horizontal="center" vertical="center" wrapText="1"/>
    </xf>
    <xf numFmtId="0" fontId="7" fillId="0" borderId="24" xfId="0" applyFont="1" applyBorder="1" applyAlignment="1">
      <alignment horizontal="center" vertical="center" wrapText="1"/>
    </xf>
    <xf numFmtId="0" fontId="7" fillId="2" borderId="24" xfId="0" applyFont="1" applyFill="1" applyBorder="1" applyAlignment="1">
      <alignment horizontal="center" vertical="center"/>
    </xf>
    <xf numFmtId="0" fontId="14" fillId="5" borderId="1" xfId="0" applyFont="1" applyFill="1" applyBorder="1" applyAlignment="1">
      <alignment horizontal="left" vertical="center"/>
    </xf>
    <xf numFmtId="0" fontId="7" fillId="0" borderId="24" xfId="0" applyFont="1" applyBorder="1" applyAlignment="1" applyProtection="1">
      <alignment horizontal="center" vertical="center"/>
      <protection locked="0"/>
    </xf>
    <xf numFmtId="0" fontId="7" fillId="2" borderId="26" xfId="0" applyFont="1" applyFill="1" applyBorder="1" applyAlignment="1">
      <alignment horizontal="center" vertical="center"/>
    </xf>
    <xf numFmtId="0" fontId="14" fillId="5" borderId="1" xfId="0" applyFont="1" applyFill="1" applyBorder="1" applyAlignment="1">
      <alignment wrapText="1"/>
    </xf>
    <xf numFmtId="0" fontId="7" fillId="2" borderId="1" xfId="0" applyFont="1" applyFill="1" applyBorder="1" applyAlignment="1">
      <alignment horizontal="center"/>
    </xf>
    <xf numFmtId="0" fontId="24" fillId="0" borderId="10" xfId="0" applyFont="1" applyBorder="1" applyAlignment="1">
      <alignment horizontal="center"/>
    </xf>
    <xf numFmtId="10" fontId="24" fillId="0" borderId="10" xfId="0" applyNumberFormat="1" applyFont="1" applyBorder="1" applyAlignment="1">
      <alignment horizontal="center"/>
    </xf>
    <xf numFmtId="10" fontId="24" fillId="2" borderId="10" xfId="0" applyNumberFormat="1" applyFont="1" applyFill="1" applyBorder="1" applyAlignment="1">
      <alignment horizontal="center"/>
    </xf>
    <xf numFmtId="0" fontId="24" fillId="0" borderId="9" xfId="0" applyFont="1" applyBorder="1" applyAlignment="1">
      <alignment horizontal="center"/>
    </xf>
    <xf numFmtId="0" fontId="24" fillId="2" borderId="1" xfId="0" applyFont="1" applyFill="1" applyBorder="1" applyAlignment="1">
      <alignment horizontal="center"/>
    </xf>
    <xf numFmtId="10" fontId="24" fillId="2" borderId="1" xfId="1" applyNumberFormat="1" applyFont="1" applyFill="1" applyBorder="1" applyAlignment="1">
      <alignment horizontal="center"/>
    </xf>
    <xf numFmtId="10" fontId="24" fillId="0" borderId="1" xfId="0" applyNumberFormat="1" applyFont="1" applyBorder="1" applyAlignment="1">
      <alignment horizontal="center"/>
    </xf>
    <xf numFmtId="0" fontId="24" fillId="0" borderId="1" xfId="0" applyFont="1" applyBorder="1" applyAlignment="1">
      <alignment horizontal="center" vertical="center"/>
    </xf>
    <xf numFmtId="10" fontId="24" fillId="2" borderId="1" xfId="1" applyNumberFormat="1" applyFont="1" applyFill="1" applyBorder="1" applyAlignment="1">
      <alignment horizontal="center" vertical="center"/>
    </xf>
    <xf numFmtId="10" fontId="24" fillId="2" borderId="1" xfId="0" applyNumberFormat="1" applyFont="1" applyFill="1" applyBorder="1" applyAlignment="1">
      <alignment horizontal="center"/>
    </xf>
    <xf numFmtId="0" fontId="7" fillId="2" borderId="5" xfId="0" applyFont="1" applyFill="1" applyBorder="1" applyAlignment="1">
      <alignment horizontal="center"/>
    </xf>
    <xf numFmtId="0" fontId="23" fillId="2" borderId="0" xfId="0" applyFont="1" applyFill="1" applyAlignment="1">
      <alignment horizontal="center" vertical="center"/>
    </xf>
    <xf numFmtId="0" fontId="24" fillId="2" borderId="10" xfId="0" applyFont="1" applyFill="1" applyBorder="1" applyAlignment="1">
      <alignment horizontal="center"/>
    </xf>
    <xf numFmtId="10" fontId="24" fillId="2" borderId="10" xfId="1" applyNumberFormat="1" applyFont="1" applyFill="1" applyBorder="1" applyAlignment="1">
      <alignment horizontal="center"/>
    </xf>
    <xf numFmtId="0" fontId="24" fillId="2" borderId="10" xfId="0" applyFont="1" applyFill="1" applyBorder="1" applyAlignment="1">
      <alignment horizontal="center" vertical="center"/>
    </xf>
    <xf numFmtId="0" fontId="24" fillId="0" borderId="10" xfId="0" applyFont="1" applyBorder="1" applyAlignment="1">
      <alignment horizontal="center" vertical="center"/>
    </xf>
    <xf numFmtId="10" fontId="24" fillId="2" borderId="10" xfId="1" applyNumberFormat="1" applyFont="1" applyFill="1" applyBorder="1" applyAlignment="1">
      <alignment horizontal="center" vertical="center"/>
    </xf>
    <xf numFmtId="0" fontId="24" fillId="0" borderId="12" xfId="0" applyFont="1" applyBorder="1" applyAlignment="1">
      <alignment horizontal="center"/>
    </xf>
    <xf numFmtId="0" fontId="24" fillId="0" borderId="1" xfId="0" applyFont="1" applyBorder="1" applyAlignment="1">
      <alignment horizontal="center"/>
    </xf>
    <xf numFmtId="10" fontId="16" fillId="2" borderId="1" xfId="1" applyNumberFormat="1" applyFont="1" applyFill="1" applyBorder="1" applyAlignment="1">
      <alignment horizontal="center" vertical="center" wrapText="1"/>
    </xf>
    <xf numFmtId="10" fontId="7" fillId="2" borderId="1" xfId="1" applyNumberFormat="1" applyFont="1" applyFill="1" applyBorder="1" applyAlignment="1">
      <alignment horizontal="center" wrapText="1"/>
    </xf>
    <xf numFmtId="0" fontId="18" fillId="2" borderId="0" xfId="0" applyFont="1" applyFill="1" applyAlignment="1">
      <alignment horizontal="center" vertical="center"/>
    </xf>
    <xf numFmtId="0" fontId="26" fillId="2" borderId="18" xfId="0" applyFont="1" applyFill="1" applyBorder="1" applyAlignment="1">
      <alignment horizontal="center" vertical="center"/>
    </xf>
    <xf numFmtId="0" fontId="26" fillId="2" borderId="16" xfId="0" applyFont="1" applyFill="1" applyBorder="1" applyAlignment="1">
      <alignment horizontal="center" vertical="center"/>
    </xf>
    <xf numFmtId="0" fontId="26" fillId="2" borderId="17" xfId="0" applyFont="1" applyFill="1" applyBorder="1" applyAlignment="1">
      <alignment horizontal="center" vertical="center"/>
    </xf>
    <xf numFmtId="0" fontId="26" fillId="2" borderId="21" xfId="0" applyFont="1" applyFill="1" applyBorder="1" applyAlignment="1">
      <alignment horizontal="center" vertical="center"/>
    </xf>
    <xf numFmtId="0" fontId="26" fillId="2" borderId="20" xfId="0" applyFont="1" applyFill="1" applyBorder="1" applyAlignment="1">
      <alignment horizontal="center" vertical="center"/>
    </xf>
    <xf numFmtId="0" fontId="7" fillId="2" borderId="1" xfId="0" applyFont="1" applyFill="1" applyBorder="1" applyAlignment="1">
      <alignment horizontal="center" vertical="center"/>
    </xf>
    <xf numFmtId="0" fontId="32" fillId="2" borderId="0" xfId="0" applyFont="1" applyFill="1" applyAlignment="1">
      <alignment vertical="center"/>
    </xf>
    <xf numFmtId="0" fontId="7" fillId="0" borderId="1" xfId="0" applyFont="1" applyBorder="1" applyAlignment="1">
      <alignment horizontal="center" vertical="center" wrapText="1"/>
    </xf>
    <xf numFmtId="0" fontId="14" fillId="0" borderId="1" xfId="0" applyFont="1" applyBorder="1" applyAlignment="1">
      <alignment horizontal="center" vertical="center" wrapText="1"/>
    </xf>
    <xf numFmtId="1" fontId="31" fillId="2" borderId="10" xfId="1" applyNumberFormat="1" applyFont="1" applyFill="1" applyBorder="1" applyAlignment="1">
      <alignment horizontal="center" vertical="center"/>
    </xf>
    <xf numFmtId="0" fontId="33" fillId="2" borderId="0" xfId="0" applyFont="1" applyFill="1"/>
    <xf numFmtId="0" fontId="31" fillId="2" borderId="0" xfId="0" applyFont="1" applyFill="1"/>
    <xf numFmtId="0" fontId="14" fillId="5" borderId="1" xfId="0" applyFont="1" applyFill="1" applyBorder="1" applyAlignment="1">
      <alignment vertical="center"/>
    </xf>
    <xf numFmtId="1" fontId="31" fillId="2" borderId="1" xfId="1" applyNumberFormat="1" applyFont="1" applyFill="1" applyBorder="1" applyAlignment="1">
      <alignment horizontal="center" vertical="center"/>
    </xf>
    <xf numFmtId="0" fontId="31" fillId="2" borderId="1" xfId="0" applyFont="1" applyFill="1" applyBorder="1" applyAlignment="1">
      <alignment horizontal="center"/>
    </xf>
    <xf numFmtId="0" fontId="6" fillId="7" borderId="23" xfId="0" applyFont="1" applyFill="1" applyBorder="1" applyAlignment="1">
      <alignment vertical="center"/>
    </xf>
    <xf numFmtId="0" fontId="6" fillId="7" borderId="12" xfId="0" applyFont="1" applyFill="1" applyBorder="1" applyAlignment="1">
      <alignment vertical="center"/>
    </xf>
    <xf numFmtId="0" fontId="6" fillId="7" borderId="11" xfId="0" applyFont="1" applyFill="1" applyBorder="1" applyAlignment="1">
      <alignment vertical="center"/>
    </xf>
    <xf numFmtId="0" fontId="6" fillId="7" borderId="1" xfId="0" applyFont="1" applyFill="1" applyBorder="1" applyAlignment="1">
      <alignment horizontal="left" vertical="center"/>
    </xf>
    <xf numFmtId="0" fontId="6" fillId="7" borderId="1" xfId="0" applyFont="1" applyFill="1" applyBorder="1" applyAlignment="1">
      <alignment horizontal="center" vertical="center" wrapText="1"/>
    </xf>
    <xf numFmtId="0" fontId="23" fillId="7" borderId="9" xfId="0" applyFont="1" applyFill="1" applyBorder="1" applyAlignment="1">
      <alignment vertical="center"/>
    </xf>
    <xf numFmtId="0" fontId="23" fillId="7" borderId="9" xfId="0" applyFont="1" applyFill="1" applyBorder="1" applyAlignment="1">
      <alignment horizontal="center" vertical="center"/>
    </xf>
    <xf numFmtId="0" fontId="23" fillId="7" borderId="1" xfId="0" applyFont="1" applyFill="1" applyBorder="1" applyAlignment="1">
      <alignment horizontal="center" vertical="center"/>
    </xf>
    <xf numFmtId="0" fontId="23" fillId="7" borderId="30" xfId="0" applyFont="1" applyFill="1" applyBorder="1" applyAlignment="1">
      <alignment horizontal="center" vertical="center" wrapText="1"/>
    </xf>
    <xf numFmtId="0" fontId="23" fillId="7" borderId="5" xfId="0" applyFont="1" applyFill="1" applyBorder="1" applyAlignment="1">
      <alignment horizontal="center" vertical="center" wrapText="1"/>
    </xf>
    <xf numFmtId="0" fontId="23" fillId="7" borderId="4" xfId="0" applyFont="1" applyFill="1" applyBorder="1" applyAlignment="1">
      <alignment horizontal="center" vertical="center" wrapText="1"/>
    </xf>
    <xf numFmtId="0" fontId="23" fillId="7" borderId="1" xfId="0" applyFont="1" applyFill="1" applyBorder="1" applyAlignment="1">
      <alignment horizontal="center" vertical="center" wrapText="1"/>
    </xf>
    <xf numFmtId="0" fontId="23" fillId="7" borderId="10" xfId="0" applyFont="1" applyFill="1" applyBorder="1" applyAlignment="1">
      <alignment horizontal="left" vertical="center"/>
    </xf>
    <xf numFmtId="0" fontId="23" fillId="7" borderId="10" xfId="0" applyFont="1" applyFill="1" applyBorder="1" applyAlignment="1">
      <alignment horizontal="center" vertical="center"/>
    </xf>
    <xf numFmtId="0" fontId="23" fillId="7" borderId="5" xfId="0" applyFont="1" applyFill="1" applyBorder="1" applyAlignment="1">
      <alignment horizontal="center" vertical="center"/>
    </xf>
    <xf numFmtId="0" fontId="23" fillId="7" borderId="24" xfId="0" applyFont="1" applyFill="1" applyBorder="1" applyAlignment="1">
      <alignment horizontal="center" vertical="center"/>
    </xf>
    <xf numFmtId="0" fontId="23" fillId="7" borderId="10" xfId="0" applyFont="1" applyFill="1" applyBorder="1" applyAlignment="1">
      <alignment horizontal="center" vertical="center" wrapText="1"/>
    </xf>
    <xf numFmtId="0" fontId="7" fillId="8" borderId="1" xfId="0" applyFont="1" applyFill="1" applyBorder="1" applyAlignment="1">
      <alignment horizontal="center" vertical="center"/>
    </xf>
    <xf numFmtId="0" fontId="7" fillId="8" borderId="7" xfId="0" applyFont="1" applyFill="1" applyBorder="1"/>
    <xf numFmtId="0" fontId="7" fillId="8" borderId="2" xfId="0" applyFont="1" applyFill="1" applyBorder="1"/>
    <xf numFmtId="0" fontId="7" fillId="8" borderId="1" xfId="0" applyFont="1" applyFill="1" applyBorder="1"/>
    <xf numFmtId="0" fontId="7" fillId="8" borderId="5" xfId="0" applyFont="1" applyFill="1" applyBorder="1"/>
    <xf numFmtId="0" fontId="25" fillId="9" borderId="1" xfId="0" applyFont="1" applyFill="1" applyBorder="1" applyAlignment="1">
      <alignment vertical="center"/>
    </xf>
    <xf numFmtId="0" fontId="25" fillId="9" borderId="10" xfId="0" applyFont="1" applyFill="1" applyBorder="1" applyAlignment="1">
      <alignment horizontal="left" vertical="center"/>
    </xf>
    <xf numFmtId="0" fontId="25" fillId="9" borderId="9" xfId="0" applyFont="1" applyFill="1" applyBorder="1" applyAlignment="1">
      <alignment horizontal="left" vertical="center"/>
    </xf>
    <xf numFmtId="0" fontId="7" fillId="8" borderId="1" xfId="0" applyFont="1" applyFill="1" applyBorder="1" applyAlignment="1">
      <alignment horizontal="left" vertical="center"/>
    </xf>
    <xf numFmtId="10" fontId="30" fillId="7" borderId="9" xfId="1" applyNumberFormat="1" applyFont="1" applyFill="1" applyBorder="1" applyAlignment="1">
      <alignment horizontal="center" vertical="center"/>
    </xf>
    <xf numFmtId="0" fontId="30" fillId="7" borderId="0" xfId="0" applyFont="1" applyFill="1" applyAlignment="1">
      <alignment horizontal="center"/>
    </xf>
    <xf numFmtId="0" fontId="6" fillId="10" borderId="1" xfId="0" applyFont="1" applyFill="1" applyBorder="1" applyAlignment="1">
      <alignment horizontal="left" vertical="center"/>
    </xf>
    <xf numFmtId="0" fontId="6" fillId="10" borderId="1" xfId="0" applyFont="1" applyFill="1" applyBorder="1" applyAlignment="1">
      <alignment horizontal="center" vertical="center" wrapText="1"/>
    </xf>
    <xf numFmtId="0" fontId="15" fillId="3" borderId="11" xfId="0" applyFont="1" applyFill="1" applyBorder="1" applyAlignment="1">
      <alignment vertical="center"/>
    </xf>
    <xf numFmtId="0" fontId="15" fillId="3" borderId="23" xfId="0" applyFont="1" applyFill="1" applyBorder="1" applyAlignment="1">
      <alignment vertical="center"/>
    </xf>
    <xf numFmtId="0" fontId="15" fillId="3" borderId="3" xfId="0" applyFont="1" applyFill="1" applyBorder="1" applyAlignment="1">
      <alignment vertical="center"/>
    </xf>
    <xf numFmtId="0" fontId="15" fillId="3" borderId="2" xfId="0" applyFont="1" applyFill="1" applyBorder="1" applyAlignment="1">
      <alignment horizontal="center" vertical="center"/>
    </xf>
    <xf numFmtId="10" fontId="15" fillId="3" borderId="4" xfId="1" applyNumberFormat="1" applyFont="1" applyFill="1" applyBorder="1" applyAlignment="1">
      <alignment horizontal="center" vertical="center"/>
    </xf>
    <xf numFmtId="0" fontId="6" fillId="11" borderId="10" xfId="0" applyFont="1" applyFill="1" applyBorder="1" applyAlignment="1">
      <alignment horizontal="center"/>
    </xf>
    <xf numFmtId="0" fontId="14" fillId="5" borderId="1" xfId="0" applyFont="1" applyFill="1" applyBorder="1" applyAlignment="1">
      <alignment horizontal="left"/>
    </xf>
    <xf numFmtId="0" fontId="7" fillId="2" borderId="10" xfId="0" applyFont="1" applyFill="1" applyBorder="1" applyAlignment="1">
      <alignment horizontal="center"/>
    </xf>
    <xf numFmtId="49" fontId="7" fillId="2" borderId="10" xfId="0" applyNumberFormat="1" applyFont="1" applyFill="1" applyBorder="1" applyAlignment="1">
      <alignment horizontal="center"/>
    </xf>
    <xf numFmtId="49" fontId="7" fillId="2" borderId="24" xfId="0" applyNumberFormat="1" applyFont="1" applyFill="1" applyBorder="1" applyAlignment="1">
      <alignment horizontal="center"/>
    </xf>
    <xf numFmtId="49" fontId="7" fillId="2" borderId="1" xfId="0" applyNumberFormat="1" applyFont="1" applyFill="1" applyBorder="1" applyAlignment="1">
      <alignment horizontal="center"/>
    </xf>
    <xf numFmtId="10" fontId="30" fillId="6" borderId="10" xfId="1" applyNumberFormat="1" applyFont="1" applyFill="1" applyBorder="1" applyAlignment="1">
      <alignment horizontal="center" vertical="center"/>
    </xf>
    <xf numFmtId="0" fontId="6" fillId="2" borderId="0" xfId="0" applyFont="1" applyFill="1" applyAlignment="1">
      <alignment vertical="center"/>
    </xf>
    <xf numFmtId="0" fontId="15" fillId="3" borderId="1" xfId="0" applyFont="1" applyFill="1" applyBorder="1"/>
    <xf numFmtId="0" fontId="15" fillId="3" borderId="5" xfId="0" applyFont="1" applyFill="1" applyBorder="1"/>
    <xf numFmtId="0" fontId="14" fillId="0" borderId="24" xfId="0" applyFont="1" applyBorder="1" applyAlignment="1">
      <alignment horizontal="center" vertical="center"/>
    </xf>
    <xf numFmtId="0" fontId="7" fillId="0" borderId="27" xfId="0" applyFont="1" applyBorder="1" applyAlignment="1" applyProtection="1">
      <alignment horizontal="center" vertical="center"/>
      <protection locked="0"/>
    </xf>
    <xf numFmtId="0" fontId="14" fillId="0" borderId="1" xfId="0" applyFont="1" applyBorder="1" applyAlignment="1">
      <alignment horizontal="center" vertical="center"/>
    </xf>
    <xf numFmtId="0" fontId="7" fillId="0" borderId="1" xfId="0" applyFont="1" applyBorder="1" applyAlignment="1" applyProtection="1">
      <alignment horizontal="center" vertical="center"/>
      <protection locked="0"/>
    </xf>
    <xf numFmtId="0" fontId="7" fillId="2" borderId="24" xfId="0" applyFont="1" applyFill="1" applyBorder="1" applyAlignment="1">
      <alignment horizontal="center"/>
    </xf>
    <xf numFmtId="0" fontId="7" fillId="2" borderId="1" xfId="0" applyFont="1" applyFill="1" applyBorder="1" applyAlignment="1">
      <alignment horizontal="center" vertical="center" wrapText="1"/>
    </xf>
    <xf numFmtId="49" fontId="7" fillId="2" borderId="12" xfId="0" applyNumberFormat="1" applyFont="1" applyFill="1" applyBorder="1" applyAlignment="1">
      <alignment horizontal="center"/>
    </xf>
    <xf numFmtId="49" fontId="7" fillId="2" borderId="4" xfId="0" applyNumberFormat="1" applyFont="1" applyFill="1" applyBorder="1" applyAlignment="1">
      <alignment horizontal="center"/>
    </xf>
    <xf numFmtId="0" fontId="14" fillId="5" borderId="1" xfId="0" applyFont="1" applyFill="1" applyBorder="1"/>
    <xf numFmtId="0" fontId="14" fillId="5" borderId="4" xfId="0" applyFont="1" applyFill="1" applyBorder="1" applyAlignment="1">
      <alignment horizontal="center"/>
    </xf>
    <xf numFmtId="0" fontId="14" fillId="5" borderId="8" xfId="0" applyFont="1" applyFill="1" applyBorder="1" applyAlignment="1">
      <alignment horizontal="center"/>
    </xf>
    <xf numFmtId="0" fontId="14" fillId="0" borderId="4" xfId="0" applyFont="1" applyBorder="1" applyAlignment="1">
      <alignment horizontal="center" vertical="center" wrapText="1"/>
    </xf>
    <xf numFmtId="49" fontId="7" fillId="2" borderId="26" xfId="0" applyNumberFormat="1" applyFont="1" applyFill="1" applyBorder="1" applyAlignment="1">
      <alignment horizontal="center"/>
    </xf>
    <xf numFmtId="0" fontId="14" fillId="5" borderId="8" xfId="0" applyFont="1" applyFill="1" applyBorder="1" applyAlignment="1">
      <alignment horizontal="center" vertical="center"/>
    </xf>
    <xf numFmtId="49" fontId="7" fillId="2" borderId="1" xfId="0" applyNumberFormat="1" applyFont="1" applyFill="1" applyBorder="1" applyAlignment="1">
      <alignment horizontal="center" vertical="center"/>
    </xf>
    <xf numFmtId="0" fontId="7" fillId="2" borderId="12" xfId="0" applyFont="1" applyFill="1" applyBorder="1" applyAlignment="1">
      <alignment horizontal="center" vertical="center"/>
    </xf>
    <xf numFmtId="0" fontId="14" fillId="5" borderId="9" xfId="0" applyFont="1" applyFill="1" applyBorder="1" applyAlignment="1">
      <alignment horizontal="center"/>
    </xf>
    <xf numFmtId="0" fontId="15" fillId="8" borderId="1" xfId="0" applyFont="1" applyFill="1" applyBorder="1" applyAlignment="1">
      <alignment horizontal="center" vertical="center"/>
    </xf>
    <xf numFmtId="10" fontId="15" fillId="8" borderId="1" xfId="1" applyNumberFormat="1" applyFont="1" applyFill="1" applyBorder="1" applyAlignment="1">
      <alignment horizontal="center" vertical="center"/>
    </xf>
    <xf numFmtId="0" fontId="15" fillId="8" borderId="1" xfId="0" applyFont="1" applyFill="1" applyBorder="1" applyAlignment="1">
      <alignment vertical="center"/>
    </xf>
    <xf numFmtId="10" fontId="39" fillId="8" borderId="1" xfId="0" applyNumberFormat="1" applyFont="1" applyFill="1" applyBorder="1" applyAlignment="1">
      <alignment horizontal="center"/>
    </xf>
    <xf numFmtId="0" fontId="23" fillId="7" borderId="1" xfId="0" applyFont="1" applyFill="1" applyBorder="1" applyAlignment="1">
      <alignment horizontal="center"/>
    </xf>
    <xf numFmtId="0" fontId="15" fillId="8" borderId="1" xfId="0" applyFont="1" applyFill="1" applyBorder="1" applyAlignment="1">
      <alignment horizontal="left" vertical="center"/>
    </xf>
    <xf numFmtId="0" fontId="14" fillId="2" borderId="1" xfId="0" applyFont="1" applyFill="1" applyBorder="1" applyAlignment="1">
      <alignment horizontal="left"/>
    </xf>
    <xf numFmtId="0" fontId="14" fillId="2" borderId="1" xfId="0" applyFont="1" applyFill="1" applyBorder="1"/>
    <xf numFmtId="0" fontId="38" fillId="12" borderId="1" xfId="0" applyFont="1" applyFill="1" applyBorder="1" applyAlignment="1">
      <alignment horizontal="left" wrapText="1"/>
    </xf>
    <xf numFmtId="0" fontId="38" fillId="8" borderId="1" xfId="0" applyFont="1" applyFill="1" applyBorder="1" applyAlignment="1">
      <alignment horizontal="left" wrapText="1"/>
    </xf>
    <xf numFmtId="0" fontId="38" fillId="12" borderId="1" xfId="0" applyFont="1" applyFill="1" applyBorder="1"/>
    <xf numFmtId="0" fontId="0" fillId="2" borderId="0" xfId="0" applyFill="1"/>
    <xf numFmtId="49" fontId="7" fillId="2" borderId="4"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14" fillId="5" borderId="1" xfId="0" applyFont="1" applyFill="1" applyBorder="1" applyAlignment="1">
      <alignment horizontal="center"/>
    </xf>
    <xf numFmtId="0" fontId="7" fillId="2" borderId="31" xfId="0" applyFont="1" applyFill="1" applyBorder="1" applyAlignment="1">
      <alignment horizontal="center"/>
    </xf>
    <xf numFmtId="0" fontId="7" fillId="2" borderId="31" xfId="0" applyFont="1" applyFill="1" applyBorder="1" applyAlignment="1">
      <alignment horizontal="center" wrapText="1"/>
    </xf>
    <xf numFmtId="0" fontId="7" fillId="0" borderId="31" xfId="0" applyFont="1" applyBorder="1" applyAlignment="1">
      <alignment horizontal="center" vertical="center" wrapText="1"/>
    </xf>
    <xf numFmtId="0" fontId="36" fillId="0" borderId="9" xfId="0" applyFont="1" applyBorder="1" applyAlignment="1">
      <alignment horizontal="center"/>
    </xf>
    <xf numFmtId="0" fontId="36" fillId="0" borderId="8" xfId="0" applyFont="1" applyBorder="1" applyAlignment="1">
      <alignment horizontal="center"/>
    </xf>
    <xf numFmtId="0" fontId="14" fillId="0" borderId="2" xfId="0" applyFont="1" applyBorder="1" applyAlignment="1">
      <alignment horizontal="center" vertical="center" wrapText="1"/>
    </xf>
    <xf numFmtId="0" fontId="7" fillId="0" borderId="4" xfId="0" applyFont="1" applyBorder="1" applyAlignment="1" applyProtection="1">
      <alignment horizontal="center" vertical="center" wrapText="1"/>
      <protection locked="0"/>
    </xf>
    <xf numFmtId="0" fontId="14" fillId="5" borderId="1" xfId="0" applyFont="1" applyFill="1" applyBorder="1" applyAlignment="1">
      <alignment horizontal="center" wrapText="1"/>
    </xf>
    <xf numFmtId="22" fontId="14" fillId="5" borderId="1" xfId="0" applyNumberFormat="1" applyFont="1" applyFill="1" applyBorder="1" applyAlignment="1">
      <alignment horizontal="center"/>
    </xf>
    <xf numFmtId="0" fontId="7" fillId="2" borderId="1" xfId="0" applyFont="1" applyFill="1" applyBorder="1" applyAlignment="1">
      <alignment horizontal="center" wrapText="1"/>
    </xf>
    <xf numFmtId="0" fontId="7" fillId="2" borderId="0" xfId="0" applyFont="1" applyFill="1" applyAlignment="1">
      <alignment horizontal="center" wrapText="1"/>
    </xf>
    <xf numFmtId="0" fontId="7" fillId="2" borderId="35" xfId="0" applyFont="1" applyFill="1" applyBorder="1" applyAlignment="1">
      <alignment horizontal="center"/>
    </xf>
    <xf numFmtId="0" fontId="7" fillId="2" borderId="35" xfId="0" applyFont="1" applyFill="1" applyBorder="1" applyAlignment="1">
      <alignment horizontal="center" wrapText="1"/>
    </xf>
    <xf numFmtId="0" fontId="7" fillId="0" borderId="25" xfId="0" applyFont="1" applyBorder="1" applyAlignment="1">
      <alignment horizontal="center" vertical="center" wrapText="1"/>
    </xf>
    <xf numFmtId="0" fontId="7" fillId="0" borderId="2"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30" xfId="0" applyFont="1" applyBorder="1" applyAlignment="1">
      <alignment horizontal="center" vertical="center" wrapText="1"/>
    </xf>
    <xf numFmtId="0" fontId="14" fillId="5" borderId="0" xfId="0" applyFont="1" applyFill="1"/>
    <xf numFmtId="0" fontId="6" fillId="7" borderId="1" xfId="0" applyFont="1" applyFill="1" applyBorder="1" applyAlignment="1">
      <alignment horizontal="center" vertical="center"/>
    </xf>
    <xf numFmtId="0" fontId="24" fillId="13" borderId="1" xfId="0" applyFont="1" applyFill="1" applyBorder="1" applyAlignment="1">
      <alignment horizontal="center"/>
    </xf>
    <xf numFmtId="0" fontId="34" fillId="2" borderId="10" xfId="0" applyFont="1" applyFill="1" applyBorder="1" applyAlignment="1">
      <alignment horizontal="center"/>
    </xf>
    <xf numFmtId="0" fontId="40" fillId="2" borderId="10" xfId="0" applyFont="1" applyFill="1" applyBorder="1" applyAlignment="1">
      <alignment horizontal="center"/>
    </xf>
    <xf numFmtId="22" fontId="40" fillId="2" borderId="10" xfId="0" applyNumberFormat="1" applyFont="1" applyFill="1" applyBorder="1" applyAlignment="1">
      <alignment horizontal="center"/>
    </xf>
    <xf numFmtId="0" fontId="40" fillId="2" borderId="10" xfId="0" applyFont="1" applyFill="1" applyBorder="1" applyAlignment="1">
      <alignment horizontal="center" wrapText="1"/>
    </xf>
    <xf numFmtId="49" fontId="35" fillId="2" borderId="10" xfId="0" applyNumberFormat="1" applyFont="1" applyFill="1" applyBorder="1" applyAlignment="1">
      <alignment horizontal="center"/>
    </xf>
    <xf numFmtId="49" fontId="7" fillId="2" borderId="8" xfId="0" applyNumberFormat="1" applyFont="1" applyFill="1" applyBorder="1" applyAlignment="1">
      <alignment horizontal="center"/>
    </xf>
    <xf numFmtId="22" fontId="34" fillId="2" borderId="10" xfId="0" applyNumberFormat="1" applyFont="1" applyFill="1" applyBorder="1" applyAlignment="1">
      <alignment horizontal="center"/>
    </xf>
    <xf numFmtId="0" fontId="34" fillId="2" borderId="10" xfId="0" applyFont="1" applyFill="1" applyBorder="1" applyAlignment="1">
      <alignment horizontal="center" wrapText="1"/>
    </xf>
    <xf numFmtId="0" fontId="34" fillId="2" borderId="11" xfId="0" applyFont="1" applyFill="1" applyBorder="1" applyAlignment="1">
      <alignment horizontal="center"/>
    </xf>
    <xf numFmtId="0" fontId="14" fillId="5" borderId="8" xfId="0" applyFont="1" applyFill="1" applyBorder="1" applyAlignment="1">
      <alignment horizontal="center" wrapText="1"/>
    </xf>
    <xf numFmtId="0" fontId="14" fillId="5" borderId="4" xfId="0" applyFont="1" applyFill="1" applyBorder="1"/>
    <xf numFmtId="0" fontId="14" fillId="5" borderId="9" xfId="0" applyFont="1" applyFill="1" applyBorder="1"/>
    <xf numFmtId="0" fontId="14" fillId="5" borderId="8" xfId="0" applyFont="1" applyFill="1" applyBorder="1"/>
    <xf numFmtId="0" fontId="14" fillId="5" borderId="8" xfId="0" applyFont="1" applyFill="1" applyBorder="1" applyAlignment="1">
      <alignment wrapText="1"/>
    </xf>
    <xf numFmtId="0" fontId="7" fillId="14" borderId="0" xfId="0" applyFont="1" applyFill="1" applyAlignment="1">
      <alignment horizontal="center" vertical="center"/>
    </xf>
    <xf numFmtId="0" fontId="34" fillId="14" borderId="10" xfId="0" applyFont="1" applyFill="1" applyBorder="1" applyAlignment="1">
      <alignment horizontal="center"/>
    </xf>
    <xf numFmtId="0" fontId="7" fillId="14" borderId="0" xfId="0" applyFont="1" applyFill="1"/>
    <xf numFmtId="0" fontId="7" fillId="14" borderId="0" xfId="0" applyFont="1" applyFill="1" applyAlignment="1">
      <alignment horizontal="left"/>
    </xf>
    <xf numFmtId="0" fontId="14" fillId="14" borderId="4" xfId="0" applyFont="1" applyFill="1" applyBorder="1" applyAlignment="1">
      <alignment horizontal="center"/>
    </xf>
    <xf numFmtId="0" fontId="14" fillId="14" borderId="8" xfId="0" applyFont="1" applyFill="1" applyBorder="1" applyAlignment="1">
      <alignment horizontal="center"/>
    </xf>
    <xf numFmtId="0" fontId="14" fillId="5" borderId="3" xfId="0" applyFont="1" applyFill="1" applyBorder="1"/>
    <xf numFmtId="0" fontId="14" fillId="5" borderId="6" xfId="0" applyFont="1" applyFill="1" applyBorder="1"/>
    <xf numFmtId="49" fontId="7" fillId="2" borderId="30" xfId="0" applyNumberFormat="1" applyFont="1" applyFill="1" applyBorder="1" applyAlignment="1">
      <alignment horizontal="center"/>
    </xf>
    <xf numFmtId="49" fontId="7" fillId="2" borderId="32" xfId="0" applyNumberFormat="1" applyFont="1" applyFill="1" applyBorder="1" applyAlignment="1">
      <alignment horizontal="center"/>
    </xf>
    <xf numFmtId="49" fontId="7" fillId="2" borderId="31" xfId="0" applyNumberFormat="1" applyFont="1" applyFill="1" applyBorder="1" applyAlignment="1">
      <alignment horizontal="center"/>
    </xf>
    <xf numFmtId="0" fontId="7" fillId="2" borderId="31" xfId="0" applyFont="1" applyFill="1" applyBorder="1" applyAlignment="1">
      <alignment horizontal="center" vertical="center"/>
    </xf>
    <xf numFmtId="0" fontId="14" fillId="2" borderId="33"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7" fillId="2" borderId="34" xfId="0" applyFont="1" applyFill="1" applyBorder="1" applyAlignment="1" applyProtection="1">
      <alignment horizontal="center" vertical="center" wrapText="1"/>
      <protection locked="0"/>
    </xf>
    <xf numFmtId="0" fontId="14" fillId="2" borderId="25" xfId="0" applyFont="1" applyFill="1" applyBorder="1" applyAlignment="1">
      <alignment horizontal="center" vertical="center" wrapText="1"/>
    </xf>
    <xf numFmtId="0" fontId="7" fillId="2" borderId="26" xfId="0" applyFont="1" applyFill="1" applyBorder="1" applyAlignment="1" applyProtection="1">
      <alignment horizontal="center" vertical="center" wrapText="1"/>
      <protection locked="0"/>
    </xf>
    <xf numFmtId="0" fontId="14" fillId="2" borderId="2" xfId="0" applyFont="1" applyFill="1" applyBorder="1" applyAlignment="1">
      <alignment horizontal="center" vertical="center" wrapText="1"/>
    </xf>
    <xf numFmtId="0" fontId="7" fillId="2" borderId="4" xfId="0" applyFont="1" applyFill="1" applyBorder="1" applyAlignment="1" applyProtection="1">
      <alignment horizontal="center" vertical="center" wrapText="1"/>
      <protection locked="0"/>
    </xf>
    <xf numFmtId="0" fontId="14" fillId="5" borderId="4" xfId="0" applyFont="1" applyFill="1" applyBorder="1" applyAlignment="1">
      <alignment wrapText="1"/>
    </xf>
    <xf numFmtId="0" fontId="13" fillId="4" borderId="5" xfId="0" applyFont="1" applyFill="1" applyBorder="1" applyAlignment="1">
      <alignment horizontal="center" vertical="center"/>
    </xf>
    <xf numFmtId="0" fontId="13" fillId="4" borderId="5" xfId="0" applyFont="1" applyFill="1" applyBorder="1" applyAlignment="1">
      <alignment horizontal="center" vertical="center" wrapText="1"/>
    </xf>
    <xf numFmtId="0" fontId="13" fillId="4" borderId="1" xfId="0" applyFont="1" applyFill="1" applyBorder="1" applyAlignment="1">
      <alignment horizontal="center" vertical="center"/>
    </xf>
    <xf numFmtId="0" fontId="6" fillId="4" borderId="1" xfId="0" applyFont="1" applyFill="1" applyBorder="1" applyAlignment="1" applyProtection="1">
      <alignment horizontal="center" vertical="center"/>
      <protection locked="0"/>
    </xf>
    <xf numFmtId="0" fontId="13"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14" fillId="2" borderId="1" xfId="0" applyFont="1" applyFill="1" applyBorder="1" applyAlignment="1">
      <alignment horizontal="center"/>
    </xf>
    <xf numFmtId="0" fontId="14" fillId="2" borderId="4" xfId="0" applyFont="1" applyFill="1" applyBorder="1" applyAlignment="1">
      <alignment horizontal="center"/>
    </xf>
    <xf numFmtId="0" fontId="14" fillId="2" borderId="9" xfId="0" applyFont="1" applyFill="1" applyBorder="1" applyAlignment="1">
      <alignment horizontal="center"/>
    </xf>
    <xf numFmtId="0" fontId="14" fillId="2" borderId="8" xfId="0" applyFont="1" applyFill="1" applyBorder="1" applyAlignment="1">
      <alignment horizontal="center"/>
    </xf>
    <xf numFmtId="0" fontId="14" fillId="2" borderId="4" xfId="0" applyFont="1" applyFill="1" applyBorder="1"/>
    <xf numFmtId="0" fontId="14" fillId="2" borderId="9" xfId="0" applyFont="1" applyFill="1" applyBorder="1"/>
    <xf numFmtId="0" fontId="14" fillId="2" borderId="8" xfId="0" applyFont="1" applyFill="1" applyBorder="1"/>
    <xf numFmtId="0" fontId="14" fillId="5" borderId="3" xfId="0" applyFont="1" applyFill="1" applyBorder="1" applyAlignment="1">
      <alignment horizontal="center"/>
    </xf>
    <xf numFmtId="22" fontId="14" fillId="5" borderId="4" xfId="0" applyNumberFormat="1" applyFont="1" applyFill="1" applyBorder="1"/>
    <xf numFmtId="22" fontId="14" fillId="5" borderId="8" xfId="0" applyNumberFormat="1" applyFont="1" applyFill="1" applyBorder="1"/>
    <xf numFmtId="22" fontId="14" fillId="5" borderId="4" xfId="0" applyNumberFormat="1" applyFont="1" applyFill="1" applyBorder="1" applyAlignment="1">
      <alignment horizontal="center"/>
    </xf>
    <xf numFmtId="22" fontId="14" fillId="5" borderId="8" xfId="0" applyNumberFormat="1" applyFont="1" applyFill="1" applyBorder="1" applyAlignment="1">
      <alignment horizontal="center"/>
    </xf>
    <xf numFmtId="0" fontId="34" fillId="5" borderId="1" xfId="0" applyFont="1" applyFill="1" applyBorder="1"/>
    <xf numFmtId="0" fontId="34" fillId="5" borderId="4" xfId="0" applyFont="1" applyFill="1" applyBorder="1"/>
    <xf numFmtId="22" fontId="34" fillId="5" borderId="4" xfId="0" applyNumberFormat="1" applyFont="1" applyFill="1" applyBorder="1"/>
    <xf numFmtId="0" fontId="34" fillId="5" borderId="9" xfId="0" applyFont="1" applyFill="1" applyBorder="1"/>
    <xf numFmtId="0" fontId="34" fillId="5" borderId="8" xfId="0" applyFont="1" applyFill="1" applyBorder="1"/>
    <xf numFmtId="22" fontId="34" fillId="5" borderId="8" xfId="0" applyNumberFormat="1" applyFont="1" applyFill="1" applyBorder="1"/>
    <xf numFmtId="49" fontId="35" fillId="2" borderId="4" xfId="0" applyNumberFormat="1" applyFont="1" applyFill="1" applyBorder="1" applyAlignment="1">
      <alignment horizontal="center"/>
    </xf>
    <xf numFmtId="0" fontId="14" fillId="14" borderId="4" xfId="0" applyFont="1" applyFill="1" applyBorder="1"/>
    <xf numFmtId="0" fontId="14" fillId="14" borderId="8" xfId="0" applyFont="1" applyFill="1" applyBorder="1"/>
    <xf numFmtId="0" fontId="34" fillId="14" borderId="4" xfId="0" applyFont="1" applyFill="1" applyBorder="1"/>
    <xf numFmtId="0" fontId="34" fillId="14" borderId="8" xfId="0" applyFont="1" applyFill="1" applyBorder="1"/>
    <xf numFmtId="0" fontId="34" fillId="15" borderId="8" xfId="0" applyFont="1" applyFill="1" applyBorder="1"/>
    <xf numFmtId="0" fontId="14" fillId="15" borderId="4" xfId="0" applyFont="1" applyFill="1" applyBorder="1" applyAlignment="1">
      <alignment horizontal="center"/>
    </xf>
    <xf numFmtId="0" fontId="14" fillId="15" borderId="8" xfId="0" applyFont="1" applyFill="1" applyBorder="1" applyAlignment="1">
      <alignment horizontal="center"/>
    </xf>
    <xf numFmtId="0" fontId="7" fillId="2" borderId="1" xfId="0" applyFont="1" applyFill="1" applyBorder="1" applyAlignment="1">
      <alignment horizontal="right" vertical="center"/>
    </xf>
    <xf numFmtId="0" fontId="34" fillId="5" borderId="8" xfId="0" applyFont="1" applyFill="1" applyBorder="1" applyAlignment="1">
      <alignment horizontal="center"/>
    </xf>
    <xf numFmtId="0" fontId="34" fillId="5" borderId="6" xfId="0" applyFont="1" applyFill="1" applyBorder="1"/>
    <xf numFmtId="0" fontId="34" fillId="5" borderId="36" xfId="0" applyFont="1" applyFill="1" applyBorder="1"/>
    <xf numFmtId="0" fontId="7" fillId="2" borderId="10" xfId="0" applyFont="1" applyFill="1" applyBorder="1" applyAlignment="1">
      <alignment horizontal="left" vertical="center" wrapText="1"/>
    </xf>
    <xf numFmtId="0" fontId="14" fillId="5" borderId="37" xfId="0" applyFont="1" applyFill="1" applyBorder="1" applyAlignment="1">
      <alignment horizontal="center"/>
    </xf>
    <xf numFmtId="0" fontId="14" fillId="15" borderId="36" xfId="0" applyFont="1" applyFill="1" applyBorder="1" applyAlignment="1">
      <alignment horizontal="center"/>
    </xf>
    <xf numFmtId="0" fontId="14" fillId="5" borderId="36" xfId="0" applyFont="1" applyFill="1" applyBorder="1" applyAlignment="1">
      <alignment horizontal="center"/>
    </xf>
    <xf numFmtId="22" fontId="14" fillId="5" borderId="36" xfId="0" applyNumberFormat="1" applyFont="1" applyFill="1" applyBorder="1" applyAlignment="1">
      <alignment horizontal="center"/>
    </xf>
    <xf numFmtId="0" fontId="7" fillId="2" borderId="9" xfId="0" applyFont="1" applyFill="1" applyBorder="1" applyAlignment="1">
      <alignment horizontal="center" vertical="center" wrapText="1"/>
    </xf>
    <xf numFmtId="0" fontId="34" fillId="15" borderId="10" xfId="0" applyFont="1" applyFill="1" applyBorder="1" applyAlignment="1">
      <alignment horizontal="center"/>
    </xf>
    <xf numFmtId="0" fontId="34" fillId="16" borderId="10" xfId="0" applyFont="1" applyFill="1" applyBorder="1" applyAlignment="1">
      <alignment horizontal="center"/>
    </xf>
    <xf numFmtId="0" fontId="37" fillId="0" borderId="0" xfId="0" applyFont="1"/>
    <xf numFmtId="0" fontId="34" fillId="5" borderId="37" xfId="0" applyFont="1" applyFill="1" applyBorder="1"/>
    <xf numFmtId="22" fontId="34" fillId="5" borderId="36" xfId="0" applyNumberFormat="1" applyFont="1" applyFill="1" applyBorder="1"/>
    <xf numFmtId="22" fontId="14" fillId="5" borderId="9" xfId="0" applyNumberFormat="1" applyFont="1" applyFill="1" applyBorder="1" applyAlignment="1">
      <alignment horizontal="center"/>
    </xf>
    <xf numFmtId="0" fontId="35" fillId="2" borderId="1" xfId="0" applyFont="1" applyFill="1" applyBorder="1" applyAlignment="1">
      <alignment horizontal="center" vertical="center"/>
    </xf>
    <xf numFmtId="0" fontId="7" fillId="2" borderId="9" xfId="0" applyFont="1" applyFill="1" applyBorder="1" applyAlignment="1">
      <alignment horizontal="center" vertical="center"/>
    </xf>
    <xf numFmtId="0" fontId="14" fillId="5" borderId="36" xfId="0" applyFont="1" applyFill="1" applyBorder="1" applyAlignment="1">
      <alignment horizontal="center" wrapText="1"/>
    </xf>
    <xf numFmtId="0" fontId="7" fillId="2" borderId="9" xfId="0" applyFont="1" applyFill="1" applyBorder="1" applyAlignment="1">
      <alignment horizontal="center"/>
    </xf>
    <xf numFmtId="0" fontId="7" fillId="2" borderId="9" xfId="0" applyFont="1" applyFill="1" applyBorder="1" applyAlignment="1">
      <alignment horizontal="center" wrapText="1"/>
    </xf>
    <xf numFmtId="0" fontId="34" fillId="2" borderId="24" xfId="0" applyFont="1" applyFill="1" applyBorder="1" applyAlignment="1">
      <alignment horizontal="center"/>
    </xf>
    <xf numFmtId="22" fontId="34" fillId="2" borderId="24" xfId="0" applyNumberFormat="1" applyFont="1" applyFill="1" applyBorder="1" applyAlignment="1">
      <alignment horizontal="center"/>
    </xf>
    <xf numFmtId="49" fontId="35" fillId="2" borderId="1" xfId="0" applyNumberFormat="1" applyFont="1" applyFill="1" applyBorder="1" applyAlignment="1">
      <alignment horizontal="center"/>
    </xf>
    <xf numFmtId="0" fontId="7" fillId="2" borderId="31" xfId="0" applyFont="1" applyFill="1" applyBorder="1" applyAlignment="1">
      <alignment horizontal="center" vertical="center" wrapText="1"/>
    </xf>
    <xf numFmtId="0" fontId="14" fillId="2" borderId="27" xfId="0" applyFont="1" applyFill="1" applyBorder="1" applyAlignment="1">
      <alignment horizontal="center" vertical="center"/>
    </xf>
    <xf numFmtId="0" fontId="7" fillId="2" borderId="27" xfId="0" applyFont="1" applyFill="1" applyBorder="1" applyAlignment="1" applyProtection="1">
      <alignment horizontal="center" vertical="center"/>
      <protection locked="0"/>
    </xf>
    <xf numFmtId="0" fontId="14" fillId="2" borderId="24" xfId="0" applyFont="1" applyFill="1" applyBorder="1" applyAlignment="1">
      <alignment horizontal="center" vertical="center"/>
    </xf>
    <xf numFmtId="0" fontId="7" fillId="2" borderId="24" xfId="0" applyFont="1" applyFill="1" applyBorder="1" applyAlignment="1" applyProtection="1">
      <alignment horizontal="center" vertical="center"/>
      <protection locked="0"/>
    </xf>
    <xf numFmtId="0" fontId="7" fillId="2" borderId="10" xfId="0" applyFont="1" applyFill="1" applyBorder="1" applyAlignment="1" applyProtection="1">
      <alignment horizontal="center" vertical="center"/>
      <protection locked="0"/>
    </xf>
    <xf numFmtId="0" fontId="7" fillId="2" borderId="32" xfId="0" applyFont="1" applyFill="1" applyBorder="1" applyAlignment="1">
      <alignment horizontal="center"/>
    </xf>
    <xf numFmtId="0" fontId="7" fillId="2" borderId="12" xfId="0" applyFont="1" applyFill="1" applyBorder="1" applyAlignment="1">
      <alignment horizontal="center"/>
    </xf>
    <xf numFmtId="0" fontId="7" fillId="2" borderId="32" xfId="0" applyFont="1" applyFill="1" applyBorder="1" applyAlignment="1">
      <alignment horizontal="center" vertical="center"/>
    </xf>
    <xf numFmtId="0" fontId="7"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7" fillId="2" borderId="27" xfId="0" applyFont="1" applyFill="1" applyBorder="1" applyAlignment="1">
      <alignment horizontal="center" vertical="center"/>
    </xf>
    <xf numFmtId="0" fontId="7" fillId="2" borderId="27"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35" fillId="2" borderId="35" xfId="0" applyFont="1" applyFill="1" applyBorder="1" applyAlignment="1">
      <alignment horizontal="center" wrapText="1"/>
    </xf>
    <xf numFmtId="0" fontId="14" fillId="5" borderId="6" xfId="0" applyFont="1" applyFill="1" applyBorder="1" applyAlignment="1">
      <alignment horizontal="center"/>
    </xf>
    <xf numFmtId="0" fontId="34" fillId="17" borderId="24" xfId="0" applyFont="1" applyFill="1" applyBorder="1" applyAlignment="1">
      <alignment horizontal="center"/>
    </xf>
    <xf numFmtId="0" fontId="34" fillId="17" borderId="10" xfId="0" applyFont="1" applyFill="1" applyBorder="1" applyAlignment="1">
      <alignment horizontal="center"/>
    </xf>
    <xf numFmtId="0" fontId="14" fillId="17" borderId="4" xfId="0" applyFont="1" applyFill="1" applyBorder="1" applyAlignment="1">
      <alignment horizontal="center"/>
    </xf>
    <xf numFmtId="0" fontId="14" fillId="17" borderId="8" xfId="0" applyFont="1" applyFill="1" applyBorder="1" applyAlignment="1">
      <alignment horizontal="center"/>
    </xf>
    <xf numFmtId="0" fontId="14" fillId="17" borderId="4" xfId="0" applyFont="1" applyFill="1" applyBorder="1"/>
    <xf numFmtId="0" fontId="14" fillId="17" borderId="8" xfId="0" applyFont="1" applyFill="1" applyBorder="1"/>
    <xf numFmtId="0" fontId="34" fillId="17" borderId="4" xfId="0" applyFont="1" applyFill="1" applyBorder="1"/>
    <xf numFmtId="0" fontId="34" fillId="17" borderId="8" xfId="0" applyFont="1" applyFill="1" applyBorder="1"/>
    <xf numFmtId="0" fontId="34" fillId="17" borderId="36" xfId="0" applyFont="1" applyFill="1" applyBorder="1"/>
    <xf numFmtId="0" fontId="13" fillId="18" borderId="1" xfId="0" applyFont="1" applyFill="1" applyBorder="1" applyAlignment="1">
      <alignment horizontal="center" vertical="center"/>
    </xf>
    <xf numFmtId="0" fontId="34" fillId="0" borderId="8" xfId="0" applyFont="1" applyBorder="1" applyAlignment="1">
      <alignment horizontal="center"/>
    </xf>
    <xf numFmtId="0" fontId="34" fillId="0" borderId="9" xfId="0" applyFont="1" applyBorder="1" applyAlignment="1">
      <alignment horizontal="center"/>
    </xf>
    <xf numFmtId="0" fontId="40" fillId="16" borderId="10" xfId="0" applyFont="1" applyFill="1" applyBorder="1" applyAlignment="1">
      <alignment horizontal="center"/>
    </xf>
    <xf numFmtId="0" fontId="6" fillId="6" borderId="0" xfId="0" applyFont="1" applyFill="1" applyAlignment="1">
      <alignment horizontal="center" vertical="center"/>
    </xf>
    <xf numFmtId="0" fontId="6" fillId="3" borderId="0" xfId="0" applyFont="1" applyFill="1" applyAlignment="1">
      <alignment horizontal="center" vertical="center"/>
    </xf>
    <xf numFmtId="0" fontId="18" fillId="2" borderId="0" xfId="0" applyFont="1" applyFill="1" applyAlignment="1">
      <alignment horizontal="center"/>
    </xf>
    <xf numFmtId="0" fontId="18" fillId="2" borderId="0" xfId="0" applyFont="1" applyFill="1" applyAlignment="1">
      <alignment horizontal="center" vertical="center"/>
    </xf>
    <xf numFmtId="0" fontId="15" fillId="2" borderId="0" xfId="0" applyFont="1" applyFill="1" applyAlignment="1">
      <alignment horizontal="center" vertical="center"/>
    </xf>
    <xf numFmtId="0" fontId="6" fillId="10" borderId="2" xfId="0" applyFont="1" applyFill="1" applyBorder="1" applyAlignment="1">
      <alignment horizontal="center" vertical="center"/>
    </xf>
    <xf numFmtId="0" fontId="6" fillId="10" borderId="3" xfId="0" applyFont="1" applyFill="1" applyBorder="1" applyAlignment="1">
      <alignment horizontal="center" vertical="center"/>
    </xf>
    <xf numFmtId="0" fontId="6" fillId="10" borderId="4" xfId="0" applyFont="1" applyFill="1" applyBorder="1" applyAlignment="1">
      <alignment horizontal="center" vertical="center"/>
    </xf>
    <xf numFmtId="0" fontId="6" fillId="10" borderId="0" xfId="0" applyFont="1" applyFill="1" applyAlignment="1">
      <alignment horizontal="center" vertical="center"/>
    </xf>
    <xf numFmtId="0" fontId="19" fillId="2" borderId="0" xfId="0" applyFont="1" applyFill="1" applyAlignment="1">
      <alignment horizontal="center" vertical="center"/>
    </xf>
    <xf numFmtId="0" fontId="6" fillId="11" borderId="11" xfId="0" applyFont="1" applyFill="1" applyBorder="1" applyAlignment="1">
      <alignment horizontal="center"/>
    </xf>
    <xf numFmtId="0" fontId="6" fillId="11" borderId="23" xfId="0" applyFont="1" applyFill="1" applyBorder="1" applyAlignment="1">
      <alignment horizontal="center"/>
    </xf>
    <xf numFmtId="0" fontId="6" fillId="11" borderId="12" xfId="0" applyFont="1" applyFill="1" applyBorder="1" applyAlignment="1">
      <alignment horizontal="center"/>
    </xf>
    <xf numFmtId="0" fontId="2" fillId="2" borderId="11" xfId="0" applyFont="1" applyFill="1" applyBorder="1" applyAlignment="1">
      <alignment horizontal="center"/>
    </xf>
    <xf numFmtId="0" fontId="2" fillId="2" borderId="23" xfId="0" applyFont="1" applyFill="1" applyBorder="1" applyAlignment="1">
      <alignment horizontal="center"/>
    </xf>
    <xf numFmtId="0" fontId="2" fillId="2" borderId="12" xfId="0" applyFont="1" applyFill="1" applyBorder="1" applyAlignment="1">
      <alignment horizontal="center"/>
    </xf>
    <xf numFmtId="0" fontId="2" fillId="2" borderId="0" xfId="0" applyFont="1" applyFill="1" applyAlignment="1">
      <alignment horizontal="center" vertical="center"/>
    </xf>
    <xf numFmtId="0" fontId="5" fillId="2" borderId="0" xfId="0" applyFont="1" applyFill="1" applyAlignment="1">
      <alignment horizontal="center"/>
    </xf>
    <xf numFmtId="0" fontId="10" fillId="2" borderId="0" xfId="0" applyFont="1" applyFill="1" applyAlignment="1">
      <alignment horizontal="center"/>
    </xf>
    <xf numFmtId="0" fontId="12" fillId="2" borderId="0" xfId="0" applyFont="1" applyFill="1" applyAlignment="1">
      <alignment horizontal="center"/>
    </xf>
    <xf numFmtId="0" fontId="23" fillId="4" borderId="1" xfId="0" applyFont="1" applyFill="1" applyBorder="1" applyAlignment="1">
      <alignment horizontal="center"/>
    </xf>
    <xf numFmtId="0" fontId="6" fillId="7" borderId="2" xfId="0" applyFont="1" applyFill="1" applyBorder="1" applyAlignment="1">
      <alignment horizontal="center" vertical="center"/>
    </xf>
    <xf numFmtId="0" fontId="6" fillId="7" borderId="3" xfId="0" applyFont="1" applyFill="1" applyBorder="1" applyAlignment="1">
      <alignment horizontal="center" vertical="center"/>
    </xf>
    <xf numFmtId="0" fontId="6" fillId="7" borderId="4" xfId="0" applyFont="1" applyFill="1" applyBorder="1" applyAlignment="1">
      <alignment horizontal="center" vertical="center"/>
    </xf>
    <xf numFmtId="0" fontId="23" fillId="7" borderId="11" xfId="0" applyFont="1" applyFill="1" applyBorder="1" applyAlignment="1">
      <alignment horizontal="center" vertical="center"/>
    </xf>
    <xf numFmtId="0" fontId="23" fillId="7" borderId="23" xfId="0" applyFont="1" applyFill="1" applyBorder="1" applyAlignment="1">
      <alignment horizontal="center" vertical="center"/>
    </xf>
    <xf numFmtId="0" fontId="23" fillId="7" borderId="12" xfId="0" applyFont="1" applyFill="1" applyBorder="1" applyAlignment="1">
      <alignment horizontal="center" vertical="center"/>
    </xf>
    <xf numFmtId="0" fontId="23" fillId="7" borderId="10" xfId="0" applyFont="1" applyFill="1" applyBorder="1" applyAlignment="1">
      <alignment horizontal="center" vertical="center"/>
    </xf>
    <xf numFmtId="0" fontId="23" fillId="7" borderId="2" xfId="0" applyFont="1" applyFill="1" applyBorder="1" applyAlignment="1">
      <alignment horizontal="center" vertical="center"/>
    </xf>
    <xf numFmtId="0" fontId="23" fillId="7" borderId="3" xfId="0" applyFont="1" applyFill="1" applyBorder="1" applyAlignment="1">
      <alignment horizontal="center" vertical="center"/>
    </xf>
    <xf numFmtId="0" fontId="23" fillId="7" borderId="4" xfId="0" applyFont="1" applyFill="1" applyBorder="1" applyAlignment="1">
      <alignment horizontal="center" vertical="center"/>
    </xf>
    <xf numFmtId="0" fontId="23" fillId="7" borderId="1" xfId="0" applyFont="1" applyFill="1" applyBorder="1" applyAlignment="1">
      <alignment horizontal="center" vertical="center"/>
    </xf>
    <xf numFmtId="0" fontId="23" fillId="7" borderId="28" xfId="0" applyFont="1" applyFill="1" applyBorder="1" applyAlignment="1">
      <alignment horizontal="center" vertical="center"/>
    </xf>
    <xf numFmtId="0" fontId="23" fillId="7" borderId="1" xfId="0" applyFont="1" applyFill="1" applyBorder="1" applyAlignment="1">
      <alignment horizontal="center"/>
    </xf>
    <xf numFmtId="0" fontId="23" fillId="7" borderId="29" xfId="0" applyFont="1" applyFill="1" applyBorder="1" applyAlignment="1">
      <alignment horizontal="center" vertical="center"/>
    </xf>
    <xf numFmtId="0" fontId="23" fillId="7" borderId="30" xfId="0" applyFont="1" applyFill="1" applyBorder="1" applyAlignment="1">
      <alignment horizontal="center" vertical="center"/>
    </xf>
    <xf numFmtId="0" fontId="6" fillId="7" borderId="1" xfId="0" applyFont="1" applyFill="1" applyBorder="1" applyAlignment="1">
      <alignment horizontal="center" vertical="center"/>
    </xf>
    <xf numFmtId="0" fontId="6" fillId="7" borderId="28" xfId="0" applyFont="1" applyFill="1" applyBorder="1" applyAlignment="1">
      <alignment horizontal="center" vertical="center"/>
    </xf>
    <xf numFmtId="0" fontId="6" fillId="7" borderId="29" xfId="0" applyFont="1" applyFill="1" applyBorder="1" applyAlignment="1">
      <alignment horizontal="center" vertical="center"/>
    </xf>
    <xf numFmtId="0" fontId="6" fillId="7" borderId="30" xfId="0" applyFont="1" applyFill="1" applyBorder="1" applyAlignment="1">
      <alignment horizontal="center" vertical="center"/>
    </xf>
    <xf numFmtId="0" fontId="6" fillId="7" borderId="0" xfId="0" applyFont="1" applyFill="1" applyAlignment="1">
      <alignment horizontal="center" vertical="center"/>
    </xf>
    <xf numFmtId="0" fontId="6" fillId="7" borderId="7"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8" xfId="0" applyFont="1" applyFill="1" applyBorder="1" applyAlignment="1">
      <alignment horizontal="center" vertical="center"/>
    </xf>
    <xf numFmtId="0" fontId="7" fillId="2" borderId="0" xfId="0" applyFont="1" applyFill="1" applyAlignment="1">
      <alignment horizontal="center" vertical="center"/>
    </xf>
    <xf numFmtId="0" fontId="7" fillId="8" borderId="6" xfId="0" applyFont="1" applyFill="1" applyBorder="1" applyAlignment="1">
      <alignment horizontal="center"/>
    </xf>
    <xf numFmtId="0" fontId="7" fillId="8" borderId="8" xfId="0" applyFont="1" applyFill="1" applyBorder="1" applyAlignment="1">
      <alignment horizontal="center"/>
    </xf>
    <xf numFmtId="0" fontId="7" fillId="2" borderId="3" xfId="0" applyFont="1" applyFill="1" applyBorder="1" applyAlignment="1">
      <alignment horizontal="center"/>
    </xf>
    <xf numFmtId="0" fontId="7" fillId="2" borderId="4" xfId="0" applyFont="1" applyFill="1" applyBorder="1" applyAlignment="1">
      <alignment horizontal="center"/>
    </xf>
    <xf numFmtId="0" fontId="7" fillId="8" borderId="7" xfId="0" applyFont="1" applyFill="1" applyBorder="1" applyAlignment="1">
      <alignment horizontal="center"/>
    </xf>
    <xf numFmtId="0" fontId="6" fillId="7" borderId="23" xfId="0" applyFont="1" applyFill="1" applyBorder="1" applyAlignment="1">
      <alignment horizontal="center" vertical="center"/>
    </xf>
    <xf numFmtId="10" fontId="7" fillId="2" borderId="2" xfId="1" applyNumberFormat="1" applyFont="1" applyFill="1" applyBorder="1" applyAlignment="1">
      <alignment horizontal="center"/>
    </xf>
    <xf numFmtId="10" fontId="7" fillId="2" borderId="3" xfId="1" applyNumberFormat="1" applyFont="1" applyFill="1" applyBorder="1" applyAlignment="1">
      <alignment horizontal="center"/>
    </xf>
    <xf numFmtId="0" fontId="24" fillId="13" borderId="1" xfId="0" applyFont="1" applyFill="1" applyBorder="1" applyAlignment="1">
      <alignment horizontal="center"/>
    </xf>
    <xf numFmtId="0" fontId="32" fillId="6" borderId="0" xfId="0" applyFont="1" applyFill="1" applyAlignment="1">
      <alignment horizontal="center" vertical="center"/>
    </xf>
    <xf numFmtId="0" fontId="26" fillId="2" borderId="18" xfId="0" applyFont="1" applyFill="1" applyBorder="1" applyAlignment="1">
      <alignment horizontal="center" vertical="center"/>
    </xf>
    <xf numFmtId="0" fontId="26" fillId="2" borderId="19" xfId="0" applyFont="1" applyFill="1" applyBorder="1" applyAlignment="1">
      <alignment horizontal="center" vertical="center"/>
    </xf>
    <xf numFmtId="0" fontId="26" fillId="2" borderId="16" xfId="0" applyFont="1" applyFill="1" applyBorder="1" applyAlignment="1">
      <alignment horizontal="center" vertical="center"/>
    </xf>
    <xf numFmtId="0" fontId="26" fillId="2" borderId="17" xfId="0" applyFont="1" applyFill="1" applyBorder="1" applyAlignment="1">
      <alignment horizontal="center" vertical="center"/>
    </xf>
    <xf numFmtId="0" fontId="33" fillId="9" borderId="10" xfId="0" applyFont="1" applyFill="1" applyBorder="1" applyAlignment="1">
      <alignment horizontal="left" vertical="center"/>
    </xf>
    <xf numFmtId="0" fontId="30" fillId="6" borderId="0" xfId="0" applyFont="1" applyFill="1" applyAlignment="1">
      <alignment horizontal="center" vertical="center"/>
    </xf>
    <xf numFmtId="10" fontId="30" fillId="6" borderId="10" xfId="1" applyNumberFormat="1" applyFont="1" applyFill="1" applyBorder="1" applyAlignment="1">
      <alignment horizontal="center" vertical="center"/>
    </xf>
    <xf numFmtId="0" fontId="32" fillId="7" borderId="0" xfId="0" applyFont="1" applyFill="1" applyAlignment="1">
      <alignment horizontal="center" vertical="center"/>
    </xf>
    <xf numFmtId="0" fontId="26" fillId="2" borderId="0" xfId="0" applyFont="1" applyFill="1" applyAlignment="1">
      <alignment horizontal="center" vertical="center"/>
    </xf>
    <xf numFmtId="0" fontId="26" fillId="2" borderId="21" xfId="0" applyFont="1" applyFill="1" applyBorder="1" applyAlignment="1">
      <alignment horizontal="center" vertical="center"/>
    </xf>
    <xf numFmtId="0" fontId="26" fillId="2" borderId="22" xfId="0" applyFont="1" applyFill="1" applyBorder="1" applyAlignment="1">
      <alignment horizontal="center" vertical="center"/>
    </xf>
    <xf numFmtId="0" fontId="33" fillId="9" borderId="2" xfId="0" applyFont="1" applyFill="1" applyBorder="1" applyAlignment="1">
      <alignment horizontal="left" vertical="center"/>
    </xf>
    <xf numFmtId="0" fontId="33" fillId="9" borderId="4" xfId="0" applyFont="1" applyFill="1" applyBorder="1" applyAlignment="1">
      <alignment horizontal="left" vertical="center"/>
    </xf>
    <xf numFmtId="0" fontId="30" fillId="7" borderId="0" xfId="0" applyFont="1" applyFill="1" applyAlignment="1">
      <alignment horizontal="center" vertical="center"/>
    </xf>
    <xf numFmtId="10" fontId="30" fillId="7" borderId="10" xfId="1" applyNumberFormat="1" applyFont="1" applyFill="1" applyBorder="1" applyAlignment="1">
      <alignment horizontal="center" vertical="center"/>
    </xf>
    <xf numFmtId="10" fontId="30" fillId="7" borderId="9" xfId="1" applyNumberFormat="1" applyFont="1" applyFill="1" applyBorder="1" applyAlignment="1">
      <alignment horizontal="center" vertical="center"/>
    </xf>
    <xf numFmtId="0" fontId="26" fillId="2" borderId="20" xfId="0" applyFont="1" applyFill="1" applyBorder="1" applyAlignment="1">
      <alignment horizontal="center" vertical="center"/>
    </xf>
    <xf numFmtId="0" fontId="30" fillId="7" borderId="13" xfId="0" applyFont="1" applyFill="1" applyBorder="1" applyAlignment="1">
      <alignment horizontal="center" vertical="center"/>
    </xf>
    <xf numFmtId="0" fontId="30" fillId="7" borderId="14" xfId="0" applyFont="1" applyFill="1" applyBorder="1" applyAlignment="1">
      <alignment horizontal="center" vertical="center"/>
    </xf>
    <xf numFmtId="0" fontId="30" fillId="7" borderId="15" xfId="0" applyFont="1" applyFill="1" applyBorder="1" applyAlignment="1">
      <alignment horizontal="center" vertical="center"/>
    </xf>
    <xf numFmtId="0" fontId="33" fillId="9" borderId="1" xfId="0" applyFont="1" applyFill="1" applyBorder="1" applyAlignment="1">
      <alignment horizontal="left" vertical="center"/>
    </xf>
    <xf numFmtId="0" fontId="14" fillId="14" borderId="36" xfId="0" applyFont="1" applyFill="1" applyBorder="1" applyAlignment="1">
      <alignment horizontal="center"/>
    </xf>
  </cellXfs>
  <cellStyles count="3">
    <cellStyle name="Normal" xfId="0" builtinId="0"/>
    <cellStyle name="Normal 2" xfId="2" xr:uid="{00000000-0005-0000-0000-000001000000}"/>
    <cellStyle name="Porcentagem" xfId="1" builtinId="5"/>
  </cellStyles>
  <dxfs count="513">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ont>
        <color theme="0"/>
      </font>
      <fill>
        <patternFill>
          <bgColor rgb="FF7030A0"/>
        </patternFill>
      </fill>
    </dxf>
    <dxf>
      <fill>
        <patternFill>
          <bgColor rgb="FF7030A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ont>
        <color theme="0"/>
      </font>
      <fill>
        <patternFill>
          <bgColor rgb="FF7030A0"/>
        </patternFill>
      </fill>
    </dxf>
    <dxf>
      <fill>
        <patternFill>
          <bgColor rgb="FF7030A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ont>
        <color theme="0"/>
      </font>
      <fill>
        <patternFill>
          <bgColor rgb="FF7030A0"/>
        </patternFill>
      </fill>
    </dxf>
    <dxf>
      <fill>
        <patternFill>
          <bgColor rgb="FF7030A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ont>
        <color theme="0"/>
      </font>
      <fill>
        <patternFill>
          <bgColor rgb="FF7030A0"/>
        </patternFill>
      </fill>
    </dxf>
  </dxfs>
  <tableStyles count="0" defaultTableStyle="TableStyleMedium2" defaultPivotStyle="PivotStyleLight16"/>
  <colors>
    <mruColors>
      <color rgb="FFF58377"/>
      <color rgb="FFFF6600"/>
      <color rgb="FFE7CA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7.8169631186539912E-2"/>
          <c:w val="0.93888888888888888"/>
          <c:h val="0.81443130365676397"/>
        </c:manualLayout>
      </c:layout>
      <c:barChart>
        <c:barDir val="col"/>
        <c:grouping val="clustered"/>
        <c:varyColors val="0"/>
        <c:ser>
          <c:idx val="0"/>
          <c:order val="0"/>
          <c:tx>
            <c:strRef>
              <c:f>'DADOS - PIRITUBA'!$C$6</c:f>
              <c:strCache>
                <c:ptCount val="1"/>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PIRITUBA'!$B$7</c:f>
              <c:strCache>
                <c:ptCount val="1"/>
                <c:pt idx="0">
                  <c:v>IT (%)</c:v>
                </c:pt>
              </c:strCache>
            </c:strRef>
          </c:cat>
          <c:val>
            <c:numRef>
              <c:f>'DADOS - PIRITUBA'!$C$7</c:f>
              <c:numCache>
                <c:formatCode>0.00%</c:formatCode>
                <c:ptCount val="1"/>
              </c:numCache>
            </c:numRef>
          </c:val>
          <c:extLst>
            <c:ext xmlns:c16="http://schemas.microsoft.com/office/drawing/2014/chart" uri="{C3380CC4-5D6E-409C-BE32-E72D297353CC}">
              <c16:uniqueId val="{00000000-1201-49ED-9F30-DE47A83A00E8}"/>
            </c:ext>
          </c:extLst>
        </c:ser>
        <c:dLbls>
          <c:dLblPos val="outEnd"/>
          <c:showLegendKey val="0"/>
          <c:showVal val="1"/>
          <c:showCatName val="0"/>
          <c:showSerName val="0"/>
          <c:showPercent val="0"/>
          <c:showBubbleSize val="0"/>
        </c:dLbls>
        <c:gapWidth val="219"/>
        <c:overlap val="-27"/>
        <c:axId val="150302512"/>
        <c:axId val="150304472"/>
        <c:extLst>
          <c:ext xmlns:c15="http://schemas.microsoft.com/office/drawing/2012/chart" uri="{02D57815-91ED-43cb-92C2-25804820EDAC}">
            <c15:filteredBarSeries>
              <c15:ser>
                <c:idx val="1"/>
                <c:order val="1"/>
                <c:tx>
                  <c:strRef>
                    <c:extLst>
                      <c:ext uri="{02D57815-91ED-43cb-92C2-25804820EDAC}">
                        <c15:formulaRef>
                          <c15:sqref>'DADOS - PIRITUBA'!$D$6</c15:sqref>
                        </c15:formulaRef>
                      </c:ext>
                    </c:extLst>
                    <c:strCache>
                      <c:ptCount val="1"/>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'DADOS - PIRITUBA'!$B$7</c15:sqref>
                        </c15:formulaRef>
                      </c:ext>
                    </c:extLst>
                    <c:strCache>
                      <c:ptCount val="1"/>
                      <c:pt idx="0">
                        <c:v>IT (%)</c:v>
                      </c:pt>
                    </c:strCache>
                  </c:strRef>
                </c:cat>
                <c:val>
                  <c:numRef>
                    <c:extLst>
                      <c:ext uri="{02D57815-91ED-43cb-92C2-25804820EDAC}">
                        <c15:formulaRef>
                          <c15:sqref>'DADOS - PIRITUBA'!$D$7</c15:sqref>
                        </c15:formulaRef>
                      </c:ext>
                    </c:extLst>
                    <c:numCache>
                      <c:formatCode>General</c:formatCode>
                      <c:ptCount val="1"/>
                    </c:numCache>
                  </c:numRef>
                </c:val>
                <c:extLst>
                  <c:ext xmlns:c16="http://schemas.microsoft.com/office/drawing/2014/chart" uri="{C3380CC4-5D6E-409C-BE32-E72D297353CC}">
                    <c16:uniqueId val="{00000001-1201-49ED-9F30-DE47A83A00E8}"/>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'DADOS - PIRITUBA'!$E$6</c15:sqref>
                        </c15:formulaRef>
                      </c:ext>
                    </c:extLst>
                    <c:strCache>
                      <c:ptCount val="1"/>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'DADOS - PIRITUBA'!$B$7</c15:sqref>
                        </c15:formulaRef>
                      </c:ext>
                    </c:extLst>
                    <c:strCache>
                      <c:ptCount val="1"/>
                      <c:pt idx="0">
                        <c:v>IT (%)</c:v>
                      </c:pt>
                    </c:strCache>
                  </c:strRef>
                </c:cat>
                <c:val>
                  <c:numRef>
                    <c:extLst xmlns:c15="http://schemas.microsoft.com/office/drawing/2012/chart">
                      <c:ext xmlns:c15="http://schemas.microsoft.com/office/drawing/2012/chart" uri="{02D57815-91ED-43cb-92C2-25804820EDAC}">
                        <c15:formulaRef>
                          <c15:sqref>'DADOS - PIRITUBA'!$E$7</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201-49ED-9F30-DE47A83A00E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'DADOS - PIRITUBA'!$F$6</c15:sqref>
                        </c15:formulaRef>
                      </c:ext>
                    </c:extLst>
                    <c:strCache>
                      <c:ptCount val="1"/>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'DADOS - PIRITUBA'!$B$7</c15:sqref>
                        </c15:formulaRef>
                      </c:ext>
                    </c:extLst>
                    <c:strCache>
                      <c:ptCount val="1"/>
                      <c:pt idx="0">
                        <c:v>IT (%)</c:v>
                      </c:pt>
                    </c:strCache>
                  </c:strRef>
                </c:cat>
                <c:val>
                  <c:numRef>
                    <c:extLst xmlns:c15="http://schemas.microsoft.com/office/drawing/2012/chart">
                      <c:ext xmlns:c15="http://schemas.microsoft.com/office/drawing/2012/chart" uri="{02D57815-91ED-43cb-92C2-25804820EDAC}">
                        <c15:formulaRef>
                          <c15:sqref>'DADOS - PIRITUBA'!$F$7</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201-49ED-9F30-DE47A83A00E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'DADOS - PIRITUBA'!$G$6</c15:sqref>
                        </c15:formulaRef>
                      </c:ext>
                    </c:extLst>
                    <c:strCache>
                      <c:ptCount val="1"/>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'DADOS - PIRITUBA'!$B$7</c15:sqref>
                        </c15:formulaRef>
                      </c:ext>
                    </c:extLst>
                    <c:strCache>
                      <c:ptCount val="1"/>
                      <c:pt idx="0">
                        <c:v>IT (%)</c:v>
                      </c:pt>
                    </c:strCache>
                  </c:strRef>
                </c:cat>
                <c:val>
                  <c:numRef>
                    <c:extLst xmlns:c15="http://schemas.microsoft.com/office/drawing/2012/chart">
                      <c:ext xmlns:c15="http://schemas.microsoft.com/office/drawing/2012/chart" uri="{02D57815-91ED-43cb-92C2-25804820EDAC}">
                        <c15:formulaRef>
                          <c15:sqref>'DADOS - PIRITUBA'!$G$7</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1201-49ED-9F30-DE47A83A00E8}"/>
                  </c:ext>
                </c:extLst>
              </c15:ser>
            </c15:filteredBarSeries>
          </c:ext>
        </c:extLst>
      </c:barChart>
      <c:catAx>
        <c:axId val="15030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304472"/>
        <c:crosses val="autoZero"/>
        <c:auto val="1"/>
        <c:lblAlgn val="ctr"/>
        <c:lblOffset val="100"/>
        <c:noMultiLvlLbl val="0"/>
      </c:catAx>
      <c:valAx>
        <c:axId val="150304472"/>
        <c:scaling>
          <c:orientation val="minMax"/>
        </c:scaling>
        <c:delete val="1"/>
        <c:axPos val="l"/>
        <c:numFmt formatCode="0.00%" sourceLinked="1"/>
        <c:majorTickMark val="none"/>
        <c:minorTickMark val="none"/>
        <c:tickLblPos val="nextTo"/>
        <c:crossAx val="15030251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476020042951E-2"/>
          <c:y val="0.10164305299744657"/>
          <c:w val="0.93888888888888888"/>
          <c:h val="0.73428314777865777"/>
        </c:manualLayout>
      </c:layout>
      <c:barChart>
        <c:barDir val="col"/>
        <c:grouping val="clustered"/>
        <c:varyColors val="0"/>
        <c:ser>
          <c:idx val="0"/>
          <c:order val="0"/>
          <c:tx>
            <c:strRef>
              <c:f>'DADOS - PIRITUBA'!$B$24</c:f>
              <c:strCache>
                <c:ptCount val="1"/>
                <c:pt idx="0">
                  <c:v>ÍNDICE DE QUALIDADE SABESP - IQS (%)</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2E1E-4128-B0FB-3C9B5E6FE1F5}"/>
              </c:ext>
            </c:extLst>
          </c:dPt>
          <c:dLbls>
            <c:spPr>
              <a:noFill/>
              <a:ln>
                <a:noFill/>
              </a:ln>
              <a:effectLst/>
            </c:spPr>
            <c:txPr>
              <a:bodyPr rot="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PIRITUBA'!$G$31</c:f>
              <c:strCache>
                <c:ptCount val="1"/>
                <c:pt idx="0">
                  <c:v>IQS (%):</c:v>
                </c:pt>
              </c:strCache>
            </c:strRef>
          </c:cat>
          <c:val>
            <c:numRef>
              <c:f>'DADOS - PIRITUBA'!$G$30</c:f>
              <c:numCache>
                <c:formatCode>0.00%</c:formatCode>
                <c:ptCount val="1"/>
                <c:pt idx="0">
                  <c:v>0.29683230645982017</c:v>
                </c:pt>
              </c:numCache>
            </c:numRef>
          </c:val>
          <c:extLst>
            <c:ext xmlns:c16="http://schemas.microsoft.com/office/drawing/2014/chart" uri="{C3380CC4-5D6E-409C-BE32-E72D297353CC}">
              <c16:uniqueId val="{00000002-2E1E-4128-B0FB-3C9B5E6FE1F5}"/>
            </c:ext>
          </c:extLst>
        </c:ser>
        <c:dLbls>
          <c:dLblPos val="outEnd"/>
          <c:showLegendKey val="0"/>
          <c:showVal val="1"/>
          <c:showCatName val="0"/>
          <c:showSerName val="0"/>
          <c:showPercent val="0"/>
          <c:showBubbleSize val="0"/>
        </c:dLbls>
        <c:gapWidth val="219"/>
        <c:overlap val="-27"/>
        <c:axId val="150299376"/>
        <c:axId val="150297024"/>
        <c:extLst/>
      </c:barChart>
      <c:catAx>
        <c:axId val="15029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297024"/>
        <c:crosses val="autoZero"/>
        <c:auto val="1"/>
        <c:lblAlgn val="ctr"/>
        <c:lblOffset val="100"/>
        <c:noMultiLvlLbl val="0"/>
      </c:catAx>
      <c:valAx>
        <c:axId val="150297024"/>
        <c:scaling>
          <c:orientation val="minMax"/>
          <c:max val="1"/>
        </c:scaling>
        <c:delete val="1"/>
        <c:axPos val="l"/>
        <c:numFmt formatCode="0.00%" sourceLinked="1"/>
        <c:majorTickMark val="out"/>
        <c:minorTickMark val="none"/>
        <c:tickLblPos val="nextTo"/>
        <c:crossAx val="1502993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'DADOS - PIRITUBA'!$C$9:$C$10</c:f>
              <c:strCache>
                <c:ptCount val="2"/>
                <c:pt idx="1">
                  <c:v>IC (%)</c:v>
                </c:pt>
              </c:strCache>
            </c:strRef>
          </c:tx>
          <c:spPr>
            <a:solidFill>
              <a:schemeClr val="accent1"/>
            </a:solidFill>
            <a:ln>
              <a:noFill/>
            </a:ln>
            <a:effectLst/>
          </c:spPr>
          <c:invertIfNegative val="0"/>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1-7DC7-484C-83C8-0C64084A768B}"/>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3-7DC7-484C-83C8-0C64084A768B}"/>
              </c:ext>
            </c:extLst>
          </c:dPt>
          <c:dLbls>
            <c:dLbl>
              <c:idx val="0"/>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extLst>
                <c:ext xmlns:c16="http://schemas.microsoft.com/office/drawing/2014/chart" uri="{C3380CC4-5D6E-409C-BE32-E72D297353CC}">
                  <c16:uniqueId val="{00000004-B1F3-485D-9C43-43944CDFFCF2}"/>
                </c:ext>
              </c:extLst>
            </c:dLbl>
            <c:dLbl>
              <c:idx val="1"/>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extLst>
                <c:ext xmlns:c16="http://schemas.microsoft.com/office/drawing/2014/chart" uri="{C3380CC4-5D6E-409C-BE32-E72D297353CC}">
                  <c16:uniqueId val="{00000001-7DC7-484C-83C8-0C64084A768B}"/>
                </c:ext>
              </c:extLst>
            </c:dLbl>
            <c:dLbl>
              <c:idx val="2"/>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extLst>
                <c:ext xmlns:c16="http://schemas.microsoft.com/office/drawing/2014/chart" uri="{C3380CC4-5D6E-409C-BE32-E72D297353CC}">
                  <c16:uniqueId val="{00000003-7DC7-484C-83C8-0C64084A768B}"/>
                </c:ext>
              </c:extLst>
            </c:dLbl>
            <c:spPr>
              <a:noFill/>
              <a:ln>
                <a:noFill/>
              </a:ln>
              <a:effectLst/>
            </c:spPr>
            <c:txPr>
              <a:bodyPr rot="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PIRITUBA'!$B$11:$B$13</c:f>
              <c:strCache>
                <c:ptCount val="3"/>
                <c:pt idx="0">
                  <c:v>Água</c:v>
                </c:pt>
                <c:pt idx="1">
                  <c:v>Esgoto</c:v>
                </c:pt>
                <c:pt idx="2">
                  <c:v>Reposição</c:v>
                </c:pt>
              </c:strCache>
            </c:strRef>
          </c:cat>
          <c:val>
            <c:numRef>
              <c:f>'DADOS - PIRITUBA'!$C$11:$C$13</c:f>
              <c:numCache>
                <c:formatCode>0.00%</c:formatCode>
                <c:ptCount val="3"/>
                <c:pt idx="0">
                  <c:v>1</c:v>
                </c:pt>
                <c:pt idx="1">
                  <c:v>0.5</c:v>
                </c:pt>
                <c:pt idx="2">
                  <c:v>0.1</c:v>
                </c:pt>
              </c:numCache>
            </c:numRef>
          </c:val>
          <c:extLst>
            <c:ext xmlns:c16="http://schemas.microsoft.com/office/drawing/2014/chart" uri="{C3380CC4-5D6E-409C-BE32-E72D297353CC}">
              <c16:uniqueId val="{00000004-7DC7-484C-83C8-0C64084A768B}"/>
            </c:ext>
          </c:extLst>
        </c:ser>
        <c:dLbls>
          <c:dLblPos val="outEnd"/>
          <c:showLegendKey val="0"/>
          <c:showVal val="1"/>
          <c:showCatName val="0"/>
          <c:showSerName val="0"/>
          <c:showPercent val="0"/>
          <c:showBubbleSize val="0"/>
        </c:dLbls>
        <c:gapWidth val="96"/>
        <c:overlap val="-27"/>
        <c:axId val="150297416"/>
        <c:axId val="150303296"/>
        <c:extLst/>
      </c:barChart>
      <c:catAx>
        <c:axId val="150297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303296"/>
        <c:crosses val="autoZero"/>
        <c:auto val="1"/>
        <c:lblAlgn val="ctr"/>
        <c:lblOffset val="100"/>
        <c:noMultiLvlLbl val="0"/>
      </c:catAx>
      <c:valAx>
        <c:axId val="150303296"/>
        <c:scaling>
          <c:orientation val="minMax"/>
          <c:max val="1"/>
        </c:scaling>
        <c:delete val="1"/>
        <c:axPos val="l"/>
        <c:numFmt formatCode="0.00%" sourceLinked="1"/>
        <c:majorTickMark val="out"/>
        <c:minorTickMark val="none"/>
        <c:tickLblPos val="nextTo"/>
        <c:crossAx val="1502974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20132913746185"/>
          <c:y val="8.3559059169948324E-2"/>
          <c:w val="0.6509543430325111"/>
          <c:h val="0.78373987807231327"/>
        </c:manualLayout>
      </c:layout>
      <c:barChart>
        <c:barDir val="bar"/>
        <c:grouping val="clustered"/>
        <c:varyColors val="0"/>
        <c:ser>
          <c:idx val="0"/>
          <c:order val="0"/>
          <c:tx>
            <c:strRef>
              <c:f>'DADOS - PIRITUBA'!$C$15</c:f>
              <c:strCache>
                <c:ptCount val="1"/>
              </c:strCache>
            </c:strRef>
          </c:tx>
          <c:spPr>
            <a:solidFill>
              <a:schemeClr val="accent1"/>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2659-4C1F-AA16-7B5926CE2589}"/>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2659-4C1F-AA16-7B5926CE2589}"/>
              </c:ext>
            </c:extLst>
          </c:dPt>
          <c:dPt>
            <c:idx val="2"/>
            <c:invertIfNegative val="0"/>
            <c:bubble3D val="0"/>
            <c:spPr>
              <a:solidFill>
                <a:srgbClr val="F58377"/>
              </a:solidFill>
              <a:ln>
                <a:noFill/>
              </a:ln>
              <a:effectLst/>
            </c:spPr>
            <c:extLst>
              <c:ext xmlns:c16="http://schemas.microsoft.com/office/drawing/2014/chart" uri="{C3380CC4-5D6E-409C-BE32-E72D297353CC}">
                <c16:uniqueId val="{00000005-2659-4C1F-AA16-7B5926CE2589}"/>
              </c:ext>
            </c:extLst>
          </c:dPt>
          <c:dPt>
            <c:idx val="3"/>
            <c:invertIfNegative val="0"/>
            <c:bubble3D val="0"/>
            <c:spPr>
              <a:solidFill>
                <a:srgbClr val="FFC000"/>
              </a:solidFill>
              <a:ln>
                <a:noFill/>
              </a:ln>
              <a:effectLst/>
            </c:spPr>
            <c:extLst>
              <c:ext xmlns:c16="http://schemas.microsoft.com/office/drawing/2014/chart" uri="{C3380CC4-5D6E-409C-BE32-E72D297353CC}">
                <c16:uniqueId val="{00000007-2659-4C1F-AA16-7B5926CE2589}"/>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PIRITUBA'!$B$16:$B$19</c:f>
              <c:strCache>
                <c:ptCount val="4"/>
                <c:pt idx="0">
                  <c:v>QUALIDADE</c:v>
                </c:pt>
                <c:pt idx="1">
                  <c:v>PRAZO</c:v>
                </c:pt>
                <c:pt idx="2">
                  <c:v>SEGURANÇA</c:v>
                </c:pt>
                <c:pt idx="3">
                  <c:v>ORGANIZAÇÃO</c:v>
                </c:pt>
              </c:strCache>
            </c:strRef>
          </c:cat>
          <c:val>
            <c:numRef>
              <c:f>'DADOS - PIRITUBA'!$C$16:$C$19</c:f>
              <c:numCache>
                <c:formatCode>0.00%</c:formatCode>
                <c:ptCount val="4"/>
                <c:pt idx="0">
                  <c:v>0</c:v>
                </c:pt>
                <c:pt idx="1">
                  <c:v>0</c:v>
                </c:pt>
                <c:pt idx="2">
                  <c:v>0</c:v>
                </c:pt>
                <c:pt idx="3">
                  <c:v>0</c:v>
                </c:pt>
              </c:numCache>
            </c:numRef>
          </c:val>
          <c:extLst>
            <c:ext xmlns:c16="http://schemas.microsoft.com/office/drawing/2014/chart" uri="{C3380CC4-5D6E-409C-BE32-E72D297353CC}">
              <c16:uniqueId val="{00000008-2659-4C1F-AA16-7B5926CE2589}"/>
            </c:ext>
          </c:extLst>
        </c:ser>
        <c:dLbls>
          <c:dLblPos val="outEnd"/>
          <c:showLegendKey val="0"/>
          <c:showVal val="1"/>
          <c:showCatName val="0"/>
          <c:showSerName val="0"/>
          <c:showPercent val="0"/>
          <c:showBubbleSize val="0"/>
        </c:dLbls>
        <c:gapWidth val="38"/>
        <c:overlap val="-14"/>
        <c:axId val="150298984"/>
        <c:axId val="150301728"/>
      </c:barChart>
      <c:catAx>
        <c:axId val="150298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301728"/>
        <c:crosses val="autoZero"/>
        <c:auto val="1"/>
        <c:lblAlgn val="ctr"/>
        <c:lblOffset val="100"/>
        <c:noMultiLvlLbl val="0"/>
      </c:catAx>
      <c:valAx>
        <c:axId val="150301728"/>
        <c:scaling>
          <c:orientation val="minMax"/>
          <c:max val="1"/>
        </c:scaling>
        <c:delete val="0"/>
        <c:axPos val="b"/>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298984"/>
        <c:crosses val="autoZero"/>
        <c:crossBetween val="between"/>
        <c:majorUnit val="0.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LV's</c:v>
          </c:tx>
          <c:spPr>
            <a:solidFill>
              <a:schemeClr val="accent1"/>
            </a:solidFill>
            <a:ln>
              <a:noFill/>
            </a:ln>
            <a:effectLst/>
          </c:spPr>
          <c:invertIfNegative val="0"/>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0-6BA8-42CF-A58C-10FC40B36235}"/>
              </c:ext>
            </c:extLst>
          </c:dPt>
          <c:dPt>
            <c:idx val="2"/>
            <c:invertIfNegative val="0"/>
            <c:bubble3D val="0"/>
            <c:spPr>
              <a:solidFill>
                <a:srgbClr val="757171"/>
              </a:solidFill>
              <a:ln>
                <a:noFill/>
              </a:ln>
              <a:effectLst/>
            </c:spPr>
            <c:extLst>
              <c:ext xmlns:c16="http://schemas.microsoft.com/office/drawing/2014/chart" uri="{C3380CC4-5D6E-409C-BE32-E72D297353CC}">
                <c16:uniqueId val="{00000000-BB5C-4297-A0DF-ADE561F05E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PIRITUBA'!$B$11:$B$13</c:f>
              <c:strCache>
                <c:ptCount val="3"/>
                <c:pt idx="0">
                  <c:v>Água</c:v>
                </c:pt>
                <c:pt idx="1">
                  <c:v>Esgoto</c:v>
                </c:pt>
                <c:pt idx="2">
                  <c:v>Reposição</c:v>
                </c:pt>
              </c:strCache>
            </c:strRef>
          </c:cat>
          <c:val>
            <c:numRef>
              <c:f>'DADOS - PIRITUBA'!$E$11:$E$13</c:f>
              <c:numCache>
                <c:formatCode>General</c:formatCode>
                <c:ptCount val="3"/>
                <c:pt idx="0">
                  <c:v>100</c:v>
                </c:pt>
                <c:pt idx="1">
                  <c:v>50</c:v>
                </c:pt>
                <c:pt idx="2">
                  <c:v>1</c:v>
                </c:pt>
              </c:numCache>
            </c:numRef>
          </c:val>
          <c:extLst>
            <c:ext xmlns:c16="http://schemas.microsoft.com/office/drawing/2014/chart" uri="{C3380CC4-5D6E-409C-BE32-E72D297353CC}">
              <c16:uniqueId val="{00000006-F933-41A3-AB77-5EB3D96C9230}"/>
            </c:ext>
          </c:extLst>
        </c:ser>
        <c:dLbls>
          <c:dLblPos val="outEnd"/>
          <c:showLegendKey val="0"/>
          <c:showVal val="1"/>
          <c:showCatName val="0"/>
          <c:showSerName val="0"/>
          <c:showPercent val="0"/>
          <c:showBubbleSize val="0"/>
        </c:dLbls>
        <c:gapWidth val="96"/>
        <c:overlap val="-27"/>
        <c:axId val="150297416"/>
        <c:axId val="150303296"/>
        <c:extLst/>
      </c:barChart>
      <c:catAx>
        <c:axId val="150297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303296"/>
        <c:crosses val="autoZero"/>
        <c:auto val="1"/>
        <c:lblAlgn val="ctr"/>
        <c:lblOffset val="100"/>
        <c:tickLblSkip val="1"/>
        <c:noMultiLvlLbl val="0"/>
      </c:catAx>
      <c:valAx>
        <c:axId val="150303296"/>
        <c:scaling>
          <c:orientation val="minMax"/>
        </c:scaling>
        <c:delete val="1"/>
        <c:axPos val="l"/>
        <c:numFmt formatCode="General" sourceLinked="1"/>
        <c:majorTickMark val="none"/>
        <c:minorTickMark val="none"/>
        <c:tickLblPos val="nextTo"/>
        <c:crossAx val="1502974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r>
              <a:rPr lang="pt-BR" sz="2800">
                <a:latin typeface="Arial Black" panose="020B0A04020102020204" pitchFamily="34" charset="0"/>
                <a:cs typeface="Arial" panose="020B0604020202020204" pitchFamily="34" charset="0"/>
              </a:rPr>
              <a:t>CONFORMIDADES - ETAPAS (%)</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title>
    <c:autoTitleDeleted val="0"/>
    <c:plotArea>
      <c:layout>
        <c:manualLayout>
          <c:layoutTarget val="inner"/>
          <c:xMode val="edge"/>
          <c:yMode val="edge"/>
          <c:x val="1.531199911142803E-2"/>
          <c:y val="0.25222387082079195"/>
          <c:w val="0.97242924138475473"/>
          <c:h val="0.42503477713678323"/>
        </c:manualLayout>
      </c:layout>
      <c:barChart>
        <c:barDir val="col"/>
        <c:grouping val="clustered"/>
        <c:varyColors val="0"/>
        <c:ser>
          <c:idx val="0"/>
          <c:order val="0"/>
          <c:tx>
            <c:strRef>
              <c:f>'DADOS - PIRITUBA'!$F$172</c:f>
              <c:strCache>
                <c:ptCount val="1"/>
                <c:pt idx="0">
                  <c:v>CONFORME (%)</c:v>
                </c:pt>
              </c:strCache>
            </c:strRef>
          </c:tx>
          <c:spPr>
            <a:solidFill>
              <a:schemeClr val="accent1"/>
            </a:solidFill>
            <a:ln>
              <a:noFill/>
            </a:ln>
            <a:effectLst/>
          </c:spPr>
          <c:invertIfNegative val="0"/>
          <c:dLbls>
            <c:spPr>
              <a:noFill/>
              <a:ln>
                <a:noFill/>
              </a:ln>
              <a:effectLst/>
            </c:spPr>
            <c:txPr>
              <a:bodyPr rot="-5400000" spcFirstLastPara="1" vertOverflow="ellipsis" wrap="square" anchor="ctr" anchorCtr="1"/>
              <a:lstStyle/>
              <a:p>
                <a:pPr>
                  <a:defRPr sz="24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PIRITUBA'!$B$62:$B$69</c:f>
              <c:strCache>
                <c:ptCount val="8"/>
                <c:pt idx="0">
                  <c:v>FACHADA</c:v>
                </c:pt>
                <c:pt idx="1">
                  <c:v>SINALIZAÇÃO</c:v>
                </c:pt>
                <c:pt idx="2">
                  <c:v>ENCERADO</c:v>
                </c:pt>
                <c:pt idx="3">
                  <c:v>GEOMETRIA</c:v>
                </c:pt>
                <c:pt idx="4">
                  <c:v>BERÇO DE AREIA</c:v>
                </c:pt>
                <c:pt idx="5">
                  <c:v>ESTANQUEIDADE</c:v>
                </c:pt>
                <c:pt idx="6">
                  <c:v>COMPACTAÇÃO</c:v>
                </c:pt>
                <c:pt idx="7">
                  <c:v>FINALIZAÇÃO</c:v>
                </c:pt>
              </c:strCache>
            </c:strRef>
          </c:cat>
          <c:val>
            <c:numRef>
              <c:f>'DADOS - PIRITUBA'!$F$62:$F$69</c:f>
              <c:numCache>
                <c:formatCode>0.00%</c:formatCode>
                <c:ptCount val="8"/>
                <c:pt idx="0">
                  <c:v>0.96937416777629826</c:v>
                </c:pt>
                <c:pt idx="1">
                  <c:v>0.86301369863013699</c:v>
                </c:pt>
                <c:pt idx="2">
                  <c:v>0.83450704225352113</c:v>
                </c:pt>
                <c:pt idx="3">
                  <c:v>0.89698046181172286</c:v>
                </c:pt>
                <c:pt idx="4">
                  <c:v>0.87697715289982425</c:v>
                </c:pt>
                <c:pt idx="5">
                  <c:v>0.78333333333333333</c:v>
                </c:pt>
                <c:pt idx="6">
                  <c:v>0.83702531645569622</c:v>
                </c:pt>
                <c:pt idx="7">
                  <c:v>0.86</c:v>
                </c:pt>
              </c:numCache>
            </c:numRef>
          </c:val>
          <c:extLst>
            <c:ext xmlns:c16="http://schemas.microsoft.com/office/drawing/2014/chart" uri="{C3380CC4-5D6E-409C-BE32-E72D297353CC}">
              <c16:uniqueId val="{00000000-832D-43CA-A6EB-4467C12F7822}"/>
            </c:ext>
          </c:extLst>
        </c:ser>
        <c:dLbls>
          <c:dLblPos val="outEnd"/>
          <c:showLegendKey val="0"/>
          <c:showVal val="1"/>
          <c:showCatName val="0"/>
          <c:showSerName val="0"/>
          <c:showPercent val="0"/>
          <c:showBubbleSize val="0"/>
        </c:dLbls>
        <c:gapWidth val="219"/>
        <c:overlap val="-27"/>
        <c:axId val="150759136"/>
        <c:axId val="150757960"/>
      </c:barChart>
      <c:catAx>
        <c:axId val="15075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crossAx val="150757960"/>
        <c:crosses val="autoZero"/>
        <c:auto val="1"/>
        <c:lblAlgn val="ctr"/>
        <c:lblOffset val="100"/>
        <c:noMultiLvlLbl val="0"/>
      </c:catAx>
      <c:valAx>
        <c:axId val="150757960"/>
        <c:scaling>
          <c:orientation val="minMax"/>
          <c:max val="1"/>
        </c:scaling>
        <c:delete val="1"/>
        <c:axPos val="l"/>
        <c:numFmt formatCode="0.00%" sourceLinked="1"/>
        <c:majorTickMark val="out"/>
        <c:minorTickMark val="none"/>
        <c:tickLblPos val="nextTo"/>
        <c:crossAx val="150759136"/>
        <c:crosses val="autoZero"/>
        <c:crossBetween val="between"/>
      </c:valAx>
      <c:spPr>
        <a:noFill/>
        <a:ln>
          <a:noFill/>
        </a:ln>
        <a:effectLst/>
      </c:spPr>
    </c:plotArea>
    <c:legend>
      <c:legendPos val="b"/>
      <c:layout>
        <c:manualLayout>
          <c:xMode val="edge"/>
          <c:yMode val="edge"/>
          <c:x val="0.39359072104018905"/>
          <c:y val="0.9210558333333333"/>
          <c:w val="0.19346517256450932"/>
          <c:h val="7.807444444444446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Tahoma" panose="020B0604030504040204" pitchFamily="34" charset="0"/>
                <a:cs typeface="Tahoma" panose="020B0604030504040204" pitchFamily="34" charset="0"/>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TEMPO DE EXECUÇÃO</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5286802598374047"/>
          <c:y val="0.13951153414116096"/>
          <c:w val="0.51182375872886243"/>
          <c:h val="0.73890179599621475"/>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C0C-4CA4-A2FC-7892E433BB69}"/>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CC0C-4CA4-A2FC-7892E433BB69}"/>
              </c:ext>
            </c:extLst>
          </c:dPt>
          <c:dLbls>
            <c:dLbl>
              <c:idx val="0"/>
              <c:layout>
                <c:manualLayout>
                  <c:x val="0.26785127541489312"/>
                  <c:y val="0.85226000307351357"/>
                </c:manualLayout>
              </c:layout>
              <c:tx>
                <c:rich>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2A58C6F4-B231-424E-9B80-5E1049425616}" type="CATEGORYNAM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54E887FA-146D-4A5E-BCCB-520D85D38558}" type="VALU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F484959F-59E3-4CF1-901E-0814955F842B}" type="PERCENTAG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1">
                      <a:solidFill>
                        <a:srgbClr val="002060"/>
                      </a:solidFill>
                      <a:latin typeface="Arial" panose="020B0604020202020204" pitchFamily="34" charset="0"/>
                      <a:ea typeface="Tahoma" panose="020B0604030504040204" pitchFamily="34" charset="0"/>
                      <a:cs typeface="Arial" panose="020B0604020202020204" pitchFamily="34" charset="0"/>
                    </a:endParaRPr>
                  </a:p>
                </c:rich>
              </c:tx>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dLblPos val="bestFit"/>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5279826388888885"/>
                      <c:h val="0.14757532679738561"/>
                    </c:manualLayout>
                  </c15:layout>
                  <c15:dlblFieldTable/>
                  <c15:showDataLabelsRange val="0"/>
                </c:ext>
                <c:ext xmlns:c16="http://schemas.microsoft.com/office/drawing/2014/chart" uri="{C3380CC4-5D6E-409C-BE32-E72D297353CC}">
                  <c16:uniqueId val="{00000001-CC0C-4CA4-A2FC-7892E433BB69}"/>
                </c:ext>
              </c:extLst>
            </c:dLbl>
            <c:dLbl>
              <c:idx val="1"/>
              <c:layout>
                <c:manualLayout>
                  <c:x val="-0.3693974340984148"/>
                  <c:y val="-0.71892410847885346"/>
                </c:manualLayout>
              </c:layout>
              <c:tx>
                <c:rich>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492F35AB-C4D3-4D03-9208-4DF176E44099}" type="CATEGORYNAM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F3C34A50-719B-4770-9F64-BCF14F90EA6D}" type="VALU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266ED5CE-9937-4851-91A1-8D3054EF78F1}" type="PERCENTAG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1">
                      <a:solidFill>
                        <a:srgbClr val="002060"/>
                      </a:solidFill>
                      <a:latin typeface="Arial" panose="020B0604020202020204" pitchFamily="34" charset="0"/>
                      <a:ea typeface="Tahoma" panose="020B0604030504040204" pitchFamily="34" charset="0"/>
                      <a:cs typeface="Arial" panose="020B0604020202020204" pitchFamily="34" charset="0"/>
                    </a:endParaRPr>
                  </a:p>
                </c:rich>
              </c:tx>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dLblPos val="bestFit"/>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7876604194554971"/>
                      <c:h val="0.15418610287401643"/>
                    </c:manualLayout>
                  </c15:layout>
                  <c15:dlblFieldTable/>
                  <c15:showDataLabelsRange val="0"/>
                </c:ext>
                <c:ext xmlns:c16="http://schemas.microsoft.com/office/drawing/2014/chart" uri="{C3380CC4-5D6E-409C-BE32-E72D297353CC}">
                  <c16:uniqueId val="{00000003-CC0C-4CA4-A2FC-7892E433BB69}"/>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'DADOS - PIRITUBA'!$D$49:$E$49</c:f>
              <c:strCache>
                <c:ptCount val="2"/>
                <c:pt idx="0">
                  <c:v>Não Conforme</c:v>
                </c:pt>
                <c:pt idx="1">
                  <c:v>Conforme</c:v>
                </c:pt>
              </c:strCache>
            </c:strRef>
          </c:cat>
          <c:val>
            <c:numRef>
              <c:f>'DADOS - PIRITUBA'!$D$50:$E$50</c:f>
              <c:numCache>
                <c:formatCode>General</c:formatCode>
                <c:ptCount val="2"/>
                <c:pt idx="0">
                  <c:v>20</c:v>
                </c:pt>
                <c:pt idx="1">
                  <c:v>731</c:v>
                </c:pt>
              </c:numCache>
            </c:numRef>
          </c:val>
          <c:extLst>
            <c:ext xmlns:c16="http://schemas.microsoft.com/office/drawing/2014/chart" uri="{C3380CC4-5D6E-409C-BE32-E72D297353CC}">
              <c16:uniqueId val="{00000004-CC0C-4CA4-A2FC-7892E433BB69}"/>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Tahoma" panose="020B0604030504040204" pitchFamily="34" charset="0"/>
                <a:cs typeface="Tahoma" panose="020B0604030504040204" pitchFamily="34" charset="0"/>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SEQUÊNCIA</a:t>
            </a:r>
            <a:r>
              <a:rPr lang="pt-BR" sz="2800" b="0" baseline="0">
                <a:solidFill>
                  <a:srgbClr val="002060"/>
                </a:solidFill>
                <a:latin typeface="Arial Black" panose="020B0A04020102020204" pitchFamily="34" charset="0"/>
                <a:ea typeface="Tahoma" panose="020B0604030504040204" pitchFamily="34" charset="0"/>
                <a:cs typeface="Tahoma" panose="020B0604030504040204" pitchFamily="34" charset="0"/>
              </a:rPr>
              <a:t> DE FOTOS</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408817824611825"/>
          <c:y val="0.15852426601789393"/>
          <c:w val="0.52792014624783645"/>
          <c:h val="0.76213957940111055"/>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A65-42E5-B7FA-11DE97626BD7}"/>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EA65-42E5-B7FA-11DE97626BD7}"/>
              </c:ext>
            </c:extLst>
          </c:dPt>
          <c:dLbls>
            <c:dLbl>
              <c:idx val="0"/>
              <c:layout>
                <c:manualLayout>
                  <c:x val="0.30011978902717729"/>
                  <c:y val="0.81567799283386022"/>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FC030A06-458D-4C7B-B81B-4AA884195C6F}" type="CATEGORYNAM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863E82F7-5B06-49FB-B7C4-C348FD694204}" type="VALU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44C83611-AD08-4A73-90D4-E169757E39DC}" type="PERCENTAG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1">
                      <a:solidFill>
                        <a:srgbClr val="002060"/>
                      </a:solidFill>
                      <a:latin typeface="Arial" panose="020B0604020202020204" pitchFamily="34" charset="0"/>
                      <a:ea typeface="Tahoma" panose="020B060403050404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dLblPos val="bestFit"/>
              <c:showLegendKey val="1"/>
              <c:showVal val="1"/>
              <c:showCatName val="1"/>
              <c:showSerName val="0"/>
              <c:showPercent val="1"/>
              <c:showBubbleSize val="0"/>
              <c:extLst>
                <c:ext xmlns:c15="http://schemas.microsoft.com/office/drawing/2012/chart" uri="{CE6537A1-D6FC-4f65-9D91-7224C49458BB}">
                  <c15:layout>
                    <c:manualLayout>
                      <c:w val="0.28944942129629631"/>
                      <c:h val="0.1835936274509804"/>
                    </c:manualLayout>
                  </c15:layout>
                  <c15:dlblFieldTable/>
                  <c15:showDataLabelsRange val="0"/>
                </c:ext>
                <c:ext xmlns:c16="http://schemas.microsoft.com/office/drawing/2014/chart" uri="{C3380CC4-5D6E-409C-BE32-E72D297353CC}">
                  <c16:uniqueId val="{00000001-EA65-42E5-B7FA-11DE97626BD7}"/>
                </c:ext>
              </c:extLst>
            </c:dLbl>
            <c:dLbl>
              <c:idx val="1"/>
              <c:layout>
                <c:manualLayout>
                  <c:x val="-0.29724679265226212"/>
                  <c:y val="-0.71209015100657569"/>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7645A65E-1F1A-4A1B-B48E-5E83A908E1DA}" type="CATEGORYNAM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4B07B3DC-7C4A-47BF-A304-83039E3C474F}" type="VALU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6AB11A6D-864A-41E3-A3B9-2D782274E0E4}" type="PERCENTAG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1">
                      <a:solidFill>
                        <a:srgbClr val="002060"/>
                      </a:solidFill>
                      <a:latin typeface="Arial" panose="020B0604020202020204" pitchFamily="34" charset="0"/>
                      <a:ea typeface="Tahoma" panose="020B060403050404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dLblPos val="bestFit"/>
              <c:showLegendKey val="1"/>
              <c:showVal val="1"/>
              <c:showCatName val="1"/>
              <c:showSerName val="0"/>
              <c:showPercent val="1"/>
              <c:showBubbleSize val="0"/>
              <c:extLst>
                <c:ext xmlns:c15="http://schemas.microsoft.com/office/drawing/2012/chart" uri="{CE6537A1-D6FC-4f65-9D91-7224C49458BB}">
                  <c15:layout>
                    <c:manualLayout>
                      <c:w val="0.42160393518518524"/>
                      <c:h val="0.18238937908496733"/>
                    </c:manualLayout>
                  </c15:layout>
                  <c15:dlblFieldTable/>
                  <c15:showDataLabelsRange val="0"/>
                </c:ext>
                <c:ext xmlns:c16="http://schemas.microsoft.com/office/drawing/2014/chart" uri="{C3380CC4-5D6E-409C-BE32-E72D297353CC}">
                  <c16:uniqueId val="{00000003-EA65-42E5-B7FA-11DE97626BD7}"/>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mn-ea"/>
                    <a:cs typeface="Arial" panose="020B0604020202020204" pitchFamily="34" charset="0"/>
                  </a:defRPr>
                </a:pPr>
                <a:endParaRPr lang="pt-BR"/>
              </a:p>
            </c:txPr>
            <c:dLblPos val="bestFit"/>
            <c:showLegendKey val="1"/>
            <c:showVal val="1"/>
            <c:showCatName val="1"/>
            <c:showSerName val="0"/>
            <c:showPercent val="1"/>
            <c:showBubbleSize val="0"/>
            <c:showLeaderLines val="0"/>
            <c:extLst>
              <c:ext xmlns:c15="http://schemas.microsoft.com/office/drawing/2012/chart" uri="{CE6537A1-D6FC-4f65-9D91-7224C49458BB}"/>
            </c:extLst>
          </c:dLbls>
          <c:cat>
            <c:strRef>
              <c:f>'DADOS - PIRITUBA'!$D$53:$E$53</c:f>
              <c:strCache>
                <c:ptCount val="2"/>
                <c:pt idx="0">
                  <c:v>Fotos NC</c:v>
                </c:pt>
                <c:pt idx="1">
                  <c:v>Fotos Conforme</c:v>
                </c:pt>
              </c:strCache>
            </c:strRef>
          </c:cat>
          <c:val>
            <c:numRef>
              <c:f>'DADOS - PIRITUBA'!$D$54:$E$54</c:f>
              <c:numCache>
                <c:formatCode>General</c:formatCode>
                <c:ptCount val="2"/>
                <c:pt idx="0">
                  <c:v>133</c:v>
                </c:pt>
                <c:pt idx="1">
                  <c:v>618</c:v>
                </c:pt>
              </c:numCache>
            </c:numRef>
          </c:val>
          <c:extLst>
            <c:ext xmlns:c16="http://schemas.microsoft.com/office/drawing/2014/chart" uri="{C3380CC4-5D6E-409C-BE32-E72D297353CC}">
              <c16:uniqueId val="{00000004-EA65-42E5-B7FA-11DE97626BD7}"/>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Arial" panose="020B0604020202020204" pitchFamily="34" charset="0"/>
              </a:defRPr>
            </a:pPr>
            <a:r>
              <a:rPr lang="pt-BR" sz="2800" b="0" baseline="0">
                <a:solidFill>
                  <a:srgbClr val="002060"/>
                </a:solidFill>
                <a:latin typeface="Arial Black" panose="020B0A04020102020204" pitchFamily="34" charset="0"/>
                <a:ea typeface="Tahoma" panose="020B0604030504040204" pitchFamily="34" charset="0"/>
                <a:cs typeface="Arial" panose="020B0604020202020204" pitchFamily="34" charset="0"/>
              </a:rPr>
              <a:t>BAIXA DE MATERIAIS</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Arial" panose="020B0604020202020204" pitchFamily="34" charset="0"/>
            </a:defRPr>
          </a:pPr>
          <a:endParaRPr lang="pt-BR"/>
        </a:p>
      </c:txPr>
    </c:title>
    <c:autoTitleDeleted val="0"/>
    <c:plotArea>
      <c:layout>
        <c:manualLayout>
          <c:layoutTarget val="inner"/>
          <c:xMode val="edge"/>
          <c:yMode val="edge"/>
          <c:x val="0.24593169729154113"/>
          <c:y val="0.14373658566932385"/>
          <c:w val="0.51105896326648759"/>
          <c:h val="0.73890179599621475"/>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304-434E-A76B-6DDA9A515479}"/>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9304-434E-A76B-6DDA9A515479}"/>
              </c:ext>
            </c:extLst>
          </c:dPt>
          <c:dLbls>
            <c:dLbl>
              <c:idx val="0"/>
              <c:layout>
                <c:manualLayout>
                  <c:x val="-2.39942019941661E-2"/>
                  <c:y val="0.40815353438035878"/>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FA69A047-9B9E-47DB-9E64-542F1CBA3585}" type="CATEGORYNAME">
                      <a:rPr lang="en-US" sz="280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4DB9DE06-D9D3-4697-B576-E9618ABDAD13}" type="VALU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8B726B06-2CF4-48A3-9BFA-07BBD72E5BBC}" type="PERCENTAG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aseline="0">
                      <a:latin typeface="Arial" panose="020B060402020202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36046828703703704"/>
                      <c:h val="0.14464297385620914"/>
                    </c:manualLayout>
                  </c15:layout>
                  <c15:dlblFieldTable/>
                  <c15:showDataLabelsRange val="0"/>
                </c:ext>
                <c:ext xmlns:c16="http://schemas.microsoft.com/office/drawing/2014/chart" uri="{C3380CC4-5D6E-409C-BE32-E72D297353CC}">
                  <c16:uniqueId val="{00000001-9304-434E-A76B-6DDA9A515479}"/>
                </c:ext>
              </c:extLst>
            </c:dLbl>
            <c:dLbl>
              <c:idx val="1"/>
              <c:layout>
                <c:manualLayout>
                  <c:x val="-2.2761682816084854E-2"/>
                  <c:y val="-0.33129477369442994"/>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AD2D5BB3-D56F-49E4-80A9-2EDCAEE43C22}" type="CATEGORYNAME">
                      <a:rPr lang="en-US" sz="280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59A4F695-EF35-4D36-89A3-68AAF9682697}" type="VALU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016E5925-4227-4D8B-9490-D040926C9D13}" type="PERCENTAG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aseline="0">
                      <a:latin typeface="Arial" panose="020B060402020202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29966052631578949"/>
                      <c:h val="0.16943277777777777"/>
                    </c:manualLayout>
                  </c15:layout>
                  <c15:dlblFieldTable/>
                  <c15:showDataLabelsRange val="0"/>
                </c:ext>
                <c:ext xmlns:c16="http://schemas.microsoft.com/office/drawing/2014/chart" uri="{C3380CC4-5D6E-409C-BE32-E72D297353CC}">
                  <c16:uniqueId val="{00000003-9304-434E-A76B-6DDA9A51547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showLegendKey val="1"/>
            <c:showVal val="1"/>
            <c:showCatName val="1"/>
            <c:showSerName val="0"/>
            <c:showPercent val="1"/>
            <c:showBubbleSize val="0"/>
            <c:showLeaderLines val="0"/>
            <c:extLst>
              <c:ext xmlns:c15="http://schemas.microsoft.com/office/drawing/2012/chart" uri="{CE6537A1-D6FC-4f65-9D91-7224C49458BB}"/>
            </c:extLst>
          </c:dLbls>
          <c:cat>
            <c:strRef>
              <c:f>'DADOS - PIRITUBA'!$D$57:$E$57</c:f>
              <c:strCache>
                <c:ptCount val="2"/>
                <c:pt idx="0">
                  <c:v>Não Conforme</c:v>
                </c:pt>
                <c:pt idx="1">
                  <c:v>Conforme</c:v>
                </c:pt>
              </c:strCache>
            </c:strRef>
          </c:cat>
          <c:val>
            <c:numRef>
              <c:f>'DADOS - PIRITUBA'!$D$58:$E$58</c:f>
              <c:numCache>
                <c:formatCode>General</c:formatCode>
                <c:ptCount val="2"/>
                <c:pt idx="0">
                  <c:v>0</c:v>
                </c:pt>
                <c:pt idx="1">
                  <c:v>662</c:v>
                </c:pt>
              </c:numCache>
            </c:numRef>
          </c:val>
          <c:extLst>
            <c:ext xmlns:c16="http://schemas.microsoft.com/office/drawing/2014/chart" uri="{C3380CC4-5D6E-409C-BE32-E72D297353CC}">
              <c16:uniqueId val="{00000004-9304-434E-A76B-6DDA9A515479}"/>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en-US" sz="1600"/>
              <a:t>CONFORMIDADE - SEQUÊNCIA DE FOTOS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4.2132035525011893E-2"/>
          <c:w val="0.39815672060701301"/>
          <c:h val="0.92702328250765609"/>
        </c:manualLayout>
      </c:layout>
      <c:barChart>
        <c:barDir val="bar"/>
        <c:grouping val="clustered"/>
        <c:varyColors val="0"/>
        <c:ser>
          <c:idx val="0"/>
          <c:order val="0"/>
          <c:tx>
            <c:strRef>
              <c:f>'DADOS - PIRITUBA'!$F$182:$F$183</c:f>
              <c:strCache>
                <c:ptCount val="2"/>
                <c:pt idx="0">
                  <c:v>EQUIPES - CONFORMIDADE - TEMPO DE EXECUÇÃO</c:v>
                </c:pt>
                <c:pt idx="1">
                  <c:v>CONFORME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'DADOS - PIRITUBA'!$B$116:$B$155</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PIRITUBA'!$F$116:$F$155</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7677-4C8F-9DAB-70D329F0C41D}"/>
            </c:ext>
          </c:extLst>
        </c:ser>
        <c:dLbls>
          <c:showLegendKey val="0"/>
          <c:showVal val="1"/>
          <c:showCatName val="0"/>
          <c:showSerName val="0"/>
          <c:showPercent val="0"/>
          <c:showBubbleSize val="0"/>
        </c:dLbls>
        <c:gapWidth val="39"/>
        <c:axId val="150760704"/>
        <c:axId val="150758352"/>
      </c:barChart>
      <c:catAx>
        <c:axId val="1507607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758352"/>
        <c:crosses val="autoZero"/>
        <c:auto val="1"/>
        <c:lblAlgn val="ctr"/>
        <c:lblOffset val="100"/>
        <c:noMultiLvlLbl val="0"/>
      </c:catAx>
      <c:valAx>
        <c:axId val="150758352"/>
        <c:scaling>
          <c:orientation val="minMax"/>
          <c:max val="1"/>
        </c:scaling>
        <c:delete val="1"/>
        <c:axPos val="t"/>
        <c:numFmt formatCode="0.00%" sourceLinked="1"/>
        <c:majorTickMark val="out"/>
        <c:minorTickMark val="none"/>
        <c:tickLblPos val="nextTo"/>
        <c:crossAx val="15076070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TEMPO DE EXECUÇÃO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4.4122833293787224E-2"/>
          <c:w val="0.39389444444444449"/>
          <c:h val="0.92503248473888078"/>
        </c:manualLayout>
      </c:layout>
      <c:barChart>
        <c:barDir val="bar"/>
        <c:grouping val="clustered"/>
        <c:varyColors val="0"/>
        <c:ser>
          <c:idx val="0"/>
          <c:order val="0"/>
          <c:tx>
            <c:strRef>
              <c:f>'DADOS - PIRITUBA'!$F$182:$F$183</c:f>
              <c:strCache>
                <c:ptCount val="2"/>
                <c:pt idx="0">
                  <c:v>EQUIPES - CONFORMIDADE - TEMPO DE EXECUÇÃO</c:v>
                </c:pt>
                <c:pt idx="1">
                  <c:v>CONFORME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PIRITUBA'!$B$73:$B$112</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PIRITUBA'!$F$73:$F$112</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4FEB-496C-A128-F3BC26CBDFB1}"/>
            </c:ext>
          </c:extLst>
        </c:ser>
        <c:dLbls>
          <c:showLegendKey val="0"/>
          <c:showVal val="1"/>
          <c:showCatName val="0"/>
          <c:showSerName val="0"/>
          <c:showPercent val="0"/>
          <c:showBubbleSize val="0"/>
        </c:dLbls>
        <c:gapWidth val="39"/>
        <c:axId val="150757176"/>
        <c:axId val="150759920"/>
      </c:barChart>
      <c:catAx>
        <c:axId val="15075717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759920"/>
        <c:crosses val="autoZero"/>
        <c:auto val="1"/>
        <c:lblAlgn val="ctr"/>
        <c:lblOffset val="100"/>
        <c:noMultiLvlLbl val="0"/>
      </c:catAx>
      <c:valAx>
        <c:axId val="150759920"/>
        <c:scaling>
          <c:orientation val="minMax"/>
          <c:max val="1"/>
        </c:scaling>
        <c:delete val="1"/>
        <c:axPos val="t"/>
        <c:numFmt formatCode="0.00%" sourceLinked="1"/>
        <c:majorTickMark val="out"/>
        <c:minorTickMark val="none"/>
        <c:tickLblPos val="nextTo"/>
        <c:crossAx val="1507571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r>
              <a:rPr lang="pt-BR" sz="2800">
                <a:latin typeface="Arial Black" panose="020B0A04020102020204" pitchFamily="34" charset="0"/>
                <a:cs typeface="Arial" panose="020B0604020202020204" pitchFamily="34" charset="0"/>
              </a:rPr>
              <a:t>CONFORMIDADES - ETAPAS (%)</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title>
    <c:autoTitleDeleted val="0"/>
    <c:plotArea>
      <c:layout>
        <c:manualLayout>
          <c:layoutTarget val="inner"/>
          <c:xMode val="edge"/>
          <c:yMode val="edge"/>
          <c:x val="1.7359810874704493E-2"/>
          <c:y val="0.30038031165228529"/>
          <c:w val="0.97428749725412744"/>
          <c:h val="0.3927701015931967"/>
        </c:manualLayout>
      </c:layout>
      <c:barChart>
        <c:barDir val="col"/>
        <c:grouping val="clustered"/>
        <c:varyColors val="0"/>
        <c:ser>
          <c:idx val="0"/>
          <c:order val="0"/>
          <c:tx>
            <c:strRef>
              <c:f>'DADOS - PIRITUBA'!$F$172</c:f>
              <c:strCache>
                <c:ptCount val="1"/>
                <c:pt idx="0">
                  <c:v>CONFORME (%)</c:v>
                </c:pt>
              </c:strCache>
            </c:strRef>
          </c:tx>
          <c:spPr>
            <a:solidFill>
              <a:schemeClr val="accent1"/>
            </a:solidFill>
            <a:ln>
              <a:noFill/>
            </a:ln>
            <a:effectLst/>
          </c:spPr>
          <c:invertIfNegative val="0"/>
          <c:dLbls>
            <c:dLbl>
              <c:idx val="3"/>
              <c:layout>
                <c:manualLayout>
                  <c:x val="-8.6702127659684552E-5"/>
                  <c:y val="-2.793750000000016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9DE-4A7E-8C72-4631B4C93CF3}"/>
                </c:ext>
              </c:extLst>
            </c:dLbl>
            <c:spPr>
              <a:noFill/>
              <a:ln>
                <a:noFill/>
              </a:ln>
              <a:effectLst/>
            </c:spPr>
            <c:txPr>
              <a:bodyPr rot="-5400000" spcFirstLastPara="1" vertOverflow="ellipsis" wrap="square" anchor="ctr" anchorCtr="1"/>
              <a:lstStyle/>
              <a:p>
                <a:pPr>
                  <a:defRPr sz="2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PIRITUBA'!$B$173:$B$180</c:f>
              <c:strCache>
                <c:ptCount val="8"/>
                <c:pt idx="0">
                  <c:v>FACHADA</c:v>
                </c:pt>
                <c:pt idx="1">
                  <c:v>SINALIZAÇÃO</c:v>
                </c:pt>
                <c:pt idx="2">
                  <c:v>ENCERADO</c:v>
                </c:pt>
                <c:pt idx="3">
                  <c:v>GEOMETRIA</c:v>
                </c:pt>
                <c:pt idx="4">
                  <c:v>BERÇO DE AREIA</c:v>
                </c:pt>
                <c:pt idx="5">
                  <c:v>ESCORAMENTO</c:v>
                </c:pt>
                <c:pt idx="6">
                  <c:v>COMPACTAÇÃO</c:v>
                </c:pt>
                <c:pt idx="7">
                  <c:v>FINALIZAÇÃO</c:v>
                </c:pt>
              </c:strCache>
            </c:strRef>
          </c:cat>
          <c:val>
            <c:numRef>
              <c:f>'DADOS - PIRITUBA'!$F$173:$F$180</c:f>
              <c:numCache>
                <c:formatCode>0.00%</c:formatCode>
                <c:ptCount val="8"/>
                <c:pt idx="0">
                  <c:v>0.80625000000000002</c:v>
                </c:pt>
                <c:pt idx="1">
                  <c:v>0.32903225806451614</c:v>
                </c:pt>
                <c:pt idx="2">
                  <c:v>0.15267175572519084</c:v>
                </c:pt>
                <c:pt idx="3">
                  <c:v>0.73381294964028776</c:v>
                </c:pt>
                <c:pt idx="4">
                  <c:v>0.57954545454545459</c:v>
                </c:pt>
                <c:pt idx="5">
                  <c:v>0.71830985915492962</c:v>
                </c:pt>
                <c:pt idx="6">
                  <c:v>0.2441860465116279</c:v>
                </c:pt>
                <c:pt idx="7">
                  <c:v>0.35625000000000001</c:v>
                </c:pt>
              </c:numCache>
            </c:numRef>
          </c:val>
          <c:extLst>
            <c:ext xmlns:c16="http://schemas.microsoft.com/office/drawing/2014/chart" uri="{C3380CC4-5D6E-409C-BE32-E72D297353CC}">
              <c16:uniqueId val="{00000000-17C1-4C77-901B-F8D0CD8CEA75}"/>
            </c:ext>
          </c:extLst>
        </c:ser>
        <c:dLbls>
          <c:dLblPos val="outEnd"/>
          <c:showLegendKey val="0"/>
          <c:showVal val="1"/>
          <c:showCatName val="0"/>
          <c:showSerName val="0"/>
          <c:showPercent val="0"/>
          <c:showBubbleSize val="0"/>
        </c:dLbls>
        <c:gapWidth val="219"/>
        <c:overlap val="-27"/>
        <c:axId val="150755216"/>
        <c:axId val="150754432"/>
      </c:barChart>
      <c:catAx>
        <c:axId val="15075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crossAx val="150754432"/>
        <c:crosses val="autoZero"/>
        <c:auto val="1"/>
        <c:lblAlgn val="ctr"/>
        <c:lblOffset val="100"/>
        <c:noMultiLvlLbl val="0"/>
      </c:catAx>
      <c:valAx>
        <c:axId val="150754432"/>
        <c:scaling>
          <c:orientation val="minMax"/>
          <c:max val="1"/>
        </c:scaling>
        <c:delete val="1"/>
        <c:axPos val="l"/>
        <c:numFmt formatCode="0.00%" sourceLinked="1"/>
        <c:majorTickMark val="out"/>
        <c:minorTickMark val="none"/>
        <c:tickLblPos val="nextTo"/>
        <c:crossAx val="150755216"/>
        <c:crosses val="autoZero"/>
        <c:crossBetween val="between"/>
      </c:valAx>
      <c:spPr>
        <a:noFill/>
        <a:ln>
          <a:noFill/>
        </a:ln>
        <a:effectLst/>
      </c:spPr>
    </c:plotArea>
    <c:legend>
      <c:legendPos val="b"/>
      <c:layout>
        <c:manualLayout>
          <c:xMode val="edge"/>
          <c:yMode val="edge"/>
          <c:x val="0.41363812056737587"/>
          <c:y val="0.9503968055555555"/>
          <c:w val="0.1562106973995272"/>
          <c:h val="4.9603194444444443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TEMPO DE EXECUÇÃO</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endParaRPr lang="pt-BR"/>
        </a:p>
      </c:txPr>
    </c:title>
    <c:autoTitleDeleted val="0"/>
    <c:plotArea>
      <c:layout>
        <c:manualLayout>
          <c:layoutTarget val="inner"/>
          <c:xMode val="edge"/>
          <c:yMode val="edge"/>
          <c:x val="0.24994141007119972"/>
          <c:y val="0.14162405990524241"/>
          <c:w val="0.51182375872886243"/>
          <c:h val="0.73890179599621475"/>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59E-4627-9756-5A5F4E379057}"/>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A59E-4627-9756-5A5F4E379057}"/>
              </c:ext>
            </c:extLst>
          </c:dPt>
          <c:dLbls>
            <c:dLbl>
              <c:idx val="0"/>
              <c:layout>
                <c:manualLayout>
                  <c:x val="0.27141475694444445"/>
                  <c:y val="0.84946699346405219"/>
                </c:manualLayout>
              </c:layout>
              <c:tx>
                <c:rich>
                  <a:bodyPr/>
                  <a:lstStyle/>
                  <a:p>
                    <a:fld id="{D7AA9998-2443-4465-96D0-949A6750C795}" type="CATEGORYNAME">
                      <a:rPr lang="en-US"/>
                      <a:pPr/>
                      <a:t>[]</a:t>
                    </a:fld>
                    <a:r>
                      <a:rPr lang="en-US" baseline="0"/>
                      <a:t> </a:t>
                    </a:r>
                    <a:fld id="{630D5960-443D-4D3D-BA05-E51B7ACD033D}" type="VALUE">
                      <a:rPr lang="en-US" baseline="0"/>
                      <a:pPr/>
                      <a:t>[]</a:t>
                    </a:fld>
                    <a:r>
                      <a:rPr lang="en-US" baseline="0"/>
                      <a:t>  </a:t>
                    </a:r>
                    <a:fld id="{58A4C82E-EE0D-44D1-8E26-7C68F06A51D3}" type="PERCENTAGE">
                      <a:rPr lang="en-US" baseline="0"/>
                      <a:pPr/>
                      <a:t>[]</a:t>
                    </a:fld>
                    <a:endParaRPr lang="en-US" baseline="0"/>
                  </a:p>
                </c:rich>
              </c:tx>
              <c:dLblPos val="bestFit"/>
              <c:showLegendKey val="1"/>
              <c:showVal val="1"/>
              <c:showCatName val="1"/>
              <c:showSerName val="0"/>
              <c:showPercent val="1"/>
              <c:showBubbleSize val="0"/>
              <c:extLst>
                <c:ext xmlns:c15="http://schemas.microsoft.com/office/drawing/2012/chart" uri="{CE6537A1-D6FC-4f65-9D91-7224C49458BB}">
                  <c15:layout>
                    <c:manualLayout>
                      <c:w val="0.35380613425925922"/>
                      <c:h val="0.15018594771241831"/>
                    </c:manualLayout>
                  </c15:layout>
                  <c15:dlblFieldTable/>
                  <c15:showDataLabelsRange val="0"/>
                </c:ext>
                <c:ext xmlns:c16="http://schemas.microsoft.com/office/drawing/2014/chart" uri="{C3380CC4-5D6E-409C-BE32-E72D297353CC}">
                  <c16:uniqueId val="{00000001-A59E-4627-9756-5A5F4E379057}"/>
                </c:ext>
              </c:extLst>
            </c:dLbl>
            <c:dLbl>
              <c:idx val="1"/>
              <c:layout>
                <c:manualLayout>
                  <c:x val="-0.362803125"/>
                  <c:y val="-0.67824419934640523"/>
                </c:manualLayout>
              </c:layout>
              <c:tx>
                <c:rich>
                  <a:bodyPr/>
                  <a:lstStyle/>
                  <a:p>
                    <a:fld id="{F73E79B4-0BA4-47AD-90FB-5E1388E88467}" type="CATEGORYNAME">
                      <a:rPr lang="en-US"/>
                      <a:pPr/>
                      <a:t>[]</a:t>
                    </a:fld>
                    <a:r>
                      <a:rPr lang="en-US" baseline="0"/>
                      <a:t> </a:t>
                    </a:r>
                    <a:fld id="{0F378421-95D2-4F08-BF94-B6B48CA57815}" type="VALUE">
                      <a:rPr lang="en-US" baseline="0"/>
                      <a:pPr/>
                      <a:t>[]</a:t>
                    </a:fld>
                    <a:r>
                      <a:rPr lang="en-US" baseline="0"/>
                      <a:t>  </a:t>
                    </a:r>
                    <a:fld id="{5A033822-324F-4FC3-9BD3-2D316201C5B7}" type="PERCENTAGE">
                      <a:rPr lang="en-US" baseline="0"/>
                      <a:pPr/>
                      <a:t>[]</a:t>
                    </a:fld>
                    <a:endParaRPr lang="en-US" baseline="0"/>
                  </a:p>
                </c:rich>
              </c:tx>
              <c:dLblPos val="bestFit"/>
              <c:showLegendKey val="1"/>
              <c:showVal val="1"/>
              <c:showCatName val="1"/>
              <c:showSerName val="0"/>
              <c:showPercent val="1"/>
              <c:showBubbleSize val="0"/>
              <c:extLst>
                <c:ext xmlns:c15="http://schemas.microsoft.com/office/drawing/2012/chart" uri="{CE6537A1-D6FC-4f65-9D91-7224C49458BB}">
                  <c15:layout>
                    <c:manualLayout>
                      <c:w val="0.28610138888888886"/>
                      <c:h val="0.16471209150326796"/>
                    </c:manualLayout>
                  </c15:layout>
                  <c15:dlblFieldTable/>
                  <c15:showDataLabelsRange val="0"/>
                </c:ext>
                <c:ext xmlns:c16="http://schemas.microsoft.com/office/drawing/2014/chart" uri="{C3380CC4-5D6E-409C-BE32-E72D297353CC}">
                  <c16:uniqueId val="{00000003-A59E-4627-9756-5A5F4E379057}"/>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dLblPos val="bestFit"/>
            <c:showLegendKey val="1"/>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'DADOS - PIRITUBA'!$D$160:$E$160</c:f>
              <c:strCache>
                <c:ptCount val="2"/>
                <c:pt idx="0">
                  <c:v>Não Conforme</c:v>
                </c:pt>
                <c:pt idx="1">
                  <c:v>Conforme</c:v>
                </c:pt>
              </c:strCache>
            </c:strRef>
          </c:cat>
          <c:val>
            <c:numRef>
              <c:f>'DADOS - PIRITUBA'!$D$161:$E$161</c:f>
              <c:numCache>
                <c:formatCode>General</c:formatCode>
                <c:ptCount val="2"/>
                <c:pt idx="0">
                  <c:v>22</c:v>
                </c:pt>
                <c:pt idx="1">
                  <c:v>138</c:v>
                </c:pt>
              </c:numCache>
            </c:numRef>
          </c:val>
          <c:extLst>
            <c:ext xmlns:c16="http://schemas.microsoft.com/office/drawing/2014/chart" uri="{C3380CC4-5D6E-409C-BE32-E72D297353CC}">
              <c16:uniqueId val="{00000004-A59E-4627-9756-5A5F4E379057}"/>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SEQUÊNCIA</a:t>
            </a:r>
            <a:r>
              <a:rPr lang="pt-BR" sz="2800" b="0" baseline="0">
                <a:solidFill>
                  <a:srgbClr val="002060"/>
                </a:solidFill>
                <a:latin typeface="Arial Black" panose="020B0A04020102020204" pitchFamily="34" charset="0"/>
                <a:ea typeface="Tahoma" panose="020B0604030504040204" pitchFamily="34" charset="0"/>
                <a:cs typeface="Tahoma" panose="020B0604030504040204" pitchFamily="34" charset="0"/>
              </a:rPr>
              <a:t> DE FOTOS</a:t>
            </a:r>
            <a:endPar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endParaRPr lang="pt-BR"/>
        </a:p>
      </c:txPr>
    </c:title>
    <c:autoTitleDeleted val="0"/>
    <c:plotArea>
      <c:layout>
        <c:manualLayout>
          <c:layoutTarget val="inner"/>
          <c:xMode val="edge"/>
          <c:yMode val="edge"/>
          <c:x val="0.24408817824611825"/>
          <c:y val="0.16063679178197537"/>
          <c:w val="0.52645683829156609"/>
          <c:h val="0.76002705363702916"/>
        </c:manualLayout>
      </c:layout>
      <c:pieChart>
        <c:varyColors val="1"/>
        <c:ser>
          <c:idx val="0"/>
          <c:order val="0"/>
          <c:spPr>
            <a:solidFill>
              <a:srgbClr val="0070C0"/>
            </a:solidFill>
          </c:spPr>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A44-4090-AA9C-FAF488BBF139}"/>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7A44-4090-AA9C-FAF488BBF139}"/>
              </c:ext>
            </c:extLst>
          </c:dPt>
          <c:dLbls>
            <c:dLbl>
              <c:idx val="0"/>
              <c:layout>
                <c:manualLayout>
                  <c:x val="0.30818883101851841"/>
                  <c:y val="0.82812867647058808"/>
                </c:manualLayout>
              </c:layout>
              <c:tx>
                <c:rich>
                  <a:bodyPr/>
                  <a:lstStyle/>
                  <a:p>
                    <a:fld id="{CAEC8876-5378-4A20-BE5A-C02B522B8D22}" type="CATEGORYNAME">
                      <a:rPr lang="en-US"/>
                      <a:pPr/>
                      <a:t>[]</a:t>
                    </a:fld>
                    <a:r>
                      <a:rPr lang="en-US" baseline="0"/>
                      <a:t> </a:t>
                    </a:r>
                    <a:fld id="{B467554B-D943-4E85-A02D-AC3F1CE50BC7}" type="VALUE">
                      <a:rPr lang="en-US" baseline="0"/>
                      <a:pPr/>
                      <a:t>[]</a:t>
                    </a:fld>
                    <a:r>
                      <a:rPr lang="en-US" baseline="0"/>
                      <a:t>  </a:t>
                    </a:r>
                    <a:fld id="{747E5295-F595-4F8E-A432-A36E3B52AA5F}" type="PERCENTAGE">
                      <a:rPr lang="en-US" baseline="0"/>
                      <a:pPr/>
                      <a:t>[]</a:t>
                    </a:fld>
                    <a:endParaRPr lang="en-US" baseline="0"/>
                  </a:p>
                </c:rich>
              </c:tx>
              <c:showLegendKey val="1"/>
              <c:showVal val="1"/>
              <c:showCatName val="1"/>
              <c:showSerName val="0"/>
              <c:showPercent val="1"/>
              <c:showBubbleSize val="0"/>
              <c:extLst>
                <c:ext xmlns:c15="http://schemas.microsoft.com/office/drawing/2012/chart" uri="{CE6537A1-D6FC-4f65-9D91-7224C49458BB}">
                  <c15:layout>
                    <c:manualLayout>
                      <c:w val="0.27530261093314573"/>
                      <c:h val="0.17009408723999506"/>
                    </c:manualLayout>
                  </c15:layout>
                  <c15:dlblFieldTable/>
                  <c15:showDataLabelsRange val="0"/>
                </c:ext>
                <c:ext xmlns:c16="http://schemas.microsoft.com/office/drawing/2014/chart" uri="{C3380CC4-5D6E-409C-BE32-E72D297353CC}">
                  <c16:uniqueId val="{00000001-7A44-4090-AA9C-FAF488BBF139}"/>
                </c:ext>
              </c:extLst>
            </c:dLbl>
            <c:dLbl>
              <c:idx val="1"/>
              <c:layout>
                <c:manualLayout>
                  <c:x val="-0.29808582175925924"/>
                  <c:y val="-0.70768080065359473"/>
                </c:manualLayout>
              </c:layout>
              <c:tx>
                <c:rich>
                  <a:bodyPr/>
                  <a:lstStyle/>
                  <a:p>
                    <a:fld id="{F7EE4FE2-536A-4141-B094-1A947EE4F26B}" type="CATEGORYNAME">
                      <a:rPr lang="en-US"/>
                      <a:pPr/>
                      <a:t>[]</a:t>
                    </a:fld>
                    <a:r>
                      <a:rPr lang="en-US" baseline="0"/>
                      <a:t> </a:t>
                    </a:r>
                    <a:fld id="{32C1CE29-2E08-42AC-B888-DD09F5703C29}" type="VALUE">
                      <a:rPr lang="en-US" baseline="0"/>
                      <a:pPr/>
                      <a:t>[]</a:t>
                    </a:fld>
                    <a:r>
                      <a:rPr lang="en-US" baseline="0"/>
                      <a:t>  </a:t>
                    </a:r>
                    <a:fld id="{F5150581-3665-4D8E-B5A7-ED518478A343}" type="PERCENTAGE">
                      <a:rPr lang="en-US" baseline="0"/>
                      <a:pPr/>
                      <a:t>[]</a:t>
                    </a:fld>
                    <a:endParaRPr lang="en-US" baseline="0"/>
                  </a:p>
                </c:rich>
              </c:tx>
              <c:showLegendKey val="1"/>
              <c:showVal val="1"/>
              <c:showCatName val="1"/>
              <c:showSerName val="0"/>
              <c:showPercent val="1"/>
              <c:showBubbleSize val="0"/>
              <c:extLst>
                <c:ext xmlns:c15="http://schemas.microsoft.com/office/drawing/2012/chart" uri="{CE6537A1-D6FC-4f65-9D91-7224C49458BB}">
                  <c15:layout>
                    <c:manualLayout>
                      <c:w val="0.41846261574074067"/>
                      <c:h val="0.14371519607843136"/>
                    </c:manualLayout>
                  </c15:layout>
                  <c15:dlblFieldTable/>
                  <c15:showDataLabelsRange val="0"/>
                </c:ext>
                <c:ext xmlns:c16="http://schemas.microsoft.com/office/drawing/2014/chart" uri="{C3380CC4-5D6E-409C-BE32-E72D297353CC}">
                  <c16:uniqueId val="{00000003-7A44-4090-AA9C-FAF488BBF139}"/>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showLegendKey val="1"/>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'DADOS - PIRITUBA'!$D$164:$E$164</c:f>
              <c:strCache>
                <c:ptCount val="2"/>
                <c:pt idx="0">
                  <c:v>Fotos NC</c:v>
                </c:pt>
                <c:pt idx="1">
                  <c:v>Fotos Conforme</c:v>
                </c:pt>
              </c:strCache>
            </c:strRef>
          </c:cat>
          <c:val>
            <c:numRef>
              <c:f>'DADOS - PIRITUBA'!$D$165:$E$165</c:f>
              <c:numCache>
                <c:formatCode>General</c:formatCode>
                <c:ptCount val="2"/>
                <c:pt idx="0">
                  <c:v>149</c:v>
                </c:pt>
                <c:pt idx="1">
                  <c:v>11</c:v>
                </c:pt>
              </c:numCache>
            </c:numRef>
          </c:val>
          <c:extLst>
            <c:ext xmlns:c16="http://schemas.microsoft.com/office/drawing/2014/chart" uri="{C3380CC4-5D6E-409C-BE32-E72D297353CC}">
              <c16:uniqueId val="{00000004-7A44-4090-AA9C-FAF488BBF139}"/>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BAIXA DE MATERIAIS</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endParaRPr lang="pt-BR"/>
        </a:p>
      </c:txPr>
    </c:title>
    <c:autoTitleDeleted val="0"/>
    <c:plotArea>
      <c:layout>
        <c:manualLayout>
          <c:layoutTarget val="inner"/>
          <c:xMode val="edge"/>
          <c:yMode val="edge"/>
          <c:x val="0.24586807523371615"/>
          <c:y val="0.13949522561280739"/>
          <c:w val="0.5111862073821376"/>
          <c:h val="0.73893065102195687"/>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7F8-42F9-8A0B-75617D2C6C54}"/>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67F8-42F9-8A0B-75617D2C6C54}"/>
              </c:ext>
            </c:extLst>
          </c:dPt>
          <c:dLbls>
            <c:dLbl>
              <c:idx val="0"/>
              <c:layout>
                <c:manualLayout>
                  <c:x val="-2.2533023069381177E-2"/>
                  <c:y val="0.40730910226021089"/>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168CD30E-EA64-49F3-80BB-0B4A413F001C}" type="CATEGORYNAME">
                      <a:rPr lang="en-US" sz="2800"/>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t> </a:t>
                    </a:r>
                    <a:fld id="{DE199BC1-D116-45F0-BA09-231C76E2E010}" type="VALUE">
                      <a:rPr lang="en-US" sz="2800" baseline="0"/>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t> </a:t>
                    </a:r>
                    <a:fld id="{34D9668E-8E06-4A93-A358-CED6173C4C0C}" type="PERCENTAGE">
                      <a:rPr lang="en-US" sz="2800" baseline="0"/>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aseline="0"/>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showLegendKey val="1"/>
              <c:showVal val="1"/>
              <c:showCatName val="1"/>
              <c:showSerName val="0"/>
              <c:showPercent val="1"/>
              <c:showBubbleSize val="0"/>
              <c:separator>
</c:separator>
              <c:extLst>
                <c:ext xmlns:c15="http://schemas.microsoft.com/office/drawing/2012/chart" uri="{CE6537A1-D6FC-4f65-9D91-7224C49458BB}">
                  <c15:layout>
                    <c:manualLayout>
                      <c:w val="0.37297631809832404"/>
                      <c:h val="0.14634020192505501"/>
                    </c:manualLayout>
                  </c15:layout>
                  <c15:dlblFieldTable/>
                  <c15:showDataLabelsRange val="0"/>
                </c:ext>
                <c:ext xmlns:c16="http://schemas.microsoft.com/office/drawing/2014/chart" uri="{C3380CC4-5D6E-409C-BE32-E72D297353CC}">
                  <c16:uniqueId val="{00000001-67F8-42F9-8A0B-75617D2C6C54}"/>
                </c:ext>
              </c:extLst>
            </c:dLbl>
            <c:dLbl>
              <c:idx val="1"/>
              <c:layout>
                <c:manualLayout>
                  <c:x val="-2.2761740340549431E-2"/>
                  <c:y val="-0.3211651610180104"/>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FD32FEAD-2A31-4691-95EE-F244B64EDA5E}" type="CATEGORYNAME">
                      <a:rPr lang="en-US" sz="280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5EA723BA-2510-4823-87B9-CD97722B93A7}" type="VALU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C6A87B76-4917-4FF4-8AF9-B471BE291FE2}" type="PERCENTAG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aseline="0">
                      <a:latin typeface="Arial" panose="020B060402020202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showLegendKey val="1"/>
              <c:showVal val="1"/>
              <c:showCatName val="1"/>
              <c:showSerName val="0"/>
              <c:showPercent val="1"/>
              <c:showBubbleSize val="0"/>
              <c:separator>
</c:separator>
              <c:extLst>
                <c:ext xmlns:c15="http://schemas.microsoft.com/office/drawing/2012/chart" uri="{CE6537A1-D6FC-4f65-9D91-7224C49458BB}">
                  <c15:layout>
                    <c:manualLayout>
                      <c:w val="0.29179595290080917"/>
                      <c:h val="0.15593404515499107"/>
                    </c:manualLayout>
                  </c15:layout>
                  <c15:dlblFieldTable/>
                  <c15:showDataLabelsRange val="0"/>
                </c:ext>
                <c:ext xmlns:c16="http://schemas.microsoft.com/office/drawing/2014/chart" uri="{C3380CC4-5D6E-409C-BE32-E72D297353CC}">
                  <c16:uniqueId val="{00000003-67F8-42F9-8A0B-75617D2C6C54}"/>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showLegendKey val="1"/>
            <c:showVal val="1"/>
            <c:showCatName val="1"/>
            <c:showSerName val="0"/>
            <c:showPercent val="1"/>
            <c:showBubbleSize val="0"/>
            <c:separator>
</c:separator>
            <c:showLeaderLines val="0"/>
            <c:extLst>
              <c:ext xmlns:c15="http://schemas.microsoft.com/office/drawing/2012/chart" uri="{CE6537A1-D6FC-4f65-9D91-7224C49458BB}"/>
            </c:extLst>
          </c:dLbls>
          <c:cat>
            <c:strRef>
              <c:f>'DADOS - PIRITUBA'!$D$168:$E$168</c:f>
              <c:strCache>
                <c:ptCount val="2"/>
                <c:pt idx="0">
                  <c:v>Não Conforme</c:v>
                </c:pt>
                <c:pt idx="1">
                  <c:v>Conforme</c:v>
                </c:pt>
              </c:strCache>
            </c:strRef>
          </c:cat>
          <c:val>
            <c:numRef>
              <c:f>'DADOS - PIRITUBA'!$D$169:$E$169</c:f>
              <c:numCache>
                <c:formatCode>General</c:formatCode>
                <c:ptCount val="2"/>
                <c:pt idx="0">
                  <c:v>0</c:v>
                </c:pt>
                <c:pt idx="1">
                  <c:v>193</c:v>
                </c:pt>
              </c:numCache>
            </c:numRef>
          </c:val>
          <c:extLst>
            <c:ext xmlns:c16="http://schemas.microsoft.com/office/drawing/2014/chart" uri="{C3380CC4-5D6E-409C-BE32-E72D297353CC}">
              <c16:uniqueId val="{00000004-67F8-42F9-8A0B-75617D2C6C54}"/>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TEMPO DE EXECUÇÃO (%)</a:t>
            </a:r>
          </a:p>
        </c:rich>
      </c:tx>
      <c:overlay val="0"/>
      <c:spPr>
        <a:noFill/>
        <a:ln>
          <a:noFill/>
        </a:ln>
        <a:effectLst/>
      </c:spPr>
    </c:title>
    <c:autoTitleDeleted val="0"/>
    <c:plotArea>
      <c:layout>
        <c:manualLayout>
          <c:layoutTarget val="inner"/>
          <c:xMode val="edge"/>
          <c:yMode val="edge"/>
          <c:x val="0.50358333333333327"/>
          <c:y val="4.0969004490307152E-2"/>
          <c:w val="0.39382913567373784"/>
          <c:h val="0.92818631354236081"/>
        </c:manualLayout>
      </c:layout>
      <c:barChart>
        <c:barDir val="bar"/>
        <c:grouping val="clustered"/>
        <c:varyColors val="0"/>
        <c:ser>
          <c:idx val="0"/>
          <c:order val="0"/>
          <c:tx>
            <c:strRef>
              <c:f>'DADOS - PIRITUBA'!$B$184:$B$223</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'DADOS - PIRITUBA'!$B$184:$B$223</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PIRITUBA'!$F$184:$F$223</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6569-44AB-93B3-B67B51C063D5}"/>
            </c:ext>
          </c:extLst>
        </c:ser>
        <c:dLbls>
          <c:showLegendKey val="0"/>
          <c:showVal val="1"/>
          <c:showCatName val="0"/>
          <c:showSerName val="0"/>
          <c:showPercent val="0"/>
          <c:showBubbleSize val="0"/>
        </c:dLbls>
        <c:gapWidth val="39"/>
        <c:axId val="150761096"/>
        <c:axId val="150754824"/>
      </c:barChart>
      <c:catAx>
        <c:axId val="1507610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754824"/>
        <c:crosses val="autoZero"/>
        <c:auto val="1"/>
        <c:lblAlgn val="ctr"/>
        <c:lblOffset val="100"/>
        <c:noMultiLvlLbl val="0"/>
      </c:catAx>
      <c:valAx>
        <c:axId val="150754824"/>
        <c:scaling>
          <c:orientation val="minMax"/>
          <c:max val="1"/>
        </c:scaling>
        <c:delete val="1"/>
        <c:axPos val="t"/>
        <c:numFmt formatCode="0.00%" sourceLinked="1"/>
        <c:majorTickMark val="out"/>
        <c:minorTickMark val="none"/>
        <c:tickLblPos val="nextTo"/>
        <c:crossAx val="150761096"/>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SEQUÊNCIA DE FOTOS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4.2302217003050424E-2"/>
          <c:w val="0.39815672060701301"/>
          <c:h val="0.92685301921188457"/>
        </c:manualLayout>
      </c:layout>
      <c:barChart>
        <c:barDir val="bar"/>
        <c:grouping val="clustered"/>
        <c:varyColors val="0"/>
        <c:ser>
          <c:idx val="0"/>
          <c:order val="0"/>
          <c:tx>
            <c:strRef>
              <c:f>'DADOS - PIRITUBA'!$B$227:$B$266</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'DADOS - PIRITUBA'!$B$227:$B$266</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PIRITUBA'!$F$227:$F$266</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4370-4EA7-952C-EE6980CDD0DB}"/>
            </c:ext>
          </c:extLst>
        </c:ser>
        <c:dLbls>
          <c:dLblPos val="outEnd"/>
          <c:showLegendKey val="0"/>
          <c:showVal val="1"/>
          <c:showCatName val="0"/>
          <c:showSerName val="0"/>
          <c:showPercent val="0"/>
          <c:showBubbleSize val="0"/>
        </c:dLbls>
        <c:gapWidth val="39"/>
        <c:axId val="150298592"/>
        <c:axId val="150299768"/>
      </c:barChart>
      <c:catAx>
        <c:axId val="1502985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299768"/>
        <c:crosses val="autoZero"/>
        <c:auto val="1"/>
        <c:lblAlgn val="ctr"/>
        <c:lblOffset val="100"/>
        <c:noMultiLvlLbl val="0"/>
      </c:catAx>
      <c:valAx>
        <c:axId val="150299768"/>
        <c:scaling>
          <c:orientation val="minMax"/>
          <c:max val="1"/>
        </c:scaling>
        <c:delete val="1"/>
        <c:axPos val="t"/>
        <c:numFmt formatCode="0.00%" sourceLinked="1"/>
        <c:majorTickMark val="out"/>
        <c:minorTickMark val="none"/>
        <c:tickLblPos val="nextTo"/>
        <c:crossAx val="1502985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TEMPO DE EXECUÇÃO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4.3068185759229369E-2"/>
          <c:w val="0.38727615833976453"/>
          <c:h val="0.92608705611375142"/>
        </c:manualLayout>
      </c:layout>
      <c:barChart>
        <c:barDir val="bar"/>
        <c:grouping val="clustered"/>
        <c:varyColors val="0"/>
        <c:ser>
          <c:idx val="0"/>
          <c:order val="0"/>
          <c:tx>
            <c:strRef>
              <c:f>'DADOS - PIRITUBA'!$F$182:$F$183</c:f>
              <c:strCache>
                <c:ptCount val="2"/>
                <c:pt idx="0">
                  <c:v>EQUIPES - CONFORMIDADE - TEMPO DE EXECUÇÃO</c:v>
                </c:pt>
                <c:pt idx="1">
                  <c:v>CONFORME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PIRITUBA'!$B$292:$B$331</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PIRITUBA'!$F$292:$F$331</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9292-4096-AFAE-3AAE52A6DF59}"/>
            </c:ext>
          </c:extLst>
        </c:ser>
        <c:dLbls>
          <c:showLegendKey val="0"/>
          <c:showVal val="1"/>
          <c:showCatName val="0"/>
          <c:showSerName val="0"/>
          <c:showPercent val="0"/>
          <c:showBubbleSize val="0"/>
        </c:dLbls>
        <c:gapWidth val="39"/>
        <c:axId val="152712216"/>
        <c:axId val="152709080"/>
      </c:barChart>
      <c:catAx>
        <c:axId val="1527122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2709080"/>
        <c:crosses val="autoZero"/>
        <c:auto val="1"/>
        <c:lblAlgn val="ctr"/>
        <c:lblOffset val="100"/>
        <c:noMultiLvlLbl val="0"/>
      </c:catAx>
      <c:valAx>
        <c:axId val="152709080"/>
        <c:scaling>
          <c:orientation val="minMax"/>
          <c:max val="1"/>
        </c:scaling>
        <c:delete val="1"/>
        <c:axPos val="t"/>
        <c:numFmt formatCode="0.00%" sourceLinked="1"/>
        <c:majorTickMark val="out"/>
        <c:minorTickMark val="none"/>
        <c:tickLblPos val="nextTo"/>
        <c:crossAx val="1527122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SEQUÊNCIA DE FOTOS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3.9983892206294031E-2"/>
          <c:w val="0.36294965706780657"/>
          <c:h val="0.92917134400864099"/>
        </c:manualLayout>
      </c:layout>
      <c:barChart>
        <c:barDir val="bar"/>
        <c:grouping val="clustered"/>
        <c:varyColors val="0"/>
        <c:ser>
          <c:idx val="0"/>
          <c:order val="0"/>
          <c:tx>
            <c:strRef>
              <c:f>'DADOS - PIRITUBA'!$F$182:$F$183</c:f>
              <c:strCache>
                <c:ptCount val="2"/>
                <c:pt idx="0">
                  <c:v>EQUIPES - CONFORMIDADE - TEMPO DE EXECUÇÃO</c:v>
                </c:pt>
                <c:pt idx="1">
                  <c:v>CONFORME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PIRITUBA'!$B$335:$B$374</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PIRITUBA'!$F$335:$F$374</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E234-4981-9103-FD711F7BDF61}"/>
            </c:ext>
          </c:extLst>
        </c:ser>
        <c:dLbls>
          <c:showLegendKey val="0"/>
          <c:showVal val="1"/>
          <c:showCatName val="0"/>
          <c:showSerName val="0"/>
          <c:showPercent val="0"/>
          <c:showBubbleSize val="0"/>
        </c:dLbls>
        <c:gapWidth val="39"/>
        <c:axId val="152714568"/>
        <c:axId val="152714960"/>
      </c:barChart>
      <c:catAx>
        <c:axId val="1527145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2714960"/>
        <c:crosses val="autoZero"/>
        <c:auto val="1"/>
        <c:lblAlgn val="ctr"/>
        <c:lblOffset val="100"/>
        <c:noMultiLvlLbl val="0"/>
      </c:catAx>
      <c:valAx>
        <c:axId val="152714960"/>
        <c:scaling>
          <c:orientation val="minMax"/>
          <c:max val="1"/>
        </c:scaling>
        <c:delete val="1"/>
        <c:axPos val="t"/>
        <c:numFmt formatCode="0.00%" sourceLinked="1"/>
        <c:majorTickMark val="out"/>
        <c:minorTickMark val="none"/>
        <c:tickLblPos val="nextTo"/>
        <c:crossAx val="15271456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r>
              <a:rPr lang="pt-BR" sz="2800">
                <a:latin typeface="Arial Black" panose="020B0A04020102020204" pitchFamily="34" charset="0"/>
                <a:cs typeface="Arial" panose="020B0604020202020204" pitchFamily="34" charset="0"/>
              </a:rPr>
              <a:t>CONFORMIDADES - ETAPAS (%)</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title>
    <c:autoTitleDeleted val="0"/>
    <c:plotArea>
      <c:layout>
        <c:manualLayout>
          <c:layoutTarget val="inner"/>
          <c:xMode val="edge"/>
          <c:yMode val="edge"/>
          <c:x val="2.129131205673759E-2"/>
          <c:y val="0.30354528648532864"/>
          <c:w val="0.97242924138475473"/>
          <c:h val="0.38872654471878615"/>
        </c:manualLayout>
      </c:layout>
      <c:barChart>
        <c:barDir val="col"/>
        <c:grouping val="clustered"/>
        <c:varyColors val="0"/>
        <c:ser>
          <c:idx val="0"/>
          <c:order val="0"/>
          <c:tx>
            <c:strRef>
              <c:f>'DADOS - PIRITUBA'!$F$172</c:f>
              <c:strCache>
                <c:ptCount val="1"/>
                <c:pt idx="0">
                  <c:v>CONFORME (%)</c:v>
                </c:pt>
              </c:strCache>
            </c:strRef>
          </c:tx>
          <c:spPr>
            <a:solidFill>
              <a:schemeClr val="accent1"/>
            </a:solidFill>
            <a:ln>
              <a:noFill/>
            </a:ln>
            <a:effectLst/>
          </c:spPr>
          <c:invertIfNegative val="0"/>
          <c:dLbls>
            <c:spPr>
              <a:noFill/>
              <a:ln>
                <a:noFill/>
              </a:ln>
              <a:effectLst/>
            </c:spPr>
            <c:txPr>
              <a:bodyPr rot="-5400000" spcFirstLastPara="1" vertOverflow="ellipsis" wrap="square" anchor="ctr" anchorCtr="1"/>
              <a:lstStyle/>
              <a:p>
                <a:pPr>
                  <a:defRPr sz="2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PIRITUBA'!$B$284:$B$288</c:f>
              <c:strCache>
                <c:ptCount val="5"/>
                <c:pt idx="0">
                  <c:v>FACHADA</c:v>
                </c:pt>
                <c:pt idx="1">
                  <c:v>ANTES</c:v>
                </c:pt>
                <c:pt idx="2">
                  <c:v>HIDRÔMETRO</c:v>
                </c:pt>
                <c:pt idx="3">
                  <c:v>LEITURA</c:v>
                </c:pt>
                <c:pt idx="4">
                  <c:v>FINALIZAÇÃO</c:v>
                </c:pt>
              </c:strCache>
            </c:strRef>
          </c:cat>
          <c:val>
            <c:numRef>
              <c:f>'DADOS - PIRITUBA'!$F$284:$F$288</c:f>
              <c:numCache>
                <c:formatCode>0.00%</c:formatCode>
                <c:ptCount val="5"/>
                <c:pt idx="0">
                  <c:v>0.80892608089260809</c:v>
                </c:pt>
                <c:pt idx="1">
                  <c:v>0.70251396648044695</c:v>
                </c:pt>
                <c:pt idx="2">
                  <c:v>0.38041958041958041</c:v>
                </c:pt>
                <c:pt idx="3">
                  <c:v>0.38181818181818183</c:v>
                </c:pt>
                <c:pt idx="4">
                  <c:v>0.65642458100558654</c:v>
                </c:pt>
              </c:numCache>
            </c:numRef>
          </c:val>
          <c:extLst>
            <c:ext xmlns:c16="http://schemas.microsoft.com/office/drawing/2014/chart" uri="{C3380CC4-5D6E-409C-BE32-E72D297353CC}">
              <c16:uniqueId val="{00000000-5765-48B9-A753-420F03092637}"/>
            </c:ext>
          </c:extLst>
        </c:ser>
        <c:dLbls>
          <c:dLblPos val="outEnd"/>
          <c:showLegendKey val="0"/>
          <c:showVal val="1"/>
          <c:showCatName val="0"/>
          <c:showSerName val="0"/>
          <c:showPercent val="0"/>
          <c:showBubbleSize val="0"/>
        </c:dLbls>
        <c:gapWidth val="219"/>
        <c:overlap val="-27"/>
        <c:axId val="152710256"/>
        <c:axId val="152709472"/>
      </c:barChart>
      <c:catAx>
        <c:axId val="15271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crossAx val="152709472"/>
        <c:crosses val="autoZero"/>
        <c:auto val="1"/>
        <c:lblAlgn val="ctr"/>
        <c:lblOffset val="100"/>
        <c:noMultiLvlLbl val="0"/>
      </c:catAx>
      <c:valAx>
        <c:axId val="152709472"/>
        <c:scaling>
          <c:orientation val="minMax"/>
          <c:max val="1"/>
        </c:scaling>
        <c:delete val="1"/>
        <c:axPos val="l"/>
        <c:numFmt formatCode="0.00%" sourceLinked="1"/>
        <c:majorTickMark val="out"/>
        <c:minorTickMark val="none"/>
        <c:tickLblPos val="nextTo"/>
        <c:crossAx val="152710256"/>
        <c:crosses val="autoZero"/>
        <c:crossBetween val="between"/>
      </c:valAx>
      <c:spPr>
        <a:noFill/>
        <a:ln>
          <a:noFill/>
        </a:ln>
        <a:effectLst/>
      </c:spPr>
    </c:plotArea>
    <c:legend>
      <c:legendPos val="b"/>
      <c:layout>
        <c:manualLayout>
          <c:xMode val="edge"/>
          <c:yMode val="edge"/>
          <c:x val="0.40087807328605207"/>
          <c:y val="0.94510513888888892"/>
          <c:w val="0.1562106973995272"/>
          <c:h val="4.9603194444444443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BAIXA DE MATERIAIS</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366454309353225"/>
          <c:y val="0.14082396156467297"/>
          <c:w val="0.51855578158835169"/>
          <c:h val="0.74974088291267738"/>
        </c:manualLayout>
      </c:layout>
      <c:pieChart>
        <c:varyColors val="1"/>
        <c:ser>
          <c:idx val="0"/>
          <c:order val="0"/>
          <c:tx>
            <c:strRef>
              <c:f>'DADOS - PIRITUBA'!$B$44</c:f>
              <c:strCache>
                <c:ptCount val="1"/>
                <c:pt idx="0">
                  <c:v>Cavalete</c:v>
                </c:pt>
              </c:strCache>
            </c:strRef>
          </c:tx>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168-44DB-B1EF-14436925AC90}"/>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8168-44DB-B1EF-14436925AC90}"/>
              </c:ext>
            </c:extLst>
          </c:dPt>
          <c:dLbls>
            <c:dLbl>
              <c:idx val="0"/>
              <c:layout>
                <c:manualLayout>
                  <c:x val="-2.8454188781947075E-2"/>
                  <c:y val="0.43047286809971319"/>
                </c:manualLayout>
              </c:layout>
              <c:tx>
                <c:rich>
                  <a:bodyPr/>
                  <a:lstStyle/>
                  <a:p>
                    <a:fld id="{8978A893-F7BD-4125-BC3D-4F6807DE3E61}" type="CATEGORYNAME">
                      <a:rPr lang="en-US" sz="2800"/>
                      <a:pPr/>
                      <a:t>[]</a:t>
                    </a:fld>
                    <a:r>
                      <a:rPr lang="en-US" sz="2800"/>
                      <a:t> </a:t>
                    </a:r>
                    <a:r>
                      <a:rPr lang="en-US" sz="2800" baseline="0"/>
                      <a:t> </a:t>
                    </a:r>
                    <a:fld id="{2B2C4DFF-D81E-49EA-8B28-07B53B245BAE}" type="VALUE">
                      <a:rPr lang="en-US" sz="2800" baseline="0"/>
                      <a:pPr/>
                      <a:t>[]</a:t>
                    </a:fld>
                    <a:endParaRPr lang="en-US" sz="2800"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36954245270971287"/>
                      <c:h val="0.15836640877772754"/>
                    </c:manualLayout>
                  </c15:layout>
                  <c15:dlblFieldTable/>
                  <c15:showDataLabelsRange val="0"/>
                </c:ext>
                <c:ext xmlns:c16="http://schemas.microsoft.com/office/drawing/2014/chart" uri="{C3380CC4-5D6E-409C-BE32-E72D297353CC}">
                  <c16:uniqueId val="{00000001-8168-44DB-B1EF-14436925AC90}"/>
                </c:ext>
              </c:extLst>
            </c:dLbl>
            <c:dLbl>
              <c:idx val="1"/>
              <c:layout>
                <c:manualLayout>
                  <c:x val="-2.2761682816084854E-2"/>
                  <c:y val="-0.31720946657726412"/>
                </c:manualLayout>
              </c:layout>
              <c:tx>
                <c:rich>
                  <a:bodyPr/>
                  <a:lstStyle/>
                  <a:p>
                    <a:fld id="{24452494-4EBE-4191-A7A4-627DD8DA6BA6}" type="CATEGORYNAME">
                      <a:rPr lang="en-US" sz="2800"/>
                      <a:pPr/>
                      <a:t>[]</a:t>
                    </a:fld>
                    <a:r>
                      <a:rPr lang="en-US" sz="2800"/>
                      <a:t> </a:t>
                    </a:r>
                    <a:r>
                      <a:rPr lang="en-US" sz="2800" baseline="0"/>
                      <a:t> </a:t>
                    </a:r>
                    <a:fld id="{867B1018-F910-455F-89E6-4A1F1E31B057}" type="VALUE">
                      <a:rPr lang="en-US" sz="2800" baseline="0"/>
                      <a:pPr/>
                      <a:t>[]</a:t>
                    </a:fld>
                    <a:endParaRPr lang="en-US" sz="2800"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9868124999999995"/>
                      <c:h val="0.16459183006535946"/>
                    </c:manualLayout>
                  </c15:layout>
                  <c15:dlblFieldTable/>
                  <c15:showDataLabelsRange val="0"/>
                </c:ext>
                <c:ext xmlns:c16="http://schemas.microsoft.com/office/drawing/2014/chart" uri="{C3380CC4-5D6E-409C-BE32-E72D297353CC}">
                  <c16:uniqueId val="{00000003-8168-44DB-B1EF-14436925AC90}"/>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multiLvlStrRef>
              <c:f>'DADOS - PIRITUBA'!$D$279:$G$280</c:f>
              <c:multiLvlStrCache>
                <c:ptCount val="4"/>
                <c:lvl>
                  <c:pt idx="0">
                    <c:v>0</c:v>
                  </c:pt>
                  <c:pt idx="1">
                    <c:v>463</c:v>
                  </c:pt>
                  <c:pt idx="2">
                    <c:v>0,00%</c:v>
                  </c:pt>
                  <c:pt idx="3">
                    <c:v>100,00%</c:v>
                  </c:pt>
                </c:lvl>
                <c:lvl>
                  <c:pt idx="0">
                    <c:v>Não Conforme</c:v>
                  </c:pt>
                  <c:pt idx="1">
                    <c:v>Conforme</c:v>
                  </c:pt>
                  <c:pt idx="2">
                    <c:v>Não Conforme (%)</c:v>
                  </c:pt>
                  <c:pt idx="3">
                    <c:v>Conforme (%)</c:v>
                  </c:pt>
                </c:lvl>
              </c:multiLvlStrCache>
            </c:multiLvlStrRef>
          </c:cat>
          <c:val>
            <c:numRef>
              <c:f>'DADOS - PIRITUBA'!$F$280:$G$280</c:f>
              <c:numCache>
                <c:formatCode>0.00%</c:formatCode>
                <c:ptCount val="2"/>
                <c:pt idx="0">
                  <c:v>0</c:v>
                </c:pt>
                <c:pt idx="1">
                  <c:v>1</c:v>
                </c:pt>
              </c:numCache>
            </c:numRef>
          </c:val>
          <c:extLst>
            <c:ext xmlns:c16="http://schemas.microsoft.com/office/drawing/2014/chart" uri="{C3380CC4-5D6E-409C-BE32-E72D297353CC}">
              <c16:uniqueId val="{00000004-8168-44DB-B1EF-14436925AC90}"/>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TEMPO DE EXECUÇÃO</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231285155397544"/>
          <c:y val="0.14114716137251632"/>
          <c:w val="0.52931099537037041"/>
          <c:h val="0.74726258169934645"/>
        </c:manualLayout>
      </c:layout>
      <c:pieChart>
        <c:varyColors val="1"/>
        <c:ser>
          <c:idx val="0"/>
          <c:order val="0"/>
          <c:tx>
            <c:strRef>
              <c:f>'DADOS - PIRITUBA'!$B$272</c:f>
              <c:strCache>
                <c:ptCount val="1"/>
                <c:pt idx="0">
                  <c:v>Cavalete</c:v>
                </c:pt>
              </c:strCache>
            </c:strRef>
          </c:tx>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B0A-4332-9E56-38B5EE4808DF}"/>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EB0A-4332-9E56-38B5EE4808DF}"/>
              </c:ext>
            </c:extLst>
          </c:dPt>
          <c:dLbls>
            <c:dLbl>
              <c:idx val="0"/>
              <c:layout>
                <c:manualLayout>
                  <c:x val="0.26638446022459866"/>
                  <c:y val="0.84708250766356352"/>
                </c:manualLayout>
              </c:layout>
              <c:tx>
                <c:rich>
                  <a:bodyPr/>
                  <a:lstStyle/>
                  <a:p>
                    <a:fld id="{0C6B6B03-4D35-4CED-A6D3-F45B0D9B74B8}" type="CATEGORYNAME">
                      <a:rPr lang="en-US" sz="2800"/>
                      <a:pPr/>
                      <a:t>[]</a:t>
                    </a:fld>
                    <a:r>
                      <a:rPr lang="en-US" sz="2800"/>
                      <a:t> </a:t>
                    </a:r>
                    <a:r>
                      <a:rPr lang="en-US" sz="2800" baseline="0"/>
                      <a:t> </a:t>
                    </a:r>
                    <a:fld id="{ECBDC4DC-ECC6-4C01-A2F1-DA35C2BE1F3C}" type="VALUE">
                      <a:rPr lang="en-US" sz="2800" baseline="0"/>
                      <a:pPr/>
                      <a:t>[]</a:t>
                    </a:fld>
                    <a:endParaRPr lang="en-US" sz="2800"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35934780092592594"/>
                      <c:h val="0.15145310457516339"/>
                    </c:manualLayout>
                  </c15:layout>
                  <c15:dlblFieldTable/>
                  <c15:showDataLabelsRange val="0"/>
                </c:ext>
                <c:ext xmlns:c16="http://schemas.microsoft.com/office/drawing/2014/chart" uri="{C3380CC4-5D6E-409C-BE32-E72D297353CC}">
                  <c16:uniqueId val="{00000001-EB0A-4332-9E56-38B5EE4808DF}"/>
                </c:ext>
              </c:extLst>
            </c:dLbl>
            <c:dLbl>
              <c:idx val="1"/>
              <c:layout>
                <c:manualLayout>
                  <c:x val="-0.35729252744828671"/>
                  <c:y val="-0.72833237623041647"/>
                </c:manualLayout>
              </c:layout>
              <c:tx>
                <c:rich>
                  <a:bodyPr/>
                  <a:lstStyle/>
                  <a:p>
                    <a:fld id="{1B8102D6-CF21-40EA-BD5F-C97AC8022A2A}" type="CATEGORYNAME">
                      <a:rPr lang="en-US" sz="2800"/>
                      <a:pPr/>
                      <a:t>[]</a:t>
                    </a:fld>
                    <a:r>
                      <a:rPr lang="en-US" sz="2800"/>
                      <a:t> </a:t>
                    </a:r>
                    <a:r>
                      <a:rPr lang="en-US" sz="2800" baseline="0"/>
                      <a:t> </a:t>
                    </a:r>
                    <a:fld id="{93B84BD9-ADA0-451D-8D4B-B4165E8402C9}" type="VALUE">
                      <a:rPr lang="en-US" sz="2800" baseline="0"/>
                      <a:pPr/>
                      <a:t>[]</a:t>
                    </a:fld>
                    <a:endParaRPr lang="en-US" sz="2800"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993527777777778"/>
                      <c:h val="0.15897973856209149"/>
                    </c:manualLayout>
                  </c15:layout>
                  <c15:dlblFieldTable/>
                  <c15:showDataLabelsRange val="0"/>
                </c:ext>
                <c:ext xmlns:c16="http://schemas.microsoft.com/office/drawing/2014/chart" uri="{C3380CC4-5D6E-409C-BE32-E72D297353CC}">
                  <c16:uniqueId val="{00000003-EB0A-4332-9E56-38B5EE4808DF}"/>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strRef>
              <c:f>'DADOS - PIRITUBA'!$D$271:$G$272</c:f>
              <c:strCache>
                <c:ptCount val="8"/>
                <c:pt idx="0">
                  <c:v>Não Conforme</c:v>
                </c:pt>
                <c:pt idx="1">
                  <c:v>113</c:v>
                </c:pt>
                <c:pt idx="2">
                  <c:v>Conforme</c:v>
                </c:pt>
                <c:pt idx="3">
                  <c:v>604</c:v>
                </c:pt>
                <c:pt idx="4">
                  <c:v>Não Conforme (%)</c:v>
                </c:pt>
                <c:pt idx="5">
                  <c:v>15,76%</c:v>
                </c:pt>
                <c:pt idx="6">
                  <c:v>Conforme (%)</c:v>
                </c:pt>
                <c:pt idx="7">
                  <c:v>84,24%</c:v>
                </c:pt>
              </c:strCache>
            </c:strRef>
          </c:cat>
          <c:val>
            <c:numRef>
              <c:f>'DADOS - PIRITUBA'!$F$272:$G$272</c:f>
              <c:numCache>
                <c:formatCode>0.00%</c:formatCode>
                <c:ptCount val="2"/>
                <c:pt idx="0">
                  <c:v>0.15760111576011157</c:v>
                </c:pt>
                <c:pt idx="1">
                  <c:v>0.8423988842398884</c:v>
                </c:pt>
              </c:numCache>
            </c:numRef>
          </c:val>
          <c:extLst>
            <c:ext xmlns:c16="http://schemas.microsoft.com/office/drawing/2014/chart" uri="{C3380CC4-5D6E-409C-BE32-E72D297353CC}">
              <c16:uniqueId val="{00000004-EB0A-4332-9E56-38B5EE4808DF}"/>
            </c:ext>
          </c:extLst>
        </c:ser>
        <c:ser>
          <c:idx val="1"/>
          <c:order val="1"/>
          <c:tx>
            <c:strRef>
              <c:f>CAVALETE!$A$20:$AA$20</c:f>
              <c:strCache>
                <c:ptCount val="27"/>
                <c:pt idx="0">
                  <c:v>ONMP - DIV MANUT SERV OPE PIRITUBA</c:v>
                </c:pt>
                <c:pt idx="1">
                  <c:v>2618381568</c:v>
                </c:pt>
                <c:pt idx="2">
                  <c:v>CAVALETE VAZANDO</c:v>
                </c:pt>
                <c:pt idx="3">
                  <c:v>CAVALETE</c:v>
                </c:pt>
                <c:pt idx="4">
                  <c:v>SÃO PAULO</c:v>
                </c:pt>
                <c:pt idx="5">
                  <c:v> RUA MARTINHO DO AMARAL</c:v>
                </c:pt>
                <c:pt idx="6">
                  <c:v>40</c:v>
                </c:pt>
                <c:pt idx="7">
                  <c:v>C/2</c:v>
                </c:pt>
                <c:pt idx="8">
                  <c:v>V GUEDES</c:v>
                </c:pt>
                <c:pt idx="9">
                  <c:v>TROCA DE REGISTRO DE CAVALETE</c:v>
                </c:pt>
                <c:pt idx="11">
                  <c:v>02/05/2026 06:23</c:v>
                </c:pt>
                <c:pt idx="12">
                  <c:v>02/05/2026 06:40</c:v>
                </c:pt>
                <c:pt idx="13">
                  <c:v>CAMILA DE PAULA OLIVEIRA</c:v>
                </c:pt>
                <c:pt idx="14">
                  <c:v>C</c:v>
                </c:pt>
                <c:pt idx="16">
                  <c:v>C</c:v>
                </c:pt>
                <c:pt idx="18">
                  <c:v>C</c:v>
                </c:pt>
                <c:pt idx="20">
                  <c:v>SF</c:v>
                </c:pt>
                <c:pt idx="22">
                  <c:v>C</c:v>
                </c:pt>
                <c:pt idx="24">
                  <c:v>C</c:v>
                </c:pt>
                <c:pt idx="25">
                  <c:v>NC</c:v>
                </c:pt>
                <c:pt idx="26">
                  <c:v>UTILIZOU O PDA CORRETAMENTE. NÃO HÁ FOTOS DE TODAS AS ETAPAS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B83-4009-ACB5-0D62CEB6ACE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CAVALETE!$AB$2:$AB$5</c:f>
              <c:strCache>
                <c:ptCount val="4"/>
                <c:pt idx="0">
                  <c:v>C</c:v>
                </c:pt>
                <c:pt idx="1">
                  <c:v>C</c:v>
                </c:pt>
                <c:pt idx="2">
                  <c:v>C</c:v>
                </c:pt>
                <c:pt idx="3">
                  <c:v>C</c:v>
                </c:pt>
              </c:strCache>
            </c:strRef>
          </c:cat>
          <c:val>
            <c:numRef>
              <c:f>CAVALETE!#REF!</c:f>
              <c:numCache>
                <c:formatCode>General</c:formatCode>
                <c:ptCount val="1"/>
                <c:pt idx="0">
                  <c:v>1</c:v>
                </c:pt>
              </c:numCache>
            </c:numRef>
          </c:val>
          <c:extLst>
            <c:ext xmlns:c16="http://schemas.microsoft.com/office/drawing/2014/chart" uri="{C3380CC4-5D6E-409C-BE32-E72D297353CC}">
              <c16:uniqueId val="{00000007-EB0A-4332-9E56-38B5EE4808DF}"/>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SEQUÊNCIA DE FOTOS</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3580792919340848"/>
          <c:y val="0.16201192961596447"/>
          <c:w val="0.53080044327861176"/>
          <c:h val="0.76629776200351274"/>
        </c:manualLayout>
      </c:layout>
      <c:pieChart>
        <c:varyColors val="1"/>
        <c:ser>
          <c:idx val="0"/>
          <c:order val="0"/>
          <c:tx>
            <c:strRef>
              <c:f>'DADOS - PIRITUBA'!$B$28</c:f>
              <c:strCache>
                <c:ptCount val="1"/>
                <c:pt idx="0">
                  <c:v>Cavalete</c:v>
                </c:pt>
              </c:strCache>
            </c:strRef>
          </c:tx>
          <c:spPr>
            <a:solidFill>
              <a:schemeClr val="accent2"/>
            </a:solidFill>
          </c:spPr>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7E3-4DDB-8F85-0503BB784D87}"/>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77E3-4DDB-8F85-0503BB784D87}"/>
              </c:ext>
            </c:extLst>
          </c:dPt>
          <c:dLbls>
            <c:dLbl>
              <c:idx val="0"/>
              <c:layout>
                <c:manualLayout>
                  <c:x val="0.3169892878212025"/>
                  <c:y val="0.83899471840953754"/>
                </c:manualLayout>
              </c:layout>
              <c:tx>
                <c:rich>
                  <a:bodyPr/>
                  <a:lstStyle/>
                  <a:p>
                    <a:fld id="{933EC8F2-8578-4307-8F0E-BACFC1127520}" type="CATEGORYNAME">
                      <a:rPr lang="en-US"/>
                      <a:pPr/>
                      <a:t>[]</a:t>
                    </a:fld>
                    <a:r>
                      <a:rPr lang="en-US"/>
                      <a:t> </a:t>
                    </a:r>
                    <a:r>
                      <a:rPr lang="en-US" baseline="0"/>
                      <a:t> </a:t>
                    </a:r>
                    <a:fld id="{3088FF1F-25A3-4A84-88D2-1B05B8F52E20}"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7110694983711187"/>
                      <c:h val="0.16027866044574959"/>
                    </c:manualLayout>
                  </c15:layout>
                  <c15:dlblFieldTable/>
                  <c15:showDataLabelsRange val="0"/>
                </c:ext>
                <c:ext xmlns:c16="http://schemas.microsoft.com/office/drawing/2014/chart" uri="{C3380CC4-5D6E-409C-BE32-E72D297353CC}">
                  <c16:uniqueId val="{00000001-77E3-4DDB-8F85-0503BB784D87}"/>
                </c:ext>
              </c:extLst>
            </c:dLbl>
            <c:dLbl>
              <c:idx val="1"/>
              <c:layout>
                <c:manualLayout>
                  <c:x val="-0.29509204537107575"/>
                  <c:y val="-0.71848548573647042"/>
                </c:manualLayout>
              </c:layout>
              <c:tx>
                <c:rich>
                  <a:bodyPr/>
                  <a:lstStyle/>
                  <a:p>
                    <a:fld id="{30DEE036-772C-41DB-82FD-52101E084105}" type="CATEGORYNAME">
                      <a:rPr lang="en-US"/>
                      <a:pPr/>
                      <a:t>[]</a:t>
                    </a:fld>
                    <a:r>
                      <a:rPr lang="en-US"/>
                      <a:t> </a:t>
                    </a:r>
                    <a:r>
                      <a:rPr lang="en-US" baseline="0"/>
                      <a:t> </a:t>
                    </a:r>
                    <a:fld id="{F85FB7F0-7B94-4229-9B77-C8D2594BEC01}"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41223321759259257"/>
                      <c:h val="0.15726192810457518"/>
                    </c:manualLayout>
                  </c15:layout>
                  <c15:dlblFieldTable/>
                  <c15:showDataLabelsRange val="0"/>
                </c:ext>
                <c:ext xmlns:c16="http://schemas.microsoft.com/office/drawing/2014/chart" uri="{C3380CC4-5D6E-409C-BE32-E72D297353CC}">
                  <c16:uniqueId val="{00000003-77E3-4DDB-8F85-0503BB784D87}"/>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multiLvlStrRef>
              <c:f>'DADOS - PIRITUBA'!$D$275:$G$276</c:f>
              <c:multiLvlStrCache>
                <c:ptCount val="4"/>
                <c:lvl>
                  <c:pt idx="0">
                    <c:v>505</c:v>
                  </c:pt>
                  <c:pt idx="1">
                    <c:v>212</c:v>
                  </c:pt>
                  <c:pt idx="2">
                    <c:v>70,43%</c:v>
                  </c:pt>
                  <c:pt idx="3">
                    <c:v>29,57%</c:v>
                  </c:pt>
                </c:lvl>
                <c:lvl>
                  <c:pt idx="0">
                    <c:v>Fotos NC</c:v>
                  </c:pt>
                  <c:pt idx="1">
                    <c:v>Fotos Conforme</c:v>
                  </c:pt>
                  <c:pt idx="2">
                    <c:v>Não Conforme (%)</c:v>
                  </c:pt>
                  <c:pt idx="3">
                    <c:v>Conforme (%)</c:v>
                  </c:pt>
                </c:lvl>
              </c:multiLvlStrCache>
            </c:multiLvlStrRef>
          </c:cat>
          <c:val>
            <c:numRef>
              <c:f>'DADOS - PIRITUBA'!$F$276:$G$276</c:f>
              <c:numCache>
                <c:formatCode>0.00%</c:formatCode>
                <c:ptCount val="2"/>
                <c:pt idx="0">
                  <c:v>0.70432357043235705</c:v>
                </c:pt>
                <c:pt idx="1">
                  <c:v>0.29567642956764295</c:v>
                </c:pt>
              </c:numCache>
            </c:numRef>
          </c:val>
          <c:extLst>
            <c:ext xmlns:c16="http://schemas.microsoft.com/office/drawing/2014/chart" uri="{C3380CC4-5D6E-409C-BE32-E72D297353CC}">
              <c16:uniqueId val="{00000004-77E3-4DDB-8F85-0503BB784D87}"/>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r>
              <a:rPr lang="pt-BR" sz="2800">
                <a:latin typeface="Arial Black" panose="020B0A04020102020204" pitchFamily="34" charset="0"/>
                <a:cs typeface="Arial" panose="020B0604020202020204" pitchFamily="34" charset="0"/>
              </a:rPr>
              <a:t>CONFORMIDADES - ETAPAS (%)</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title>
    <c:autoTitleDeleted val="0"/>
    <c:plotArea>
      <c:layout>
        <c:manualLayout>
          <c:layoutTarget val="inner"/>
          <c:xMode val="edge"/>
          <c:yMode val="edge"/>
          <c:x val="1.6037174940898347E-2"/>
          <c:y val="0.28111929219109572"/>
          <c:w val="0.97242924138475473"/>
          <c:h val="0.34474156247575083"/>
        </c:manualLayout>
      </c:layout>
      <c:barChart>
        <c:barDir val="col"/>
        <c:grouping val="clustered"/>
        <c:varyColors val="0"/>
        <c:ser>
          <c:idx val="0"/>
          <c:order val="0"/>
          <c:tx>
            <c:strRef>
              <c:f>'DADOS - PIRITUBA'!$F$172</c:f>
              <c:strCache>
                <c:ptCount val="1"/>
                <c:pt idx="0">
                  <c:v>CONFORME (%)</c:v>
                </c:pt>
              </c:strCache>
            </c:strRef>
          </c:tx>
          <c:spPr>
            <a:solidFill>
              <a:schemeClr val="accent1"/>
            </a:solidFill>
            <a:ln>
              <a:noFill/>
            </a:ln>
            <a:effectLst/>
          </c:spPr>
          <c:invertIfNegative val="0"/>
          <c:dLbls>
            <c:spPr>
              <a:noFill/>
              <a:ln>
                <a:noFill/>
              </a:ln>
              <a:effectLst/>
            </c:spPr>
            <c:txPr>
              <a:bodyPr rot="-5400000" spcFirstLastPara="1" vertOverflow="ellipsis" wrap="square" anchor="ctr" anchorCtr="1"/>
              <a:lstStyle/>
              <a:p>
                <a:pPr>
                  <a:defRPr sz="2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PIRITUBA'!$B$388:$B$395</c:f>
              <c:strCache>
                <c:ptCount val="8"/>
                <c:pt idx="0">
                  <c:v>FACHADA</c:v>
                </c:pt>
                <c:pt idx="1">
                  <c:v>SINALIZAÇÃO</c:v>
                </c:pt>
                <c:pt idx="2">
                  <c:v>IMPRIMAÇÃO</c:v>
                </c:pt>
                <c:pt idx="3">
                  <c:v>TERMÔMETRO</c:v>
                </c:pt>
                <c:pt idx="4">
                  <c:v>RASTELO</c:v>
                </c:pt>
                <c:pt idx="5">
                  <c:v>COMPAC. MASSA ASF.</c:v>
                </c:pt>
                <c:pt idx="6">
                  <c:v>PLACA VIBRATÓRIA</c:v>
                </c:pt>
                <c:pt idx="7">
                  <c:v>FINALIZAÇÃO</c:v>
                </c:pt>
              </c:strCache>
            </c:strRef>
          </c:cat>
          <c:val>
            <c:numRef>
              <c:f>'DADOS - PIRITUBA'!$F$388:$F$395</c:f>
              <c:numCache>
                <c:formatCode>0.00%</c:formatCode>
                <c:ptCount val="8"/>
                <c:pt idx="0">
                  <c:v>0.96296296296296291</c:v>
                </c:pt>
                <c:pt idx="1">
                  <c:v>0.23456790123456789</c:v>
                </c:pt>
                <c:pt idx="2">
                  <c:v>0.92592592592592593</c:v>
                </c:pt>
                <c:pt idx="3">
                  <c:v>0</c:v>
                </c:pt>
                <c:pt idx="4">
                  <c:v>0.95061728395061729</c:v>
                </c:pt>
                <c:pt idx="5">
                  <c:v>0</c:v>
                </c:pt>
                <c:pt idx="6">
                  <c:v>0.88888888888888884</c:v>
                </c:pt>
                <c:pt idx="7">
                  <c:v>8.6419753086419748E-2</c:v>
                </c:pt>
              </c:numCache>
            </c:numRef>
          </c:val>
          <c:extLst>
            <c:ext xmlns:c16="http://schemas.microsoft.com/office/drawing/2014/chart" uri="{C3380CC4-5D6E-409C-BE32-E72D297353CC}">
              <c16:uniqueId val="{00000000-D6CB-4E40-8E8B-79E45B67B7E4}"/>
            </c:ext>
          </c:extLst>
        </c:ser>
        <c:dLbls>
          <c:dLblPos val="outEnd"/>
          <c:showLegendKey val="0"/>
          <c:showVal val="1"/>
          <c:showCatName val="0"/>
          <c:showSerName val="0"/>
          <c:showPercent val="0"/>
          <c:showBubbleSize val="0"/>
        </c:dLbls>
        <c:gapWidth val="219"/>
        <c:overlap val="-27"/>
        <c:axId val="152712608"/>
        <c:axId val="152713000"/>
      </c:barChart>
      <c:catAx>
        <c:axId val="15271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crossAx val="152713000"/>
        <c:crosses val="autoZero"/>
        <c:auto val="1"/>
        <c:lblAlgn val="ctr"/>
        <c:lblOffset val="100"/>
        <c:noMultiLvlLbl val="0"/>
      </c:catAx>
      <c:valAx>
        <c:axId val="152713000"/>
        <c:scaling>
          <c:orientation val="minMax"/>
          <c:max val="1"/>
        </c:scaling>
        <c:delete val="1"/>
        <c:axPos val="l"/>
        <c:numFmt formatCode="0.00%" sourceLinked="1"/>
        <c:majorTickMark val="out"/>
        <c:minorTickMark val="none"/>
        <c:tickLblPos val="nextTo"/>
        <c:crossAx val="152712608"/>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Entry>
      <c:layout>
        <c:manualLayout>
          <c:xMode val="edge"/>
          <c:yMode val="edge"/>
          <c:x val="0.40388043735224594"/>
          <c:y val="0.9503968055555555"/>
          <c:w val="0.1562106973995272"/>
          <c:h val="4.9603194444444443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SEQUÊNCIA DE FOTOS</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031445681432562"/>
          <c:y val="0.15766062556379071"/>
          <c:w val="0.5255393326808746"/>
          <c:h val="0.7587024833488889"/>
        </c:manualLayout>
      </c:layout>
      <c:pieChart>
        <c:varyColors val="1"/>
        <c:ser>
          <c:idx val="0"/>
          <c:order val="0"/>
          <c:tx>
            <c:strRef>
              <c:f>'DADOS - PIRITUBA'!$B$384</c:f>
              <c:strCache>
                <c:ptCount val="1"/>
                <c:pt idx="0">
                  <c:v>Reposição</c:v>
                </c:pt>
              </c:strCache>
            </c:strRef>
          </c:tx>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B88-4D06-91FD-5261587D6167}"/>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CB88-4D06-91FD-5261587D6167}"/>
              </c:ext>
            </c:extLst>
          </c:dPt>
          <c:dLbls>
            <c:dLbl>
              <c:idx val="0"/>
              <c:layout>
                <c:manualLayout>
                  <c:x val="-2.2566743549865272E-2"/>
                  <c:y val="0.38021105629448693"/>
                </c:manualLayout>
              </c:layout>
              <c:tx>
                <c:rich>
                  <a:bodyPr/>
                  <a:lstStyle/>
                  <a:p>
                    <a:fld id="{3DEF3CBE-BA40-452E-B62D-38C7634BD340}" type="CATEGORYNAME">
                      <a:rPr lang="en-US"/>
                      <a:pPr/>
                      <a:t>[]</a:t>
                    </a:fld>
                    <a:r>
                      <a:rPr lang="en-US"/>
                      <a:t> </a:t>
                    </a:r>
                    <a:r>
                      <a:rPr lang="en-US" baseline="0"/>
                      <a:t> </a:t>
                    </a:r>
                    <a:fld id="{D6809A74-2863-4AA8-B879-291FD493640F}"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6151145833333334"/>
                      <c:h val="0.17012957516339869"/>
                    </c:manualLayout>
                  </c15:layout>
                  <c15:dlblFieldTable/>
                  <c15:showDataLabelsRange val="0"/>
                </c:ext>
                <c:ext xmlns:c16="http://schemas.microsoft.com/office/drawing/2014/chart" uri="{C3380CC4-5D6E-409C-BE32-E72D297353CC}">
                  <c16:uniqueId val="{00000001-CB88-4D06-91FD-5261587D6167}"/>
                </c:ext>
              </c:extLst>
            </c:dLbl>
            <c:dLbl>
              <c:idx val="1"/>
              <c:layout>
                <c:manualLayout>
                  <c:x val="-2.2795803094516096E-2"/>
                  <c:y val="-0.36546695718608907"/>
                </c:manualLayout>
              </c:layout>
              <c:tx>
                <c:rich>
                  <a:bodyPr/>
                  <a:lstStyle/>
                  <a:p>
                    <a:fld id="{8F0133E8-1217-4EC6-AB2D-79F2A72D508F}" type="CATEGORYNAME">
                      <a:rPr lang="en-US"/>
                      <a:pPr/>
                      <a:t>[]</a:t>
                    </a:fld>
                    <a:r>
                      <a:rPr lang="en-US"/>
                      <a:t> </a:t>
                    </a:r>
                    <a:r>
                      <a:rPr lang="en-US" baseline="0"/>
                      <a:t> </a:t>
                    </a:r>
                    <a:fld id="{F8FF62A4-B229-456B-9502-C1291D08E5A2}"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39927847222222218"/>
                      <c:h val="0.15975375816993465"/>
                    </c:manualLayout>
                  </c15:layout>
                  <c15:dlblFieldTable/>
                  <c15:showDataLabelsRange val="0"/>
                </c:ext>
                <c:ext xmlns:c16="http://schemas.microsoft.com/office/drawing/2014/chart" uri="{C3380CC4-5D6E-409C-BE32-E72D297353CC}">
                  <c16:uniqueId val="{00000003-CB88-4D06-91FD-5261587D6167}"/>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multiLvlStrRef>
              <c:f>'DADOS - PIRITUBA'!$D$383:$G$384</c:f>
              <c:multiLvlStrCache>
                <c:ptCount val="4"/>
                <c:lvl>
                  <c:pt idx="0">
                    <c:v>81</c:v>
                  </c:pt>
                  <c:pt idx="1">
                    <c:v>0</c:v>
                  </c:pt>
                  <c:pt idx="2">
                    <c:v>100,00%</c:v>
                  </c:pt>
                  <c:pt idx="3">
                    <c:v>0,00%</c:v>
                  </c:pt>
                </c:lvl>
                <c:lvl>
                  <c:pt idx="0">
                    <c:v>Fotos NC</c:v>
                  </c:pt>
                  <c:pt idx="1">
                    <c:v>Fotos Conforme</c:v>
                  </c:pt>
                  <c:pt idx="2">
                    <c:v>Não Conforme (%)</c:v>
                  </c:pt>
                  <c:pt idx="3">
                    <c:v>Conforme (%)</c:v>
                  </c:pt>
                </c:lvl>
              </c:multiLvlStrCache>
            </c:multiLvlStrRef>
          </c:cat>
          <c:val>
            <c:numRef>
              <c:f>'DADOS - PIRITUBA'!$F$384:$G$384</c:f>
              <c:numCache>
                <c:formatCode>0.00%</c:formatCode>
                <c:ptCount val="2"/>
                <c:pt idx="0">
                  <c:v>1</c:v>
                </c:pt>
                <c:pt idx="1">
                  <c:v>0</c:v>
                </c:pt>
              </c:numCache>
            </c:numRef>
          </c:val>
          <c:extLst>
            <c:ext xmlns:c16="http://schemas.microsoft.com/office/drawing/2014/chart" uri="{C3380CC4-5D6E-409C-BE32-E72D297353CC}">
              <c16:uniqueId val="{00000004-CB88-4D06-91FD-5261587D6167}"/>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TEMPO DE EXECUÇÃO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46574067767750721"/>
          <c:y val="4.0388703703703704E-2"/>
          <c:w val="0.43457295922193129"/>
          <c:h val="0.92876657407407404"/>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PIRITUBA'!$B$400:$B$439</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PIRITUBA'!$F$400:$F$439</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4817-46EF-ABB2-FB8A2EFE31B4}"/>
            </c:ext>
          </c:extLst>
        </c:ser>
        <c:dLbls>
          <c:showLegendKey val="0"/>
          <c:showVal val="1"/>
          <c:showCatName val="0"/>
          <c:showSerName val="0"/>
          <c:showPercent val="0"/>
          <c:showBubbleSize val="0"/>
        </c:dLbls>
        <c:gapWidth val="39"/>
        <c:axId val="160445792"/>
        <c:axId val="160446968"/>
      </c:barChart>
      <c:catAx>
        <c:axId val="1604457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60446968"/>
        <c:crosses val="autoZero"/>
        <c:auto val="1"/>
        <c:lblAlgn val="ctr"/>
        <c:lblOffset val="100"/>
        <c:noMultiLvlLbl val="0"/>
      </c:catAx>
      <c:valAx>
        <c:axId val="160446968"/>
        <c:scaling>
          <c:orientation val="minMax"/>
          <c:max val="1"/>
        </c:scaling>
        <c:delete val="1"/>
        <c:axPos val="t"/>
        <c:numFmt formatCode="0.00%" sourceLinked="1"/>
        <c:majorTickMark val="out"/>
        <c:minorTickMark val="none"/>
        <c:tickLblPos val="nextTo"/>
        <c:crossAx val="1604457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SEQUÊNCIA DE FOTOS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47895705648931086"/>
          <c:y val="4.1143058359907364E-2"/>
          <c:w val="0.42278298326165686"/>
          <c:h val="0.92801217503974465"/>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PIRITUBA'!$B$444:$B$483</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PIRITUBA'!$F$444:$F$483</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48C5-4BEE-8638-9F60C82252CC}"/>
            </c:ext>
          </c:extLst>
        </c:ser>
        <c:dLbls>
          <c:showLegendKey val="0"/>
          <c:showVal val="1"/>
          <c:showCatName val="0"/>
          <c:showSerName val="0"/>
          <c:showPercent val="0"/>
          <c:showBubbleSize val="0"/>
        </c:dLbls>
        <c:gapWidth val="39"/>
        <c:axId val="152711432"/>
        <c:axId val="152711824"/>
      </c:barChart>
      <c:catAx>
        <c:axId val="1527114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2711824"/>
        <c:crosses val="autoZero"/>
        <c:auto val="1"/>
        <c:lblAlgn val="ctr"/>
        <c:lblOffset val="100"/>
        <c:noMultiLvlLbl val="0"/>
      </c:catAx>
      <c:valAx>
        <c:axId val="152711824"/>
        <c:scaling>
          <c:orientation val="minMax"/>
          <c:max val="1"/>
        </c:scaling>
        <c:delete val="1"/>
        <c:axPos val="t"/>
        <c:numFmt formatCode="0.00%" sourceLinked="1"/>
        <c:majorTickMark val="out"/>
        <c:minorTickMark val="none"/>
        <c:tickLblPos val="nextTo"/>
        <c:crossAx val="1527114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TEMPO DE EXECUÇÃO</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449053032354315"/>
          <c:y val="0.14094322778300733"/>
          <c:w val="0.52329897363349509"/>
          <c:h val="0.75546815650189691"/>
        </c:manualLayout>
      </c:layout>
      <c:pieChart>
        <c:varyColors val="1"/>
        <c:ser>
          <c:idx val="0"/>
          <c:order val="0"/>
          <c:tx>
            <c:strRef>
              <c:f>'DADOS - PIRITUBA'!$B$380</c:f>
              <c:strCache>
                <c:ptCount val="1"/>
                <c:pt idx="0">
                  <c:v>Reposição</c:v>
                </c:pt>
              </c:strCache>
            </c:strRef>
          </c:tx>
          <c:spPr>
            <a:solidFill>
              <a:srgbClr val="FF6600"/>
            </a:solidFill>
          </c:spPr>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536-41E6-9230-4F85BDF64C60}"/>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7536-41E6-9230-4F85BDF64C60}"/>
              </c:ext>
            </c:extLst>
          </c:dPt>
          <c:dLbls>
            <c:dLbl>
              <c:idx val="0"/>
              <c:layout>
                <c:manualLayout>
                  <c:x val="-2.2566743549865272E-2"/>
                  <c:y val="0.41868397629247073"/>
                </c:manualLayout>
              </c:layout>
              <c:tx>
                <c:rich>
                  <a:bodyPr/>
                  <a:lstStyle/>
                  <a:p>
                    <a:fld id="{D32A983E-12C8-45CC-B469-EF048F5E8B78}" type="CATEGORYNAME">
                      <a:rPr lang="en-US"/>
                      <a:pPr/>
                      <a:t>[]</a:t>
                    </a:fld>
                    <a:r>
                      <a:rPr lang="en-US"/>
                      <a:t> </a:t>
                    </a:r>
                    <a:r>
                      <a:rPr lang="en-US" baseline="0"/>
                      <a:t> </a:t>
                    </a:r>
                    <a:fld id="{2D12AD4D-606F-41A8-82FC-D09A7E5C91BC}"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34549155092592593"/>
                      <c:h val="0.15062777777777778"/>
                    </c:manualLayout>
                  </c15:layout>
                  <c15:dlblFieldTable/>
                  <c15:showDataLabelsRange val="0"/>
                </c:ext>
                <c:ext xmlns:c16="http://schemas.microsoft.com/office/drawing/2014/chart" uri="{C3380CC4-5D6E-409C-BE32-E72D297353CC}">
                  <c16:uniqueId val="{00000001-7536-41E6-9230-4F85BDF64C60}"/>
                </c:ext>
              </c:extLst>
            </c:dLbl>
            <c:dLbl>
              <c:idx val="1"/>
              <c:layout>
                <c:manualLayout>
                  <c:x val="-2.1332495138245731E-2"/>
                  <c:y val="-0.34384874914355379"/>
                </c:manualLayout>
              </c:layout>
              <c:tx>
                <c:rich>
                  <a:bodyPr/>
                  <a:lstStyle/>
                  <a:p>
                    <a:fld id="{A2E33BF9-6A21-498F-89FC-6AF97EA74EE0}" type="CATEGORYNAME">
                      <a:rPr lang="en-US"/>
                      <a:pPr/>
                      <a:t>[]</a:t>
                    </a:fld>
                    <a:r>
                      <a:rPr lang="en-US"/>
                      <a:t> </a:t>
                    </a:r>
                    <a:r>
                      <a:rPr lang="en-US" baseline="0"/>
                      <a:t> </a:t>
                    </a:r>
                    <a:fld id="{7DCD1389-3CC2-402C-BC0C-CE4F48B3EB75}"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6367523148148148"/>
                      <c:h val="0.17220473856209151"/>
                    </c:manualLayout>
                  </c15:layout>
                  <c15:dlblFieldTable/>
                  <c15:showDataLabelsRange val="0"/>
                </c:ext>
                <c:ext xmlns:c16="http://schemas.microsoft.com/office/drawing/2014/chart" uri="{C3380CC4-5D6E-409C-BE32-E72D297353CC}">
                  <c16:uniqueId val="{00000003-7536-41E6-9230-4F85BDF64C60}"/>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multiLvlStrRef>
              <c:f>'DADOS - PIRITUBA'!$D$379:$G$380</c:f>
              <c:multiLvlStrCache>
                <c:ptCount val="4"/>
                <c:lvl>
                  <c:pt idx="0">
                    <c:v>2</c:v>
                  </c:pt>
                  <c:pt idx="1">
                    <c:v>79</c:v>
                  </c:pt>
                  <c:pt idx="2">
                    <c:v>2,47%</c:v>
                  </c:pt>
                  <c:pt idx="3">
                    <c:v>97,53%</c:v>
                  </c:pt>
                </c:lvl>
                <c:lvl>
                  <c:pt idx="0">
                    <c:v>Não Conforme</c:v>
                  </c:pt>
                  <c:pt idx="1">
                    <c:v>Conforme</c:v>
                  </c:pt>
                  <c:pt idx="2">
                    <c:v>Não Conforme (%)</c:v>
                  </c:pt>
                  <c:pt idx="3">
                    <c:v>Conforme (%)</c:v>
                  </c:pt>
                </c:lvl>
              </c:multiLvlStrCache>
            </c:multiLvlStrRef>
          </c:cat>
          <c:val>
            <c:numRef>
              <c:f>'DADOS - PIRITUBA'!$F$380:$G$380</c:f>
              <c:numCache>
                <c:formatCode>0.00%</c:formatCode>
                <c:ptCount val="2"/>
                <c:pt idx="0">
                  <c:v>2.4691358024691357E-2</c:v>
                </c:pt>
                <c:pt idx="1">
                  <c:v>0.97530864197530864</c:v>
                </c:pt>
              </c:numCache>
            </c:numRef>
          </c:val>
          <c:extLst>
            <c:ext xmlns:c16="http://schemas.microsoft.com/office/drawing/2014/chart" uri="{C3380CC4-5D6E-409C-BE32-E72D297353CC}">
              <c16:uniqueId val="{00000004-7536-41E6-9230-4F85BDF64C60}"/>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5" Type="http://schemas.openxmlformats.org/officeDocument/2006/relationships/chart" Target="../charts/chart28.xml"/><Relationship Id="rId4"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1</xdr:col>
      <xdr:colOff>1485900</xdr:colOff>
      <xdr:row>7</xdr:row>
      <xdr:rowOff>170977</xdr:rowOff>
    </xdr:from>
    <xdr:to>
      <xdr:col>6</xdr:col>
      <xdr:colOff>142875</xdr:colOff>
      <xdr:row>17</xdr:row>
      <xdr:rowOff>135133</xdr:rowOff>
    </xdr:to>
    <xdr:graphicFrame macro="">
      <xdr:nvGraphicFramePr>
        <xdr:cNvPr id="4" name="Gráfico 3">
          <a:extLst>
            <a:ext uri="{FF2B5EF4-FFF2-40B4-BE49-F238E27FC236}">
              <a16:creationId xmlns:a16="http://schemas.microsoft.com/office/drawing/2014/main" id="{B211B829-FD75-471F-A304-D514CAF73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1511986</xdr:colOff>
      <xdr:row>86</xdr:row>
      <xdr:rowOff>142122</xdr:rowOff>
    </xdr:from>
    <xdr:to>
      <xdr:col>5</xdr:col>
      <xdr:colOff>814261</xdr:colOff>
      <xdr:row>97</xdr:row>
      <xdr:rowOff>111372</xdr:rowOff>
    </xdr:to>
    <xdr:graphicFrame macro="">
      <xdr:nvGraphicFramePr>
        <xdr:cNvPr id="5" name="Gráfico 4">
          <a:extLst>
            <a:ext uri="{FF2B5EF4-FFF2-40B4-BE49-F238E27FC236}">
              <a16:creationId xmlns:a16="http://schemas.microsoft.com/office/drawing/2014/main" id="{03CEE601-598D-4426-BFC9-82617D16096D}"/>
            </a:ext>
            <a:ext uri="{147F2762-F138-4A5C-976F-8EAC2B608ADB}">
              <a16:predDERef xmlns:a16="http://schemas.microsoft.com/office/drawing/2014/main" pred="{B211B829-FD75-471F-A304-D514CAF73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1</xdr:col>
      <xdr:colOff>98158</xdr:colOff>
      <xdr:row>36</xdr:row>
      <xdr:rowOff>91029</xdr:rowOff>
    </xdr:from>
    <xdr:to>
      <xdr:col>4</xdr:col>
      <xdr:colOff>50083</xdr:colOff>
      <xdr:row>49</xdr:row>
      <xdr:rowOff>39279</xdr:rowOff>
    </xdr:to>
    <xdr:graphicFrame macro="">
      <xdr:nvGraphicFramePr>
        <xdr:cNvPr id="6" name="Gráfico 5">
          <a:extLst>
            <a:ext uri="{FF2B5EF4-FFF2-40B4-BE49-F238E27FC236}">
              <a16:creationId xmlns:a16="http://schemas.microsoft.com/office/drawing/2014/main" id="{9F8A54A1-DED3-4ED5-96C3-0BBE63DE246C}"/>
            </a:ext>
            <a:ext uri="{147F2762-F138-4A5C-976F-8EAC2B608ADB}">
              <a16:predDERef xmlns:a16="http://schemas.microsoft.com/office/drawing/2014/main" pred="{03CEE601-598D-4426-BFC9-82617D160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1</xdr:col>
      <xdr:colOff>89084</xdr:colOff>
      <xdr:row>58</xdr:row>
      <xdr:rowOff>112966</xdr:rowOff>
    </xdr:from>
    <xdr:to>
      <xdr:col>6</xdr:col>
      <xdr:colOff>901709</xdr:colOff>
      <xdr:row>73</xdr:row>
      <xdr:rowOff>135466</xdr:rowOff>
    </xdr:to>
    <xdr:graphicFrame macro="">
      <xdr:nvGraphicFramePr>
        <xdr:cNvPr id="2" name="Gráfico 7">
          <a:extLst>
            <a:ext uri="{FF2B5EF4-FFF2-40B4-BE49-F238E27FC236}">
              <a16:creationId xmlns:a16="http://schemas.microsoft.com/office/drawing/2014/main" id="{A47D3D24-A9C9-4F14-B51F-98B7ABDD9C46}"/>
            </a:ext>
            <a:ext uri="{147F2762-F138-4A5C-976F-8EAC2B608ADB}">
              <a16:predDERef xmlns:a16="http://schemas.microsoft.com/office/drawing/2014/main" pred="{9F8A54A1-DED3-4ED5-96C3-0BBE63DE2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4</xdr:col>
      <xdr:colOff>142874</xdr:colOff>
      <xdr:row>36</xdr:row>
      <xdr:rowOff>95250</xdr:rowOff>
    </xdr:from>
    <xdr:to>
      <xdr:col>9</xdr:col>
      <xdr:colOff>47174</xdr:colOff>
      <xdr:row>49</xdr:row>
      <xdr:rowOff>43500</xdr:rowOff>
    </xdr:to>
    <xdr:graphicFrame macro="">
      <xdr:nvGraphicFramePr>
        <xdr:cNvPr id="8" name="Gráfico 7">
          <a:extLst>
            <a:ext uri="{FF2B5EF4-FFF2-40B4-BE49-F238E27FC236}">
              <a16:creationId xmlns:a16="http://schemas.microsoft.com/office/drawing/2014/main" id="{2467A6C4-F694-44E7-829A-4FFA328C3ED0}"/>
            </a:ext>
            <a:ext uri="{147F2762-F138-4A5C-976F-8EAC2B608ADB}">
              <a16:predDERef xmlns:a16="http://schemas.microsoft.com/office/drawing/2014/main" pred="{A47D3D24-A9C9-4F14-B51F-98B7ABDD9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dr:twoCellAnchor editAs="oneCell">
    <xdr:from>
      <xdr:col>2</xdr:col>
      <xdr:colOff>99391</xdr:colOff>
      <xdr:row>2</xdr:row>
      <xdr:rowOff>41413</xdr:rowOff>
    </xdr:from>
    <xdr:to>
      <xdr:col>4</xdr:col>
      <xdr:colOff>92613</xdr:colOff>
      <xdr:row>6</xdr:row>
      <xdr:rowOff>7782</xdr:rowOff>
    </xdr:to>
    <xdr:pic>
      <xdr:nvPicPr>
        <xdr:cNvPr id="2" name="Imagem 1">
          <a:extLst>
            <a:ext uri="{FF2B5EF4-FFF2-40B4-BE49-F238E27FC236}">
              <a16:creationId xmlns:a16="http://schemas.microsoft.com/office/drawing/2014/main" id="{02DC06CA-4461-46CA-B6C9-0956E128606E}"/>
            </a:ext>
          </a:extLst>
        </xdr:cNvPr>
        <xdr:cNvPicPr>
          <a:picLocks noChangeAspect="1"/>
        </xdr:cNvPicPr>
      </xdr:nvPicPr>
      <xdr:blipFill>
        <a:blip xmlns:r="http://schemas.openxmlformats.org/officeDocument/2006/relationships" r:embed="rId1"/>
        <a:stretch>
          <a:fillRect/>
        </a:stretch>
      </xdr:blipFill>
      <xdr:spPr>
        <a:xfrm>
          <a:off x="1325217" y="414130"/>
          <a:ext cx="1219048" cy="695238"/>
        </a:xfrm>
        <a:prstGeom prst="rect">
          <a:avLst/>
        </a:prstGeom>
      </xdr:spPr>
    </xdr:pic>
    <xdr:clientData/>
  </xdr:twoCellAnchor>
  <xdr:twoCellAnchor editAs="oneCell">
    <xdr:from>
      <xdr:col>8</xdr:col>
      <xdr:colOff>64300</xdr:colOff>
      <xdr:row>2</xdr:row>
      <xdr:rowOff>57980</xdr:rowOff>
    </xdr:from>
    <xdr:to>
      <xdr:col>9</xdr:col>
      <xdr:colOff>548872</xdr:colOff>
      <xdr:row>6</xdr:row>
      <xdr:rowOff>149089</xdr:rowOff>
    </xdr:to>
    <xdr:pic>
      <xdr:nvPicPr>
        <xdr:cNvPr id="3" name="Imagem 2">
          <a:extLst>
            <a:ext uri="{FF2B5EF4-FFF2-40B4-BE49-F238E27FC236}">
              <a16:creationId xmlns:a16="http://schemas.microsoft.com/office/drawing/2014/main" id="{9026B990-86C2-470A-A235-22D471891EE3}"/>
            </a:ext>
          </a:extLst>
        </xdr:cNvPr>
        <xdr:cNvPicPr>
          <a:picLocks noChangeAspect="1"/>
        </xdr:cNvPicPr>
      </xdr:nvPicPr>
      <xdr:blipFill rotWithShape="1">
        <a:blip xmlns:r="http://schemas.openxmlformats.org/officeDocument/2006/relationships" r:embed="rId2"/>
        <a:srcRect l="9566"/>
        <a:stretch/>
      </xdr:blipFill>
      <xdr:spPr>
        <a:xfrm>
          <a:off x="4967604" y="430697"/>
          <a:ext cx="1097485" cy="819978"/>
        </a:xfrm>
        <a:prstGeom prst="rect">
          <a:avLst/>
        </a:prstGeom>
      </xdr:spPr>
    </xdr:pic>
    <xdr:clientData/>
  </xdr:twoCellAnchor>
  <xdr:twoCellAnchor>
    <xdr:from>
      <xdr:col>2</xdr:col>
      <xdr:colOff>49697</xdr:colOff>
      <xdr:row>18</xdr:row>
      <xdr:rowOff>16566</xdr:rowOff>
    </xdr:from>
    <xdr:to>
      <xdr:col>9</xdr:col>
      <xdr:colOff>521806</xdr:colOff>
      <xdr:row>18</xdr:row>
      <xdr:rowOff>62285</xdr:rowOff>
    </xdr:to>
    <xdr:sp macro="" textlink="">
      <xdr:nvSpPr>
        <xdr:cNvPr id="4" name="Retângulo 3">
          <a:extLst>
            <a:ext uri="{FF2B5EF4-FFF2-40B4-BE49-F238E27FC236}">
              <a16:creationId xmlns:a16="http://schemas.microsoft.com/office/drawing/2014/main" id="{D6B017D2-1884-4C27-B367-2AB745ED7866}"/>
            </a:ext>
          </a:extLst>
        </xdr:cNvPr>
        <xdr:cNvSpPr/>
      </xdr:nvSpPr>
      <xdr:spPr>
        <a:xfrm>
          <a:off x="1275523" y="2948609"/>
          <a:ext cx="4762500"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476246</xdr:colOff>
      <xdr:row>69</xdr:row>
      <xdr:rowOff>17355</xdr:rowOff>
    </xdr:from>
    <xdr:to>
      <xdr:col>6</xdr:col>
      <xdr:colOff>2251496</xdr:colOff>
      <xdr:row>100</xdr:row>
      <xdr:rowOff>195480</xdr:rowOff>
    </xdr:to>
    <xdr:graphicFrame macro="">
      <xdr:nvGraphicFramePr>
        <xdr:cNvPr id="10" name="Gráfico 8">
          <a:extLst>
            <a:ext uri="{FF2B5EF4-FFF2-40B4-BE49-F238E27FC236}">
              <a16:creationId xmlns:a16="http://schemas.microsoft.com/office/drawing/2014/main" id="{3EF74F18-FF06-4757-B33E-0D6ACC177B78}"/>
            </a:ext>
            <a:ext uri="{147F2762-F138-4A5C-976F-8EAC2B608ADB}">
              <a16:predDERef xmlns:a16="http://schemas.microsoft.com/office/drawing/2014/main" pred="{E3B3E07E-B9F6-4513-84A0-FA4D2DF4A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0</xdr:col>
      <xdr:colOff>40192</xdr:colOff>
      <xdr:row>11</xdr:row>
      <xdr:rowOff>30304</xdr:rowOff>
    </xdr:from>
    <xdr:to>
      <xdr:col>3</xdr:col>
      <xdr:colOff>1146783</xdr:colOff>
      <xdr:row>36</xdr:row>
      <xdr:rowOff>88940</xdr:rowOff>
    </xdr:to>
    <xdr:graphicFrame macro="">
      <xdr:nvGraphicFramePr>
        <xdr:cNvPr id="14" name="Gráfico 13">
          <a:extLst>
            <a:ext uri="{FF2B5EF4-FFF2-40B4-BE49-F238E27FC236}">
              <a16:creationId xmlns:a16="http://schemas.microsoft.com/office/drawing/2014/main" id="{3D0183DF-6AF1-4520-9D91-DB2D326587B0}"/>
            </a:ext>
            <a:ext uri="{147F2762-F138-4A5C-976F-8EAC2B608ADB}">
              <a16:predDERef xmlns:a16="http://schemas.microsoft.com/office/drawing/2014/main" pred="{3EF74F18-FF06-4757-B33E-0D6ACC177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3</xdr:col>
      <xdr:colOff>1372458</xdr:colOff>
      <xdr:row>11</xdr:row>
      <xdr:rowOff>41128</xdr:rowOff>
    </xdr:from>
    <xdr:to>
      <xdr:col>6</xdr:col>
      <xdr:colOff>2479049</xdr:colOff>
      <xdr:row>36</xdr:row>
      <xdr:rowOff>99764</xdr:rowOff>
    </xdr:to>
    <xdr:graphicFrame macro="">
      <xdr:nvGraphicFramePr>
        <xdr:cNvPr id="17" name="Gráfico 16">
          <a:extLst>
            <a:ext uri="{FF2B5EF4-FFF2-40B4-BE49-F238E27FC236}">
              <a16:creationId xmlns:a16="http://schemas.microsoft.com/office/drawing/2014/main" id="{F70E54FA-E5B5-4F3E-A5CE-992632925DE6}"/>
            </a:ext>
            <a:ext uri="{147F2762-F138-4A5C-976F-8EAC2B608ADB}">
              <a16:predDERef xmlns:a16="http://schemas.microsoft.com/office/drawing/2014/main" pred="{3D0183DF-6AF1-4520-9D91-DB2D32658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1</xdr:col>
      <xdr:colOff>2028997</xdr:colOff>
      <xdr:row>40</xdr:row>
      <xdr:rowOff>55841</xdr:rowOff>
    </xdr:from>
    <xdr:to>
      <xdr:col>5</xdr:col>
      <xdr:colOff>624451</xdr:colOff>
      <xdr:row>65</xdr:row>
      <xdr:rowOff>114477</xdr:rowOff>
    </xdr:to>
    <xdr:graphicFrame macro="">
      <xdr:nvGraphicFramePr>
        <xdr:cNvPr id="19" name="Gráfico 18">
          <a:extLst>
            <a:ext uri="{FF2B5EF4-FFF2-40B4-BE49-F238E27FC236}">
              <a16:creationId xmlns:a16="http://schemas.microsoft.com/office/drawing/2014/main" id="{DD5D9726-403C-45CE-A645-CF04055D6855}"/>
            </a:ext>
            <a:ext uri="{147F2762-F138-4A5C-976F-8EAC2B608ADB}">
              <a16:predDERef xmlns:a16="http://schemas.microsoft.com/office/drawing/2014/main" pred="{F70E54FA-E5B5-4F3E-A5CE-992632925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4</xdr:col>
      <xdr:colOff>138546</xdr:colOff>
      <xdr:row>103</xdr:row>
      <xdr:rowOff>17315</xdr:rowOff>
    </xdr:from>
    <xdr:to>
      <xdr:col>9</xdr:col>
      <xdr:colOff>361939</xdr:colOff>
      <xdr:row>147</xdr:row>
      <xdr:rowOff>40458</xdr:rowOff>
    </xdr:to>
    <xdr:graphicFrame macro="">
      <xdr:nvGraphicFramePr>
        <xdr:cNvPr id="12" name="Gráfico 11">
          <a:extLst>
            <a:ext uri="{FF2B5EF4-FFF2-40B4-BE49-F238E27FC236}">
              <a16:creationId xmlns:a16="http://schemas.microsoft.com/office/drawing/2014/main" id="{34D73774-7948-40B2-9312-3DAEB34BCA54}"/>
            </a:ext>
            <a:ext uri="{147F2762-F138-4A5C-976F-8EAC2B608ADB}">
              <a16:predDERef xmlns:a16="http://schemas.microsoft.com/office/drawing/2014/main" pred="{DD5D9726-403C-45CE-A645-CF04055D6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0</xdr:col>
      <xdr:colOff>86591</xdr:colOff>
      <xdr:row>103</xdr:row>
      <xdr:rowOff>51952</xdr:rowOff>
    </xdr:from>
    <xdr:to>
      <xdr:col>3</xdr:col>
      <xdr:colOff>1534627</xdr:colOff>
      <xdr:row>147</xdr:row>
      <xdr:rowOff>75095</xdr:rowOff>
    </xdr:to>
    <xdr:graphicFrame macro="">
      <xdr:nvGraphicFramePr>
        <xdr:cNvPr id="13" name="Gráfico 12">
          <a:extLst>
            <a:ext uri="{FF2B5EF4-FFF2-40B4-BE49-F238E27FC236}">
              <a16:creationId xmlns:a16="http://schemas.microsoft.com/office/drawing/2014/main" id="{17A2A409-7ABB-4EEB-B102-CB76391669E5}"/>
            </a:ext>
            <a:ext uri="{147F2762-F138-4A5C-976F-8EAC2B608ADB}">
              <a16:predDERef xmlns:a16="http://schemas.microsoft.com/office/drawing/2014/main" pred="{34D73774-7948-40B2-9312-3DAEB34BC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drawings/drawing4.xml><?xml version="1.0" encoding="utf-8"?>
<xdr:wsDr xmlns:xdr="http://schemas.openxmlformats.org/drawingml/2006/spreadsheetDrawing" xmlns:a="http://schemas.openxmlformats.org/drawingml/2006/main">
  <xdr:twoCellAnchor>
    <xdr:from>
      <xdr:col>0</xdr:col>
      <xdr:colOff>500500</xdr:colOff>
      <xdr:row>69</xdr:row>
      <xdr:rowOff>42853</xdr:rowOff>
    </xdr:from>
    <xdr:to>
      <xdr:col>6</xdr:col>
      <xdr:colOff>2275750</xdr:colOff>
      <xdr:row>100</xdr:row>
      <xdr:rowOff>220978</xdr:rowOff>
    </xdr:to>
    <xdr:graphicFrame macro="">
      <xdr:nvGraphicFramePr>
        <xdr:cNvPr id="33" name="Gráfico 6">
          <a:extLst>
            <a:ext uri="{FF2B5EF4-FFF2-40B4-BE49-F238E27FC236}">
              <a16:creationId xmlns:a16="http://schemas.microsoft.com/office/drawing/2014/main" id="{1DC5442C-B92A-44C6-8C21-6DE48A2BF5E7}"/>
            </a:ext>
            <a:ext uri="{147F2762-F138-4A5C-976F-8EAC2B608ADB}">
              <a16:predDERef xmlns:a16="http://schemas.microsoft.com/office/drawing/2014/main" pred="{F10A1795-C65F-4E04-98E1-CE660C2EF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0</xdr:col>
      <xdr:colOff>64947</xdr:colOff>
      <xdr:row>11</xdr:row>
      <xdr:rowOff>47623</xdr:rowOff>
    </xdr:from>
    <xdr:to>
      <xdr:col>3</xdr:col>
      <xdr:colOff>1171538</xdr:colOff>
      <xdr:row>36</xdr:row>
      <xdr:rowOff>106259</xdr:rowOff>
    </xdr:to>
    <xdr:graphicFrame macro="">
      <xdr:nvGraphicFramePr>
        <xdr:cNvPr id="14" name="Gráfico 13">
          <a:extLst>
            <a:ext uri="{FF2B5EF4-FFF2-40B4-BE49-F238E27FC236}">
              <a16:creationId xmlns:a16="http://schemas.microsoft.com/office/drawing/2014/main" id="{EA1CC67D-F2F7-415F-B3DB-1B59C5FBB776}"/>
            </a:ext>
            <a:ext uri="{147F2762-F138-4A5C-976F-8EAC2B608ADB}">
              <a16:predDERef xmlns:a16="http://schemas.microsoft.com/office/drawing/2014/main" pred="{1DC5442C-B92A-44C6-8C21-6DE48A2BF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3</xdr:col>
      <xdr:colOff>1378963</xdr:colOff>
      <xdr:row>11</xdr:row>
      <xdr:rowOff>47621</xdr:rowOff>
    </xdr:from>
    <xdr:to>
      <xdr:col>6</xdr:col>
      <xdr:colOff>2485554</xdr:colOff>
      <xdr:row>36</xdr:row>
      <xdr:rowOff>106257</xdr:rowOff>
    </xdr:to>
    <xdr:graphicFrame macro="">
      <xdr:nvGraphicFramePr>
        <xdr:cNvPr id="16" name="Gráfico 15">
          <a:extLst>
            <a:ext uri="{FF2B5EF4-FFF2-40B4-BE49-F238E27FC236}">
              <a16:creationId xmlns:a16="http://schemas.microsoft.com/office/drawing/2014/main" id="{CF6CAD73-B7AE-499F-8DC4-C21D7FFF833B}"/>
            </a:ext>
            <a:ext uri="{147F2762-F138-4A5C-976F-8EAC2B608ADB}">
              <a16:predDERef xmlns:a16="http://schemas.microsoft.com/office/drawing/2014/main" pred="{EA1CC67D-F2F7-415F-B3DB-1B59C5FBB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editAs="oneCell">
    <xdr:from>
      <xdr:col>1</xdr:col>
      <xdr:colOff>1994305</xdr:colOff>
      <xdr:row>40</xdr:row>
      <xdr:rowOff>44203</xdr:rowOff>
    </xdr:from>
    <xdr:to>
      <xdr:col>5</xdr:col>
      <xdr:colOff>589759</xdr:colOff>
      <xdr:row>65</xdr:row>
      <xdr:rowOff>104101</xdr:rowOff>
    </xdr:to>
    <xdr:graphicFrame macro="">
      <xdr:nvGraphicFramePr>
        <xdr:cNvPr id="18" name="Gráfico 17">
          <a:extLst>
            <a:ext uri="{FF2B5EF4-FFF2-40B4-BE49-F238E27FC236}">
              <a16:creationId xmlns:a16="http://schemas.microsoft.com/office/drawing/2014/main" id="{70A887A1-0D46-4073-86C8-DB4131D19E01}"/>
            </a:ext>
            <a:ext uri="{147F2762-F138-4A5C-976F-8EAC2B608ADB}">
              <a16:predDERef xmlns:a16="http://schemas.microsoft.com/office/drawing/2014/main" pred="{CF6CAD73-B7AE-499F-8DC4-C21D7FFF8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fPrintsWithSheet="0"/>
  </xdr:twoCellAnchor>
  <xdr:twoCellAnchor>
    <xdr:from>
      <xdr:col>0</xdr:col>
      <xdr:colOff>69272</xdr:colOff>
      <xdr:row>103</xdr:row>
      <xdr:rowOff>51953</xdr:rowOff>
    </xdr:from>
    <xdr:to>
      <xdr:col>3</xdr:col>
      <xdr:colOff>1517308</xdr:colOff>
      <xdr:row>147</xdr:row>
      <xdr:rowOff>75096</xdr:rowOff>
    </xdr:to>
    <xdr:graphicFrame macro="">
      <xdr:nvGraphicFramePr>
        <xdr:cNvPr id="11" name="Gráfico 10">
          <a:extLst>
            <a:ext uri="{FF2B5EF4-FFF2-40B4-BE49-F238E27FC236}">
              <a16:creationId xmlns:a16="http://schemas.microsoft.com/office/drawing/2014/main" id="{ADB6A614-D4E9-4031-B07A-6390E9AE0153}"/>
            </a:ext>
            <a:ext uri="{147F2762-F138-4A5C-976F-8EAC2B608ADB}">
              <a16:predDERef xmlns:a16="http://schemas.microsoft.com/office/drawing/2014/main" pred="{70A887A1-0D46-4073-86C8-DB4131D19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4</xdr:col>
      <xdr:colOff>155863</xdr:colOff>
      <xdr:row>103</xdr:row>
      <xdr:rowOff>17319</xdr:rowOff>
    </xdr:from>
    <xdr:to>
      <xdr:col>9</xdr:col>
      <xdr:colOff>379256</xdr:colOff>
      <xdr:row>147</xdr:row>
      <xdr:rowOff>40462</xdr:rowOff>
    </xdr:to>
    <xdr:graphicFrame macro="">
      <xdr:nvGraphicFramePr>
        <xdr:cNvPr id="13" name="Gráfico 2">
          <a:extLst>
            <a:ext uri="{FF2B5EF4-FFF2-40B4-BE49-F238E27FC236}">
              <a16:creationId xmlns:a16="http://schemas.microsoft.com/office/drawing/2014/main" id="{D06B85C6-2DCE-43B5-86BE-4221BB530793}"/>
            </a:ext>
            <a:ext uri="{147F2762-F138-4A5C-976F-8EAC2B608ADB}">
              <a16:predDERef xmlns:a16="http://schemas.microsoft.com/office/drawing/2014/main" pred="{ADB6A614-D4E9-4031-B07A-6390E9AE0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twoCellAnchor>
    <xdr:from>
      <xdr:col>0</xdr:col>
      <xdr:colOff>190497</xdr:colOff>
      <xdr:row>103</xdr:row>
      <xdr:rowOff>50099</xdr:rowOff>
    </xdr:from>
    <xdr:to>
      <xdr:col>3</xdr:col>
      <xdr:colOff>1638533</xdr:colOff>
      <xdr:row>147</xdr:row>
      <xdr:rowOff>73242</xdr:rowOff>
    </xdr:to>
    <xdr:graphicFrame macro="">
      <xdr:nvGraphicFramePr>
        <xdr:cNvPr id="3" name="Gráfico 3">
          <a:extLst>
            <a:ext uri="{FF2B5EF4-FFF2-40B4-BE49-F238E27FC236}">
              <a16:creationId xmlns:a16="http://schemas.microsoft.com/office/drawing/2014/main" id="{95813E8A-A8E4-49C8-A6DF-05518B58AB16}"/>
            </a:ext>
            <a:ext uri="{147F2762-F138-4A5C-976F-8EAC2B608ADB}">
              <a16:predDERef xmlns:a16="http://schemas.microsoft.com/office/drawing/2014/main" pred="{0394C8A3-C81A-46AA-AD80-33F429690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4</xdr:col>
      <xdr:colOff>977981</xdr:colOff>
      <xdr:row>103</xdr:row>
      <xdr:rowOff>47621</xdr:rowOff>
    </xdr:from>
    <xdr:to>
      <xdr:col>10</xdr:col>
      <xdr:colOff>589053</xdr:colOff>
      <xdr:row>147</xdr:row>
      <xdr:rowOff>70764</xdr:rowOff>
    </xdr:to>
    <xdr:graphicFrame macro="">
      <xdr:nvGraphicFramePr>
        <xdr:cNvPr id="6" name="Gráfico 2">
          <a:extLst>
            <a:ext uri="{FF2B5EF4-FFF2-40B4-BE49-F238E27FC236}">
              <a16:creationId xmlns:a16="http://schemas.microsoft.com/office/drawing/2014/main" id="{AEFBB891-2FBE-4777-AE17-AE9362211885}"/>
            </a:ext>
            <a:ext uri="{147F2762-F138-4A5C-976F-8EAC2B608ADB}">
              <a16:predDERef xmlns:a16="http://schemas.microsoft.com/office/drawing/2014/main" pred="{95813E8A-A8E4-49C8-A6DF-05518B58A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0</xdr:col>
      <xdr:colOff>601806</xdr:colOff>
      <xdr:row>69</xdr:row>
      <xdr:rowOff>24223</xdr:rowOff>
    </xdr:from>
    <xdr:to>
      <xdr:col>6</xdr:col>
      <xdr:colOff>2377056</xdr:colOff>
      <xdr:row>100</xdr:row>
      <xdr:rowOff>202348</xdr:rowOff>
    </xdr:to>
    <xdr:graphicFrame macro="">
      <xdr:nvGraphicFramePr>
        <xdr:cNvPr id="69" name="Gráfico 8">
          <a:extLst>
            <a:ext uri="{FF2B5EF4-FFF2-40B4-BE49-F238E27FC236}">
              <a16:creationId xmlns:a16="http://schemas.microsoft.com/office/drawing/2014/main" id="{86CF6E91-EA09-472B-90A6-47BCE3CC4052}"/>
            </a:ext>
            <a:ext uri="{147F2762-F138-4A5C-976F-8EAC2B608ADB}">
              <a16:predDERef xmlns:a16="http://schemas.microsoft.com/office/drawing/2014/main" pred="{AEFBB891-2FBE-4777-AE17-AE9362211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1</xdr:col>
      <xdr:colOff>2015097</xdr:colOff>
      <xdr:row>40</xdr:row>
      <xdr:rowOff>34602</xdr:rowOff>
    </xdr:from>
    <xdr:to>
      <xdr:col>5</xdr:col>
      <xdr:colOff>610551</xdr:colOff>
      <xdr:row>65</xdr:row>
      <xdr:rowOff>93238</xdr:rowOff>
    </xdr:to>
    <xdr:graphicFrame macro="">
      <xdr:nvGraphicFramePr>
        <xdr:cNvPr id="12" name="Gráfico 3">
          <a:extLst>
            <a:ext uri="{FF2B5EF4-FFF2-40B4-BE49-F238E27FC236}">
              <a16:creationId xmlns:a16="http://schemas.microsoft.com/office/drawing/2014/main" id="{9CADCA27-B6AC-431C-B56E-0D54CDCA2DE4}"/>
            </a:ext>
            <a:ext uri="{147F2762-F138-4A5C-976F-8EAC2B608ADB}">
              <a16:predDERef xmlns:a16="http://schemas.microsoft.com/office/drawing/2014/main" pred="{86CF6E91-EA09-472B-90A6-47BCE3CC4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0</xdr:col>
      <xdr:colOff>23813</xdr:colOff>
      <xdr:row>11</xdr:row>
      <xdr:rowOff>41132</xdr:rowOff>
    </xdr:from>
    <xdr:to>
      <xdr:col>3</xdr:col>
      <xdr:colOff>1130404</xdr:colOff>
      <xdr:row>36</xdr:row>
      <xdr:rowOff>99768</xdr:rowOff>
    </xdr:to>
    <xdr:graphicFrame macro="">
      <xdr:nvGraphicFramePr>
        <xdr:cNvPr id="8" name="Gráfico 7">
          <a:extLst>
            <a:ext uri="{FF2B5EF4-FFF2-40B4-BE49-F238E27FC236}">
              <a16:creationId xmlns:a16="http://schemas.microsoft.com/office/drawing/2014/main" id="{678B7B40-2D53-4316-83A8-4552E51C0337}"/>
            </a:ext>
            <a:ext uri="{147F2762-F138-4A5C-976F-8EAC2B608ADB}">
              <a16:predDERef xmlns:a16="http://schemas.microsoft.com/office/drawing/2014/main" pred="{9CADCA27-B6AC-431C-B56E-0D54CDCA2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3</xdr:col>
      <xdr:colOff>1385451</xdr:colOff>
      <xdr:row>11</xdr:row>
      <xdr:rowOff>34633</xdr:rowOff>
    </xdr:from>
    <xdr:to>
      <xdr:col>6</xdr:col>
      <xdr:colOff>2492042</xdr:colOff>
      <xdr:row>36</xdr:row>
      <xdr:rowOff>93269</xdr:rowOff>
    </xdr:to>
    <xdr:graphicFrame macro="">
      <xdr:nvGraphicFramePr>
        <xdr:cNvPr id="11" name="Gráfico 6">
          <a:extLst>
            <a:ext uri="{FF2B5EF4-FFF2-40B4-BE49-F238E27FC236}">
              <a16:creationId xmlns:a16="http://schemas.microsoft.com/office/drawing/2014/main" id="{57B972B1-F9AF-4689-9D39-B994D8E90C09}"/>
            </a:ext>
            <a:ext uri="{147F2762-F138-4A5C-976F-8EAC2B608ADB}">
              <a16:predDERef xmlns:a16="http://schemas.microsoft.com/office/drawing/2014/main" pred="{678B7B40-2D53-4316-83A8-4552E51C0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drawings/drawing6.xml><?xml version="1.0" encoding="utf-8"?>
<xdr:wsDr xmlns:xdr="http://schemas.openxmlformats.org/drawingml/2006/spreadsheetDrawing" xmlns:a="http://schemas.openxmlformats.org/drawingml/2006/main">
  <xdr:twoCellAnchor>
    <xdr:from>
      <xdr:col>0</xdr:col>
      <xdr:colOff>510887</xdr:colOff>
      <xdr:row>40</xdr:row>
      <xdr:rowOff>51947</xdr:rowOff>
    </xdr:from>
    <xdr:to>
      <xdr:col>6</xdr:col>
      <xdr:colOff>2286137</xdr:colOff>
      <xdr:row>71</xdr:row>
      <xdr:rowOff>230072</xdr:rowOff>
    </xdr:to>
    <xdr:graphicFrame macro="">
      <xdr:nvGraphicFramePr>
        <xdr:cNvPr id="31" name="Gráfico 8">
          <a:extLst>
            <a:ext uri="{FF2B5EF4-FFF2-40B4-BE49-F238E27FC236}">
              <a16:creationId xmlns:a16="http://schemas.microsoft.com/office/drawing/2014/main" id="{65D936B7-D8A6-4D59-AE25-B71D2FEDF962}"/>
            </a:ext>
            <a:ext uri="{147F2762-F138-4A5C-976F-8EAC2B608ADB}">
              <a16:predDERef xmlns:a16="http://schemas.microsoft.com/office/drawing/2014/main" pred="{65E6C130-BC09-43D4-8438-BFB9DFE0C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3</xdr:col>
      <xdr:colOff>1357326</xdr:colOff>
      <xdr:row>11</xdr:row>
      <xdr:rowOff>70317</xdr:rowOff>
    </xdr:from>
    <xdr:to>
      <xdr:col>6</xdr:col>
      <xdr:colOff>2463917</xdr:colOff>
      <xdr:row>36</xdr:row>
      <xdr:rowOff>128953</xdr:rowOff>
    </xdr:to>
    <xdr:graphicFrame macro="">
      <xdr:nvGraphicFramePr>
        <xdr:cNvPr id="7" name="Gráfico 6">
          <a:extLst>
            <a:ext uri="{FF2B5EF4-FFF2-40B4-BE49-F238E27FC236}">
              <a16:creationId xmlns:a16="http://schemas.microsoft.com/office/drawing/2014/main" id="{0270527D-BC6C-4E97-99DC-71783A2A1136}"/>
            </a:ext>
            <a:ext uri="{147F2762-F138-4A5C-976F-8EAC2B608ADB}">
              <a16:predDERef xmlns:a16="http://schemas.microsoft.com/office/drawing/2014/main" pred="{65D936B7-D8A6-4D59-AE25-B71D2FEDF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0</xdr:col>
      <xdr:colOff>155862</xdr:colOff>
      <xdr:row>74</xdr:row>
      <xdr:rowOff>47629</xdr:rowOff>
    </xdr:from>
    <xdr:to>
      <xdr:col>3</xdr:col>
      <xdr:colOff>1603898</xdr:colOff>
      <xdr:row>118</xdr:row>
      <xdr:rowOff>70772</xdr:rowOff>
    </xdr:to>
    <xdr:graphicFrame macro="">
      <xdr:nvGraphicFramePr>
        <xdr:cNvPr id="3" name="Gráfico 2">
          <a:extLst>
            <a:ext uri="{FF2B5EF4-FFF2-40B4-BE49-F238E27FC236}">
              <a16:creationId xmlns:a16="http://schemas.microsoft.com/office/drawing/2014/main" id="{3843F33E-26AB-47B1-B712-FF0EBDCAA6C8}"/>
            </a:ext>
            <a:ext uri="{147F2762-F138-4A5C-976F-8EAC2B608ADB}">
              <a16:predDERef xmlns:a16="http://schemas.microsoft.com/office/drawing/2014/main" pred="{0270527D-BC6C-4E97-99DC-71783A2A1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4</xdr:col>
      <xdr:colOff>946431</xdr:colOff>
      <xdr:row>74</xdr:row>
      <xdr:rowOff>52389</xdr:rowOff>
    </xdr:from>
    <xdr:to>
      <xdr:col>10</xdr:col>
      <xdr:colOff>557503</xdr:colOff>
      <xdr:row>118</xdr:row>
      <xdr:rowOff>75532</xdr:rowOff>
    </xdr:to>
    <xdr:graphicFrame macro="">
      <xdr:nvGraphicFramePr>
        <xdr:cNvPr id="4" name="Gráfico 3">
          <a:extLst>
            <a:ext uri="{FF2B5EF4-FFF2-40B4-BE49-F238E27FC236}">
              <a16:creationId xmlns:a16="http://schemas.microsoft.com/office/drawing/2014/main" id="{0FE276EF-3FBA-4BB5-9526-D81C70282A78}"/>
            </a:ext>
            <a:ext uri="{147F2762-F138-4A5C-976F-8EAC2B608ADB}">
              <a16:predDERef xmlns:a16="http://schemas.microsoft.com/office/drawing/2014/main" pred="{3843F33E-26AB-47B1-B712-FF0EBDCAA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0</xdr:col>
      <xdr:colOff>23818</xdr:colOff>
      <xdr:row>12</xdr:row>
      <xdr:rowOff>4764</xdr:rowOff>
    </xdr:from>
    <xdr:to>
      <xdr:col>3</xdr:col>
      <xdr:colOff>1130409</xdr:colOff>
      <xdr:row>37</xdr:row>
      <xdr:rowOff>63400</xdr:rowOff>
    </xdr:to>
    <xdr:graphicFrame macro="">
      <xdr:nvGraphicFramePr>
        <xdr:cNvPr id="9" name="Gráfico 8">
          <a:extLst>
            <a:ext uri="{FF2B5EF4-FFF2-40B4-BE49-F238E27FC236}">
              <a16:creationId xmlns:a16="http://schemas.microsoft.com/office/drawing/2014/main" id="{EA8CF3FD-770F-4488-82AA-BB5522A600A7}"/>
            </a:ext>
            <a:ext uri="{147F2762-F138-4A5C-976F-8EAC2B608ADB}">
              <a16:predDERef xmlns:a16="http://schemas.microsoft.com/office/drawing/2014/main" pred="{0FE276EF-3FBA-4BB5-9526-D81C70282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07"/>
  <sheetViews>
    <sheetView zoomScale="115" zoomScaleNormal="115" zoomScaleSheetLayoutView="100" workbookViewId="0">
      <selection activeCell="K37" sqref="K37"/>
    </sheetView>
  </sheetViews>
  <sheetFormatPr defaultColWidth="9.140625" defaultRowHeight="15"/>
  <cols>
    <col min="1" max="1" width="7.5703125" style="11" customWidth="1"/>
    <col min="2" max="2" width="24.42578125" style="11" customWidth="1"/>
    <col min="3" max="7" width="15.140625" style="11" customWidth="1"/>
    <col min="8" max="9" width="5" style="11" customWidth="1"/>
    <col min="10" max="16384" width="9.140625" style="1"/>
  </cols>
  <sheetData>
    <row r="1" spans="1:9" ht="6" customHeight="1"/>
    <row r="2" spans="1:9" s="5" customFormat="1" ht="23.25" customHeight="1">
      <c r="A2" s="320" t="s">
        <v>0</v>
      </c>
      <c r="B2" s="320"/>
      <c r="C2" s="320"/>
      <c r="D2" s="320"/>
      <c r="E2" s="320"/>
      <c r="F2" s="320"/>
      <c r="G2" s="320"/>
      <c r="H2" s="320"/>
      <c r="I2" s="320"/>
    </row>
    <row r="3" spans="1:9" ht="6.75" customHeight="1"/>
    <row r="4" spans="1:9" s="2" customFormat="1" ht="17.25" customHeight="1">
      <c r="A4" s="320" t="s">
        <v>1</v>
      </c>
      <c r="B4" s="320"/>
      <c r="C4" s="320"/>
      <c r="D4" s="320"/>
      <c r="E4" s="320"/>
      <c r="F4" s="320"/>
      <c r="G4" s="320"/>
      <c r="H4" s="320"/>
      <c r="I4" s="320"/>
    </row>
    <row r="5" spans="1:9">
      <c r="A5" s="322" t="str">
        <f>'DADOS - PIRITUBA'!B4</f>
        <v>Período: 01/03/2026 à 31/03/2026</v>
      </c>
      <c r="B5" s="322"/>
      <c r="C5" s="322"/>
      <c r="D5" s="322"/>
      <c r="E5" s="322"/>
      <c r="F5" s="322"/>
      <c r="G5" s="322"/>
      <c r="H5" s="322"/>
      <c r="I5" s="322"/>
    </row>
    <row r="6" spans="1:9">
      <c r="A6" s="84"/>
      <c r="B6" s="84"/>
      <c r="C6" s="84"/>
      <c r="D6" s="84"/>
      <c r="E6" s="84"/>
      <c r="F6" s="84"/>
      <c r="G6" s="84"/>
      <c r="H6" s="84"/>
      <c r="I6" s="84"/>
    </row>
    <row r="7" spans="1:9" s="2" customFormat="1" ht="18" hidden="1" customHeight="1">
      <c r="A7" s="321" t="s">
        <v>2</v>
      </c>
      <c r="B7" s="321"/>
      <c r="C7" s="321"/>
      <c r="D7" s="321"/>
      <c r="E7" s="321"/>
      <c r="F7" s="321"/>
      <c r="G7" s="321"/>
      <c r="H7" s="321"/>
      <c r="I7" s="321"/>
    </row>
    <row r="8" spans="1:9" ht="15" hidden="1" customHeight="1">
      <c r="A8" s="39"/>
      <c r="B8" s="39"/>
      <c r="C8" s="39"/>
      <c r="D8" s="39"/>
      <c r="E8" s="39"/>
      <c r="F8" s="39"/>
      <c r="G8" s="39"/>
      <c r="H8" s="39"/>
      <c r="I8" s="39"/>
    </row>
    <row r="9" spans="1:9" ht="15" hidden="1" customHeight="1">
      <c r="A9" s="39"/>
      <c r="B9" s="39"/>
      <c r="C9" s="39"/>
      <c r="D9" s="39"/>
      <c r="E9" s="39"/>
      <c r="F9" s="39"/>
      <c r="G9" s="39"/>
      <c r="H9" s="39"/>
      <c r="I9" s="39"/>
    </row>
    <row r="10" spans="1:9" ht="15" hidden="1" customHeight="1">
      <c r="A10" s="39"/>
      <c r="B10" s="39"/>
      <c r="C10" s="39"/>
      <c r="D10" s="39"/>
      <c r="E10" s="39"/>
      <c r="F10" s="39"/>
      <c r="G10" s="39"/>
      <c r="H10" s="39"/>
      <c r="I10" s="39"/>
    </row>
    <row r="11" spans="1:9" ht="15" hidden="1" customHeight="1">
      <c r="A11" s="39"/>
      <c r="B11" s="39"/>
      <c r="C11" s="39"/>
      <c r="D11" s="39"/>
      <c r="E11" s="39"/>
      <c r="F11" s="39"/>
      <c r="G11" s="39"/>
      <c r="H11" s="39"/>
      <c r="I11" s="39"/>
    </row>
    <row r="12" spans="1:9" ht="15" hidden="1" customHeight="1">
      <c r="A12" s="39"/>
      <c r="B12" s="39"/>
      <c r="C12" s="39"/>
      <c r="D12" s="39"/>
      <c r="E12" s="39"/>
      <c r="F12" s="39"/>
      <c r="G12" s="39"/>
      <c r="H12" s="39"/>
      <c r="I12" s="39"/>
    </row>
    <row r="13" spans="1:9" ht="15" hidden="1" customHeight="1">
      <c r="A13" s="39"/>
      <c r="B13" s="39"/>
      <c r="C13" s="39"/>
      <c r="D13" s="39"/>
      <c r="E13" s="39"/>
      <c r="F13" s="39"/>
      <c r="G13" s="39"/>
      <c r="H13" s="39"/>
      <c r="I13" s="39"/>
    </row>
    <row r="14" spans="1:9" ht="15" hidden="1" customHeight="1">
      <c r="A14" s="39"/>
      <c r="B14" s="39"/>
      <c r="C14" s="39"/>
      <c r="D14" s="39"/>
      <c r="E14" s="39"/>
      <c r="F14" s="39"/>
      <c r="G14" s="39"/>
      <c r="H14" s="39"/>
      <c r="I14" s="39"/>
    </row>
    <row r="15" spans="1:9" ht="15" hidden="1" customHeight="1">
      <c r="A15" s="39"/>
      <c r="B15" s="39"/>
      <c r="C15" s="39"/>
      <c r="D15" s="39"/>
      <c r="E15" s="39"/>
      <c r="F15" s="39"/>
      <c r="G15" s="39"/>
      <c r="H15" s="39"/>
      <c r="I15" s="39"/>
    </row>
    <row r="16" spans="1:9" ht="15" hidden="1" customHeight="1">
      <c r="A16" s="39"/>
      <c r="B16" s="39"/>
      <c r="C16" s="39"/>
      <c r="D16" s="39"/>
      <c r="E16" s="39"/>
      <c r="F16" s="39"/>
      <c r="G16" s="39"/>
      <c r="H16" s="39"/>
      <c r="I16" s="39"/>
    </row>
    <row r="17" spans="1:9" ht="15" hidden="1" customHeight="1">
      <c r="A17" s="39"/>
      <c r="B17" s="39"/>
      <c r="C17" s="39"/>
      <c r="D17" s="39"/>
      <c r="E17" s="39"/>
      <c r="F17" s="39"/>
      <c r="G17" s="39"/>
      <c r="H17" s="39"/>
      <c r="I17" s="39"/>
    </row>
    <row r="18" spans="1:9" ht="15" hidden="1" customHeight="1">
      <c r="A18" s="39"/>
      <c r="B18" s="39"/>
      <c r="C18" s="39"/>
      <c r="D18" s="39"/>
      <c r="E18" s="39"/>
      <c r="F18" s="39"/>
      <c r="G18" s="39"/>
      <c r="H18" s="39"/>
      <c r="I18" s="39"/>
    </row>
    <row r="19" spans="1:9" ht="15" hidden="1" customHeight="1">
      <c r="A19" s="39"/>
      <c r="B19" s="39"/>
      <c r="C19" s="39"/>
      <c r="D19" s="39"/>
      <c r="E19" s="39"/>
      <c r="F19" s="39"/>
      <c r="G19" s="39"/>
      <c r="H19" s="39"/>
      <c r="I19" s="39"/>
    </row>
    <row r="20" spans="1:9" ht="15" hidden="1" customHeight="1">
      <c r="A20" s="39"/>
      <c r="B20" s="40" t="s">
        <v>3</v>
      </c>
      <c r="C20" s="40"/>
      <c r="D20" s="40"/>
      <c r="E20" s="40"/>
      <c r="F20" s="40"/>
      <c r="G20" s="40"/>
      <c r="H20" s="40"/>
      <c r="I20" s="40"/>
    </row>
    <row r="21" spans="1:9" ht="6.75" hidden="1" customHeight="1">
      <c r="A21" s="39"/>
      <c r="B21" s="40"/>
      <c r="C21" s="40"/>
      <c r="D21" s="40"/>
      <c r="E21" s="40"/>
      <c r="F21" s="40"/>
      <c r="G21" s="40"/>
      <c r="H21" s="40"/>
      <c r="I21" s="40"/>
    </row>
    <row r="22" spans="1:9" ht="15" hidden="1" customHeight="1">
      <c r="A22" s="39"/>
      <c r="B22" s="323" t="s">
        <v>4</v>
      </c>
      <c r="C22" s="323"/>
      <c r="D22" s="323"/>
      <c r="E22" s="323"/>
      <c r="F22" s="323"/>
      <c r="G22" s="323"/>
      <c r="H22" s="40"/>
      <c r="I22" s="40"/>
    </row>
    <row r="23" spans="1:9" ht="6" hidden="1" customHeight="1">
      <c r="A23" s="39"/>
      <c r="B23" s="40"/>
      <c r="C23" s="40"/>
      <c r="D23" s="40"/>
      <c r="E23" s="40"/>
      <c r="F23" s="40"/>
      <c r="G23" s="40"/>
      <c r="H23" s="40"/>
      <c r="I23" s="40"/>
    </row>
    <row r="24" spans="1:9" ht="15" hidden="1" customHeight="1">
      <c r="A24" s="39"/>
      <c r="B24" s="40" t="s">
        <v>5</v>
      </c>
      <c r="C24" s="40"/>
      <c r="D24" s="40"/>
      <c r="E24" s="40"/>
      <c r="F24" s="40"/>
      <c r="G24" s="40"/>
      <c r="H24" s="40"/>
      <c r="I24" s="40"/>
    </row>
    <row r="25" spans="1:9" ht="15" hidden="1" customHeight="1">
      <c r="A25" s="39"/>
      <c r="B25" s="40" t="s">
        <v>6</v>
      </c>
      <c r="C25" s="40"/>
      <c r="D25" s="40"/>
      <c r="E25" s="40"/>
      <c r="F25" s="40"/>
      <c r="G25" s="40"/>
      <c r="H25" s="40"/>
      <c r="I25" s="40"/>
    </row>
    <row r="26" spans="1:9" ht="15" hidden="1" customHeight="1">
      <c r="A26" s="39"/>
      <c r="B26" s="40" t="s">
        <v>7</v>
      </c>
      <c r="C26" s="40"/>
      <c r="D26" s="40"/>
      <c r="E26" s="40"/>
      <c r="F26" s="40"/>
      <c r="G26" s="40"/>
      <c r="H26" s="40"/>
      <c r="I26" s="40"/>
    </row>
    <row r="27" spans="1:9" ht="15" hidden="1" customHeight="1">
      <c r="A27" s="39"/>
      <c r="B27" s="40" t="s">
        <v>8</v>
      </c>
      <c r="C27" s="40"/>
      <c r="D27" s="40"/>
      <c r="E27" s="40"/>
      <c r="F27" s="40"/>
      <c r="G27" s="40"/>
      <c r="H27" s="40"/>
      <c r="I27" s="40"/>
    </row>
    <row r="28" spans="1:9" ht="6.75" hidden="1" customHeight="1">
      <c r="A28" s="39"/>
      <c r="B28" s="40"/>
      <c r="C28" s="40"/>
      <c r="D28" s="40"/>
      <c r="E28" s="40"/>
      <c r="F28" s="40"/>
      <c r="G28" s="40"/>
      <c r="H28" s="40"/>
      <c r="I28" s="40"/>
    </row>
    <row r="29" spans="1:9" ht="15" hidden="1" customHeight="1">
      <c r="A29" s="39"/>
      <c r="B29" s="40" t="s">
        <v>9</v>
      </c>
      <c r="C29" s="40"/>
      <c r="D29" s="40"/>
      <c r="E29" s="40"/>
      <c r="F29" s="40"/>
      <c r="G29" s="40"/>
      <c r="H29" s="40"/>
      <c r="I29" s="40"/>
    </row>
    <row r="30" spans="1:9" ht="7.5" hidden="1" customHeight="1">
      <c r="A30" s="39"/>
      <c r="B30" s="40"/>
      <c r="C30" s="40"/>
      <c r="D30" s="40"/>
      <c r="E30" s="40"/>
      <c r="F30" s="40"/>
      <c r="G30" s="40"/>
      <c r="H30" s="40"/>
      <c r="I30" s="40"/>
    </row>
    <row r="31" spans="1:9" ht="15" hidden="1" customHeight="1">
      <c r="A31" s="324" t="s">
        <v>10</v>
      </c>
      <c r="B31" s="324"/>
      <c r="C31" s="324"/>
      <c r="D31" s="324"/>
      <c r="E31" s="324"/>
      <c r="F31" s="324"/>
      <c r="G31" s="324"/>
      <c r="H31" s="324"/>
      <c r="I31" s="324"/>
    </row>
    <row r="32" spans="1:9" ht="15" customHeight="1">
      <c r="A32" s="324"/>
      <c r="B32" s="324"/>
      <c r="C32" s="324"/>
      <c r="D32" s="324"/>
      <c r="E32" s="324"/>
      <c r="F32" s="324"/>
      <c r="G32" s="324"/>
      <c r="H32" s="324"/>
      <c r="I32" s="324"/>
    </row>
    <row r="33" spans="1:9">
      <c r="A33" s="5"/>
      <c r="B33" s="41"/>
      <c r="C33" s="41"/>
      <c r="D33" s="41"/>
      <c r="E33" s="41"/>
      <c r="F33" s="41"/>
      <c r="G33" s="41"/>
      <c r="H33" s="41"/>
      <c r="I33" s="41"/>
    </row>
    <row r="34" spans="1:9" s="2" customFormat="1" ht="24" customHeight="1">
      <c r="A34" s="320" t="s">
        <v>11</v>
      </c>
      <c r="B34" s="320"/>
      <c r="C34" s="320"/>
      <c r="D34" s="320"/>
      <c r="E34" s="320"/>
      <c r="F34" s="320"/>
      <c r="G34" s="320"/>
      <c r="H34" s="320"/>
      <c r="I34" s="320"/>
    </row>
    <row r="36" spans="1:9" ht="15" customHeight="1">
      <c r="B36" s="322" t="s">
        <v>12</v>
      </c>
      <c r="C36" s="322"/>
      <c r="D36" s="322"/>
      <c r="E36" s="322" t="s">
        <v>13</v>
      </c>
      <c r="F36" s="322"/>
      <c r="G36" s="322"/>
      <c r="H36" s="322"/>
      <c r="I36" s="322"/>
    </row>
    <row r="40" spans="1:9" s="2" customFormat="1" ht="22.5" customHeight="1">
      <c r="A40" s="5"/>
      <c r="B40" s="5"/>
      <c r="C40" s="5"/>
      <c r="D40" s="5"/>
      <c r="E40" s="5"/>
      <c r="F40" s="5"/>
      <c r="G40" s="5"/>
      <c r="H40" s="5"/>
      <c r="I40" s="5"/>
    </row>
    <row r="50" spans="1:9" ht="15.75" customHeight="1"/>
    <row r="51" spans="1:9" ht="15.75" customHeight="1">
      <c r="B51" s="135" t="s">
        <v>14</v>
      </c>
      <c r="C51" s="330" t="s">
        <v>15</v>
      </c>
      <c r="D51" s="331"/>
      <c r="E51" s="332"/>
    </row>
    <row r="52" spans="1:9" ht="15.75" customHeight="1">
      <c r="B52" s="48" t="s">
        <v>16</v>
      </c>
      <c r="C52" s="333">
        <v>0</v>
      </c>
      <c r="D52" s="334"/>
      <c r="E52" s="335"/>
    </row>
    <row r="53" spans="1:9" ht="15.75" customHeight="1">
      <c r="B53" s="48" t="s">
        <v>17</v>
      </c>
      <c r="C53" s="333">
        <v>0</v>
      </c>
      <c r="D53" s="334"/>
      <c r="E53" s="335"/>
    </row>
    <row r="54" spans="1:9" ht="15.75" customHeight="1">
      <c r="B54" s="48" t="s">
        <v>18</v>
      </c>
      <c r="C54" s="333">
        <v>0</v>
      </c>
      <c r="D54" s="334"/>
      <c r="E54" s="335"/>
    </row>
    <row r="55" spans="1:9" ht="15.75" customHeight="1"/>
    <row r="57" spans="1:9" ht="20.25" customHeight="1">
      <c r="A57" s="320" t="s">
        <v>19</v>
      </c>
      <c r="B57" s="320"/>
      <c r="C57" s="320"/>
      <c r="D57" s="320"/>
      <c r="E57" s="320"/>
      <c r="F57" s="320"/>
      <c r="G57" s="320"/>
      <c r="H57" s="320"/>
      <c r="I57" s="320"/>
    </row>
    <row r="84" spans="1:9" ht="22.5" customHeight="1">
      <c r="A84" s="328" t="s">
        <v>20</v>
      </c>
      <c r="B84" s="328"/>
      <c r="C84" s="328"/>
      <c r="D84" s="328"/>
      <c r="E84" s="328"/>
      <c r="F84" s="328"/>
      <c r="G84" s="328"/>
      <c r="H84" s="328"/>
      <c r="I84" s="328"/>
    </row>
    <row r="85" spans="1:9" ht="15" customHeight="1">
      <c r="A85" s="329" t="str">
        <f>'DADOS - PIRITUBA'!B4</f>
        <v>Período: 01/03/2026 à 31/03/2026</v>
      </c>
      <c r="B85" s="329"/>
      <c r="C85" s="329"/>
      <c r="D85" s="329"/>
      <c r="E85" s="329"/>
      <c r="F85" s="329"/>
      <c r="G85" s="329"/>
      <c r="H85" s="329"/>
      <c r="I85" s="329"/>
    </row>
    <row r="86" spans="1:9" ht="19.5" customHeight="1">
      <c r="B86" s="328" t="s">
        <v>21</v>
      </c>
      <c r="C86" s="328"/>
      <c r="D86" s="328"/>
      <c r="E86" s="328"/>
      <c r="F86" s="328"/>
      <c r="G86" s="328"/>
      <c r="H86" s="328"/>
      <c r="I86" s="142"/>
    </row>
    <row r="95" spans="1:9" s="2" customFormat="1" ht="22.5" customHeight="1">
      <c r="A95" s="5"/>
      <c r="B95" s="5"/>
      <c r="C95" s="5"/>
      <c r="D95" s="5"/>
      <c r="E95" s="5"/>
      <c r="F95" s="5"/>
      <c r="G95" s="5"/>
      <c r="H95" s="5"/>
      <c r="I95" s="5"/>
    </row>
    <row r="101" spans="2:7" ht="36" customHeight="1">
      <c r="B101" s="325" t="s">
        <v>22</v>
      </c>
      <c r="C101" s="326"/>
      <c r="D101" s="326"/>
      <c r="E101" s="326"/>
      <c r="F101" s="326"/>
      <c r="G101" s="327"/>
    </row>
    <row r="102" spans="2:7" ht="45">
      <c r="B102" s="128" t="s">
        <v>23</v>
      </c>
      <c r="C102" s="129" t="s">
        <v>24</v>
      </c>
      <c r="D102" s="129" t="s">
        <v>25</v>
      </c>
      <c r="E102" s="129" t="s">
        <v>26</v>
      </c>
      <c r="F102" s="129" t="s">
        <v>27</v>
      </c>
      <c r="G102" s="129" t="s">
        <v>28</v>
      </c>
    </row>
    <row r="103" spans="2:7" ht="22.5" customHeight="1">
      <c r="B103" s="143" t="s">
        <v>16</v>
      </c>
      <c r="C103" s="62">
        <f>D103+E103</f>
        <v>751</v>
      </c>
      <c r="D103" s="62">
        <f>COUNTIF(ÁGUA!AF:AF,"Nc")</f>
        <v>133</v>
      </c>
      <c r="E103" s="62">
        <f>COUNTIF(ÁGUA!AF:AF,"c")</f>
        <v>618</v>
      </c>
      <c r="F103" s="50">
        <f t="shared" ref="F103:F105" si="0">IFERROR(D103/C103,"-")</f>
        <v>0.17709720372836218</v>
      </c>
      <c r="G103" s="50">
        <f t="shared" ref="G103:G105" si="1">IFERROR(100%-F103,"-")</f>
        <v>0.82290279627163776</v>
      </c>
    </row>
    <row r="104" spans="2:7" ht="22.5" customHeight="1">
      <c r="B104" s="143" t="s">
        <v>17</v>
      </c>
      <c r="C104" s="62">
        <f>D104+E104</f>
        <v>160</v>
      </c>
      <c r="D104" s="62">
        <f>COUNTIF(ESGOTO!AF:AF,"NC")</f>
        <v>149</v>
      </c>
      <c r="E104" s="62">
        <f>COUNTIF(ESGOTO!AF:AF,"C")</f>
        <v>11</v>
      </c>
      <c r="F104" s="50">
        <f t="shared" si="0"/>
        <v>0.93125000000000002</v>
      </c>
      <c r="G104" s="50">
        <f t="shared" si="1"/>
        <v>6.8749999999999978E-2</v>
      </c>
    </row>
    <row r="105" spans="2:7" ht="22.5" customHeight="1">
      <c r="B105" s="143" t="s">
        <v>29</v>
      </c>
      <c r="C105" s="62">
        <f>D105+E105</f>
        <v>717</v>
      </c>
      <c r="D105" s="62">
        <f>COUNTIF(CAVALETE!Z:Z,"nc")</f>
        <v>505</v>
      </c>
      <c r="E105" s="62">
        <f>COUNTIF(CAVALETE!Z:Z,"C")</f>
        <v>212</v>
      </c>
      <c r="F105" s="50">
        <f t="shared" si="0"/>
        <v>0.70432357043235705</v>
      </c>
      <c r="G105" s="50">
        <f t="shared" si="1"/>
        <v>0.29567642956764295</v>
      </c>
    </row>
    <row r="106" spans="2:7" ht="22.5" customHeight="1">
      <c r="B106" s="144" t="s">
        <v>18</v>
      </c>
      <c r="C106" s="73">
        <f>D106+E106</f>
        <v>81</v>
      </c>
      <c r="D106" s="73">
        <f>COUNTIF(REPOSIÇÃO!AF:AF,"nC")</f>
        <v>81</v>
      </c>
      <c r="E106" s="62">
        <f>COUNTIF(REPOSIÇÃO!AF:AF,"c")</f>
        <v>0</v>
      </c>
      <c r="F106" s="50">
        <f>IFERROR(D106/C106,"-")</f>
        <v>1</v>
      </c>
      <c r="G106" s="50">
        <f>IFERROR(100%-F106,"-")</f>
        <v>0</v>
      </c>
    </row>
    <row r="107" spans="2:7" ht="28.5" customHeight="1">
      <c r="B107" s="130"/>
      <c r="C107" s="131"/>
      <c r="D107" s="131"/>
      <c r="E107" s="132"/>
      <c r="F107" s="133" t="s">
        <v>30</v>
      </c>
      <c r="G107" s="134">
        <f>IFERROR(AVERAGE(G103,G104,G105,G106), "-")</f>
        <v>0.29683230645982017</v>
      </c>
    </row>
  </sheetData>
  <mergeCells count="18">
    <mergeCell ref="B101:G101"/>
    <mergeCell ref="B36:D36"/>
    <mergeCell ref="E36:I36"/>
    <mergeCell ref="A84:I84"/>
    <mergeCell ref="A85:I85"/>
    <mergeCell ref="A57:I57"/>
    <mergeCell ref="C51:E51"/>
    <mergeCell ref="C52:E52"/>
    <mergeCell ref="C53:E53"/>
    <mergeCell ref="C54:E54"/>
    <mergeCell ref="B86:H86"/>
    <mergeCell ref="A2:I2"/>
    <mergeCell ref="A4:I4"/>
    <mergeCell ref="A7:I7"/>
    <mergeCell ref="A34:I34"/>
    <mergeCell ref="A5:I5"/>
    <mergeCell ref="B22:G22"/>
    <mergeCell ref="A31:I32"/>
  </mergeCells>
  <pageMargins left="0.511811024" right="0.511811024" top="0.78740157499999996" bottom="0.78740157499999996" header="0.31496062000000002" footer="0.31496062000000002"/>
  <pageSetup paperSize="9" scale="78"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6:K42"/>
  <sheetViews>
    <sheetView topLeftCell="A13" zoomScaleNormal="100" zoomScaleSheetLayoutView="115" workbookViewId="0">
      <selection activeCell="V27" sqref="V27"/>
    </sheetView>
  </sheetViews>
  <sheetFormatPr defaultColWidth="9.140625" defaultRowHeight="14.25"/>
  <cols>
    <col min="1" max="9" width="9.140625" style="1"/>
    <col min="10" max="10" width="9.140625" style="1" customWidth="1"/>
    <col min="11" max="16384" width="9.140625" style="1"/>
  </cols>
  <sheetData>
    <row r="16" ht="18.75" customHeight="1"/>
    <row r="17" spans="3:11" ht="18.75" customHeight="1"/>
    <row r="18" spans="3:11" ht="44.25">
      <c r="C18" s="339" t="s">
        <v>31</v>
      </c>
      <c r="D18" s="339"/>
      <c r="E18" s="339"/>
      <c r="F18" s="339"/>
      <c r="G18" s="339"/>
      <c r="H18" s="339"/>
      <c r="I18" s="339"/>
      <c r="J18" s="339"/>
      <c r="K18" s="7"/>
    </row>
    <row r="19" spans="3:11">
      <c r="C19" s="6"/>
      <c r="D19" s="6"/>
      <c r="E19" s="6"/>
      <c r="F19" s="6"/>
      <c r="G19" s="6"/>
      <c r="H19" s="6"/>
      <c r="I19" s="6"/>
      <c r="J19" s="6"/>
      <c r="K19" s="6"/>
    </row>
    <row r="20" spans="3:11" ht="18">
      <c r="C20" s="338" t="s">
        <v>32</v>
      </c>
      <c r="D20" s="338"/>
      <c r="E20" s="338"/>
      <c r="F20" s="338"/>
      <c r="G20" s="338"/>
      <c r="H20" s="338"/>
      <c r="I20" s="338"/>
      <c r="J20" s="338"/>
      <c r="K20" s="8"/>
    </row>
    <row r="21" spans="3:11">
      <c r="C21" s="337" t="str">
        <f>'DADOS - PIRITUBA'!B4</f>
        <v>Período: 01/03/2026 à 31/03/2026</v>
      </c>
      <c r="D21" s="337"/>
      <c r="E21" s="337"/>
      <c r="F21" s="337"/>
      <c r="G21" s="337"/>
      <c r="H21" s="337"/>
      <c r="I21" s="337"/>
      <c r="J21" s="337"/>
      <c r="K21" s="4"/>
    </row>
    <row r="35" spans="3:10" ht="17.25" customHeight="1">
      <c r="C35" s="194" t="s">
        <v>0</v>
      </c>
      <c r="D35" s="11"/>
      <c r="E35" s="11"/>
      <c r="F35" s="11"/>
      <c r="G35" s="11"/>
    </row>
    <row r="36" spans="3:10" ht="17.25" customHeight="1">
      <c r="C36" s="194" t="s">
        <v>33</v>
      </c>
      <c r="D36" s="11"/>
      <c r="E36" s="11"/>
      <c r="F36" s="11"/>
      <c r="G36" s="11"/>
    </row>
    <row r="37" spans="3:10" ht="17.25" customHeight="1">
      <c r="C37" s="194" t="s">
        <v>34</v>
      </c>
      <c r="D37" s="11"/>
      <c r="E37" s="11"/>
      <c r="F37" s="11"/>
      <c r="G37" s="11"/>
    </row>
    <row r="38" spans="3:10" ht="15">
      <c r="C38" s="11"/>
      <c r="D38" s="11"/>
      <c r="E38" s="11"/>
      <c r="F38" s="11"/>
      <c r="G38" s="11"/>
    </row>
    <row r="41" spans="3:10" ht="15" customHeight="1">
      <c r="C41" s="336" t="s">
        <v>35</v>
      </c>
      <c r="D41" s="336"/>
      <c r="E41" s="336"/>
      <c r="F41" s="336"/>
      <c r="G41" s="336"/>
      <c r="H41" s="336"/>
      <c r="I41" s="336"/>
      <c r="J41" s="336"/>
    </row>
    <row r="42" spans="3:10" ht="15" customHeight="1">
      <c r="C42" s="336">
        <v>2026</v>
      </c>
      <c r="D42" s="336"/>
      <c r="E42" s="336"/>
      <c r="F42" s="336"/>
      <c r="G42" s="336"/>
      <c r="H42" s="336"/>
      <c r="I42" s="336"/>
      <c r="J42" s="336"/>
    </row>
  </sheetData>
  <mergeCells count="5">
    <mergeCell ref="C42:J42"/>
    <mergeCell ref="C41:J41"/>
    <mergeCell ref="C21:J21"/>
    <mergeCell ref="C20:J20"/>
    <mergeCell ref="C18:J18"/>
  </mergeCells>
  <phoneticPr fontId="11" type="noConversion"/>
  <pageMargins left="0.51181102362204722" right="0.14000000000000001" top="0.78740157480314965" bottom="0.78740157480314965" header="0.31495953630796153" footer="0.3149595363079615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63"/>
  <sheetViews>
    <sheetView zoomScale="70" zoomScaleNormal="70" workbookViewId="0">
      <selection activeCell="L12" sqref="L12"/>
    </sheetView>
  </sheetViews>
  <sheetFormatPr defaultColWidth="9.140625" defaultRowHeight="18"/>
  <cols>
    <col min="1" max="1" width="4.5703125" style="20" customWidth="1"/>
    <col min="2" max="2" width="62.42578125" style="20" bestFit="1" customWidth="1"/>
    <col min="3" max="3" width="24.5703125" style="20" bestFit="1" customWidth="1"/>
    <col min="4" max="4" width="25.28515625" style="20" customWidth="1"/>
    <col min="5" max="5" width="24.7109375" style="20" bestFit="1" customWidth="1"/>
    <col min="6" max="6" width="29.5703125" style="20" bestFit="1" customWidth="1"/>
    <col min="7" max="7" width="29.42578125" style="20" bestFit="1" customWidth="1"/>
    <col min="8" max="9" width="9.140625" style="20"/>
    <col min="10" max="10" width="12.42578125" style="20" bestFit="1" customWidth="1"/>
    <col min="11" max="16384" width="9.140625" style="20"/>
  </cols>
  <sheetData>
    <row r="1" spans="1:7" s="1" customFormat="1" ht="15">
      <c r="A1" s="11"/>
      <c r="B1" s="11"/>
      <c r="C1" s="11"/>
      <c r="D1" s="11"/>
      <c r="E1" s="11"/>
      <c r="F1" s="11"/>
      <c r="G1" s="11"/>
    </row>
    <row r="2" spans="1:7" s="2" customFormat="1" ht="15">
      <c r="A2" s="5"/>
      <c r="B2" s="357" t="s">
        <v>36</v>
      </c>
      <c r="C2" s="358"/>
      <c r="D2" s="358"/>
      <c r="E2" s="358"/>
      <c r="F2" s="358"/>
      <c r="G2" s="359"/>
    </row>
    <row r="3" spans="1:7" s="1" customFormat="1" ht="20.25" customHeight="1">
      <c r="A3" s="11"/>
      <c r="B3" s="361" t="s">
        <v>1</v>
      </c>
      <c r="C3" s="362"/>
      <c r="D3" s="362"/>
      <c r="E3" s="362"/>
      <c r="F3" s="362"/>
      <c r="G3" s="363"/>
    </row>
    <row r="4" spans="1:7" s="1" customFormat="1" ht="15">
      <c r="A4" s="11"/>
      <c r="B4" s="364" t="s">
        <v>37</v>
      </c>
      <c r="C4" s="364"/>
      <c r="D4" s="364"/>
      <c r="E4" s="364"/>
      <c r="F4" s="364"/>
      <c r="G4" s="364"/>
    </row>
    <row r="5" spans="1:7" s="1" customFormat="1" ht="15">
      <c r="A5" s="11"/>
      <c r="B5" s="11"/>
      <c r="C5" s="11"/>
      <c r="D5" s="11"/>
      <c r="E5" s="11"/>
      <c r="F5" s="11"/>
      <c r="G5" s="11"/>
    </row>
    <row r="6" spans="1:7" s="2" customFormat="1" ht="24.75" customHeight="1">
      <c r="A6" s="5"/>
      <c r="B6" s="356" t="s">
        <v>38</v>
      </c>
      <c r="C6" s="356"/>
      <c r="D6" s="356"/>
      <c r="E6" s="356"/>
      <c r="F6" s="356"/>
      <c r="G6" s="356"/>
    </row>
    <row r="7" spans="1:7" s="1" customFormat="1" ht="21.75" customHeight="1">
      <c r="A7" s="11"/>
      <c r="B7" s="117" t="s">
        <v>39</v>
      </c>
      <c r="C7" s="12"/>
      <c r="D7" s="13"/>
      <c r="E7" s="13"/>
      <c r="F7" s="13"/>
      <c r="G7" s="9"/>
    </row>
    <row r="8" spans="1:7" s="1" customFormat="1" ht="15">
      <c r="A8" s="11"/>
      <c r="B8" s="14"/>
      <c r="C8" s="14"/>
      <c r="D8" s="14"/>
      <c r="E8" s="14"/>
      <c r="F8" s="14"/>
      <c r="G8" s="14"/>
    </row>
    <row r="9" spans="1:7" s="2" customFormat="1" ht="24.75" customHeight="1">
      <c r="A9" s="5"/>
      <c r="B9" s="102"/>
      <c r="C9" s="100"/>
      <c r="D9" s="370" t="s">
        <v>40</v>
      </c>
      <c r="E9" s="370"/>
      <c r="F9" s="370"/>
      <c r="G9" s="101"/>
    </row>
    <row r="10" spans="1:7" s="1" customFormat="1" ht="17.25" customHeight="1">
      <c r="A10" s="11"/>
      <c r="B10" s="118" t="s">
        <v>23</v>
      </c>
      <c r="C10" s="369" t="s">
        <v>41</v>
      </c>
      <c r="D10" s="365"/>
      <c r="E10" s="365" t="s">
        <v>13</v>
      </c>
      <c r="F10" s="365"/>
      <c r="G10" s="366"/>
    </row>
    <row r="11" spans="1:7" s="1" customFormat="1" ht="17.25" customHeight="1">
      <c r="A11" s="11"/>
      <c r="B11" s="119" t="s">
        <v>16</v>
      </c>
      <c r="C11" s="371">
        <v>1</v>
      </c>
      <c r="D11" s="372"/>
      <c r="E11" s="367">
        <v>100</v>
      </c>
      <c r="F11" s="367"/>
      <c r="G11" s="368"/>
    </row>
    <row r="12" spans="1:7" s="1" customFormat="1" ht="17.25" customHeight="1">
      <c r="A12" s="11"/>
      <c r="B12" s="119" t="s">
        <v>17</v>
      </c>
      <c r="C12" s="371">
        <v>0.5</v>
      </c>
      <c r="D12" s="372"/>
      <c r="E12" s="367">
        <v>50</v>
      </c>
      <c r="F12" s="367"/>
      <c r="G12" s="368"/>
    </row>
    <row r="13" spans="1:7" s="1" customFormat="1" ht="17.25" customHeight="1">
      <c r="A13" s="11"/>
      <c r="B13" s="119" t="s">
        <v>18</v>
      </c>
      <c r="C13" s="371">
        <v>0.1</v>
      </c>
      <c r="D13" s="372"/>
      <c r="E13" s="367">
        <v>1</v>
      </c>
      <c r="F13" s="367"/>
      <c r="G13" s="368"/>
    </row>
    <row r="14" spans="1:7" s="1" customFormat="1" ht="17.25" customHeight="1">
      <c r="A14" s="11"/>
      <c r="B14" s="15"/>
      <c r="C14" s="15"/>
      <c r="D14" s="11"/>
      <c r="E14" s="11"/>
      <c r="F14" s="11"/>
      <c r="G14" s="11"/>
    </row>
    <row r="15" spans="1:7" s="1" customFormat="1" ht="17.25" customHeight="1">
      <c r="A15" s="11"/>
      <c r="B15" s="356" t="s">
        <v>36</v>
      </c>
      <c r="C15" s="356"/>
      <c r="D15" s="11"/>
      <c r="E15" s="195" t="s">
        <v>42</v>
      </c>
      <c r="F15" s="195">
        <f>('GRÁFICOS - ÁGUA'!B8+'GRÁFICOS - ESGOTO'!B8+'GRÁFICOS - CAVALETE'!B8+'GRÁFICOS - REPOSIÇÃO'!B8)</f>
        <v>27</v>
      </c>
      <c r="G15" s="11"/>
    </row>
    <row r="16" spans="1:7" s="1" customFormat="1" ht="17.25" customHeight="1">
      <c r="A16" s="11"/>
      <c r="B16" s="120" t="s">
        <v>43</v>
      </c>
      <c r="C16" s="50">
        <v>0</v>
      </c>
      <c r="D16" s="11"/>
      <c r="E16" s="11"/>
      <c r="F16" s="11"/>
      <c r="G16" s="11"/>
    </row>
    <row r="17" spans="1:7" s="1" customFormat="1" ht="17.25" customHeight="1">
      <c r="A17" s="11"/>
      <c r="B17" s="120" t="s">
        <v>44</v>
      </c>
      <c r="C17" s="50">
        <v>0</v>
      </c>
      <c r="D17" s="11"/>
      <c r="E17" s="11"/>
      <c r="F17" s="11"/>
      <c r="G17" s="11"/>
    </row>
    <row r="18" spans="1:7" s="1" customFormat="1" ht="17.25" customHeight="1">
      <c r="A18" s="11"/>
      <c r="B18" s="120" t="s">
        <v>45</v>
      </c>
      <c r="C18" s="50">
        <v>0</v>
      </c>
      <c r="D18" s="11"/>
      <c r="E18" s="11"/>
      <c r="F18" s="11"/>
      <c r="G18" s="11"/>
    </row>
    <row r="19" spans="1:7" s="1" customFormat="1" ht="17.25" customHeight="1">
      <c r="A19" s="11"/>
      <c r="B19" s="120" t="s">
        <v>46</v>
      </c>
      <c r="C19" s="50">
        <v>0</v>
      </c>
      <c r="D19" s="11"/>
      <c r="E19" s="11"/>
      <c r="F19" s="11"/>
      <c r="G19" s="11"/>
    </row>
    <row r="20" spans="1:7" s="1" customFormat="1" ht="17.25" customHeight="1">
      <c r="A20" s="11"/>
      <c r="B20" s="15"/>
      <c r="C20" s="15"/>
      <c r="D20" s="11"/>
      <c r="E20" s="11"/>
      <c r="F20" s="11"/>
      <c r="G20" s="11"/>
    </row>
    <row r="21" spans="1:7" s="1" customFormat="1" ht="15">
      <c r="A21" s="11"/>
      <c r="B21" s="11"/>
      <c r="C21" s="11"/>
      <c r="D21" s="11"/>
      <c r="E21" s="11"/>
      <c r="F21" s="11"/>
      <c r="G21" s="11"/>
    </row>
    <row r="22" spans="1:7" s="1" customFormat="1" ht="21" customHeight="1">
      <c r="A22" s="11"/>
      <c r="B22" s="360" t="s">
        <v>20</v>
      </c>
      <c r="C22" s="360"/>
      <c r="D22" s="360"/>
      <c r="E22" s="360"/>
      <c r="F22" s="360"/>
      <c r="G22" s="360"/>
    </row>
    <row r="23" spans="1:7" s="1" customFormat="1" ht="15">
      <c r="A23" s="11"/>
      <c r="B23" s="11"/>
      <c r="C23" s="11"/>
      <c r="D23" s="11"/>
      <c r="E23" s="11"/>
      <c r="F23" s="11"/>
      <c r="G23" s="11"/>
    </row>
    <row r="24" spans="1:7" s="2" customFormat="1" ht="24.75" customHeight="1">
      <c r="A24" s="5"/>
      <c r="B24" s="341" t="s">
        <v>22</v>
      </c>
      <c r="C24" s="342"/>
      <c r="D24" s="342"/>
      <c r="E24" s="342"/>
      <c r="F24" s="342"/>
      <c r="G24" s="343"/>
    </row>
    <row r="25" spans="1:7" s="1" customFormat="1" ht="30.75" customHeight="1">
      <c r="A25" s="11"/>
      <c r="B25" s="103" t="s">
        <v>23</v>
      </c>
      <c r="C25" s="104" t="s">
        <v>24</v>
      </c>
      <c r="D25" s="104" t="s">
        <v>25</v>
      </c>
      <c r="E25" s="104" t="s">
        <v>26</v>
      </c>
      <c r="F25" s="104" t="s">
        <v>27</v>
      </c>
      <c r="G25" s="104" t="s">
        <v>28</v>
      </c>
    </row>
    <row r="26" spans="1:7" s="1" customFormat="1" ht="21" customHeight="1">
      <c r="A26" s="11"/>
      <c r="B26" s="120" t="s">
        <v>16</v>
      </c>
      <c r="C26" s="62">
        <f>D26+E26</f>
        <v>751</v>
      </c>
      <c r="D26" s="62">
        <f>COUNTIF(ÁGUA!AF:AF,"Nc")</f>
        <v>133</v>
      </c>
      <c r="E26" s="62">
        <f>COUNTIF(ÁGUA!AF:AF,"c")</f>
        <v>618</v>
      </c>
      <c r="F26" s="50">
        <f>IFERROR(D26/C26,"-")</f>
        <v>0.17709720372836218</v>
      </c>
      <c r="G26" s="50">
        <f>IFERROR(100%-F26,"-")</f>
        <v>0.82290279627163776</v>
      </c>
    </row>
    <row r="27" spans="1:7" s="1" customFormat="1" ht="21" customHeight="1">
      <c r="A27" s="11"/>
      <c r="B27" s="120" t="s">
        <v>17</v>
      </c>
      <c r="C27" s="62">
        <f>D27+E27</f>
        <v>160</v>
      </c>
      <c r="D27" s="62">
        <f>COUNTIF(ESGOTO!AF:AF,"NC")</f>
        <v>149</v>
      </c>
      <c r="E27" s="62">
        <f>COUNTIF(ESGOTO!AF:AF,"C")</f>
        <v>11</v>
      </c>
      <c r="F27" s="50">
        <f t="shared" ref="F27:F29" si="0">IFERROR(D27/C27,"-")</f>
        <v>0.93125000000000002</v>
      </c>
      <c r="G27" s="50">
        <f t="shared" ref="G27:G29" si="1">IFERROR(100%-F27,"-")</f>
        <v>6.8749999999999978E-2</v>
      </c>
    </row>
    <row r="28" spans="1:7" s="1" customFormat="1" ht="21" customHeight="1">
      <c r="A28" s="11"/>
      <c r="B28" s="120" t="s">
        <v>29</v>
      </c>
      <c r="C28" s="62">
        <f>D28+E28</f>
        <v>717</v>
      </c>
      <c r="D28" s="62">
        <f>COUNTIF(CAVALETE!Z:Z,"nc")</f>
        <v>505</v>
      </c>
      <c r="E28" s="62">
        <f>COUNTIF(CAVALETE!Z:Z,"C")</f>
        <v>212</v>
      </c>
      <c r="F28" s="50">
        <f t="shared" si="0"/>
        <v>0.70432357043235705</v>
      </c>
      <c r="G28" s="50">
        <f t="shared" si="1"/>
        <v>0.29567642956764295</v>
      </c>
    </row>
    <row r="29" spans="1:7" s="1" customFormat="1" ht="21" customHeight="1">
      <c r="A29" s="11"/>
      <c r="B29" s="121" t="s">
        <v>18</v>
      </c>
      <c r="C29" s="73">
        <f>D29+E29</f>
        <v>81</v>
      </c>
      <c r="D29" s="73">
        <f>COUNTIF(REPOSIÇÃO!AF:AF,"nC")</f>
        <v>81</v>
      </c>
      <c r="E29" s="73">
        <f>COUNTIF(REPOSIÇÃO!AF:AF,"c")</f>
        <v>0</v>
      </c>
      <c r="F29" s="50">
        <f t="shared" si="0"/>
        <v>1</v>
      </c>
      <c r="G29" s="50">
        <f t="shared" si="1"/>
        <v>0</v>
      </c>
    </row>
    <row r="30" spans="1:7" s="1" customFormat="1" ht="21" customHeight="1">
      <c r="A30" s="11"/>
      <c r="B30" s="164" t="s">
        <v>47</v>
      </c>
      <c r="C30" s="162">
        <f>SUM(C26:C29)</f>
        <v>1709</v>
      </c>
      <c r="D30" s="162">
        <f t="shared" ref="D30:E30" si="2">SUM(D26:D29)</f>
        <v>868</v>
      </c>
      <c r="E30" s="162">
        <f t="shared" si="2"/>
        <v>841</v>
      </c>
      <c r="F30" s="165">
        <f>IFERROR(AVERAGE(F26,F27,F28,F29),"-")</f>
        <v>0.70316769354017983</v>
      </c>
      <c r="G30" s="163">
        <f>IFERROR(AVERAGE(G26,G27,G28,G29),"-")</f>
        <v>0.29683230645982017</v>
      </c>
    </row>
    <row r="31" spans="1:7" s="1" customFormat="1" ht="15">
      <c r="A31" s="11"/>
      <c r="B31" s="11"/>
      <c r="C31" s="11"/>
      <c r="D31" s="11"/>
      <c r="E31" s="11"/>
      <c r="F31" s="162" t="s">
        <v>48</v>
      </c>
      <c r="G31" s="162" t="s">
        <v>30</v>
      </c>
    </row>
    <row r="32" spans="1:7" s="1" customFormat="1" ht="15">
      <c r="A32" s="11"/>
      <c r="B32" s="11"/>
      <c r="C32" s="11"/>
      <c r="D32" s="11"/>
      <c r="E32" s="11"/>
      <c r="F32" s="11"/>
      <c r="G32" s="11"/>
    </row>
    <row r="33" spans="1:7" s="1" customFormat="1" ht="21" customHeight="1">
      <c r="A33" s="11"/>
      <c r="B33" s="356" t="s">
        <v>49</v>
      </c>
      <c r="C33" s="356"/>
      <c r="D33" s="356"/>
      <c r="E33" s="356"/>
      <c r="F33" s="356"/>
      <c r="G33" s="356"/>
    </row>
    <row r="34" spans="1:7" s="1" customFormat="1" ht="42.75" customHeight="1">
      <c r="A34" s="11"/>
      <c r="B34" s="103" t="s">
        <v>23</v>
      </c>
      <c r="C34" s="104" t="s">
        <v>50</v>
      </c>
      <c r="D34" s="104" t="s">
        <v>51</v>
      </c>
      <c r="E34" s="104" t="s">
        <v>52</v>
      </c>
      <c r="F34" s="104" t="s">
        <v>27</v>
      </c>
      <c r="G34" s="104" t="s">
        <v>28</v>
      </c>
    </row>
    <row r="35" spans="1:7" s="1" customFormat="1" ht="15">
      <c r="A35" s="11"/>
      <c r="B35" s="120" t="s">
        <v>16</v>
      </c>
      <c r="C35" s="62">
        <f>D35+E35</f>
        <v>751</v>
      </c>
      <c r="D35" s="62">
        <f>COUNTIF(ÁGUA!AE:AE,"Nc")</f>
        <v>20</v>
      </c>
      <c r="E35" s="62">
        <f>COUNTIF(ÁGUA!AE:AE,"c")</f>
        <v>731</v>
      </c>
      <c r="F35" s="16">
        <f>IFERROR(D35/C35,"-")</f>
        <v>2.6631158455392809E-2</v>
      </c>
      <c r="G35" s="16">
        <f>IFERROR(E35/C35,"-")</f>
        <v>0.97336884154460723</v>
      </c>
    </row>
    <row r="36" spans="1:7" s="1" customFormat="1" ht="15">
      <c r="A36" s="11"/>
      <c r="B36" s="120" t="s">
        <v>17</v>
      </c>
      <c r="C36" s="62">
        <f>D36+E36</f>
        <v>160</v>
      </c>
      <c r="D36" s="62">
        <f>COUNTIF(ESGOTO!AE:AE,"NC")</f>
        <v>22</v>
      </c>
      <c r="E36" s="62">
        <f>COUNTIF(ESGOTO!AE:AE,"C")</f>
        <v>138</v>
      </c>
      <c r="F36" s="16">
        <f t="shared" ref="F36:F38" si="3">IFERROR(D36/C36,"-")</f>
        <v>0.13750000000000001</v>
      </c>
      <c r="G36" s="16">
        <f t="shared" ref="G36:G38" si="4">IFERROR(E36/C36,"-")</f>
        <v>0.86250000000000004</v>
      </c>
    </row>
    <row r="37" spans="1:7" s="1" customFormat="1" ht="15">
      <c r="A37" s="11"/>
      <c r="B37" s="120" t="s">
        <v>29</v>
      </c>
      <c r="C37" s="62">
        <f>D37+E37</f>
        <v>717</v>
      </c>
      <c r="D37" s="62">
        <f>COUNTIF(CAVALETE!Y:Y,"NC")</f>
        <v>113</v>
      </c>
      <c r="E37" s="62">
        <f>COUNTIF(CAVALETE!Y:Y,"C")</f>
        <v>604</v>
      </c>
      <c r="F37" s="16">
        <f t="shared" si="3"/>
        <v>0.15760111576011157</v>
      </c>
      <c r="G37" s="16">
        <f t="shared" si="4"/>
        <v>0.8423988842398884</v>
      </c>
    </row>
    <row r="38" spans="1:7" s="1" customFormat="1" ht="15">
      <c r="A38" s="11"/>
      <c r="B38" s="120" t="s">
        <v>18</v>
      </c>
      <c r="C38" s="62">
        <f>D38+E38</f>
        <v>81</v>
      </c>
      <c r="D38" s="62">
        <f>COUNTIF(REPOSIÇÃO!AE:AE,"nC")</f>
        <v>2</v>
      </c>
      <c r="E38" s="62">
        <f>COUNTIF(REPOSIÇÃO!AE:AE,"c")</f>
        <v>79</v>
      </c>
      <c r="F38" s="16">
        <f t="shared" si="3"/>
        <v>2.4691358024691357E-2</v>
      </c>
      <c r="G38" s="16">
        <f t="shared" si="4"/>
        <v>0.97530864197530864</v>
      </c>
    </row>
    <row r="39" spans="1:7" s="1" customFormat="1" ht="15">
      <c r="A39" s="11"/>
      <c r="B39" s="11"/>
      <c r="C39" s="11"/>
      <c r="D39" s="11"/>
      <c r="E39" s="11"/>
      <c r="F39" s="17"/>
      <c r="G39" s="17"/>
    </row>
    <row r="40" spans="1:7" s="1" customFormat="1" ht="15">
      <c r="A40" s="11"/>
      <c r="B40" s="356" t="s">
        <v>53</v>
      </c>
      <c r="C40" s="356"/>
      <c r="D40" s="356"/>
      <c r="E40" s="356"/>
      <c r="F40" s="356"/>
      <c r="G40" s="356"/>
    </row>
    <row r="41" spans="1:7" s="1" customFormat="1" ht="15">
      <c r="A41" s="11"/>
      <c r="B41" s="103" t="s">
        <v>23</v>
      </c>
      <c r="C41" s="104" t="s">
        <v>50</v>
      </c>
      <c r="D41" s="104" t="s">
        <v>51</v>
      </c>
      <c r="E41" s="104" t="s">
        <v>52</v>
      </c>
      <c r="F41" s="104" t="s">
        <v>27</v>
      </c>
      <c r="G41" s="104" t="s">
        <v>28</v>
      </c>
    </row>
    <row r="42" spans="1:7" s="1" customFormat="1" ht="15">
      <c r="A42" s="11"/>
      <c r="B42" s="120" t="s">
        <v>16</v>
      </c>
      <c r="C42" s="62">
        <f>D42+E42</f>
        <v>662</v>
      </c>
      <c r="D42" s="62">
        <f>COUNTIF(ÁGUA!AH:AH,"Nc")</f>
        <v>0</v>
      </c>
      <c r="E42" s="62">
        <f>COUNTIF(ÁGUA!AH:AH,"c")</f>
        <v>662</v>
      </c>
      <c r="F42" s="82">
        <f>IFERROR(D42/C42,"-")</f>
        <v>0</v>
      </c>
      <c r="G42" s="16">
        <f>IFERROR(E42/C42,"-")</f>
        <v>1</v>
      </c>
    </row>
    <row r="43" spans="1:7" s="1" customFormat="1" ht="15">
      <c r="A43" s="11"/>
      <c r="B43" s="120" t="s">
        <v>17</v>
      </c>
      <c r="C43" s="62">
        <f>D43+E43</f>
        <v>193</v>
      </c>
      <c r="D43" s="62">
        <f>COUNTIF(ESGOTO!AH:AH,"NC")</f>
        <v>0</v>
      </c>
      <c r="E43" s="62">
        <f>COUNTIF(ESGOTO!AH:AH,"C")</f>
        <v>193</v>
      </c>
      <c r="F43" s="82">
        <f t="shared" ref="F43:F44" si="5">IFERROR(D43/C43,"-")</f>
        <v>0</v>
      </c>
      <c r="G43" s="16">
        <f t="shared" ref="G43:G44" si="6">IFERROR(E43/C43,"-")</f>
        <v>1</v>
      </c>
    </row>
    <row r="44" spans="1:7" s="1" customFormat="1" ht="15">
      <c r="A44" s="11"/>
      <c r="B44" s="120" t="s">
        <v>29</v>
      </c>
      <c r="C44" s="62">
        <f>D44+E44</f>
        <v>463</v>
      </c>
      <c r="D44" s="62">
        <f>COUNTIF(CAVALETE!AB:AB,"NC")</f>
        <v>0</v>
      </c>
      <c r="E44" s="62">
        <f>COUNTIF(CAVALETE!AB:AB,"C")</f>
        <v>463</v>
      </c>
      <c r="F44" s="82">
        <f t="shared" si="5"/>
        <v>0</v>
      </c>
      <c r="G44" s="16">
        <f t="shared" si="6"/>
        <v>1</v>
      </c>
    </row>
    <row r="45" spans="1:7" s="1" customFormat="1" ht="15">
      <c r="A45" s="11"/>
      <c r="B45" s="11"/>
      <c r="C45" s="11"/>
      <c r="D45" s="11"/>
      <c r="E45" s="11"/>
      <c r="F45" s="17"/>
      <c r="G45" s="17"/>
    </row>
    <row r="46" spans="1:7" s="1" customFormat="1">
      <c r="A46" s="11"/>
      <c r="B46" s="351" t="s">
        <v>54</v>
      </c>
      <c r="C46" s="351"/>
      <c r="D46" s="351"/>
      <c r="E46" s="351"/>
      <c r="F46" s="351"/>
      <c r="G46" s="351"/>
    </row>
    <row r="47" spans="1:7" s="1" customFormat="1">
      <c r="A47" s="11"/>
      <c r="B47" s="74"/>
      <c r="C47" s="74"/>
      <c r="D47" s="74"/>
      <c r="E47" s="74"/>
      <c r="F47" s="74"/>
      <c r="G47" s="74"/>
    </row>
    <row r="48" spans="1:7" s="1" customFormat="1" ht="15">
      <c r="A48" s="11"/>
      <c r="B48" s="341" t="s">
        <v>49</v>
      </c>
      <c r="C48" s="342"/>
      <c r="D48" s="342"/>
      <c r="E48" s="342"/>
      <c r="F48" s="342"/>
      <c r="G48" s="343"/>
    </row>
    <row r="49" spans="1:7" s="1" customFormat="1" ht="15">
      <c r="A49" s="11"/>
      <c r="B49" s="103" t="s">
        <v>23</v>
      </c>
      <c r="C49" s="104" t="s">
        <v>50</v>
      </c>
      <c r="D49" s="104" t="s">
        <v>51</v>
      </c>
      <c r="E49" s="104" t="s">
        <v>52</v>
      </c>
      <c r="F49" s="104" t="s">
        <v>27</v>
      </c>
      <c r="G49" s="104" t="s">
        <v>28</v>
      </c>
    </row>
    <row r="50" spans="1:7" s="1" customFormat="1" ht="15">
      <c r="A50" s="11"/>
      <c r="B50" s="120" t="s">
        <v>16</v>
      </c>
      <c r="C50" s="62">
        <f>D50+E50</f>
        <v>751</v>
      </c>
      <c r="D50" s="62">
        <f>COUNTIF(ÁGUA!AE:AE,"NC")</f>
        <v>20</v>
      </c>
      <c r="E50" s="62">
        <f>COUNTIF(ÁGUA!AE:AE,"C")</f>
        <v>731</v>
      </c>
      <c r="F50" s="16">
        <f>IFERROR(D50/C50,"-")</f>
        <v>2.6631158455392809E-2</v>
      </c>
      <c r="G50" s="16">
        <f>IFERROR(E50/C50,"-")</f>
        <v>0.97336884154460723</v>
      </c>
    </row>
    <row r="51" spans="1:7" s="1" customFormat="1" ht="15">
      <c r="A51" s="11"/>
      <c r="B51" s="11"/>
      <c r="C51" s="11"/>
      <c r="D51" s="11"/>
      <c r="E51" s="11"/>
      <c r="F51" s="17"/>
      <c r="G51" s="17"/>
    </row>
    <row r="52" spans="1:7" s="1" customFormat="1" ht="15">
      <c r="A52" s="11"/>
      <c r="B52" s="341" t="s">
        <v>22</v>
      </c>
      <c r="C52" s="342"/>
      <c r="D52" s="342"/>
      <c r="E52" s="342"/>
      <c r="F52" s="342"/>
      <c r="G52" s="343"/>
    </row>
    <row r="53" spans="1:7" s="1" customFormat="1" ht="15">
      <c r="A53" s="11"/>
      <c r="B53" s="103" t="s">
        <v>23</v>
      </c>
      <c r="C53" s="104" t="s">
        <v>24</v>
      </c>
      <c r="D53" s="104" t="s">
        <v>25</v>
      </c>
      <c r="E53" s="104" t="s">
        <v>26</v>
      </c>
      <c r="F53" s="104" t="s">
        <v>27</v>
      </c>
      <c r="G53" s="104" t="s">
        <v>28</v>
      </c>
    </row>
    <row r="54" spans="1:7" s="1" customFormat="1" ht="15">
      <c r="A54" s="11"/>
      <c r="B54" s="120" t="s">
        <v>16</v>
      </c>
      <c r="C54" s="62">
        <f>D54+E54</f>
        <v>751</v>
      </c>
      <c r="D54" s="62">
        <f>COUNTIF(ÁGUA!AF:AF,"NC")</f>
        <v>133</v>
      </c>
      <c r="E54" s="62">
        <f>COUNTIF(ÁGUA!AF:AF,"C")</f>
        <v>618</v>
      </c>
      <c r="F54" s="50">
        <f>IFERROR(D54/C54,"-")</f>
        <v>0.17709720372836218</v>
      </c>
      <c r="G54" s="50">
        <f>IFERROR(100%-F54,"-")</f>
        <v>0.82290279627163776</v>
      </c>
    </row>
    <row r="55" spans="1:7" s="1" customFormat="1" ht="15">
      <c r="A55" s="11"/>
      <c r="B55" s="11"/>
      <c r="C55" s="11"/>
      <c r="D55" s="11"/>
      <c r="E55" s="11"/>
      <c r="F55" s="17"/>
      <c r="G55" s="17"/>
    </row>
    <row r="56" spans="1:7" s="1" customFormat="1" ht="15">
      <c r="A56" s="11"/>
      <c r="B56" s="341" t="s">
        <v>53</v>
      </c>
      <c r="C56" s="342"/>
      <c r="D56" s="342"/>
      <c r="E56" s="342"/>
      <c r="F56" s="342"/>
      <c r="G56" s="343"/>
    </row>
    <row r="57" spans="1:7" s="1" customFormat="1" ht="15">
      <c r="A57" s="11"/>
      <c r="B57" s="103" t="s">
        <v>23</v>
      </c>
      <c r="C57" s="104" t="s">
        <v>50</v>
      </c>
      <c r="D57" s="104" t="s">
        <v>51</v>
      </c>
      <c r="E57" s="104" t="s">
        <v>52</v>
      </c>
      <c r="F57" s="104" t="s">
        <v>27</v>
      </c>
      <c r="G57" s="104" t="s">
        <v>28</v>
      </c>
    </row>
    <row r="58" spans="1:7" s="1" customFormat="1" ht="15">
      <c r="A58" s="11"/>
      <c r="B58" s="120" t="s">
        <v>16</v>
      </c>
      <c r="C58" s="62">
        <f>D58+E58</f>
        <v>662</v>
      </c>
      <c r="D58" s="62">
        <f>COUNTIF(ÁGUA!AH:AH,"NC")</f>
        <v>0</v>
      </c>
      <c r="E58" s="62">
        <f>COUNTIF(ÁGUA!AH:AH,"C")</f>
        <v>662</v>
      </c>
      <c r="F58" s="16">
        <f>IFERROR(D58/C58,"-")</f>
        <v>0</v>
      </c>
      <c r="G58" s="16">
        <f>IFERROR(E58/C58,"-")</f>
        <v>1</v>
      </c>
    </row>
    <row r="59" spans="1:7" s="1" customFormat="1">
      <c r="A59" s="11"/>
      <c r="B59" s="20"/>
      <c r="C59" s="20"/>
      <c r="D59" s="20"/>
      <c r="E59" s="20"/>
      <c r="F59" s="20"/>
      <c r="G59" s="20"/>
    </row>
    <row r="60" spans="1:7" s="1" customFormat="1">
      <c r="A60" s="11"/>
      <c r="B60" s="344" t="s">
        <v>55</v>
      </c>
      <c r="C60" s="345"/>
      <c r="D60" s="345"/>
      <c r="E60" s="345"/>
      <c r="F60" s="345"/>
      <c r="G60" s="346"/>
    </row>
    <row r="61" spans="1:7" ht="18" customHeight="1">
      <c r="B61" s="105" t="s">
        <v>36</v>
      </c>
      <c r="C61" s="106" t="s">
        <v>56</v>
      </c>
      <c r="D61" s="106" t="s">
        <v>57</v>
      </c>
      <c r="E61" s="106" t="s">
        <v>58</v>
      </c>
      <c r="F61" s="106" t="s">
        <v>59</v>
      </c>
      <c r="G61" s="106" t="s">
        <v>60</v>
      </c>
    </row>
    <row r="62" spans="1:7" ht="18" customHeight="1">
      <c r="B62" s="122" t="s">
        <v>61</v>
      </c>
      <c r="C62" s="67">
        <f>COUNTIF(ÁGUA!O:O,"c")</f>
        <v>728</v>
      </c>
      <c r="D62" s="67">
        <f>COUNTIF(ÁGUA!O:O,"Nc")</f>
        <v>14</v>
      </c>
      <c r="E62" s="67">
        <f>COUNTIF(ÁGUA!O:O,"SF")</f>
        <v>9</v>
      </c>
      <c r="F62" s="69">
        <f>IFERROR(C62/(C62+D62+E62),"-")</f>
        <v>0.96937416777629826</v>
      </c>
      <c r="G62" s="65">
        <f>IFERROR(100%-F62,"-")</f>
        <v>3.0625832223701743E-2</v>
      </c>
    </row>
    <row r="63" spans="1:7">
      <c r="B63" s="122" t="s">
        <v>62</v>
      </c>
      <c r="C63" s="67">
        <f>COUNTIF(ÁGUA!Q:Q,"c")</f>
        <v>504</v>
      </c>
      <c r="D63" s="67">
        <f>COUNTIF(ÁGUA!Q:Q,"Nc")</f>
        <v>30</v>
      </c>
      <c r="E63" s="67">
        <f>COUNTIF(ÁGUA!Q:Q,"SF")</f>
        <v>50</v>
      </c>
      <c r="F63" s="69">
        <f t="shared" ref="F63:F68" si="7">IFERROR(C63/(C63+D63+E63),"-")</f>
        <v>0.86301369863013699</v>
      </c>
      <c r="G63" s="65">
        <f t="shared" ref="G63:G68" si="8">IFERROR(100%-F63,"-")</f>
        <v>0.13698630136986301</v>
      </c>
    </row>
    <row r="64" spans="1:7">
      <c r="B64" s="122" t="s">
        <v>63</v>
      </c>
      <c r="C64" s="67">
        <f>COUNTIF(ÁGUA!S:S,"c")</f>
        <v>474</v>
      </c>
      <c r="D64" s="67">
        <f>COUNTIF(ÁGUA!S:S,"Nc")</f>
        <v>18</v>
      </c>
      <c r="E64" s="67">
        <f>COUNTIF(ÁGUA!S:S,"SF")</f>
        <v>76</v>
      </c>
      <c r="F64" s="69">
        <f t="shared" si="7"/>
        <v>0.83450704225352113</v>
      </c>
      <c r="G64" s="65">
        <f t="shared" si="8"/>
        <v>0.16549295774647887</v>
      </c>
    </row>
    <row r="65" spans="2:7">
      <c r="B65" s="122" t="s">
        <v>64</v>
      </c>
      <c r="C65" s="67">
        <f>COUNTIF(ÁGUA!U:U,"c")</f>
        <v>505</v>
      </c>
      <c r="D65" s="67">
        <f>COUNTIF(ÁGUA!U:U,"Nc")</f>
        <v>29</v>
      </c>
      <c r="E65" s="67">
        <f>COUNTIF(ÁGUA!U:U,"SF")</f>
        <v>29</v>
      </c>
      <c r="F65" s="69">
        <f t="shared" ref="F65" si="9">IFERROR(C65/(C65+D65+E65),"-")</f>
        <v>0.89698046181172286</v>
      </c>
      <c r="G65" s="65">
        <f t="shared" ref="G65" si="10">IFERROR(100%-F65,"-")</f>
        <v>0.10301953818827714</v>
      </c>
    </row>
    <row r="66" spans="2:7">
      <c r="B66" s="122" t="s">
        <v>65</v>
      </c>
      <c r="C66" s="67">
        <f>COUNTIF(ÁGUA!W:W,"c")</f>
        <v>499</v>
      </c>
      <c r="D66" s="67">
        <f>COUNTIF(ÁGUA!W:W,"Nc")</f>
        <v>14</v>
      </c>
      <c r="E66" s="67">
        <f>COUNTIF(ÁGUA!W:W,"SF")</f>
        <v>56</v>
      </c>
      <c r="F66" s="69">
        <f t="shared" si="7"/>
        <v>0.87697715289982425</v>
      </c>
      <c r="G66" s="65">
        <f t="shared" si="8"/>
        <v>0.12302284710017575</v>
      </c>
    </row>
    <row r="67" spans="2:7">
      <c r="B67" s="122" t="s">
        <v>66</v>
      </c>
      <c r="C67" s="67">
        <f>COUNTIF(ÁGUA!Y:Y,"c")</f>
        <v>141</v>
      </c>
      <c r="D67" s="67">
        <f>COUNTIF(ÁGUA!Y:Y,"Nc")</f>
        <v>14</v>
      </c>
      <c r="E67" s="67">
        <f>COUNTIF(ÁGUA!Y:Y,"SF")</f>
        <v>25</v>
      </c>
      <c r="F67" s="69">
        <f t="shared" si="7"/>
        <v>0.78333333333333333</v>
      </c>
      <c r="G67" s="65">
        <f t="shared" si="8"/>
        <v>0.21666666666666667</v>
      </c>
    </row>
    <row r="68" spans="2:7">
      <c r="B68" s="122" t="s">
        <v>67</v>
      </c>
      <c r="C68" s="67">
        <f>COUNTIF(ÁGUA!AA:AA,"c")</f>
        <v>529</v>
      </c>
      <c r="D68" s="67">
        <f>COUNTIF(ÁGUA!AA:AA,"Nc")</f>
        <v>14</v>
      </c>
      <c r="E68" s="67">
        <f>COUNTIF(ÁGUA!AA:AA,"SF")</f>
        <v>89</v>
      </c>
      <c r="F68" s="69">
        <f t="shared" si="7"/>
        <v>0.83702531645569622</v>
      </c>
      <c r="G68" s="65">
        <f t="shared" si="8"/>
        <v>0.16297468354430378</v>
      </c>
    </row>
    <row r="69" spans="2:7">
      <c r="B69" s="122" t="s">
        <v>68</v>
      </c>
      <c r="C69" s="67">
        <f>COUNTIF(ÁGUA!AC:AC,"c")</f>
        <v>645</v>
      </c>
      <c r="D69" s="67">
        <f>COUNTIF(ÁGUA!AC:AC,"Nc")</f>
        <v>67</v>
      </c>
      <c r="E69" s="67">
        <f>COUNTIF(ÁGUA!AC:AC,"SF")</f>
        <v>38</v>
      </c>
      <c r="F69" s="69">
        <f t="shared" ref="F69" si="11">IFERROR(C69/(C69+D69+E69),"-")</f>
        <v>0.86</v>
      </c>
      <c r="G69" s="65">
        <f t="shared" ref="G69" si="12">IFERROR(100%-F69,"-")</f>
        <v>0.14000000000000001</v>
      </c>
    </row>
    <row r="71" spans="2:7" ht="18.75" customHeight="1">
      <c r="B71" s="348" t="s">
        <v>69</v>
      </c>
      <c r="C71" s="349"/>
      <c r="D71" s="349"/>
      <c r="E71" s="349"/>
      <c r="F71" s="349"/>
      <c r="G71" s="350"/>
    </row>
    <row r="72" spans="2:7" ht="36">
      <c r="B72" s="107" t="s">
        <v>70</v>
      </c>
      <c r="C72" s="108" t="s">
        <v>71</v>
      </c>
      <c r="D72" s="109" t="s">
        <v>56</v>
      </c>
      <c r="E72" s="109" t="s">
        <v>57</v>
      </c>
      <c r="F72" s="109" t="s">
        <v>59</v>
      </c>
      <c r="G72" s="109" t="s">
        <v>72</v>
      </c>
    </row>
    <row r="73" spans="2:7">
      <c r="B73" s="58" t="s">
        <v>73</v>
      </c>
      <c r="C73" s="80">
        <f t="shared" ref="C73" si="13">D73+E73</f>
        <v>0</v>
      </c>
      <c r="D73" s="75">
        <f>COUNTIFS(ÁGUA!N:N,'DADOS - PIRITUBA'!B73,ÁGUA!AE:AE,"c")</f>
        <v>0</v>
      </c>
      <c r="E73" s="75">
        <f>COUNTIFS(ÁGUA!N:N,'DADOS - PIRITUBA'!B73,ÁGUA!AE:AE,"Nc")</f>
        <v>0</v>
      </c>
      <c r="F73" s="76" t="str">
        <f t="shared" ref="F73" si="14">IFERROR(D73/C73,"-")</f>
        <v>-</v>
      </c>
      <c r="G73" s="65" t="str">
        <f t="shared" ref="G73" si="15">IFERROR(100%-F73,"-")</f>
        <v>-</v>
      </c>
    </row>
    <row r="74" spans="2:7">
      <c r="B74" s="58" t="s">
        <v>73</v>
      </c>
      <c r="C74" s="80">
        <f t="shared" ref="C74:C112" si="16">D74+E74</f>
        <v>0</v>
      </c>
      <c r="D74" s="75">
        <f>COUNTIFS(ÁGUA!N:N,'DADOS - PIRITUBA'!B74,ÁGUA!AE:AE,"c")</f>
        <v>0</v>
      </c>
      <c r="E74" s="75">
        <f>COUNTIFS(ÁGUA!N:N,'DADOS - PIRITUBA'!B74,ÁGUA!AE:AE,"Nc")</f>
        <v>0</v>
      </c>
      <c r="F74" s="76" t="str">
        <f t="shared" ref="F74:F112" si="17">IFERROR(D74/C74,"-")</f>
        <v>-</v>
      </c>
      <c r="G74" s="65" t="str">
        <f t="shared" ref="G74:G112" si="18">IFERROR(100%-F74,"-")</f>
        <v>-</v>
      </c>
    </row>
    <row r="75" spans="2:7">
      <c r="B75" s="58" t="s">
        <v>73</v>
      </c>
      <c r="C75" s="80">
        <f t="shared" ref="C75:C110" si="19">D75+E75</f>
        <v>0</v>
      </c>
      <c r="D75" s="75">
        <f>COUNTIFS(ÁGUA!N:N,'DADOS - PIRITUBA'!B75,ÁGUA!AE:AE,"c")</f>
        <v>0</v>
      </c>
      <c r="E75" s="75">
        <f>COUNTIFS(ÁGUA!N:N,'DADOS - PIRITUBA'!B75,ÁGUA!AE:AE,"Nc")</f>
        <v>0</v>
      </c>
      <c r="F75" s="76" t="str">
        <f t="shared" ref="F75:F110" si="20">IFERROR(D75/C75,"-")</f>
        <v>-</v>
      </c>
      <c r="G75" s="65" t="str">
        <f t="shared" ref="G75:G110" si="21">IFERROR(100%-F75,"-")</f>
        <v>-</v>
      </c>
    </row>
    <row r="76" spans="2:7">
      <c r="B76" s="58" t="s">
        <v>73</v>
      </c>
      <c r="C76" s="80">
        <f t="shared" ref="C76:C106" si="22">D76+E76</f>
        <v>0</v>
      </c>
      <c r="D76" s="75">
        <f>COUNTIFS(ÁGUA!N:N,'DADOS - PIRITUBA'!B76,ÁGUA!AE:AE,"c")</f>
        <v>0</v>
      </c>
      <c r="E76" s="75">
        <f>COUNTIFS(ÁGUA!N:N,'DADOS - PIRITUBA'!B76,ÁGUA!AE:AE,"Nc")</f>
        <v>0</v>
      </c>
      <c r="F76" s="76" t="str">
        <f t="shared" ref="F76:F106" si="23">IFERROR(D76/C76,"-")</f>
        <v>-</v>
      </c>
      <c r="G76" s="65" t="str">
        <f t="shared" ref="G76:G106" si="24">IFERROR(100%-F76,"-")</f>
        <v>-</v>
      </c>
    </row>
    <row r="77" spans="2:7">
      <c r="B77" s="58" t="s">
        <v>73</v>
      </c>
      <c r="C77" s="80">
        <f t="shared" si="22"/>
        <v>0</v>
      </c>
      <c r="D77" s="75">
        <f>COUNTIFS(ÁGUA!N:N,'DADOS - PIRITUBA'!B77,ÁGUA!AE:AE,"c")</f>
        <v>0</v>
      </c>
      <c r="E77" s="75">
        <f>COUNTIFS(ÁGUA!N:N,'DADOS - PIRITUBA'!B77,ÁGUA!AE:AE,"Nc")</f>
        <v>0</v>
      </c>
      <c r="F77" s="76" t="str">
        <f t="shared" si="23"/>
        <v>-</v>
      </c>
      <c r="G77" s="65" t="str">
        <f t="shared" si="24"/>
        <v>-</v>
      </c>
    </row>
    <row r="78" spans="2:7">
      <c r="B78" s="58" t="s">
        <v>73</v>
      </c>
      <c r="C78" s="80">
        <f t="shared" si="22"/>
        <v>0</v>
      </c>
      <c r="D78" s="75">
        <f>COUNTIFS(ÁGUA!N:N,'DADOS - PIRITUBA'!B78,ÁGUA!AE:AE,"c")</f>
        <v>0</v>
      </c>
      <c r="E78" s="75">
        <f>COUNTIFS(ÁGUA!N:N,'DADOS - PIRITUBA'!B78,ÁGUA!AE:AE,"Nc")</f>
        <v>0</v>
      </c>
      <c r="F78" s="76" t="str">
        <f t="shared" si="23"/>
        <v>-</v>
      </c>
      <c r="G78" s="65" t="str">
        <f t="shared" si="24"/>
        <v>-</v>
      </c>
    </row>
    <row r="79" spans="2:7">
      <c r="B79" s="58" t="s">
        <v>73</v>
      </c>
      <c r="C79" s="80">
        <f t="shared" si="22"/>
        <v>0</v>
      </c>
      <c r="D79" s="75">
        <f>COUNTIFS(ÁGUA!N:N,'DADOS - PIRITUBA'!B79,ÁGUA!AE:AE,"c")</f>
        <v>0</v>
      </c>
      <c r="E79" s="75">
        <f>COUNTIFS(ÁGUA!N:N,'DADOS - PIRITUBA'!B79,ÁGUA!AE:AE,"Nc")</f>
        <v>0</v>
      </c>
      <c r="F79" s="76" t="str">
        <f t="shared" si="23"/>
        <v>-</v>
      </c>
      <c r="G79" s="65" t="str">
        <f t="shared" si="24"/>
        <v>-</v>
      </c>
    </row>
    <row r="80" spans="2:7">
      <c r="B80" s="58" t="s">
        <v>73</v>
      </c>
      <c r="C80" s="80">
        <f t="shared" si="22"/>
        <v>0</v>
      </c>
      <c r="D80" s="75">
        <f>COUNTIFS(ÁGUA!N:N,'DADOS - PIRITUBA'!B80,ÁGUA!AE:AE,"c")</f>
        <v>0</v>
      </c>
      <c r="E80" s="75">
        <f>COUNTIFS(ÁGUA!N:N,'DADOS - PIRITUBA'!B80,ÁGUA!AE:AE,"Nc")</f>
        <v>0</v>
      </c>
      <c r="F80" s="76" t="str">
        <f t="shared" si="23"/>
        <v>-</v>
      </c>
      <c r="G80" s="65" t="str">
        <f t="shared" si="24"/>
        <v>-</v>
      </c>
    </row>
    <row r="81" spans="2:7">
      <c r="B81" s="58" t="s">
        <v>73</v>
      </c>
      <c r="C81" s="80">
        <f t="shared" si="22"/>
        <v>0</v>
      </c>
      <c r="D81" s="75">
        <f>COUNTIFS(ÁGUA!N:N,'DADOS - PIRITUBA'!B81,ÁGUA!AE:AE,"c")</f>
        <v>0</v>
      </c>
      <c r="E81" s="75">
        <f>COUNTIFS(ÁGUA!N:N,'DADOS - PIRITUBA'!B81,ÁGUA!AE:AE,"Nc")</f>
        <v>0</v>
      </c>
      <c r="F81" s="76" t="str">
        <f t="shared" si="23"/>
        <v>-</v>
      </c>
      <c r="G81" s="65" t="str">
        <f t="shared" si="24"/>
        <v>-</v>
      </c>
    </row>
    <row r="82" spans="2:7">
      <c r="B82" s="58" t="s">
        <v>73</v>
      </c>
      <c r="C82" s="80">
        <f t="shared" si="22"/>
        <v>0</v>
      </c>
      <c r="D82" s="75">
        <f>COUNTIFS(ÁGUA!N:N,'DADOS - PIRITUBA'!B82,ÁGUA!AE:AE,"c")</f>
        <v>0</v>
      </c>
      <c r="E82" s="75">
        <f>COUNTIFS(ÁGUA!N:N,'DADOS - PIRITUBA'!B82,ÁGUA!AE:AE,"Nc")</f>
        <v>0</v>
      </c>
      <c r="F82" s="76" t="str">
        <f t="shared" si="23"/>
        <v>-</v>
      </c>
      <c r="G82" s="65" t="str">
        <f t="shared" si="24"/>
        <v>-</v>
      </c>
    </row>
    <row r="83" spans="2:7">
      <c r="B83" s="58" t="s">
        <v>73</v>
      </c>
      <c r="C83" s="80">
        <f t="shared" si="22"/>
        <v>0</v>
      </c>
      <c r="D83" s="75">
        <f>COUNTIFS(ÁGUA!N:N,'DADOS - PIRITUBA'!B83,ÁGUA!AE:AE,"c")</f>
        <v>0</v>
      </c>
      <c r="E83" s="75">
        <f>COUNTIFS(ÁGUA!N:N,'DADOS - PIRITUBA'!B83,ÁGUA!AE:AE,"Nc")</f>
        <v>0</v>
      </c>
      <c r="F83" s="76" t="str">
        <f t="shared" si="23"/>
        <v>-</v>
      </c>
      <c r="G83" s="65" t="str">
        <f t="shared" si="24"/>
        <v>-</v>
      </c>
    </row>
    <row r="84" spans="2:7">
      <c r="B84" s="58" t="s">
        <v>73</v>
      </c>
      <c r="C84" s="80">
        <f t="shared" si="22"/>
        <v>0</v>
      </c>
      <c r="D84" s="75">
        <f>COUNTIFS(ÁGUA!N:N,'DADOS - PIRITUBA'!B84,ÁGUA!AE:AE,"c")</f>
        <v>0</v>
      </c>
      <c r="E84" s="75">
        <f>COUNTIFS(ÁGUA!N:N,'DADOS - PIRITUBA'!B84,ÁGUA!AE:AE,"Nc")</f>
        <v>0</v>
      </c>
      <c r="F84" s="76" t="str">
        <f t="shared" si="23"/>
        <v>-</v>
      </c>
      <c r="G84" s="65" t="str">
        <f t="shared" si="24"/>
        <v>-</v>
      </c>
    </row>
    <row r="85" spans="2:7">
      <c r="B85" s="58" t="s">
        <v>73</v>
      </c>
      <c r="C85" s="80">
        <f t="shared" si="22"/>
        <v>0</v>
      </c>
      <c r="D85" s="75">
        <f>COUNTIFS(ÁGUA!N:N,'DADOS - PIRITUBA'!B85,ÁGUA!AE:AE,"c")</f>
        <v>0</v>
      </c>
      <c r="E85" s="75">
        <f>COUNTIFS(ÁGUA!N:N,'DADOS - PIRITUBA'!B85,ÁGUA!AE:AE,"Nc")</f>
        <v>0</v>
      </c>
      <c r="F85" s="76" t="str">
        <f t="shared" si="23"/>
        <v>-</v>
      </c>
      <c r="G85" s="65" t="str">
        <f t="shared" si="24"/>
        <v>-</v>
      </c>
    </row>
    <row r="86" spans="2:7">
      <c r="B86" s="58" t="s">
        <v>73</v>
      </c>
      <c r="C86" s="80">
        <f t="shared" si="22"/>
        <v>0</v>
      </c>
      <c r="D86" s="75">
        <f>COUNTIFS(ÁGUA!N:N,'DADOS - PIRITUBA'!B86,ÁGUA!AE:AE,"c")</f>
        <v>0</v>
      </c>
      <c r="E86" s="75">
        <f>COUNTIFS(ÁGUA!N:N,'DADOS - PIRITUBA'!B86,ÁGUA!AE:AE,"Nc")</f>
        <v>0</v>
      </c>
      <c r="F86" s="76" t="str">
        <f t="shared" si="23"/>
        <v>-</v>
      </c>
      <c r="G86" s="65" t="str">
        <f t="shared" si="24"/>
        <v>-</v>
      </c>
    </row>
    <row r="87" spans="2:7">
      <c r="B87" s="58" t="s">
        <v>73</v>
      </c>
      <c r="C87" s="80">
        <f t="shared" si="22"/>
        <v>0</v>
      </c>
      <c r="D87" s="75">
        <f>COUNTIFS(ÁGUA!N:N,'DADOS - PIRITUBA'!B87,ÁGUA!AE:AE,"c")</f>
        <v>0</v>
      </c>
      <c r="E87" s="75">
        <f>COUNTIFS(ÁGUA!N:N,'DADOS - PIRITUBA'!B87,ÁGUA!AE:AE,"Nc")</f>
        <v>0</v>
      </c>
      <c r="F87" s="76" t="str">
        <f t="shared" si="23"/>
        <v>-</v>
      </c>
      <c r="G87" s="65" t="str">
        <f t="shared" si="24"/>
        <v>-</v>
      </c>
    </row>
    <row r="88" spans="2:7">
      <c r="B88" s="58" t="s">
        <v>73</v>
      </c>
      <c r="C88" s="80">
        <f t="shared" si="22"/>
        <v>0</v>
      </c>
      <c r="D88" s="75">
        <f>COUNTIFS(ÁGUA!N:N,'DADOS - PIRITUBA'!B88,ÁGUA!AE:AE,"c")</f>
        <v>0</v>
      </c>
      <c r="E88" s="75">
        <f>COUNTIFS(ÁGUA!N:N,'DADOS - PIRITUBA'!B88,ÁGUA!AE:AE,"Nc")</f>
        <v>0</v>
      </c>
      <c r="F88" s="76" t="str">
        <f t="shared" si="23"/>
        <v>-</v>
      </c>
      <c r="G88" s="65" t="str">
        <f t="shared" si="24"/>
        <v>-</v>
      </c>
    </row>
    <row r="89" spans="2:7">
      <c r="B89" s="58" t="s">
        <v>73</v>
      </c>
      <c r="C89" s="80">
        <f t="shared" si="22"/>
        <v>0</v>
      </c>
      <c r="D89" s="75">
        <f>COUNTIFS(ÁGUA!N:N,'DADOS - PIRITUBA'!B89,ÁGUA!AE:AE,"c")</f>
        <v>0</v>
      </c>
      <c r="E89" s="75">
        <f>COUNTIFS(ÁGUA!N:N,'DADOS - PIRITUBA'!B89,ÁGUA!AE:AE,"Nc")</f>
        <v>0</v>
      </c>
      <c r="F89" s="76" t="str">
        <f t="shared" si="23"/>
        <v>-</v>
      </c>
      <c r="G89" s="65" t="str">
        <f t="shared" si="24"/>
        <v>-</v>
      </c>
    </row>
    <row r="90" spans="2:7">
      <c r="B90" s="58" t="s">
        <v>73</v>
      </c>
      <c r="C90" s="80">
        <f t="shared" si="22"/>
        <v>0</v>
      </c>
      <c r="D90" s="75">
        <f>COUNTIFS(ÁGUA!N:N,'DADOS - PIRITUBA'!B90,ÁGUA!AE:AE,"c")</f>
        <v>0</v>
      </c>
      <c r="E90" s="75">
        <f>COUNTIFS(ÁGUA!N:N,'DADOS - PIRITUBA'!B90,ÁGUA!AE:AE,"Nc")</f>
        <v>0</v>
      </c>
      <c r="F90" s="76" t="str">
        <f t="shared" si="23"/>
        <v>-</v>
      </c>
      <c r="G90" s="65" t="str">
        <f t="shared" si="24"/>
        <v>-</v>
      </c>
    </row>
    <row r="91" spans="2:7">
      <c r="B91" s="58" t="s">
        <v>73</v>
      </c>
      <c r="C91" s="80">
        <f t="shared" si="22"/>
        <v>0</v>
      </c>
      <c r="D91" s="75">
        <f>COUNTIFS(ÁGUA!N:N,'DADOS - PIRITUBA'!B91,ÁGUA!AE:AE,"c")</f>
        <v>0</v>
      </c>
      <c r="E91" s="75">
        <f>COUNTIFS(ÁGUA!N:N,'DADOS - PIRITUBA'!B91,ÁGUA!AE:AE,"Nc")</f>
        <v>0</v>
      </c>
      <c r="F91" s="76" t="str">
        <f t="shared" si="23"/>
        <v>-</v>
      </c>
      <c r="G91" s="65" t="str">
        <f t="shared" si="24"/>
        <v>-</v>
      </c>
    </row>
    <row r="92" spans="2:7">
      <c r="B92" s="58" t="s">
        <v>73</v>
      </c>
      <c r="C92" s="80">
        <f t="shared" si="22"/>
        <v>0</v>
      </c>
      <c r="D92" s="75">
        <f>COUNTIFS(ÁGUA!N:N,'DADOS - PIRITUBA'!B92,ÁGUA!AE:AE,"c")</f>
        <v>0</v>
      </c>
      <c r="E92" s="75">
        <f>COUNTIFS(ÁGUA!N:N,'DADOS - PIRITUBA'!B92,ÁGUA!AE:AE,"Nc")</f>
        <v>0</v>
      </c>
      <c r="F92" s="76" t="str">
        <f t="shared" si="23"/>
        <v>-</v>
      </c>
      <c r="G92" s="65" t="str">
        <f t="shared" si="24"/>
        <v>-</v>
      </c>
    </row>
    <row r="93" spans="2:7">
      <c r="B93" s="58" t="s">
        <v>73</v>
      </c>
      <c r="C93" s="80">
        <f t="shared" si="22"/>
        <v>0</v>
      </c>
      <c r="D93" s="75">
        <f>COUNTIFS(ÁGUA!N:N,'DADOS - PIRITUBA'!B93,ÁGUA!AE:AE,"c")</f>
        <v>0</v>
      </c>
      <c r="E93" s="75">
        <f>COUNTIFS(ÁGUA!N:N,'DADOS - PIRITUBA'!B93,ÁGUA!AE:AE,"Nc")</f>
        <v>0</v>
      </c>
      <c r="F93" s="76" t="str">
        <f t="shared" si="23"/>
        <v>-</v>
      </c>
      <c r="G93" s="65" t="str">
        <f t="shared" si="24"/>
        <v>-</v>
      </c>
    </row>
    <row r="94" spans="2:7">
      <c r="B94" s="58" t="s">
        <v>73</v>
      </c>
      <c r="C94" s="80">
        <f t="shared" si="22"/>
        <v>0</v>
      </c>
      <c r="D94" s="75">
        <f>COUNTIFS(ÁGUA!N:N,'DADOS - PIRITUBA'!B94,ÁGUA!AE:AE,"c")</f>
        <v>0</v>
      </c>
      <c r="E94" s="75">
        <f>COUNTIFS(ÁGUA!N:N,'DADOS - PIRITUBA'!B94,ÁGUA!AE:AE,"Nc")</f>
        <v>0</v>
      </c>
      <c r="F94" s="76" t="str">
        <f t="shared" si="23"/>
        <v>-</v>
      </c>
      <c r="G94" s="65" t="str">
        <f t="shared" si="24"/>
        <v>-</v>
      </c>
    </row>
    <row r="95" spans="2:7">
      <c r="B95" s="58" t="s">
        <v>73</v>
      </c>
      <c r="C95" s="80">
        <f t="shared" si="22"/>
        <v>0</v>
      </c>
      <c r="D95" s="75">
        <f>COUNTIFS(ÁGUA!N:N,'DADOS - PIRITUBA'!B95,ÁGUA!AE:AE,"c")</f>
        <v>0</v>
      </c>
      <c r="E95" s="75">
        <f>COUNTIFS(ÁGUA!N:N,'DADOS - PIRITUBA'!B95,ÁGUA!AE:AE,"Nc")</f>
        <v>0</v>
      </c>
      <c r="F95" s="76" t="str">
        <f t="shared" si="23"/>
        <v>-</v>
      </c>
      <c r="G95" s="65" t="str">
        <f t="shared" si="24"/>
        <v>-</v>
      </c>
    </row>
    <row r="96" spans="2:7">
      <c r="B96" s="58" t="s">
        <v>73</v>
      </c>
      <c r="C96" s="80">
        <f t="shared" si="22"/>
        <v>0</v>
      </c>
      <c r="D96" s="75">
        <f>COUNTIFS(ÁGUA!N:N,'DADOS - PIRITUBA'!B96,ÁGUA!AE:AE,"c")</f>
        <v>0</v>
      </c>
      <c r="E96" s="75">
        <f>COUNTIFS(ÁGUA!N:N,'DADOS - PIRITUBA'!B96,ÁGUA!AE:AE,"Nc")</f>
        <v>0</v>
      </c>
      <c r="F96" s="76" t="str">
        <f t="shared" si="23"/>
        <v>-</v>
      </c>
      <c r="G96" s="65" t="str">
        <f t="shared" si="24"/>
        <v>-</v>
      </c>
    </row>
    <row r="97" spans="2:7">
      <c r="B97" s="58" t="s">
        <v>73</v>
      </c>
      <c r="C97" s="80">
        <f t="shared" si="22"/>
        <v>0</v>
      </c>
      <c r="D97" s="75">
        <f>COUNTIFS(ÁGUA!N:N,'DADOS - PIRITUBA'!B97,ÁGUA!AE:AE,"c")</f>
        <v>0</v>
      </c>
      <c r="E97" s="75">
        <f>COUNTIFS(ÁGUA!N:N,'DADOS - PIRITUBA'!B97,ÁGUA!AE:AE,"Nc")</f>
        <v>0</v>
      </c>
      <c r="F97" s="76" t="str">
        <f t="shared" si="23"/>
        <v>-</v>
      </c>
      <c r="G97" s="65" t="str">
        <f t="shared" si="24"/>
        <v>-</v>
      </c>
    </row>
    <row r="98" spans="2:7">
      <c r="B98" s="58" t="s">
        <v>73</v>
      </c>
      <c r="C98" s="80">
        <f t="shared" si="22"/>
        <v>0</v>
      </c>
      <c r="D98" s="75">
        <f>COUNTIFS(ÁGUA!N:N,'DADOS - PIRITUBA'!B98,ÁGUA!AE:AE,"c")</f>
        <v>0</v>
      </c>
      <c r="E98" s="75">
        <f>COUNTIFS(ÁGUA!N:N,'DADOS - PIRITUBA'!B98,ÁGUA!AE:AE,"Nc")</f>
        <v>0</v>
      </c>
      <c r="F98" s="76" t="str">
        <f t="shared" si="23"/>
        <v>-</v>
      </c>
      <c r="G98" s="65" t="str">
        <f t="shared" si="24"/>
        <v>-</v>
      </c>
    </row>
    <row r="99" spans="2:7">
      <c r="B99" s="58" t="s">
        <v>73</v>
      </c>
      <c r="C99" s="80">
        <f t="shared" si="22"/>
        <v>0</v>
      </c>
      <c r="D99" s="75">
        <f>COUNTIFS(ÁGUA!N:N,'DADOS - PIRITUBA'!B99,ÁGUA!AE:AE,"c")</f>
        <v>0</v>
      </c>
      <c r="E99" s="75">
        <f>COUNTIFS(ÁGUA!N:N,'DADOS - PIRITUBA'!B99,ÁGUA!AE:AE,"Nc")</f>
        <v>0</v>
      </c>
      <c r="F99" s="76" t="str">
        <f t="shared" si="23"/>
        <v>-</v>
      </c>
      <c r="G99" s="65" t="str">
        <f t="shared" si="24"/>
        <v>-</v>
      </c>
    </row>
    <row r="100" spans="2:7">
      <c r="B100" s="58" t="s">
        <v>73</v>
      </c>
      <c r="C100" s="80">
        <f t="shared" si="22"/>
        <v>0</v>
      </c>
      <c r="D100" s="75">
        <f>COUNTIFS(ÁGUA!N:N,'DADOS - PIRITUBA'!B100,ÁGUA!AE:AE,"c")</f>
        <v>0</v>
      </c>
      <c r="E100" s="75">
        <f>COUNTIFS(ÁGUA!N:N,'DADOS - PIRITUBA'!B100,ÁGUA!AE:AE,"Nc")</f>
        <v>0</v>
      </c>
      <c r="F100" s="76" t="str">
        <f t="shared" si="23"/>
        <v>-</v>
      </c>
      <c r="G100" s="65" t="str">
        <f t="shared" si="24"/>
        <v>-</v>
      </c>
    </row>
    <row r="101" spans="2:7">
      <c r="B101" s="58" t="s">
        <v>73</v>
      </c>
      <c r="C101" s="80">
        <f t="shared" si="22"/>
        <v>0</v>
      </c>
      <c r="D101" s="75">
        <f>COUNTIFS(ÁGUA!N:N,'DADOS - PIRITUBA'!B101,ÁGUA!AE:AE,"c")</f>
        <v>0</v>
      </c>
      <c r="E101" s="75">
        <f>COUNTIFS(ÁGUA!N:N,'DADOS - PIRITUBA'!B101,ÁGUA!AE:AE,"Nc")</f>
        <v>0</v>
      </c>
      <c r="F101" s="76" t="str">
        <f t="shared" si="23"/>
        <v>-</v>
      </c>
      <c r="G101" s="65" t="str">
        <f t="shared" si="24"/>
        <v>-</v>
      </c>
    </row>
    <row r="102" spans="2:7">
      <c r="B102" s="58" t="s">
        <v>73</v>
      </c>
      <c r="C102" s="80">
        <f t="shared" si="22"/>
        <v>0</v>
      </c>
      <c r="D102" s="75">
        <f>COUNTIFS(ÁGUA!N:N,'DADOS - PIRITUBA'!B102,ÁGUA!AE:AE,"c")</f>
        <v>0</v>
      </c>
      <c r="E102" s="75">
        <f>COUNTIFS(ÁGUA!N:N,'DADOS - PIRITUBA'!B102,ÁGUA!AE:AE,"Nc")</f>
        <v>0</v>
      </c>
      <c r="F102" s="76" t="str">
        <f t="shared" si="23"/>
        <v>-</v>
      </c>
      <c r="G102" s="65" t="str">
        <f t="shared" si="24"/>
        <v>-</v>
      </c>
    </row>
    <row r="103" spans="2:7">
      <c r="B103" s="58" t="s">
        <v>73</v>
      </c>
      <c r="C103" s="80">
        <f t="shared" si="22"/>
        <v>0</v>
      </c>
      <c r="D103" s="75">
        <f>COUNTIFS(ÁGUA!N:N,'DADOS - PIRITUBA'!B103,ÁGUA!AE:AE,"c")</f>
        <v>0</v>
      </c>
      <c r="E103" s="75">
        <f>COUNTIFS(ÁGUA!N:N,'DADOS - PIRITUBA'!B103,ÁGUA!AE:AE,"Nc")</f>
        <v>0</v>
      </c>
      <c r="F103" s="76" t="str">
        <f t="shared" si="23"/>
        <v>-</v>
      </c>
      <c r="G103" s="65" t="str">
        <f t="shared" si="24"/>
        <v>-</v>
      </c>
    </row>
    <row r="104" spans="2:7">
      <c r="B104" s="58" t="s">
        <v>73</v>
      </c>
      <c r="C104" s="80">
        <f t="shared" si="22"/>
        <v>0</v>
      </c>
      <c r="D104" s="75">
        <f>COUNTIFS(ÁGUA!N:N,'DADOS - PIRITUBA'!B104,ÁGUA!AE:AE,"c")</f>
        <v>0</v>
      </c>
      <c r="E104" s="75">
        <f>COUNTIFS(ÁGUA!N:N,'DADOS - PIRITUBA'!B104,ÁGUA!AE:AE,"Nc")</f>
        <v>0</v>
      </c>
      <c r="F104" s="76" t="str">
        <f t="shared" si="23"/>
        <v>-</v>
      </c>
      <c r="G104" s="65" t="str">
        <f t="shared" si="24"/>
        <v>-</v>
      </c>
    </row>
    <row r="105" spans="2:7">
      <c r="B105" s="58" t="s">
        <v>73</v>
      </c>
      <c r="C105" s="80">
        <f t="shared" si="22"/>
        <v>0</v>
      </c>
      <c r="D105" s="75">
        <f>COUNTIFS(ÁGUA!N:N,'DADOS - PIRITUBA'!B105,ÁGUA!AE:AE,"c")</f>
        <v>0</v>
      </c>
      <c r="E105" s="75">
        <f>COUNTIFS(ÁGUA!N:N,'DADOS - PIRITUBA'!B105,ÁGUA!AE:AE,"Nc")</f>
        <v>0</v>
      </c>
      <c r="F105" s="76" t="str">
        <f t="shared" si="23"/>
        <v>-</v>
      </c>
      <c r="G105" s="65" t="str">
        <f t="shared" si="24"/>
        <v>-</v>
      </c>
    </row>
    <row r="106" spans="2:7">
      <c r="B106" s="58" t="s">
        <v>73</v>
      </c>
      <c r="C106" s="80">
        <f t="shared" si="22"/>
        <v>0</v>
      </c>
      <c r="D106" s="75">
        <f>COUNTIFS(ÁGUA!N:N,'DADOS - PIRITUBA'!B106,ÁGUA!AE:AE,"c")</f>
        <v>0</v>
      </c>
      <c r="E106" s="75">
        <f>COUNTIFS(ÁGUA!N:N,'DADOS - PIRITUBA'!B106,ÁGUA!AE:AE,"Nc")</f>
        <v>0</v>
      </c>
      <c r="F106" s="76" t="str">
        <f t="shared" si="23"/>
        <v>-</v>
      </c>
      <c r="G106" s="65" t="str">
        <f t="shared" si="24"/>
        <v>-</v>
      </c>
    </row>
    <row r="107" spans="2:7">
      <c r="B107" s="58" t="s">
        <v>73</v>
      </c>
      <c r="C107" s="80">
        <f t="shared" si="19"/>
        <v>0</v>
      </c>
      <c r="D107" s="75">
        <f>COUNTIFS(ÁGUA!N:N,'DADOS - PIRITUBA'!B107,ÁGUA!AE:AE,"c")</f>
        <v>0</v>
      </c>
      <c r="E107" s="75">
        <f>COUNTIFS(ÁGUA!N:N,'DADOS - PIRITUBA'!B107,ÁGUA!AE:AE,"Nc")</f>
        <v>0</v>
      </c>
      <c r="F107" s="76" t="str">
        <f t="shared" si="20"/>
        <v>-</v>
      </c>
      <c r="G107" s="65" t="str">
        <f t="shared" si="21"/>
        <v>-</v>
      </c>
    </row>
    <row r="108" spans="2:7">
      <c r="B108" s="58" t="s">
        <v>73</v>
      </c>
      <c r="C108" s="80">
        <f t="shared" si="19"/>
        <v>0</v>
      </c>
      <c r="D108" s="75">
        <f>COUNTIFS(ÁGUA!N:N,'DADOS - PIRITUBA'!B108,ÁGUA!AE:AE,"c")</f>
        <v>0</v>
      </c>
      <c r="E108" s="75">
        <f>COUNTIFS(ÁGUA!N:N,'DADOS - PIRITUBA'!B108,ÁGUA!AE:AE,"Nc")</f>
        <v>0</v>
      </c>
      <c r="F108" s="76" t="str">
        <f t="shared" si="20"/>
        <v>-</v>
      </c>
      <c r="G108" s="65" t="str">
        <f t="shared" si="21"/>
        <v>-</v>
      </c>
    </row>
    <row r="109" spans="2:7">
      <c r="B109" s="58" t="s">
        <v>73</v>
      </c>
      <c r="C109" s="80">
        <f t="shared" si="19"/>
        <v>0</v>
      </c>
      <c r="D109" s="75">
        <f>COUNTIFS(ÁGUA!N:N,'DADOS - PIRITUBA'!B109,ÁGUA!AE:AE,"c")</f>
        <v>0</v>
      </c>
      <c r="E109" s="75">
        <f>COUNTIFS(ÁGUA!N:N,'DADOS - PIRITUBA'!B109,ÁGUA!AE:AE,"Nc")</f>
        <v>0</v>
      </c>
      <c r="F109" s="76" t="str">
        <f t="shared" si="20"/>
        <v>-</v>
      </c>
      <c r="G109" s="65" t="str">
        <f t="shared" si="21"/>
        <v>-</v>
      </c>
    </row>
    <row r="110" spans="2:7">
      <c r="B110" s="58" t="s">
        <v>73</v>
      </c>
      <c r="C110" s="80">
        <f t="shared" si="19"/>
        <v>0</v>
      </c>
      <c r="D110" s="75">
        <f>COUNTIFS(ÁGUA!N:N,'DADOS - PIRITUBA'!B110,ÁGUA!AE:AE,"c")</f>
        <v>0</v>
      </c>
      <c r="E110" s="75">
        <f>COUNTIFS(ÁGUA!N:N,'DADOS - PIRITUBA'!B110,ÁGUA!AE:AE,"Nc")</f>
        <v>0</v>
      </c>
      <c r="F110" s="76" t="str">
        <f t="shared" si="20"/>
        <v>-</v>
      </c>
      <c r="G110" s="65" t="str">
        <f t="shared" si="21"/>
        <v>-</v>
      </c>
    </row>
    <row r="111" spans="2:7" ht="18.75" customHeight="1">
      <c r="B111" s="58" t="s">
        <v>73</v>
      </c>
      <c r="C111" s="80">
        <f t="shared" ref="C111" si="25">D111+E111</f>
        <v>0</v>
      </c>
      <c r="D111" s="75">
        <f>COUNTIFS(ÁGUA!N:N,'DADOS - PIRITUBA'!B111,ÁGUA!AE:AE,"c")</f>
        <v>0</v>
      </c>
      <c r="E111" s="75">
        <f>COUNTIFS(ÁGUA!N:N,'DADOS - PIRITUBA'!B111,ÁGUA!AE:AE,"Nc")</f>
        <v>0</v>
      </c>
      <c r="F111" s="76" t="str">
        <f t="shared" ref="F111" si="26">IFERROR(D111/C111,"-")</f>
        <v>-</v>
      </c>
      <c r="G111" s="65" t="str">
        <f t="shared" ref="G111" si="27">IFERROR(100%-F111,"-")</f>
        <v>-</v>
      </c>
    </row>
    <row r="112" spans="2:7">
      <c r="B112" s="58" t="s">
        <v>73</v>
      </c>
      <c r="C112" s="80">
        <f t="shared" si="16"/>
        <v>0</v>
      </c>
      <c r="D112" s="75">
        <f>COUNTIFS(ÁGUA!N:N,'DADOS - PIRITUBA'!B112,ÁGUA!AE:AE,"c")</f>
        <v>0</v>
      </c>
      <c r="E112" s="75">
        <f>COUNTIFS(ÁGUA!N:N,'DADOS - PIRITUBA'!B112,ÁGUA!AE:AE,"Nc")</f>
        <v>0</v>
      </c>
      <c r="F112" s="76" t="str">
        <f t="shared" si="17"/>
        <v>-</v>
      </c>
      <c r="G112" s="65" t="str">
        <f t="shared" si="18"/>
        <v>-</v>
      </c>
    </row>
    <row r="113" spans="2:7">
      <c r="C113" s="32"/>
      <c r="D113" s="32"/>
      <c r="E113" s="32"/>
      <c r="F113" s="32"/>
      <c r="G113" s="32"/>
    </row>
    <row r="114" spans="2:7">
      <c r="B114" s="348" t="s">
        <v>74</v>
      </c>
      <c r="C114" s="349"/>
      <c r="D114" s="349"/>
      <c r="E114" s="349"/>
      <c r="F114" s="349"/>
      <c r="G114" s="350"/>
    </row>
    <row r="115" spans="2:7" ht="36">
      <c r="B115" s="107" t="s">
        <v>70</v>
      </c>
      <c r="C115" s="110" t="s">
        <v>71</v>
      </c>
      <c r="D115" s="111" t="s">
        <v>56</v>
      </c>
      <c r="E115" s="111" t="s">
        <v>57</v>
      </c>
      <c r="F115" s="111" t="s">
        <v>59</v>
      </c>
      <c r="G115" s="111" t="s">
        <v>72</v>
      </c>
    </row>
    <row r="116" spans="2:7" ht="19.5" customHeight="1">
      <c r="B116" s="58" t="s">
        <v>73</v>
      </c>
      <c r="C116" s="70">
        <f t="shared" ref="C116:C117" si="28">D116+E116</f>
        <v>0</v>
      </c>
      <c r="D116" s="22">
        <f>COUNTIFS(ÁGUA!N:N,'DADOS - PIRITUBA'!B116,ÁGUA!AF:AF,"c")</f>
        <v>0</v>
      </c>
      <c r="E116" s="70">
        <f>COUNTIFS(ÁGUA!N:N,'DADOS - PIRITUBA'!B116,ÁGUA!AF:AF,"NC")</f>
        <v>0</v>
      </c>
      <c r="F116" s="71" t="str">
        <f>IFERROR(D116/C116,"-")</f>
        <v>-</v>
      </c>
      <c r="G116" s="72" t="str">
        <f>IFERROR(100%-F116,"-")</f>
        <v>-</v>
      </c>
    </row>
    <row r="117" spans="2:7" ht="19.5" customHeight="1">
      <c r="B117" s="58" t="s">
        <v>73</v>
      </c>
      <c r="C117" s="70">
        <f t="shared" si="28"/>
        <v>0</v>
      </c>
      <c r="D117" s="22">
        <f>COUNTIFS(ÁGUA!N:N,'DADOS - PIRITUBA'!B117,ÁGUA!AF:AF,"c")</f>
        <v>0</v>
      </c>
      <c r="E117" s="70">
        <f>COUNTIFS(ÁGUA!N:N,'DADOS - PIRITUBA'!B117,ÁGUA!AF:AF,"NC")</f>
        <v>0</v>
      </c>
      <c r="F117" s="71" t="str">
        <f t="shared" ref="F117" si="29">IFERROR(D117/C117,"-")</f>
        <v>-</v>
      </c>
      <c r="G117" s="72" t="str">
        <f t="shared" ref="G117" si="30">IFERROR(100%-F117,"-")</f>
        <v>-</v>
      </c>
    </row>
    <row r="118" spans="2:7" ht="19.5" customHeight="1">
      <c r="B118" s="58" t="s">
        <v>73</v>
      </c>
      <c r="C118" s="70">
        <f t="shared" ref="C118:C153" si="31">D118+E118</f>
        <v>0</v>
      </c>
      <c r="D118" s="22">
        <f>COUNTIFS(ÁGUA!N:N,'DADOS - PIRITUBA'!B118,ÁGUA!AF:AF,"c")</f>
        <v>0</v>
      </c>
      <c r="E118" s="70">
        <f>COUNTIFS(ÁGUA!N:N,'DADOS - PIRITUBA'!B118,ÁGUA!AF:AF,"NC")</f>
        <v>0</v>
      </c>
      <c r="F118" s="71" t="str">
        <f t="shared" ref="F118:F153" si="32">IFERROR(D118/C118,"-")</f>
        <v>-</v>
      </c>
      <c r="G118" s="72" t="str">
        <f t="shared" ref="G118:G153" si="33">IFERROR(100%-F118,"-")</f>
        <v>-</v>
      </c>
    </row>
    <row r="119" spans="2:7" ht="19.5" customHeight="1">
      <c r="B119" s="58" t="s">
        <v>73</v>
      </c>
      <c r="C119" s="70">
        <f t="shared" ref="C119:C149" si="34">D119+E119</f>
        <v>0</v>
      </c>
      <c r="D119" s="22">
        <f>COUNTIFS(ÁGUA!N:N,'DADOS - PIRITUBA'!B119,ÁGUA!AF:AF,"c")</f>
        <v>0</v>
      </c>
      <c r="E119" s="70">
        <f>COUNTIFS(ÁGUA!N:N,'DADOS - PIRITUBA'!B119,ÁGUA!AF:AF,"NC")</f>
        <v>0</v>
      </c>
      <c r="F119" s="71" t="str">
        <f t="shared" ref="F119:F149" si="35">IFERROR(D119/C119,"-")</f>
        <v>-</v>
      </c>
      <c r="G119" s="72" t="str">
        <f t="shared" ref="G119:G149" si="36">IFERROR(100%-F119,"-")</f>
        <v>-</v>
      </c>
    </row>
    <row r="120" spans="2:7" ht="19.5" customHeight="1">
      <c r="B120" s="58" t="s">
        <v>73</v>
      </c>
      <c r="C120" s="70">
        <f t="shared" si="34"/>
        <v>0</v>
      </c>
      <c r="D120" s="22">
        <f>COUNTIFS(ÁGUA!N:N,'DADOS - PIRITUBA'!B120,ÁGUA!AF:AF,"c")</f>
        <v>0</v>
      </c>
      <c r="E120" s="70">
        <f>COUNTIFS(ÁGUA!N:N,'DADOS - PIRITUBA'!B120,ÁGUA!AF:AF,"NC")</f>
        <v>0</v>
      </c>
      <c r="F120" s="71" t="str">
        <f t="shared" si="35"/>
        <v>-</v>
      </c>
      <c r="G120" s="72" t="str">
        <f t="shared" si="36"/>
        <v>-</v>
      </c>
    </row>
    <row r="121" spans="2:7" ht="19.5" customHeight="1">
      <c r="B121" s="58" t="s">
        <v>73</v>
      </c>
      <c r="C121" s="70">
        <f t="shared" si="34"/>
        <v>0</v>
      </c>
      <c r="D121" s="22">
        <f>COUNTIFS(ÁGUA!N:N,'DADOS - PIRITUBA'!B121,ÁGUA!AF:AF,"c")</f>
        <v>0</v>
      </c>
      <c r="E121" s="70">
        <f>COUNTIFS(ÁGUA!N:N,'DADOS - PIRITUBA'!B121,ÁGUA!AF:AF,"NC")</f>
        <v>0</v>
      </c>
      <c r="F121" s="71" t="str">
        <f t="shared" si="35"/>
        <v>-</v>
      </c>
      <c r="G121" s="72" t="str">
        <f t="shared" si="36"/>
        <v>-</v>
      </c>
    </row>
    <row r="122" spans="2:7" ht="19.5" customHeight="1">
      <c r="B122" s="58" t="s">
        <v>73</v>
      </c>
      <c r="C122" s="70">
        <f t="shared" si="34"/>
        <v>0</v>
      </c>
      <c r="D122" s="22">
        <f>COUNTIFS(ÁGUA!N:N,'DADOS - PIRITUBA'!B122,ÁGUA!AF:AF,"c")</f>
        <v>0</v>
      </c>
      <c r="E122" s="70">
        <f>COUNTIFS(ÁGUA!N:N,'DADOS - PIRITUBA'!B122,ÁGUA!AF:AF,"NC")</f>
        <v>0</v>
      </c>
      <c r="F122" s="71" t="str">
        <f t="shared" si="35"/>
        <v>-</v>
      </c>
      <c r="G122" s="72" t="str">
        <f t="shared" si="36"/>
        <v>-</v>
      </c>
    </row>
    <row r="123" spans="2:7" ht="19.5" customHeight="1">
      <c r="B123" s="58" t="s">
        <v>73</v>
      </c>
      <c r="C123" s="70">
        <f t="shared" si="34"/>
        <v>0</v>
      </c>
      <c r="D123" s="22">
        <f>COUNTIFS(ÁGUA!N:N,'DADOS - PIRITUBA'!B123,ÁGUA!AF:AF,"c")</f>
        <v>0</v>
      </c>
      <c r="E123" s="70">
        <f>COUNTIFS(ÁGUA!N:N,'DADOS - PIRITUBA'!B123,ÁGUA!AF:AF,"NC")</f>
        <v>0</v>
      </c>
      <c r="F123" s="71" t="str">
        <f t="shared" si="35"/>
        <v>-</v>
      </c>
      <c r="G123" s="72" t="str">
        <f t="shared" si="36"/>
        <v>-</v>
      </c>
    </row>
    <row r="124" spans="2:7" ht="19.5" customHeight="1">
      <c r="B124" s="58" t="s">
        <v>73</v>
      </c>
      <c r="C124" s="70">
        <f t="shared" si="34"/>
        <v>0</v>
      </c>
      <c r="D124" s="22">
        <f>COUNTIFS(ÁGUA!N:N,'DADOS - PIRITUBA'!B124,ÁGUA!AF:AF,"c")</f>
        <v>0</v>
      </c>
      <c r="E124" s="70">
        <f>COUNTIFS(ÁGUA!N:N,'DADOS - PIRITUBA'!B124,ÁGUA!AF:AF,"NC")</f>
        <v>0</v>
      </c>
      <c r="F124" s="71" t="str">
        <f t="shared" si="35"/>
        <v>-</v>
      </c>
      <c r="G124" s="72" t="str">
        <f t="shared" si="36"/>
        <v>-</v>
      </c>
    </row>
    <row r="125" spans="2:7" ht="19.5" customHeight="1">
      <c r="B125" s="58" t="s">
        <v>73</v>
      </c>
      <c r="C125" s="70">
        <f t="shared" si="34"/>
        <v>0</v>
      </c>
      <c r="D125" s="22">
        <f>COUNTIFS(ÁGUA!N:N,'DADOS - PIRITUBA'!B125,ÁGUA!AF:AF,"c")</f>
        <v>0</v>
      </c>
      <c r="E125" s="70">
        <f>COUNTIFS(ÁGUA!N:N,'DADOS - PIRITUBA'!B125,ÁGUA!AF:AF,"NC")</f>
        <v>0</v>
      </c>
      <c r="F125" s="71" t="str">
        <f t="shared" si="35"/>
        <v>-</v>
      </c>
      <c r="G125" s="72" t="str">
        <f t="shared" si="36"/>
        <v>-</v>
      </c>
    </row>
    <row r="126" spans="2:7" ht="19.5" customHeight="1">
      <c r="B126" s="58" t="s">
        <v>73</v>
      </c>
      <c r="C126" s="70">
        <f t="shared" si="34"/>
        <v>0</v>
      </c>
      <c r="D126" s="22">
        <f>COUNTIFS(ÁGUA!N:N,'DADOS - PIRITUBA'!B126,ÁGUA!AF:AF,"c")</f>
        <v>0</v>
      </c>
      <c r="E126" s="70">
        <f>COUNTIFS(ÁGUA!N:N,'DADOS - PIRITUBA'!B126,ÁGUA!AF:AF,"NC")</f>
        <v>0</v>
      </c>
      <c r="F126" s="71" t="str">
        <f t="shared" si="35"/>
        <v>-</v>
      </c>
      <c r="G126" s="72" t="str">
        <f t="shared" si="36"/>
        <v>-</v>
      </c>
    </row>
    <row r="127" spans="2:7" ht="19.5" customHeight="1">
      <c r="B127" s="58" t="s">
        <v>73</v>
      </c>
      <c r="C127" s="70">
        <f t="shared" si="34"/>
        <v>0</v>
      </c>
      <c r="D127" s="22">
        <f>COUNTIFS(ÁGUA!N:N,'DADOS - PIRITUBA'!B127,ÁGUA!AF:AF,"c")</f>
        <v>0</v>
      </c>
      <c r="E127" s="70">
        <f>COUNTIFS(ÁGUA!N:N,'DADOS - PIRITUBA'!B127,ÁGUA!AF:AF,"NC")</f>
        <v>0</v>
      </c>
      <c r="F127" s="71" t="str">
        <f t="shared" si="35"/>
        <v>-</v>
      </c>
      <c r="G127" s="72" t="str">
        <f t="shared" si="36"/>
        <v>-</v>
      </c>
    </row>
    <row r="128" spans="2:7" ht="19.5" customHeight="1">
      <c r="B128" s="58" t="s">
        <v>73</v>
      </c>
      <c r="C128" s="70">
        <f t="shared" si="34"/>
        <v>0</v>
      </c>
      <c r="D128" s="22">
        <f>COUNTIFS(ÁGUA!N:N,'DADOS - PIRITUBA'!B128,ÁGUA!AF:AF,"c")</f>
        <v>0</v>
      </c>
      <c r="E128" s="70">
        <f>COUNTIFS(ÁGUA!N:N,'DADOS - PIRITUBA'!B128,ÁGUA!AF:AF,"NC")</f>
        <v>0</v>
      </c>
      <c r="F128" s="71" t="str">
        <f t="shared" si="35"/>
        <v>-</v>
      </c>
      <c r="G128" s="72" t="str">
        <f t="shared" si="36"/>
        <v>-</v>
      </c>
    </row>
    <row r="129" spans="2:7" ht="19.5" customHeight="1">
      <c r="B129" s="58" t="s">
        <v>73</v>
      </c>
      <c r="C129" s="70">
        <f t="shared" si="34"/>
        <v>0</v>
      </c>
      <c r="D129" s="22">
        <f>COUNTIFS(ÁGUA!N:N,'DADOS - PIRITUBA'!B129,ÁGUA!AF:AF,"c")</f>
        <v>0</v>
      </c>
      <c r="E129" s="70">
        <f>COUNTIFS(ÁGUA!N:N,'DADOS - PIRITUBA'!B129,ÁGUA!AF:AF,"NC")</f>
        <v>0</v>
      </c>
      <c r="F129" s="71" t="str">
        <f t="shared" si="35"/>
        <v>-</v>
      </c>
      <c r="G129" s="72" t="str">
        <f t="shared" si="36"/>
        <v>-</v>
      </c>
    </row>
    <row r="130" spans="2:7" ht="19.5" customHeight="1">
      <c r="B130" s="58" t="s">
        <v>73</v>
      </c>
      <c r="C130" s="70">
        <f t="shared" si="34"/>
        <v>0</v>
      </c>
      <c r="D130" s="22">
        <f>COUNTIFS(ÁGUA!N:N,'DADOS - PIRITUBA'!B130,ÁGUA!AF:AF,"c")</f>
        <v>0</v>
      </c>
      <c r="E130" s="70">
        <f>COUNTIFS(ÁGUA!N:N,'DADOS - PIRITUBA'!B130,ÁGUA!AF:AF,"NC")</f>
        <v>0</v>
      </c>
      <c r="F130" s="71" t="str">
        <f t="shared" si="35"/>
        <v>-</v>
      </c>
      <c r="G130" s="72" t="str">
        <f t="shared" si="36"/>
        <v>-</v>
      </c>
    </row>
    <row r="131" spans="2:7" ht="19.5" customHeight="1">
      <c r="B131" s="58" t="s">
        <v>73</v>
      </c>
      <c r="C131" s="70">
        <f t="shared" si="34"/>
        <v>0</v>
      </c>
      <c r="D131" s="22">
        <f>COUNTIFS(ÁGUA!N:N,'DADOS - PIRITUBA'!B131,ÁGUA!AF:AF,"c")</f>
        <v>0</v>
      </c>
      <c r="E131" s="70">
        <f>COUNTIFS(ÁGUA!N:N,'DADOS - PIRITUBA'!B131,ÁGUA!AF:AF,"NC")</f>
        <v>0</v>
      </c>
      <c r="F131" s="71" t="str">
        <f t="shared" si="35"/>
        <v>-</v>
      </c>
      <c r="G131" s="72" t="str">
        <f t="shared" si="36"/>
        <v>-</v>
      </c>
    </row>
    <row r="132" spans="2:7" ht="19.5" customHeight="1">
      <c r="B132" s="58" t="s">
        <v>73</v>
      </c>
      <c r="C132" s="70">
        <f t="shared" si="34"/>
        <v>0</v>
      </c>
      <c r="D132" s="22">
        <f>COUNTIFS(ÁGUA!N:N,'DADOS - PIRITUBA'!B132,ÁGUA!AF:AF,"c")</f>
        <v>0</v>
      </c>
      <c r="E132" s="70">
        <f>COUNTIFS(ÁGUA!N:N,'DADOS - PIRITUBA'!B132,ÁGUA!AF:AF,"NC")</f>
        <v>0</v>
      </c>
      <c r="F132" s="71" t="str">
        <f t="shared" si="35"/>
        <v>-</v>
      </c>
      <c r="G132" s="72" t="str">
        <f t="shared" si="36"/>
        <v>-</v>
      </c>
    </row>
    <row r="133" spans="2:7" ht="19.5" customHeight="1">
      <c r="B133" s="58" t="s">
        <v>73</v>
      </c>
      <c r="C133" s="70">
        <f t="shared" si="34"/>
        <v>0</v>
      </c>
      <c r="D133" s="22">
        <f>COUNTIFS(ÁGUA!N:N,'DADOS - PIRITUBA'!B133,ÁGUA!AF:AF,"c")</f>
        <v>0</v>
      </c>
      <c r="E133" s="70">
        <f>COUNTIFS(ÁGUA!N:N,'DADOS - PIRITUBA'!B133,ÁGUA!AF:AF,"NC")</f>
        <v>0</v>
      </c>
      <c r="F133" s="71" t="str">
        <f t="shared" si="35"/>
        <v>-</v>
      </c>
      <c r="G133" s="72" t="str">
        <f t="shared" si="36"/>
        <v>-</v>
      </c>
    </row>
    <row r="134" spans="2:7" ht="19.5" customHeight="1">
      <c r="B134" s="58" t="s">
        <v>73</v>
      </c>
      <c r="C134" s="70">
        <f t="shared" si="34"/>
        <v>0</v>
      </c>
      <c r="D134" s="22">
        <f>COUNTIFS(ÁGUA!N:N,'DADOS - PIRITUBA'!B134,ÁGUA!AF:AF,"c")</f>
        <v>0</v>
      </c>
      <c r="E134" s="70">
        <f>COUNTIFS(ÁGUA!N:N,'DADOS - PIRITUBA'!B134,ÁGUA!AF:AF,"NC")</f>
        <v>0</v>
      </c>
      <c r="F134" s="71" t="str">
        <f t="shared" si="35"/>
        <v>-</v>
      </c>
      <c r="G134" s="72" t="str">
        <f t="shared" si="36"/>
        <v>-</v>
      </c>
    </row>
    <row r="135" spans="2:7" ht="19.5" customHeight="1">
      <c r="B135" s="58" t="s">
        <v>73</v>
      </c>
      <c r="C135" s="70">
        <f t="shared" si="34"/>
        <v>0</v>
      </c>
      <c r="D135" s="22">
        <f>COUNTIFS(ÁGUA!N:N,'DADOS - PIRITUBA'!B135,ÁGUA!AF:AF,"c")</f>
        <v>0</v>
      </c>
      <c r="E135" s="70">
        <f>COUNTIFS(ÁGUA!N:N,'DADOS - PIRITUBA'!B135,ÁGUA!AF:AF,"NC")</f>
        <v>0</v>
      </c>
      <c r="F135" s="71" t="str">
        <f t="shared" si="35"/>
        <v>-</v>
      </c>
      <c r="G135" s="72" t="str">
        <f t="shared" si="36"/>
        <v>-</v>
      </c>
    </row>
    <row r="136" spans="2:7" ht="19.5" customHeight="1">
      <c r="B136" s="58" t="s">
        <v>73</v>
      </c>
      <c r="C136" s="70">
        <f t="shared" si="34"/>
        <v>0</v>
      </c>
      <c r="D136" s="22">
        <f>COUNTIFS(ÁGUA!N:N,'DADOS - PIRITUBA'!B136,ÁGUA!AF:AF,"c")</f>
        <v>0</v>
      </c>
      <c r="E136" s="70">
        <f>COUNTIFS(ÁGUA!N:N,'DADOS - PIRITUBA'!B136,ÁGUA!AF:AF,"NC")</f>
        <v>0</v>
      </c>
      <c r="F136" s="71" t="str">
        <f t="shared" si="35"/>
        <v>-</v>
      </c>
      <c r="G136" s="72" t="str">
        <f t="shared" si="36"/>
        <v>-</v>
      </c>
    </row>
    <row r="137" spans="2:7" ht="19.5" customHeight="1">
      <c r="B137" s="58" t="s">
        <v>73</v>
      </c>
      <c r="C137" s="70">
        <f t="shared" si="34"/>
        <v>0</v>
      </c>
      <c r="D137" s="22">
        <f>COUNTIFS(ÁGUA!N:N,'DADOS - PIRITUBA'!B137,ÁGUA!AF:AF,"c")</f>
        <v>0</v>
      </c>
      <c r="E137" s="70">
        <f>COUNTIFS(ÁGUA!N:N,'DADOS - PIRITUBA'!B137,ÁGUA!AF:AF,"NC")</f>
        <v>0</v>
      </c>
      <c r="F137" s="71" t="str">
        <f t="shared" si="35"/>
        <v>-</v>
      </c>
      <c r="G137" s="72" t="str">
        <f t="shared" si="36"/>
        <v>-</v>
      </c>
    </row>
    <row r="138" spans="2:7" ht="19.5" customHeight="1">
      <c r="B138" s="58" t="s">
        <v>73</v>
      </c>
      <c r="C138" s="70">
        <f t="shared" si="34"/>
        <v>0</v>
      </c>
      <c r="D138" s="22">
        <f>COUNTIFS(ÁGUA!N:N,'DADOS - PIRITUBA'!B138,ÁGUA!AF:AF,"c")</f>
        <v>0</v>
      </c>
      <c r="E138" s="70">
        <f>COUNTIFS(ÁGUA!N:N,'DADOS - PIRITUBA'!B138,ÁGUA!AF:AF,"NC")</f>
        <v>0</v>
      </c>
      <c r="F138" s="71" t="str">
        <f t="shared" si="35"/>
        <v>-</v>
      </c>
      <c r="G138" s="72" t="str">
        <f t="shared" si="36"/>
        <v>-</v>
      </c>
    </row>
    <row r="139" spans="2:7" ht="19.5" customHeight="1">
      <c r="B139" s="58" t="s">
        <v>73</v>
      </c>
      <c r="C139" s="70">
        <f t="shared" si="34"/>
        <v>0</v>
      </c>
      <c r="D139" s="22">
        <f>COUNTIFS(ÁGUA!N:N,'DADOS - PIRITUBA'!B139,ÁGUA!AF:AF,"c")</f>
        <v>0</v>
      </c>
      <c r="E139" s="70">
        <f>COUNTIFS(ÁGUA!N:N,'DADOS - PIRITUBA'!B139,ÁGUA!AF:AF,"NC")</f>
        <v>0</v>
      </c>
      <c r="F139" s="71" t="str">
        <f t="shared" si="35"/>
        <v>-</v>
      </c>
      <c r="G139" s="72" t="str">
        <f t="shared" si="36"/>
        <v>-</v>
      </c>
    </row>
    <row r="140" spans="2:7" ht="19.5" customHeight="1">
      <c r="B140" s="58" t="s">
        <v>73</v>
      </c>
      <c r="C140" s="70">
        <f t="shared" si="34"/>
        <v>0</v>
      </c>
      <c r="D140" s="22">
        <f>COUNTIFS(ÁGUA!N:N,'DADOS - PIRITUBA'!B140,ÁGUA!AF:AF,"c")</f>
        <v>0</v>
      </c>
      <c r="E140" s="70">
        <f>COUNTIFS(ÁGUA!N:N,'DADOS - PIRITUBA'!B140,ÁGUA!AF:AF,"NC")</f>
        <v>0</v>
      </c>
      <c r="F140" s="71" t="str">
        <f t="shared" si="35"/>
        <v>-</v>
      </c>
      <c r="G140" s="72" t="str">
        <f t="shared" si="36"/>
        <v>-</v>
      </c>
    </row>
    <row r="141" spans="2:7" ht="19.5" customHeight="1">
      <c r="B141" s="58" t="s">
        <v>73</v>
      </c>
      <c r="C141" s="70">
        <f t="shared" si="34"/>
        <v>0</v>
      </c>
      <c r="D141" s="22">
        <f>COUNTIFS(ÁGUA!N:N,'DADOS - PIRITUBA'!B141,ÁGUA!AF:AF,"c")</f>
        <v>0</v>
      </c>
      <c r="E141" s="70">
        <f>COUNTIFS(ÁGUA!N:N,'DADOS - PIRITUBA'!B141,ÁGUA!AF:AF,"NC")</f>
        <v>0</v>
      </c>
      <c r="F141" s="71" t="str">
        <f t="shared" si="35"/>
        <v>-</v>
      </c>
      <c r="G141" s="72" t="str">
        <f t="shared" si="36"/>
        <v>-</v>
      </c>
    </row>
    <row r="142" spans="2:7" ht="19.5" customHeight="1">
      <c r="B142" s="58" t="s">
        <v>73</v>
      </c>
      <c r="C142" s="70">
        <f t="shared" si="34"/>
        <v>0</v>
      </c>
      <c r="D142" s="22">
        <f>COUNTIFS(ÁGUA!N:N,'DADOS - PIRITUBA'!B142,ÁGUA!AF:AF,"c")</f>
        <v>0</v>
      </c>
      <c r="E142" s="70">
        <f>COUNTIFS(ÁGUA!N:N,'DADOS - PIRITUBA'!B142,ÁGUA!AF:AF,"NC")</f>
        <v>0</v>
      </c>
      <c r="F142" s="71" t="str">
        <f t="shared" si="35"/>
        <v>-</v>
      </c>
      <c r="G142" s="72" t="str">
        <f t="shared" si="36"/>
        <v>-</v>
      </c>
    </row>
    <row r="143" spans="2:7" ht="19.5" customHeight="1">
      <c r="B143" s="58" t="s">
        <v>73</v>
      </c>
      <c r="C143" s="70">
        <f t="shared" si="34"/>
        <v>0</v>
      </c>
      <c r="D143" s="22">
        <f>COUNTIFS(ÁGUA!N:N,'DADOS - PIRITUBA'!B143,ÁGUA!AF:AF,"c")</f>
        <v>0</v>
      </c>
      <c r="E143" s="70">
        <f>COUNTIFS(ÁGUA!N:N,'DADOS - PIRITUBA'!B143,ÁGUA!AF:AF,"NC")</f>
        <v>0</v>
      </c>
      <c r="F143" s="71" t="str">
        <f t="shared" si="35"/>
        <v>-</v>
      </c>
      <c r="G143" s="72" t="str">
        <f t="shared" si="36"/>
        <v>-</v>
      </c>
    </row>
    <row r="144" spans="2:7" ht="19.5" customHeight="1">
      <c r="B144" s="58" t="s">
        <v>73</v>
      </c>
      <c r="C144" s="70">
        <f t="shared" si="34"/>
        <v>0</v>
      </c>
      <c r="D144" s="22">
        <f>COUNTIFS(ÁGUA!N:N,'DADOS - PIRITUBA'!B144,ÁGUA!AF:AF,"c")</f>
        <v>0</v>
      </c>
      <c r="E144" s="70">
        <f>COUNTIFS(ÁGUA!N:N,'DADOS - PIRITUBA'!B144,ÁGUA!AF:AF,"NC")</f>
        <v>0</v>
      </c>
      <c r="F144" s="71" t="str">
        <f t="shared" si="35"/>
        <v>-</v>
      </c>
      <c r="G144" s="72" t="str">
        <f t="shared" si="36"/>
        <v>-</v>
      </c>
    </row>
    <row r="145" spans="2:11" ht="19.5" customHeight="1">
      <c r="B145" s="58" t="s">
        <v>73</v>
      </c>
      <c r="C145" s="70">
        <f t="shared" si="34"/>
        <v>0</v>
      </c>
      <c r="D145" s="22">
        <f>COUNTIFS(ÁGUA!N:N,'DADOS - PIRITUBA'!B145,ÁGUA!AF:AF,"c")</f>
        <v>0</v>
      </c>
      <c r="E145" s="70">
        <f>COUNTIFS(ÁGUA!N:N,'DADOS - PIRITUBA'!B145,ÁGUA!AF:AF,"NC")</f>
        <v>0</v>
      </c>
      <c r="F145" s="71" t="str">
        <f t="shared" si="35"/>
        <v>-</v>
      </c>
      <c r="G145" s="72" t="str">
        <f t="shared" si="36"/>
        <v>-</v>
      </c>
    </row>
    <row r="146" spans="2:11" ht="19.5" customHeight="1">
      <c r="B146" s="58" t="s">
        <v>73</v>
      </c>
      <c r="C146" s="70">
        <f t="shared" si="34"/>
        <v>0</v>
      </c>
      <c r="D146" s="22">
        <f>COUNTIFS(ÁGUA!N:N,'DADOS - PIRITUBA'!B146,ÁGUA!AF:AF,"c")</f>
        <v>0</v>
      </c>
      <c r="E146" s="70">
        <f>COUNTIFS(ÁGUA!N:N,'DADOS - PIRITUBA'!B146,ÁGUA!AF:AF,"NC")</f>
        <v>0</v>
      </c>
      <c r="F146" s="71" t="str">
        <f t="shared" si="35"/>
        <v>-</v>
      </c>
      <c r="G146" s="72" t="str">
        <f t="shared" si="36"/>
        <v>-</v>
      </c>
    </row>
    <row r="147" spans="2:11" ht="19.5" customHeight="1">
      <c r="B147" s="58" t="s">
        <v>73</v>
      </c>
      <c r="C147" s="70">
        <f t="shared" si="34"/>
        <v>0</v>
      </c>
      <c r="D147" s="22">
        <f>COUNTIFS(ÁGUA!N:N,'DADOS - PIRITUBA'!B147,ÁGUA!AF:AF,"c")</f>
        <v>0</v>
      </c>
      <c r="E147" s="70">
        <f>COUNTIFS(ÁGUA!N:N,'DADOS - PIRITUBA'!B147,ÁGUA!AF:AF,"NC")</f>
        <v>0</v>
      </c>
      <c r="F147" s="71" t="str">
        <f t="shared" si="35"/>
        <v>-</v>
      </c>
      <c r="G147" s="72" t="str">
        <f t="shared" si="36"/>
        <v>-</v>
      </c>
    </row>
    <row r="148" spans="2:11" ht="19.5" customHeight="1">
      <c r="B148" s="58" t="s">
        <v>73</v>
      </c>
      <c r="C148" s="70">
        <f t="shared" si="34"/>
        <v>0</v>
      </c>
      <c r="D148" s="22">
        <f>COUNTIFS(ÁGUA!N:N,'DADOS - PIRITUBA'!B148,ÁGUA!AF:AF,"c")</f>
        <v>0</v>
      </c>
      <c r="E148" s="70">
        <f>COUNTIFS(ÁGUA!N:N,'DADOS - PIRITUBA'!B148,ÁGUA!AF:AF,"NC")</f>
        <v>0</v>
      </c>
      <c r="F148" s="71" t="str">
        <f t="shared" si="35"/>
        <v>-</v>
      </c>
      <c r="G148" s="72" t="str">
        <f t="shared" si="36"/>
        <v>-</v>
      </c>
    </row>
    <row r="149" spans="2:11" ht="16.5" customHeight="1">
      <c r="B149" s="58" t="s">
        <v>73</v>
      </c>
      <c r="C149" s="70">
        <f t="shared" si="34"/>
        <v>0</v>
      </c>
      <c r="D149" s="22">
        <f>COUNTIFS(ÁGUA!N:N,'DADOS - PIRITUBA'!B149,ÁGUA!AF:AF,"c")</f>
        <v>0</v>
      </c>
      <c r="E149" s="70">
        <f>COUNTIFS(ÁGUA!N:N,'DADOS - PIRITUBA'!B149,ÁGUA!AF:AF,"NC")</f>
        <v>0</v>
      </c>
      <c r="F149" s="71" t="str">
        <f t="shared" si="35"/>
        <v>-</v>
      </c>
      <c r="G149" s="72" t="str">
        <f t="shared" si="36"/>
        <v>-</v>
      </c>
    </row>
    <row r="150" spans="2:11" ht="19.5" customHeight="1">
      <c r="B150" s="58" t="s">
        <v>73</v>
      </c>
      <c r="C150" s="70">
        <f t="shared" si="31"/>
        <v>0</v>
      </c>
      <c r="D150" s="22">
        <f>COUNTIFS(ÁGUA!N:N,'DADOS - PIRITUBA'!B150,ÁGUA!AF:AF,"c")</f>
        <v>0</v>
      </c>
      <c r="E150" s="70">
        <f>COUNTIFS(ÁGUA!N:N,'DADOS - PIRITUBA'!B150,ÁGUA!AF:AF,"NC")</f>
        <v>0</v>
      </c>
      <c r="F150" s="71" t="str">
        <f t="shared" si="32"/>
        <v>-</v>
      </c>
      <c r="G150" s="72" t="str">
        <f t="shared" si="33"/>
        <v>-</v>
      </c>
    </row>
    <row r="151" spans="2:11" ht="19.5" customHeight="1">
      <c r="B151" s="58" t="s">
        <v>73</v>
      </c>
      <c r="C151" s="70">
        <f t="shared" si="31"/>
        <v>0</v>
      </c>
      <c r="D151" s="22">
        <f>COUNTIFS(ÁGUA!N:N,'DADOS - PIRITUBA'!B151,ÁGUA!AF:AF,"c")</f>
        <v>0</v>
      </c>
      <c r="E151" s="70">
        <f>COUNTIFS(ÁGUA!N:N,'DADOS - PIRITUBA'!B151,ÁGUA!AF:AF,"NC")</f>
        <v>0</v>
      </c>
      <c r="F151" s="71" t="str">
        <f t="shared" si="32"/>
        <v>-</v>
      </c>
      <c r="G151" s="72" t="str">
        <f t="shared" si="33"/>
        <v>-</v>
      </c>
    </row>
    <row r="152" spans="2:11" ht="16.5" customHeight="1">
      <c r="B152" s="58" t="s">
        <v>73</v>
      </c>
      <c r="C152" s="70">
        <f t="shared" ref="C152" si="37">D152+E152</f>
        <v>0</v>
      </c>
      <c r="D152" s="22">
        <f>COUNTIFS(ÁGUA!N:N,'DADOS - PIRITUBA'!B152,ÁGUA!AF:AF,"c")</f>
        <v>0</v>
      </c>
      <c r="E152" s="70">
        <f>COUNTIFS(ÁGUA!N:N,'DADOS - PIRITUBA'!B152,ÁGUA!AF:AF,"NC")</f>
        <v>0</v>
      </c>
      <c r="F152" s="71" t="str">
        <f t="shared" ref="F152" si="38">IFERROR(D152/C152,"-")</f>
        <v>-</v>
      </c>
      <c r="G152" s="72" t="str">
        <f t="shared" ref="G152" si="39">IFERROR(100%-F152,"-")</f>
        <v>-</v>
      </c>
    </row>
    <row r="153" spans="2:11" ht="19.5" customHeight="1">
      <c r="B153" s="58" t="s">
        <v>73</v>
      </c>
      <c r="C153" s="70">
        <f t="shared" si="31"/>
        <v>0</v>
      </c>
      <c r="D153" s="22">
        <f>COUNTIFS(ÁGUA!N:N,'DADOS - PIRITUBA'!B153,ÁGUA!AF:AF,"c")</f>
        <v>0</v>
      </c>
      <c r="E153" s="70">
        <f>COUNTIFS(ÁGUA!N:N,'DADOS - PIRITUBA'!B153,ÁGUA!AF:AF,"NC")</f>
        <v>0</v>
      </c>
      <c r="F153" s="71" t="str">
        <f t="shared" si="32"/>
        <v>-</v>
      </c>
      <c r="G153" s="72" t="str">
        <f t="shared" si="33"/>
        <v>-</v>
      </c>
    </row>
    <row r="154" spans="2:11">
      <c r="B154" s="58" t="s">
        <v>73</v>
      </c>
      <c r="C154" s="70">
        <f t="shared" ref="C154:C155" si="40">D154+E154</f>
        <v>0</v>
      </c>
      <c r="D154" s="22">
        <f>COUNTIFS(ÁGUA!N:N,'DADOS - PIRITUBA'!B154,ÁGUA!AF:AF,"c")</f>
        <v>0</v>
      </c>
      <c r="E154" s="70">
        <f>COUNTIFS(ÁGUA!N:N,'DADOS - PIRITUBA'!B154,ÁGUA!AF:AF,"NC")</f>
        <v>0</v>
      </c>
      <c r="F154" s="71" t="str">
        <f t="shared" ref="F154:F155" si="41">IFERROR(D154/C154,"-")</f>
        <v>-</v>
      </c>
      <c r="G154" s="72" t="str">
        <f t="shared" ref="G154:G155" si="42">IFERROR(100%-F154,"-")</f>
        <v>-</v>
      </c>
    </row>
    <row r="155" spans="2:11">
      <c r="B155" s="58" t="s">
        <v>73</v>
      </c>
      <c r="C155" s="70">
        <f t="shared" si="40"/>
        <v>0</v>
      </c>
      <c r="D155" s="22">
        <f>COUNTIFS(ÁGUA!N:N,'DADOS - PIRITUBA'!B155,ÁGUA!AF:AF,"c")</f>
        <v>0</v>
      </c>
      <c r="E155" s="70">
        <f>COUNTIFS(ÁGUA!N:N,'DADOS - PIRITUBA'!B155,ÁGUA!AF:AF,"NC")</f>
        <v>0</v>
      </c>
      <c r="F155" s="71" t="str">
        <f t="shared" si="41"/>
        <v>-</v>
      </c>
      <c r="G155" s="72" t="str">
        <f t="shared" si="42"/>
        <v>-</v>
      </c>
    </row>
    <row r="156" spans="2:11" ht="16.5" customHeight="1">
      <c r="B156" s="45"/>
      <c r="C156" s="45"/>
      <c r="D156" s="45"/>
      <c r="E156" s="45"/>
      <c r="F156" s="45"/>
      <c r="G156" s="45"/>
    </row>
    <row r="157" spans="2:11">
      <c r="B157" s="353" t="s">
        <v>75</v>
      </c>
      <c r="C157" s="353"/>
      <c r="D157" s="353"/>
      <c r="E157" s="353"/>
      <c r="F157" s="353"/>
      <c r="G157" s="353"/>
      <c r="I157" s="373" t="s">
        <v>76</v>
      </c>
      <c r="J157" s="373"/>
    </row>
    <row r="158" spans="2:11" ht="16.5" customHeight="1">
      <c r="B158" s="45"/>
      <c r="C158" s="45"/>
      <c r="D158" s="45"/>
      <c r="E158" s="45"/>
      <c r="F158" s="45"/>
      <c r="G158" s="45"/>
    </row>
    <row r="159" spans="2:11">
      <c r="B159" s="356" t="s">
        <v>49</v>
      </c>
      <c r="C159" s="356"/>
      <c r="D159" s="356"/>
      <c r="E159" s="356"/>
      <c r="F159" s="356"/>
      <c r="G159" s="356"/>
    </row>
    <row r="160" spans="2:11">
      <c r="B160" s="103" t="s">
        <v>23</v>
      </c>
      <c r="C160" s="104" t="s">
        <v>50</v>
      </c>
      <c r="D160" s="104" t="s">
        <v>51</v>
      </c>
      <c r="E160" s="104" t="s">
        <v>52</v>
      </c>
      <c r="F160" s="104" t="s">
        <v>27</v>
      </c>
      <c r="G160" s="104" t="s">
        <v>28</v>
      </c>
      <c r="I160" s="196" t="s">
        <v>47</v>
      </c>
      <c r="J160" s="196" t="s">
        <v>50</v>
      </c>
      <c r="K160" s="196" t="s">
        <v>77</v>
      </c>
    </row>
    <row r="161" spans="2:11">
      <c r="B161" s="120" t="s">
        <v>17</v>
      </c>
      <c r="C161" s="62">
        <f>D161+E161</f>
        <v>160</v>
      </c>
      <c r="D161" s="62">
        <f>COUNTIF(ESGOTO!AE:AE,"NC")</f>
        <v>22</v>
      </c>
      <c r="E161" s="62">
        <f>COUNTIF(ESGOTO!AE:AE,"C")</f>
        <v>138</v>
      </c>
      <c r="F161" s="16">
        <f>IFERROR(D161/C161,"-")</f>
        <v>0.13750000000000001</v>
      </c>
      <c r="G161" s="16">
        <f>IFERROR(E161/C161,"-")</f>
        <v>0.86250000000000004</v>
      </c>
      <c r="I161" s="67">
        <f>COUNTIFS(ESGOTO!D:D, "PI, PV, TL")</f>
        <v>136</v>
      </c>
      <c r="J161" s="67">
        <f>I161-K161</f>
        <v>107</v>
      </c>
      <c r="K161" s="67">
        <f>COUNTIFS(ESGOTO!D:D, "PI, PV, TL", ESGOTO!AF:AF, "NA")</f>
        <v>29</v>
      </c>
    </row>
    <row r="162" spans="2:11">
      <c r="B162" s="11"/>
      <c r="C162" s="11"/>
      <c r="D162" s="11"/>
      <c r="E162" s="11"/>
      <c r="F162" s="17"/>
      <c r="G162" s="17"/>
    </row>
    <row r="163" spans="2:11">
      <c r="B163" s="341" t="s">
        <v>22</v>
      </c>
      <c r="C163" s="342"/>
      <c r="D163" s="342"/>
      <c r="E163" s="342"/>
      <c r="F163" s="342"/>
      <c r="G163" s="343"/>
    </row>
    <row r="164" spans="2:11">
      <c r="B164" s="103" t="s">
        <v>23</v>
      </c>
      <c r="C164" s="104" t="s">
        <v>24</v>
      </c>
      <c r="D164" s="104" t="s">
        <v>25</v>
      </c>
      <c r="E164" s="104" t="s">
        <v>26</v>
      </c>
      <c r="F164" s="104" t="s">
        <v>27</v>
      </c>
      <c r="G164" s="104" t="s">
        <v>28</v>
      </c>
    </row>
    <row r="165" spans="2:11">
      <c r="B165" s="120" t="s">
        <v>17</v>
      </c>
      <c r="C165" s="62">
        <f>D165+E165</f>
        <v>160</v>
      </c>
      <c r="D165" s="62">
        <f>COUNTIF(ESGOTO!AF:AF,"NC")</f>
        <v>149</v>
      </c>
      <c r="E165" s="62">
        <f>COUNTIF(ESGOTO!AF:AF,"C")</f>
        <v>11</v>
      </c>
      <c r="F165" s="83">
        <f>IFERROR(D165/C165,"-")</f>
        <v>0.93125000000000002</v>
      </c>
      <c r="G165" s="50">
        <f>IFERROR(100%-F165,"-")</f>
        <v>6.8749999999999978E-2</v>
      </c>
    </row>
    <row r="166" spans="2:11">
      <c r="B166" s="11"/>
      <c r="C166" s="11"/>
      <c r="D166" s="11"/>
      <c r="E166" s="11"/>
      <c r="F166" s="17"/>
      <c r="G166" s="17"/>
    </row>
    <row r="167" spans="2:11">
      <c r="B167" s="356" t="s">
        <v>53</v>
      </c>
      <c r="C167" s="356"/>
      <c r="D167" s="356"/>
      <c r="E167" s="356"/>
      <c r="F167" s="356"/>
      <c r="G167" s="356"/>
    </row>
    <row r="168" spans="2:11" ht="21" customHeight="1">
      <c r="B168" s="103" t="s">
        <v>23</v>
      </c>
      <c r="C168" s="104" t="s">
        <v>50</v>
      </c>
      <c r="D168" s="104" t="s">
        <v>51</v>
      </c>
      <c r="E168" s="104" t="s">
        <v>52</v>
      </c>
      <c r="F168" s="104" t="s">
        <v>27</v>
      </c>
      <c r="G168" s="104" t="s">
        <v>28</v>
      </c>
    </row>
    <row r="169" spans="2:11">
      <c r="B169" s="120" t="s">
        <v>17</v>
      </c>
      <c r="C169" s="62">
        <f>D169+E169</f>
        <v>193</v>
      </c>
      <c r="D169" s="62">
        <f>COUNTIF(ESGOTO!AH:AH,"NC")</f>
        <v>0</v>
      </c>
      <c r="E169" s="62">
        <f>COUNTIF(ESGOTO!AH:AH,"C")</f>
        <v>193</v>
      </c>
      <c r="F169" s="16">
        <f>IFERROR(D169/C169,"-")</f>
        <v>0</v>
      </c>
      <c r="G169" s="16">
        <f>IFERROR(E169/C169,"-")</f>
        <v>1</v>
      </c>
    </row>
    <row r="170" spans="2:11">
      <c r="B170" s="11"/>
      <c r="C170" s="11"/>
      <c r="D170" s="11"/>
      <c r="E170" s="11"/>
      <c r="F170" s="11"/>
      <c r="G170" s="11"/>
    </row>
    <row r="171" spans="2:11">
      <c r="B171" s="347" t="s">
        <v>55</v>
      </c>
      <c r="C171" s="347"/>
      <c r="D171" s="347"/>
      <c r="E171" s="347"/>
      <c r="F171" s="347"/>
      <c r="G171" s="347"/>
    </row>
    <row r="172" spans="2:11">
      <c r="B172" s="112" t="s">
        <v>36</v>
      </c>
      <c r="C172" s="113" t="s">
        <v>56</v>
      </c>
      <c r="D172" s="113" t="s">
        <v>57</v>
      </c>
      <c r="E172" s="113" t="s">
        <v>58</v>
      </c>
      <c r="F172" s="113" t="s">
        <v>59</v>
      </c>
      <c r="G172" s="113" t="s">
        <v>60</v>
      </c>
    </row>
    <row r="173" spans="2:11">
      <c r="B173" s="123" t="s">
        <v>61</v>
      </c>
      <c r="C173" s="63">
        <f>COUNTIF(ESGOTO!O:O,"C")</f>
        <v>129</v>
      </c>
      <c r="D173" s="63">
        <f>COUNTIF(ESGOTO!O:O,"NC")</f>
        <v>21</v>
      </c>
      <c r="E173" s="63">
        <f>COUNTIF(ESGOTO!O:O,"SF")</f>
        <v>10</v>
      </c>
      <c r="F173" s="64">
        <f>IFERROR(C173/(C173+D173+E173),"-")</f>
        <v>0.80625000000000002</v>
      </c>
      <c r="G173" s="65">
        <f>IFERROR(100%-F173,"-")</f>
        <v>0.19374999999999998</v>
      </c>
    </row>
    <row r="174" spans="2:11">
      <c r="B174" s="123" t="s">
        <v>62</v>
      </c>
      <c r="C174" s="63">
        <f>COUNTIF(ESGOTO!Q:Q,"C")</f>
        <v>51</v>
      </c>
      <c r="D174" s="63">
        <f>COUNTIF(ESGOTO!Q:Q,"NC")</f>
        <v>59</v>
      </c>
      <c r="E174" s="63">
        <f>COUNTIF(ESGOTO!Q:Q,"SF")</f>
        <v>45</v>
      </c>
      <c r="F174" s="64">
        <f t="shared" ref="F174:F180" si="43">IFERROR(C174/(C174+D174+E174),"-")</f>
        <v>0.32903225806451614</v>
      </c>
      <c r="G174" s="65">
        <f t="shared" ref="G174:G180" si="44">IFERROR(100%-F174,"-")</f>
        <v>0.67096774193548381</v>
      </c>
    </row>
    <row r="175" spans="2:11">
      <c r="B175" s="123" t="s">
        <v>63</v>
      </c>
      <c r="C175" s="63">
        <f>COUNTIF(ESGOTO!S:S,"C")</f>
        <v>20</v>
      </c>
      <c r="D175" s="63">
        <f>COUNTIF(ESGOTO!S:S,"NC")</f>
        <v>22</v>
      </c>
      <c r="E175" s="63">
        <f>COUNTIF(ESGOTO!S:S,"SF")</f>
        <v>89</v>
      </c>
      <c r="F175" s="64">
        <f t="shared" si="43"/>
        <v>0.15267175572519084</v>
      </c>
      <c r="G175" s="65">
        <f t="shared" si="44"/>
        <v>0.84732824427480913</v>
      </c>
    </row>
    <row r="176" spans="2:11">
      <c r="B176" s="123" t="s">
        <v>64</v>
      </c>
      <c r="C176" s="63">
        <f>COUNTIF(ESGOTO!U:U,"C")</f>
        <v>102</v>
      </c>
      <c r="D176" s="63">
        <f>COUNTIF(ESGOTO!U:U,"NC")</f>
        <v>23</v>
      </c>
      <c r="E176" s="63">
        <f>COUNTIF(ESGOTO!U:U,"SF")</f>
        <v>14</v>
      </c>
      <c r="F176" s="64">
        <f>IFERROR(C176/(C176+D176+E176),"-")</f>
        <v>0.73381294964028776</v>
      </c>
      <c r="G176" s="65">
        <f t="shared" si="44"/>
        <v>0.26618705035971224</v>
      </c>
    </row>
    <row r="177" spans="2:7">
      <c r="B177" s="123" t="s">
        <v>65</v>
      </c>
      <c r="C177" s="63">
        <f>COUNTIF(ESGOTO!U:U,"C")</f>
        <v>102</v>
      </c>
      <c r="D177" s="63">
        <f>COUNTIF(ESGOTO!W:W,"NC")</f>
        <v>21</v>
      </c>
      <c r="E177" s="63">
        <f>COUNTIF(ESGOTO!W:W,"SF")</f>
        <v>53</v>
      </c>
      <c r="F177" s="64">
        <f t="shared" ref="F177:F178" si="45">IFERROR(C177/(C177+D177+E177),"-")</f>
        <v>0.57954545454545459</v>
      </c>
      <c r="G177" s="65">
        <f t="shared" ref="G177:G178" si="46">IFERROR(100%-F177,"-")</f>
        <v>0.42045454545454541</v>
      </c>
    </row>
    <row r="178" spans="2:7">
      <c r="B178" s="123" t="s">
        <v>78</v>
      </c>
      <c r="C178" s="63">
        <f>COUNTIF(ESGOTO!U:U,"C")</f>
        <v>102</v>
      </c>
      <c r="D178" s="63">
        <f>COUNTIF(ESGOTO!Y:Y,"NC")</f>
        <v>21</v>
      </c>
      <c r="E178" s="63">
        <f>COUNTIF(ESGOTO!Y:Y,"SF")</f>
        <v>19</v>
      </c>
      <c r="F178" s="64">
        <f t="shared" si="45"/>
        <v>0.71830985915492962</v>
      </c>
      <c r="G178" s="65">
        <f t="shared" si="46"/>
        <v>0.28169014084507038</v>
      </c>
    </row>
    <row r="179" spans="2:7">
      <c r="B179" s="123" t="s">
        <v>67</v>
      </c>
      <c r="C179" s="63">
        <f>COUNTIF(ESGOTO!W:W,"C")</f>
        <v>21</v>
      </c>
      <c r="D179" s="63">
        <f>COUNTIF(ESGOTO!AA:AA,"NC")</f>
        <v>21</v>
      </c>
      <c r="E179" s="63">
        <f>COUNTIF(ESGOTO!AA:AA,"SF")</f>
        <v>44</v>
      </c>
      <c r="F179" s="64">
        <f t="shared" si="43"/>
        <v>0.2441860465116279</v>
      </c>
      <c r="G179" s="65">
        <f t="shared" si="44"/>
        <v>0.7558139534883721</v>
      </c>
    </row>
    <row r="180" spans="2:7">
      <c r="B180" s="124" t="s">
        <v>68</v>
      </c>
      <c r="C180" s="66">
        <f>COUNTIF(ESGOTO!AC:AC,"C")</f>
        <v>57</v>
      </c>
      <c r="D180" s="66">
        <f>COUNTIF(ESGOTO!AC:AC,"NC")</f>
        <v>80</v>
      </c>
      <c r="E180" s="66">
        <f>COUNTIF(ESGOTO!AC:AC,"SF")</f>
        <v>23</v>
      </c>
      <c r="F180" s="64">
        <f t="shared" si="43"/>
        <v>0.35625000000000001</v>
      </c>
      <c r="G180" s="65">
        <f t="shared" si="44"/>
        <v>0.64375000000000004</v>
      </c>
    </row>
    <row r="182" spans="2:7">
      <c r="B182" s="348" t="s">
        <v>69</v>
      </c>
      <c r="C182" s="349"/>
      <c r="D182" s="349"/>
      <c r="E182" s="349"/>
      <c r="F182" s="349"/>
      <c r="G182" s="350"/>
    </row>
    <row r="183" spans="2:7" ht="36">
      <c r="B183" s="114" t="s">
        <v>70</v>
      </c>
      <c r="C183" s="109" t="s">
        <v>71</v>
      </c>
      <c r="D183" s="108" t="s">
        <v>56</v>
      </c>
      <c r="E183" s="109" t="s">
        <v>57</v>
      </c>
      <c r="F183" s="109" t="s">
        <v>59</v>
      </c>
      <c r="G183" s="109" t="s">
        <v>72</v>
      </c>
    </row>
    <row r="184" spans="2:7">
      <c r="B184" s="58" t="s">
        <v>73</v>
      </c>
      <c r="C184" s="81">
        <f t="shared" ref="C184:C185" si="47">D184+E184</f>
        <v>0</v>
      </c>
      <c r="D184" s="67">
        <f>COUNTIFS(ESGOTO!N:N,'DADOS - PIRITUBA'!B184,ESGOTO!AE:AE,"c")</f>
        <v>0</v>
      </c>
      <c r="E184" s="67">
        <f>COUNTIFS(ESGOTO!N:N,'DADOS - PIRITUBA'!B184,ESGOTO!AE:AE,"Nc")</f>
        <v>0</v>
      </c>
      <c r="F184" s="68" t="str">
        <f>IFERROR(D184/C184,"-")</f>
        <v>-</v>
      </c>
      <c r="G184" s="72" t="str">
        <f>IFERROR(100%-F184,"-")</f>
        <v>-</v>
      </c>
    </row>
    <row r="185" spans="2:7">
      <c r="B185" s="58" t="s">
        <v>73</v>
      </c>
      <c r="C185" s="81">
        <f t="shared" si="47"/>
        <v>0</v>
      </c>
      <c r="D185" s="67">
        <f>COUNTIFS(ESGOTO!N:N,'DADOS - PIRITUBA'!B185,ESGOTO!AE:AE,"c")</f>
        <v>0</v>
      </c>
      <c r="E185" s="67">
        <f>COUNTIFS(ESGOTO!N:N,'DADOS - PIRITUBA'!B185,ESGOTO!AE:AE,"Nc")</f>
        <v>0</v>
      </c>
      <c r="F185" s="68" t="str">
        <f t="shared" ref="F185" si="48">IFERROR(D185/C185,"-")</f>
        <v>-</v>
      </c>
      <c r="G185" s="72" t="str">
        <f t="shared" ref="G185" si="49">IFERROR(100%-F185,"-")</f>
        <v>-</v>
      </c>
    </row>
    <row r="186" spans="2:7">
      <c r="B186" s="58" t="s">
        <v>73</v>
      </c>
      <c r="C186" s="81">
        <f t="shared" ref="C186:C221" si="50">D186+E186</f>
        <v>0</v>
      </c>
      <c r="D186" s="67">
        <f>COUNTIFS(ESGOTO!N:N,'DADOS - PIRITUBA'!B186,ESGOTO!AE:AE,"c")</f>
        <v>0</v>
      </c>
      <c r="E186" s="67">
        <f>COUNTIFS(ESGOTO!N:N,'DADOS - PIRITUBA'!B186,ESGOTO!AE:AE,"Nc")</f>
        <v>0</v>
      </c>
      <c r="F186" s="68" t="str">
        <f t="shared" ref="F186:F221" si="51">IFERROR(D186/C186,"-")</f>
        <v>-</v>
      </c>
      <c r="G186" s="72" t="str">
        <f t="shared" ref="G186:G221" si="52">IFERROR(100%-F186,"-")</f>
        <v>-</v>
      </c>
    </row>
    <row r="187" spans="2:7">
      <c r="B187" s="58" t="s">
        <v>73</v>
      </c>
      <c r="C187" s="81">
        <f t="shared" si="50"/>
        <v>0</v>
      </c>
      <c r="D187" s="67">
        <f>COUNTIFS(ESGOTO!N:N,'DADOS - PIRITUBA'!B187,ESGOTO!AE:AE,"c")</f>
        <v>0</v>
      </c>
      <c r="E187" s="67">
        <f>COUNTIFS(ESGOTO!N:N,'DADOS - PIRITUBA'!B187,ESGOTO!AE:AE,"Nc")</f>
        <v>0</v>
      </c>
      <c r="F187" s="68" t="str">
        <f t="shared" si="51"/>
        <v>-</v>
      </c>
      <c r="G187" s="72" t="str">
        <f t="shared" si="52"/>
        <v>-</v>
      </c>
    </row>
    <row r="188" spans="2:7">
      <c r="B188" s="58" t="s">
        <v>73</v>
      </c>
      <c r="C188" s="81">
        <f t="shared" si="50"/>
        <v>0</v>
      </c>
      <c r="D188" s="67">
        <f>COUNTIFS(ESGOTO!N:N,'DADOS - PIRITUBA'!B188,ESGOTO!AE:AE,"c")</f>
        <v>0</v>
      </c>
      <c r="E188" s="67">
        <f>COUNTIFS(ESGOTO!N:N,'DADOS - PIRITUBA'!B188,ESGOTO!AE:AE,"Nc")</f>
        <v>0</v>
      </c>
      <c r="F188" s="68" t="str">
        <f t="shared" si="51"/>
        <v>-</v>
      </c>
      <c r="G188" s="72" t="str">
        <f t="shared" si="52"/>
        <v>-</v>
      </c>
    </row>
    <row r="189" spans="2:7">
      <c r="B189" s="58" t="s">
        <v>73</v>
      </c>
      <c r="C189" s="81">
        <f t="shared" si="50"/>
        <v>0</v>
      </c>
      <c r="D189" s="67">
        <f>COUNTIFS(ESGOTO!N:N,'DADOS - PIRITUBA'!B189,ESGOTO!AE:AE,"c")</f>
        <v>0</v>
      </c>
      <c r="E189" s="67">
        <f>COUNTIFS(ESGOTO!N:N,'DADOS - PIRITUBA'!B189,ESGOTO!AE:AE,"Nc")</f>
        <v>0</v>
      </c>
      <c r="F189" s="68" t="str">
        <f t="shared" si="51"/>
        <v>-</v>
      </c>
      <c r="G189" s="72" t="str">
        <f t="shared" si="52"/>
        <v>-</v>
      </c>
    </row>
    <row r="190" spans="2:7">
      <c r="B190" s="58" t="s">
        <v>73</v>
      </c>
      <c r="C190" s="81">
        <f t="shared" si="50"/>
        <v>0</v>
      </c>
      <c r="D190" s="67">
        <f>COUNTIFS(ESGOTO!N:N,'DADOS - PIRITUBA'!B190,ESGOTO!AE:AE,"c")</f>
        <v>0</v>
      </c>
      <c r="E190" s="67">
        <f>COUNTIFS(ESGOTO!N:N,'DADOS - PIRITUBA'!B190,ESGOTO!AE:AE,"Nc")</f>
        <v>0</v>
      </c>
      <c r="F190" s="68" t="str">
        <f t="shared" si="51"/>
        <v>-</v>
      </c>
      <c r="G190" s="72" t="str">
        <f t="shared" si="52"/>
        <v>-</v>
      </c>
    </row>
    <row r="191" spans="2:7">
      <c r="B191" s="58" t="s">
        <v>73</v>
      </c>
      <c r="C191" s="81">
        <f t="shared" si="50"/>
        <v>0</v>
      </c>
      <c r="D191" s="67">
        <f>COUNTIFS(ESGOTO!N:N,'DADOS - PIRITUBA'!B191,ESGOTO!AE:AE,"c")</f>
        <v>0</v>
      </c>
      <c r="E191" s="67">
        <f>COUNTIFS(ESGOTO!N:N,'DADOS - PIRITUBA'!B191,ESGOTO!AE:AE,"Nc")</f>
        <v>0</v>
      </c>
      <c r="F191" s="68" t="str">
        <f t="shared" si="51"/>
        <v>-</v>
      </c>
      <c r="G191" s="72" t="str">
        <f t="shared" si="52"/>
        <v>-</v>
      </c>
    </row>
    <row r="192" spans="2:7">
      <c r="B192" s="58" t="s">
        <v>73</v>
      </c>
      <c r="C192" s="81">
        <f t="shared" si="50"/>
        <v>0</v>
      </c>
      <c r="D192" s="67">
        <f>COUNTIFS(ESGOTO!N:N,'DADOS - PIRITUBA'!B192,ESGOTO!AE:AE,"c")</f>
        <v>0</v>
      </c>
      <c r="E192" s="67">
        <f>COUNTIFS(ESGOTO!N:N,'DADOS - PIRITUBA'!B192,ESGOTO!AE:AE,"Nc")</f>
        <v>0</v>
      </c>
      <c r="F192" s="68" t="str">
        <f t="shared" si="51"/>
        <v>-</v>
      </c>
      <c r="G192" s="72" t="str">
        <f t="shared" si="52"/>
        <v>-</v>
      </c>
    </row>
    <row r="193" spans="2:7">
      <c r="B193" s="58" t="s">
        <v>73</v>
      </c>
      <c r="C193" s="81">
        <f t="shared" si="50"/>
        <v>0</v>
      </c>
      <c r="D193" s="67">
        <f>COUNTIFS(ESGOTO!N:N,'DADOS - PIRITUBA'!B193,ESGOTO!AE:AE,"c")</f>
        <v>0</v>
      </c>
      <c r="E193" s="67">
        <f>COUNTIFS(ESGOTO!N:N,'DADOS - PIRITUBA'!B193,ESGOTO!AE:AE,"Nc")</f>
        <v>0</v>
      </c>
      <c r="F193" s="68" t="str">
        <f t="shared" si="51"/>
        <v>-</v>
      </c>
      <c r="G193" s="72" t="str">
        <f t="shared" si="52"/>
        <v>-</v>
      </c>
    </row>
    <row r="194" spans="2:7">
      <c r="B194" s="58" t="s">
        <v>73</v>
      </c>
      <c r="C194" s="81">
        <f t="shared" si="50"/>
        <v>0</v>
      </c>
      <c r="D194" s="67">
        <f>COUNTIFS(ESGOTO!N:N,'DADOS - PIRITUBA'!B194,ESGOTO!AE:AE,"c")</f>
        <v>0</v>
      </c>
      <c r="E194" s="67">
        <f>COUNTIFS(ESGOTO!N:N,'DADOS - PIRITUBA'!B194,ESGOTO!AE:AE,"Nc")</f>
        <v>0</v>
      </c>
      <c r="F194" s="68" t="str">
        <f t="shared" si="51"/>
        <v>-</v>
      </c>
      <c r="G194" s="72" t="str">
        <f t="shared" si="52"/>
        <v>-</v>
      </c>
    </row>
    <row r="195" spans="2:7">
      <c r="B195" s="58" t="s">
        <v>73</v>
      </c>
      <c r="C195" s="81">
        <f t="shared" si="50"/>
        <v>0</v>
      </c>
      <c r="D195" s="67">
        <f>COUNTIFS(ESGOTO!N:N,'DADOS - PIRITUBA'!B195,ESGOTO!AE:AE,"c")</f>
        <v>0</v>
      </c>
      <c r="E195" s="67">
        <f>COUNTIFS(ESGOTO!N:N,'DADOS - PIRITUBA'!B195,ESGOTO!AE:AE,"Nc")</f>
        <v>0</v>
      </c>
      <c r="F195" s="68" t="str">
        <f t="shared" si="51"/>
        <v>-</v>
      </c>
      <c r="G195" s="72" t="str">
        <f t="shared" si="52"/>
        <v>-</v>
      </c>
    </row>
    <row r="196" spans="2:7">
      <c r="B196" s="58" t="s">
        <v>73</v>
      </c>
      <c r="C196" s="81">
        <f t="shared" ref="C196:C206" si="53">D196+E196</f>
        <v>0</v>
      </c>
      <c r="D196" s="67">
        <f>COUNTIFS(ESGOTO!N:N,'DADOS - PIRITUBA'!B196,ESGOTO!AE:AE,"c")</f>
        <v>0</v>
      </c>
      <c r="E196" s="67">
        <f>COUNTIFS(ESGOTO!N:N,'DADOS - PIRITUBA'!B196,ESGOTO!AE:AE,"Nc")</f>
        <v>0</v>
      </c>
      <c r="F196" s="68" t="str">
        <f t="shared" ref="F196:F206" si="54">IFERROR(D196/C196,"-")</f>
        <v>-</v>
      </c>
      <c r="G196" s="72" t="str">
        <f t="shared" ref="G196:G206" si="55">IFERROR(100%-F196,"-")</f>
        <v>-</v>
      </c>
    </row>
    <row r="197" spans="2:7">
      <c r="B197" s="58" t="s">
        <v>73</v>
      </c>
      <c r="C197" s="81">
        <f t="shared" si="53"/>
        <v>0</v>
      </c>
      <c r="D197" s="67">
        <f>COUNTIFS(ESGOTO!N:N,'DADOS - PIRITUBA'!B197,ESGOTO!AE:AE,"c")</f>
        <v>0</v>
      </c>
      <c r="E197" s="67">
        <f>COUNTIFS(ESGOTO!N:N,'DADOS - PIRITUBA'!B197,ESGOTO!AE:AE,"Nc")</f>
        <v>0</v>
      </c>
      <c r="F197" s="68" t="str">
        <f t="shared" si="54"/>
        <v>-</v>
      </c>
      <c r="G197" s="72" t="str">
        <f t="shared" si="55"/>
        <v>-</v>
      </c>
    </row>
    <row r="198" spans="2:7">
      <c r="B198" s="58" t="s">
        <v>73</v>
      </c>
      <c r="C198" s="81">
        <f t="shared" si="53"/>
        <v>0</v>
      </c>
      <c r="D198" s="67">
        <f>COUNTIFS(ESGOTO!N:N,'DADOS - PIRITUBA'!B198,ESGOTO!AE:AE,"c")</f>
        <v>0</v>
      </c>
      <c r="E198" s="67">
        <f>COUNTIFS(ESGOTO!N:N,'DADOS - PIRITUBA'!B198,ESGOTO!AE:AE,"Nc")</f>
        <v>0</v>
      </c>
      <c r="F198" s="68" t="str">
        <f t="shared" si="54"/>
        <v>-</v>
      </c>
      <c r="G198" s="72" t="str">
        <f t="shared" si="55"/>
        <v>-</v>
      </c>
    </row>
    <row r="199" spans="2:7">
      <c r="B199" s="58" t="s">
        <v>73</v>
      </c>
      <c r="C199" s="81">
        <f t="shared" si="53"/>
        <v>0</v>
      </c>
      <c r="D199" s="67">
        <f>COUNTIFS(ESGOTO!N:N,'DADOS - PIRITUBA'!B199,ESGOTO!AE:AE,"c")</f>
        <v>0</v>
      </c>
      <c r="E199" s="67">
        <f>COUNTIFS(ESGOTO!N:N,'DADOS - PIRITUBA'!B199,ESGOTO!AE:AE,"Nc")</f>
        <v>0</v>
      </c>
      <c r="F199" s="68" t="str">
        <f t="shared" si="54"/>
        <v>-</v>
      </c>
      <c r="G199" s="72" t="str">
        <f t="shared" si="55"/>
        <v>-</v>
      </c>
    </row>
    <row r="200" spans="2:7">
      <c r="B200" s="58" t="s">
        <v>73</v>
      </c>
      <c r="C200" s="81">
        <f t="shared" si="53"/>
        <v>0</v>
      </c>
      <c r="D200" s="67">
        <f>COUNTIFS(ESGOTO!N:N,'DADOS - PIRITUBA'!B200,ESGOTO!AE:AE,"c")</f>
        <v>0</v>
      </c>
      <c r="E200" s="67">
        <f>COUNTIFS(ESGOTO!N:N,'DADOS - PIRITUBA'!B200,ESGOTO!AE:AE,"Nc")</f>
        <v>0</v>
      </c>
      <c r="F200" s="68" t="str">
        <f t="shared" si="54"/>
        <v>-</v>
      </c>
      <c r="G200" s="72" t="str">
        <f t="shared" si="55"/>
        <v>-</v>
      </c>
    </row>
    <row r="201" spans="2:7">
      <c r="B201" s="58" t="s">
        <v>73</v>
      </c>
      <c r="C201" s="81">
        <f t="shared" si="53"/>
        <v>0</v>
      </c>
      <c r="D201" s="67">
        <f>COUNTIFS(ESGOTO!N:N,'DADOS - PIRITUBA'!B201,ESGOTO!AE:AE,"c")</f>
        <v>0</v>
      </c>
      <c r="E201" s="67">
        <f>COUNTIFS(ESGOTO!N:N,'DADOS - PIRITUBA'!B201,ESGOTO!AE:AE,"Nc")</f>
        <v>0</v>
      </c>
      <c r="F201" s="68" t="str">
        <f t="shared" si="54"/>
        <v>-</v>
      </c>
      <c r="G201" s="72" t="str">
        <f t="shared" si="55"/>
        <v>-</v>
      </c>
    </row>
    <row r="202" spans="2:7">
      <c r="B202" s="58" t="s">
        <v>73</v>
      </c>
      <c r="C202" s="81">
        <f t="shared" si="53"/>
        <v>0</v>
      </c>
      <c r="D202" s="67">
        <f>COUNTIFS(ESGOTO!N:N,'DADOS - PIRITUBA'!B202,ESGOTO!AE:AE,"c")</f>
        <v>0</v>
      </c>
      <c r="E202" s="67">
        <f>COUNTIFS(ESGOTO!N:N,'DADOS - PIRITUBA'!B202,ESGOTO!AE:AE,"Nc")</f>
        <v>0</v>
      </c>
      <c r="F202" s="68" t="str">
        <f t="shared" si="54"/>
        <v>-</v>
      </c>
      <c r="G202" s="72" t="str">
        <f t="shared" si="55"/>
        <v>-</v>
      </c>
    </row>
    <row r="203" spans="2:7">
      <c r="B203" s="58" t="s">
        <v>73</v>
      </c>
      <c r="C203" s="81">
        <f t="shared" si="53"/>
        <v>0</v>
      </c>
      <c r="D203" s="67">
        <f>COUNTIFS(ESGOTO!N:N,'DADOS - PIRITUBA'!B203,ESGOTO!AE:AE,"c")</f>
        <v>0</v>
      </c>
      <c r="E203" s="67">
        <f>COUNTIFS(ESGOTO!N:N,'DADOS - PIRITUBA'!B203,ESGOTO!AE:AE,"Nc")</f>
        <v>0</v>
      </c>
      <c r="F203" s="68" t="str">
        <f t="shared" si="54"/>
        <v>-</v>
      </c>
      <c r="G203" s="72" t="str">
        <f t="shared" si="55"/>
        <v>-</v>
      </c>
    </row>
    <row r="204" spans="2:7">
      <c r="B204" s="58" t="s">
        <v>73</v>
      </c>
      <c r="C204" s="81">
        <f t="shared" si="53"/>
        <v>0</v>
      </c>
      <c r="D204" s="67">
        <f>COUNTIFS(ESGOTO!N:N,'DADOS - PIRITUBA'!B204,ESGOTO!AE:AE,"c")</f>
        <v>0</v>
      </c>
      <c r="E204" s="67">
        <f>COUNTIFS(ESGOTO!N:N,'DADOS - PIRITUBA'!B204,ESGOTO!AE:AE,"Nc")</f>
        <v>0</v>
      </c>
      <c r="F204" s="68" t="str">
        <f t="shared" si="54"/>
        <v>-</v>
      </c>
      <c r="G204" s="72" t="str">
        <f t="shared" si="55"/>
        <v>-</v>
      </c>
    </row>
    <row r="205" spans="2:7">
      <c r="B205" s="58" t="s">
        <v>73</v>
      </c>
      <c r="C205" s="81">
        <f t="shared" si="53"/>
        <v>0</v>
      </c>
      <c r="D205" s="67">
        <f>COUNTIFS(ESGOTO!N:N,'DADOS - PIRITUBA'!B205,ESGOTO!AE:AE,"c")</f>
        <v>0</v>
      </c>
      <c r="E205" s="67">
        <f>COUNTIFS(ESGOTO!N:N,'DADOS - PIRITUBA'!B205,ESGOTO!AE:AE,"Nc")</f>
        <v>0</v>
      </c>
      <c r="F205" s="68" t="str">
        <f t="shared" si="54"/>
        <v>-</v>
      </c>
      <c r="G205" s="72" t="str">
        <f t="shared" si="55"/>
        <v>-</v>
      </c>
    </row>
    <row r="206" spans="2:7">
      <c r="B206" s="58" t="s">
        <v>73</v>
      </c>
      <c r="C206" s="81">
        <f t="shared" si="53"/>
        <v>0</v>
      </c>
      <c r="D206" s="67">
        <f>COUNTIFS(ESGOTO!N:N,'DADOS - PIRITUBA'!B206,ESGOTO!AE:AE,"c")</f>
        <v>0</v>
      </c>
      <c r="E206" s="67">
        <f>COUNTIFS(ESGOTO!N:N,'DADOS - PIRITUBA'!B206,ESGOTO!AE:AE,"Nc")</f>
        <v>0</v>
      </c>
      <c r="F206" s="68" t="str">
        <f t="shared" si="54"/>
        <v>-</v>
      </c>
      <c r="G206" s="72" t="str">
        <f t="shared" si="55"/>
        <v>-</v>
      </c>
    </row>
    <row r="207" spans="2:7">
      <c r="B207" s="58" t="s">
        <v>73</v>
      </c>
      <c r="C207" s="81">
        <f t="shared" si="50"/>
        <v>0</v>
      </c>
      <c r="D207" s="67">
        <f>COUNTIFS(ESGOTO!N:N,'DADOS - PIRITUBA'!B207,ESGOTO!AE:AE,"c")</f>
        <v>0</v>
      </c>
      <c r="E207" s="67">
        <f>COUNTIFS(ESGOTO!N:N,'DADOS - PIRITUBA'!B207,ESGOTO!AE:AE,"Nc")</f>
        <v>0</v>
      </c>
      <c r="F207" s="68" t="str">
        <f t="shared" si="51"/>
        <v>-</v>
      </c>
      <c r="G207" s="72" t="str">
        <f t="shared" si="52"/>
        <v>-</v>
      </c>
    </row>
    <row r="208" spans="2:7">
      <c r="B208" s="58" t="s">
        <v>73</v>
      </c>
      <c r="C208" s="81">
        <f t="shared" si="50"/>
        <v>0</v>
      </c>
      <c r="D208" s="67">
        <f>COUNTIFS(ESGOTO!N:N,'DADOS - PIRITUBA'!B208,ESGOTO!AE:AE,"c")</f>
        <v>0</v>
      </c>
      <c r="E208" s="67">
        <f>COUNTIFS(ESGOTO!N:N,'DADOS - PIRITUBA'!B208,ESGOTO!AE:AE,"Nc")</f>
        <v>0</v>
      </c>
      <c r="F208" s="68" t="str">
        <f t="shared" si="51"/>
        <v>-</v>
      </c>
      <c r="G208" s="72" t="str">
        <f t="shared" si="52"/>
        <v>-</v>
      </c>
    </row>
    <row r="209" spans="2:7">
      <c r="B209" s="58" t="s">
        <v>73</v>
      </c>
      <c r="C209" s="81">
        <f t="shared" si="50"/>
        <v>0</v>
      </c>
      <c r="D209" s="67">
        <f>COUNTIFS(ESGOTO!N:N,'DADOS - PIRITUBA'!B209,ESGOTO!AE:AE,"c")</f>
        <v>0</v>
      </c>
      <c r="E209" s="67">
        <f>COUNTIFS(ESGOTO!N:N,'DADOS - PIRITUBA'!B209,ESGOTO!AE:AE,"Nc")</f>
        <v>0</v>
      </c>
      <c r="F209" s="68" t="str">
        <f t="shared" si="51"/>
        <v>-</v>
      </c>
      <c r="G209" s="72" t="str">
        <f t="shared" si="52"/>
        <v>-</v>
      </c>
    </row>
    <row r="210" spans="2:7">
      <c r="B210" s="58" t="s">
        <v>73</v>
      </c>
      <c r="C210" s="81">
        <f t="shared" si="50"/>
        <v>0</v>
      </c>
      <c r="D210" s="67">
        <f>COUNTIFS(ESGOTO!N:N,'DADOS - PIRITUBA'!B210,ESGOTO!AE:AE,"c")</f>
        <v>0</v>
      </c>
      <c r="E210" s="67">
        <f>COUNTIFS(ESGOTO!N:N,'DADOS - PIRITUBA'!B210,ESGOTO!AE:AE,"Nc")</f>
        <v>0</v>
      </c>
      <c r="F210" s="68" t="str">
        <f t="shared" si="51"/>
        <v>-</v>
      </c>
      <c r="G210" s="72" t="str">
        <f t="shared" si="52"/>
        <v>-</v>
      </c>
    </row>
    <row r="211" spans="2:7">
      <c r="B211" s="58" t="s">
        <v>73</v>
      </c>
      <c r="C211" s="81">
        <f t="shared" ref="C211" si="56">D211+E211</f>
        <v>0</v>
      </c>
      <c r="D211" s="67">
        <f>COUNTIFS(ESGOTO!N:N,'DADOS - PIRITUBA'!B211,ESGOTO!AE:AE,"c")</f>
        <v>0</v>
      </c>
      <c r="E211" s="67">
        <f>COUNTIFS(ESGOTO!N:N,'DADOS - PIRITUBA'!B211,ESGOTO!AE:AE,"Nc")</f>
        <v>0</v>
      </c>
      <c r="F211" s="68" t="str">
        <f t="shared" ref="F211" si="57">IFERROR(D211/C211,"-")</f>
        <v>-</v>
      </c>
      <c r="G211" s="72" t="str">
        <f t="shared" ref="G211" si="58">IFERROR(100%-F211,"-")</f>
        <v>-</v>
      </c>
    </row>
    <row r="212" spans="2:7">
      <c r="B212" s="58" t="s">
        <v>73</v>
      </c>
      <c r="C212" s="81">
        <f t="shared" si="50"/>
        <v>0</v>
      </c>
      <c r="D212" s="67">
        <f>COUNTIFS(ESGOTO!N:N,'DADOS - PIRITUBA'!B212,ESGOTO!AE:AE,"c")</f>
        <v>0</v>
      </c>
      <c r="E212" s="67">
        <f>COUNTIFS(ESGOTO!N:N,'DADOS - PIRITUBA'!B212,ESGOTO!AE:AE,"Nc")</f>
        <v>0</v>
      </c>
      <c r="F212" s="68" t="str">
        <f t="shared" si="51"/>
        <v>-</v>
      </c>
      <c r="G212" s="72" t="str">
        <f t="shared" si="52"/>
        <v>-</v>
      </c>
    </row>
    <row r="213" spans="2:7">
      <c r="B213" s="58" t="s">
        <v>73</v>
      </c>
      <c r="C213" s="81">
        <f t="shared" si="50"/>
        <v>0</v>
      </c>
      <c r="D213" s="67">
        <f>COUNTIFS(ESGOTO!N:N,'DADOS - PIRITUBA'!B213,ESGOTO!AE:AE,"c")</f>
        <v>0</v>
      </c>
      <c r="E213" s="67">
        <f>COUNTIFS(ESGOTO!N:N,'DADOS - PIRITUBA'!B213,ESGOTO!AE:AE,"Nc")</f>
        <v>0</v>
      </c>
      <c r="F213" s="68" t="str">
        <f t="shared" si="51"/>
        <v>-</v>
      </c>
      <c r="G213" s="72" t="str">
        <f t="shared" si="52"/>
        <v>-</v>
      </c>
    </row>
    <row r="214" spans="2:7">
      <c r="B214" s="58" t="s">
        <v>73</v>
      </c>
      <c r="C214" s="81">
        <f t="shared" si="50"/>
        <v>0</v>
      </c>
      <c r="D214" s="67">
        <f>COUNTIFS(ESGOTO!N:N,'DADOS - PIRITUBA'!B214,ESGOTO!AE:AE,"c")</f>
        <v>0</v>
      </c>
      <c r="E214" s="67">
        <f>COUNTIFS(ESGOTO!N:N,'DADOS - PIRITUBA'!B214,ESGOTO!AE:AE,"Nc")</f>
        <v>0</v>
      </c>
      <c r="F214" s="68" t="str">
        <f t="shared" si="51"/>
        <v>-</v>
      </c>
      <c r="G214" s="72" t="str">
        <f t="shared" si="52"/>
        <v>-</v>
      </c>
    </row>
    <row r="215" spans="2:7">
      <c r="B215" s="58" t="s">
        <v>73</v>
      </c>
      <c r="C215" s="81">
        <f t="shared" si="50"/>
        <v>0</v>
      </c>
      <c r="D215" s="67">
        <f>COUNTIFS(ESGOTO!N:N,'DADOS - PIRITUBA'!B215,ESGOTO!AE:AE,"c")</f>
        <v>0</v>
      </c>
      <c r="E215" s="67">
        <f>COUNTIFS(ESGOTO!N:N,'DADOS - PIRITUBA'!B215,ESGOTO!AE:AE,"Nc")</f>
        <v>0</v>
      </c>
      <c r="F215" s="68" t="str">
        <f t="shared" si="51"/>
        <v>-</v>
      </c>
      <c r="G215" s="72" t="str">
        <f t="shared" si="52"/>
        <v>-</v>
      </c>
    </row>
    <row r="216" spans="2:7">
      <c r="B216" s="58" t="s">
        <v>73</v>
      </c>
      <c r="C216" s="81">
        <f t="shared" si="50"/>
        <v>0</v>
      </c>
      <c r="D216" s="67">
        <f>COUNTIFS(ESGOTO!N:N,'DADOS - PIRITUBA'!B216,ESGOTO!AE:AE,"c")</f>
        <v>0</v>
      </c>
      <c r="E216" s="67">
        <f>COUNTIFS(ESGOTO!N:N,'DADOS - PIRITUBA'!B216,ESGOTO!AE:AE,"Nc")</f>
        <v>0</v>
      </c>
      <c r="F216" s="68" t="str">
        <f t="shared" si="51"/>
        <v>-</v>
      </c>
      <c r="G216" s="72" t="str">
        <f t="shared" si="52"/>
        <v>-</v>
      </c>
    </row>
    <row r="217" spans="2:7">
      <c r="B217" s="58" t="s">
        <v>73</v>
      </c>
      <c r="C217" s="81">
        <f t="shared" si="50"/>
        <v>0</v>
      </c>
      <c r="D217" s="67">
        <f>COUNTIFS(ESGOTO!N:N,'DADOS - PIRITUBA'!B217,ESGOTO!AE:AE,"c")</f>
        <v>0</v>
      </c>
      <c r="E217" s="67">
        <f>COUNTIFS(ESGOTO!N:N,'DADOS - PIRITUBA'!B217,ESGOTO!AE:AE,"Nc")</f>
        <v>0</v>
      </c>
      <c r="F217" s="68" t="str">
        <f t="shared" si="51"/>
        <v>-</v>
      </c>
      <c r="G217" s="72" t="str">
        <f t="shared" si="52"/>
        <v>-</v>
      </c>
    </row>
    <row r="218" spans="2:7">
      <c r="B218" s="58" t="s">
        <v>73</v>
      </c>
      <c r="C218" s="81">
        <f t="shared" si="50"/>
        <v>0</v>
      </c>
      <c r="D218" s="67">
        <f>COUNTIFS(ESGOTO!N:N,'DADOS - PIRITUBA'!B218,ESGOTO!AE:AE,"c")</f>
        <v>0</v>
      </c>
      <c r="E218" s="67">
        <f>COUNTIFS(ESGOTO!N:N,'DADOS - PIRITUBA'!B218,ESGOTO!AE:AE,"Nc")</f>
        <v>0</v>
      </c>
      <c r="F218" s="68" t="str">
        <f t="shared" si="51"/>
        <v>-</v>
      </c>
      <c r="G218" s="72" t="str">
        <f t="shared" si="52"/>
        <v>-</v>
      </c>
    </row>
    <row r="219" spans="2:7">
      <c r="B219" s="58" t="s">
        <v>73</v>
      </c>
      <c r="C219" s="81">
        <f t="shared" si="50"/>
        <v>0</v>
      </c>
      <c r="D219" s="67">
        <f>COUNTIFS(ESGOTO!N:N,'DADOS - PIRITUBA'!B219,ESGOTO!AE:AE,"c")</f>
        <v>0</v>
      </c>
      <c r="E219" s="67">
        <f>COUNTIFS(ESGOTO!N:N,'DADOS - PIRITUBA'!B219,ESGOTO!AE:AE,"Nc")</f>
        <v>0</v>
      </c>
      <c r="F219" s="68" t="str">
        <f t="shared" si="51"/>
        <v>-</v>
      </c>
      <c r="G219" s="72" t="str">
        <f t="shared" si="52"/>
        <v>-</v>
      </c>
    </row>
    <row r="220" spans="2:7">
      <c r="B220" s="58" t="s">
        <v>73</v>
      </c>
      <c r="C220" s="81">
        <f t="shared" si="50"/>
        <v>0</v>
      </c>
      <c r="D220" s="67">
        <f>COUNTIFS(ESGOTO!N:N,'DADOS - PIRITUBA'!B220,ESGOTO!AE:AE,"c")</f>
        <v>0</v>
      </c>
      <c r="E220" s="67">
        <f>COUNTIFS(ESGOTO!N:N,'DADOS - PIRITUBA'!B220,ESGOTO!AE:AE,"Nc")</f>
        <v>0</v>
      </c>
      <c r="F220" s="68" t="str">
        <f t="shared" si="51"/>
        <v>-</v>
      </c>
      <c r="G220" s="72" t="str">
        <f t="shared" si="52"/>
        <v>-</v>
      </c>
    </row>
    <row r="221" spans="2:7">
      <c r="B221" s="58" t="s">
        <v>73</v>
      </c>
      <c r="C221" s="81">
        <f t="shared" si="50"/>
        <v>0</v>
      </c>
      <c r="D221" s="67">
        <f>COUNTIFS(ESGOTO!N:N,'DADOS - PIRITUBA'!B221,ESGOTO!AE:AE,"c")</f>
        <v>0</v>
      </c>
      <c r="E221" s="67">
        <f>COUNTIFS(ESGOTO!N:N,'DADOS - PIRITUBA'!B221,ESGOTO!AE:AE,"Nc")</f>
        <v>0</v>
      </c>
      <c r="F221" s="68" t="str">
        <f t="shared" si="51"/>
        <v>-</v>
      </c>
      <c r="G221" s="72" t="str">
        <f t="shared" si="52"/>
        <v>-</v>
      </c>
    </row>
    <row r="222" spans="2:7">
      <c r="B222" s="58" t="s">
        <v>73</v>
      </c>
      <c r="C222" s="81">
        <f t="shared" ref="C222:C223" si="59">D222+E222</f>
        <v>0</v>
      </c>
      <c r="D222" s="67">
        <f>COUNTIFS(ESGOTO!N:N,'DADOS - PIRITUBA'!B222,ESGOTO!AE:AE,"c")</f>
        <v>0</v>
      </c>
      <c r="E222" s="67">
        <f>COUNTIFS(ESGOTO!N:N,'DADOS - PIRITUBA'!B222,ESGOTO!AE:AE,"Nc")</f>
        <v>0</v>
      </c>
      <c r="F222" s="68" t="str">
        <f t="shared" ref="F222:F223" si="60">IFERROR(D222/C222,"-")</f>
        <v>-</v>
      </c>
      <c r="G222" s="72" t="str">
        <f t="shared" ref="G222:G223" si="61">IFERROR(100%-F222,"-")</f>
        <v>-</v>
      </c>
    </row>
    <row r="223" spans="2:7">
      <c r="B223" s="58" t="s">
        <v>73</v>
      </c>
      <c r="C223" s="81">
        <f t="shared" si="59"/>
        <v>0</v>
      </c>
      <c r="D223" s="67">
        <f>COUNTIFS(ESGOTO!N:N,'DADOS - PIRITUBA'!B223,ESGOTO!AE:AE,"c")</f>
        <v>0</v>
      </c>
      <c r="E223" s="67">
        <f>COUNTIFS(ESGOTO!N:N,'DADOS - PIRITUBA'!B223,ESGOTO!AE:AE,"Nc")</f>
        <v>0</v>
      </c>
      <c r="F223" s="68" t="str">
        <f t="shared" si="60"/>
        <v>-</v>
      </c>
      <c r="G223" s="72" t="str">
        <f t="shared" si="61"/>
        <v>-</v>
      </c>
    </row>
    <row r="224" spans="2:7">
      <c r="B224" s="21"/>
    </row>
    <row r="225" spans="2:7">
      <c r="B225" s="348" t="s">
        <v>74</v>
      </c>
      <c r="C225" s="349"/>
      <c r="D225" s="349"/>
      <c r="E225" s="349"/>
      <c r="F225" s="349"/>
      <c r="G225" s="350"/>
    </row>
    <row r="226" spans="2:7" ht="36">
      <c r="B226" s="107" t="s">
        <v>70</v>
      </c>
      <c r="C226" s="111" t="s">
        <v>71</v>
      </c>
      <c r="D226" s="111" t="s">
        <v>56</v>
      </c>
      <c r="E226" s="111" t="s">
        <v>57</v>
      </c>
      <c r="F226" s="111" t="s">
        <v>59</v>
      </c>
      <c r="G226" s="111" t="s">
        <v>72</v>
      </c>
    </row>
    <row r="227" spans="2:7">
      <c r="B227" s="58" t="s">
        <v>73</v>
      </c>
      <c r="C227" s="81">
        <f>D227+E227</f>
        <v>0</v>
      </c>
      <c r="D227" s="67">
        <f>COUNTIFS(ESGOTO!N:N,'DADOS - PIRITUBA'!B227,ESGOTO!AF:AF,"c")</f>
        <v>0</v>
      </c>
      <c r="E227" s="67">
        <f>COUNTIFS(ESGOTO!N:N,'DADOS - PIRITUBA'!B227,ESGOTO!AF:AF,"Nc")</f>
        <v>0</v>
      </c>
      <c r="F227" s="68" t="str">
        <f>IFERROR(D227/C227,"-")</f>
        <v>-</v>
      </c>
      <c r="G227" s="72" t="str">
        <f>IFERROR(100%-F227,"-")</f>
        <v>-</v>
      </c>
    </row>
    <row r="228" spans="2:7">
      <c r="B228" s="58" t="s">
        <v>73</v>
      </c>
      <c r="C228" s="81">
        <f t="shared" ref="C228" si="62">D228+E228</f>
        <v>0</v>
      </c>
      <c r="D228" s="67">
        <f>COUNTIFS(ESGOTO!N:N,'DADOS - PIRITUBA'!B228,ESGOTO!AF:AF,"c")</f>
        <v>0</v>
      </c>
      <c r="E228" s="67">
        <f>COUNTIFS(ESGOTO!N:N,'DADOS - PIRITUBA'!B228,ESGOTO!AF:AF,"Nc")</f>
        <v>0</v>
      </c>
      <c r="F228" s="68" t="str">
        <f t="shared" ref="F228" si="63">IFERROR(D228/C228,"-")</f>
        <v>-</v>
      </c>
      <c r="G228" s="72" t="str">
        <f t="shared" ref="G228" si="64">IFERROR(100%-F228,"-")</f>
        <v>-</v>
      </c>
    </row>
    <row r="229" spans="2:7">
      <c r="B229" s="58" t="s">
        <v>73</v>
      </c>
      <c r="C229" s="81">
        <f t="shared" ref="C229:C264" si="65">D229+E229</f>
        <v>0</v>
      </c>
      <c r="D229" s="67">
        <f>COUNTIFS(ESGOTO!N:N,'DADOS - PIRITUBA'!B229,ESGOTO!AF:AF,"c")</f>
        <v>0</v>
      </c>
      <c r="E229" s="67">
        <f>COUNTIFS(ESGOTO!N:N,'DADOS - PIRITUBA'!B229,ESGOTO!AF:AF,"Nc")</f>
        <v>0</v>
      </c>
      <c r="F229" s="68" t="str">
        <f t="shared" ref="F229:F264" si="66">IFERROR(D229/C229,"-")</f>
        <v>-</v>
      </c>
      <c r="G229" s="72" t="str">
        <f t="shared" ref="G229:G264" si="67">IFERROR(100%-F229,"-")</f>
        <v>-</v>
      </c>
    </row>
    <row r="230" spans="2:7">
      <c r="B230" s="58" t="s">
        <v>73</v>
      </c>
      <c r="C230" s="81">
        <f t="shared" si="65"/>
        <v>0</v>
      </c>
      <c r="D230" s="67">
        <f>COUNTIFS(ESGOTO!N:N,'DADOS - PIRITUBA'!B230,ESGOTO!AF:AF,"c")</f>
        <v>0</v>
      </c>
      <c r="E230" s="67">
        <f>COUNTIFS(ESGOTO!N:N,'DADOS - PIRITUBA'!B230,ESGOTO!AF:AF,"Nc")</f>
        <v>0</v>
      </c>
      <c r="F230" s="68" t="str">
        <f t="shared" si="66"/>
        <v>-</v>
      </c>
      <c r="G230" s="72" t="str">
        <f t="shared" si="67"/>
        <v>-</v>
      </c>
    </row>
    <row r="231" spans="2:7">
      <c r="B231" s="58" t="s">
        <v>73</v>
      </c>
      <c r="C231" s="81">
        <f t="shared" si="65"/>
        <v>0</v>
      </c>
      <c r="D231" s="67">
        <f>COUNTIFS(ESGOTO!N:N,'DADOS - PIRITUBA'!B231,ESGOTO!AF:AF,"c")</f>
        <v>0</v>
      </c>
      <c r="E231" s="67">
        <f>COUNTIFS(ESGOTO!N:N,'DADOS - PIRITUBA'!B231,ESGOTO!AF:AF,"Nc")</f>
        <v>0</v>
      </c>
      <c r="F231" s="68" t="str">
        <f t="shared" si="66"/>
        <v>-</v>
      </c>
      <c r="G231" s="72" t="str">
        <f t="shared" si="67"/>
        <v>-</v>
      </c>
    </row>
    <row r="232" spans="2:7">
      <c r="B232" s="58" t="s">
        <v>73</v>
      </c>
      <c r="C232" s="81">
        <f t="shared" si="65"/>
        <v>0</v>
      </c>
      <c r="D232" s="67">
        <f>COUNTIFS(ESGOTO!N:N,'DADOS - PIRITUBA'!B232,ESGOTO!AF:AF,"c")</f>
        <v>0</v>
      </c>
      <c r="E232" s="67">
        <f>COUNTIFS(ESGOTO!N:N,'DADOS - PIRITUBA'!B232,ESGOTO!AF:AF,"Nc")</f>
        <v>0</v>
      </c>
      <c r="F232" s="68" t="str">
        <f t="shared" si="66"/>
        <v>-</v>
      </c>
      <c r="G232" s="72" t="str">
        <f t="shared" si="67"/>
        <v>-</v>
      </c>
    </row>
    <row r="233" spans="2:7">
      <c r="B233" s="58" t="s">
        <v>73</v>
      </c>
      <c r="C233" s="81">
        <f t="shared" si="65"/>
        <v>0</v>
      </c>
      <c r="D233" s="67">
        <f>COUNTIFS(ESGOTO!N:N,'DADOS - PIRITUBA'!B233,ESGOTO!AF:AF,"c")</f>
        <v>0</v>
      </c>
      <c r="E233" s="67">
        <f>COUNTIFS(ESGOTO!N:N,'DADOS - PIRITUBA'!B233,ESGOTO!AF:AF,"Nc")</f>
        <v>0</v>
      </c>
      <c r="F233" s="68" t="str">
        <f t="shared" si="66"/>
        <v>-</v>
      </c>
      <c r="G233" s="72" t="str">
        <f t="shared" si="67"/>
        <v>-</v>
      </c>
    </row>
    <row r="234" spans="2:7">
      <c r="B234" s="58" t="s">
        <v>73</v>
      </c>
      <c r="C234" s="81">
        <f t="shared" si="65"/>
        <v>0</v>
      </c>
      <c r="D234" s="67">
        <f>COUNTIFS(ESGOTO!N:N,'DADOS - PIRITUBA'!B234,ESGOTO!AF:AF,"c")</f>
        <v>0</v>
      </c>
      <c r="E234" s="67">
        <f>COUNTIFS(ESGOTO!N:N,'DADOS - PIRITUBA'!B234,ESGOTO!AF:AF,"Nc")</f>
        <v>0</v>
      </c>
      <c r="F234" s="68" t="str">
        <f t="shared" si="66"/>
        <v>-</v>
      </c>
      <c r="G234" s="72" t="str">
        <f t="shared" si="67"/>
        <v>-</v>
      </c>
    </row>
    <row r="235" spans="2:7">
      <c r="B235" s="58" t="s">
        <v>73</v>
      </c>
      <c r="C235" s="81">
        <f t="shared" si="65"/>
        <v>0</v>
      </c>
      <c r="D235" s="67">
        <f>COUNTIFS(ESGOTO!N:N,'DADOS - PIRITUBA'!B235,ESGOTO!AF:AF,"c")</f>
        <v>0</v>
      </c>
      <c r="E235" s="67">
        <f>COUNTIFS(ESGOTO!N:N,'DADOS - PIRITUBA'!B235,ESGOTO!AF:AF,"Nc")</f>
        <v>0</v>
      </c>
      <c r="F235" s="68" t="str">
        <f t="shared" si="66"/>
        <v>-</v>
      </c>
      <c r="G235" s="72" t="str">
        <f t="shared" si="67"/>
        <v>-</v>
      </c>
    </row>
    <row r="236" spans="2:7">
      <c r="B236" s="58" t="s">
        <v>73</v>
      </c>
      <c r="C236" s="81">
        <f t="shared" si="65"/>
        <v>0</v>
      </c>
      <c r="D236" s="67">
        <f>COUNTIFS(ESGOTO!N:N,'DADOS - PIRITUBA'!B236,ESGOTO!AF:AF,"c")</f>
        <v>0</v>
      </c>
      <c r="E236" s="67">
        <f>COUNTIFS(ESGOTO!N:N,'DADOS - PIRITUBA'!B236,ESGOTO!AF:AF,"Nc")</f>
        <v>0</v>
      </c>
      <c r="F236" s="68" t="str">
        <f t="shared" si="66"/>
        <v>-</v>
      </c>
      <c r="G236" s="72" t="str">
        <f t="shared" si="67"/>
        <v>-</v>
      </c>
    </row>
    <row r="237" spans="2:7">
      <c r="B237" s="58" t="s">
        <v>73</v>
      </c>
      <c r="C237" s="81">
        <f t="shared" si="65"/>
        <v>0</v>
      </c>
      <c r="D237" s="67">
        <f>COUNTIFS(ESGOTO!N:N,'DADOS - PIRITUBA'!B237,ESGOTO!AF:AF,"c")</f>
        <v>0</v>
      </c>
      <c r="E237" s="67">
        <f>COUNTIFS(ESGOTO!N:N,'DADOS - PIRITUBA'!B237,ESGOTO!AF:AF,"Nc")</f>
        <v>0</v>
      </c>
      <c r="F237" s="68" t="str">
        <f t="shared" si="66"/>
        <v>-</v>
      </c>
      <c r="G237" s="72" t="str">
        <f t="shared" si="67"/>
        <v>-</v>
      </c>
    </row>
    <row r="238" spans="2:7">
      <c r="B238" s="58" t="s">
        <v>73</v>
      </c>
      <c r="C238" s="81">
        <f t="shared" si="65"/>
        <v>0</v>
      </c>
      <c r="D238" s="67">
        <f>COUNTIFS(ESGOTO!N:N,'DADOS - PIRITUBA'!B238,ESGOTO!AF:AF,"c")</f>
        <v>0</v>
      </c>
      <c r="E238" s="67">
        <f>COUNTIFS(ESGOTO!N:N,'DADOS - PIRITUBA'!B238,ESGOTO!AF:AF,"Nc")</f>
        <v>0</v>
      </c>
      <c r="F238" s="68" t="str">
        <f t="shared" si="66"/>
        <v>-</v>
      </c>
      <c r="G238" s="72" t="str">
        <f t="shared" si="67"/>
        <v>-</v>
      </c>
    </row>
    <row r="239" spans="2:7">
      <c r="B239" s="58" t="s">
        <v>73</v>
      </c>
      <c r="C239" s="81">
        <f t="shared" si="65"/>
        <v>0</v>
      </c>
      <c r="D239" s="67">
        <f>COUNTIFS(ESGOTO!N:N,'DADOS - PIRITUBA'!B239,ESGOTO!AF:AF,"c")</f>
        <v>0</v>
      </c>
      <c r="E239" s="67">
        <f>COUNTIFS(ESGOTO!N:N,'DADOS - PIRITUBA'!B239,ESGOTO!AF:AF,"Nc")</f>
        <v>0</v>
      </c>
      <c r="F239" s="68" t="str">
        <f t="shared" si="66"/>
        <v>-</v>
      </c>
      <c r="G239" s="72" t="str">
        <f t="shared" si="67"/>
        <v>-</v>
      </c>
    </row>
    <row r="240" spans="2:7">
      <c r="B240" s="58" t="s">
        <v>73</v>
      </c>
      <c r="C240" s="81">
        <f t="shared" si="65"/>
        <v>0</v>
      </c>
      <c r="D240" s="67">
        <f>COUNTIFS(ESGOTO!N:N,'DADOS - PIRITUBA'!B240,ESGOTO!AF:AF,"c")</f>
        <v>0</v>
      </c>
      <c r="E240" s="67">
        <f>COUNTIFS(ESGOTO!N:N,'DADOS - PIRITUBA'!B240,ESGOTO!AF:AF,"Nc")</f>
        <v>0</v>
      </c>
      <c r="F240" s="68" t="str">
        <f t="shared" si="66"/>
        <v>-</v>
      </c>
      <c r="G240" s="72" t="str">
        <f t="shared" si="67"/>
        <v>-</v>
      </c>
    </row>
    <row r="241" spans="2:7">
      <c r="B241" s="58" t="s">
        <v>73</v>
      </c>
      <c r="C241" s="81">
        <f t="shared" si="65"/>
        <v>0</v>
      </c>
      <c r="D241" s="67">
        <f>COUNTIFS(ESGOTO!N:N,'DADOS - PIRITUBA'!B241,ESGOTO!AF:AF,"c")</f>
        <v>0</v>
      </c>
      <c r="E241" s="67">
        <f>COUNTIFS(ESGOTO!N:N,'DADOS - PIRITUBA'!B241,ESGOTO!AF:AF,"Nc")</f>
        <v>0</v>
      </c>
      <c r="F241" s="68" t="str">
        <f t="shared" si="66"/>
        <v>-</v>
      </c>
      <c r="G241" s="72" t="str">
        <f t="shared" si="67"/>
        <v>-</v>
      </c>
    </row>
    <row r="242" spans="2:7">
      <c r="B242" s="58" t="s">
        <v>73</v>
      </c>
      <c r="C242" s="81">
        <f t="shared" si="65"/>
        <v>0</v>
      </c>
      <c r="D242" s="67">
        <f>COUNTIFS(ESGOTO!N:N,'DADOS - PIRITUBA'!B242,ESGOTO!AF:AF,"c")</f>
        <v>0</v>
      </c>
      <c r="E242" s="67">
        <f>COUNTIFS(ESGOTO!N:N,'DADOS - PIRITUBA'!B242,ESGOTO!AF:AF,"Nc")</f>
        <v>0</v>
      </c>
      <c r="F242" s="68" t="str">
        <f t="shared" si="66"/>
        <v>-</v>
      </c>
      <c r="G242" s="72" t="str">
        <f t="shared" si="67"/>
        <v>-</v>
      </c>
    </row>
    <row r="243" spans="2:7">
      <c r="B243" s="58" t="s">
        <v>73</v>
      </c>
      <c r="C243" s="81">
        <f t="shared" si="65"/>
        <v>0</v>
      </c>
      <c r="D243" s="67">
        <f>COUNTIFS(ESGOTO!N:N,'DADOS - PIRITUBA'!B243,ESGOTO!AF:AF,"c")</f>
        <v>0</v>
      </c>
      <c r="E243" s="67">
        <f>COUNTIFS(ESGOTO!N:N,'DADOS - PIRITUBA'!B243,ESGOTO!AF:AF,"Nc")</f>
        <v>0</v>
      </c>
      <c r="F243" s="68" t="str">
        <f t="shared" si="66"/>
        <v>-</v>
      </c>
      <c r="G243" s="72" t="str">
        <f t="shared" si="67"/>
        <v>-</v>
      </c>
    </row>
    <row r="244" spans="2:7">
      <c r="B244" s="58" t="s">
        <v>73</v>
      </c>
      <c r="C244" s="81">
        <f t="shared" si="65"/>
        <v>0</v>
      </c>
      <c r="D244" s="67">
        <f>COUNTIFS(ESGOTO!N:N,'DADOS - PIRITUBA'!B244,ESGOTO!AF:AF,"c")</f>
        <v>0</v>
      </c>
      <c r="E244" s="67">
        <f>COUNTIFS(ESGOTO!N:N,'DADOS - PIRITUBA'!B244,ESGOTO!AF:AF,"Nc")</f>
        <v>0</v>
      </c>
      <c r="F244" s="68" t="str">
        <f t="shared" si="66"/>
        <v>-</v>
      </c>
      <c r="G244" s="72" t="str">
        <f t="shared" si="67"/>
        <v>-</v>
      </c>
    </row>
    <row r="245" spans="2:7">
      <c r="B245" s="58" t="s">
        <v>73</v>
      </c>
      <c r="C245" s="81">
        <f t="shared" si="65"/>
        <v>0</v>
      </c>
      <c r="D245" s="67">
        <f>COUNTIFS(ESGOTO!N:N,'DADOS - PIRITUBA'!B245,ESGOTO!AF:AF,"c")</f>
        <v>0</v>
      </c>
      <c r="E245" s="67">
        <f>COUNTIFS(ESGOTO!N:N,'DADOS - PIRITUBA'!B245,ESGOTO!AF:AF,"Nc")</f>
        <v>0</v>
      </c>
      <c r="F245" s="68" t="str">
        <f t="shared" si="66"/>
        <v>-</v>
      </c>
      <c r="G245" s="72" t="str">
        <f t="shared" si="67"/>
        <v>-</v>
      </c>
    </row>
    <row r="246" spans="2:7">
      <c r="B246" s="58" t="s">
        <v>73</v>
      </c>
      <c r="C246" s="81">
        <f t="shared" ref="C246" si="68">D246+E246</f>
        <v>0</v>
      </c>
      <c r="D246" s="67">
        <f>COUNTIFS(ESGOTO!N:N,'DADOS - PIRITUBA'!B246,ESGOTO!AF:AF,"c")</f>
        <v>0</v>
      </c>
      <c r="E246" s="67">
        <f>COUNTIFS(ESGOTO!N:N,'DADOS - PIRITUBA'!B246,ESGOTO!AF:AF,"Nc")</f>
        <v>0</v>
      </c>
      <c r="F246" s="68" t="str">
        <f t="shared" ref="F246" si="69">IFERROR(D246/C246,"-")</f>
        <v>-</v>
      </c>
      <c r="G246" s="72" t="str">
        <f t="shared" ref="G246" si="70">IFERROR(100%-F246,"-")</f>
        <v>-</v>
      </c>
    </row>
    <row r="247" spans="2:7">
      <c r="B247" s="58" t="s">
        <v>73</v>
      </c>
      <c r="C247" s="81">
        <f t="shared" si="65"/>
        <v>0</v>
      </c>
      <c r="D247" s="67">
        <f>COUNTIFS(ESGOTO!N:N,'DADOS - PIRITUBA'!B247,ESGOTO!AF:AF,"c")</f>
        <v>0</v>
      </c>
      <c r="E247" s="67">
        <f>COUNTIFS(ESGOTO!N:N,'DADOS - PIRITUBA'!B247,ESGOTO!AF:AF,"Nc")</f>
        <v>0</v>
      </c>
      <c r="F247" s="68" t="str">
        <f t="shared" si="66"/>
        <v>-</v>
      </c>
      <c r="G247" s="72" t="str">
        <f t="shared" si="67"/>
        <v>-</v>
      </c>
    </row>
    <row r="248" spans="2:7">
      <c r="B248" s="58" t="s">
        <v>73</v>
      </c>
      <c r="C248" s="81">
        <f t="shared" si="65"/>
        <v>0</v>
      </c>
      <c r="D248" s="67">
        <f>COUNTIFS(ESGOTO!N:N,'DADOS - PIRITUBA'!B248,ESGOTO!AF:AF,"c")</f>
        <v>0</v>
      </c>
      <c r="E248" s="67">
        <f>COUNTIFS(ESGOTO!N:N,'DADOS - PIRITUBA'!B248,ESGOTO!AF:AF,"Nc")</f>
        <v>0</v>
      </c>
      <c r="F248" s="68" t="str">
        <f t="shared" si="66"/>
        <v>-</v>
      </c>
      <c r="G248" s="72" t="str">
        <f t="shared" si="67"/>
        <v>-</v>
      </c>
    </row>
    <row r="249" spans="2:7">
      <c r="B249" s="58" t="s">
        <v>73</v>
      </c>
      <c r="C249" s="81">
        <f t="shared" si="65"/>
        <v>0</v>
      </c>
      <c r="D249" s="67">
        <f>COUNTIFS(ESGOTO!N:N,'DADOS - PIRITUBA'!B249,ESGOTO!AF:AF,"c")</f>
        <v>0</v>
      </c>
      <c r="E249" s="67">
        <f>COUNTIFS(ESGOTO!N:N,'DADOS - PIRITUBA'!B249,ESGOTO!AF:AF,"Nc")</f>
        <v>0</v>
      </c>
      <c r="F249" s="68" t="str">
        <f t="shared" si="66"/>
        <v>-</v>
      </c>
      <c r="G249" s="72" t="str">
        <f t="shared" si="67"/>
        <v>-</v>
      </c>
    </row>
    <row r="250" spans="2:7">
      <c r="B250" s="58" t="s">
        <v>73</v>
      </c>
      <c r="C250" s="81">
        <f t="shared" si="65"/>
        <v>0</v>
      </c>
      <c r="D250" s="67">
        <f>COUNTIFS(ESGOTO!N:N,'DADOS - PIRITUBA'!B250,ESGOTO!AF:AF,"c")</f>
        <v>0</v>
      </c>
      <c r="E250" s="67">
        <f>COUNTIFS(ESGOTO!N:N,'DADOS - PIRITUBA'!B250,ESGOTO!AF:AF,"Nc")</f>
        <v>0</v>
      </c>
      <c r="F250" s="68" t="str">
        <f t="shared" si="66"/>
        <v>-</v>
      </c>
      <c r="G250" s="72" t="str">
        <f t="shared" si="67"/>
        <v>-</v>
      </c>
    </row>
    <row r="251" spans="2:7">
      <c r="B251" s="58" t="s">
        <v>73</v>
      </c>
      <c r="C251" s="81">
        <f t="shared" si="65"/>
        <v>0</v>
      </c>
      <c r="D251" s="67">
        <f>COUNTIFS(ESGOTO!N:N,'DADOS - PIRITUBA'!B251,ESGOTO!AF:AF,"c")</f>
        <v>0</v>
      </c>
      <c r="E251" s="67">
        <f>COUNTIFS(ESGOTO!N:N,'DADOS - PIRITUBA'!B251,ESGOTO!AF:AF,"Nc")</f>
        <v>0</v>
      </c>
      <c r="F251" s="68" t="str">
        <f t="shared" si="66"/>
        <v>-</v>
      </c>
      <c r="G251" s="72" t="str">
        <f t="shared" si="67"/>
        <v>-</v>
      </c>
    </row>
    <row r="252" spans="2:7">
      <c r="B252" s="58" t="s">
        <v>73</v>
      </c>
      <c r="C252" s="81">
        <f t="shared" si="65"/>
        <v>0</v>
      </c>
      <c r="D252" s="67">
        <f>COUNTIFS(ESGOTO!N:N,'DADOS - PIRITUBA'!B252,ESGOTO!AF:AF,"c")</f>
        <v>0</v>
      </c>
      <c r="E252" s="67">
        <f>COUNTIFS(ESGOTO!N:N,'DADOS - PIRITUBA'!B252,ESGOTO!AF:AF,"Nc")</f>
        <v>0</v>
      </c>
      <c r="F252" s="68" t="str">
        <f t="shared" si="66"/>
        <v>-</v>
      </c>
      <c r="G252" s="72" t="str">
        <f t="shared" si="67"/>
        <v>-</v>
      </c>
    </row>
    <row r="253" spans="2:7">
      <c r="B253" s="58" t="s">
        <v>73</v>
      </c>
      <c r="C253" s="81">
        <f t="shared" si="65"/>
        <v>0</v>
      </c>
      <c r="D253" s="67">
        <f>COUNTIFS(ESGOTO!N:N,'DADOS - PIRITUBA'!B253,ESGOTO!AF:AF,"c")</f>
        <v>0</v>
      </c>
      <c r="E253" s="67">
        <f>COUNTIFS(ESGOTO!N:N,'DADOS - PIRITUBA'!B253,ESGOTO!AF:AF,"Nc")</f>
        <v>0</v>
      </c>
      <c r="F253" s="68" t="str">
        <f t="shared" si="66"/>
        <v>-</v>
      </c>
      <c r="G253" s="72" t="str">
        <f t="shared" si="67"/>
        <v>-</v>
      </c>
    </row>
    <row r="254" spans="2:7">
      <c r="B254" s="58" t="s">
        <v>73</v>
      </c>
      <c r="C254" s="81">
        <f t="shared" si="65"/>
        <v>0</v>
      </c>
      <c r="D254" s="67">
        <f>COUNTIFS(ESGOTO!N:N,'DADOS - PIRITUBA'!B254,ESGOTO!AF:AF,"c")</f>
        <v>0</v>
      </c>
      <c r="E254" s="67">
        <f>COUNTIFS(ESGOTO!N:N,'DADOS - PIRITUBA'!B254,ESGOTO!AF:AF,"Nc")</f>
        <v>0</v>
      </c>
      <c r="F254" s="68" t="str">
        <f t="shared" si="66"/>
        <v>-</v>
      </c>
      <c r="G254" s="72" t="str">
        <f t="shared" si="67"/>
        <v>-</v>
      </c>
    </row>
    <row r="255" spans="2:7">
      <c r="B255" s="58" t="s">
        <v>73</v>
      </c>
      <c r="C255" s="81">
        <f t="shared" si="65"/>
        <v>0</v>
      </c>
      <c r="D255" s="67">
        <f>COUNTIFS(ESGOTO!N:N,'DADOS - PIRITUBA'!B255,ESGOTO!AF:AF,"c")</f>
        <v>0</v>
      </c>
      <c r="E255" s="67">
        <f>COUNTIFS(ESGOTO!N:N,'DADOS - PIRITUBA'!B255,ESGOTO!AF:AF,"Nc")</f>
        <v>0</v>
      </c>
      <c r="F255" s="68" t="str">
        <f t="shared" si="66"/>
        <v>-</v>
      </c>
      <c r="G255" s="72" t="str">
        <f t="shared" si="67"/>
        <v>-</v>
      </c>
    </row>
    <row r="256" spans="2:7">
      <c r="B256" s="58" t="s">
        <v>73</v>
      </c>
      <c r="C256" s="81">
        <f t="shared" si="65"/>
        <v>0</v>
      </c>
      <c r="D256" s="67">
        <f>COUNTIFS(ESGOTO!N:N,'DADOS - PIRITUBA'!B256,ESGOTO!AF:AF,"c")</f>
        <v>0</v>
      </c>
      <c r="E256" s="67">
        <f>COUNTIFS(ESGOTO!N:N,'DADOS - PIRITUBA'!B256,ESGOTO!AF:AF,"Nc")</f>
        <v>0</v>
      </c>
      <c r="F256" s="68" t="str">
        <f t="shared" si="66"/>
        <v>-</v>
      </c>
      <c r="G256" s="72" t="str">
        <f t="shared" si="67"/>
        <v>-</v>
      </c>
    </row>
    <row r="257" spans="2:7">
      <c r="B257" s="58" t="s">
        <v>73</v>
      </c>
      <c r="C257" s="81">
        <f t="shared" si="65"/>
        <v>0</v>
      </c>
      <c r="D257" s="67">
        <f>COUNTIFS(ESGOTO!N:N,'DADOS - PIRITUBA'!B257,ESGOTO!AF:AF,"c")</f>
        <v>0</v>
      </c>
      <c r="E257" s="67">
        <f>COUNTIFS(ESGOTO!N:N,'DADOS - PIRITUBA'!B257,ESGOTO!AF:AF,"Nc")</f>
        <v>0</v>
      </c>
      <c r="F257" s="68" t="str">
        <f t="shared" si="66"/>
        <v>-</v>
      </c>
      <c r="G257" s="72" t="str">
        <f t="shared" si="67"/>
        <v>-</v>
      </c>
    </row>
    <row r="258" spans="2:7">
      <c r="B258" s="58" t="s">
        <v>73</v>
      </c>
      <c r="C258" s="81">
        <f t="shared" si="65"/>
        <v>0</v>
      </c>
      <c r="D258" s="67">
        <f>COUNTIFS(ESGOTO!N:N,'DADOS - PIRITUBA'!B258,ESGOTO!AF:AF,"c")</f>
        <v>0</v>
      </c>
      <c r="E258" s="67">
        <f>COUNTIFS(ESGOTO!N:N,'DADOS - PIRITUBA'!B258,ESGOTO!AF:AF,"Nc")</f>
        <v>0</v>
      </c>
      <c r="F258" s="68" t="str">
        <f t="shared" si="66"/>
        <v>-</v>
      </c>
      <c r="G258" s="72" t="str">
        <f t="shared" si="67"/>
        <v>-</v>
      </c>
    </row>
    <row r="259" spans="2:7">
      <c r="B259" s="58" t="s">
        <v>73</v>
      </c>
      <c r="C259" s="81">
        <f t="shared" si="65"/>
        <v>0</v>
      </c>
      <c r="D259" s="67">
        <f>COUNTIFS(ESGOTO!N:N,'DADOS - PIRITUBA'!B259,ESGOTO!AF:AF,"c")</f>
        <v>0</v>
      </c>
      <c r="E259" s="67">
        <f>COUNTIFS(ESGOTO!N:N,'DADOS - PIRITUBA'!B259,ESGOTO!AF:AF,"Nc")</f>
        <v>0</v>
      </c>
      <c r="F259" s="68" t="str">
        <f t="shared" si="66"/>
        <v>-</v>
      </c>
      <c r="G259" s="72" t="str">
        <f t="shared" si="67"/>
        <v>-</v>
      </c>
    </row>
    <row r="260" spans="2:7">
      <c r="B260" s="58" t="s">
        <v>73</v>
      </c>
      <c r="C260" s="81">
        <f t="shared" si="65"/>
        <v>0</v>
      </c>
      <c r="D260" s="67">
        <f>COUNTIFS(ESGOTO!N:N,'DADOS - PIRITUBA'!B260,ESGOTO!AF:AF,"c")</f>
        <v>0</v>
      </c>
      <c r="E260" s="67">
        <f>COUNTIFS(ESGOTO!N:N,'DADOS - PIRITUBA'!B260,ESGOTO!AF:AF,"Nc")</f>
        <v>0</v>
      </c>
      <c r="F260" s="68" t="str">
        <f t="shared" si="66"/>
        <v>-</v>
      </c>
      <c r="G260" s="72" t="str">
        <f t="shared" si="67"/>
        <v>-</v>
      </c>
    </row>
    <row r="261" spans="2:7">
      <c r="B261" s="58" t="s">
        <v>73</v>
      </c>
      <c r="C261" s="81">
        <f t="shared" si="65"/>
        <v>0</v>
      </c>
      <c r="D261" s="67">
        <f>COUNTIFS(ESGOTO!N:N,'DADOS - PIRITUBA'!B261,ESGOTO!AF:AF,"c")</f>
        <v>0</v>
      </c>
      <c r="E261" s="67">
        <f>COUNTIFS(ESGOTO!N:N,'DADOS - PIRITUBA'!B261,ESGOTO!AF:AF,"Nc")</f>
        <v>0</v>
      </c>
      <c r="F261" s="68" t="str">
        <f t="shared" si="66"/>
        <v>-</v>
      </c>
      <c r="G261" s="72" t="str">
        <f t="shared" si="67"/>
        <v>-</v>
      </c>
    </row>
    <row r="262" spans="2:7">
      <c r="B262" s="58" t="s">
        <v>73</v>
      </c>
      <c r="C262" s="81">
        <f t="shared" si="65"/>
        <v>0</v>
      </c>
      <c r="D262" s="67">
        <f>COUNTIFS(ESGOTO!N:N,'DADOS - PIRITUBA'!B262,ESGOTO!AF:AF,"c")</f>
        <v>0</v>
      </c>
      <c r="E262" s="67">
        <f>COUNTIFS(ESGOTO!N:N,'DADOS - PIRITUBA'!B262,ESGOTO!AF:AF,"Nc")</f>
        <v>0</v>
      </c>
      <c r="F262" s="68" t="str">
        <f t="shared" si="66"/>
        <v>-</v>
      </c>
      <c r="G262" s="72" t="str">
        <f t="shared" si="67"/>
        <v>-</v>
      </c>
    </row>
    <row r="263" spans="2:7">
      <c r="B263" s="58" t="s">
        <v>73</v>
      </c>
      <c r="C263" s="81">
        <f t="shared" si="65"/>
        <v>0</v>
      </c>
      <c r="D263" s="67">
        <f>COUNTIFS(ESGOTO!N:N,'DADOS - PIRITUBA'!B263,ESGOTO!AF:AF,"c")</f>
        <v>0</v>
      </c>
      <c r="E263" s="67">
        <f>COUNTIFS(ESGOTO!N:N,'DADOS - PIRITUBA'!B263,ESGOTO!AF:AF,"Nc")</f>
        <v>0</v>
      </c>
      <c r="F263" s="68" t="str">
        <f t="shared" si="66"/>
        <v>-</v>
      </c>
      <c r="G263" s="72" t="str">
        <f t="shared" si="67"/>
        <v>-</v>
      </c>
    </row>
    <row r="264" spans="2:7">
      <c r="B264" s="58" t="s">
        <v>73</v>
      </c>
      <c r="C264" s="81">
        <f t="shared" si="65"/>
        <v>0</v>
      </c>
      <c r="D264" s="67">
        <f>COUNTIFS(ESGOTO!N:N,'DADOS - PIRITUBA'!B264,ESGOTO!AF:AF,"c")</f>
        <v>0</v>
      </c>
      <c r="E264" s="67">
        <f>COUNTIFS(ESGOTO!N:N,'DADOS - PIRITUBA'!B264,ESGOTO!AF:AF,"Nc")</f>
        <v>0</v>
      </c>
      <c r="F264" s="68" t="str">
        <f t="shared" si="66"/>
        <v>-</v>
      </c>
      <c r="G264" s="72" t="str">
        <f t="shared" si="67"/>
        <v>-</v>
      </c>
    </row>
    <row r="265" spans="2:7">
      <c r="B265" s="58" t="s">
        <v>73</v>
      </c>
      <c r="C265" s="81">
        <f t="shared" ref="C265" si="71">D265+E265</f>
        <v>0</v>
      </c>
      <c r="D265" s="67">
        <f>COUNTIFS(ESGOTO!N:N,'DADOS - PIRITUBA'!B265,ESGOTO!AF:AF,"c")</f>
        <v>0</v>
      </c>
      <c r="E265" s="67">
        <f>COUNTIFS(ESGOTO!N:N,'DADOS - PIRITUBA'!B265,ESGOTO!AF:AF,"Nc")</f>
        <v>0</v>
      </c>
      <c r="F265" s="68" t="str">
        <f t="shared" ref="F265" si="72">IFERROR(D265/C265,"-")</f>
        <v>-</v>
      </c>
      <c r="G265" s="72" t="str">
        <f t="shared" ref="G265" si="73">IFERROR(100%-F265,"-")</f>
        <v>-</v>
      </c>
    </row>
    <row r="266" spans="2:7">
      <c r="B266" s="58" t="s">
        <v>73</v>
      </c>
      <c r="C266" s="81">
        <f t="shared" ref="C266" si="74">D266+E266</f>
        <v>0</v>
      </c>
      <c r="D266" s="67">
        <f>COUNTIFS(ESGOTO!N:N,'DADOS - PIRITUBA'!B266,ESGOTO!AF:AF,"c")</f>
        <v>0</v>
      </c>
      <c r="E266" s="67">
        <f>COUNTIFS(ESGOTO!N:N,'DADOS - PIRITUBA'!B266,ESGOTO!AF:AF,"Nc")</f>
        <v>0</v>
      </c>
      <c r="F266" s="68" t="str">
        <f t="shared" ref="F266" si="75">IFERROR(D266/C266,"-")</f>
        <v>-</v>
      </c>
      <c r="G266" s="72" t="str">
        <f t="shared" ref="G266" si="76">IFERROR(100%-F266,"-")</f>
        <v>-</v>
      </c>
    </row>
    <row r="268" spans="2:7">
      <c r="B268" s="351" t="s">
        <v>79</v>
      </c>
      <c r="C268" s="351"/>
      <c r="D268" s="351"/>
      <c r="E268" s="351"/>
      <c r="F268" s="351"/>
      <c r="G268" s="351"/>
    </row>
    <row r="270" spans="2:7" ht="19.5" customHeight="1">
      <c r="B270" s="341" t="s">
        <v>49</v>
      </c>
      <c r="C270" s="342"/>
      <c r="D270" s="342"/>
      <c r="E270" s="342"/>
      <c r="F270" s="342"/>
      <c r="G270" s="343"/>
    </row>
    <row r="271" spans="2:7" ht="19.5" customHeight="1">
      <c r="B271" s="103" t="s">
        <v>23</v>
      </c>
      <c r="C271" s="104" t="s">
        <v>50</v>
      </c>
      <c r="D271" s="104" t="s">
        <v>51</v>
      </c>
      <c r="E271" s="104" t="s">
        <v>52</v>
      </c>
      <c r="F271" s="104" t="s">
        <v>27</v>
      </c>
      <c r="G271" s="104" t="s">
        <v>28</v>
      </c>
    </row>
    <row r="272" spans="2:7" ht="19.5" customHeight="1">
      <c r="B272" s="120" t="s">
        <v>29</v>
      </c>
      <c r="C272" s="62">
        <f>D272+E272</f>
        <v>717</v>
      </c>
      <c r="D272" s="62">
        <f>COUNTIF(CAVALETE!Y:Y,"NC")</f>
        <v>113</v>
      </c>
      <c r="E272" s="62">
        <f>COUNTIF(CAVALETE!Y:Y,"C")</f>
        <v>604</v>
      </c>
      <c r="F272" s="16">
        <f>IFERROR(D272/C272,"-")</f>
        <v>0.15760111576011157</v>
      </c>
      <c r="G272" s="16">
        <f>IFERROR(E272/C272,"-")</f>
        <v>0.8423988842398884</v>
      </c>
    </row>
    <row r="273" spans="2:7" ht="19.5" customHeight="1">
      <c r="B273" s="11"/>
      <c r="C273" s="11"/>
      <c r="D273" s="11"/>
      <c r="E273" s="11"/>
      <c r="F273" s="17"/>
      <c r="G273" s="17"/>
    </row>
    <row r="274" spans="2:7" ht="19.5" customHeight="1">
      <c r="B274" s="341" t="s">
        <v>22</v>
      </c>
      <c r="C274" s="342"/>
      <c r="D274" s="342"/>
      <c r="E274" s="342"/>
      <c r="F274" s="342"/>
      <c r="G274" s="343"/>
    </row>
    <row r="275" spans="2:7" ht="19.5" customHeight="1">
      <c r="B275" s="103" t="s">
        <v>23</v>
      </c>
      <c r="C275" s="104" t="s">
        <v>24</v>
      </c>
      <c r="D275" s="104" t="s">
        <v>25</v>
      </c>
      <c r="E275" s="104" t="s">
        <v>26</v>
      </c>
      <c r="F275" s="104" t="s">
        <v>27</v>
      </c>
      <c r="G275" s="104" t="s">
        <v>28</v>
      </c>
    </row>
    <row r="276" spans="2:7" ht="19.5" customHeight="1">
      <c r="B276" s="120" t="s">
        <v>29</v>
      </c>
      <c r="C276" s="62">
        <f>D276+E276</f>
        <v>717</v>
      </c>
      <c r="D276" s="62">
        <f>COUNTIF(CAVALETE!Z:Z,"nc")</f>
        <v>505</v>
      </c>
      <c r="E276" s="62">
        <f>COUNTIF(CAVALETE!Z:Z,"C")</f>
        <v>212</v>
      </c>
      <c r="F276" s="50">
        <f>IFERROR(D276/C276,"-")</f>
        <v>0.70432357043235705</v>
      </c>
      <c r="G276" s="50">
        <f>IFERROR(100%-F276,"-")</f>
        <v>0.29567642956764295</v>
      </c>
    </row>
    <row r="277" spans="2:7" ht="19.5" customHeight="1">
      <c r="B277" s="11"/>
      <c r="C277" s="11"/>
      <c r="D277" s="11"/>
      <c r="E277" s="11"/>
      <c r="F277" s="17"/>
      <c r="G277" s="17"/>
    </row>
    <row r="278" spans="2:7" ht="19.5" customHeight="1">
      <c r="B278" s="341" t="s">
        <v>53</v>
      </c>
      <c r="C278" s="342"/>
      <c r="D278" s="342"/>
      <c r="E278" s="342"/>
      <c r="F278" s="342"/>
      <c r="G278" s="343"/>
    </row>
    <row r="279" spans="2:7" ht="19.5" customHeight="1">
      <c r="B279" s="103" t="s">
        <v>23</v>
      </c>
      <c r="C279" s="104" t="s">
        <v>50</v>
      </c>
      <c r="D279" s="104" t="s">
        <v>51</v>
      </c>
      <c r="E279" s="104" t="s">
        <v>52</v>
      </c>
      <c r="F279" s="104" t="s">
        <v>27</v>
      </c>
      <c r="G279" s="104" t="s">
        <v>28</v>
      </c>
    </row>
    <row r="280" spans="2:7">
      <c r="B280" s="125" t="s">
        <v>29</v>
      </c>
      <c r="C280" s="62">
        <f>D280+E280</f>
        <v>463</v>
      </c>
      <c r="D280" s="62">
        <f>COUNTIF(CAVALETE!AB:AB,"NC")</f>
        <v>0</v>
      </c>
      <c r="E280" s="62">
        <f>COUNTIF(CAVALETE!AB:AB,"C")</f>
        <v>463</v>
      </c>
      <c r="F280" s="16">
        <f>IFERROR(D280/C280,"-")</f>
        <v>0</v>
      </c>
      <c r="G280" s="16">
        <f>IFERROR(E280/C280,"-")</f>
        <v>1</v>
      </c>
    </row>
    <row r="282" spans="2:7">
      <c r="B282" s="344" t="s">
        <v>55</v>
      </c>
      <c r="C282" s="345"/>
      <c r="D282" s="345"/>
      <c r="E282" s="345"/>
      <c r="F282" s="345"/>
      <c r="G282" s="346"/>
    </row>
    <row r="283" spans="2:7">
      <c r="B283" s="105" t="s">
        <v>36</v>
      </c>
      <c r="C283" s="106" t="s">
        <v>56</v>
      </c>
      <c r="D283" s="106" t="s">
        <v>57</v>
      </c>
      <c r="E283" s="106" t="s">
        <v>58</v>
      </c>
      <c r="F283" s="106" t="s">
        <v>59</v>
      </c>
      <c r="G283" s="106" t="s">
        <v>60</v>
      </c>
    </row>
    <row r="284" spans="2:7">
      <c r="B284" s="122" t="s">
        <v>61</v>
      </c>
      <c r="C284" s="67">
        <f>COUNTIF(CAVALETE!O:O,"C")</f>
        <v>580</v>
      </c>
      <c r="D284" s="67">
        <f>COUNTIF(CAVALETE!O:O,"NC")</f>
        <v>18</v>
      </c>
      <c r="E284" s="67">
        <f>COUNTIF(CAVALETE!O:O,"SF")</f>
        <v>119</v>
      </c>
      <c r="F284" s="69">
        <f>IFERROR(C284/(C284+D284+E284),"-")</f>
        <v>0.80892608089260809</v>
      </c>
      <c r="G284" s="65">
        <f>IFERROR(100%-F284,"-")</f>
        <v>0.19107391910739191</v>
      </c>
    </row>
    <row r="285" spans="2:7">
      <c r="B285" s="122" t="s">
        <v>80</v>
      </c>
      <c r="C285" s="67">
        <f>COUNTIF(CAVALETE!Q:Q,"C")</f>
        <v>503</v>
      </c>
      <c r="D285" s="67">
        <f>COUNTIF(CAVALETE!Q:Q,"NC")</f>
        <v>19</v>
      </c>
      <c r="E285" s="67">
        <f>COUNTIF(CAVALETE!Q:Q,"SF")</f>
        <v>194</v>
      </c>
      <c r="F285" s="69">
        <f t="shared" ref="F285:F287" si="77">IFERROR(C285/(C285+D285+E285),"-")</f>
        <v>0.70251396648044695</v>
      </c>
      <c r="G285" s="65">
        <f t="shared" ref="G285:G288" si="78">IFERROR(100%-F285,"-")</f>
        <v>0.29748603351955305</v>
      </c>
    </row>
    <row r="286" spans="2:7">
      <c r="B286" s="122" t="s">
        <v>81</v>
      </c>
      <c r="C286" s="67">
        <f>COUNTIF(CAVALETE!S:S,"c")</f>
        <v>272</v>
      </c>
      <c r="D286" s="67">
        <f>COUNTIF(CAVALETE!S:S,"nc")</f>
        <v>16</v>
      </c>
      <c r="E286" s="67">
        <f>COUNTIF(CAVALETE!S:S,"SF")</f>
        <v>427</v>
      </c>
      <c r="F286" s="69">
        <f t="shared" si="77"/>
        <v>0.38041958041958041</v>
      </c>
      <c r="G286" s="65">
        <f t="shared" si="78"/>
        <v>0.61958041958041954</v>
      </c>
    </row>
    <row r="287" spans="2:7">
      <c r="B287" s="122" t="s">
        <v>82</v>
      </c>
      <c r="C287" s="67">
        <f>COUNTIF(CAVALETE!U:U,"c")</f>
        <v>273</v>
      </c>
      <c r="D287" s="67">
        <f>COUNTIF(CAVALETE!U:U,"NC")</f>
        <v>17</v>
      </c>
      <c r="E287" s="67">
        <f>COUNTIF(CAVALETE!U:U,"SF")</f>
        <v>425</v>
      </c>
      <c r="F287" s="69">
        <f t="shared" si="77"/>
        <v>0.38181818181818183</v>
      </c>
      <c r="G287" s="65">
        <f t="shared" si="78"/>
        <v>0.61818181818181817</v>
      </c>
    </row>
    <row r="288" spans="2:7">
      <c r="B288" s="122" t="s">
        <v>68</v>
      </c>
      <c r="C288" s="67">
        <f>COUNTIF(CAVALETE!W:W,"C")</f>
        <v>470</v>
      </c>
      <c r="D288" s="67">
        <f>COUNTIF(CAVALETE!W:W,"NC")</f>
        <v>27</v>
      </c>
      <c r="E288" s="67">
        <f>COUNTIF(CAVALETE!W:W,"SF")</f>
        <v>219</v>
      </c>
      <c r="F288" s="69">
        <f>IFERROR(C288/(C288+D288+E288),"-")</f>
        <v>0.65642458100558654</v>
      </c>
      <c r="G288" s="65">
        <f t="shared" si="78"/>
        <v>0.34357541899441346</v>
      </c>
    </row>
    <row r="290" spans="2:7">
      <c r="B290" s="352" t="s">
        <v>69</v>
      </c>
      <c r="C290" s="349"/>
      <c r="D290" s="349"/>
      <c r="E290" s="349"/>
      <c r="F290" s="349"/>
      <c r="G290" s="350"/>
    </row>
    <row r="291" spans="2:7" ht="36">
      <c r="B291" s="115" t="s">
        <v>70</v>
      </c>
      <c r="C291" s="108" t="s">
        <v>71</v>
      </c>
      <c r="D291" s="109" t="s">
        <v>56</v>
      </c>
      <c r="E291" s="109" t="s">
        <v>57</v>
      </c>
      <c r="F291" s="109" t="s">
        <v>59</v>
      </c>
      <c r="G291" s="109" t="s">
        <v>72</v>
      </c>
    </row>
    <row r="292" spans="2:7">
      <c r="B292" s="61" t="s">
        <v>73</v>
      </c>
      <c r="C292" s="81">
        <f t="shared" ref="C292" si="79">D292+E292</f>
        <v>0</v>
      </c>
      <c r="D292" s="67">
        <f>COUNTIFS(CAVALETE!N:N,'DADOS - PIRITUBA'!B292,CAVALETE!Y:Y,"C")</f>
        <v>0</v>
      </c>
      <c r="E292" s="67">
        <f>COUNTIFS(CAVALETE!N:N,'DADOS - PIRITUBA'!B292,CAVALETE!Y:Y,"NC")</f>
        <v>0</v>
      </c>
      <c r="F292" s="68" t="str">
        <f t="shared" ref="F292" si="80">IFERROR(D292/C292,"-")</f>
        <v>-</v>
      </c>
      <c r="G292" s="72" t="str">
        <f t="shared" ref="G292:G331" si="81">IFERROR(100%-F292,"-")</f>
        <v>-</v>
      </c>
    </row>
    <row r="293" spans="2:7">
      <c r="B293" s="61" t="s">
        <v>73</v>
      </c>
      <c r="C293" s="81">
        <f t="shared" ref="C293:C331" si="82">D293+E293</f>
        <v>0</v>
      </c>
      <c r="D293" s="67">
        <f>COUNTIFS(CAVALETE!N:N,'DADOS - PIRITUBA'!B293,CAVALETE!Y:Y,"C")</f>
        <v>0</v>
      </c>
      <c r="E293" s="67">
        <f>COUNTIFS(CAVALETE!N:N,'DADOS - PIRITUBA'!B293,CAVALETE!Y:Y,"NC")</f>
        <v>0</v>
      </c>
      <c r="F293" s="68" t="str">
        <f t="shared" ref="F293:F331" si="83">IFERROR(D293/C293,"-")</f>
        <v>-</v>
      </c>
      <c r="G293" s="72" t="str">
        <f t="shared" si="81"/>
        <v>-</v>
      </c>
    </row>
    <row r="294" spans="2:7">
      <c r="B294" s="61" t="s">
        <v>73</v>
      </c>
      <c r="C294" s="81">
        <f t="shared" si="82"/>
        <v>0</v>
      </c>
      <c r="D294" s="67">
        <f>COUNTIFS(CAVALETE!N:N,'DADOS - PIRITUBA'!B294,CAVALETE!Y:Y,"C")</f>
        <v>0</v>
      </c>
      <c r="E294" s="67">
        <f>COUNTIFS(CAVALETE!N:N,'DADOS - PIRITUBA'!B294,CAVALETE!Y:Y,"NC")</f>
        <v>0</v>
      </c>
      <c r="F294" s="68" t="str">
        <f t="shared" si="83"/>
        <v>-</v>
      </c>
      <c r="G294" s="72" t="str">
        <f t="shared" si="81"/>
        <v>-</v>
      </c>
    </row>
    <row r="295" spans="2:7">
      <c r="B295" s="61" t="s">
        <v>73</v>
      </c>
      <c r="C295" s="81">
        <f t="shared" si="82"/>
        <v>0</v>
      </c>
      <c r="D295" s="67">
        <f>COUNTIFS(CAVALETE!N:N,'DADOS - PIRITUBA'!B295,CAVALETE!Y:Y,"C")</f>
        <v>0</v>
      </c>
      <c r="E295" s="67">
        <f>COUNTIFS(CAVALETE!N:N,'DADOS - PIRITUBA'!B295,CAVALETE!Y:Y,"NC")</f>
        <v>0</v>
      </c>
      <c r="F295" s="68" t="str">
        <f t="shared" si="83"/>
        <v>-</v>
      </c>
      <c r="G295" s="72" t="str">
        <f t="shared" si="81"/>
        <v>-</v>
      </c>
    </row>
    <row r="296" spans="2:7">
      <c r="B296" s="61" t="s">
        <v>73</v>
      </c>
      <c r="C296" s="81">
        <f t="shared" si="82"/>
        <v>0</v>
      </c>
      <c r="D296" s="67">
        <f>COUNTIFS(CAVALETE!N:N,'DADOS - PIRITUBA'!B296,CAVALETE!Y:Y,"C")</f>
        <v>0</v>
      </c>
      <c r="E296" s="67">
        <f>COUNTIFS(CAVALETE!N:N,'DADOS - PIRITUBA'!B296,CAVALETE!Y:Y,"NC")</f>
        <v>0</v>
      </c>
      <c r="F296" s="68" t="str">
        <f t="shared" si="83"/>
        <v>-</v>
      </c>
      <c r="G296" s="72" t="str">
        <f t="shared" si="81"/>
        <v>-</v>
      </c>
    </row>
    <row r="297" spans="2:7">
      <c r="B297" s="61" t="s">
        <v>73</v>
      </c>
      <c r="C297" s="81">
        <f t="shared" ref="C297:C325" si="84">D297+E297</f>
        <v>0</v>
      </c>
      <c r="D297" s="67">
        <f>COUNTIFS(CAVALETE!N:N,'DADOS - PIRITUBA'!B297,CAVALETE!Y:Y,"C")</f>
        <v>0</v>
      </c>
      <c r="E297" s="67">
        <f>COUNTIFS(CAVALETE!N:N,'DADOS - PIRITUBA'!B297,CAVALETE!Y:Y,"NC")</f>
        <v>0</v>
      </c>
      <c r="F297" s="68" t="str">
        <f t="shared" ref="F297:F325" si="85">IFERROR(D297/C297,"-")</f>
        <v>-</v>
      </c>
      <c r="G297" s="72" t="str">
        <f t="shared" ref="G297:G325" si="86">IFERROR(100%-F297,"-")</f>
        <v>-</v>
      </c>
    </row>
    <row r="298" spans="2:7">
      <c r="B298" s="61" t="s">
        <v>73</v>
      </c>
      <c r="C298" s="81">
        <f t="shared" ref="C298:C323" si="87">D298+E298</f>
        <v>0</v>
      </c>
      <c r="D298" s="67">
        <f>COUNTIFS(CAVALETE!N:N,'DADOS - PIRITUBA'!B298,CAVALETE!Y:Y,"C")</f>
        <v>0</v>
      </c>
      <c r="E298" s="67">
        <f>COUNTIFS(CAVALETE!N:N,'DADOS - PIRITUBA'!B298,CAVALETE!Y:Y,"NC")</f>
        <v>0</v>
      </c>
      <c r="F298" s="68" t="str">
        <f t="shared" ref="F298:F323" si="88">IFERROR(D298/C298,"-")</f>
        <v>-</v>
      </c>
      <c r="G298" s="72" t="str">
        <f t="shared" ref="G298:G323" si="89">IFERROR(100%-F298,"-")</f>
        <v>-</v>
      </c>
    </row>
    <row r="299" spans="2:7">
      <c r="B299" s="61" t="s">
        <v>73</v>
      </c>
      <c r="C299" s="81">
        <f t="shared" si="87"/>
        <v>0</v>
      </c>
      <c r="D299" s="67">
        <f>COUNTIFS(CAVALETE!N:N,'DADOS - PIRITUBA'!B299,CAVALETE!Y:Y,"C")</f>
        <v>0</v>
      </c>
      <c r="E299" s="67">
        <f>COUNTIFS(CAVALETE!N:N,'DADOS - PIRITUBA'!B299,CAVALETE!Y:Y,"NC")</f>
        <v>0</v>
      </c>
      <c r="F299" s="68" t="str">
        <f t="shared" si="88"/>
        <v>-</v>
      </c>
      <c r="G299" s="72" t="str">
        <f t="shared" si="89"/>
        <v>-</v>
      </c>
    </row>
    <row r="300" spans="2:7">
      <c r="B300" s="61" t="s">
        <v>73</v>
      </c>
      <c r="C300" s="81">
        <f t="shared" si="87"/>
        <v>0</v>
      </c>
      <c r="D300" s="67">
        <f>COUNTIFS(CAVALETE!N:N,'DADOS - PIRITUBA'!B300,CAVALETE!Y:Y,"C")</f>
        <v>0</v>
      </c>
      <c r="E300" s="67">
        <f>COUNTIFS(CAVALETE!N:N,'DADOS - PIRITUBA'!B300,CAVALETE!Y:Y,"NC")</f>
        <v>0</v>
      </c>
      <c r="F300" s="68" t="str">
        <f t="shared" si="88"/>
        <v>-</v>
      </c>
      <c r="G300" s="72" t="str">
        <f t="shared" si="89"/>
        <v>-</v>
      </c>
    </row>
    <row r="301" spans="2:7">
      <c r="B301" s="61" t="s">
        <v>73</v>
      </c>
      <c r="C301" s="81">
        <f t="shared" si="87"/>
        <v>0</v>
      </c>
      <c r="D301" s="67">
        <f>COUNTIFS(CAVALETE!N:N,'DADOS - PIRITUBA'!B301,CAVALETE!Y:Y,"C")</f>
        <v>0</v>
      </c>
      <c r="E301" s="67">
        <f>COUNTIFS(CAVALETE!N:N,'DADOS - PIRITUBA'!B301,CAVALETE!Y:Y,"NC")</f>
        <v>0</v>
      </c>
      <c r="F301" s="68" t="str">
        <f t="shared" si="88"/>
        <v>-</v>
      </c>
      <c r="G301" s="72" t="str">
        <f t="shared" si="89"/>
        <v>-</v>
      </c>
    </row>
    <row r="302" spans="2:7">
      <c r="B302" s="61" t="s">
        <v>73</v>
      </c>
      <c r="C302" s="81">
        <f t="shared" si="87"/>
        <v>0</v>
      </c>
      <c r="D302" s="67">
        <f>COUNTIFS(CAVALETE!N:N,'DADOS - PIRITUBA'!B302,CAVALETE!Y:Y,"C")</f>
        <v>0</v>
      </c>
      <c r="E302" s="67">
        <f>COUNTIFS(CAVALETE!N:N,'DADOS - PIRITUBA'!B302,CAVALETE!Y:Y,"NC")</f>
        <v>0</v>
      </c>
      <c r="F302" s="68" t="str">
        <f t="shared" si="88"/>
        <v>-</v>
      </c>
      <c r="G302" s="72" t="str">
        <f t="shared" si="89"/>
        <v>-</v>
      </c>
    </row>
    <row r="303" spans="2:7">
      <c r="B303" s="61" t="s">
        <v>73</v>
      </c>
      <c r="C303" s="81">
        <f t="shared" si="87"/>
        <v>0</v>
      </c>
      <c r="D303" s="67">
        <f>COUNTIFS(CAVALETE!N:N,'DADOS - PIRITUBA'!B303,CAVALETE!Y:Y,"C")</f>
        <v>0</v>
      </c>
      <c r="E303" s="67">
        <f>COUNTIFS(CAVALETE!N:N,'DADOS - PIRITUBA'!B303,CAVALETE!Y:Y,"NC")</f>
        <v>0</v>
      </c>
      <c r="F303" s="68" t="str">
        <f t="shared" si="88"/>
        <v>-</v>
      </c>
      <c r="G303" s="72" t="str">
        <f t="shared" si="89"/>
        <v>-</v>
      </c>
    </row>
    <row r="304" spans="2:7">
      <c r="B304" s="61" t="s">
        <v>73</v>
      </c>
      <c r="C304" s="81">
        <f t="shared" si="87"/>
        <v>0</v>
      </c>
      <c r="D304" s="67">
        <f>COUNTIFS(CAVALETE!N:N,'DADOS - PIRITUBA'!B304,CAVALETE!Y:Y,"C")</f>
        <v>0</v>
      </c>
      <c r="E304" s="67">
        <f>COUNTIFS(CAVALETE!N:N,'DADOS - PIRITUBA'!B304,CAVALETE!Y:Y,"NC")</f>
        <v>0</v>
      </c>
      <c r="F304" s="68" t="str">
        <f t="shared" si="88"/>
        <v>-</v>
      </c>
      <c r="G304" s="72" t="str">
        <f t="shared" si="89"/>
        <v>-</v>
      </c>
    </row>
    <row r="305" spans="2:7">
      <c r="B305" s="61" t="s">
        <v>73</v>
      </c>
      <c r="C305" s="81">
        <f t="shared" si="87"/>
        <v>0</v>
      </c>
      <c r="D305" s="67">
        <f>COUNTIFS(CAVALETE!N:N,'DADOS - PIRITUBA'!B305,CAVALETE!Y:Y,"C")</f>
        <v>0</v>
      </c>
      <c r="E305" s="67">
        <f>COUNTIFS(CAVALETE!N:N,'DADOS - PIRITUBA'!B305,CAVALETE!Y:Y,"NC")</f>
        <v>0</v>
      </c>
      <c r="F305" s="68" t="str">
        <f t="shared" si="88"/>
        <v>-</v>
      </c>
      <c r="G305" s="72" t="str">
        <f t="shared" si="89"/>
        <v>-</v>
      </c>
    </row>
    <row r="306" spans="2:7">
      <c r="B306" s="61" t="s">
        <v>73</v>
      </c>
      <c r="C306" s="81">
        <f t="shared" si="87"/>
        <v>0</v>
      </c>
      <c r="D306" s="67">
        <f>COUNTIFS(CAVALETE!N:N,'DADOS - PIRITUBA'!B306,CAVALETE!Y:Y,"C")</f>
        <v>0</v>
      </c>
      <c r="E306" s="67">
        <f>COUNTIFS(CAVALETE!N:N,'DADOS - PIRITUBA'!B306,CAVALETE!Y:Y,"NC")</f>
        <v>0</v>
      </c>
      <c r="F306" s="68" t="str">
        <f t="shared" si="88"/>
        <v>-</v>
      </c>
      <c r="G306" s="72" t="str">
        <f t="shared" si="89"/>
        <v>-</v>
      </c>
    </row>
    <row r="307" spans="2:7">
      <c r="B307" s="61" t="s">
        <v>73</v>
      </c>
      <c r="C307" s="81">
        <f t="shared" si="87"/>
        <v>0</v>
      </c>
      <c r="D307" s="67">
        <f>COUNTIFS(CAVALETE!N:N,'DADOS - PIRITUBA'!B307,CAVALETE!Y:Y,"C")</f>
        <v>0</v>
      </c>
      <c r="E307" s="67">
        <f>COUNTIFS(CAVALETE!N:N,'DADOS - PIRITUBA'!B307,CAVALETE!Y:Y,"NC")</f>
        <v>0</v>
      </c>
      <c r="F307" s="68" t="str">
        <f t="shared" si="88"/>
        <v>-</v>
      </c>
      <c r="G307" s="72" t="str">
        <f t="shared" si="89"/>
        <v>-</v>
      </c>
    </row>
    <row r="308" spans="2:7">
      <c r="B308" s="61" t="s">
        <v>73</v>
      </c>
      <c r="C308" s="81">
        <f t="shared" si="87"/>
        <v>0</v>
      </c>
      <c r="D308" s="67">
        <f>COUNTIFS(CAVALETE!N:N,'DADOS - PIRITUBA'!B308,CAVALETE!Y:Y,"C")</f>
        <v>0</v>
      </c>
      <c r="E308" s="67">
        <f>COUNTIFS(CAVALETE!N:N,'DADOS - PIRITUBA'!B308,CAVALETE!Y:Y,"NC")</f>
        <v>0</v>
      </c>
      <c r="F308" s="68" t="str">
        <f t="shared" si="88"/>
        <v>-</v>
      </c>
      <c r="G308" s="72" t="str">
        <f t="shared" si="89"/>
        <v>-</v>
      </c>
    </row>
    <row r="309" spans="2:7">
      <c r="B309" s="61" t="s">
        <v>73</v>
      </c>
      <c r="C309" s="81">
        <f t="shared" si="87"/>
        <v>0</v>
      </c>
      <c r="D309" s="67">
        <f>COUNTIFS(CAVALETE!N:N,'DADOS - PIRITUBA'!B309,CAVALETE!Y:Y,"C")</f>
        <v>0</v>
      </c>
      <c r="E309" s="67">
        <f>COUNTIFS(CAVALETE!N:N,'DADOS - PIRITUBA'!B309,CAVALETE!Y:Y,"NC")</f>
        <v>0</v>
      </c>
      <c r="F309" s="68" t="str">
        <f t="shared" si="88"/>
        <v>-</v>
      </c>
      <c r="G309" s="72" t="str">
        <f t="shared" si="89"/>
        <v>-</v>
      </c>
    </row>
    <row r="310" spans="2:7">
      <c r="B310" s="61" t="s">
        <v>73</v>
      </c>
      <c r="C310" s="81">
        <f t="shared" si="87"/>
        <v>0</v>
      </c>
      <c r="D310" s="67">
        <f>COUNTIFS(CAVALETE!N:N,'DADOS - PIRITUBA'!B310,CAVALETE!Y:Y,"C")</f>
        <v>0</v>
      </c>
      <c r="E310" s="67">
        <f>COUNTIFS(CAVALETE!N:N,'DADOS - PIRITUBA'!B310,CAVALETE!Y:Y,"NC")</f>
        <v>0</v>
      </c>
      <c r="F310" s="68" t="str">
        <f t="shared" si="88"/>
        <v>-</v>
      </c>
      <c r="G310" s="72" t="str">
        <f t="shared" si="89"/>
        <v>-</v>
      </c>
    </row>
    <row r="311" spans="2:7">
      <c r="B311" s="61" t="s">
        <v>73</v>
      </c>
      <c r="C311" s="81">
        <f t="shared" si="87"/>
        <v>0</v>
      </c>
      <c r="D311" s="67">
        <f>COUNTIFS(CAVALETE!N:N,'DADOS - PIRITUBA'!B311,CAVALETE!Y:Y,"C")</f>
        <v>0</v>
      </c>
      <c r="E311" s="67">
        <f>COUNTIFS(CAVALETE!N:N,'DADOS - PIRITUBA'!B311,CAVALETE!Y:Y,"NC")</f>
        <v>0</v>
      </c>
      <c r="F311" s="68" t="str">
        <f t="shared" si="88"/>
        <v>-</v>
      </c>
      <c r="G311" s="72" t="str">
        <f t="shared" si="89"/>
        <v>-</v>
      </c>
    </row>
    <row r="312" spans="2:7">
      <c r="B312" s="61" t="s">
        <v>73</v>
      </c>
      <c r="C312" s="81">
        <f t="shared" si="87"/>
        <v>0</v>
      </c>
      <c r="D312" s="67">
        <f>COUNTIFS(CAVALETE!N:N,'DADOS - PIRITUBA'!B312,CAVALETE!Y:Y,"C")</f>
        <v>0</v>
      </c>
      <c r="E312" s="67">
        <f>COUNTIFS(CAVALETE!N:N,'DADOS - PIRITUBA'!B312,CAVALETE!Y:Y,"NC")</f>
        <v>0</v>
      </c>
      <c r="F312" s="68" t="str">
        <f t="shared" si="88"/>
        <v>-</v>
      </c>
      <c r="G312" s="72" t="str">
        <f t="shared" si="89"/>
        <v>-</v>
      </c>
    </row>
    <row r="313" spans="2:7">
      <c r="B313" s="61" t="s">
        <v>73</v>
      </c>
      <c r="C313" s="81">
        <f t="shared" si="87"/>
        <v>0</v>
      </c>
      <c r="D313" s="67">
        <f>COUNTIFS(CAVALETE!N:N,'DADOS - PIRITUBA'!B313,CAVALETE!Y:Y,"C")</f>
        <v>0</v>
      </c>
      <c r="E313" s="67">
        <f>COUNTIFS(CAVALETE!N:N,'DADOS - PIRITUBA'!B313,CAVALETE!Y:Y,"NC")</f>
        <v>0</v>
      </c>
      <c r="F313" s="68" t="str">
        <f t="shared" si="88"/>
        <v>-</v>
      </c>
      <c r="G313" s="72" t="str">
        <f t="shared" si="89"/>
        <v>-</v>
      </c>
    </row>
    <row r="314" spans="2:7">
      <c r="B314" s="61" t="s">
        <v>73</v>
      </c>
      <c r="C314" s="81">
        <f t="shared" si="87"/>
        <v>0</v>
      </c>
      <c r="D314" s="67">
        <f>COUNTIFS(CAVALETE!N:N,'DADOS - PIRITUBA'!B314,CAVALETE!Y:Y,"C")</f>
        <v>0</v>
      </c>
      <c r="E314" s="67">
        <f>COUNTIFS(CAVALETE!N:N,'DADOS - PIRITUBA'!B314,CAVALETE!Y:Y,"NC")</f>
        <v>0</v>
      </c>
      <c r="F314" s="68" t="str">
        <f t="shared" si="88"/>
        <v>-</v>
      </c>
      <c r="G314" s="72" t="str">
        <f t="shared" si="89"/>
        <v>-</v>
      </c>
    </row>
    <row r="315" spans="2:7">
      <c r="B315" s="61" t="s">
        <v>73</v>
      </c>
      <c r="C315" s="81">
        <f t="shared" si="87"/>
        <v>0</v>
      </c>
      <c r="D315" s="67">
        <f>COUNTIFS(CAVALETE!N:N,'DADOS - PIRITUBA'!B315,CAVALETE!Y:Y,"C")</f>
        <v>0</v>
      </c>
      <c r="E315" s="67">
        <f>COUNTIFS(CAVALETE!N:N,'DADOS - PIRITUBA'!B315,CAVALETE!Y:Y,"NC")</f>
        <v>0</v>
      </c>
      <c r="F315" s="68" t="str">
        <f t="shared" si="88"/>
        <v>-</v>
      </c>
      <c r="G315" s="72" t="str">
        <f t="shared" si="89"/>
        <v>-</v>
      </c>
    </row>
    <row r="316" spans="2:7">
      <c r="B316" s="61" t="s">
        <v>73</v>
      </c>
      <c r="C316" s="81">
        <f t="shared" si="87"/>
        <v>0</v>
      </c>
      <c r="D316" s="67">
        <f>COUNTIFS(CAVALETE!N:N,'DADOS - PIRITUBA'!B316,CAVALETE!Y:Y,"C")</f>
        <v>0</v>
      </c>
      <c r="E316" s="67">
        <f>COUNTIFS(CAVALETE!N:N,'DADOS - PIRITUBA'!B316,CAVALETE!Y:Y,"NC")</f>
        <v>0</v>
      </c>
      <c r="F316" s="68" t="str">
        <f t="shared" si="88"/>
        <v>-</v>
      </c>
      <c r="G316" s="72" t="str">
        <f t="shared" si="89"/>
        <v>-</v>
      </c>
    </row>
    <row r="317" spans="2:7">
      <c r="B317" s="61" t="s">
        <v>73</v>
      </c>
      <c r="C317" s="81">
        <f t="shared" si="87"/>
        <v>0</v>
      </c>
      <c r="D317" s="67">
        <f>COUNTIFS(CAVALETE!N:N,'DADOS - PIRITUBA'!B317,CAVALETE!Y:Y,"C")</f>
        <v>0</v>
      </c>
      <c r="E317" s="67">
        <f>COUNTIFS(CAVALETE!N:N,'DADOS - PIRITUBA'!B317,CAVALETE!Y:Y,"NC")</f>
        <v>0</v>
      </c>
      <c r="F317" s="68" t="str">
        <f t="shared" si="88"/>
        <v>-</v>
      </c>
      <c r="G317" s="72" t="str">
        <f t="shared" si="89"/>
        <v>-</v>
      </c>
    </row>
    <row r="318" spans="2:7">
      <c r="B318" s="61" t="s">
        <v>73</v>
      </c>
      <c r="C318" s="81">
        <f t="shared" si="87"/>
        <v>0</v>
      </c>
      <c r="D318" s="67">
        <f>COUNTIFS(CAVALETE!N:N,'DADOS - PIRITUBA'!B318,CAVALETE!Y:Y,"C")</f>
        <v>0</v>
      </c>
      <c r="E318" s="67">
        <f>COUNTIFS(CAVALETE!N:N,'DADOS - PIRITUBA'!B318,CAVALETE!Y:Y,"NC")</f>
        <v>0</v>
      </c>
      <c r="F318" s="68" t="str">
        <f t="shared" si="88"/>
        <v>-</v>
      </c>
      <c r="G318" s="72" t="str">
        <f t="shared" si="89"/>
        <v>-</v>
      </c>
    </row>
    <row r="319" spans="2:7">
      <c r="B319" s="61" t="s">
        <v>73</v>
      </c>
      <c r="C319" s="81">
        <f t="shared" si="87"/>
        <v>0</v>
      </c>
      <c r="D319" s="67">
        <f>COUNTIFS(CAVALETE!N:N,'DADOS - PIRITUBA'!B319,CAVALETE!Y:Y,"C")</f>
        <v>0</v>
      </c>
      <c r="E319" s="67">
        <f>COUNTIFS(CAVALETE!N:N,'DADOS - PIRITUBA'!B319,CAVALETE!Y:Y,"NC")</f>
        <v>0</v>
      </c>
      <c r="F319" s="68" t="str">
        <f t="shared" si="88"/>
        <v>-</v>
      </c>
      <c r="G319" s="72" t="str">
        <f t="shared" si="89"/>
        <v>-</v>
      </c>
    </row>
    <row r="320" spans="2:7">
      <c r="B320" s="61" t="s">
        <v>73</v>
      </c>
      <c r="C320" s="81">
        <f t="shared" si="87"/>
        <v>0</v>
      </c>
      <c r="D320" s="67">
        <f>COUNTIFS(CAVALETE!N:N,'DADOS - PIRITUBA'!B320,CAVALETE!Y:Y,"C")</f>
        <v>0</v>
      </c>
      <c r="E320" s="67">
        <f>COUNTIFS(CAVALETE!N:N,'DADOS - PIRITUBA'!B320,CAVALETE!Y:Y,"NC")</f>
        <v>0</v>
      </c>
      <c r="F320" s="68" t="str">
        <f t="shared" si="88"/>
        <v>-</v>
      </c>
      <c r="G320" s="72" t="str">
        <f t="shared" si="89"/>
        <v>-</v>
      </c>
    </row>
    <row r="321" spans="2:7">
      <c r="B321" s="61" t="s">
        <v>73</v>
      </c>
      <c r="C321" s="81">
        <f t="shared" si="87"/>
        <v>0</v>
      </c>
      <c r="D321" s="67">
        <f>COUNTIFS(CAVALETE!N:N,'DADOS - PIRITUBA'!B321,CAVALETE!Y:Y,"C")</f>
        <v>0</v>
      </c>
      <c r="E321" s="67">
        <f>COUNTIFS(CAVALETE!N:N,'DADOS - PIRITUBA'!B321,CAVALETE!Y:Y,"NC")</f>
        <v>0</v>
      </c>
      <c r="F321" s="68" t="str">
        <f t="shared" si="88"/>
        <v>-</v>
      </c>
      <c r="G321" s="72" t="str">
        <f t="shared" si="89"/>
        <v>-</v>
      </c>
    </row>
    <row r="322" spans="2:7">
      <c r="B322" s="61" t="s">
        <v>73</v>
      </c>
      <c r="C322" s="81">
        <f t="shared" si="87"/>
        <v>0</v>
      </c>
      <c r="D322" s="67">
        <f>COUNTIFS(CAVALETE!N:N,'DADOS - PIRITUBA'!B322,CAVALETE!Y:Y,"C")</f>
        <v>0</v>
      </c>
      <c r="E322" s="67">
        <f>COUNTIFS(CAVALETE!N:N,'DADOS - PIRITUBA'!B322,CAVALETE!Y:Y,"NC")</f>
        <v>0</v>
      </c>
      <c r="F322" s="68" t="str">
        <f t="shared" si="88"/>
        <v>-</v>
      </c>
      <c r="G322" s="72" t="str">
        <f t="shared" si="89"/>
        <v>-</v>
      </c>
    </row>
    <row r="323" spans="2:7">
      <c r="B323" s="61" t="s">
        <v>73</v>
      </c>
      <c r="C323" s="81">
        <f t="shared" si="87"/>
        <v>0</v>
      </c>
      <c r="D323" s="67">
        <f>COUNTIFS(CAVALETE!N:N,'DADOS - PIRITUBA'!B323,CAVALETE!Y:Y,"C")</f>
        <v>0</v>
      </c>
      <c r="E323" s="67">
        <f>COUNTIFS(CAVALETE!N:N,'DADOS - PIRITUBA'!B323,CAVALETE!Y:Y,"NC")</f>
        <v>0</v>
      </c>
      <c r="F323" s="68" t="str">
        <f t="shared" si="88"/>
        <v>-</v>
      </c>
      <c r="G323" s="72" t="str">
        <f t="shared" si="89"/>
        <v>-</v>
      </c>
    </row>
    <row r="324" spans="2:7">
      <c r="B324" s="61" t="s">
        <v>73</v>
      </c>
      <c r="C324" s="81">
        <f t="shared" si="84"/>
        <v>0</v>
      </c>
      <c r="D324" s="67">
        <f>COUNTIFS(CAVALETE!N:N,'DADOS - PIRITUBA'!B324,CAVALETE!Y:Y,"C")</f>
        <v>0</v>
      </c>
      <c r="E324" s="67">
        <f>COUNTIFS(CAVALETE!N:N,'DADOS - PIRITUBA'!B324,CAVALETE!Y:Y,"NC")</f>
        <v>0</v>
      </c>
      <c r="F324" s="68" t="str">
        <f t="shared" si="85"/>
        <v>-</v>
      </c>
      <c r="G324" s="72" t="str">
        <f t="shared" si="86"/>
        <v>-</v>
      </c>
    </row>
    <row r="325" spans="2:7">
      <c r="B325" s="61" t="s">
        <v>73</v>
      </c>
      <c r="C325" s="81">
        <f t="shared" si="84"/>
        <v>0</v>
      </c>
      <c r="D325" s="67">
        <f>COUNTIFS(CAVALETE!N:N,'DADOS - PIRITUBA'!B325,CAVALETE!Y:Y,"C")</f>
        <v>0</v>
      </c>
      <c r="E325" s="67">
        <f>COUNTIFS(CAVALETE!N:N,'DADOS - PIRITUBA'!B325,CAVALETE!Y:Y,"NC")</f>
        <v>0</v>
      </c>
      <c r="F325" s="68" t="str">
        <f t="shared" si="85"/>
        <v>-</v>
      </c>
      <c r="G325" s="72" t="str">
        <f t="shared" si="86"/>
        <v>-</v>
      </c>
    </row>
    <row r="326" spans="2:7">
      <c r="B326" s="61" t="s">
        <v>73</v>
      </c>
      <c r="C326" s="81">
        <f t="shared" si="82"/>
        <v>0</v>
      </c>
      <c r="D326" s="67">
        <f>COUNTIFS(CAVALETE!N:N,'DADOS - PIRITUBA'!B326,CAVALETE!Y:Y,"C")</f>
        <v>0</v>
      </c>
      <c r="E326" s="67">
        <f>COUNTIFS(CAVALETE!N:N,'DADOS - PIRITUBA'!B326,CAVALETE!Y:Y,"NC")</f>
        <v>0</v>
      </c>
      <c r="F326" s="68" t="str">
        <f t="shared" si="83"/>
        <v>-</v>
      </c>
      <c r="G326" s="72" t="str">
        <f t="shared" si="81"/>
        <v>-</v>
      </c>
    </row>
    <row r="327" spans="2:7">
      <c r="B327" s="61" t="s">
        <v>73</v>
      </c>
      <c r="C327" s="81">
        <f t="shared" si="82"/>
        <v>0</v>
      </c>
      <c r="D327" s="67">
        <f>COUNTIFS(CAVALETE!N:N,'DADOS - PIRITUBA'!B327,CAVALETE!Y:Y,"C")</f>
        <v>0</v>
      </c>
      <c r="E327" s="67">
        <f>COUNTIFS(CAVALETE!N:N,'DADOS - PIRITUBA'!B327,CAVALETE!Y:Y,"NC")</f>
        <v>0</v>
      </c>
      <c r="F327" s="68" t="str">
        <f t="shared" si="83"/>
        <v>-</v>
      </c>
      <c r="G327" s="72" t="str">
        <f t="shared" si="81"/>
        <v>-</v>
      </c>
    </row>
    <row r="328" spans="2:7">
      <c r="B328" s="61" t="s">
        <v>73</v>
      </c>
      <c r="C328" s="81">
        <f t="shared" si="82"/>
        <v>0</v>
      </c>
      <c r="D328" s="67">
        <f>COUNTIFS(CAVALETE!N:N,'DADOS - PIRITUBA'!B328,CAVALETE!Y:Y,"C")</f>
        <v>0</v>
      </c>
      <c r="E328" s="67">
        <f>COUNTIFS(CAVALETE!N:N,'DADOS - PIRITUBA'!B328,CAVALETE!Y:Y,"NC")</f>
        <v>0</v>
      </c>
      <c r="F328" s="68" t="str">
        <f t="shared" si="83"/>
        <v>-</v>
      </c>
      <c r="G328" s="72" t="str">
        <f t="shared" si="81"/>
        <v>-</v>
      </c>
    </row>
    <row r="329" spans="2:7">
      <c r="B329" s="61" t="s">
        <v>73</v>
      </c>
      <c r="C329" s="81">
        <f t="shared" si="82"/>
        <v>0</v>
      </c>
      <c r="D329" s="67">
        <f>COUNTIFS(CAVALETE!N:N,'DADOS - PIRITUBA'!B329,CAVALETE!Y:Y,"C")</f>
        <v>0</v>
      </c>
      <c r="E329" s="67">
        <f>COUNTIFS(CAVALETE!N:N,'DADOS - PIRITUBA'!B329,CAVALETE!Y:Y,"NC")</f>
        <v>0</v>
      </c>
      <c r="F329" s="68" t="str">
        <f t="shared" si="83"/>
        <v>-</v>
      </c>
      <c r="G329" s="72" t="str">
        <f t="shared" si="81"/>
        <v>-</v>
      </c>
    </row>
    <row r="330" spans="2:7">
      <c r="B330" s="61" t="s">
        <v>73</v>
      </c>
      <c r="C330" s="81">
        <f t="shared" si="82"/>
        <v>0</v>
      </c>
      <c r="D330" s="67">
        <f>COUNTIFS(CAVALETE!N:N,'DADOS - PIRITUBA'!B330,CAVALETE!Y:Y,"C")</f>
        <v>0</v>
      </c>
      <c r="E330" s="67">
        <f>COUNTIFS(CAVALETE!N:N,'DADOS - PIRITUBA'!B330,CAVALETE!Y:Y,"NC")</f>
        <v>0</v>
      </c>
      <c r="F330" s="68" t="str">
        <f t="shared" si="83"/>
        <v>-</v>
      </c>
      <c r="G330" s="72" t="str">
        <f t="shared" si="81"/>
        <v>-</v>
      </c>
    </row>
    <row r="331" spans="2:7">
      <c r="B331" s="61" t="s">
        <v>73</v>
      </c>
      <c r="C331" s="81">
        <f t="shared" si="82"/>
        <v>0</v>
      </c>
      <c r="D331" s="67">
        <f>COUNTIFS(CAVALETE!N:N,'DADOS - PIRITUBA'!B331,CAVALETE!Y:Y,"C")</f>
        <v>0</v>
      </c>
      <c r="E331" s="67">
        <f>COUNTIFS(CAVALETE!N:N,'DADOS - PIRITUBA'!B331,CAVALETE!Y:Y,"NC")</f>
        <v>0</v>
      </c>
      <c r="F331" s="68" t="str">
        <f t="shared" si="83"/>
        <v>-</v>
      </c>
      <c r="G331" s="72" t="str">
        <f t="shared" si="81"/>
        <v>-</v>
      </c>
    </row>
    <row r="333" spans="2:7">
      <c r="B333" s="352" t="s">
        <v>74</v>
      </c>
      <c r="C333" s="349"/>
      <c r="D333" s="349"/>
      <c r="E333" s="349"/>
      <c r="F333" s="349"/>
      <c r="G333" s="350"/>
    </row>
    <row r="334" spans="2:7" ht="36">
      <c r="B334" s="115" t="s">
        <v>70</v>
      </c>
      <c r="C334" s="108" t="s">
        <v>71</v>
      </c>
      <c r="D334" s="109" t="s">
        <v>56</v>
      </c>
      <c r="E334" s="109" t="s">
        <v>57</v>
      </c>
      <c r="F334" s="109" t="s">
        <v>59</v>
      </c>
      <c r="G334" s="109" t="s">
        <v>72</v>
      </c>
    </row>
    <row r="335" spans="2:7" ht="20.25" customHeight="1">
      <c r="B335" s="61" t="s">
        <v>73</v>
      </c>
      <c r="C335" s="81">
        <f t="shared" ref="C335" si="90">D335+E335</f>
        <v>0</v>
      </c>
      <c r="D335" s="67">
        <f>COUNTIFS(CAVALETE!N:N,'DADOS - PIRITUBA'!B335,CAVALETE!Z:Z,"C")</f>
        <v>0</v>
      </c>
      <c r="E335" s="67">
        <f>COUNTIFS(CAVALETE!N:N,'DADOS - PIRITUBA'!B335,CAVALETE!Z:Z,"NC")</f>
        <v>0</v>
      </c>
      <c r="F335" s="68" t="str">
        <f t="shared" ref="F335" si="91">IFERROR(D335/C335,"-")</f>
        <v>-</v>
      </c>
      <c r="G335" s="72" t="str">
        <f t="shared" ref="G335:G374" si="92">IFERROR(100%-F335,"-")</f>
        <v>-</v>
      </c>
    </row>
    <row r="336" spans="2:7">
      <c r="B336" s="61" t="s">
        <v>73</v>
      </c>
      <c r="C336" s="81">
        <f t="shared" ref="C336:C374" si="93">D336+E336</f>
        <v>0</v>
      </c>
      <c r="D336" s="67">
        <f>COUNTIFS(CAVALETE!N:N,'DADOS - PIRITUBA'!B336,CAVALETE!Z:Z,"C")</f>
        <v>0</v>
      </c>
      <c r="E336" s="67">
        <f>COUNTIFS(CAVALETE!N:N,'DADOS - PIRITUBA'!B336,CAVALETE!Z:Z,"NC")</f>
        <v>0</v>
      </c>
      <c r="F336" s="68" t="str">
        <f t="shared" ref="F336:F374" si="94">IFERROR(D336/C336,"-")</f>
        <v>-</v>
      </c>
      <c r="G336" s="72" t="str">
        <f t="shared" si="92"/>
        <v>-</v>
      </c>
    </row>
    <row r="337" spans="2:7">
      <c r="B337" s="61" t="s">
        <v>73</v>
      </c>
      <c r="C337" s="81">
        <f t="shared" si="93"/>
        <v>0</v>
      </c>
      <c r="D337" s="67">
        <f>COUNTIFS(CAVALETE!N:N,'DADOS - PIRITUBA'!B337,CAVALETE!Z:Z,"C")</f>
        <v>0</v>
      </c>
      <c r="E337" s="67">
        <f>COUNTIFS(CAVALETE!N:N,'DADOS - PIRITUBA'!B337,CAVALETE!Z:Z,"NC")</f>
        <v>0</v>
      </c>
      <c r="F337" s="68" t="str">
        <f t="shared" si="94"/>
        <v>-</v>
      </c>
      <c r="G337" s="72" t="str">
        <f t="shared" si="92"/>
        <v>-</v>
      </c>
    </row>
    <row r="338" spans="2:7">
      <c r="B338" s="61" t="s">
        <v>73</v>
      </c>
      <c r="C338" s="81">
        <f t="shared" si="93"/>
        <v>0</v>
      </c>
      <c r="D338" s="67">
        <f>COUNTIFS(CAVALETE!N:N,'DADOS - PIRITUBA'!B338,CAVALETE!Z:Z,"C")</f>
        <v>0</v>
      </c>
      <c r="E338" s="67">
        <f>COUNTIFS(CAVALETE!N:N,'DADOS - PIRITUBA'!B338,CAVALETE!Z:Z,"NC")</f>
        <v>0</v>
      </c>
      <c r="F338" s="68" t="str">
        <f t="shared" si="94"/>
        <v>-</v>
      </c>
      <c r="G338" s="72" t="str">
        <f t="shared" si="92"/>
        <v>-</v>
      </c>
    </row>
    <row r="339" spans="2:7">
      <c r="B339" s="61" t="s">
        <v>73</v>
      </c>
      <c r="C339" s="81">
        <f t="shared" ref="C339:C364" si="95">D339+E339</f>
        <v>0</v>
      </c>
      <c r="D339" s="67">
        <f>COUNTIFS(CAVALETE!N:N,'DADOS - PIRITUBA'!B339,CAVALETE!Z:Z,"C")</f>
        <v>0</v>
      </c>
      <c r="E339" s="67">
        <f>COUNTIFS(CAVALETE!N:N,'DADOS - PIRITUBA'!B339,CAVALETE!Z:Z,"NC")</f>
        <v>0</v>
      </c>
      <c r="F339" s="68" t="str">
        <f t="shared" ref="F339:F364" si="96">IFERROR(D339/C339,"-")</f>
        <v>-</v>
      </c>
      <c r="G339" s="72" t="str">
        <f t="shared" ref="G339:G364" si="97">IFERROR(100%-F339,"-")</f>
        <v>-</v>
      </c>
    </row>
    <row r="340" spans="2:7">
      <c r="B340" s="61" t="s">
        <v>73</v>
      </c>
      <c r="C340" s="81">
        <f t="shared" si="95"/>
        <v>0</v>
      </c>
      <c r="D340" s="67">
        <f>COUNTIFS(CAVALETE!N:N,'DADOS - PIRITUBA'!B340,CAVALETE!Z:Z,"C")</f>
        <v>0</v>
      </c>
      <c r="E340" s="67">
        <f>COUNTIFS(CAVALETE!N:N,'DADOS - PIRITUBA'!B340,CAVALETE!Z:Z,"NC")</f>
        <v>0</v>
      </c>
      <c r="F340" s="68" t="str">
        <f t="shared" si="96"/>
        <v>-</v>
      </c>
      <c r="G340" s="72" t="str">
        <f t="shared" si="97"/>
        <v>-</v>
      </c>
    </row>
    <row r="341" spans="2:7">
      <c r="B341" s="61" t="s">
        <v>73</v>
      </c>
      <c r="C341" s="81">
        <f t="shared" si="95"/>
        <v>0</v>
      </c>
      <c r="D341" s="67">
        <f>COUNTIFS(CAVALETE!N:N,'DADOS - PIRITUBA'!B341,CAVALETE!Z:Z,"C")</f>
        <v>0</v>
      </c>
      <c r="E341" s="67">
        <f>COUNTIFS(CAVALETE!N:N,'DADOS - PIRITUBA'!B341,CAVALETE!Z:Z,"NC")</f>
        <v>0</v>
      </c>
      <c r="F341" s="68" t="str">
        <f t="shared" si="96"/>
        <v>-</v>
      </c>
      <c r="G341" s="72" t="str">
        <f t="shared" si="97"/>
        <v>-</v>
      </c>
    </row>
    <row r="342" spans="2:7">
      <c r="B342" s="61" t="s">
        <v>73</v>
      </c>
      <c r="C342" s="81">
        <f t="shared" si="95"/>
        <v>0</v>
      </c>
      <c r="D342" s="67">
        <f>COUNTIFS(CAVALETE!N:N,'DADOS - PIRITUBA'!B342,CAVALETE!Z:Z,"C")</f>
        <v>0</v>
      </c>
      <c r="E342" s="67">
        <f>COUNTIFS(CAVALETE!N:N,'DADOS - PIRITUBA'!B342,CAVALETE!Z:Z,"NC")</f>
        <v>0</v>
      </c>
      <c r="F342" s="68" t="str">
        <f t="shared" si="96"/>
        <v>-</v>
      </c>
      <c r="G342" s="72" t="str">
        <f t="shared" si="97"/>
        <v>-</v>
      </c>
    </row>
    <row r="343" spans="2:7">
      <c r="B343" s="61" t="s">
        <v>73</v>
      </c>
      <c r="C343" s="81">
        <f t="shared" si="95"/>
        <v>0</v>
      </c>
      <c r="D343" s="67">
        <f>COUNTIFS(CAVALETE!N:N,'DADOS - PIRITUBA'!B343,CAVALETE!Z:Z,"C")</f>
        <v>0</v>
      </c>
      <c r="E343" s="67">
        <f>COUNTIFS(CAVALETE!N:N,'DADOS - PIRITUBA'!B343,CAVALETE!Z:Z,"NC")</f>
        <v>0</v>
      </c>
      <c r="F343" s="68" t="str">
        <f t="shared" si="96"/>
        <v>-</v>
      </c>
      <c r="G343" s="72" t="str">
        <f t="shared" si="97"/>
        <v>-</v>
      </c>
    </row>
    <row r="344" spans="2:7">
      <c r="B344" s="61" t="s">
        <v>73</v>
      </c>
      <c r="C344" s="81">
        <f t="shared" si="95"/>
        <v>0</v>
      </c>
      <c r="D344" s="67">
        <f>COUNTIFS(CAVALETE!N:N,'DADOS - PIRITUBA'!B344,CAVALETE!Z:Z,"C")</f>
        <v>0</v>
      </c>
      <c r="E344" s="67">
        <f>COUNTIFS(CAVALETE!N:N,'DADOS - PIRITUBA'!B344,CAVALETE!Z:Z,"NC")</f>
        <v>0</v>
      </c>
      <c r="F344" s="68" t="str">
        <f t="shared" si="96"/>
        <v>-</v>
      </c>
      <c r="G344" s="72" t="str">
        <f t="shared" si="97"/>
        <v>-</v>
      </c>
    </row>
    <row r="345" spans="2:7">
      <c r="B345" s="61" t="s">
        <v>73</v>
      </c>
      <c r="C345" s="81">
        <f t="shared" si="95"/>
        <v>0</v>
      </c>
      <c r="D345" s="67">
        <f>COUNTIFS(CAVALETE!N:N,'DADOS - PIRITUBA'!B345,CAVALETE!Z:Z,"C")</f>
        <v>0</v>
      </c>
      <c r="E345" s="67">
        <f>COUNTIFS(CAVALETE!N:N,'DADOS - PIRITUBA'!B345,CAVALETE!Z:Z,"NC")</f>
        <v>0</v>
      </c>
      <c r="F345" s="68" t="str">
        <f t="shared" si="96"/>
        <v>-</v>
      </c>
      <c r="G345" s="72" t="str">
        <f t="shared" si="97"/>
        <v>-</v>
      </c>
    </row>
    <row r="346" spans="2:7">
      <c r="B346" s="61" t="s">
        <v>73</v>
      </c>
      <c r="C346" s="81">
        <f t="shared" si="95"/>
        <v>0</v>
      </c>
      <c r="D346" s="67">
        <f>COUNTIFS(CAVALETE!N:N,'DADOS - PIRITUBA'!B346,CAVALETE!Z:Z,"C")</f>
        <v>0</v>
      </c>
      <c r="E346" s="67">
        <f>COUNTIFS(CAVALETE!N:N,'DADOS - PIRITUBA'!B346,CAVALETE!Z:Z,"NC")</f>
        <v>0</v>
      </c>
      <c r="F346" s="68" t="str">
        <f t="shared" si="96"/>
        <v>-</v>
      </c>
      <c r="G346" s="72" t="str">
        <f t="shared" si="97"/>
        <v>-</v>
      </c>
    </row>
    <row r="347" spans="2:7">
      <c r="B347" s="61" t="s">
        <v>73</v>
      </c>
      <c r="C347" s="81">
        <f t="shared" si="95"/>
        <v>0</v>
      </c>
      <c r="D347" s="67">
        <f>COUNTIFS(CAVALETE!N:N,'DADOS - PIRITUBA'!B347,CAVALETE!Z:Z,"C")</f>
        <v>0</v>
      </c>
      <c r="E347" s="67">
        <f>COUNTIFS(CAVALETE!N:N,'DADOS - PIRITUBA'!B347,CAVALETE!Z:Z,"NC")</f>
        <v>0</v>
      </c>
      <c r="F347" s="68" t="str">
        <f t="shared" si="96"/>
        <v>-</v>
      </c>
      <c r="G347" s="72" t="str">
        <f t="shared" si="97"/>
        <v>-</v>
      </c>
    </row>
    <row r="348" spans="2:7">
      <c r="B348" s="61" t="s">
        <v>73</v>
      </c>
      <c r="C348" s="81">
        <f t="shared" si="95"/>
        <v>0</v>
      </c>
      <c r="D348" s="67">
        <f>COUNTIFS(CAVALETE!N:N,'DADOS - PIRITUBA'!B348,CAVALETE!Z:Z,"C")</f>
        <v>0</v>
      </c>
      <c r="E348" s="67">
        <f>COUNTIFS(CAVALETE!N:N,'DADOS - PIRITUBA'!B348,CAVALETE!Z:Z,"NC")</f>
        <v>0</v>
      </c>
      <c r="F348" s="68" t="str">
        <f t="shared" si="96"/>
        <v>-</v>
      </c>
      <c r="G348" s="72" t="str">
        <f t="shared" si="97"/>
        <v>-</v>
      </c>
    </row>
    <row r="349" spans="2:7">
      <c r="B349" s="61" t="s">
        <v>73</v>
      </c>
      <c r="C349" s="81">
        <f t="shared" si="95"/>
        <v>0</v>
      </c>
      <c r="D349" s="67">
        <f>COUNTIFS(CAVALETE!N:N,'DADOS - PIRITUBA'!B349,CAVALETE!Z:Z,"C")</f>
        <v>0</v>
      </c>
      <c r="E349" s="67">
        <f>COUNTIFS(CAVALETE!N:N,'DADOS - PIRITUBA'!B349,CAVALETE!Z:Z,"NC")</f>
        <v>0</v>
      </c>
      <c r="F349" s="68" t="str">
        <f t="shared" si="96"/>
        <v>-</v>
      </c>
      <c r="G349" s="72" t="str">
        <f t="shared" si="97"/>
        <v>-</v>
      </c>
    </row>
    <row r="350" spans="2:7">
      <c r="B350" s="61" t="s">
        <v>73</v>
      </c>
      <c r="C350" s="81">
        <f t="shared" si="95"/>
        <v>0</v>
      </c>
      <c r="D350" s="67">
        <f>COUNTIFS(CAVALETE!N:N,'DADOS - PIRITUBA'!B350,CAVALETE!Z:Z,"C")</f>
        <v>0</v>
      </c>
      <c r="E350" s="67">
        <f>COUNTIFS(CAVALETE!N:N,'DADOS - PIRITUBA'!B350,CAVALETE!Z:Z,"NC")</f>
        <v>0</v>
      </c>
      <c r="F350" s="68" t="str">
        <f t="shared" si="96"/>
        <v>-</v>
      </c>
      <c r="G350" s="72" t="str">
        <f t="shared" si="97"/>
        <v>-</v>
      </c>
    </row>
    <row r="351" spans="2:7">
      <c r="B351" s="61" t="s">
        <v>73</v>
      </c>
      <c r="C351" s="81">
        <f t="shared" si="95"/>
        <v>0</v>
      </c>
      <c r="D351" s="67">
        <f>COUNTIFS(CAVALETE!N:N,'DADOS - PIRITUBA'!B351,CAVALETE!Z:Z,"C")</f>
        <v>0</v>
      </c>
      <c r="E351" s="67">
        <f>COUNTIFS(CAVALETE!N:N,'DADOS - PIRITUBA'!B351,CAVALETE!Z:Z,"NC")</f>
        <v>0</v>
      </c>
      <c r="F351" s="68" t="str">
        <f t="shared" si="96"/>
        <v>-</v>
      </c>
      <c r="G351" s="72" t="str">
        <f t="shared" si="97"/>
        <v>-</v>
      </c>
    </row>
    <row r="352" spans="2:7">
      <c r="B352" s="61" t="s">
        <v>73</v>
      </c>
      <c r="C352" s="81">
        <f t="shared" si="95"/>
        <v>0</v>
      </c>
      <c r="D352" s="67">
        <f>COUNTIFS(CAVALETE!N:N,'DADOS - PIRITUBA'!B352,CAVALETE!Z:Z,"C")</f>
        <v>0</v>
      </c>
      <c r="E352" s="67">
        <f>COUNTIFS(CAVALETE!N:N,'DADOS - PIRITUBA'!B352,CAVALETE!Z:Z,"NC")</f>
        <v>0</v>
      </c>
      <c r="F352" s="68" t="str">
        <f t="shared" si="96"/>
        <v>-</v>
      </c>
      <c r="G352" s="72" t="str">
        <f t="shared" si="97"/>
        <v>-</v>
      </c>
    </row>
    <row r="353" spans="2:7">
      <c r="B353" s="61" t="s">
        <v>73</v>
      </c>
      <c r="C353" s="81">
        <f t="shared" si="95"/>
        <v>0</v>
      </c>
      <c r="D353" s="67">
        <f>COUNTIFS(CAVALETE!N:N,'DADOS - PIRITUBA'!B353,CAVALETE!Z:Z,"C")</f>
        <v>0</v>
      </c>
      <c r="E353" s="67">
        <f>COUNTIFS(CAVALETE!N:N,'DADOS - PIRITUBA'!B353,CAVALETE!Z:Z,"NC")</f>
        <v>0</v>
      </c>
      <c r="F353" s="68" t="str">
        <f t="shared" si="96"/>
        <v>-</v>
      </c>
      <c r="G353" s="72" t="str">
        <f t="shared" si="97"/>
        <v>-</v>
      </c>
    </row>
    <row r="354" spans="2:7">
      <c r="B354" s="61" t="s">
        <v>73</v>
      </c>
      <c r="C354" s="81">
        <f t="shared" si="95"/>
        <v>0</v>
      </c>
      <c r="D354" s="67">
        <f>COUNTIFS(CAVALETE!N:N,'DADOS - PIRITUBA'!B354,CAVALETE!Z:Z,"C")</f>
        <v>0</v>
      </c>
      <c r="E354" s="67">
        <f>COUNTIFS(CAVALETE!N:N,'DADOS - PIRITUBA'!B354,CAVALETE!Z:Z,"NC")</f>
        <v>0</v>
      </c>
      <c r="F354" s="68" t="str">
        <f t="shared" si="96"/>
        <v>-</v>
      </c>
      <c r="G354" s="72" t="str">
        <f t="shared" si="97"/>
        <v>-</v>
      </c>
    </row>
    <row r="355" spans="2:7">
      <c r="B355" s="61" t="s">
        <v>73</v>
      </c>
      <c r="C355" s="81">
        <f t="shared" si="95"/>
        <v>0</v>
      </c>
      <c r="D355" s="67">
        <f>COUNTIFS(CAVALETE!N:N,'DADOS - PIRITUBA'!B355,CAVALETE!Z:Z,"C")</f>
        <v>0</v>
      </c>
      <c r="E355" s="67">
        <f>COUNTIFS(CAVALETE!N:N,'DADOS - PIRITUBA'!B355,CAVALETE!Z:Z,"NC")</f>
        <v>0</v>
      </c>
      <c r="F355" s="68" t="str">
        <f t="shared" si="96"/>
        <v>-</v>
      </c>
      <c r="G355" s="72" t="str">
        <f t="shared" si="97"/>
        <v>-</v>
      </c>
    </row>
    <row r="356" spans="2:7">
      <c r="B356" s="61" t="s">
        <v>73</v>
      </c>
      <c r="C356" s="81">
        <f t="shared" si="95"/>
        <v>0</v>
      </c>
      <c r="D356" s="67">
        <f>COUNTIFS(CAVALETE!N:N,'DADOS - PIRITUBA'!B356,CAVALETE!Z:Z,"C")</f>
        <v>0</v>
      </c>
      <c r="E356" s="67">
        <f>COUNTIFS(CAVALETE!N:N,'DADOS - PIRITUBA'!B356,CAVALETE!Z:Z,"NC")</f>
        <v>0</v>
      </c>
      <c r="F356" s="68" t="str">
        <f t="shared" si="96"/>
        <v>-</v>
      </c>
      <c r="G356" s="72" t="str">
        <f t="shared" si="97"/>
        <v>-</v>
      </c>
    </row>
    <row r="357" spans="2:7">
      <c r="B357" s="61" t="s">
        <v>73</v>
      </c>
      <c r="C357" s="81">
        <f t="shared" si="95"/>
        <v>0</v>
      </c>
      <c r="D357" s="67">
        <f>COUNTIFS(CAVALETE!N:N,'DADOS - PIRITUBA'!B357,CAVALETE!Z:Z,"C")</f>
        <v>0</v>
      </c>
      <c r="E357" s="67">
        <f>COUNTIFS(CAVALETE!N:N,'DADOS - PIRITUBA'!B357,CAVALETE!Z:Z,"NC")</f>
        <v>0</v>
      </c>
      <c r="F357" s="68" t="str">
        <f t="shared" si="96"/>
        <v>-</v>
      </c>
      <c r="G357" s="72" t="str">
        <f t="shared" si="97"/>
        <v>-</v>
      </c>
    </row>
    <row r="358" spans="2:7">
      <c r="B358" s="61" t="s">
        <v>73</v>
      </c>
      <c r="C358" s="81">
        <f t="shared" si="95"/>
        <v>0</v>
      </c>
      <c r="D358" s="67">
        <f>COUNTIFS(CAVALETE!N:N,'DADOS - PIRITUBA'!B358,CAVALETE!Z:Z,"C")</f>
        <v>0</v>
      </c>
      <c r="E358" s="67">
        <f>COUNTIFS(CAVALETE!N:N,'DADOS - PIRITUBA'!B358,CAVALETE!Z:Z,"NC")</f>
        <v>0</v>
      </c>
      <c r="F358" s="68" t="str">
        <f t="shared" si="96"/>
        <v>-</v>
      </c>
      <c r="G358" s="72" t="str">
        <f t="shared" si="97"/>
        <v>-</v>
      </c>
    </row>
    <row r="359" spans="2:7">
      <c r="B359" s="61" t="s">
        <v>73</v>
      </c>
      <c r="C359" s="81">
        <f t="shared" si="95"/>
        <v>0</v>
      </c>
      <c r="D359" s="67">
        <f>COUNTIFS(CAVALETE!N:N,'DADOS - PIRITUBA'!B359,CAVALETE!Z:Z,"C")</f>
        <v>0</v>
      </c>
      <c r="E359" s="67">
        <f>COUNTIFS(CAVALETE!N:N,'DADOS - PIRITUBA'!B359,CAVALETE!Z:Z,"NC")</f>
        <v>0</v>
      </c>
      <c r="F359" s="68" t="str">
        <f t="shared" si="96"/>
        <v>-</v>
      </c>
      <c r="G359" s="72" t="str">
        <f t="shared" si="97"/>
        <v>-</v>
      </c>
    </row>
    <row r="360" spans="2:7">
      <c r="B360" s="61" t="s">
        <v>73</v>
      </c>
      <c r="C360" s="81">
        <f t="shared" si="95"/>
        <v>0</v>
      </c>
      <c r="D360" s="67">
        <f>COUNTIFS(CAVALETE!N:N,'DADOS - PIRITUBA'!B360,CAVALETE!Z:Z,"C")</f>
        <v>0</v>
      </c>
      <c r="E360" s="67">
        <f>COUNTIFS(CAVALETE!N:N,'DADOS - PIRITUBA'!B360,CAVALETE!Z:Z,"NC")</f>
        <v>0</v>
      </c>
      <c r="F360" s="68" t="str">
        <f t="shared" si="96"/>
        <v>-</v>
      </c>
      <c r="G360" s="72" t="str">
        <f t="shared" si="97"/>
        <v>-</v>
      </c>
    </row>
    <row r="361" spans="2:7">
      <c r="B361" s="61" t="s">
        <v>73</v>
      </c>
      <c r="C361" s="81">
        <f t="shared" si="95"/>
        <v>0</v>
      </c>
      <c r="D361" s="67">
        <f>COUNTIFS(CAVALETE!N:N,'DADOS - PIRITUBA'!B361,CAVALETE!Z:Z,"C")</f>
        <v>0</v>
      </c>
      <c r="E361" s="67">
        <f>COUNTIFS(CAVALETE!N:N,'DADOS - PIRITUBA'!B361,CAVALETE!Z:Z,"NC")</f>
        <v>0</v>
      </c>
      <c r="F361" s="68" t="str">
        <f t="shared" si="96"/>
        <v>-</v>
      </c>
      <c r="G361" s="72" t="str">
        <f t="shared" si="97"/>
        <v>-</v>
      </c>
    </row>
    <row r="362" spans="2:7">
      <c r="B362" s="61" t="s">
        <v>73</v>
      </c>
      <c r="C362" s="81">
        <f t="shared" si="95"/>
        <v>0</v>
      </c>
      <c r="D362" s="67">
        <f>COUNTIFS(CAVALETE!N:N,'DADOS - PIRITUBA'!B362,CAVALETE!Z:Z,"C")</f>
        <v>0</v>
      </c>
      <c r="E362" s="67">
        <f>COUNTIFS(CAVALETE!N:N,'DADOS - PIRITUBA'!B362,CAVALETE!Z:Z,"NC")</f>
        <v>0</v>
      </c>
      <c r="F362" s="68" t="str">
        <f t="shared" si="96"/>
        <v>-</v>
      </c>
      <c r="G362" s="72" t="str">
        <f t="shared" si="97"/>
        <v>-</v>
      </c>
    </row>
    <row r="363" spans="2:7">
      <c r="B363" s="61" t="s">
        <v>73</v>
      </c>
      <c r="C363" s="81">
        <f t="shared" si="95"/>
        <v>0</v>
      </c>
      <c r="D363" s="67">
        <f>COUNTIFS(CAVALETE!N:N,'DADOS - PIRITUBA'!B363,CAVALETE!Z:Z,"C")</f>
        <v>0</v>
      </c>
      <c r="E363" s="67">
        <f>COUNTIFS(CAVALETE!N:N,'DADOS - PIRITUBA'!B363,CAVALETE!Z:Z,"NC")</f>
        <v>0</v>
      </c>
      <c r="F363" s="68" t="str">
        <f t="shared" si="96"/>
        <v>-</v>
      </c>
      <c r="G363" s="72" t="str">
        <f t="shared" si="97"/>
        <v>-</v>
      </c>
    </row>
    <row r="364" spans="2:7">
      <c r="B364" s="61" t="s">
        <v>73</v>
      </c>
      <c r="C364" s="81">
        <f t="shared" si="95"/>
        <v>0</v>
      </c>
      <c r="D364" s="67">
        <f>COUNTIFS(CAVALETE!N:N,'DADOS - PIRITUBA'!B364,CAVALETE!Z:Z,"C")</f>
        <v>0</v>
      </c>
      <c r="E364" s="67">
        <f>COUNTIFS(CAVALETE!N:N,'DADOS - PIRITUBA'!B364,CAVALETE!Z:Z,"NC")</f>
        <v>0</v>
      </c>
      <c r="F364" s="68" t="str">
        <f t="shared" si="96"/>
        <v>-</v>
      </c>
      <c r="G364" s="72" t="str">
        <f t="shared" si="97"/>
        <v>-</v>
      </c>
    </row>
    <row r="365" spans="2:7">
      <c r="B365" s="61" t="s">
        <v>73</v>
      </c>
      <c r="C365" s="81">
        <f t="shared" si="93"/>
        <v>0</v>
      </c>
      <c r="D365" s="67">
        <f>COUNTIFS(CAVALETE!N:N,'DADOS - PIRITUBA'!B365,CAVALETE!Z:Z,"C")</f>
        <v>0</v>
      </c>
      <c r="E365" s="67">
        <f>COUNTIFS(CAVALETE!N:N,'DADOS - PIRITUBA'!B365,CAVALETE!Z:Z,"NC")</f>
        <v>0</v>
      </c>
      <c r="F365" s="68" t="str">
        <f t="shared" si="94"/>
        <v>-</v>
      </c>
      <c r="G365" s="72" t="str">
        <f t="shared" si="92"/>
        <v>-</v>
      </c>
    </row>
    <row r="366" spans="2:7">
      <c r="B366" s="61" t="s">
        <v>73</v>
      </c>
      <c r="C366" s="81">
        <f t="shared" si="93"/>
        <v>0</v>
      </c>
      <c r="D366" s="67">
        <f>COUNTIFS(CAVALETE!N:N,'DADOS - PIRITUBA'!B366,CAVALETE!Z:Z,"C")</f>
        <v>0</v>
      </c>
      <c r="E366" s="67">
        <f>COUNTIFS(CAVALETE!N:N,'DADOS - PIRITUBA'!B366,CAVALETE!Z:Z,"NC")</f>
        <v>0</v>
      </c>
      <c r="F366" s="68" t="str">
        <f t="shared" si="94"/>
        <v>-</v>
      </c>
      <c r="G366" s="72" t="str">
        <f t="shared" si="92"/>
        <v>-</v>
      </c>
    </row>
    <row r="367" spans="2:7">
      <c r="B367" s="61" t="s">
        <v>73</v>
      </c>
      <c r="C367" s="81">
        <f t="shared" si="93"/>
        <v>0</v>
      </c>
      <c r="D367" s="67">
        <f>COUNTIFS(CAVALETE!N:N,'DADOS - PIRITUBA'!B367,CAVALETE!Z:Z,"C")</f>
        <v>0</v>
      </c>
      <c r="E367" s="67">
        <f>COUNTIFS(CAVALETE!N:N,'DADOS - PIRITUBA'!B367,CAVALETE!Z:Z,"NC")</f>
        <v>0</v>
      </c>
      <c r="F367" s="68" t="str">
        <f t="shared" si="94"/>
        <v>-</v>
      </c>
      <c r="G367" s="72" t="str">
        <f t="shared" si="92"/>
        <v>-</v>
      </c>
    </row>
    <row r="368" spans="2:7">
      <c r="B368" s="61" t="s">
        <v>73</v>
      </c>
      <c r="C368" s="81">
        <f t="shared" ref="C368" si="98">D368+E368</f>
        <v>0</v>
      </c>
      <c r="D368" s="67">
        <f>COUNTIFS(CAVALETE!N:N,'DADOS - PIRITUBA'!B368,CAVALETE!Z:Z,"C")</f>
        <v>0</v>
      </c>
      <c r="E368" s="67">
        <f>COUNTIFS(CAVALETE!N:N,'DADOS - PIRITUBA'!B368,CAVALETE!Z:Z,"NC")</f>
        <v>0</v>
      </c>
      <c r="F368" s="68" t="str">
        <f t="shared" ref="F368" si="99">IFERROR(D368/C368,"-")</f>
        <v>-</v>
      </c>
      <c r="G368" s="72" t="str">
        <f t="shared" ref="G368" si="100">IFERROR(100%-F368,"-")</f>
        <v>-</v>
      </c>
    </row>
    <row r="369" spans="2:7">
      <c r="B369" s="61" t="s">
        <v>73</v>
      </c>
      <c r="C369" s="81">
        <f t="shared" si="93"/>
        <v>0</v>
      </c>
      <c r="D369" s="67">
        <f>COUNTIFS(CAVALETE!N:N,'DADOS - PIRITUBA'!B369,CAVALETE!Z:Z,"C")</f>
        <v>0</v>
      </c>
      <c r="E369" s="67">
        <f>COUNTIFS(CAVALETE!N:N,'DADOS - PIRITUBA'!B369,CAVALETE!Z:Z,"NC")</f>
        <v>0</v>
      </c>
      <c r="F369" s="68" t="str">
        <f t="shared" si="94"/>
        <v>-</v>
      </c>
      <c r="G369" s="72" t="str">
        <f t="shared" si="92"/>
        <v>-</v>
      </c>
    </row>
    <row r="370" spans="2:7">
      <c r="B370" s="61" t="s">
        <v>73</v>
      </c>
      <c r="C370" s="81">
        <f t="shared" si="93"/>
        <v>0</v>
      </c>
      <c r="D370" s="67">
        <f>COUNTIFS(CAVALETE!N:N,'DADOS - PIRITUBA'!B370,CAVALETE!Z:Z,"C")</f>
        <v>0</v>
      </c>
      <c r="E370" s="67">
        <f>COUNTIFS(CAVALETE!N:N,'DADOS - PIRITUBA'!B370,CAVALETE!Z:Z,"NC")</f>
        <v>0</v>
      </c>
      <c r="F370" s="68" t="str">
        <f t="shared" si="94"/>
        <v>-</v>
      </c>
      <c r="G370" s="72" t="str">
        <f t="shared" si="92"/>
        <v>-</v>
      </c>
    </row>
    <row r="371" spans="2:7">
      <c r="B371" s="61" t="s">
        <v>73</v>
      </c>
      <c r="C371" s="81">
        <f t="shared" si="93"/>
        <v>0</v>
      </c>
      <c r="D371" s="67">
        <f>COUNTIFS(CAVALETE!N:N,'DADOS - PIRITUBA'!B371,CAVALETE!Z:Z,"C")</f>
        <v>0</v>
      </c>
      <c r="E371" s="67">
        <f>COUNTIFS(CAVALETE!N:N,'DADOS - PIRITUBA'!B371,CAVALETE!Z:Z,"NC")</f>
        <v>0</v>
      </c>
      <c r="F371" s="68" t="str">
        <f t="shared" si="94"/>
        <v>-</v>
      </c>
      <c r="G371" s="72" t="str">
        <f t="shared" si="92"/>
        <v>-</v>
      </c>
    </row>
    <row r="372" spans="2:7">
      <c r="B372" s="61" t="s">
        <v>73</v>
      </c>
      <c r="C372" s="81">
        <f t="shared" si="93"/>
        <v>0</v>
      </c>
      <c r="D372" s="67">
        <f>COUNTIFS(CAVALETE!N:N,'DADOS - PIRITUBA'!B372,CAVALETE!Z:Z,"C")</f>
        <v>0</v>
      </c>
      <c r="E372" s="67">
        <f>COUNTIFS(CAVALETE!N:N,'DADOS - PIRITUBA'!B372,CAVALETE!Z:Z,"NC")</f>
        <v>0</v>
      </c>
      <c r="F372" s="68" t="str">
        <f t="shared" si="94"/>
        <v>-</v>
      </c>
      <c r="G372" s="72" t="str">
        <f t="shared" si="92"/>
        <v>-</v>
      </c>
    </row>
    <row r="373" spans="2:7">
      <c r="B373" s="61" t="s">
        <v>73</v>
      </c>
      <c r="C373" s="81">
        <f t="shared" si="93"/>
        <v>0</v>
      </c>
      <c r="D373" s="67">
        <f>COUNTIFS(CAVALETE!N:N,'DADOS - PIRITUBA'!B373,CAVALETE!Z:Z,"C")</f>
        <v>0</v>
      </c>
      <c r="E373" s="67">
        <f>COUNTIFS(CAVALETE!N:N,'DADOS - PIRITUBA'!B373,CAVALETE!Z:Z,"NC")</f>
        <v>0</v>
      </c>
      <c r="F373" s="68" t="str">
        <f t="shared" si="94"/>
        <v>-</v>
      </c>
      <c r="G373" s="72" t="str">
        <f t="shared" si="92"/>
        <v>-</v>
      </c>
    </row>
    <row r="374" spans="2:7">
      <c r="B374" s="61" t="s">
        <v>73</v>
      </c>
      <c r="C374" s="81">
        <f t="shared" si="93"/>
        <v>0</v>
      </c>
      <c r="D374" s="67">
        <f>COUNTIFS(CAVALETE!N:N,'DADOS - PIRITUBA'!B374,CAVALETE!Z:Z,"C")</f>
        <v>0</v>
      </c>
      <c r="E374" s="67">
        <f>COUNTIFS(CAVALETE!N:N,'DADOS - PIRITUBA'!B374,CAVALETE!Z:Z,"NC")</f>
        <v>0</v>
      </c>
      <c r="F374" s="68" t="str">
        <f t="shared" si="94"/>
        <v>-</v>
      </c>
      <c r="G374" s="72" t="str">
        <f t="shared" si="92"/>
        <v>-</v>
      </c>
    </row>
    <row r="376" spans="2:7">
      <c r="B376" s="351" t="s">
        <v>83</v>
      </c>
      <c r="C376" s="351"/>
      <c r="D376" s="351"/>
      <c r="E376" s="351"/>
      <c r="F376" s="351"/>
      <c r="G376" s="351"/>
    </row>
    <row r="378" spans="2:7">
      <c r="B378" s="356" t="s">
        <v>49</v>
      </c>
      <c r="C378" s="356"/>
      <c r="D378" s="356"/>
      <c r="E378" s="356"/>
      <c r="F378" s="356"/>
      <c r="G378" s="356"/>
    </row>
    <row r="379" spans="2:7">
      <c r="B379" s="103" t="s">
        <v>23</v>
      </c>
      <c r="C379" s="104" t="s">
        <v>50</v>
      </c>
      <c r="D379" s="104" t="s">
        <v>51</v>
      </c>
      <c r="E379" s="104" t="s">
        <v>52</v>
      </c>
      <c r="F379" s="104" t="s">
        <v>27</v>
      </c>
      <c r="G379" s="104" t="s">
        <v>28</v>
      </c>
    </row>
    <row r="380" spans="2:7">
      <c r="B380" s="120" t="s">
        <v>18</v>
      </c>
      <c r="C380" s="62">
        <f>D380+E380</f>
        <v>81</v>
      </c>
      <c r="D380" s="62">
        <f>COUNTIF(REPOSIÇÃO!AE:AE,"nc")</f>
        <v>2</v>
      </c>
      <c r="E380" s="62">
        <f>COUNTIF(REPOSIÇÃO!AE:AE,"c")</f>
        <v>79</v>
      </c>
      <c r="F380" s="16">
        <f>IFERROR(D380/C380,"-")</f>
        <v>2.4691358024691357E-2</v>
      </c>
      <c r="G380" s="16">
        <f>IFERROR(E380/C380,"-")</f>
        <v>0.97530864197530864</v>
      </c>
    </row>
    <row r="381" spans="2:7">
      <c r="B381" s="11"/>
      <c r="C381" s="11"/>
      <c r="D381" s="11"/>
      <c r="E381" s="11"/>
      <c r="F381" s="17"/>
      <c r="G381" s="17"/>
    </row>
    <row r="382" spans="2:7">
      <c r="B382" s="341" t="s">
        <v>22</v>
      </c>
      <c r="C382" s="342"/>
      <c r="D382" s="342"/>
      <c r="E382" s="342"/>
      <c r="F382" s="342"/>
      <c r="G382" s="343"/>
    </row>
    <row r="383" spans="2:7">
      <c r="B383" s="103" t="s">
        <v>23</v>
      </c>
      <c r="C383" s="104" t="s">
        <v>24</v>
      </c>
      <c r="D383" s="104" t="s">
        <v>25</v>
      </c>
      <c r="E383" s="104" t="s">
        <v>26</v>
      </c>
      <c r="F383" s="104" t="s">
        <v>27</v>
      </c>
      <c r="G383" s="104" t="s">
        <v>28</v>
      </c>
    </row>
    <row r="384" spans="2:7">
      <c r="B384" s="120" t="s">
        <v>18</v>
      </c>
      <c r="C384" s="62">
        <f>D384+E384</f>
        <v>81</v>
      </c>
      <c r="D384" s="62">
        <f>COUNTIF(REPOSIÇÃO!AF:AF,"nc")</f>
        <v>81</v>
      </c>
      <c r="E384" s="62">
        <f>COUNTIF(REPOSIÇÃO!AF:AF,"c")</f>
        <v>0</v>
      </c>
      <c r="F384" s="50">
        <f>IFERROR(D384/C384,"-")</f>
        <v>1</v>
      </c>
      <c r="G384" s="50">
        <f>IFERROR(100%-F384,"-")</f>
        <v>0</v>
      </c>
    </row>
    <row r="385" spans="2:7">
      <c r="B385" s="11"/>
      <c r="C385" s="11"/>
      <c r="D385" s="11"/>
      <c r="E385" s="11"/>
      <c r="F385" s="17"/>
      <c r="G385" s="17"/>
    </row>
    <row r="386" spans="2:7">
      <c r="B386" s="347" t="s">
        <v>55</v>
      </c>
      <c r="C386" s="347"/>
      <c r="D386" s="347"/>
      <c r="E386" s="347"/>
      <c r="F386" s="347"/>
      <c r="G386" s="347"/>
    </row>
    <row r="387" spans="2:7">
      <c r="B387" s="105" t="s">
        <v>36</v>
      </c>
      <c r="C387" s="106" t="s">
        <v>56</v>
      </c>
      <c r="D387" s="106" t="s">
        <v>57</v>
      </c>
      <c r="E387" s="106" t="s">
        <v>58</v>
      </c>
      <c r="F387" s="106" t="s">
        <v>59</v>
      </c>
      <c r="G387" s="106" t="s">
        <v>60</v>
      </c>
    </row>
    <row r="388" spans="2:7">
      <c r="B388" s="122" t="s">
        <v>61</v>
      </c>
      <c r="C388" s="22">
        <f>COUNTIF(REPOSIÇÃO!O:O,"C")</f>
        <v>78</v>
      </c>
      <c r="D388" s="22">
        <f>COUNTIF(REPOSIÇÃO!O:O,"NC")</f>
        <v>2</v>
      </c>
      <c r="E388" s="22">
        <f>COUNTIF(REPOSIÇÃO!O:O,"SF")</f>
        <v>1</v>
      </c>
      <c r="F388" s="69">
        <f>IFERROR(C388/(C388+D388+E388),"-")</f>
        <v>0.96296296296296291</v>
      </c>
      <c r="G388" s="72">
        <f>IFERROR(100%-F388,"-")</f>
        <v>3.703703703703709E-2</v>
      </c>
    </row>
    <row r="389" spans="2:7">
      <c r="B389" s="122" t="s">
        <v>62</v>
      </c>
      <c r="C389" s="22">
        <f>COUNTIF(REPOSIÇÃO!Q:Q,"C")</f>
        <v>19</v>
      </c>
      <c r="D389" s="22">
        <f>COUNTIF(REPOSIÇÃO!Q:Q,"NC")</f>
        <v>62</v>
      </c>
      <c r="E389" s="22">
        <f>COUNTIF(REPOSIÇÃO!Q:Q,"SF")</f>
        <v>0</v>
      </c>
      <c r="F389" s="69">
        <f t="shared" ref="F389:F395" si="101">IFERROR(C389/(C389+D389+E389),"-")</f>
        <v>0.23456790123456789</v>
      </c>
      <c r="G389" s="72">
        <f t="shared" ref="G389:G395" si="102">IFERROR(100%-F389,"-")</f>
        <v>0.76543209876543217</v>
      </c>
    </row>
    <row r="390" spans="2:7">
      <c r="B390" s="122" t="s">
        <v>84</v>
      </c>
      <c r="C390" s="22">
        <f>COUNTIF(REPOSIÇÃO!S:S,"C")</f>
        <v>75</v>
      </c>
      <c r="D390" s="22">
        <f>COUNTIF(REPOSIÇÃO!S:S,"NC")</f>
        <v>2</v>
      </c>
      <c r="E390" s="22">
        <f>COUNTIF(REPOSIÇÃO!S:S,"SF")</f>
        <v>4</v>
      </c>
      <c r="F390" s="69">
        <f t="shared" si="101"/>
        <v>0.92592592592592593</v>
      </c>
      <c r="G390" s="72">
        <f t="shared" si="102"/>
        <v>7.407407407407407E-2</v>
      </c>
    </row>
    <row r="391" spans="2:7">
      <c r="B391" s="122" t="s">
        <v>85</v>
      </c>
      <c r="C391" s="22">
        <f>COUNTIF(REPOSIÇÃO!U:U,"C")</f>
        <v>0</v>
      </c>
      <c r="D391" s="22">
        <f>COUNTIF(REPOSIÇÃO!U:U,"NC")</f>
        <v>2</v>
      </c>
      <c r="E391" s="22">
        <f>COUNTIF(REPOSIÇÃO!U:U,"SF")</f>
        <v>79</v>
      </c>
      <c r="F391" s="69">
        <f t="shared" si="101"/>
        <v>0</v>
      </c>
      <c r="G391" s="72">
        <f t="shared" si="102"/>
        <v>1</v>
      </c>
    </row>
    <row r="392" spans="2:7">
      <c r="B392" s="122" t="s">
        <v>86</v>
      </c>
      <c r="C392" s="22">
        <f>COUNTIF(REPOSIÇÃO!W:W,"C")</f>
        <v>77</v>
      </c>
      <c r="D392" s="22">
        <f>COUNTIF(REPOSIÇÃO!W:W,"NC")</f>
        <v>2</v>
      </c>
      <c r="E392" s="22">
        <f>COUNTIF(REPOSIÇÃO!W:W,"SF")</f>
        <v>2</v>
      </c>
      <c r="F392" s="69">
        <f t="shared" si="101"/>
        <v>0.95061728395061729</v>
      </c>
      <c r="G392" s="72">
        <f t="shared" si="102"/>
        <v>4.9382716049382713E-2</v>
      </c>
    </row>
    <row r="393" spans="2:7">
      <c r="B393" s="122" t="s">
        <v>87</v>
      </c>
      <c r="C393" s="22">
        <f>COUNTIF(REPOSIÇÃO!Y:Y,"C")</f>
        <v>0</v>
      </c>
      <c r="D393" s="22">
        <f>COUNTIF(REPOSIÇÃO!Y:Y,"NC")</f>
        <v>3</v>
      </c>
      <c r="E393" s="22">
        <f>COUNTIF(REPOSIÇÃO!Y:Y,"SF")</f>
        <v>78</v>
      </c>
      <c r="F393" s="69">
        <f t="shared" si="101"/>
        <v>0</v>
      </c>
      <c r="G393" s="72">
        <f t="shared" si="102"/>
        <v>1</v>
      </c>
    </row>
    <row r="394" spans="2:7">
      <c r="B394" s="122" t="s">
        <v>88</v>
      </c>
      <c r="C394" s="22">
        <f>COUNTIF(REPOSIÇÃO!AA:AA,"C")</f>
        <v>72</v>
      </c>
      <c r="D394" s="22">
        <f>COUNTIF(REPOSIÇÃO!AA:AA,"NC")</f>
        <v>3</v>
      </c>
      <c r="E394" s="22">
        <f>COUNTIF(REPOSIÇÃO!AA:AA,"SF")</f>
        <v>6</v>
      </c>
      <c r="F394" s="69">
        <f t="shared" ref="F394" si="103">IFERROR(C394/(C394+D394+E394),"-")</f>
        <v>0.88888888888888884</v>
      </c>
      <c r="G394" s="72">
        <f t="shared" ref="G394" si="104">IFERROR(100%-F394,"-")</f>
        <v>0.11111111111111116</v>
      </c>
    </row>
    <row r="395" spans="2:7">
      <c r="B395" s="122" t="s">
        <v>68</v>
      </c>
      <c r="C395" s="22">
        <f>COUNTIF(REPOSIÇÃO!AC:AC,"C")</f>
        <v>7</v>
      </c>
      <c r="D395" s="22">
        <f>COUNTIF(REPOSIÇÃO!AC:AC,"NC")</f>
        <v>74</v>
      </c>
      <c r="E395" s="22">
        <f>COUNTIF(REPOSIÇÃO!AC:AC,"SF")</f>
        <v>0</v>
      </c>
      <c r="F395" s="69">
        <f t="shared" si="101"/>
        <v>8.6419753086419748E-2</v>
      </c>
      <c r="G395" s="72">
        <f t="shared" si="102"/>
        <v>0.91358024691358031</v>
      </c>
    </row>
    <row r="398" spans="2:7">
      <c r="B398" s="352" t="s">
        <v>69</v>
      </c>
      <c r="C398" s="354"/>
      <c r="D398" s="354"/>
      <c r="E398" s="354"/>
      <c r="F398" s="354"/>
      <c r="G398" s="355"/>
    </row>
    <row r="399" spans="2:7" ht="36">
      <c r="B399" s="115" t="s">
        <v>70</v>
      </c>
      <c r="C399" s="116" t="s">
        <v>71</v>
      </c>
      <c r="D399" s="116" t="s">
        <v>56</v>
      </c>
      <c r="E399" s="116" t="s">
        <v>57</v>
      </c>
      <c r="F399" s="116" t="s">
        <v>59</v>
      </c>
      <c r="G399" s="116" t="s">
        <v>72</v>
      </c>
    </row>
    <row r="400" spans="2:7">
      <c r="B400" s="58" t="s">
        <v>73</v>
      </c>
      <c r="C400" s="80">
        <f t="shared" ref="C400" si="105">D400+E400</f>
        <v>0</v>
      </c>
      <c r="D400" s="75">
        <f>COUNTIFS(REPOSIÇÃO!N:N,'DADOS - PIRITUBA'!B400,REPOSIÇÃO!AE:AE,"C")</f>
        <v>0</v>
      </c>
      <c r="E400" s="75">
        <f>COUNTIFS(REPOSIÇÃO!N:N,'DADOS - PIRITUBA'!B400,REPOSIÇÃO!AE:AE,"NC")</f>
        <v>0</v>
      </c>
      <c r="F400" s="76" t="str">
        <f t="shared" ref="F400" si="106">IFERROR(D400/C400,"-")</f>
        <v>-</v>
      </c>
      <c r="G400" s="65" t="str">
        <f t="shared" ref="G400" si="107">IFERROR(100%-F400,"-")</f>
        <v>-</v>
      </c>
    </row>
    <row r="401" spans="2:7">
      <c r="B401" s="58" t="s">
        <v>73</v>
      </c>
      <c r="C401" s="80">
        <f t="shared" ref="C401" si="108">D401+E401</f>
        <v>0</v>
      </c>
      <c r="D401" s="75">
        <f>COUNTIFS(REPOSIÇÃO!N:N,'DADOS - PIRITUBA'!B401,REPOSIÇÃO!AE:AE,"C")</f>
        <v>0</v>
      </c>
      <c r="E401" s="75">
        <f>COUNTIFS(REPOSIÇÃO!N:N,'DADOS - PIRITUBA'!B401,REPOSIÇÃO!AE:AE,"NC")</f>
        <v>0</v>
      </c>
      <c r="F401" s="76" t="str">
        <f t="shared" ref="F401" si="109">IFERROR(D401/C401,"-")</f>
        <v>-</v>
      </c>
      <c r="G401" s="65" t="str">
        <f t="shared" ref="G401" si="110">IFERROR(100%-F401,"-")</f>
        <v>-</v>
      </c>
    </row>
    <row r="402" spans="2:7">
      <c r="B402" s="58" t="s">
        <v>73</v>
      </c>
      <c r="C402" s="80">
        <f t="shared" ref="C402:C439" si="111">D402+E402</f>
        <v>0</v>
      </c>
      <c r="D402" s="75">
        <f>COUNTIFS(REPOSIÇÃO!N:N,'DADOS - PIRITUBA'!B402,REPOSIÇÃO!AE:AE,"C")</f>
        <v>0</v>
      </c>
      <c r="E402" s="75">
        <f>COUNTIFS(REPOSIÇÃO!N:N,'DADOS - PIRITUBA'!B402,REPOSIÇÃO!AE:AE,"NC")</f>
        <v>0</v>
      </c>
      <c r="F402" s="76" t="str">
        <f t="shared" ref="F402:F439" si="112">IFERROR(D402/C402,"-")</f>
        <v>-</v>
      </c>
      <c r="G402" s="65" t="str">
        <f t="shared" ref="G402:G439" si="113">IFERROR(100%-F402,"-")</f>
        <v>-</v>
      </c>
    </row>
    <row r="403" spans="2:7">
      <c r="B403" s="58" t="s">
        <v>73</v>
      </c>
      <c r="C403" s="80">
        <f t="shared" si="111"/>
        <v>0</v>
      </c>
      <c r="D403" s="75">
        <f>COUNTIFS(REPOSIÇÃO!N:N,'DADOS - PIRITUBA'!B403,REPOSIÇÃO!AE:AE,"C")</f>
        <v>0</v>
      </c>
      <c r="E403" s="75">
        <f>COUNTIFS(REPOSIÇÃO!N:N,'DADOS - PIRITUBA'!B403,REPOSIÇÃO!AE:AE,"NC")</f>
        <v>0</v>
      </c>
      <c r="F403" s="76" t="str">
        <f t="shared" si="112"/>
        <v>-</v>
      </c>
      <c r="G403" s="65" t="str">
        <f t="shared" si="113"/>
        <v>-</v>
      </c>
    </row>
    <row r="404" spans="2:7">
      <c r="B404" s="58" t="s">
        <v>73</v>
      </c>
      <c r="C404" s="80">
        <f t="shared" si="111"/>
        <v>0</v>
      </c>
      <c r="D404" s="75">
        <f>COUNTIFS(REPOSIÇÃO!N:N,'DADOS - PIRITUBA'!B404,REPOSIÇÃO!AE:AE,"C")</f>
        <v>0</v>
      </c>
      <c r="E404" s="75">
        <f>COUNTIFS(REPOSIÇÃO!N:N,'DADOS - PIRITUBA'!B404,REPOSIÇÃO!AE:AE,"NC")</f>
        <v>0</v>
      </c>
      <c r="F404" s="76" t="str">
        <f t="shared" si="112"/>
        <v>-</v>
      </c>
      <c r="G404" s="65" t="str">
        <f t="shared" si="113"/>
        <v>-</v>
      </c>
    </row>
    <row r="405" spans="2:7">
      <c r="B405" s="58" t="s">
        <v>73</v>
      </c>
      <c r="C405" s="80">
        <f t="shared" si="111"/>
        <v>0</v>
      </c>
      <c r="D405" s="75">
        <f>COUNTIFS(REPOSIÇÃO!N:N,'DADOS - PIRITUBA'!B405,REPOSIÇÃO!AE:AE,"C")</f>
        <v>0</v>
      </c>
      <c r="E405" s="75">
        <f>COUNTIFS(REPOSIÇÃO!N:N,'DADOS - PIRITUBA'!B405,REPOSIÇÃO!AE:AE,"NC")</f>
        <v>0</v>
      </c>
      <c r="F405" s="76" t="str">
        <f t="shared" si="112"/>
        <v>-</v>
      </c>
      <c r="G405" s="65" t="str">
        <f t="shared" si="113"/>
        <v>-</v>
      </c>
    </row>
    <row r="406" spans="2:7">
      <c r="B406" s="58" t="s">
        <v>73</v>
      </c>
      <c r="C406" s="80">
        <f t="shared" si="111"/>
        <v>0</v>
      </c>
      <c r="D406" s="75">
        <f>COUNTIFS(REPOSIÇÃO!N:N,'DADOS - PIRITUBA'!B406,REPOSIÇÃO!AE:AE,"C")</f>
        <v>0</v>
      </c>
      <c r="E406" s="75">
        <f>COUNTIFS(REPOSIÇÃO!N:N,'DADOS - PIRITUBA'!B406,REPOSIÇÃO!AE:AE,"NC")</f>
        <v>0</v>
      </c>
      <c r="F406" s="76" t="str">
        <f t="shared" si="112"/>
        <v>-</v>
      </c>
      <c r="G406" s="65" t="str">
        <f t="shared" si="113"/>
        <v>-</v>
      </c>
    </row>
    <row r="407" spans="2:7">
      <c r="B407" s="58" t="s">
        <v>73</v>
      </c>
      <c r="C407" s="80">
        <f t="shared" si="111"/>
        <v>0</v>
      </c>
      <c r="D407" s="75">
        <f>COUNTIFS(REPOSIÇÃO!N:N,'DADOS - PIRITUBA'!B407,REPOSIÇÃO!AE:AE,"C")</f>
        <v>0</v>
      </c>
      <c r="E407" s="75">
        <f>COUNTIFS(REPOSIÇÃO!N:N,'DADOS - PIRITUBA'!B407,REPOSIÇÃO!AE:AE,"NC")</f>
        <v>0</v>
      </c>
      <c r="F407" s="76" t="str">
        <f t="shared" si="112"/>
        <v>-</v>
      </c>
      <c r="G407" s="65" t="str">
        <f t="shared" si="113"/>
        <v>-</v>
      </c>
    </row>
    <row r="408" spans="2:7">
      <c r="B408" s="58" t="s">
        <v>73</v>
      </c>
      <c r="C408" s="80">
        <f t="shared" si="111"/>
        <v>0</v>
      </c>
      <c r="D408" s="75">
        <f>COUNTIFS(REPOSIÇÃO!N:N,'DADOS - PIRITUBA'!B408,REPOSIÇÃO!AE:AE,"C")</f>
        <v>0</v>
      </c>
      <c r="E408" s="75">
        <f>COUNTIFS(REPOSIÇÃO!N:N,'DADOS - PIRITUBA'!B408,REPOSIÇÃO!AE:AE,"NC")</f>
        <v>0</v>
      </c>
      <c r="F408" s="76" t="str">
        <f t="shared" si="112"/>
        <v>-</v>
      </c>
      <c r="G408" s="65" t="str">
        <f t="shared" si="113"/>
        <v>-</v>
      </c>
    </row>
    <row r="409" spans="2:7">
      <c r="B409" s="58" t="s">
        <v>73</v>
      </c>
      <c r="C409" s="80">
        <f t="shared" si="111"/>
        <v>0</v>
      </c>
      <c r="D409" s="75">
        <f>COUNTIFS(REPOSIÇÃO!N:N,'DADOS - PIRITUBA'!B409,REPOSIÇÃO!AE:AE,"C")</f>
        <v>0</v>
      </c>
      <c r="E409" s="75">
        <f>COUNTIFS(REPOSIÇÃO!N:N,'DADOS - PIRITUBA'!B409,REPOSIÇÃO!AE:AE,"NC")</f>
        <v>0</v>
      </c>
      <c r="F409" s="76" t="str">
        <f t="shared" si="112"/>
        <v>-</v>
      </c>
      <c r="G409" s="65" t="str">
        <f t="shared" si="113"/>
        <v>-</v>
      </c>
    </row>
    <row r="410" spans="2:7">
      <c r="B410" s="58" t="s">
        <v>73</v>
      </c>
      <c r="C410" s="80">
        <f t="shared" si="111"/>
        <v>0</v>
      </c>
      <c r="D410" s="75">
        <f>COUNTIFS(REPOSIÇÃO!N:N,'DADOS - PIRITUBA'!B410,REPOSIÇÃO!AE:AE,"C")</f>
        <v>0</v>
      </c>
      <c r="E410" s="75">
        <f>COUNTIFS(REPOSIÇÃO!N:N,'DADOS - PIRITUBA'!B410,REPOSIÇÃO!AE:AE,"NC")</f>
        <v>0</v>
      </c>
      <c r="F410" s="76" t="str">
        <f t="shared" si="112"/>
        <v>-</v>
      </c>
      <c r="G410" s="65" t="str">
        <f t="shared" si="113"/>
        <v>-</v>
      </c>
    </row>
    <row r="411" spans="2:7">
      <c r="B411" s="58" t="s">
        <v>73</v>
      </c>
      <c r="C411" s="80">
        <f t="shared" si="111"/>
        <v>0</v>
      </c>
      <c r="D411" s="75">
        <f>COUNTIFS(REPOSIÇÃO!N:N,'DADOS - PIRITUBA'!B411,REPOSIÇÃO!AE:AE,"C")</f>
        <v>0</v>
      </c>
      <c r="E411" s="75">
        <f>COUNTIFS(REPOSIÇÃO!N:N,'DADOS - PIRITUBA'!B411,REPOSIÇÃO!AE:AE,"NC")</f>
        <v>0</v>
      </c>
      <c r="F411" s="76" t="str">
        <f t="shared" si="112"/>
        <v>-</v>
      </c>
      <c r="G411" s="65" t="str">
        <f t="shared" si="113"/>
        <v>-</v>
      </c>
    </row>
    <row r="412" spans="2:7">
      <c r="B412" s="58" t="s">
        <v>73</v>
      </c>
      <c r="C412" s="80">
        <f t="shared" si="111"/>
        <v>0</v>
      </c>
      <c r="D412" s="75">
        <f>COUNTIFS(REPOSIÇÃO!N:N,'DADOS - PIRITUBA'!B412,REPOSIÇÃO!AE:AE,"C")</f>
        <v>0</v>
      </c>
      <c r="E412" s="75">
        <f>COUNTIFS(REPOSIÇÃO!N:N,'DADOS - PIRITUBA'!B412,REPOSIÇÃO!AE:AE,"NC")</f>
        <v>0</v>
      </c>
      <c r="F412" s="76" t="str">
        <f t="shared" si="112"/>
        <v>-</v>
      </c>
      <c r="G412" s="65" t="str">
        <f t="shared" si="113"/>
        <v>-</v>
      </c>
    </row>
    <row r="413" spans="2:7">
      <c r="B413" s="58" t="s">
        <v>73</v>
      </c>
      <c r="C413" s="80">
        <f t="shared" si="111"/>
        <v>0</v>
      </c>
      <c r="D413" s="75">
        <f>COUNTIFS(REPOSIÇÃO!N:N,'DADOS - PIRITUBA'!B413,REPOSIÇÃO!AE:AE,"C")</f>
        <v>0</v>
      </c>
      <c r="E413" s="75">
        <f>COUNTIFS(REPOSIÇÃO!N:N,'DADOS - PIRITUBA'!B413,REPOSIÇÃO!AE:AE,"NC")</f>
        <v>0</v>
      </c>
      <c r="F413" s="76" t="str">
        <f t="shared" si="112"/>
        <v>-</v>
      </c>
      <c r="G413" s="65" t="str">
        <f t="shared" si="113"/>
        <v>-</v>
      </c>
    </row>
    <row r="414" spans="2:7">
      <c r="B414" s="58" t="s">
        <v>73</v>
      </c>
      <c r="C414" s="80">
        <f t="shared" si="111"/>
        <v>0</v>
      </c>
      <c r="D414" s="75">
        <f>COUNTIFS(REPOSIÇÃO!N:N,'DADOS - PIRITUBA'!B414,REPOSIÇÃO!AE:AE,"C")</f>
        <v>0</v>
      </c>
      <c r="E414" s="75">
        <f>COUNTIFS(REPOSIÇÃO!N:N,'DADOS - PIRITUBA'!B414,REPOSIÇÃO!AE:AE,"NC")</f>
        <v>0</v>
      </c>
      <c r="F414" s="76" t="str">
        <f t="shared" si="112"/>
        <v>-</v>
      </c>
      <c r="G414" s="65" t="str">
        <f t="shared" si="113"/>
        <v>-</v>
      </c>
    </row>
    <row r="415" spans="2:7">
      <c r="B415" s="58" t="s">
        <v>73</v>
      </c>
      <c r="C415" s="80">
        <f t="shared" si="111"/>
        <v>0</v>
      </c>
      <c r="D415" s="75">
        <f>COUNTIFS(REPOSIÇÃO!N:N,'DADOS - PIRITUBA'!B415,REPOSIÇÃO!AE:AE,"C")</f>
        <v>0</v>
      </c>
      <c r="E415" s="75">
        <f>COUNTIFS(REPOSIÇÃO!N:N,'DADOS - PIRITUBA'!B415,REPOSIÇÃO!AE:AE,"NC")</f>
        <v>0</v>
      </c>
      <c r="F415" s="76" t="str">
        <f t="shared" si="112"/>
        <v>-</v>
      </c>
      <c r="G415" s="65" t="str">
        <f t="shared" si="113"/>
        <v>-</v>
      </c>
    </row>
    <row r="416" spans="2:7">
      <c r="B416" s="58" t="s">
        <v>73</v>
      </c>
      <c r="C416" s="80">
        <f t="shared" si="111"/>
        <v>0</v>
      </c>
      <c r="D416" s="75">
        <f>COUNTIFS(REPOSIÇÃO!N:N,'DADOS - PIRITUBA'!B416,REPOSIÇÃO!AE:AE,"C")</f>
        <v>0</v>
      </c>
      <c r="E416" s="75">
        <f>COUNTIFS(REPOSIÇÃO!N:N,'DADOS - PIRITUBA'!B416,REPOSIÇÃO!AE:AE,"NC")</f>
        <v>0</v>
      </c>
      <c r="F416" s="76" t="str">
        <f t="shared" si="112"/>
        <v>-</v>
      </c>
      <c r="G416" s="65" t="str">
        <f t="shared" si="113"/>
        <v>-</v>
      </c>
    </row>
    <row r="417" spans="2:7">
      <c r="B417" s="58" t="s">
        <v>73</v>
      </c>
      <c r="C417" s="80">
        <f t="shared" si="111"/>
        <v>0</v>
      </c>
      <c r="D417" s="75">
        <f>COUNTIFS(REPOSIÇÃO!N:N,'DADOS - PIRITUBA'!B417,REPOSIÇÃO!AE:AE,"C")</f>
        <v>0</v>
      </c>
      <c r="E417" s="75">
        <f>COUNTIFS(REPOSIÇÃO!N:N,'DADOS - PIRITUBA'!B417,REPOSIÇÃO!AE:AE,"NC")</f>
        <v>0</v>
      </c>
      <c r="F417" s="76" t="str">
        <f t="shared" si="112"/>
        <v>-</v>
      </c>
      <c r="G417" s="65" t="str">
        <f t="shared" si="113"/>
        <v>-</v>
      </c>
    </row>
    <row r="418" spans="2:7">
      <c r="B418" s="58" t="s">
        <v>73</v>
      </c>
      <c r="C418" s="80">
        <f t="shared" si="111"/>
        <v>0</v>
      </c>
      <c r="D418" s="75">
        <f>COUNTIFS(REPOSIÇÃO!N:N,'DADOS - PIRITUBA'!B418,REPOSIÇÃO!AE:AE,"C")</f>
        <v>0</v>
      </c>
      <c r="E418" s="75">
        <f>COUNTIFS(REPOSIÇÃO!N:N,'DADOS - PIRITUBA'!B418,REPOSIÇÃO!AE:AE,"NC")</f>
        <v>0</v>
      </c>
      <c r="F418" s="76" t="str">
        <f t="shared" si="112"/>
        <v>-</v>
      </c>
      <c r="G418" s="65" t="str">
        <f t="shared" si="113"/>
        <v>-</v>
      </c>
    </row>
    <row r="419" spans="2:7">
      <c r="B419" s="58" t="s">
        <v>73</v>
      </c>
      <c r="C419" s="80">
        <f t="shared" si="111"/>
        <v>0</v>
      </c>
      <c r="D419" s="75">
        <f>COUNTIFS(REPOSIÇÃO!N:N,'DADOS - PIRITUBA'!B419,REPOSIÇÃO!AE:AE,"C")</f>
        <v>0</v>
      </c>
      <c r="E419" s="75">
        <f>COUNTIFS(REPOSIÇÃO!N:N,'DADOS - PIRITUBA'!B419,REPOSIÇÃO!AE:AE,"NC")</f>
        <v>0</v>
      </c>
      <c r="F419" s="76" t="str">
        <f t="shared" si="112"/>
        <v>-</v>
      </c>
      <c r="G419" s="65" t="str">
        <f t="shared" si="113"/>
        <v>-</v>
      </c>
    </row>
    <row r="420" spans="2:7">
      <c r="B420" s="58" t="s">
        <v>73</v>
      </c>
      <c r="C420" s="80">
        <f t="shared" si="111"/>
        <v>0</v>
      </c>
      <c r="D420" s="75">
        <f>COUNTIFS(REPOSIÇÃO!N:N,'DADOS - PIRITUBA'!B420,REPOSIÇÃO!AE:AE,"C")</f>
        <v>0</v>
      </c>
      <c r="E420" s="75">
        <f>COUNTIFS(REPOSIÇÃO!N:N,'DADOS - PIRITUBA'!B420,REPOSIÇÃO!AE:AE,"NC")</f>
        <v>0</v>
      </c>
      <c r="F420" s="76" t="str">
        <f t="shared" si="112"/>
        <v>-</v>
      </c>
      <c r="G420" s="65" t="str">
        <f t="shared" si="113"/>
        <v>-</v>
      </c>
    </row>
    <row r="421" spans="2:7">
      <c r="B421" s="58" t="s">
        <v>73</v>
      </c>
      <c r="C421" s="80">
        <f t="shared" si="111"/>
        <v>0</v>
      </c>
      <c r="D421" s="75">
        <f>COUNTIFS(REPOSIÇÃO!N:N,'DADOS - PIRITUBA'!B421,REPOSIÇÃO!AE:AE,"C")</f>
        <v>0</v>
      </c>
      <c r="E421" s="75">
        <f>COUNTIFS(REPOSIÇÃO!N:N,'DADOS - PIRITUBA'!B421,REPOSIÇÃO!AE:AE,"NC")</f>
        <v>0</v>
      </c>
      <c r="F421" s="76" t="str">
        <f t="shared" si="112"/>
        <v>-</v>
      </c>
      <c r="G421" s="65" t="str">
        <f t="shared" si="113"/>
        <v>-</v>
      </c>
    </row>
    <row r="422" spans="2:7">
      <c r="B422" s="58" t="s">
        <v>73</v>
      </c>
      <c r="C422" s="80">
        <f t="shared" si="111"/>
        <v>0</v>
      </c>
      <c r="D422" s="75">
        <f>COUNTIFS(REPOSIÇÃO!N:N,'DADOS - PIRITUBA'!B422,REPOSIÇÃO!AE:AE,"C")</f>
        <v>0</v>
      </c>
      <c r="E422" s="75">
        <f>COUNTIFS(REPOSIÇÃO!N:N,'DADOS - PIRITUBA'!B422,REPOSIÇÃO!AE:AE,"NC")</f>
        <v>0</v>
      </c>
      <c r="F422" s="76" t="str">
        <f t="shared" si="112"/>
        <v>-</v>
      </c>
      <c r="G422" s="65" t="str">
        <f t="shared" si="113"/>
        <v>-</v>
      </c>
    </row>
    <row r="423" spans="2:7">
      <c r="B423" s="58" t="s">
        <v>73</v>
      </c>
      <c r="C423" s="80">
        <f t="shared" si="111"/>
        <v>0</v>
      </c>
      <c r="D423" s="75">
        <f>COUNTIFS(REPOSIÇÃO!N:N,'DADOS - PIRITUBA'!B423,REPOSIÇÃO!AE:AE,"C")</f>
        <v>0</v>
      </c>
      <c r="E423" s="75">
        <f>COUNTIFS(REPOSIÇÃO!N:N,'DADOS - PIRITUBA'!B423,REPOSIÇÃO!AE:AE,"NC")</f>
        <v>0</v>
      </c>
      <c r="F423" s="76" t="str">
        <f t="shared" si="112"/>
        <v>-</v>
      </c>
      <c r="G423" s="65" t="str">
        <f t="shared" si="113"/>
        <v>-</v>
      </c>
    </row>
    <row r="424" spans="2:7">
      <c r="B424" s="58" t="s">
        <v>73</v>
      </c>
      <c r="C424" s="80">
        <f t="shared" si="111"/>
        <v>0</v>
      </c>
      <c r="D424" s="75">
        <f>COUNTIFS(REPOSIÇÃO!N:N,'DADOS - PIRITUBA'!B424,REPOSIÇÃO!AE:AE,"C")</f>
        <v>0</v>
      </c>
      <c r="E424" s="75">
        <f>COUNTIFS(REPOSIÇÃO!N:N,'DADOS - PIRITUBA'!B424,REPOSIÇÃO!AE:AE,"NC")</f>
        <v>0</v>
      </c>
      <c r="F424" s="76" t="str">
        <f t="shared" si="112"/>
        <v>-</v>
      </c>
      <c r="G424" s="65" t="str">
        <f t="shared" si="113"/>
        <v>-</v>
      </c>
    </row>
    <row r="425" spans="2:7">
      <c r="B425" s="58" t="s">
        <v>73</v>
      </c>
      <c r="C425" s="80">
        <f t="shared" si="111"/>
        <v>0</v>
      </c>
      <c r="D425" s="75">
        <f>COUNTIFS(REPOSIÇÃO!N:N,'DADOS - PIRITUBA'!B425,REPOSIÇÃO!AE:AE,"C")</f>
        <v>0</v>
      </c>
      <c r="E425" s="75">
        <f>COUNTIFS(REPOSIÇÃO!N:N,'DADOS - PIRITUBA'!B425,REPOSIÇÃO!AE:AE,"NC")</f>
        <v>0</v>
      </c>
      <c r="F425" s="76" t="str">
        <f t="shared" si="112"/>
        <v>-</v>
      </c>
      <c r="G425" s="65" t="str">
        <f t="shared" si="113"/>
        <v>-</v>
      </c>
    </row>
    <row r="426" spans="2:7">
      <c r="B426" s="58" t="s">
        <v>73</v>
      </c>
      <c r="C426" s="80">
        <f t="shared" si="111"/>
        <v>0</v>
      </c>
      <c r="D426" s="75">
        <f>COUNTIFS(REPOSIÇÃO!N:N,'DADOS - PIRITUBA'!B426,REPOSIÇÃO!AE:AE,"C")</f>
        <v>0</v>
      </c>
      <c r="E426" s="75">
        <f>COUNTIFS(REPOSIÇÃO!N:N,'DADOS - PIRITUBA'!B426,REPOSIÇÃO!AE:AE,"NC")</f>
        <v>0</v>
      </c>
      <c r="F426" s="76" t="str">
        <f t="shared" si="112"/>
        <v>-</v>
      </c>
      <c r="G426" s="65" t="str">
        <f t="shared" si="113"/>
        <v>-</v>
      </c>
    </row>
    <row r="427" spans="2:7">
      <c r="B427" s="58" t="s">
        <v>73</v>
      </c>
      <c r="C427" s="80">
        <f t="shared" si="111"/>
        <v>0</v>
      </c>
      <c r="D427" s="75">
        <f>COUNTIFS(REPOSIÇÃO!N:N,'DADOS - PIRITUBA'!B427,REPOSIÇÃO!AE:AE,"C")</f>
        <v>0</v>
      </c>
      <c r="E427" s="75">
        <f>COUNTIFS(REPOSIÇÃO!N:N,'DADOS - PIRITUBA'!B427,REPOSIÇÃO!AE:AE,"NC")</f>
        <v>0</v>
      </c>
      <c r="F427" s="76" t="str">
        <f t="shared" si="112"/>
        <v>-</v>
      </c>
      <c r="G427" s="65" t="str">
        <f t="shared" si="113"/>
        <v>-</v>
      </c>
    </row>
    <row r="428" spans="2:7">
      <c r="B428" s="58" t="s">
        <v>73</v>
      </c>
      <c r="C428" s="80">
        <f t="shared" si="111"/>
        <v>0</v>
      </c>
      <c r="D428" s="75">
        <f>COUNTIFS(REPOSIÇÃO!N:N,'DADOS - PIRITUBA'!B428,REPOSIÇÃO!AE:AE,"C")</f>
        <v>0</v>
      </c>
      <c r="E428" s="75">
        <f>COUNTIFS(REPOSIÇÃO!N:N,'DADOS - PIRITUBA'!B428,REPOSIÇÃO!AE:AE,"NC")</f>
        <v>0</v>
      </c>
      <c r="F428" s="76" t="str">
        <f t="shared" si="112"/>
        <v>-</v>
      </c>
      <c r="G428" s="65" t="str">
        <f t="shared" si="113"/>
        <v>-</v>
      </c>
    </row>
    <row r="429" spans="2:7">
      <c r="B429" s="58" t="s">
        <v>73</v>
      </c>
      <c r="C429" s="80">
        <f t="shared" si="111"/>
        <v>0</v>
      </c>
      <c r="D429" s="75">
        <f>COUNTIFS(REPOSIÇÃO!N:N,'DADOS - PIRITUBA'!B429,REPOSIÇÃO!AE:AE,"C")</f>
        <v>0</v>
      </c>
      <c r="E429" s="75">
        <f>COUNTIFS(REPOSIÇÃO!N:N,'DADOS - PIRITUBA'!B429,REPOSIÇÃO!AE:AE,"NC")</f>
        <v>0</v>
      </c>
      <c r="F429" s="76" t="str">
        <f t="shared" si="112"/>
        <v>-</v>
      </c>
      <c r="G429" s="65" t="str">
        <f t="shared" si="113"/>
        <v>-</v>
      </c>
    </row>
    <row r="430" spans="2:7">
      <c r="B430" s="58" t="s">
        <v>73</v>
      </c>
      <c r="C430" s="80">
        <f t="shared" si="111"/>
        <v>0</v>
      </c>
      <c r="D430" s="75">
        <f>COUNTIFS(REPOSIÇÃO!N:N,'DADOS - PIRITUBA'!B430,REPOSIÇÃO!AE:AE,"C")</f>
        <v>0</v>
      </c>
      <c r="E430" s="75">
        <f>COUNTIFS(REPOSIÇÃO!N:N,'DADOS - PIRITUBA'!B430,REPOSIÇÃO!AE:AE,"NC")</f>
        <v>0</v>
      </c>
      <c r="F430" s="76" t="str">
        <f t="shared" si="112"/>
        <v>-</v>
      </c>
      <c r="G430" s="65" t="str">
        <f t="shared" si="113"/>
        <v>-</v>
      </c>
    </row>
    <row r="431" spans="2:7">
      <c r="B431" s="58" t="s">
        <v>73</v>
      </c>
      <c r="C431" s="80">
        <f t="shared" si="111"/>
        <v>0</v>
      </c>
      <c r="D431" s="75">
        <f>COUNTIFS(REPOSIÇÃO!N:N,'DADOS - PIRITUBA'!B431,REPOSIÇÃO!AE:AE,"C")</f>
        <v>0</v>
      </c>
      <c r="E431" s="75">
        <f>COUNTIFS(REPOSIÇÃO!N:N,'DADOS - PIRITUBA'!B431,REPOSIÇÃO!AE:AE,"NC")</f>
        <v>0</v>
      </c>
      <c r="F431" s="76" t="str">
        <f t="shared" si="112"/>
        <v>-</v>
      </c>
      <c r="G431" s="65" t="str">
        <f t="shared" si="113"/>
        <v>-</v>
      </c>
    </row>
    <row r="432" spans="2:7">
      <c r="B432" s="58" t="s">
        <v>73</v>
      </c>
      <c r="C432" s="80">
        <f t="shared" si="111"/>
        <v>0</v>
      </c>
      <c r="D432" s="75">
        <f>COUNTIFS(REPOSIÇÃO!N:N,'DADOS - PIRITUBA'!B432,REPOSIÇÃO!AE:AE,"C")</f>
        <v>0</v>
      </c>
      <c r="E432" s="75">
        <f>COUNTIFS(REPOSIÇÃO!N:N,'DADOS - PIRITUBA'!B432,REPOSIÇÃO!AE:AE,"NC")</f>
        <v>0</v>
      </c>
      <c r="F432" s="76" t="str">
        <f t="shared" si="112"/>
        <v>-</v>
      </c>
      <c r="G432" s="65" t="str">
        <f t="shared" si="113"/>
        <v>-</v>
      </c>
    </row>
    <row r="433" spans="2:7">
      <c r="B433" s="58" t="s">
        <v>73</v>
      </c>
      <c r="C433" s="80">
        <f t="shared" si="111"/>
        <v>0</v>
      </c>
      <c r="D433" s="75">
        <f>COUNTIFS(REPOSIÇÃO!N:N,'DADOS - PIRITUBA'!B433,REPOSIÇÃO!AE:AE,"C")</f>
        <v>0</v>
      </c>
      <c r="E433" s="75">
        <f>COUNTIFS(REPOSIÇÃO!N:N,'DADOS - PIRITUBA'!B433,REPOSIÇÃO!AE:AE,"NC")</f>
        <v>0</v>
      </c>
      <c r="F433" s="76" t="str">
        <f t="shared" si="112"/>
        <v>-</v>
      </c>
      <c r="G433" s="65" t="str">
        <f t="shared" si="113"/>
        <v>-</v>
      </c>
    </row>
    <row r="434" spans="2:7">
      <c r="B434" s="58" t="s">
        <v>73</v>
      </c>
      <c r="C434" s="80">
        <f t="shared" si="111"/>
        <v>0</v>
      </c>
      <c r="D434" s="75">
        <f>COUNTIFS(REPOSIÇÃO!N:N,'DADOS - PIRITUBA'!B434,REPOSIÇÃO!AE:AE,"C")</f>
        <v>0</v>
      </c>
      <c r="E434" s="75">
        <f>COUNTIFS(REPOSIÇÃO!N:N,'DADOS - PIRITUBA'!B434,REPOSIÇÃO!AE:AE,"NC")</f>
        <v>0</v>
      </c>
      <c r="F434" s="76" t="str">
        <f t="shared" si="112"/>
        <v>-</v>
      </c>
      <c r="G434" s="65" t="str">
        <f t="shared" si="113"/>
        <v>-</v>
      </c>
    </row>
    <row r="435" spans="2:7">
      <c r="B435" s="58" t="s">
        <v>73</v>
      </c>
      <c r="C435" s="80">
        <f t="shared" si="111"/>
        <v>0</v>
      </c>
      <c r="D435" s="75">
        <f>COUNTIFS(REPOSIÇÃO!N:N,'DADOS - PIRITUBA'!B435,REPOSIÇÃO!AE:AE,"C")</f>
        <v>0</v>
      </c>
      <c r="E435" s="75">
        <f>COUNTIFS(REPOSIÇÃO!N:N,'DADOS - PIRITUBA'!B435,REPOSIÇÃO!AE:AE,"NC")</f>
        <v>0</v>
      </c>
      <c r="F435" s="76" t="str">
        <f t="shared" si="112"/>
        <v>-</v>
      </c>
      <c r="G435" s="65" t="str">
        <f t="shared" si="113"/>
        <v>-</v>
      </c>
    </row>
    <row r="436" spans="2:7">
      <c r="B436" s="58" t="s">
        <v>73</v>
      </c>
      <c r="C436" s="80">
        <f t="shared" si="111"/>
        <v>0</v>
      </c>
      <c r="D436" s="75">
        <f>COUNTIFS(REPOSIÇÃO!N:N,'DADOS - PIRITUBA'!B436,REPOSIÇÃO!AE:AE,"C")</f>
        <v>0</v>
      </c>
      <c r="E436" s="75">
        <f>COUNTIFS(REPOSIÇÃO!N:N,'DADOS - PIRITUBA'!B436,REPOSIÇÃO!AE:AE,"NC")</f>
        <v>0</v>
      </c>
      <c r="F436" s="76" t="str">
        <f t="shared" si="112"/>
        <v>-</v>
      </c>
      <c r="G436" s="65" t="str">
        <f t="shared" si="113"/>
        <v>-</v>
      </c>
    </row>
    <row r="437" spans="2:7">
      <c r="B437" s="58" t="s">
        <v>73</v>
      </c>
      <c r="C437" s="80">
        <f t="shared" si="111"/>
        <v>0</v>
      </c>
      <c r="D437" s="75">
        <f>COUNTIFS(REPOSIÇÃO!N:N,'DADOS - PIRITUBA'!B437,REPOSIÇÃO!AE:AE,"C")</f>
        <v>0</v>
      </c>
      <c r="E437" s="75">
        <f>COUNTIFS(REPOSIÇÃO!N:N,'DADOS - PIRITUBA'!B437,REPOSIÇÃO!AE:AE,"NC")</f>
        <v>0</v>
      </c>
      <c r="F437" s="76" t="str">
        <f t="shared" si="112"/>
        <v>-</v>
      </c>
      <c r="G437" s="65" t="str">
        <f t="shared" si="113"/>
        <v>-</v>
      </c>
    </row>
    <row r="438" spans="2:7">
      <c r="B438" s="58" t="s">
        <v>73</v>
      </c>
      <c r="C438" s="80">
        <f t="shared" si="111"/>
        <v>0</v>
      </c>
      <c r="D438" s="75">
        <f>COUNTIFS(REPOSIÇÃO!N:N,'DADOS - PIRITUBA'!B438,REPOSIÇÃO!AE:AE,"C")</f>
        <v>0</v>
      </c>
      <c r="E438" s="75">
        <f>COUNTIFS(REPOSIÇÃO!N:N,'DADOS - PIRITUBA'!B438,REPOSIÇÃO!AE:AE,"NC")</f>
        <v>0</v>
      </c>
      <c r="F438" s="76" t="str">
        <f t="shared" si="112"/>
        <v>-</v>
      </c>
      <c r="G438" s="65" t="str">
        <f t="shared" si="113"/>
        <v>-</v>
      </c>
    </row>
    <row r="439" spans="2:7">
      <c r="B439" s="58" t="s">
        <v>73</v>
      </c>
      <c r="C439" s="80">
        <f t="shared" si="111"/>
        <v>0</v>
      </c>
      <c r="D439" s="75">
        <f>COUNTIFS(REPOSIÇÃO!N:N,'DADOS - PIRITUBA'!B439,REPOSIÇÃO!AE:AE,"C")</f>
        <v>0</v>
      </c>
      <c r="E439" s="75">
        <f>COUNTIFS(REPOSIÇÃO!N:N,'DADOS - PIRITUBA'!B439,REPOSIÇÃO!AE:AE,"NC")</f>
        <v>0</v>
      </c>
      <c r="F439" s="76" t="str">
        <f t="shared" si="112"/>
        <v>-</v>
      </c>
      <c r="G439" s="65" t="str">
        <f t="shared" si="113"/>
        <v>-</v>
      </c>
    </row>
    <row r="442" spans="2:7">
      <c r="B442" s="352" t="s">
        <v>74</v>
      </c>
      <c r="C442" s="354"/>
      <c r="D442" s="354"/>
      <c r="E442" s="354"/>
      <c r="F442" s="354"/>
      <c r="G442" s="355"/>
    </row>
    <row r="443" spans="2:7" ht="36">
      <c r="B443" s="115" t="s">
        <v>70</v>
      </c>
      <c r="C443" s="116" t="s">
        <v>71</v>
      </c>
      <c r="D443" s="116" t="s">
        <v>56</v>
      </c>
      <c r="E443" s="116" t="s">
        <v>57</v>
      </c>
      <c r="F443" s="116" t="s">
        <v>59</v>
      </c>
      <c r="G443" s="116" t="s">
        <v>72</v>
      </c>
    </row>
    <row r="444" spans="2:7">
      <c r="B444" s="58" t="s">
        <v>73</v>
      </c>
      <c r="C444" s="80">
        <f t="shared" ref="C444" si="114">D444+E444</f>
        <v>0</v>
      </c>
      <c r="D444" s="77">
        <f>COUNTIFS(REPOSIÇÃO!N:N,'DADOS - PIRITUBA'!B444,REPOSIÇÃO!AF:AF,"C")</f>
        <v>0</v>
      </c>
      <c r="E444" s="78">
        <f>COUNTIFS(REPOSIÇÃO!N:N,'DADOS - PIRITUBA'!B444,REPOSIÇÃO!AF:AF,"NC")</f>
        <v>0</v>
      </c>
      <c r="F444" s="79" t="str">
        <f t="shared" ref="F444" si="115">IFERROR(D444/C444,"-")</f>
        <v>-</v>
      </c>
      <c r="G444" s="65" t="str">
        <f t="shared" ref="G444" si="116">IFERROR(100%-F444,"-")</f>
        <v>-</v>
      </c>
    </row>
    <row r="445" spans="2:7">
      <c r="B445" s="58" t="s">
        <v>73</v>
      </c>
      <c r="C445" s="80">
        <f t="shared" ref="C445:C483" si="117">D445+E445</f>
        <v>0</v>
      </c>
      <c r="D445" s="77">
        <f>COUNTIFS(REPOSIÇÃO!N:N,'DADOS - PIRITUBA'!B445,REPOSIÇÃO!AF:AF,"C")</f>
        <v>0</v>
      </c>
      <c r="E445" s="78">
        <f>COUNTIFS(REPOSIÇÃO!N:N,'DADOS - PIRITUBA'!B445,REPOSIÇÃO!AF:AF,"NC")</f>
        <v>0</v>
      </c>
      <c r="F445" s="79" t="str">
        <f t="shared" ref="F445:F483" si="118">IFERROR(D445/C445,"-")</f>
        <v>-</v>
      </c>
      <c r="G445" s="65" t="str">
        <f t="shared" ref="G445:G483" si="119">IFERROR(100%-F445,"-")</f>
        <v>-</v>
      </c>
    </row>
    <row r="446" spans="2:7">
      <c r="B446" s="58" t="s">
        <v>73</v>
      </c>
      <c r="C446" s="80">
        <f t="shared" ref="C446:C482" si="120">D446+E446</f>
        <v>0</v>
      </c>
      <c r="D446" s="77">
        <f>COUNTIFS(REPOSIÇÃO!N:N,'DADOS - PIRITUBA'!B446,REPOSIÇÃO!AF:AF,"C")</f>
        <v>0</v>
      </c>
      <c r="E446" s="78">
        <f>COUNTIFS(REPOSIÇÃO!N:N,'DADOS - PIRITUBA'!B446,REPOSIÇÃO!AF:AF,"NC")</f>
        <v>0</v>
      </c>
      <c r="F446" s="79" t="str">
        <f t="shared" ref="F446:F482" si="121">IFERROR(D446/C446,"-")</f>
        <v>-</v>
      </c>
      <c r="G446" s="65" t="str">
        <f t="shared" ref="G446:G482" si="122">IFERROR(100%-F446,"-")</f>
        <v>-</v>
      </c>
    </row>
    <row r="447" spans="2:7">
      <c r="B447" s="58" t="s">
        <v>73</v>
      </c>
      <c r="C447" s="80">
        <f t="shared" ref="C447:C481" si="123">D447+E447</f>
        <v>0</v>
      </c>
      <c r="D447" s="77">
        <f>COUNTIFS(REPOSIÇÃO!N:N,'DADOS - PIRITUBA'!B447,REPOSIÇÃO!AF:AF,"C")</f>
        <v>0</v>
      </c>
      <c r="E447" s="78">
        <f>COUNTIFS(REPOSIÇÃO!N:N,'DADOS - PIRITUBA'!B447,REPOSIÇÃO!AF:AF,"NC")</f>
        <v>0</v>
      </c>
      <c r="F447" s="79" t="str">
        <f t="shared" ref="F447:F481" si="124">IFERROR(D447/C447,"-")</f>
        <v>-</v>
      </c>
      <c r="G447" s="65" t="str">
        <f t="shared" ref="G447:G481" si="125">IFERROR(100%-F447,"-")</f>
        <v>-</v>
      </c>
    </row>
    <row r="448" spans="2:7">
      <c r="B448" s="58" t="s">
        <v>73</v>
      </c>
      <c r="C448" s="80">
        <f t="shared" si="123"/>
        <v>0</v>
      </c>
      <c r="D448" s="77">
        <f>COUNTIFS(REPOSIÇÃO!N:N,'DADOS - PIRITUBA'!B448,REPOSIÇÃO!AF:AF,"C")</f>
        <v>0</v>
      </c>
      <c r="E448" s="78">
        <f>COUNTIFS(REPOSIÇÃO!N:N,'DADOS - PIRITUBA'!B448,REPOSIÇÃO!AF:AF,"NC")</f>
        <v>0</v>
      </c>
      <c r="F448" s="79" t="str">
        <f t="shared" si="124"/>
        <v>-</v>
      </c>
      <c r="G448" s="65" t="str">
        <f t="shared" si="125"/>
        <v>-</v>
      </c>
    </row>
    <row r="449" spans="2:7">
      <c r="B449" s="58" t="s">
        <v>73</v>
      </c>
      <c r="C449" s="80">
        <f t="shared" si="123"/>
        <v>0</v>
      </c>
      <c r="D449" s="77">
        <f>COUNTIFS(REPOSIÇÃO!N:N,'DADOS - PIRITUBA'!B449,REPOSIÇÃO!AF:AF,"C")</f>
        <v>0</v>
      </c>
      <c r="E449" s="78">
        <f>COUNTIFS(REPOSIÇÃO!N:N,'DADOS - PIRITUBA'!B449,REPOSIÇÃO!AF:AF,"NC")</f>
        <v>0</v>
      </c>
      <c r="F449" s="79" t="str">
        <f t="shared" si="124"/>
        <v>-</v>
      </c>
      <c r="G449" s="65" t="str">
        <f t="shared" si="125"/>
        <v>-</v>
      </c>
    </row>
    <row r="450" spans="2:7">
      <c r="B450" s="58" t="s">
        <v>73</v>
      </c>
      <c r="C450" s="80">
        <f t="shared" si="123"/>
        <v>0</v>
      </c>
      <c r="D450" s="77">
        <f>COUNTIFS(REPOSIÇÃO!N:N,'DADOS - PIRITUBA'!B450,REPOSIÇÃO!AF:AF,"C")</f>
        <v>0</v>
      </c>
      <c r="E450" s="78">
        <f>COUNTIFS(REPOSIÇÃO!N:N,'DADOS - PIRITUBA'!B450,REPOSIÇÃO!AF:AF,"NC")</f>
        <v>0</v>
      </c>
      <c r="F450" s="79" t="str">
        <f t="shared" si="124"/>
        <v>-</v>
      </c>
      <c r="G450" s="65" t="str">
        <f t="shared" si="125"/>
        <v>-</v>
      </c>
    </row>
    <row r="451" spans="2:7">
      <c r="B451" s="58" t="s">
        <v>73</v>
      </c>
      <c r="C451" s="80">
        <f t="shared" si="123"/>
        <v>0</v>
      </c>
      <c r="D451" s="77">
        <f>COUNTIFS(REPOSIÇÃO!N:N,'DADOS - PIRITUBA'!B451,REPOSIÇÃO!AF:AF,"C")</f>
        <v>0</v>
      </c>
      <c r="E451" s="78">
        <f>COUNTIFS(REPOSIÇÃO!N:N,'DADOS - PIRITUBA'!B451,REPOSIÇÃO!AF:AF,"NC")</f>
        <v>0</v>
      </c>
      <c r="F451" s="79" t="str">
        <f t="shared" si="124"/>
        <v>-</v>
      </c>
      <c r="G451" s="65" t="str">
        <f t="shared" si="125"/>
        <v>-</v>
      </c>
    </row>
    <row r="452" spans="2:7">
      <c r="B452" s="58" t="s">
        <v>73</v>
      </c>
      <c r="C452" s="80">
        <f t="shared" si="123"/>
        <v>0</v>
      </c>
      <c r="D452" s="77">
        <f>COUNTIFS(REPOSIÇÃO!N:N,'DADOS - PIRITUBA'!B452,REPOSIÇÃO!AF:AF,"C")</f>
        <v>0</v>
      </c>
      <c r="E452" s="78">
        <f>COUNTIFS(REPOSIÇÃO!N:N,'DADOS - PIRITUBA'!B452,REPOSIÇÃO!AF:AF,"NC")</f>
        <v>0</v>
      </c>
      <c r="F452" s="79" t="str">
        <f t="shared" si="124"/>
        <v>-</v>
      </c>
      <c r="G452" s="65" t="str">
        <f t="shared" si="125"/>
        <v>-</v>
      </c>
    </row>
    <row r="453" spans="2:7">
      <c r="B453" s="58" t="s">
        <v>73</v>
      </c>
      <c r="C453" s="80">
        <f t="shared" si="123"/>
        <v>0</v>
      </c>
      <c r="D453" s="77">
        <f>COUNTIFS(REPOSIÇÃO!N:N,'DADOS - PIRITUBA'!B453,REPOSIÇÃO!AF:AF,"C")</f>
        <v>0</v>
      </c>
      <c r="E453" s="78">
        <f>COUNTIFS(REPOSIÇÃO!N:N,'DADOS - PIRITUBA'!B453,REPOSIÇÃO!AF:AF,"NC")</f>
        <v>0</v>
      </c>
      <c r="F453" s="79" t="str">
        <f t="shared" si="124"/>
        <v>-</v>
      </c>
      <c r="G453" s="65" t="str">
        <f t="shared" si="125"/>
        <v>-</v>
      </c>
    </row>
    <row r="454" spans="2:7">
      <c r="B454" s="58" t="s">
        <v>73</v>
      </c>
      <c r="C454" s="80">
        <f t="shared" si="123"/>
        <v>0</v>
      </c>
      <c r="D454" s="77">
        <f>COUNTIFS(REPOSIÇÃO!N:N,'DADOS - PIRITUBA'!B454,REPOSIÇÃO!AF:AF,"C")</f>
        <v>0</v>
      </c>
      <c r="E454" s="78">
        <f>COUNTIFS(REPOSIÇÃO!N:N,'DADOS - PIRITUBA'!B454,REPOSIÇÃO!AF:AF,"NC")</f>
        <v>0</v>
      </c>
      <c r="F454" s="79" t="str">
        <f t="shared" si="124"/>
        <v>-</v>
      </c>
      <c r="G454" s="65" t="str">
        <f t="shared" si="125"/>
        <v>-</v>
      </c>
    </row>
    <row r="455" spans="2:7">
      <c r="B455" s="58" t="s">
        <v>73</v>
      </c>
      <c r="C455" s="80">
        <f t="shared" si="123"/>
        <v>0</v>
      </c>
      <c r="D455" s="77">
        <f>COUNTIFS(REPOSIÇÃO!N:N,'DADOS - PIRITUBA'!B455,REPOSIÇÃO!AF:AF,"C")</f>
        <v>0</v>
      </c>
      <c r="E455" s="78">
        <f>COUNTIFS(REPOSIÇÃO!N:N,'DADOS - PIRITUBA'!B455,REPOSIÇÃO!AF:AF,"NC")</f>
        <v>0</v>
      </c>
      <c r="F455" s="79" t="str">
        <f t="shared" si="124"/>
        <v>-</v>
      </c>
      <c r="G455" s="65" t="str">
        <f t="shared" si="125"/>
        <v>-</v>
      </c>
    </row>
    <row r="456" spans="2:7">
      <c r="B456" s="58" t="s">
        <v>73</v>
      </c>
      <c r="C456" s="80">
        <f t="shared" si="123"/>
        <v>0</v>
      </c>
      <c r="D456" s="77">
        <f>COUNTIFS(REPOSIÇÃO!N:N,'DADOS - PIRITUBA'!B456,REPOSIÇÃO!AF:AF,"C")</f>
        <v>0</v>
      </c>
      <c r="E456" s="78">
        <f>COUNTIFS(REPOSIÇÃO!N:N,'DADOS - PIRITUBA'!B456,REPOSIÇÃO!AF:AF,"NC")</f>
        <v>0</v>
      </c>
      <c r="F456" s="79" t="str">
        <f t="shared" si="124"/>
        <v>-</v>
      </c>
      <c r="G456" s="65" t="str">
        <f t="shared" si="125"/>
        <v>-</v>
      </c>
    </row>
    <row r="457" spans="2:7">
      <c r="B457" s="58" t="s">
        <v>73</v>
      </c>
      <c r="C457" s="80">
        <f t="shared" si="123"/>
        <v>0</v>
      </c>
      <c r="D457" s="77">
        <f>COUNTIFS(REPOSIÇÃO!N:N,'DADOS - PIRITUBA'!B457,REPOSIÇÃO!AF:AF,"C")</f>
        <v>0</v>
      </c>
      <c r="E457" s="78">
        <f>COUNTIFS(REPOSIÇÃO!N:N,'DADOS - PIRITUBA'!B457,REPOSIÇÃO!AF:AF,"NC")</f>
        <v>0</v>
      </c>
      <c r="F457" s="79" t="str">
        <f t="shared" si="124"/>
        <v>-</v>
      </c>
      <c r="G457" s="65" t="str">
        <f t="shared" si="125"/>
        <v>-</v>
      </c>
    </row>
    <row r="458" spans="2:7">
      <c r="B458" s="58" t="s">
        <v>73</v>
      </c>
      <c r="C458" s="80">
        <f t="shared" si="123"/>
        <v>0</v>
      </c>
      <c r="D458" s="77">
        <f>COUNTIFS(REPOSIÇÃO!N:N,'DADOS - PIRITUBA'!B458,REPOSIÇÃO!AF:AF,"C")</f>
        <v>0</v>
      </c>
      <c r="E458" s="78">
        <f>COUNTIFS(REPOSIÇÃO!N:N,'DADOS - PIRITUBA'!B458,REPOSIÇÃO!AF:AF,"NC")</f>
        <v>0</v>
      </c>
      <c r="F458" s="79" t="str">
        <f t="shared" si="124"/>
        <v>-</v>
      </c>
      <c r="G458" s="65" t="str">
        <f t="shared" si="125"/>
        <v>-</v>
      </c>
    </row>
    <row r="459" spans="2:7">
      <c r="B459" s="58" t="s">
        <v>73</v>
      </c>
      <c r="C459" s="80">
        <f t="shared" si="123"/>
        <v>0</v>
      </c>
      <c r="D459" s="77">
        <f>COUNTIFS(REPOSIÇÃO!N:N,'DADOS - PIRITUBA'!B459,REPOSIÇÃO!AF:AF,"C")</f>
        <v>0</v>
      </c>
      <c r="E459" s="78">
        <f>COUNTIFS(REPOSIÇÃO!N:N,'DADOS - PIRITUBA'!B459,REPOSIÇÃO!AF:AF,"NC")</f>
        <v>0</v>
      </c>
      <c r="F459" s="79" t="str">
        <f t="shared" si="124"/>
        <v>-</v>
      </c>
      <c r="G459" s="65" t="str">
        <f t="shared" si="125"/>
        <v>-</v>
      </c>
    </row>
    <row r="460" spans="2:7">
      <c r="B460" s="58" t="s">
        <v>73</v>
      </c>
      <c r="C460" s="80">
        <f t="shared" si="123"/>
        <v>0</v>
      </c>
      <c r="D460" s="77">
        <f>COUNTIFS(REPOSIÇÃO!N:N,'DADOS - PIRITUBA'!B460,REPOSIÇÃO!AF:AF,"C")</f>
        <v>0</v>
      </c>
      <c r="E460" s="78">
        <f>COUNTIFS(REPOSIÇÃO!N:N,'DADOS - PIRITUBA'!B460,REPOSIÇÃO!AF:AF,"NC")</f>
        <v>0</v>
      </c>
      <c r="F460" s="79" t="str">
        <f t="shared" si="124"/>
        <v>-</v>
      </c>
      <c r="G460" s="65" t="str">
        <f t="shared" si="125"/>
        <v>-</v>
      </c>
    </row>
    <row r="461" spans="2:7">
      <c r="B461" s="58" t="s">
        <v>73</v>
      </c>
      <c r="C461" s="80">
        <f t="shared" si="123"/>
        <v>0</v>
      </c>
      <c r="D461" s="77">
        <f>COUNTIFS(REPOSIÇÃO!N:N,'DADOS - PIRITUBA'!B461,REPOSIÇÃO!AF:AF,"C")</f>
        <v>0</v>
      </c>
      <c r="E461" s="78">
        <f>COUNTIFS(REPOSIÇÃO!N:N,'DADOS - PIRITUBA'!B461,REPOSIÇÃO!AF:AF,"NC")</f>
        <v>0</v>
      </c>
      <c r="F461" s="79" t="str">
        <f t="shared" si="124"/>
        <v>-</v>
      </c>
      <c r="G461" s="65" t="str">
        <f t="shared" si="125"/>
        <v>-</v>
      </c>
    </row>
    <row r="462" spans="2:7">
      <c r="B462" s="58" t="s">
        <v>73</v>
      </c>
      <c r="C462" s="80">
        <f t="shared" si="123"/>
        <v>0</v>
      </c>
      <c r="D462" s="77">
        <f>COUNTIFS(REPOSIÇÃO!N:N,'DADOS - PIRITUBA'!B462,REPOSIÇÃO!AF:AF,"C")</f>
        <v>0</v>
      </c>
      <c r="E462" s="78">
        <f>COUNTIFS(REPOSIÇÃO!N:N,'DADOS - PIRITUBA'!B462,REPOSIÇÃO!AF:AF,"NC")</f>
        <v>0</v>
      </c>
      <c r="F462" s="79" t="str">
        <f t="shared" si="124"/>
        <v>-</v>
      </c>
      <c r="G462" s="65" t="str">
        <f t="shared" si="125"/>
        <v>-</v>
      </c>
    </row>
    <row r="463" spans="2:7">
      <c r="B463" s="58" t="s">
        <v>73</v>
      </c>
      <c r="C463" s="80">
        <f t="shared" si="123"/>
        <v>0</v>
      </c>
      <c r="D463" s="77">
        <f>COUNTIFS(REPOSIÇÃO!N:N,'DADOS - PIRITUBA'!B463,REPOSIÇÃO!AF:AF,"C")</f>
        <v>0</v>
      </c>
      <c r="E463" s="78">
        <f>COUNTIFS(REPOSIÇÃO!N:N,'DADOS - PIRITUBA'!B463,REPOSIÇÃO!AF:AF,"NC")</f>
        <v>0</v>
      </c>
      <c r="F463" s="79" t="str">
        <f t="shared" si="124"/>
        <v>-</v>
      </c>
      <c r="G463" s="65" t="str">
        <f t="shared" si="125"/>
        <v>-</v>
      </c>
    </row>
    <row r="464" spans="2:7">
      <c r="B464" s="58" t="s">
        <v>73</v>
      </c>
      <c r="C464" s="80">
        <f t="shared" si="123"/>
        <v>0</v>
      </c>
      <c r="D464" s="77">
        <f>COUNTIFS(REPOSIÇÃO!N:N,'DADOS - PIRITUBA'!B464,REPOSIÇÃO!AF:AF,"C")</f>
        <v>0</v>
      </c>
      <c r="E464" s="78">
        <f>COUNTIFS(REPOSIÇÃO!N:N,'DADOS - PIRITUBA'!B464,REPOSIÇÃO!AF:AF,"NC")</f>
        <v>0</v>
      </c>
      <c r="F464" s="79" t="str">
        <f t="shared" si="124"/>
        <v>-</v>
      </c>
      <c r="G464" s="65" t="str">
        <f t="shared" si="125"/>
        <v>-</v>
      </c>
    </row>
    <row r="465" spans="2:7">
      <c r="B465" s="58" t="s">
        <v>73</v>
      </c>
      <c r="C465" s="80">
        <f t="shared" si="123"/>
        <v>0</v>
      </c>
      <c r="D465" s="77">
        <f>COUNTIFS(REPOSIÇÃO!N:N,'DADOS - PIRITUBA'!B465,REPOSIÇÃO!AF:AF,"C")</f>
        <v>0</v>
      </c>
      <c r="E465" s="78">
        <f>COUNTIFS(REPOSIÇÃO!N:N,'DADOS - PIRITUBA'!B465,REPOSIÇÃO!AF:AF,"NC")</f>
        <v>0</v>
      </c>
      <c r="F465" s="79" t="str">
        <f t="shared" si="124"/>
        <v>-</v>
      </c>
      <c r="G465" s="65" t="str">
        <f t="shared" si="125"/>
        <v>-</v>
      </c>
    </row>
    <row r="466" spans="2:7">
      <c r="B466" s="58" t="s">
        <v>73</v>
      </c>
      <c r="C466" s="80">
        <f t="shared" si="123"/>
        <v>0</v>
      </c>
      <c r="D466" s="77">
        <f>COUNTIFS(REPOSIÇÃO!N:N,'DADOS - PIRITUBA'!B466,REPOSIÇÃO!AF:AF,"C")</f>
        <v>0</v>
      </c>
      <c r="E466" s="78">
        <f>COUNTIFS(REPOSIÇÃO!N:N,'DADOS - PIRITUBA'!B466,REPOSIÇÃO!AF:AF,"NC")</f>
        <v>0</v>
      </c>
      <c r="F466" s="79" t="str">
        <f t="shared" si="124"/>
        <v>-</v>
      </c>
      <c r="G466" s="65" t="str">
        <f t="shared" si="125"/>
        <v>-</v>
      </c>
    </row>
    <row r="467" spans="2:7">
      <c r="B467" s="58" t="s">
        <v>73</v>
      </c>
      <c r="C467" s="80">
        <f t="shared" si="123"/>
        <v>0</v>
      </c>
      <c r="D467" s="77">
        <f>COUNTIFS(REPOSIÇÃO!N:N,'DADOS - PIRITUBA'!B467,REPOSIÇÃO!AF:AF,"C")</f>
        <v>0</v>
      </c>
      <c r="E467" s="78">
        <f>COUNTIFS(REPOSIÇÃO!N:N,'DADOS - PIRITUBA'!B467,REPOSIÇÃO!AF:AF,"NC")</f>
        <v>0</v>
      </c>
      <c r="F467" s="79" t="str">
        <f t="shared" si="124"/>
        <v>-</v>
      </c>
      <c r="G467" s="65" t="str">
        <f t="shared" si="125"/>
        <v>-</v>
      </c>
    </row>
    <row r="468" spans="2:7">
      <c r="B468" s="58" t="s">
        <v>73</v>
      </c>
      <c r="C468" s="80">
        <f t="shared" si="123"/>
        <v>0</v>
      </c>
      <c r="D468" s="77">
        <f>COUNTIFS(REPOSIÇÃO!N:N,'DADOS - PIRITUBA'!B468,REPOSIÇÃO!AF:AF,"C")</f>
        <v>0</v>
      </c>
      <c r="E468" s="78">
        <f>COUNTIFS(REPOSIÇÃO!N:N,'DADOS - PIRITUBA'!B468,REPOSIÇÃO!AF:AF,"NC")</f>
        <v>0</v>
      </c>
      <c r="F468" s="79" t="str">
        <f t="shared" si="124"/>
        <v>-</v>
      </c>
      <c r="G468" s="65" t="str">
        <f t="shared" si="125"/>
        <v>-</v>
      </c>
    </row>
    <row r="469" spans="2:7">
      <c r="B469" s="58" t="s">
        <v>73</v>
      </c>
      <c r="C469" s="80">
        <f t="shared" si="123"/>
        <v>0</v>
      </c>
      <c r="D469" s="77">
        <f>COUNTIFS(REPOSIÇÃO!N:N,'DADOS - PIRITUBA'!B469,REPOSIÇÃO!AF:AF,"C")</f>
        <v>0</v>
      </c>
      <c r="E469" s="78">
        <f>COUNTIFS(REPOSIÇÃO!N:N,'DADOS - PIRITUBA'!B469,REPOSIÇÃO!AF:AF,"NC")</f>
        <v>0</v>
      </c>
      <c r="F469" s="79" t="str">
        <f t="shared" si="124"/>
        <v>-</v>
      </c>
      <c r="G469" s="65" t="str">
        <f t="shared" si="125"/>
        <v>-</v>
      </c>
    </row>
    <row r="470" spans="2:7">
      <c r="B470" s="58" t="s">
        <v>73</v>
      </c>
      <c r="C470" s="80">
        <f t="shared" si="123"/>
        <v>0</v>
      </c>
      <c r="D470" s="77">
        <f>COUNTIFS(REPOSIÇÃO!N:N,'DADOS - PIRITUBA'!B470,REPOSIÇÃO!AF:AF,"C")</f>
        <v>0</v>
      </c>
      <c r="E470" s="78">
        <f>COUNTIFS(REPOSIÇÃO!N:N,'DADOS - PIRITUBA'!B470,REPOSIÇÃO!AF:AF,"NC")</f>
        <v>0</v>
      </c>
      <c r="F470" s="79" t="str">
        <f t="shared" si="124"/>
        <v>-</v>
      </c>
      <c r="G470" s="65" t="str">
        <f t="shared" si="125"/>
        <v>-</v>
      </c>
    </row>
    <row r="471" spans="2:7">
      <c r="B471" s="58" t="s">
        <v>73</v>
      </c>
      <c r="C471" s="80">
        <f t="shared" si="123"/>
        <v>0</v>
      </c>
      <c r="D471" s="77">
        <f>COUNTIFS(REPOSIÇÃO!N:N,'DADOS - PIRITUBA'!B471,REPOSIÇÃO!AF:AF,"C")</f>
        <v>0</v>
      </c>
      <c r="E471" s="78">
        <f>COUNTIFS(REPOSIÇÃO!N:N,'DADOS - PIRITUBA'!B471,REPOSIÇÃO!AF:AF,"NC")</f>
        <v>0</v>
      </c>
      <c r="F471" s="79" t="str">
        <f t="shared" si="124"/>
        <v>-</v>
      </c>
      <c r="G471" s="65" t="str">
        <f t="shared" si="125"/>
        <v>-</v>
      </c>
    </row>
    <row r="472" spans="2:7">
      <c r="B472" s="58" t="s">
        <v>73</v>
      </c>
      <c r="C472" s="80">
        <f t="shared" si="123"/>
        <v>0</v>
      </c>
      <c r="D472" s="77">
        <f>COUNTIFS(REPOSIÇÃO!N:N,'DADOS - PIRITUBA'!B472,REPOSIÇÃO!AF:AF,"C")</f>
        <v>0</v>
      </c>
      <c r="E472" s="78">
        <f>COUNTIFS(REPOSIÇÃO!N:N,'DADOS - PIRITUBA'!B472,REPOSIÇÃO!AF:AF,"NC")</f>
        <v>0</v>
      </c>
      <c r="F472" s="79" t="str">
        <f t="shared" si="124"/>
        <v>-</v>
      </c>
      <c r="G472" s="65" t="str">
        <f t="shared" si="125"/>
        <v>-</v>
      </c>
    </row>
    <row r="473" spans="2:7">
      <c r="B473" s="58" t="s">
        <v>73</v>
      </c>
      <c r="C473" s="80">
        <f t="shared" si="123"/>
        <v>0</v>
      </c>
      <c r="D473" s="77">
        <f>COUNTIFS(REPOSIÇÃO!N:N,'DADOS - PIRITUBA'!B473,REPOSIÇÃO!AF:AF,"C")</f>
        <v>0</v>
      </c>
      <c r="E473" s="78">
        <f>COUNTIFS(REPOSIÇÃO!N:N,'DADOS - PIRITUBA'!B473,REPOSIÇÃO!AF:AF,"NC")</f>
        <v>0</v>
      </c>
      <c r="F473" s="79" t="str">
        <f t="shared" si="124"/>
        <v>-</v>
      </c>
      <c r="G473" s="65" t="str">
        <f t="shared" si="125"/>
        <v>-</v>
      </c>
    </row>
    <row r="474" spans="2:7">
      <c r="B474" s="58" t="s">
        <v>73</v>
      </c>
      <c r="C474" s="80">
        <f t="shared" si="123"/>
        <v>0</v>
      </c>
      <c r="D474" s="77">
        <f>COUNTIFS(REPOSIÇÃO!N:N,'DADOS - PIRITUBA'!B474,REPOSIÇÃO!AF:AF,"C")</f>
        <v>0</v>
      </c>
      <c r="E474" s="78">
        <f>COUNTIFS(REPOSIÇÃO!N:N,'DADOS - PIRITUBA'!B474,REPOSIÇÃO!AF:AF,"NC")</f>
        <v>0</v>
      </c>
      <c r="F474" s="79" t="str">
        <f t="shared" si="124"/>
        <v>-</v>
      </c>
      <c r="G474" s="65" t="str">
        <f t="shared" si="125"/>
        <v>-</v>
      </c>
    </row>
    <row r="475" spans="2:7">
      <c r="B475" s="58" t="s">
        <v>73</v>
      </c>
      <c r="C475" s="80">
        <f t="shared" si="123"/>
        <v>0</v>
      </c>
      <c r="D475" s="77">
        <f>COUNTIFS(REPOSIÇÃO!N:N,'DADOS - PIRITUBA'!B475,REPOSIÇÃO!AF:AF,"C")</f>
        <v>0</v>
      </c>
      <c r="E475" s="78">
        <f>COUNTIFS(REPOSIÇÃO!N:N,'DADOS - PIRITUBA'!B475,REPOSIÇÃO!AF:AF,"NC")</f>
        <v>0</v>
      </c>
      <c r="F475" s="79" t="str">
        <f t="shared" si="124"/>
        <v>-</v>
      </c>
      <c r="G475" s="65" t="str">
        <f t="shared" si="125"/>
        <v>-</v>
      </c>
    </row>
    <row r="476" spans="2:7">
      <c r="B476" s="58" t="s">
        <v>73</v>
      </c>
      <c r="C476" s="80">
        <f t="shared" si="123"/>
        <v>0</v>
      </c>
      <c r="D476" s="77">
        <f>COUNTIFS(REPOSIÇÃO!N:N,'DADOS - PIRITUBA'!B476,REPOSIÇÃO!AF:AF,"C")</f>
        <v>0</v>
      </c>
      <c r="E476" s="78">
        <f>COUNTIFS(REPOSIÇÃO!N:N,'DADOS - PIRITUBA'!B476,REPOSIÇÃO!AF:AF,"NC")</f>
        <v>0</v>
      </c>
      <c r="F476" s="79" t="str">
        <f t="shared" si="124"/>
        <v>-</v>
      </c>
      <c r="G476" s="65" t="str">
        <f t="shared" si="125"/>
        <v>-</v>
      </c>
    </row>
    <row r="477" spans="2:7">
      <c r="B477" s="58" t="s">
        <v>73</v>
      </c>
      <c r="C477" s="80">
        <f t="shared" si="123"/>
        <v>0</v>
      </c>
      <c r="D477" s="77">
        <f>COUNTIFS(REPOSIÇÃO!N:N,'DADOS - PIRITUBA'!B477,REPOSIÇÃO!AF:AF,"C")</f>
        <v>0</v>
      </c>
      <c r="E477" s="78">
        <f>COUNTIFS(REPOSIÇÃO!N:N,'DADOS - PIRITUBA'!B477,REPOSIÇÃO!AF:AF,"NC")</f>
        <v>0</v>
      </c>
      <c r="F477" s="79" t="str">
        <f t="shared" si="124"/>
        <v>-</v>
      </c>
      <c r="G477" s="65" t="str">
        <f t="shared" si="125"/>
        <v>-</v>
      </c>
    </row>
    <row r="478" spans="2:7">
      <c r="B478" s="58" t="s">
        <v>73</v>
      </c>
      <c r="C478" s="80">
        <f t="shared" si="123"/>
        <v>0</v>
      </c>
      <c r="D478" s="77">
        <f>COUNTIFS(REPOSIÇÃO!N:N,'DADOS - PIRITUBA'!B478,REPOSIÇÃO!AF:AF,"C")</f>
        <v>0</v>
      </c>
      <c r="E478" s="78">
        <f>COUNTIFS(REPOSIÇÃO!N:N,'DADOS - PIRITUBA'!B478,REPOSIÇÃO!AF:AF,"NC")</f>
        <v>0</v>
      </c>
      <c r="F478" s="79" t="str">
        <f t="shared" si="124"/>
        <v>-</v>
      </c>
      <c r="G478" s="65" t="str">
        <f t="shared" si="125"/>
        <v>-</v>
      </c>
    </row>
    <row r="479" spans="2:7">
      <c r="B479" s="58" t="s">
        <v>73</v>
      </c>
      <c r="C479" s="80">
        <f t="shared" si="123"/>
        <v>0</v>
      </c>
      <c r="D479" s="77">
        <f>COUNTIFS(REPOSIÇÃO!N:N,'DADOS - PIRITUBA'!B479,REPOSIÇÃO!AF:AF,"C")</f>
        <v>0</v>
      </c>
      <c r="E479" s="78">
        <f>COUNTIFS(REPOSIÇÃO!N:N,'DADOS - PIRITUBA'!B479,REPOSIÇÃO!AF:AF,"NC")</f>
        <v>0</v>
      </c>
      <c r="F479" s="79" t="str">
        <f t="shared" si="124"/>
        <v>-</v>
      </c>
      <c r="G479" s="65" t="str">
        <f t="shared" si="125"/>
        <v>-</v>
      </c>
    </row>
    <row r="480" spans="2:7">
      <c r="B480" s="58" t="s">
        <v>73</v>
      </c>
      <c r="C480" s="80">
        <f t="shared" si="123"/>
        <v>0</v>
      </c>
      <c r="D480" s="77">
        <f>COUNTIFS(REPOSIÇÃO!N:N,'DADOS - PIRITUBA'!B480,REPOSIÇÃO!AF:AF,"C")</f>
        <v>0</v>
      </c>
      <c r="E480" s="78">
        <f>COUNTIFS(REPOSIÇÃO!N:N,'DADOS - PIRITUBA'!B480,REPOSIÇÃO!AF:AF,"NC")</f>
        <v>0</v>
      </c>
      <c r="F480" s="79" t="str">
        <f t="shared" si="124"/>
        <v>-</v>
      </c>
      <c r="G480" s="65" t="str">
        <f t="shared" si="125"/>
        <v>-</v>
      </c>
    </row>
    <row r="481" spans="2:7">
      <c r="B481" s="58" t="s">
        <v>73</v>
      </c>
      <c r="C481" s="80">
        <f t="shared" si="123"/>
        <v>0</v>
      </c>
      <c r="D481" s="77">
        <f>COUNTIFS(REPOSIÇÃO!N:N,'DADOS - PIRITUBA'!B481,REPOSIÇÃO!AF:AF,"C")</f>
        <v>0</v>
      </c>
      <c r="E481" s="78">
        <f>COUNTIFS(REPOSIÇÃO!N:N,'DADOS - PIRITUBA'!B481,REPOSIÇÃO!AF:AF,"NC")</f>
        <v>0</v>
      </c>
      <c r="F481" s="79" t="str">
        <f t="shared" si="124"/>
        <v>-</v>
      </c>
      <c r="G481" s="65" t="str">
        <f t="shared" si="125"/>
        <v>-</v>
      </c>
    </row>
    <row r="482" spans="2:7">
      <c r="B482" s="58" t="s">
        <v>73</v>
      </c>
      <c r="C482" s="80">
        <f t="shared" si="120"/>
        <v>0</v>
      </c>
      <c r="D482" s="77">
        <f>COUNTIFS(REPOSIÇÃO!N:N,'DADOS - PIRITUBA'!B482,REPOSIÇÃO!AF:AF,"C")</f>
        <v>0</v>
      </c>
      <c r="E482" s="78">
        <f>COUNTIFS(REPOSIÇÃO!N:N,'DADOS - PIRITUBA'!B482,REPOSIÇÃO!AF:AF,"NC")</f>
        <v>0</v>
      </c>
      <c r="F482" s="79" t="str">
        <f t="shared" si="121"/>
        <v>-</v>
      </c>
      <c r="G482" s="65" t="str">
        <f t="shared" si="122"/>
        <v>-</v>
      </c>
    </row>
    <row r="483" spans="2:7">
      <c r="B483" s="58" t="s">
        <v>73</v>
      </c>
      <c r="C483" s="80">
        <f t="shared" si="117"/>
        <v>0</v>
      </c>
      <c r="D483" s="77">
        <f>COUNTIFS(REPOSIÇÃO!N:N,'DADOS - PIRITUBA'!B483,REPOSIÇÃO!AF:AF,"C")</f>
        <v>0</v>
      </c>
      <c r="E483" s="78">
        <f>COUNTIFS(REPOSIÇÃO!N:N,'DADOS - PIRITUBA'!B483,REPOSIÇÃO!AF:AF,"NC")</f>
        <v>0</v>
      </c>
      <c r="F483" s="79" t="str">
        <f t="shared" si="118"/>
        <v>-</v>
      </c>
      <c r="G483" s="65" t="str">
        <f t="shared" si="119"/>
        <v>-</v>
      </c>
    </row>
    <row r="485" spans="2:7">
      <c r="B485" s="340" t="s">
        <v>89</v>
      </c>
      <c r="C485" s="340"/>
      <c r="D485" s="340"/>
      <c r="E485" s="340"/>
      <c r="F485" s="340"/>
      <c r="G485" s="340"/>
    </row>
    <row r="487" spans="2:7">
      <c r="B487" s="166" t="s">
        <v>90</v>
      </c>
      <c r="C487" s="166" t="s">
        <v>47</v>
      </c>
      <c r="D487" s="166" t="s">
        <v>52</v>
      </c>
      <c r="E487" s="166" t="s">
        <v>51</v>
      </c>
      <c r="F487" s="166" t="s">
        <v>91</v>
      </c>
    </row>
    <row r="488" spans="2:7">
      <c r="B488" s="167" t="s">
        <v>92</v>
      </c>
      <c r="C488" s="67">
        <f>D488+E488</f>
        <v>207</v>
      </c>
      <c r="D488" s="90">
        <f>COUNTIFS(ÁGUA!D:D,B488,ÁGUA!AF:AF,"c")</f>
        <v>147</v>
      </c>
      <c r="E488" s="90">
        <f>COUNTIFS(ÁGUA!D:D,B488,ÁGUA!AF:AF,"nc")</f>
        <v>60</v>
      </c>
      <c r="F488" s="72">
        <f>IFERROR(E488/(E488+D488),"0%")</f>
        <v>0.28985507246376813</v>
      </c>
    </row>
    <row r="489" spans="2:7">
      <c r="B489" s="167" t="s">
        <v>93</v>
      </c>
      <c r="C489" s="67">
        <f t="shared" ref="C489:C492" si="126">D489+E489</f>
        <v>19</v>
      </c>
      <c r="D489" s="90">
        <f>COUNTIFS(ÁGUA!D:D,B489,ÁGUA!AF:AF,"c")</f>
        <v>14</v>
      </c>
      <c r="E489" s="90">
        <f>COUNTIFS(ÁGUA!D:D,B489,ÁGUA!AF:AF,"nc")</f>
        <v>5</v>
      </c>
      <c r="F489" s="72">
        <f t="shared" ref="F489:F492" si="127">IFERROR(E489/(E489+D489),"0%")</f>
        <v>0.26315789473684209</v>
      </c>
    </row>
    <row r="490" spans="2:7">
      <c r="B490" s="167" t="s">
        <v>94</v>
      </c>
      <c r="C490" s="67">
        <f t="shared" si="126"/>
        <v>63</v>
      </c>
      <c r="D490" s="90">
        <f>COUNTIFS(ÁGUA!D:D,B490,ÁGUA!AF:AF,"c")</f>
        <v>56</v>
      </c>
      <c r="E490" s="90">
        <f>COUNTIFS(ÁGUA!D:D,B490,ÁGUA!AF:AF,"nc")</f>
        <v>7</v>
      </c>
      <c r="F490" s="72">
        <f t="shared" si="127"/>
        <v>0.1111111111111111</v>
      </c>
    </row>
    <row r="491" spans="2:7">
      <c r="B491" s="167" t="s">
        <v>95</v>
      </c>
      <c r="C491" s="67">
        <f t="shared" si="126"/>
        <v>8</v>
      </c>
      <c r="D491" s="90">
        <f>COUNTIFS(ÁGUA!D:D,B491,ÁGUA!AF:AF,"c")</f>
        <v>6</v>
      </c>
      <c r="E491" s="90">
        <f>COUNTIFS(ÁGUA!D:D,B491,ÁGUA!AF:AF,"nc")</f>
        <v>2</v>
      </c>
      <c r="F491" s="72">
        <f t="shared" si="127"/>
        <v>0.25</v>
      </c>
    </row>
    <row r="492" spans="2:7">
      <c r="B492" s="167" t="s">
        <v>96</v>
      </c>
      <c r="C492" s="67">
        <f t="shared" si="126"/>
        <v>454</v>
      </c>
      <c r="D492" s="90">
        <f>COUNTIFS(ÁGUA!D:D,B492,ÁGUA!AF:AF,"c")</f>
        <v>395</v>
      </c>
      <c r="E492" s="90">
        <f>COUNTIFS(ÁGUA!D:D,B492,ÁGUA!AF:AF,"nc")</f>
        <v>59</v>
      </c>
      <c r="F492" s="72">
        <f t="shared" si="127"/>
        <v>0.12995594713656389</v>
      </c>
    </row>
    <row r="494" spans="2:7">
      <c r="B494" s="166" t="s">
        <v>97</v>
      </c>
      <c r="C494" s="166" t="s">
        <v>47</v>
      </c>
      <c r="D494" s="166" t="s">
        <v>52</v>
      </c>
      <c r="E494" s="166" t="s">
        <v>51</v>
      </c>
      <c r="F494" s="166" t="s">
        <v>91</v>
      </c>
    </row>
    <row r="495" spans="2:7">
      <c r="B495" s="153" t="s">
        <v>98</v>
      </c>
      <c r="C495" s="67">
        <f>D495+E495</f>
        <v>0</v>
      </c>
      <c r="D495" s="90">
        <f>COUNTIFS(ÁGUA!C:C,B495,ÁGUA!AF:AF,"c")</f>
        <v>0</v>
      </c>
      <c r="E495" s="90">
        <f>COUNTIFS(ÁGUA!C:C,B495,ÁGUA!AF:AF,"nc")</f>
        <v>0</v>
      </c>
      <c r="F495" s="72" t="str">
        <f>IFERROR(E495/(E495+D495),"0%")</f>
        <v>0%</v>
      </c>
    </row>
    <row r="496" spans="2:7">
      <c r="B496" s="97" t="s">
        <v>99</v>
      </c>
      <c r="C496" s="67">
        <f t="shared" ref="C496:C519" si="128">D496+E496</f>
        <v>33</v>
      </c>
      <c r="D496" s="90">
        <f>COUNTIFS(ÁGUA!C:C,B496,ÁGUA!AF:AF,"c")</f>
        <v>33</v>
      </c>
      <c r="E496" s="90">
        <f>COUNTIFS(ÁGUA!C:C,B496,ÁGUA!AF:AF,"nc")</f>
        <v>0</v>
      </c>
      <c r="F496" s="72">
        <f t="shared" ref="F496:F519" si="129">IFERROR(E496/(E496+D496),"0%")</f>
        <v>0</v>
      </c>
    </row>
    <row r="497" spans="2:6">
      <c r="B497" s="153" t="s">
        <v>100</v>
      </c>
      <c r="C497" s="67">
        <f t="shared" si="128"/>
        <v>0</v>
      </c>
      <c r="D497" s="90">
        <f>COUNTIFS(ÁGUA!C:C,B497,ÁGUA!AF:AF,"c")</f>
        <v>0</v>
      </c>
      <c r="E497" s="90">
        <f>COUNTIFS(ÁGUA!C:C,B497,ÁGUA!AF:AF,"nc")</f>
        <v>0</v>
      </c>
      <c r="F497" s="72" t="str">
        <f t="shared" si="129"/>
        <v>0%</v>
      </c>
    </row>
    <row r="498" spans="2:6">
      <c r="B498" s="153" t="s">
        <v>101</v>
      </c>
      <c r="C498" s="67">
        <f t="shared" si="128"/>
        <v>29</v>
      </c>
      <c r="D498" s="90">
        <f>COUNTIFS(ÁGUA!C:C,B498,ÁGUA!AF:AF,"c")</f>
        <v>18</v>
      </c>
      <c r="E498" s="90">
        <f>COUNTIFS(ÁGUA!C:C,B498,ÁGUA!AF:AF,"nc")</f>
        <v>11</v>
      </c>
      <c r="F498" s="72">
        <f t="shared" si="129"/>
        <v>0.37931034482758619</v>
      </c>
    </row>
    <row r="499" spans="2:6">
      <c r="B499" s="153" t="s">
        <v>102</v>
      </c>
      <c r="C499" s="67">
        <f t="shared" si="128"/>
        <v>7</v>
      </c>
      <c r="D499" s="90">
        <f>COUNTIFS(ÁGUA!C:C,B499,ÁGUA!AF:AF,"c")</f>
        <v>6</v>
      </c>
      <c r="E499" s="90">
        <f>COUNTIFS(ÁGUA!C:C,B499,ÁGUA!AF:AF,"nc")</f>
        <v>1</v>
      </c>
      <c r="F499" s="72">
        <f t="shared" si="129"/>
        <v>0.14285714285714285</v>
      </c>
    </row>
    <row r="500" spans="2:6">
      <c r="B500" s="97" t="s">
        <v>103</v>
      </c>
      <c r="C500" s="67">
        <f t="shared" si="128"/>
        <v>0</v>
      </c>
      <c r="D500" s="90">
        <f>COUNTIFS(ÁGUA!C:C,B500,ÁGUA!AF:AF,"c")</f>
        <v>0</v>
      </c>
      <c r="E500" s="90">
        <f>COUNTIFS(ÁGUA!C:C,B500,ÁGUA!AF:AF,"nc")</f>
        <v>0</v>
      </c>
      <c r="F500" s="72" t="str">
        <f t="shared" si="129"/>
        <v>0%</v>
      </c>
    </row>
    <row r="501" spans="2:6">
      <c r="B501" s="97" t="s">
        <v>104</v>
      </c>
      <c r="C501" s="67">
        <f t="shared" si="128"/>
        <v>10</v>
      </c>
      <c r="D501" s="90">
        <f>COUNTIFS(ÁGUA!C:C,B501,ÁGUA!AF:AF,"c")</f>
        <v>9</v>
      </c>
      <c r="E501" s="90">
        <f>COUNTIFS(ÁGUA!C:C,B501,ÁGUA!AF:AF,"nc")</f>
        <v>1</v>
      </c>
      <c r="F501" s="72">
        <f t="shared" si="129"/>
        <v>0.1</v>
      </c>
    </row>
    <row r="502" spans="2:6">
      <c r="B502" s="153" t="s">
        <v>105</v>
      </c>
      <c r="C502" s="67">
        <f t="shared" si="128"/>
        <v>9</v>
      </c>
      <c r="D502" s="90">
        <f>COUNTIFS(ÁGUA!C:C,B502,ÁGUA!AF:AF,"c")</f>
        <v>5</v>
      </c>
      <c r="E502" s="90">
        <f>COUNTIFS(ÁGUA!C:C,B502,ÁGUA!AF:AF,"nc")</f>
        <v>4</v>
      </c>
      <c r="F502" s="72">
        <f t="shared" si="129"/>
        <v>0.44444444444444442</v>
      </c>
    </row>
    <row r="503" spans="2:6">
      <c r="B503" s="153" t="s">
        <v>106</v>
      </c>
      <c r="C503" s="67">
        <f t="shared" si="128"/>
        <v>0</v>
      </c>
      <c r="D503" s="90">
        <f>COUNTIFS(ÁGUA!C:C,B503,ÁGUA!AF:AF,"c")</f>
        <v>0</v>
      </c>
      <c r="E503" s="90">
        <f>COUNTIFS(ÁGUA!C:C,B503,ÁGUA!AF:AF,"nc")</f>
        <v>0</v>
      </c>
      <c r="F503" s="72" t="str">
        <f t="shared" si="129"/>
        <v>0%</v>
      </c>
    </row>
    <row r="504" spans="2:6">
      <c r="B504" s="97" t="s">
        <v>107</v>
      </c>
      <c r="C504" s="67">
        <f t="shared" si="128"/>
        <v>7</v>
      </c>
      <c r="D504" s="90">
        <f>COUNTIFS(ÁGUA!C:C,B504,ÁGUA!AF:AF,"c")</f>
        <v>0</v>
      </c>
      <c r="E504" s="90">
        <f>COUNTIFS(ÁGUA!C:C,B504,ÁGUA!AF:AF,"nc")</f>
        <v>7</v>
      </c>
      <c r="F504" s="72">
        <f t="shared" si="129"/>
        <v>1</v>
      </c>
    </row>
    <row r="505" spans="2:6">
      <c r="B505" s="169" t="s">
        <v>108</v>
      </c>
      <c r="C505" s="67">
        <f t="shared" si="128"/>
        <v>0</v>
      </c>
      <c r="D505" s="90">
        <f>COUNTIFS(ÁGUA!C:C,B505,ÁGUA!AF:AF,"c")</f>
        <v>0</v>
      </c>
      <c r="E505" s="90">
        <f>COUNTIFS(ÁGUA!C:C,B505,ÁGUA!AF:AF,"nc")</f>
        <v>0</v>
      </c>
      <c r="F505" s="72" t="str">
        <f t="shared" si="129"/>
        <v>0%</v>
      </c>
    </row>
    <row r="506" spans="2:6">
      <c r="B506" s="153" t="s">
        <v>109</v>
      </c>
      <c r="C506" s="67">
        <f t="shared" si="128"/>
        <v>40</v>
      </c>
      <c r="D506" s="90">
        <f>COUNTIFS(ÁGUA!C:C,B506,ÁGUA!AF:AF,"c")</f>
        <v>35</v>
      </c>
      <c r="E506" s="90">
        <f>COUNTIFS(ÁGUA!C:C,B506,ÁGUA!AF:AF,"nc")</f>
        <v>5</v>
      </c>
      <c r="F506" s="72">
        <f t="shared" si="129"/>
        <v>0.125</v>
      </c>
    </row>
    <row r="507" spans="2:6">
      <c r="B507" s="97" t="s">
        <v>110</v>
      </c>
      <c r="C507" s="67">
        <f t="shared" si="128"/>
        <v>3</v>
      </c>
      <c r="D507" s="90">
        <f>COUNTIFS(ÁGUA!C:C,B507,ÁGUA!AF:AF,"c")</f>
        <v>0</v>
      </c>
      <c r="E507" s="90">
        <f>COUNTIFS(ÁGUA!C:C,B507,ÁGUA!AF:AF,"nc")</f>
        <v>3</v>
      </c>
      <c r="F507" s="72">
        <f t="shared" si="129"/>
        <v>1</v>
      </c>
    </row>
    <row r="508" spans="2:6">
      <c r="B508" s="97" t="s">
        <v>111</v>
      </c>
      <c r="C508" s="67">
        <f t="shared" si="128"/>
        <v>55</v>
      </c>
      <c r="D508" s="90">
        <f>COUNTIFS(ÁGUA!C:C,B508,ÁGUA!AF:AF,"c")</f>
        <v>48</v>
      </c>
      <c r="E508" s="90">
        <f>COUNTIFS(ÁGUA!C:C,B508,ÁGUA!AF:AF,"nc")</f>
        <v>7</v>
      </c>
      <c r="F508" s="72">
        <f t="shared" si="129"/>
        <v>0.12727272727272726</v>
      </c>
    </row>
    <row r="509" spans="2:6">
      <c r="B509" s="97" t="s">
        <v>112</v>
      </c>
      <c r="C509" s="67">
        <f t="shared" si="128"/>
        <v>6</v>
      </c>
      <c r="D509" s="90">
        <f>COUNTIFS(ÁGUA!C:C,B509,ÁGUA!AF:AF,"c")</f>
        <v>0</v>
      </c>
      <c r="E509" s="90">
        <f>COUNTIFS(ÁGUA!C:C,B509,ÁGUA!AF:AF,"nc")</f>
        <v>6</v>
      </c>
      <c r="F509" s="72">
        <f t="shared" si="129"/>
        <v>1</v>
      </c>
    </row>
    <row r="510" spans="2:6">
      <c r="B510" s="97" t="s">
        <v>113</v>
      </c>
      <c r="C510" s="67">
        <f t="shared" si="128"/>
        <v>0</v>
      </c>
      <c r="D510" s="90">
        <f>COUNTIFS(ÁGUA!C:C,B510,ÁGUA!AF:AF,"c")</f>
        <v>0</v>
      </c>
      <c r="E510" s="90">
        <f>COUNTIFS(ÁGUA!C:C,B510,ÁGUA!AF:AF,"nc")</f>
        <v>0</v>
      </c>
      <c r="F510" s="72" t="str">
        <f t="shared" si="129"/>
        <v>0%</v>
      </c>
    </row>
    <row r="511" spans="2:6">
      <c r="B511" s="97" t="s">
        <v>114</v>
      </c>
      <c r="C511" s="67">
        <f t="shared" si="128"/>
        <v>46</v>
      </c>
      <c r="D511" s="90">
        <f>COUNTIFS(ÁGUA!C:C,B511,ÁGUA!AF:AF,"c")</f>
        <v>36</v>
      </c>
      <c r="E511" s="90">
        <f>COUNTIFS(ÁGUA!C:C,B511,ÁGUA!AF:AF,"nc")</f>
        <v>10</v>
      </c>
      <c r="F511" s="72">
        <f t="shared" si="129"/>
        <v>0.21739130434782608</v>
      </c>
    </row>
    <row r="512" spans="2:6">
      <c r="B512" s="153" t="s">
        <v>115</v>
      </c>
      <c r="C512" s="67">
        <f t="shared" si="128"/>
        <v>51</v>
      </c>
      <c r="D512" s="90">
        <f>COUNTIFS(ÁGUA!C:C,B512,ÁGUA!AF:AF,"c")</f>
        <v>48</v>
      </c>
      <c r="E512" s="90">
        <f>COUNTIFS(ÁGUA!C:C,B512,ÁGUA!AF:AF,"nc")</f>
        <v>3</v>
      </c>
      <c r="F512" s="72">
        <f t="shared" si="129"/>
        <v>5.8823529411764705E-2</v>
      </c>
    </row>
    <row r="513" spans="2:6">
      <c r="B513" s="97" t="s">
        <v>116</v>
      </c>
      <c r="C513" s="67">
        <f t="shared" si="128"/>
        <v>63</v>
      </c>
      <c r="D513" s="90">
        <f>COUNTIFS(ÁGUA!C:C,B513,ÁGUA!AF:AF,"c")</f>
        <v>56</v>
      </c>
      <c r="E513" s="90">
        <f>COUNTIFS(ÁGUA!C:C,B513,ÁGUA!AF:AF,"nc")</f>
        <v>7</v>
      </c>
      <c r="F513" s="72">
        <f t="shared" si="129"/>
        <v>0.1111111111111111</v>
      </c>
    </row>
    <row r="514" spans="2:6">
      <c r="B514" s="153" t="s">
        <v>117</v>
      </c>
      <c r="C514" s="67">
        <f t="shared" si="128"/>
        <v>40</v>
      </c>
      <c r="D514" s="90">
        <f>COUNTIFS(ÁGUA!C:C,B514,ÁGUA!AF:AF,"c")</f>
        <v>34</v>
      </c>
      <c r="E514" s="90">
        <f>COUNTIFS(ÁGUA!C:C,B514,ÁGUA!AF:AF,"nc")</f>
        <v>6</v>
      </c>
      <c r="F514" s="72">
        <f t="shared" si="129"/>
        <v>0.15</v>
      </c>
    </row>
    <row r="515" spans="2:6">
      <c r="B515" s="97" t="s">
        <v>118</v>
      </c>
      <c r="C515" s="67">
        <f t="shared" si="128"/>
        <v>92</v>
      </c>
      <c r="D515" s="90">
        <f>COUNTIFS(ÁGUA!C:C,B515,ÁGUA!AF:AF,"c")</f>
        <v>76</v>
      </c>
      <c r="E515" s="90">
        <f>COUNTIFS(ÁGUA!C:C,B515,ÁGUA!AF:AF,"nc")</f>
        <v>16</v>
      </c>
      <c r="F515" s="72">
        <f t="shared" si="129"/>
        <v>0.17391304347826086</v>
      </c>
    </row>
    <row r="516" spans="2:6">
      <c r="B516" s="153" t="s">
        <v>119</v>
      </c>
      <c r="C516" s="67">
        <f t="shared" si="128"/>
        <v>6</v>
      </c>
      <c r="D516" s="90">
        <f>COUNTIFS(ÁGUA!C:C,B516,ÁGUA!AF:AF,"c")</f>
        <v>5</v>
      </c>
      <c r="E516" s="90">
        <f>COUNTIFS(ÁGUA!C:C,B516,ÁGUA!AF:AF,"nc")</f>
        <v>1</v>
      </c>
      <c r="F516" s="72">
        <f t="shared" si="129"/>
        <v>0.16666666666666666</v>
      </c>
    </row>
    <row r="517" spans="2:6">
      <c r="B517" s="153" t="s">
        <v>120</v>
      </c>
      <c r="C517" s="67">
        <f t="shared" si="128"/>
        <v>74</v>
      </c>
      <c r="D517" s="90">
        <f>COUNTIFS(ÁGUA!C:C,B517,ÁGUA!AF:AF,"c")</f>
        <v>71</v>
      </c>
      <c r="E517" s="90">
        <f>COUNTIFS(ÁGUA!C:C,B517,ÁGUA!AF:AF,"nc")</f>
        <v>3</v>
      </c>
      <c r="F517" s="72">
        <f t="shared" si="129"/>
        <v>4.0540540540540543E-2</v>
      </c>
    </row>
    <row r="518" spans="2:6">
      <c r="B518" s="153" t="s">
        <v>121</v>
      </c>
      <c r="C518" s="67">
        <f t="shared" si="128"/>
        <v>50</v>
      </c>
      <c r="D518" s="90">
        <f>COUNTIFS(ÁGUA!C:C,B518,ÁGUA!AF:AF,"c")</f>
        <v>44</v>
      </c>
      <c r="E518" s="90">
        <f>COUNTIFS(ÁGUA!C:C,B518,ÁGUA!AF:AF,"nc")</f>
        <v>6</v>
      </c>
      <c r="F518" s="72">
        <f t="shared" si="129"/>
        <v>0.12</v>
      </c>
    </row>
    <row r="519" spans="2:6">
      <c r="B519" s="97" t="s">
        <v>122</v>
      </c>
      <c r="C519" s="67">
        <f t="shared" si="128"/>
        <v>81</v>
      </c>
      <c r="D519" s="90">
        <f>COUNTIFS(ÁGUA!C:C,B519,ÁGUA!AF:AF,"c")</f>
        <v>69</v>
      </c>
      <c r="E519" s="90">
        <f>COUNTIFS(ÁGUA!C:C,B519,ÁGUA!AF:AF,"nc")</f>
        <v>12</v>
      </c>
      <c r="F519" s="72">
        <f t="shared" si="129"/>
        <v>0.14814814814814814</v>
      </c>
    </row>
    <row r="521" spans="2:6">
      <c r="B521" s="166" t="s">
        <v>123</v>
      </c>
      <c r="C521" s="166" t="s">
        <v>47</v>
      </c>
      <c r="D521" s="166" t="s">
        <v>52</v>
      </c>
      <c r="E521" s="166" t="s">
        <v>51</v>
      </c>
      <c r="F521" s="166" t="s">
        <v>91</v>
      </c>
    </row>
    <row r="522" spans="2:6">
      <c r="B522" s="170" t="s">
        <v>124</v>
      </c>
      <c r="C522" s="67">
        <f>D522+E522</f>
        <v>43</v>
      </c>
      <c r="D522" s="90">
        <f>COUNTIFS(ESGOTO!D:D,B522,ESGOTO!AF:AF,"c")</f>
        <v>3</v>
      </c>
      <c r="E522" s="90">
        <f>COUNTIFS(ESGOTO!D:D,B522,ESGOTO!AF:AF,"nc")</f>
        <v>40</v>
      </c>
      <c r="F522" s="72">
        <f>IFERROR(E522/(E522+D522),"0%")</f>
        <v>0.93023255813953487</v>
      </c>
    </row>
    <row r="523" spans="2:6">
      <c r="B523" s="170" t="s">
        <v>125</v>
      </c>
      <c r="C523" s="67">
        <f t="shared" ref="C523:C526" si="130">D523+E523</f>
        <v>17</v>
      </c>
      <c r="D523" s="90">
        <f>COUNTIFS(ESGOTO!D:D,B523,ESGOTO!AF:AF,"c")</f>
        <v>0</v>
      </c>
      <c r="E523" s="90">
        <f>COUNTIFS(ESGOTO!D:D,B523,ESGOTO!AF:AF,"nc")</f>
        <v>17</v>
      </c>
      <c r="F523" s="72">
        <f t="shared" ref="F523:F526" si="131">IFERROR(E523/(E523+D523),"0%")</f>
        <v>1</v>
      </c>
    </row>
    <row r="524" spans="2:6">
      <c r="B524" s="171" t="s">
        <v>126</v>
      </c>
      <c r="C524" s="67">
        <f t="shared" si="130"/>
        <v>8</v>
      </c>
      <c r="D524" s="90">
        <f>COUNTIFS(ESGOTO!D:D,B524,ESGOTO!AF:AF,"c")</f>
        <v>0</v>
      </c>
      <c r="E524" s="90">
        <f>COUNTIFS(ESGOTO!D:D,B524,ESGOTO!AF:AF,"nc")</f>
        <v>8</v>
      </c>
      <c r="F524" s="72">
        <f t="shared" si="131"/>
        <v>1</v>
      </c>
    </row>
    <row r="525" spans="2:6">
      <c r="B525" s="170" t="s">
        <v>127</v>
      </c>
      <c r="C525" s="67">
        <f t="shared" si="130"/>
        <v>92</v>
      </c>
      <c r="D525" s="90">
        <f>COUNTIFS(ESGOTO!D:D,B525,ESGOTO!AF:AF,"c")</f>
        <v>8</v>
      </c>
      <c r="E525" s="90">
        <f>COUNTIFS(ESGOTO!D:D,B525,ESGOTO!AF:AF,"nc")</f>
        <v>84</v>
      </c>
      <c r="F525" s="72">
        <f t="shared" si="131"/>
        <v>0.91304347826086951</v>
      </c>
    </row>
    <row r="526" spans="2:6">
      <c r="B526" s="170" t="s">
        <v>128</v>
      </c>
      <c r="C526" s="67">
        <f t="shared" si="130"/>
        <v>0</v>
      </c>
      <c r="D526" s="90">
        <f>COUNTIFS(ESGOTO!D:D,B526,ESGOTO!AF:AF,"c")</f>
        <v>0</v>
      </c>
      <c r="E526" s="90">
        <f>COUNTIFS(ESGOTO!D:D,B526,ESGOTO!AF:AF,"nc")</f>
        <v>0</v>
      </c>
      <c r="F526" s="72" t="str">
        <f t="shared" si="131"/>
        <v>0%</v>
      </c>
    </row>
    <row r="528" spans="2:6">
      <c r="B528" s="166" t="s">
        <v>129</v>
      </c>
      <c r="C528" s="166" t="s">
        <v>47</v>
      </c>
      <c r="D528" s="166" t="s">
        <v>52</v>
      </c>
      <c r="E528" s="166" t="s">
        <v>51</v>
      </c>
      <c r="F528" s="166" t="s">
        <v>91</v>
      </c>
    </row>
    <row r="529" spans="2:6">
      <c r="B529" s="168" t="s">
        <v>130</v>
      </c>
      <c r="C529" s="67">
        <f>D529+E529</f>
        <v>3</v>
      </c>
      <c r="D529" s="90">
        <f>COUNTIFS(ESGOTO!C:C,B529,ESGOTO!AF:AF,"c")</f>
        <v>0</v>
      </c>
      <c r="E529" s="90">
        <f>COUNTIFS(ESGOTO!C:C,B529,ESGOTO!AF:AF,"nc")</f>
        <v>3</v>
      </c>
      <c r="F529" s="72">
        <f>IFERROR(E529/(E529+D529),"0%")</f>
        <v>1</v>
      </c>
    </row>
    <row r="530" spans="2:6">
      <c r="B530" s="136" t="s">
        <v>131</v>
      </c>
      <c r="C530" s="67">
        <f t="shared" ref="C530:C537" si="132">D530+E530</f>
        <v>10</v>
      </c>
      <c r="D530" s="90">
        <f>COUNTIFS(ESGOTO!C:C,B530,ESGOTO!AF:AF,"c")</f>
        <v>1</v>
      </c>
      <c r="E530" s="90">
        <f>COUNTIFS(ESGOTO!C:C,B530,ESGOTO!AF:AF,"nc")</f>
        <v>9</v>
      </c>
      <c r="F530" s="72">
        <f t="shared" ref="F530:F537" si="133">IFERROR(E530/(E530+D530),"0%")</f>
        <v>0.9</v>
      </c>
    </row>
    <row r="531" spans="2:6">
      <c r="B531" s="168" t="s">
        <v>132</v>
      </c>
      <c r="C531" s="67">
        <f t="shared" si="132"/>
        <v>0</v>
      </c>
      <c r="D531" s="90">
        <f>COUNTIFS(ESGOTO!C:C,B531,ESGOTO!AF:AF,"c")</f>
        <v>0</v>
      </c>
      <c r="E531" s="90">
        <f>COUNTIFS(ESGOTO!C:C,B531,ESGOTO!AF:AF,"nc")</f>
        <v>0</v>
      </c>
      <c r="F531" s="72" t="str">
        <f t="shared" si="133"/>
        <v>0%</v>
      </c>
    </row>
    <row r="532" spans="2:6">
      <c r="B532" s="58" t="s">
        <v>133</v>
      </c>
      <c r="C532" s="67">
        <f t="shared" si="132"/>
        <v>2</v>
      </c>
      <c r="D532" s="90">
        <f>COUNTIFS(ESGOTO!C:C,B532,ESGOTO!AF:AF,"c")</f>
        <v>0</v>
      </c>
      <c r="E532" s="90">
        <f>COUNTIFS(ESGOTO!C:C,B532,ESGOTO!AF:AF,"nc")</f>
        <v>2</v>
      </c>
      <c r="F532" s="72">
        <f t="shared" si="133"/>
        <v>1</v>
      </c>
    </row>
    <row r="533" spans="2:6">
      <c r="B533" s="168" t="s">
        <v>134</v>
      </c>
      <c r="C533" s="67">
        <f t="shared" si="132"/>
        <v>4</v>
      </c>
      <c r="D533" s="90">
        <f>COUNTIFS(ESGOTO!C:C,B533,ESGOTO!AF:AF,"c")</f>
        <v>0</v>
      </c>
      <c r="E533" s="90">
        <f>COUNTIFS(ESGOTO!C:C,B533,ESGOTO!AF:AF,"nc")</f>
        <v>4</v>
      </c>
      <c r="F533" s="72">
        <f t="shared" si="133"/>
        <v>1</v>
      </c>
    </row>
    <row r="534" spans="2:6">
      <c r="B534" s="58" t="s">
        <v>135</v>
      </c>
      <c r="C534" s="67">
        <f t="shared" si="132"/>
        <v>7</v>
      </c>
      <c r="D534" s="90">
        <f>COUNTIFS(ESGOTO!C:C,B534,ESGOTO!AF:AF,"c")</f>
        <v>0</v>
      </c>
      <c r="E534" s="90">
        <f>COUNTIFS(ESGOTO!C:C,B534,ESGOTO!AF:AF,"nc")</f>
        <v>7</v>
      </c>
      <c r="F534" s="72">
        <f t="shared" si="133"/>
        <v>1</v>
      </c>
    </row>
    <row r="535" spans="2:6">
      <c r="B535" s="136" t="s">
        <v>136</v>
      </c>
      <c r="C535" s="67">
        <f t="shared" si="132"/>
        <v>40</v>
      </c>
      <c r="D535" s="90">
        <f>COUNTIFS(ESGOTO!C:C,B535,ESGOTO!AF:AF,"c")</f>
        <v>5</v>
      </c>
      <c r="E535" s="90">
        <f>COUNTIFS(ESGOTO!C:C,B535,ESGOTO!AF:AF,"nc")</f>
        <v>35</v>
      </c>
      <c r="F535" s="72">
        <f t="shared" si="133"/>
        <v>0.875</v>
      </c>
    </row>
    <row r="536" spans="2:6">
      <c r="B536" s="58" t="s">
        <v>137</v>
      </c>
      <c r="C536" s="67">
        <f t="shared" si="132"/>
        <v>4</v>
      </c>
      <c r="D536" s="90">
        <f>COUNTIFS(ESGOTO!C:C,B536,ESGOTO!AF:AF,"c")</f>
        <v>0</v>
      </c>
      <c r="E536" s="90">
        <f>COUNTIFS(ESGOTO!C:C,B536,ESGOTO!AF:AF,"nc")</f>
        <v>4</v>
      </c>
      <c r="F536" s="72">
        <f t="shared" si="133"/>
        <v>1</v>
      </c>
    </row>
    <row r="537" spans="2:6">
      <c r="B537" s="136" t="s">
        <v>138</v>
      </c>
      <c r="C537" s="67">
        <f t="shared" si="132"/>
        <v>29</v>
      </c>
      <c r="D537" s="90">
        <f>COUNTIFS(ESGOTO!C:C,B537,ESGOTO!AF:AF,"c")</f>
        <v>1</v>
      </c>
      <c r="E537" s="90">
        <f>COUNTIFS(ESGOTO!C:C,B537,ESGOTO!AF:AF,"nc")</f>
        <v>28</v>
      </c>
      <c r="F537" s="72">
        <f t="shared" si="133"/>
        <v>0.96551724137931039</v>
      </c>
    </row>
    <row r="540" spans="2:6">
      <c r="B540" s="166" t="s">
        <v>139</v>
      </c>
      <c r="C540" s="166" t="s">
        <v>47</v>
      </c>
      <c r="D540" s="166" t="s">
        <v>52</v>
      </c>
      <c r="E540" s="166" t="s">
        <v>51</v>
      </c>
      <c r="F540" s="166" t="s">
        <v>91</v>
      </c>
    </row>
    <row r="541" spans="2:6">
      <c r="B541" s="172" t="s">
        <v>79</v>
      </c>
      <c r="C541" s="67">
        <f>D541+E541</f>
        <v>625</v>
      </c>
      <c r="D541" s="90">
        <f>COUNTIFS(CAVALETE!D:D,B541,CAVALETE!Z:Z,"c")</f>
        <v>189</v>
      </c>
      <c r="E541" s="90">
        <f>COUNTIFS(CAVALETE!D:D,B541,CAVALETE!Z:Z,"nc")</f>
        <v>436</v>
      </c>
      <c r="F541" s="72">
        <f>IFERROR(E541/(E541+D541),"0%")</f>
        <v>0.6976</v>
      </c>
    </row>
    <row r="542" spans="2:6">
      <c r="B542" s="172" t="s">
        <v>140</v>
      </c>
      <c r="C542" s="67">
        <f>D542+E542</f>
        <v>92</v>
      </c>
      <c r="D542" s="90">
        <f>COUNTIFS(CAVALETE!D:D,B542,CAVALETE!Z:Z,"c")</f>
        <v>23</v>
      </c>
      <c r="E542" s="90">
        <f>COUNTIFS(CAVALETE!D:D,B542,CAVALETE!Z:Z,"nc")</f>
        <v>69</v>
      </c>
      <c r="F542" s="72">
        <f>IFERROR(E542/(E542+D542),"0%")</f>
        <v>0.75</v>
      </c>
    </row>
    <row r="544" spans="2:6">
      <c r="B544" s="166" t="s">
        <v>141</v>
      </c>
      <c r="C544" s="166" t="s">
        <v>47</v>
      </c>
      <c r="D544" s="166" t="s">
        <v>52</v>
      </c>
      <c r="E544" s="166" t="s">
        <v>51</v>
      </c>
      <c r="F544" s="166" t="s">
        <v>91</v>
      </c>
    </row>
    <row r="545" spans="2:6">
      <c r="B545" s="58" t="s">
        <v>142</v>
      </c>
      <c r="C545" s="67">
        <f>D545+E545</f>
        <v>8</v>
      </c>
      <c r="D545" s="67">
        <f>COUNTIFS(CAVALETE!C:C,B545,CAVALETE!Z:Z,"c")</f>
        <v>2</v>
      </c>
      <c r="E545" s="67">
        <f>COUNTIFS(CAVALETE!C:C,B545,CAVALETE!Z:Z,"nc")</f>
        <v>6</v>
      </c>
      <c r="F545" s="72">
        <f>IFERROR(E545/(E545+D545),"0%")</f>
        <v>0.75</v>
      </c>
    </row>
    <row r="546" spans="2:6">
      <c r="B546" s="58" t="s">
        <v>143</v>
      </c>
      <c r="C546" s="67">
        <f t="shared" ref="C546:C554" si="134">D546+E546</f>
        <v>170</v>
      </c>
      <c r="D546" s="67">
        <f>COUNTIFS(CAVALETE!C:C,B546,CAVALETE!Z:Z,"c")</f>
        <v>76</v>
      </c>
      <c r="E546" s="67">
        <f>COUNTIFS(CAVALETE!C:C,B546,CAVALETE!Z:Z,"nc")</f>
        <v>94</v>
      </c>
      <c r="F546" s="72">
        <f t="shared" ref="F546:F554" si="135">IFERROR(E546/(E546+D546),"0%")</f>
        <v>0.55294117647058827</v>
      </c>
    </row>
    <row r="547" spans="2:6">
      <c r="B547" s="153" t="s">
        <v>144</v>
      </c>
      <c r="C547" s="67">
        <f t="shared" si="134"/>
        <v>27</v>
      </c>
      <c r="D547" s="67">
        <f>COUNTIFS(CAVALETE!C:C,B547,CAVALETE!Z:Z,"c")</f>
        <v>4</v>
      </c>
      <c r="E547" s="67">
        <f>COUNTIFS(CAVALETE!C:C,B547,CAVALETE!Z:Z,"nc")</f>
        <v>23</v>
      </c>
      <c r="F547" s="72">
        <f t="shared" si="135"/>
        <v>0.85185185185185186</v>
      </c>
    </row>
    <row r="548" spans="2:6">
      <c r="B548" s="58" t="s">
        <v>145</v>
      </c>
      <c r="C548" s="67">
        <f t="shared" si="134"/>
        <v>0</v>
      </c>
      <c r="D548" s="67">
        <f>COUNTIFS(CAVALETE!C:C,B548,CAVALETE!Z:Z,"c")</f>
        <v>0</v>
      </c>
      <c r="E548" s="67">
        <f>COUNTIFS(CAVALETE!C:C,B548,CAVALETE!Z:Z,"nc")</f>
        <v>0</v>
      </c>
      <c r="F548" s="72" t="str">
        <f t="shared" si="135"/>
        <v>0%</v>
      </c>
    </row>
    <row r="549" spans="2:6">
      <c r="B549" s="153" t="s">
        <v>146</v>
      </c>
      <c r="C549" s="67">
        <f t="shared" si="134"/>
        <v>55</v>
      </c>
      <c r="D549" s="67">
        <f>COUNTIFS(CAVALETE!C:C,B549,CAVALETE!Z:Z,"c")</f>
        <v>30</v>
      </c>
      <c r="E549" s="67">
        <f>COUNTIFS(CAVALETE!C:C,B549,CAVALETE!Z:Z,"nc")</f>
        <v>25</v>
      </c>
      <c r="F549" s="72">
        <f t="shared" si="135"/>
        <v>0.45454545454545453</v>
      </c>
    </row>
    <row r="550" spans="2:6">
      <c r="B550" s="58" t="s">
        <v>147</v>
      </c>
      <c r="C550" s="67">
        <f t="shared" si="134"/>
        <v>51</v>
      </c>
      <c r="D550" s="67">
        <f>COUNTIFS(CAVALETE!C:C,B550,CAVALETE!Z:Z,"c")</f>
        <v>28</v>
      </c>
      <c r="E550" s="67">
        <f>COUNTIFS(CAVALETE!C:C,B550,CAVALETE!Z:Z,"nc")</f>
        <v>23</v>
      </c>
      <c r="F550" s="72">
        <f t="shared" si="135"/>
        <v>0.45098039215686275</v>
      </c>
    </row>
    <row r="551" spans="2:6">
      <c r="B551" s="168" t="s">
        <v>148</v>
      </c>
      <c r="C551" s="67">
        <f t="shared" si="134"/>
        <v>0</v>
      </c>
      <c r="D551" s="67">
        <f>COUNTIFS(CAVALETE!C:C,B551,CAVALETE!Z:Z,"c")</f>
        <v>0</v>
      </c>
      <c r="E551" s="67">
        <f>COUNTIFS(CAVALETE!C:C,B551,CAVALETE!Z:Z,"nc")</f>
        <v>0</v>
      </c>
      <c r="F551" s="72" t="str">
        <f t="shared" si="135"/>
        <v>0%</v>
      </c>
    </row>
    <row r="552" spans="2:6">
      <c r="B552" s="58" t="s">
        <v>149</v>
      </c>
      <c r="C552" s="67">
        <f t="shared" si="134"/>
        <v>14</v>
      </c>
      <c r="D552" s="67">
        <f>COUNTIFS(CAVALETE!C:C,B552,CAVALETE!Z:Z,"c")</f>
        <v>6</v>
      </c>
      <c r="E552" s="67">
        <f>COUNTIFS(CAVALETE!C:C,B552,CAVALETE!Z:Z,"nc")</f>
        <v>8</v>
      </c>
      <c r="F552" s="72">
        <f t="shared" si="135"/>
        <v>0.5714285714285714</v>
      </c>
    </row>
    <row r="553" spans="2:6">
      <c r="B553" s="58" t="s">
        <v>150</v>
      </c>
      <c r="C553" s="67">
        <f t="shared" si="134"/>
        <v>15</v>
      </c>
      <c r="D553" s="67">
        <f>COUNTIFS(CAVALETE!C:C,B553,CAVALETE!Z:Z,"c")</f>
        <v>4</v>
      </c>
      <c r="E553" s="67">
        <f>COUNTIFS(CAVALETE!C:C,B553,CAVALETE!Z:Z,"nc")</f>
        <v>11</v>
      </c>
      <c r="F553" s="72">
        <f t="shared" si="135"/>
        <v>0.73333333333333328</v>
      </c>
    </row>
    <row r="554" spans="2:6">
      <c r="B554" s="58" t="s">
        <v>151</v>
      </c>
      <c r="C554" s="67">
        <f t="shared" si="134"/>
        <v>36</v>
      </c>
      <c r="D554" s="67">
        <f>COUNTIFS(CAVALETE!C:C,B554,CAVALETE!Z:Z,"c")</f>
        <v>9</v>
      </c>
      <c r="E554" s="67">
        <f>COUNTIFS(CAVALETE!C:C,B554,CAVALETE!Z:Z,"nc")</f>
        <v>27</v>
      </c>
      <c r="F554" s="72">
        <f t="shared" si="135"/>
        <v>0.75</v>
      </c>
    </row>
    <row r="556" spans="2:6">
      <c r="B556" s="166" t="s">
        <v>152</v>
      </c>
      <c r="C556" s="166" t="s">
        <v>47</v>
      </c>
      <c r="D556" s="166" t="s">
        <v>52</v>
      </c>
      <c r="E556" s="166" t="s">
        <v>51</v>
      </c>
      <c r="F556" s="166" t="s">
        <v>91</v>
      </c>
    </row>
    <row r="557" spans="2:6">
      <c r="B557" s="172" t="s">
        <v>83</v>
      </c>
      <c r="C557" s="67">
        <f>D557+E557</f>
        <v>81</v>
      </c>
      <c r="D557" s="90">
        <f>COUNTIFS(REPOSIÇÃO!D:D,B557,REPOSIÇÃO!AF:AF,"c")</f>
        <v>0</v>
      </c>
      <c r="E557" s="90">
        <f>COUNTIFS(REPOSIÇÃO!D:D,B557,REPOSIÇÃO!AF:AF,"nc")</f>
        <v>81</v>
      </c>
      <c r="F557" s="72">
        <f>IFERROR(E557/(E557+D557),"0")</f>
        <v>1</v>
      </c>
    </row>
    <row r="559" spans="2:6">
      <c r="B559" s="166" t="s">
        <v>153</v>
      </c>
      <c r="C559" s="166" t="s">
        <v>47</v>
      </c>
      <c r="D559" s="166" t="s">
        <v>52</v>
      </c>
      <c r="E559" s="166" t="s">
        <v>51</v>
      </c>
      <c r="F559" s="166" t="s">
        <v>91</v>
      </c>
    </row>
    <row r="560" spans="2:6">
      <c r="B560" s="58" t="s">
        <v>154</v>
      </c>
      <c r="C560" s="67">
        <f>D560+E560</f>
        <v>75</v>
      </c>
      <c r="D560" s="67">
        <f>COUNTIFS(REPOSIÇÃO!C:C,B560,REPOSIÇÃO!AF:AF,"c")</f>
        <v>0</v>
      </c>
      <c r="E560" s="67">
        <f>COUNTIFS(REPOSIÇÃO!C:C,B560,REPOSIÇÃO!AF:AF,"NC")</f>
        <v>75</v>
      </c>
      <c r="F560" s="72">
        <f>IFERROR(E560/(E560+D560),"0%")</f>
        <v>1</v>
      </c>
    </row>
    <row r="561" spans="2:6">
      <c r="B561" s="136" t="s">
        <v>155</v>
      </c>
      <c r="C561" s="67">
        <f t="shared" ref="C561:C563" si="136">D561+E561</f>
        <v>2</v>
      </c>
      <c r="D561" s="67">
        <f>COUNTIFS(REPOSIÇÃO!C:C,B561,REPOSIÇÃO!AF:AF,"c")</f>
        <v>0</v>
      </c>
      <c r="E561" s="67">
        <f>COUNTIFS(REPOSIÇÃO!C:C,B561,REPOSIÇÃO!AF:AF,"NC")</f>
        <v>2</v>
      </c>
      <c r="F561" s="72">
        <f>IFERROR(E561/(E561+D561),"0%")</f>
        <v>1</v>
      </c>
    </row>
    <row r="562" spans="2:6">
      <c r="B562" s="168" t="s">
        <v>156</v>
      </c>
      <c r="C562" s="67">
        <f t="shared" si="136"/>
        <v>1</v>
      </c>
      <c r="D562" s="67">
        <f>COUNTIFS(REPOSIÇÃO!C:C,B562,REPOSIÇÃO!AF:AF,"c")</f>
        <v>0</v>
      </c>
      <c r="E562" s="67">
        <f>COUNTIFS(REPOSIÇÃO!C:C,B562,REPOSIÇÃO!AF:AF,"NC")</f>
        <v>1</v>
      </c>
      <c r="F562" s="72">
        <f t="shared" ref="F562:F563" si="137">IFERROR(E562/(E562+D562),"0%")</f>
        <v>1</v>
      </c>
    </row>
    <row r="563" spans="2:6">
      <c r="B563" s="136" t="s">
        <v>157</v>
      </c>
      <c r="C563" s="67">
        <f t="shared" si="136"/>
        <v>3</v>
      </c>
      <c r="D563" s="67">
        <f>COUNTIFS(REPOSIÇÃO!C:C,B563,REPOSIÇÃO!AF:AF,"c")</f>
        <v>0</v>
      </c>
      <c r="E563" s="67">
        <f>COUNTIFS(REPOSIÇÃO!C:C,B563,REPOSIÇÃO!AF:AF,"NC")</f>
        <v>3</v>
      </c>
      <c r="F563" s="72">
        <f t="shared" si="137"/>
        <v>1</v>
      </c>
    </row>
  </sheetData>
  <sortState xmlns:xlrd2="http://schemas.microsoft.com/office/spreadsheetml/2017/richdata2" ref="B335:G374">
    <sortCondition ref="B335:B374"/>
  </sortState>
  <mergeCells count="47">
    <mergeCell ref="I157:J157"/>
    <mergeCell ref="B24:G24"/>
    <mergeCell ref="B40:G40"/>
    <mergeCell ref="B171:G171"/>
    <mergeCell ref="B33:G33"/>
    <mergeCell ref="B46:G46"/>
    <mergeCell ref="B48:G48"/>
    <mergeCell ref="B52:G52"/>
    <mergeCell ref="B56:G56"/>
    <mergeCell ref="B378:G378"/>
    <mergeCell ref="B225:G225"/>
    <mergeCell ref="B268:G268"/>
    <mergeCell ref="B282:G282"/>
    <mergeCell ref="B270:G270"/>
    <mergeCell ref="B274:G274"/>
    <mergeCell ref="B278:G278"/>
    <mergeCell ref="B2:G2"/>
    <mergeCell ref="B22:G22"/>
    <mergeCell ref="B3:G3"/>
    <mergeCell ref="B4:G4"/>
    <mergeCell ref="E10:G10"/>
    <mergeCell ref="B15:C15"/>
    <mergeCell ref="E11:G11"/>
    <mergeCell ref="E12:G12"/>
    <mergeCell ref="E13:G13"/>
    <mergeCell ref="C10:D10"/>
    <mergeCell ref="D9:F9"/>
    <mergeCell ref="C11:D11"/>
    <mergeCell ref="C12:D12"/>
    <mergeCell ref="C13:D13"/>
    <mergeCell ref="B6:G6"/>
    <mergeCell ref="B485:G485"/>
    <mergeCell ref="B382:G382"/>
    <mergeCell ref="B60:G60"/>
    <mergeCell ref="B386:G386"/>
    <mergeCell ref="B71:G71"/>
    <mergeCell ref="B114:G114"/>
    <mergeCell ref="B376:G376"/>
    <mergeCell ref="B333:G333"/>
    <mergeCell ref="B157:G157"/>
    <mergeCell ref="B398:G398"/>
    <mergeCell ref="B442:G442"/>
    <mergeCell ref="B290:G290"/>
    <mergeCell ref="B182:G182"/>
    <mergeCell ref="B159:G159"/>
    <mergeCell ref="B163:G163"/>
    <mergeCell ref="B167:G167"/>
  </mergeCells>
  <pageMargins left="0.511811024" right="0.511811024" top="0.78740157499999996" bottom="0.78740157499999996" header="0.31496062000000002" footer="0.31496062000000002"/>
  <pageSetup paperSize="9" orientation="portrait" horizontalDpi="120" verticalDpi="7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pageSetUpPr fitToPage="1"/>
  </sheetPr>
  <dimension ref="A1:O103"/>
  <sheetViews>
    <sheetView zoomScale="70" zoomScaleNormal="70" zoomScaleSheetLayoutView="70" workbookViewId="0">
      <selection activeCell="I5" sqref="I5"/>
    </sheetView>
  </sheetViews>
  <sheetFormatPr defaultColWidth="9.140625" defaultRowHeight="19.899999999999999" customHeight="1"/>
  <cols>
    <col min="1" max="7" width="37.7109375" style="18" customWidth="1"/>
    <col min="8" max="16384" width="9.140625" style="18"/>
  </cols>
  <sheetData>
    <row r="1" spans="1:9" s="33" customFormat="1" ht="35.1" customHeight="1">
      <c r="A1" s="374" t="s">
        <v>158</v>
      </c>
      <c r="B1" s="374"/>
      <c r="C1" s="374"/>
      <c r="D1" s="374"/>
      <c r="E1" s="374"/>
      <c r="F1" s="374"/>
      <c r="G1" s="91"/>
    </row>
    <row r="2" spans="1:9" s="49" customFormat="1" ht="30" customHeight="1" thickBot="1"/>
    <row r="3" spans="1:9" s="49" customFormat="1" ht="30" customHeight="1">
      <c r="A3" s="34"/>
      <c r="B3" s="377" t="s">
        <v>159</v>
      </c>
      <c r="C3" s="378"/>
      <c r="D3" s="377" t="s">
        <v>71</v>
      </c>
      <c r="E3" s="378"/>
    </row>
    <row r="4" spans="1:9" s="49" customFormat="1" ht="30" customHeight="1" thickBot="1">
      <c r="A4" s="34"/>
      <c r="B4" s="375">
        <f>COUNTIF(ÁGUA!A:A,"ONMP - DIV MANUT SERV OPE PIRITUBA")</f>
        <v>798</v>
      </c>
      <c r="C4" s="376"/>
      <c r="D4" s="375">
        <f>'DADOS - PIRITUBA'!C26</f>
        <v>751</v>
      </c>
      <c r="E4" s="376"/>
    </row>
    <row r="5" spans="1:9" s="49" customFormat="1" ht="35.1" customHeight="1">
      <c r="A5" s="34"/>
      <c r="B5" s="89" t="s">
        <v>160</v>
      </c>
      <c r="C5" s="88" t="s">
        <v>161</v>
      </c>
      <c r="D5" s="89" t="s">
        <v>162</v>
      </c>
      <c r="E5" s="88" t="s">
        <v>161</v>
      </c>
      <c r="I5" s="49">
        <f>440/6</f>
        <v>73.333333333333329</v>
      </c>
    </row>
    <row r="6" spans="1:9" s="49" customFormat="1" ht="35.1" customHeight="1" thickBot="1">
      <c r="A6" s="34"/>
      <c r="B6" s="85">
        <f>'DADOS - PIRITUBA'!C26+'GRÁFICOS - ÁGUA'!D8</f>
        <v>798</v>
      </c>
      <c r="C6" s="44">
        <f>IFERROR(B6/B4,"-")</f>
        <v>1</v>
      </c>
      <c r="D6" s="85">
        <f>COUNTIFS(ÁGUA!O:O,"SF",ÁGUA!Q:Q,"SF",ÁGUA!S:S,"SF",ÁGUA!U:U,"SF",ÁGUA!W:W,"SF",ÁGUA!Y:Y,"SF",ÁGUA!AC:AC,"SF",ÁGUA!AA:AA,"SF")</f>
        <v>5</v>
      </c>
      <c r="E6" s="44">
        <f>IFERROR(D6/B4,"-")</f>
        <v>6.2656641604010022E-3</v>
      </c>
    </row>
    <row r="7" spans="1:9" s="49" customFormat="1" ht="35.1" customHeight="1">
      <c r="A7" s="34"/>
      <c r="B7" s="89" t="s">
        <v>163</v>
      </c>
      <c r="C7" s="88" t="s">
        <v>161</v>
      </c>
      <c r="D7" s="89" t="s">
        <v>164</v>
      </c>
      <c r="E7" s="88" t="s">
        <v>161</v>
      </c>
    </row>
    <row r="8" spans="1:9" s="49" customFormat="1" ht="35.1" customHeight="1" thickBot="1">
      <c r="A8" s="34"/>
      <c r="B8" s="85">
        <f>B4-B6</f>
        <v>0</v>
      </c>
      <c r="C8" s="44">
        <f>IFERROR(B8/B4,"-")</f>
        <v>0</v>
      </c>
      <c r="D8" s="85">
        <f>COUNTIFS(ÁGUA!O:O,"na",ÁGUA!Q:Q,"na",ÁGUA!S:S,"na",ÁGUA!U:U,"na",ÁGUA!W:W,"na",ÁGUA!Y:Y,"na",ÁGUA!AC:AC,"na",ÁGUA!AA:AA,"na")</f>
        <v>47</v>
      </c>
      <c r="E8" s="44">
        <f>IFERROR(D8/B4,"-")</f>
        <v>5.889724310776942E-2</v>
      </c>
    </row>
    <row r="9" spans="1:9" s="49" customFormat="1" ht="20.100000000000001" customHeight="1">
      <c r="A9" s="34"/>
      <c r="B9" s="34"/>
      <c r="C9" s="34"/>
      <c r="D9" s="34"/>
      <c r="E9" s="34"/>
    </row>
    <row r="10" spans="1:9" s="49" customFormat="1" ht="20.100000000000001" customHeight="1">
      <c r="A10" s="34"/>
      <c r="B10" s="34"/>
      <c r="C10" s="34"/>
      <c r="D10" s="34"/>
      <c r="E10" s="34"/>
    </row>
    <row r="11" spans="1:9" s="33" customFormat="1" ht="35.1" customHeight="1">
      <c r="A11" s="374" t="s">
        <v>165</v>
      </c>
      <c r="B11" s="374"/>
      <c r="C11" s="374"/>
      <c r="D11" s="374"/>
      <c r="E11" s="374"/>
      <c r="F11" s="374"/>
      <c r="G11" s="374"/>
    </row>
    <row r="12" spans="1:9" s="26" customFormat="1" ht="19.899999999999999" customHeight="1"/>
    <row r="13" spans="1:9" s="27" customFormat="1" ht="19.899999999999999" customHeight="1"/>
    <row r="14" spans="1:9" s="27" customFormat="1" ht="19.899999999999999" customHeight="1">
      <c r="A14" s="24"/>
      <c r="B14" s="24"/>
      <c r="C14" s="28"/>
      <c r="D14" s="28"/>
      <c r="E14" s="24"/>
    </row>
    <row r="15" spans="1:9" s="27" customFormat="1" ht="19.899999999999999" customHeight="1">
      <c r="A15" s="24"/>
      <c r="B15" s="24"/>
      <c r="C15" s="28"/>
      <c r="D15" s="28"/>
      <c r="E15" s="24"/>
    </row>
    <row r="16" spans="1:9" s="27" customFormat="1" ht="19.899999999999999" customHeight="1"/>
    <row r="17" s="27" customFormat="1" ht="19.899999999999999" customHeight="1"/>
    <row r="40" spans="1:7" ht="35.1" customHeight="1">
      <c r="A40" s="374" t="s">
        <v>166</v>
      </c>
      <c r="B40" s="374"/>
      <c r="C40" s="374"/>
      <c r="D40" s="374"/>
      <c r="E40" s="374"/>
      <c r="F40" s="374"/>
      <c r="G40" s="374"/>
    </row>
    <row r="69" spans="1:7" s="33" customFormat="1" ht="35.1" customHeight="1">
      <c r="A69" s="374" t="s">
        <v>167</v>
      </c>
      <c r="B69" s="374"/>
      <c r="C69" s="374"/>
      <c r="D69" s="374"/>
      <c r="E69" s="374"/>
      <c r="F69" s="374"/>
      <c r="G69" s="374"/>
    </row>
    <row r="101" spans="1:15" ht="19.5" customHeight="1"/>
    <row r="102" spans="1:15" ht="19.5" customHeight="1"/>
    <row r="103" spans="1:15" s="35" customFormat="1" ht="35.1" customHeight="1">
      <c r="A103" s="374" t="s">
        <v>168</v>
      </c>
      <c r="B103" s="374"/>
      <c r="C103" s="374"/>
      <c r="D103" s="374"/>
      <c r="E103" s="374"/>
      <c r="F103" s="374"/>
      <c r="G103" s="374"/>
      <c r="H103" s="374"/>
      <c r="I103" s="374"/>
      <c r="J103" s="374"/>
      <c r="K103" s="374"/>
      <c r="L103" s="91"/>
      <c r="M103" s="91"/>
      <c r="N103" s="91"/>
      <c r="O103" s="91"/>
    </row>
  </sheetData>
  <sheetProtection formatCells="0" formatColumns="0" formatRows="0" insertColumns="0" insertRows="0" insertHyperlinks="0" deleteColumns="0" deleteRows="0" sort="0" autoFilter="0" pivotTables="0"/>
  <mergeCells count="9">
    <mergeCell ref="A11:G11"/>
    <mergeCell ref="A40:G40"/>
    <mergeCell ref="A69:G69"/>
    <mergeCell ref="A103:K103"/>
    <mergeCell ref="A1:F1"/>
    <mergeCell ref="B4:C4"/>
    <mergeCell ref="B3:C3"/>
    <mergeCell ref="D3:E3"/>
    <mergeCell ref="D4:E4"/>
  </mergeCells>
  <pageMargins left="0.25" right="0.25" top="0.75" bottom="0.75" header="0.3" footer="0.3"/>
  <pageSetup paperSize="9" scale="34"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K1000"/>
  <sheetViews>
    <sheetView zoomScale="55" zoomScaleNormal="55" workbookViewId="0">
      <pane ySplit="1" topLeftCell="O678" activePane="bottomLeft" state="frozen"/>
      <selection pane="bottomLeft" activeCell="J715" sqref="J715"/>
      <selection activeCell="L131" sqref="L131"/>
    </sheetView>
  </sheetViews>
  <sheetFormatPr defaultColWidth="9.140625" defaultRowHeight="30" customHeight="1"/>
  <cols>
    <col min="1" max="1" width="61.7109375" style="51" customWidth="1"/>
    <col min="2" max="2" width="25.28515625" style="51" customWidth="1"/>
    <col min="3" max="3" width="58" style="51" bestFit="1" customWidth="1"/>
    <col min="4" max="4" width="20.140625" style="51" customWidth="1"/>
    <col min="5" max="5" width="23.5703125" style="51" bestFit="1" customWidth="1"/>
    <col min="6" max="6" width="70.28515625" style="51" bestFit="1" customWidth="1"/>
    <col min="7" max="7" width="20.7109375" style="51" bestFit="1" customWidth="1"/>
    <col min="8" max="8" width="29.28515625" style="51" bestFit="1" customWidth="1"/>
    <col min="9" max="9" width="18.85546875" style="51" customWidth="1"/>
    <col min="10" max="10" width="58" style="51" bestFit="1" customWidth="1"/>
    <col min="11" max="11" width="51.5703125" style="51" bestFit="1" customWidth="1"/>
    <col min="12" max="12" width="39.140625" style="51" bestFit="1" customWidth="1"/>
    <col min="13" max="13" width="36.28515625" style="51" bestFit="1" customWidth="1"/>
    <col min="14" max="14" width="51.5703125" style="55" customWidth="1"/>
    <col min="15" max="15" width="24.85546875" style="51" bestFit="1" customWidth="1"/>
    <col min="16" max="16" width="38.85546875" style="51" bestFit="1" customWidth="1"/>
    <col min="17" max="17" width="29.42578125" style="51" bestFit="1" customWidth="1"/>
    <col min="18" max="18" width="43" style="51" bestFit="1" customWidth="1"/>
    <col min="19" max="19" width="26.85546875" style="51" bestFit="1" customWidth="1"/>
    <col min="20" max="20" width="39.85546875" style="51" bestFit="1" customWidth="1"/>
    <col min="21" max="21" width="28" style="51" bestFit="1" customWidth="1"/>
    <col min="22" max="22" width="41.42578125" style="51" bestFit="1" customWidth="1"/>
    <col min="23" max="23" width="35" style="51" bestFit="1" customWidth="1"/>
    <col min="24" max="24" width="48" style="51" bestFit="1" customWidth="1"/>
    <col min="25" max="25" width="35.140625" style="51" bestFit="1" customWidth="1"/>
    <col min="26" max="26" width="47.140625" style="51" bestFit="1" customWidth="1"/>
    <col min="27" max="27" width="34.42578125" style="51" bestFit="1" customWidth="1"/>
    <col min="28" max="28" width="46.42578125" style="51" bestFit="1" customWidth="1"/>
    <col min="29" max="29" width="29.42578125" style="51" bestFit="1" customWidth="1"/>
    <col min="30" max="30" width="43" style="51" bestFit="1" customWidth="1"/>
    <col min="31" max="32" width="37.28515625" style="51" bestFit="1" customWidth="1"/>
    <col min="33" max="33" width="67.140625" style="51" customWidth="1"/>
    <col min="34" max="34" width="22" style="51" customWidth="1"/>
    <col min="35" max="35" width="23.5703125" style="51" bestFit="1" customWidth="1"/>
    <col min="36" max="36" width="25.5703125" style="51" bestFit="1" customWidth="1"/>
    <col min="37" max="37" width="55.42578125" style="51" bestFit="1" customWidth="1"/>
    <col min="38" max="16384" width="9.140625" style="10"/>
  </cols>
  <sheetData>
    <row r="1" spans="1:37" s="51" customFormat="1" ht="33" customHeight="1">
      <c r="A1" s="231" t="s">
        <v>169</v>
      </c>
      <c r="B1" s="231" t="s">
        <v>170</v>
      </c>
      <c r="C1" s="231" t="s">
        <v>171</v>
      </c>
      <c r="D1" s="231" t="s">
        <v>172</v>
      </c>
      <c r="E1" s="231" t="s">
        <v>173</v>
      </c>
      <c r="F1" s="231" t="s">
        <v>174</v>
      </c>
      <c r="G1" s="231" t="s">
        <v>175</v>
      </c>
      <c r="H1" s="231" t="s">
        <v>176</v>
      </c>
      <c r="I1" s="231" t="s">
        <v>177</v>
      </c>
      <c r="J1" s="231" t="s">
        <v>178</v>
      </c>
      <c r="K1" s="231" t="s">
        <v>179</v>
      </c>
      <c r="L1" s="231" t="s">
        <v>180</v>
      </c>
      <c r="M1" s="231" t="s">
        <v>181</v>
      </c>
      <c r="N1" s="232" t="s">
        <v>70</v>
      </c>
      <c r="O1" s="233" t="s">
        <v>61</v>
      </c>
      <c r="P1" s="233" t="s">
        <v>182</v>
      </c>
      <c r="Q1" s="233" t="s">
        <v>62</v>
      </c>
      <c r="R1" s="233" t="s">
        <v>183</v>
      </c>
      <c r="S1" s="233" t="s">
        <v>63</v>
      </c>
      <c r="T1" s="233" t="s">
        <v>184</v>
      </c>
      <c r="U1" s="233" t="s">
        <v>64</v>
      </c>
      <c r="V1" s="233" t="s">
        <v>185</v>
      </c>
      <c r="W1" s="233" t="s">
        <v>65</v>
      </c>
      <c r="X1" s="233" t="s">
        <v>186</v>
      </c>
      <c r="Y1" s="233" t="s">
        <v>66</v>
      </c>
      <c r="Z1" s="233" t="s">
        <v>187</v>
      </c>
      <c r="AA1" s="233" t="s">
        <v>188</v>
      </c>
      <c r="AB1" s="233" t="s">
        <v>189</v>
      </c>
      <c r="AC1" s="233" t="s">
        <v>68</v>
      </c>
      <c r="AD1" s="233" t="s">
        <v>190</v>
      </c>
      <c r="AE1" s="316" t="s">
        <v>191</v>
      </c>
      <c r="AF1" s="316" t="s">
        <v>192</v>
      </c>
      <c r="AG1" s="233" t="s">
        <v>193</v>
      </c>
      <c r="AH1" s="233" t="s">
        <v>194</v>
      </c>
      <c r="AI1" s="234" t="s">
        <v>195</v>
      </c>
      <c r="AJ1" s="234" t="s">
        <v>196</v>
      </c>
      <c r="AK1" s="234" t="s">
        <v>197</v>
      </c>
    </row>
    <row r="2" spans="1:37" s="51" customFormat="1" ht="30" customHeight="1">
      <c r="A2" s="197" t="s">
        <v>198</v>
      </c>
      <c r="B2" s="198">
        <v>2617928572</v>
      </c>
      <c r="C2" s="198" t="s">
        <v>121</v>
      </c>
      <c r="D2" s="198" t="s">
        <v>96</v>
      </c>
      <c r="E2" s="198" t="s">
        <v>35</v>
      </c>
      <c r="F2" s="198" t="s">
        <v>199</v>
      </c>
      <c r="G2" s="198">
        <v>102</v>
      </c>
      <c r="H2" s="198" t="s">
        <v>200</v>
      </c>
      <c r="I2" s="198" t="s">
        <v>201</v>
      </c>
      <c r="J2" s="198" t="s">
        <v>202</v>
      </c>
      <c r="K2" s="198" t="s">
        <v>200</v>
      </c>
      <c r="L2" s="199">
        <v>46143.291666666664</v>
      </c>
      <c r="M2" s="199">
        <v>46143.292361111111</v>
      </c>
      <c r="N2" s="198" t="s">
        <v>203</v>
      </c>
      <c r="O2" s="220" t="s">
        <v>77</v>
      </c>
      <c r="P2" s="177"/>
      <c r="Q2" s="221" t="s">
        <v>77</v>
      </c>
      <c r="R2" s="177"/>
      <c r="S2" s="221" t="s">
        <v>77</v>
      </c>
      <c r="T2" s="177"/>
      <c r="U2" s="221" t="s">
        <v>77</v>
      </c>
      <c r="V2" s="177"/>
      <c r="W2" s="221" t="s">
        <v>77</v>
      </c>
      <c r="X2" s="177"/>
      <c r="Y2" s="221" t="s">
        <v>77</v>
      </c>
      <c r="Z2" s="177"/>
      <c r="AA2" s="221" t="s">
        <v>77</v>
      </c>
      <c r="AB2" s="177"/>
      <c r="AC2" s="221" t="s">
        <v>77</v>
      </c>
      <c r="AD2" s="222"/>
      <c r="AE2" s="221" t="s">
        <v>77</v>
      </c>
      <c r="AF2" s="178" t="str">
        <f>IF(AND(O2="",Q2="",S2="",U2="",W2="",Y2="",AA2="",AC2=""),"",IF(OR(AND(O2&lt;&gt;"NA",O2&lt;&gt;"C",O2&lt;&gt;"NC",O2&lt;&gt;"SF",O2&lt;&gt;""),AND(Q2&lt;&gt;"NA",Q2&lt;&gt;"C",Q2&lt;&gt;"NC",Q2&lt;&gt;"SF",Q2&lt;&gt;""),AND(S2&lt;&gt;"NA",S2&lt;&gt;"C",S2&lt;&gt;"NC",S2&lt;&gt;"SF",S2&lt;&gt;""),AND(U2&lt;&gt;"NA",U2&lt;&gt;"C",U2&lt;&gt;"NC",U2&lt;&gt;"SF",U2&lt;&gt;""),AND(W2&lt;&gt;"NA",W2&lt;&gt;"C",W2&lt;&gt;"NC",W2&lt;&gt;"SF",W2&lt;&gt;""),AND(Y2&lt;&gt;"NA",Y2&lt;&gt;"C",Y2&lt;&gt;"NC",Y2&lt;&gt;"SF",Y2&lt;&gt;""),AND(AA2&lt;&gt;"NA",AA2&lt;&gt;"C",AA2&lt;&gt;"NC",AA2&lt;&gt;"SF",AA2&lt;&gt;""),AND(AC2&lt;&gt;"NA",AC2&lt;&gt;"C",AC2&lt;&gt;"NC",AC2&lt;&gt;"SF",AC2&lt;&gt;"")),"FALSO",IF(AND(O2="NA",Q2="NA",S2="NA",U2="NA",W2="NA",Y2="NA",AA2="NA",AC2="NA"),"NA",IF(OR(O2="NC",Q2="NC",S2="NC",U2="NC",W2="NC",Y2="NC",AA2="NC",AC2="NC",O2="SF",Q2="SF",S2="SF",U2="SF",W2="SF",Y2="SF",AA2="SF",AC2="SF"),"NC",IF(OR(O2="C",Q2="C",S2="C",U2="C",W2="C",Y2="C",AA2="C",AC2="C"),"C","")))))</f>
        <v>NA</v>
      </c>
      <c r="AG2" s="222" t="str">
        <f>IF(AND(AE2="C",AF2="C"),"UTILIZOU O PDA CORRETAMENTE",IF(AND(AE2="C",AF2="NC"),"UTILIZOU O PDA CORRETAMENTE. NÃO HÁ FOTOS DE TODAS AS ETAPAS",IF(AND(AE2="NC",AF2="NC"),"NÃO UTILIZOU O PDA",IF(AND(AE2="NA",AF2="NA"),"NÃO AVALIADO POR FALHA DE SINCRONISMO"))))</f>
        <v>NÃO AVALIADO POR FALHA DE SINCRONISMO</v>
      </c>
      <c r="AH2" s="221"/>
      <c r="AI2" s="223" t="s">
        <v>36</v>
      </c>
      <c r="AJ2" s="224" t="str">
        <f>E2</f>
        <v>SÃO PAULO</v>
      </c>
      <c r="AK2" s="225" t="s">
        <v>54</v>
      </c>
    </row>
    <row r="3" spans="1:37" ht="30" customHeight="1">
      <c r="A3" s="198" t="s">
        <v>198</v>
      </c>
      <c r="B3" s="198">
        <v>2617564075</v>
      </c>
      <c r="C3" s="198" t="s">
        <v>111</v>
      </c>
      <c r="D3" s="198" t="s">
        <v>92</v>
      </c>
      <c r="E3" s="198" t="s">
        <v>35</v>
      </c>
      <c r="F3" s="198" t="s">
        <v>204</v>
      </c>
      <c r="G3" s="198">
        <v>10095</v>
      </c>
      <c r="H3" s="198" t="s">
        <v>205</v>
      </c>
      <c r="I3" s="198" t="s">
        <v>36</v>
      </c>
      <c r="J3" s="198" t="s">
        <v>111</v>
      </c>
      <c r="K3" s="198"/>
      <c r="L3" s="199">
        <v>46143.421527777777</v>
      </c>
      <c r="M3" s="199">
        <v>46143.42291666667</v>
      </c>
      <c r="N3" s="198" t="s">
        <v>206</v>
      </c>
      <c r="O3" s="151" t="s">
        <v>207</v>
      </c>
      <c r="P3" s="137"/>
      <c r="Q3" s="138" t="s">
        <v>77</v>
      </c>
      <c r="R3" s="137"/>
      <c r="S3" s="138" t="s">
        <v>77</v>
      </c>
      <c r="T3" s="137"/>
      <c r="U3" s="138" t="s">
        <v>77</v>
      </c>
      <c r="V3" s="137"/>
      <c r="W3" s="138" t="s">
        <v>77</v>
      </c>
      <c r="X3" s="137"/>
      <c r="Y3" s="138" t="s">
        <v>77</v>
      </c>
      <c r="Z3" s="137"/>
      <c r="AA3" s="138" t="s">
        <v>77</v>
      </c>
      <c r="AB3" s="137"/>
      <c r="AC3" s="138" t="s">
        <v>207</v>
      </c>
      <c r="AD3" s="54"/>
      <c r="AE3" s="138" t="s">
        <v>207</v>
      </c>
      <c r="AF3" s="178" t="str">
        <f t="shared" ref="AF3:AF66" si="0">IF(AND(O3="",Q3="",S3="",U3="",W3="",Y3="",AA3="",AC3=""),"",IF(OR(AND(O3&lt;&gt;"NA",O3&lt;&gt;"C",O3&lt;&gt;"NC",O3&lt;&gt;"SF",O3&lt;&gt;""),AND(Q3&lt;&gt;"NA",Q3&lt;&gt;"C",Q3&lt;&gt;"NC",Q3&lt;&gt;"SF",Q3&lt;&gt;""),AND(S3&lt;&gt;"NA",S3&lt;&gt;"C",S3&lt;&gt;"NC",S3&lt;&gt;"SF",S3&lt;&gt;""),AND(U3&lt;&gt;"NA",U3&lt;&gt;"C",U3&lt;&gt;"NC",U3&lt;&gt;"SF",U3&lt;&gt;""),AND(W3&lt;&gt;"NA",W3&lt;&gt;"C",W3&lt;&gt;"NC",W3&lt;&gt;"SF",W3&lt;&gt;""),AND(Y3&lt;&gt;"NA",Y3&lt;&gt;"C",Y3&lt;&gt;"NC",Y3&lt;&gt;"SF",Y3&lt;&gt;""),AND(AA3&lt;&gt;"NA",AA3&lt;&gt;"C",AA3&lt;&gt;"NC",AA3&lt;&gt;"SF",AA3&lt;&gt;""),AND(AC3&lt;&gt;"NA",AC3&lt;&gt;"C",AC3&lt;&gt;"NC",AC3&lt;&gt;"SF",AC3&lt;&gt;"")),"FALSO",IF(AND(O3="NA",Q3="NA",S3="NA",U3="NA",W3="NA",Y3="NA",AA3="NA",AC3="NA"),"NA",IF(OR(O3="NC",Q3="NC",S3="NC",U3="NC",W3="NC",Y3="NC",AA3="NC",AC3="NC",O3="SF",Q3="SF",S3="SF",U3="SF",W3="SF",Y3="SF",AA3="SF",AC3="SF"),"NC",IF(OR(O3="C",Q3="C",S3="C",U3="C",W3="C",Y3="C",AA3="C",AC3="C"),"C","")))))</f>
        <v>C</v>
      </c>
      <c r="AG3" s="54" t="str">
        <f t="shared" ref="AG3:AG66" si="1">IF(AND(AE3="C",AF3="C"),"UTILIZOU O PDA CORRETAMENTE",IF(AND(AE3="C",AF3="NC"),"UTILIZOU O PDA CORRETAMENTE. NÃO HÁ FOTOS DE TODAS AS ETAPAS",IF(AND(AE3="NC",AF3="NC"),"NÃO UTILIZOU O PDA",IF(AND(AE3="NA",AF3="NA"),"NÃO AVALIADO POR FALHA DE SINCRONISMO"))))</f>
        <v>UTILIZOU O PDA CORRETAMENTE</v>
      </c>
      <c r="AH3" s="138" t="s">
        <v>207</v>
      </c>
      <c r="AI3" s="226" t="s">
        <v>36</v>
      </c>
      <c r="AJ3" s="224" t="str">
        <f t="shared" ref="AJ3:AJ66" si="2">E3</f>
        <v>SÃO PAULO</v>
      </c>
      <c r="AK3" s="227" t="s">
        <v>54</v>
      </c>
    </row>
    <row r="4" spans="1:37" ht="30" customHeight="1">
      <c r="A4" s="198" t="s">
        <v>198</v>
      </c>
      <c r="B4" s="198">
        <v>2617564074</v>
      </c>
      <c r="C4" s="198" t="s">
        <v>109</v>
      </c>
      <c r="D4" s="198" t="s">
        <v>92</v>
      </c>
      <c r="E4" s="198" t="s">
        <v>35</v>
      </c>
      <c r="F4" s="198" t="s">
        <v>204</v>
      </c>
      <c r="G4" s="198">
        <v>10095</v>
      </c>
      <c r="H4" s="198" t="s">
        <v>208</v>
      </c>
      <c r="I4" s="198" t="s">
        <v>36</v>
      </c>
      <c r="J4" s="198" t="s">
        <v>109</v>
      </c>
      <c r="K4" s="198" t="s">
        <v>200</v>
      </c>
      <c r="L4" s="199">
        <v>46143.42291666667</v>
      </c>
      <c r="M4" s="199">
        <v>46143.424305555556</v>
      </c>
      <c r="N4" s="198" t="s">
        <v>206</v>
      </c>
      <c r="O4" s="151" t="s">
        <v>207</v>
      </c>
      <c r="P4" s="137"/>
      <c r="Q4" s="138" t="s">
        <v>77</v>
      </c>
      <c r="R4" s="137"/>
      <c r="S4" s="138" t="s">
        <v>77</v>
      </c>
      <c r="T4" s="137"/>
      <c r="U4" s="138" t="s">
        <v>77</v>
      </c>
      <c r="V4" s="137"/>
      <c r="W4" s="138" t="s">
        <v>77</v>
      </c>
      <c r="X4" s="137"/>
      <c r="Y4" s="138" t="s">
        <v>77</v>
      </c>
      <c r="Z4" s="137"/>
      <c r="AA4" s="138" t="s">
        <v>77</v>
      </c>
      <c r="AB4" s="137"/>
      <c r="AC4" s="138" t="s">
        <v>207</v>
      </c>
      <c r="AD4" s="54"/>
      <c r="AE4" s="138" t="s">
        <v>207</v>
      </c>
      <c r="AF4" s="178" t="str">
        <f t="shared" si="0"/>
        <v>C</v>
      </c>
      <c r="AG4" s="54" t="str">
        <f t="shared" si="1"/>
        <v>UTILIZOU O PDA CORRETAMENTE</v>
      </c>
      <c r="AH4" s="138" t="s">
        <v>207</v>
      </c>
      <c r="AI4" s="226" t="s">
        <v>36</v>
      </c>
      <c r="AJ4" s="224" t="str">
        <f t="shared" si="2"/>
        <v>SÃO PAULO</v>
      </c>
      <c r="AK4" s="227" t="s">
        <v>54</v>
      </c>
    </row>
    <row r="5" spans="1:37" ht="30" customHeight="1">
      <c r="A5" s="198" t="s">
        <v>198</v>
      </c>
      <c r="B5" s="198">
        <v>2617733834</v>
      </c>
      <c r="C5" s="198" t="s">
        <v>109</v>
      </c>
      <c r="D5" s="198" t="s">
        <v>92</v>
      </c>
      <c r="E5" s="198" t="s">
        <v>35</v>
      </c>
      <c r="F5" s="198" t="s">
        <v>204</v>
      </c>
      <c r="G5" s="198">
        <v>2901</v>
      </c>
      <c r="H5" s="198" t="s">
        <v>208</v>
      </c>
      <c r="I5" s="198" t="s">
        <v>209</v>
      </c>
      <c r="J5" s="198" t="s">
        <v>109</v>
      </c>
      <c r="K5" s="198"/>
      <c r="L5" s="199">
        <v>46143.453472222223</v>
      </c>
      <c r="M5" s="199">
        <v>46143.463888888888</v>
      </c>
      <c r="N5" s="198" t="s">
        <v>206</v>
      </c>
      <c r="O5" s="151" t="s">
        <v>207</v>
      </c>
      <c r="P5" s="137"/>
      <c r="Q5" s="138" t="s">
        <v>77</v>
      </c>
      <c r="R5" s="137"/>
      <c r="S5" s="138" t="s">
        <v>77</v>
      </c>
      <c r="T5" s="137"/>
      <c r="U5" s="138" t="s">
        <v>77</v>
      </c>
      <c r="V5" s="137"/>
      <c r="W5" s="138" t="s">
        <v>77</v>
      </c>
      <c r="X5" s="137"/>
      <c r="Y5" s="138" t="s">
        <v>77</v>
      </c>
      <c r="Z5" s="137"/>
      <c r="AA5" s="138" t="s">
        <v>77</v>
      </c>
      <c r="AB5" s="137"/>
      <c r="AC5" s="138" t="s">
        <v>207</v>
      </c>
      <c r="AD5" s="54"/>
      <c r="AE5" s="138" t="s">
        <v>207</v>
      </c>
      <c r="AF5" s="178" t="str">
        <f t="shared" si="0"/>
        <v>C</v>
      </c>
      <c r="AG5" s="54" t="str">
        <f t="shared" si="1"/>
        <v>UTILIZOU O PDA CORRETAMENTE</v>
      </c>
      <c r="AH5" s="138" t="s">
        <v>207</v>
      </c>
      <c r="AI5" s="226" t="s">
        <v>36</v>
      </c>
      <c r="AJ5" s="224" t="str">
        <f t="shared" si="2"/>
        <v>SÃO PAULO</v>
      </c>
      <c r="AK5" s="227" t="s">
        <v>54</v>
      </c>
    </row>
    <row r="6" spans="1:37" ht="30" customHeight="1">
      <c r="A6" s="198" t="s">
        <v>198</v>
      </c>
      <c r="B6" s="198">
        <v>2617733862</v>
      </c>
      <c r="C6" s="198" t="s">
        <v>111</v>
      </c>
      <c r="D6" s="198" t="s">
        <v>92</v>
      </c>
      <c r="E6" s="198" t="s">
        <v>35</v>
      </c>
      <c r="F6" s="198" t="s">
        <v>204</v>
      </c>
      <c r="G6" s="198">
        <v>2901</v>
      </c>
      <c r="H6" s="198" t="s">
        <v>205</v>
      </c>
      <c r="I6" s="198" t="s">
        <v>209</v>
      </c>
      <c r="J6" s="198" t="s">
        <v>111</v>
      </c>
      <c r="K6" s="198" t="s">
        <v>200</v>
      </c>
      <c r="L6" s="199">
        <v>46143.463888888888</v>
      </c>
      <c r="M6" s="199">
        <v>46143.466666666667</v>
      </c>
      <c r="N6" s="198" t="s">
        <v>206</v>
      </c>
      <c r="O6" s="151" t="s">
        <v>207</v>
      </c>
      <c r="P6" s="137"/>
      <c r="Q6" s="138" t="s">
        <v>77</v>
      </c>
      <c r="R6" s="137"/>
      <c r="S6" s="138" t="s">
        <v>77</v>
      </c>
      <c r="T6" s="137"/>
      <c r="U6" s="138" t="s">
        <v>77</v>
      </c>
      <c r="V6" s="137"/>
      <c r="W6" s="138" t="s">
        <v>77</v>
      </c>
      <c r="X6" s="137"/>
      <c r="Y6" s="138" t="s">
        <v>77</v>
      </c>
      <c r="Z6" s="137"/>
      <c r="AA6" s="138" t="s">
        <v>77</v>
      </c>
      <c r="AB6" s="137"/>
      <c r="AC6" s="138" t="s">
        <v>207</v>
      </c>
      <c r="AD6" s="54"/>
      <c r="AE6" s="138" t="s">
        <v>207</v>
      </c>
      <c r="AF6" s="178" t="str">
        <f t="shared" si="0"/>
        <v>C</v>
      </c>
      <c r="AG6" s="54" t="str">
        <f t="shared" si="1"/>
        <v>UTILIZOU O PDA CORRETAMENTE</v>
      </c>
      <c r="AH6" s="138" t="s">
        <v>207</v>
      </c>
      <c r="AI6" s="226" t="s">
        <v>36</v>
      </c>
      <c r="AJ6" s="224" t="str">
        <f t="shared" si="2"/>
        <v>SÃO PAULO</v>
      </c>
      <c r="AK6" s="227" t="s">
        <v>54</v>
      </c>
    </row>
    <row r="7" spans="1:37" ht="30" customHeight="1">
      <c r="A7" s="198" t="s">
        <v>198</v>
      </c>
      <c r="B7" s="198">
        <v>2616905705</v>
      </c>
      <c r="C7" s="198" t="s">
        <v>107</v>
      </c>
      <c r="D7" s="198" t="s">
        <v>92</v>
      </c>
      <c r="E7" s="198" t="s">
        <v>35</v>
      </c>
      <c r="F7" s="198" t="s">
        <v>210</v>
      </c>
      <c r="G7" s="198">
        <v>238</v>
      </c>
      <c r="H7" s="198"/>
      <c r="I7" s="198" t="s">
        <v>211</v>
      </c>
      <c r="J7" s="198" t="s">
        <v>212</v>
      </c>
      <c r="K7" s="198"/>
      <c r="L7" s="199">
        <v>46143.49722222222</v>
      </c>
      <c r="M7" s="199">
        <v>46143.534722222219</v>
      </c>
      <c r="N7" s="198" t="s">
        <v>213</v>
      </c>
      <c r="O7" s="151" t="s">
        <v>207</v>
      </c>
      <c r="P7" s="137"/>
      <c r="Q7" s="138" t="s">
        <v>214</v>
      </c>
      <c r="R7" s="137"/>
      <c r="S7" s="138" t="s">
        <v>207</v>
      </c>
      <c r="T7" s="137"/>
      <c r="U7" s="138" t="s">
        <v>207</v>
      </c>
      <c r="V7" s="137"/>
      <c r="W7" s="138" t="s">
        <v>214</v>
      </c>
      <c r="X7" s="137"/>
      <c r="Y7" s="138" t="s">
        <v>77</v>
      </c>
      <c r="Z7" s="137"/>
      <c r="AA7" s="138" t="s">
        <v>214</v>
      </c>
      <c r="AB7" s="137"/>
      <c r="AC7" s="138" t="s">
        <v>215</v>
      </c>
      <c r="AD7" s="54" t="s">
        <v>216</v>
      </c>
      <c r="AE7" s="138" t="s">
        <v>207</v>
      </c>
      <c r="AF7" s="178" t="str">
        <f t="shared" si="0"/>
        <v>NC</v>
      </c>
      <c r="AG7" s="54" t="str">
        <f t="shared" si="1"/>
        <v>UTILIZOU O PDA CORRETAMENTE. NÃO HÁ FOTOS DE TODAS AS ETAPAS</v>
      </c>
      <c r="AH7" s="138" t="s">
        <v>207</v>
      </c>
      <c r="AI7" s="226" t="s">
        <v>36</v>
      </c>
      <c r="AJ7" s="224" t="str">
        <f t="shared" si="2"/>
        <v>SÃO PAULO</v>
      </c>
      <c r="AK7" s="227" t="s">
        <v>54</v>
      </c>
    </row>
    <row r="8" spans="1:37" ht="30" customHeight="1">
      <c r="A8" s="198" t="s">
        <v>198</v>
      </c>
      <c r="B8" s="198">
        <v>2617994869</v>
      </c>
      <c r="C8" s="198" t="s">
        <v>120</v>
      </c>
      <c r="D8" s="198" t="s">
        <v>96</v>
      </c>
      <c r="E8" s="198" t="s">
        <v>35</v>
      </c>
      <c r="F8" s="198" t="s">
        <v>217</v>
      </c>
      <c r="G8" s="198">
        <v>79</v>
      </c>
      <c r="H8" s="198" t="s">
        <v>200</v>
      </c>
      <c r="I8" s="198" t="s">
        <v>218</v>
      </c>
      <c r="J8" s="198" t="s">
        <v>202</v>
      </c>
      <c r="K8" s="198" t="s">
        <v>200</v>
      </c>
      <c r="L8" s="199">
        <v>46143</v>
      </c>
      <c r="M8" s="199">
        <v>46143.003472222219</v>
      </c>
      <c r="N8" s="198" t="s">
        <v>203</v>
      </c>
      <c r="O8" s="151" t="s">
        <v>77</v>
      </c>
      <c r="P8" s="137"/>
      <c r="Q8" s="138" t="s">
        <v>77</v>
      </c>
      <c r="R8" s="137"/>
      <c r="S8" s="138" t="s">
        <v>77</v>
      </c>
      <c r="T8" s="137"/>
      <c r="U8" s="138" t="s">
        <v>77</v>
      </c>
      <c r="V8" s="137"/>
      <c r="W8" s="138" t="s">
        <v>77</v>
      </c>
      <c r="X8" s="137"/>
      <c r="Y8" s="138" t="s">
        <v>77</v>
      </c>
      <c r="Z8" s="137"/>
      <c r="AA8" s="138" t="s">
        <v>77</v>
      </c>
      <c r="AB8" s="137"/>
      <c r="AC8" s="138" t="s">
        <v>77</v>
      </c>
      <c r="AD8" s="54"/>
      <c r="AE8" s="138" t="s">
        <v>77</v>
      </c>
      <c r="AF8" s="178" t="str">
        <f t="shared" si="0"/>
        <v>NA</v>
      </c>
      <c r="AG8" s="54" t="str">
        <f t="shared" si="1"/>
        <v>NÃO AVALIADO POR FALHA DE SINCRONISMO</v>
      </c>
      <c r="AH8" s="138" t="s">
        <v>207</v>
      </c>
      <c r="AI8" s="226" t="s">
        <v>36</v>
      </c>
      <c r="AJ8" s="224" t="str">
        <f t="shared" si="2"/>
        <v>SÃO PAULO</v>
      </c>
      <c r="AK8" s="227" t="s">
        <v>54</v>
      </c>
    </row>
    <row r="9" spans="1:37" ht="30" customHeight="1">
      <c r="A9" s="198" t="s">
        <v>198</v>
      </c>
      <c r="B9" s="198">
        <v>2618111511</v>
      </c>
      <c r="C9" s="198" t="s">
        <v>116</v>
      </c>
      <c r="D9" s="198" t="s">
        <v>94</v>
      </c>
      <c r="E9" s="198" t="s">
        <v>35</v>
      </c>
      <c r="F9" s="198" t="s">
        <v>219</v>
      </c>
      <c r="G9" s="198">
        <v>158</v>
      </c>
      <c r="H9" s="198"/>
      <c r="I9" s="198" t="s">
        <v>220</v>
      </c>
      <c r="J9" s="198" t="s">
        <v>221</v>
      </c>
      <c r="K9" s="198"/>
      <c r="L9" s="199">
        <v>46143</v>
      </c>
      <c r="M9" s="199">
        <v>46143.001388888886</v>
      </c>
      <c r="N9" s="198" t="s">
        <v>222</v>
      </c>
      <c r="O9" s="151" t="s">
        <v>77</v>
      </c>
      <c r="P9" s="137"/>
      <c r="Q9" s="138" t="s">
        <v>77</v>
      </c>
      <c r="R9" s="137"/>
      <c r="S9" s="138" t="s">
        <v>77</v>
      </c>
      <c r="T9" s="137"/>
      <c r="U9" s="138" t="s">
        <v>77</v>
      </c>
      <c r="V9" s="137"/>
      <c r="W9" s="138" t="s">
        <v>77</v>
      </c>
      <c r="X9" s="137"/>
      <c r="Y9" s="138" t="s">
        <v>77</v>
      </c>
      <c r="Z9" s="137"/>
      <c r="AA9" s="138" t="s">
        <v>77</v>
      </c>
      <c r="AB9" s="137"/>
      <c r="AC9" s="138" t="s">
        <v>77</v>
      </c>
      <c r="AD9" s="54"/>
      <c r="AE9" s="138" t="s">
        <v>77</v>
      </c>
      <c r="AF9" s="178" t="str">
        <f t="shared" si="0"/>
        <v>NA</v>
      </c>
      <c r="AG9" s="54" t="str">
        <f t="shared" si="1"/>
        <v>NÃO AVALIADO POR FALHA DE SINCRONISMO</v>
      </c>
      <c r="AH9" s="138" t="s">
        <v>207</v>
      </c>
      <c r="AI9" s="226" t="s">
        <v>36</v>
      </c>
      <c r="AJ9" s="224" t="str">
        <f t="shared" si="2"/>
        <v>SÃO PAULO</v>
      </c>
      <c r="AK9" s="227" t="s">
        <v>54</v>
      </c>
    </row>
    <row r="10" spans="1:37" ht="30" customHeight="1">
      <c r="A10" s="198" t="s">
        <v>198</v>
      </c>
      <c r="B10" s="198">
        <v>2617997277</v>
      </c>
      <c r="C10" s="198" t="s">
        <v>223</v>
      </c>
      <c r="D10" s="198" t="s">
        <v>96</v>
      </c>
      <c r="E10" s="198" t="s">
        <v>35</v>
      </c>
      <c r="F10" s="198" t="s">
        <v>224</v>
      </c>
      <c r="G10" s="198">
        <v>146</v>
      </c>
      <c r="H10" s="198" t="s">
        <v>208</v>
      </c>
      <c r="I10" s="198" t="s">
        <v>225</v>
      </c>
      <c r="J10" s="198" t="s">
        <v>226</v>
      </c>
      <c r="K10" s="198" t="s">
        <v>200</v>
      </c>
      <c r="L10" s="199">
        <v>46143</v>
      </c>
      <c r="M10" s="199">
        <v>46143.003472222219</v>
      </c>
      <c r="N10" s="198" t="s">
        <v>222</v>
      </c>
      <c r="O10" s="151" t="s">
        <v>215</v>
      </c>
      <c r="P10" s="137" t="s">
        <v>227</v>
      </c>
      <c r="Q10" s="138" t="s">
        <v>215</v>
      </c>
      <c r="R10" s="137" t="s">
        <v>228</v>
      </c>
      <c r="S10" s="138" t="s">
        <v>215</v>
      </c>
      <c r="T10" s="137" t="s">
        <v>227</v>
      </c>
      <c r="U10" s="138" t="s">
        <v>215</v>
      </c>
      <c r="V10" s="137" t="s">
        <v>227</v>
      </c>
      <c r="W10" s="138" t="s">
        <v>215</v>
      </c>
      <c r="X10" s="137" t="s">
        <v>227</v>
      </c>
      <c r="Y10" s="138" t="s">
        <v>215</v>
      </c>
      <c r="Z10" s="137" t="s">
        <v>227</v>
      </c>
      <c r="AA10" s="138" t="s">
        <v>215</v>
      </c>
      <c r="AB10" s="137" t="s">
        <v>227</v>
      </c>
      <c r="AC10" s="138" t="s">
        <v>215</v>
      </c>
      <c r="AD10" s="54" t="s">
        <v>227</v>
      </c>
      <c r="AE10" s="138" t="s">
        <v>215</v>
      </c>
      <c r="AF10" s="178" t="str">
        <f t="shared" si="0"/>
        <v>NC</v>
      </c>
      <c r="AG10" s="54" t="str">
        <f t="shared" si="1"/>
        <v>NÃO UTILIZOU O PDA</v>
      </c>
      <c r="AH10" s="138" t="s">
        <v>207</v>
      </c>
      <c r="AI10" s="226" t="s">
        <v>36</v>
      </c>
      <c r="AJ10" s="224" t="str">
        <f t="shared" si="2"/>
        <v>SÃO PAULO</v>
      </c>
      <c r="AK10" s="227" t="s">
        <v>54</v>
      </c>
    </row>
    <row r="11" spans="1:37" ht="30" customHeight="1">
      <c r="A11" s="198" t="s">
        <v>198</v>
      </c>
      <c r="B11" s="198">
        <v>2618003910</v>
      </c>
      <c r="C11" s="198" t="s">
        <v>116</v>
      </c>
      <c r="D11" s="198" t="s">
        <v>94</v>
      </c>
      <c r="E11" s="198" t="s">
        <v>35</v>
      </c>
      <c r="F11" s="198" t="s">
        <v>229</v>
      </c>
      <c r="G11" s="198">
        <v>37</v>
      </c>
      <c r="H11" s="198"/>
      <c r="I11" s="198" t="s">
        <v>230</v>
      </c>
      <c r="J11" s="198" t="s">
        <v>221</v>
      </c>
      <c r="K11" s="198"/>
      <c r="L11" s="199">
        <v>46143.291666666664</v>
      </c>
      <c r="M11" s="199">
        <v>46143.292361111111</v>
      </c>
      <c r="N11" s="198" t="s">
        <v>222</v>
      </c>
      <c r="O11" s="151" t="s">
        <v>77</v>
      </c>
      <c r="P11" s="137"/>
      <c r="Q11" s="138" t="s">
        <v>77</v>
      </c>
      <c r="R11" s="137"/>
      <c r="S11" s="138" t="s">
        <v>77</v>
      </c>
      <c r="T11" s="137"/>
      <c r="U11" s="138" t="s">
        <v>77</v>
      </c>
      <c r="V11" s="137"/>
      <c r="W11" s="138" t="s">
        <v>77</v>
      </c>
      <c r="X11" s="137"/>
      <c r="Y11" s="138" t="s">
        <v>77</v>
      </c>
      <c r="Z11" s="137"/>
      <c r="AA11" s="138" t="s">
        <v>77</v>
      </c>
      <c r="AB11" s="137"/>
      <c r="AC11" s="138" t="s">
        <v>77</v>
      </c>
      <c r="AD11" s="54"/>
      <c r="AE11" s="138" t="s">
        <v>77</v>
      </c>
      <c r="AF11" s="178" t="str">
        <f t="shared" si="0"/>
        <v>NA</v>
      </c>
      <c r="AG11" s="54" t="str">
        <f t="shared" si="1"/>
        <v>NÃO AVALIADO POR FALHA DE SINCRONISMO</v>
      </c>
      <c r="AH11" s="138" t="s">
        <v>207</v>
      </c>
      <c r="AI11" s="226" t="s">
        <v>36</v>
      </c>
      <c r="AJ11" s="224" t="str">
        <f t="shared" si="2"/>
        <v>SÃO PAULO</v>
      </c>
      <c r="AK11" s="227" t="s">
        <v>54</v>
      </c>
    </row>
    <row r="12" spans="1:37" ht="30" customHeight="1">
      <c r="A12" s="198" t="s">
        <v>198</v>
      </c>
      <c r="B12" s="198">
        <v>2618108938</v>
      </c>
      <c r="C12" s="198" t="s">
        <v>120</v>
      </c>
      <c r="D12" s="198" t="s">
        <v>96</v>
      </c>
      <c r="E12" s="198" t="s">
        <v>35</v>
      </c>
      <c r="F12" s="198" t="s">
        <v>231</v>
      </c>
      <c r="G12" s="198">
        <v>64</v>
      </c>
      <c r="H12" s="198" t="s">
        <v>208</v>
      </c>
      <c r="I12" s="198" t="s">
        <v>225</v>
      </c>
      <c r="J12" s="198" t="s">
        <v>202</v>
      </c>
      <c r="K12" s="198" t="s">
        <v>200</v>
      </c>
      <c r="L12" s="199">
        <v>46144.291666666664</v>
      </c>
      <c r="M12" s="199">
        <v>46144.292361111111</v>
      </c>
      <c r="N12" s="198" t="s">
        <v>232</v>
      </c>
      <c r="O12" s="151" t="s">
        <v>215</v>
      </c>
      <c r="P12" s="137" t="s">
        <v>227</v>
      </c>
      <c r="Q12" s="138" t="s">
        <v>215</v>
      </c>
      <c r="R12" s="137" t="s">
        <v>228</v>
      </c>
      <c r="S12" s="138" t="s">
        <v>215</v>
      </c>
      <c r="T12" s="137" t="s">
        <v>227</v>
      </c>
      <c r="U12" s="138" t="s">
        <v>215</v>
      </c>
      <c r="V12" s="137" t="s">
        <v>227</v>
      </c>
      <c r="W12" s="138" t="s">
        <v>215</v>
      </c>
      <c r="X12" s="137" t="s">
        <v>227</v>
      </c>
      <c r="Y12" s="138" t="s">
        <v>215</v>
      </c>
      <c r="Z12" s="137" t="s">
        <v>227</v>
      </c>
      <c r="AA12" s="138" t="s">
        <v>215</v>
      </c>
      <c r="AB12" s="137" t="s">
        <v>227</v>
      </c>
      <c r="AC12" s="138" t="s">
        <v>215</v>
      </c>
      <c r="AD12" s="54" t="s">
        <v>227</v>
      </c>
      <c r="AE12" s="138" t="s">
        <v>215</v>
      </c>
      <c r="AF12" s="178" t="str">
        <f t="shared" si="0"/>
        <v>NC</v>
      </c>
      <c r="AG12" s="54" t="str">
        <f t="shared" si="1"/>
        <v>NÃO UTILIZOU O PDA</v>
      </c>
      <c r="AH12" s="138" t="s">
        <v>207</v>
      </c>
      <c r="AI12" s="226" t="s">
        <v>36</v>
      </c>
      <c r="AJ12" s="224" t="str">
        <f t="shared" si="2"/>
        <v>SÃO PAULO</v>
      </c>
      <c r="AK12" s="227" t="s">
        <v>54</v>
      </c>
    </row>
    <row r="13" spans="1:37" ht="30" customHeight="1">
      <c r="A13" s="198" t="s">
        <v>198</v>
      </c>
      <c r="B13" s="198">
        <v>2618109873</v>
      </c>
      <c r="C13" s="198" t="s">
        <v>120</v>
      </c>
      <c r="D13" s="198" t="s">
        <v>96</v>
      </c>
      <c r="E13" s="198" t="s">
        <v>35</v>
      </c>
      <c r="F13" s="198" t="s">
        <v>233</v>
      </c>
      <c r="G13" s="198">
        <v>53</v>
      </c>
      <c r="H13" s="198"/>
      <c r="I13" s="198" t="s">
        <v>234</v>
      </c>
      <c r="J13" s="198" t="s">
        <v>202</v>
      </c>
      <c r="K13" s="198"/>
      <c r="L13" s="199">
        <v>46143.09652777778</v>
      </c>
      <c r="M13" s="199">
        <v>46143.15902777778</v>
      </c>
      <c r="N13" s="198" t="s">
        <v>235</v>
      </c>
      <c r="O13" s="151" t="s">
        <v>207</v>
      </c>
      <c r="P13" s="137"/>
      <c r="Q13" s="138" t="s">
        <v>214</v>
      </c>
      <c r="R13" s="137"/>
      <c r="S13" s="138" t="s">
        <v>214</v>
      </c>
      <c r="T13" s="137"/>
      <c r="U13" s="138" t="s">
        <v>215</v>
      </c>
      <c r="V13" s="137" t="s">
        <v>236</v>
      </c>
      <c r="W13" s="138" t="s">
        <v>207</v>
      </c>
      <c r="X13" s="137"/>
      <c r="Y13" s="138" t="s">
        <v>214</v>
      </c>
      <c r="Z13" s="137"/>
      <c r="AA13" s="138" t="s">
        <v>214</v>
      </c>
      <c r="AB13" s="137"/>
      <c r="AC13" s="138" t="s">
        <v>215</v>
      </c>
      <c r="AD13" s="54" t="s">
        <v>237</v>
      </c>
      <c r="AE13" s="138" t="s">
        <v>207</v>
      </c>
      <c r="AF13" s="178" t="str">
        <f t="shared" si="0"/>
        <v>NC</v>
      </c>
      <c r="AG13" s="54" t="str">
        <f t="shared" si="1"/>
        <v>UTILIZOU O PDA CORRETAMENTE. NÃO HÁ FOTOS DE TODAS AS ETAPAS</v>
      </c>
      <c r="AH13" s="138" t="s">
        <v>207</v>
      </c>
      <c r="AI13" s="226" t="s">
        <v>36</v>
      </c>
      <c r="AJ13" s="224" t="str">
        <f t="shared" si="2"/>
        <v>SÃO PAULO</v>
      </c>
      <c r="AK13" s="227" t="s">
        <v>54</v>
      </c>
    </row>
    <row r="14" spans="1:37" ht="30" customHeight="1">
      <c r="A14" s="198" t="s">
        <v>198</v>
      </c>
      <c r="B14" s="198">
        <v>2617930772</v>
      </c>
      <c r="C14" s="198" t="s">
        <v>238</v>
      </c>
      <c r="D14" s="198" t="s">
        <v>92</v>
      </c>
      <c r="E14" s="198" t="s">
        <v>35</v>
      </c>
      <c r="F14" s="198" t="s">
        <v>239</v>
      </c>
      <c r="G14" s="198">
        <v>65</v>
      </c>
      <c r="H14" s="198" t="s">
        <v>240</v>
      </c>
      <c r="I14" s="198" t="s">
        <v>241</v>
      </c>
      <c r="J14" s="198" t="s">
        <v>242</v>
      </c>
      <c r="K14" s="198" t="s">
        <v>200</v>
      </c>
      <c r="L14" s="199">
        <v>46143.692361111112</v>
      </c>
      <c r="M14" s="199">
        <v>46143.695138888892</v>
      </c>
      <c r="N14" s="198" t="s">
        <v>213</v>
      </c>
      <c r="O14" s="151" t="s">
        <v>207</v>
      </c>
      <c r="P14" s="137"/>
      <c r="Q14" s="138" t="s">
        <v>214</v>
      </c>
      <c r="R14" s="137"/>
      <c r="S14" s="138" t="s">
        <v>214</v>
      </c>
      <c r="T14" s="137"/>
      <c r="U14" s="138" t="s">
        <v>214</v>
      </c>
      <c r="V14" s="137"/>
      <c r="W14" s="138" t="s">
        <v>214</v>
      </c>
      <c r="X14" s="137"/>
      <c r="Y14" s="138" t="s">
        <v>77</v>
      </c>
      <c r="Z14" s="137"/>
      <c r="AA14" s="138" t="s">
        <v>214</v>
      </c>
      <c r="AB14" s="137"/>
      <c r="AC14" s="138" t="s">
        <v>215</v>
      </c>
      <c r="AD14" s="54" t="s">
        <v>243</v>
      </c>
      <c r="AE14" s="138" t="s">
        <v>207</v>
      </c>
      <c r="AF14" s="178" t="str">
        <f t="shared" si="0"/>
        <v>NC</v>
      </c>
      <c r="AG14" s="54" t="str">
        <f t="shared" si="1"/>
        <v>UTILIZOU O PDA CORRETAMENTE. NÃO HÁ FOTOS DE TODAS AS ETAPAS</v>
      </c>
      <c r="AH14" s="138" t="s">
        <v>207</v>
      </c>
      <c r="AI14" s="226" t="s">
        <v>36</v>
      </c>
      <c r="AJ14" s="224" t="str">
        <f t="shared" si="2"/>
        <v>SÃO PAULO</v>
      </c>
      <c r="AK14" s="227" t="s">
        <v>54</v>
      </c>
    </row>
    <row r="15" spans="1:37" ht="30" customHeight="1">
      <c r="A15" s="198" t="s">
        <v>198</v>
      </c>
      <c r="B15" s="198">
        <v>2617930775</v>
      </c>
      <c r="C15" s="198" t="s">
        <v>238</v>
      </c>
      <c r="D15" s="198" t="s">
        <v>92</v>
      </c>
      <c r="E15" s="198" t="s">
        <v>35</v>
      </c>
      <c r="F15" s="198" t="s">
        <v>239</v>
      </c>
      <c r="G15" s="198">
        <v>65</v>
      </c>
      <c r="H15" s="198" t="s">
        <v>244</v>
      </c>
      <c r="I15" s="198" t="s">
        <v>241</v>
      </c>
      <c r="J15" s="198" t="s">
        <v>242</v>
      </c>
      <c r="K15" s="198"/>
      <c r="L15" s="199">
        <v>46143.695833333331</v>
      </c>
      <c r="M15" s="199">
        <v>46143.696527777778</v>
      </c>
      <c r="N15" s="198" t="s">
        <v>213</v>
      </c>
      <c r="O15" s="151" t="s">
        <v>207</v>
      </c>
      <c r="P15" s="137"/>
      <c r="Q15" s="138" t="s">
        <v>214</v>
      </c>
      <c r="R15" s="137"/>
      <c r="S15" s="138" t="s">
        <v>214</v>
      </c>
      <c r="T15" s="137"/>
      <c r="U15" s="138" t="s">
        <v>214</v>
      </c>
      <c r="V15" s="137"/>
      <c r="W15" s="138" t="s">
        <v>214</v>
      </c>
      <c r="X15" s="137"/>
      <c r="Y15" s="138" t="s">
        <v>77</v>
      </c>
      <c r="Z15" s="137"/>
      <c r="AA15" s="138" t="s">
        <v>214</v>
      </c>
      <c r="AB15" s="137"/>
      <c r="AC15" s="138" t="s">
        <v>215</v>
      </c>
      <c r="AD15" s="54" t="s">
        <v>243</v>
      </c>
      <c r="AE15" s="138" t="s">
        <v>207</v>
      </c>
      <c r="AF15" s="178" t="str">
        <f t="shared" si="0"/>
        <v>NC</v>
      </c>
      <c r="AG15" s="54" t="str">
        <f t="shared" si="1"/>
        <v>UTILIZOU O PDA CORRETAMENTE. NÃO HÁ FOTOS DE TODAS AS ETAPAS</v>
      </c>
      <c r="AH15" s="138" t="s">
        <v>207</v>
      </c>
      <c r="AI15" s="226" t="s">
        <v>36</v>
      </c>
      <c r="AJ15" s="224" t="str">
        <f t="shared" si="2"/>
        <v>SÃO PAULO</v>
      </c>
      <c r="AK15" s="227" t="s">
        <v>54</v>
      </c>
    </row>
    <row r="16" spans="1:37" ht="30" customHeight="1">
      <c r="A16" s="198" t="s">
        <v>198</v>
      </c>
      <c r="B16" s="198">
        <v>2617930777</v>
      </c>
      <c r="C16" s="198" t="s">
        <v>238</v>
      </c>
      <c r="D16" s="198" t="s">
        <v>92</v>
      </c>
      <c r="E16" s="198" t="s">
        <v>35</v>
      </c>
      <c r="F16" s="198" t="s">
        <v>239</v>
      </c>
      <c r="G16" s="198">
        <v>65</v>
      </c>
      <c r="H16" s="198" t="s">
        <v>245</v>
      </c>
      <c r="I16" s="198" t="s">
        <v>241</v>
      </c>
      <c r="J16" s="198" t="s">
        <v>242</v>
      </c>
      <c r="K16" s="198" t="s">
        <v>200</v>
      </c>
      <c r="L16" s="199">
        <v>46143.697222222225</v>
      </c>
      <c r="M16" s="199">
        <v>46143.697916666664</v>
      </c>
      <c r="N16" s="198" t="s">
        <v>213</v>
      </c>
      <c r="O16" s="151" t="s">
        <v>207</v>
      </c>
      <c r="P16" s="137"/>
      <c r="Q16" s="138" t="s">
        <v>214</v>
      </c>
      <c r="R16" s="137"/>
      <c r="S16" s="138" t="s">
        <v>214</v>
      </c>
      <c r="T16" s="137"/>
      <c r="U16" s="138" t="s">
        <v>214</v>
      </c>
      <c r="V16" s="137"/>
      <c r="W16" s="138" t="s">
        <v>214</v>
      </c>
      <c r="X16" s="137"/>
      <c r="Y16" s="138" t="s">
        <v>77</v>
      </c>
      <c r="Z16" s="137"/>
      <c r="AA16" s="138" t="s">
        <v>214</v>
      </c>
      <c r="AB16" s="137"/>
      <c r="AC16" s="138" t="s">
        <v>215</v>
      </c>
      <c r="AD16" s="54" t="s">
        <v>243</v>
      </c>
      <c r="AE16" s="138" t="s">
        <v>207</v>
      </c>
      <c r="AF16" s="178" t="str">
        <f t="shared" si="0"/>
        <v>NC</v>
      </c>
      <c r="AG16" s="54" t="str">
        <f t="shared" si="1"/>
        <v>UTILIZOU O PDA CORRETAMENTE. NÃO HÁ FOTOS DE TODAS AS ETAPAS</v>
      </c>
      <c r="AH16" s="138" t="s">
        <v>207</v>
      </c>
      <c r="AI16" s="226" t="s">
        <v>36</v>
      </c>
      <c r="AJ16" s="224" t="str">
        <f t="shared" si="2"/>
        <v>SÃO PAULO</v>
      </c>
      <c r="AK16" s="227" t="s">
        <v>54</v>
      </c>
    </row>
    <row r="17" spans="1:37" ht="30" customHeight="1">
      <c r="A17" s="198" t="s">
        <v>198</v>
      </c>
      <c r="B17" s="198">
        <v>2617930787</v>
      </c>
      <c r="C17" s="198" t="s">
        <v>238</v>
      </c>
      <c r="D17" s="198" t="s">
        <v>92</v>
      </c>
      <c r="E17" s="198" t="s">
        <v>35</v>
      </c>
      <c r="F17" s="198" t="s">
        <v>239</v>
      </c>
      <c r="G17" s="198">
        <v>65</v>
      </c>
      <c r="H17" s="198" t="s">
        <v>246</v>
      </c>
      <c r="I17" s="198" t="s">
        <v>241</v>
      </c>
      <c r="J17" s="198" t="s">
        <v>242</v>
      </c>
      <c r="K17" s="198"/>
      <c r="L17" s="199">
        <v>46143.698611111111</v>
      </c>
      <c r="M17" s="199">
        <v>46143.699305555558</v>
      </c>
      <c r="N17" s="198" t="s">
        <v>213</v>
      </c>
      <c r="O17" s="151" t="s">
        <v>207</v>
      </c>
      <c r="P17" s="137"/>
      <c r="Q17" s="138" t="s">
        <v>214</v>
      </c>
      <c r="R17" s="137"/>
      <c r="S17" s="138" t="s">
        <v>214</v>
      </c>
      <c r="T17" s="137"/>
      <c r="U17" s="138" t="s">
        <v>214</v>
      </c>
      <c r="V17" s="137"/>
      <c r="W17" s="138" t="s">
        <v>214</v>
      </c>
      <c r="X17" s="137"/>
      <c r="Y17" s="138" t="s">
        <v>77</v>
      </c>
      <c r="Z17" s="137"/>
      <c r="AA17" s="138" t="s">
        <v>214</v>
      </c>
      <c r="AB17" s="137"/>
      <c r="AC17" s="138" t="s">
        <v>215</v>
      </c>
      <c r="AD17" s="54" t="s">
        <v>243</v>
      </c>
      <c r="AE17" s="138" t="s">
        <v>207</v>
      </c>
      <c r="AF17" s="178" t="str">
        <f t="shared" si="0"/>
        <v>NC</v>
      </c>
      <c r="AG17" s="54" t="str">
        <f t="shared" si="1"/>
        <v>UTILIZOU O PDA CORRETAMENTE. NÃO HÁ FOTOS DE TODAS AS ETAPAS</v>
      </c>
      <c r="AH17" s="138" t="s">
        <v>207</v>
      </c>
      <c r="AI17" s="226" t="s">
        <v>36</v>
      </c>
      <c r="AJ17" s="224" t="str">
        <f t="shared" si="2"/>
        <v>SÃO PAULO</v>
      </c>
      <c r="AK17" s="227" t="s">
        <v>54</v>
      </c>
    </row>
    <row r="18" spans="1:37" ht="30" customHeight="1">
      <c r="A18" s="198" t="s">
        <v>198</v>
      </c>
      <c r="B18" s="198">
        <v>2692087713</v>
      </c>
      <c r="C18" s="198" t="s">
        <v>104</v>
      </c>
      <c r="D18" s="198" t="s">
        <v>93</v>
      </c>
      <c r="E18" s="198" t="s">
        <v>35</v>
      </c>
      <c r="F18" s="198" t="s">
        <v>247</v>
      </c>
      <c r="G18" s="198">
        <v>19</v>
      </c>
      <c r="H18" s="198" t="s">
        <v>200</v>
      </c>
      <c r="I18" s="198" t="s">
        <v>248</v>
      </c>
      <c r="J18" s="198" t="s">
        <v>249</v>
      </c>
      <c r="K18" s="198" t="s">
        <v>250</v>
      </c>
      <c r="L18" s="199">
        <v>46143.102083333331</v>
      </c>
      <c r="M18" s="199">
        <v>46143.104166666664</v>
      </c>
      <c r="N18" s="198" t="s">
        <v>251</v>
      </c>
      <c r="O18" s="151" t="s">
        <v>207</v>
      </c>
      <c r="P18" s="137"/>
      <c r="Q18" s="138" t="s">
        <v>77</v>
      </c>
      <c r="R18" s="137"/>
      <c r="S18" s="138" t="s">
        <v>214</v>
      </c>
      <c r="T18" s="137"/>
      <c r="U18" s="138" t="s">
        <v>214</v>
      </c>
      <c r="V18" s="137"/>
      <c r="W18" s="138" t="s">
        <v>214</v>
      </c>
      <c r="X18" s="137"/>
      <c r="Y18" s="138" t="s">
        <v>77</v>
      </c>
      <c r="Z18" s="137"/>
      <c r="AA18" s="138" t="s">
        <v>214</v>
      </c>
      <c r="AB18" s="137"/>
      <c r="AC18" s="138" t="s">
        <v>214</v>
      </c>
      <c r="AD18" s="54"/>
      <c r="AE18" s="138" t="s">
        <v>207</v>
      </c>
      <c r="AF18" s="178" t="str">
        <f t="shared" si="0"/>
        <v>NC</v>
      </c>
      <c r="AG18" s="54" t="str">
        <f t="shared" si="1"/>
        <v>UTILIZOU O PDA CORRETAMENTE. NÃO HÁ FOTOS DE TODAS AS ETAPAS</v>
      </c>
      <c r="AH18" s="138"/>
      <c r="AI18" s="226" t="s">
        <v>36</v>
      </c>
      <c r="AJ18" s="224" t="str">
        <f t="shared" si="2"/>
        <v>SÃO PAULO</v>
      </c>
      <c r="AK18" s="227" t="s">
        <v>54</v>
      </c>
    </row>
    <row r="19" spans="1:37" ht="30" customHeight="1">
      <c r="A19" s="198" t="s">
        <v>198</v>
      </c>
      <c r="B19" s="198">
        <v>2617619673</v>
      </c>
      <c r="C19" s="198" t="s">
        <v>109</v>
      </c>
      <c r="D19" s="198" t="s">
        <v>92</v>
      </c>
      <c r="E19" s="198" t="s">
        <v>35</v>
      </c>
      <c r="F19" s="198" t="s">
        <v>252</v>
      </c>
      <c r="G19" s="198">
        <v>124</v>
      </c>
      <c r="H19" s="198" t="s">
        <v>208</v>
      </c>
      <c r="I19" s="198" t="s">
        <v>253</v>
      </c>
      <c r="J19" s="198" t="s">
        <v>109</v>
      </c>
      <c r="K19" s="198"/>
      <c r="L19" s="199">
        <v>46143.476388888892</v>
      </c>
      <c r="M19" s="199">
        <v>46143.477777777778</v>
      </c>
      <c r="N19" s="198" t="s">
        <v>206</v>
      </c>
      <c r="O19" s="151" t="s">
        <v>207</v>
      </c>
      <c r="P19" s="137"/>
      <c r="Q19" s="138" t="s">
        <v>77</v>
      </c>
      <c r="R19" s="137"/>
      <c r="S19" s="138" t="s">
        <v>77</v>
      </c>
      <c r="T19" s="137"/>
      <c r="U19" s="138" t="s">
        <v>77</v>
      </c>
      <c r="V19" s="137"/>
      <c r="W19" s="138" t="s">
        <v>77</v>
      </c>
      <c r="X19" s="137"/>
      <c r="Y19" s="138" t="s">
        <v>77</v>
      </c>
      <c r="Z19" s="137"/>
      <c r="AA19" s="138" t="s">
        <v>77</v>
      </c>
      <c r="AB19" s="137"/>
      <c r="AC19" s="138" t="s">
        <v>214</v>
      </c>
      <c r="AD19" s="54"/>
      <c r="AE19" s="138" t="s">
        <v>207</v>
      </c>
      <c r="AF19" s="178" t="str">
        <f t="shared" si="0"/>
        <v>NC</v>
      </c>
      <c r="AG19" s="54" t="str">
        <f t="shared" si="1"/>
        <v>UTILIZOU O PDA CORRETAMENTE. NÃO HÁ FOTOS DE TODAS AS ETAPAS</v>
      </c>
      <c r="AH19" s="138" t="s">
        <v>207</v>
      </c>
      <c r="AI19" s="226" t="s">
        <v>36</v>
      </c>
      <c r="AJ19" s="224" t="str">
        <f t="shared" si="2"/>
        <v>SÃO PAULO</v>
      </c>
      <c r="AK19" s="227" t="s">
        <v>54</v>
      </c>
    </row>
    <row r="20" spans="1:37" ht="30" customHeight="1">
      <c r="A20" s="198" t="s">
        <v>198</v>
      </c>
      <c r="B20" s="198">
        <v>2617776522</v>
      </c>
      <c r="C20" s="198" t="s">
        <v>111</v>
      </c>
      <c r="D20" s="198" t="s">
        <v>92</v>
      </c>
      <c r="E20" s="198" t="s">
        <v>35</v>
      </c>
      <c r="F20" s="198" t="s">
        <v>254</v>
      </c>
      <c r="G20" s="198">
        <v>142</v>
      </c>
      <c r="H20" s="198" t="s">
        <v>255</v>
      </c>
      <c r="I20" s="198" t="s">
        <v>256</v>
      </c>
      <c r="J20" s="198" t="s">
        <v>111</v>
      </c>
      <c r="K20" s="198" t="s">
        <v>200</v>
      </c>
      <c r="L20" s="199">
        <v>46143.506249999999</v>
      </c>
      <c r="M20" s="199">
        <v>46143.647916666669</v>
      </c>
      <c r="N20" s="198" t="s">
        <v>206</v>
      </c>
      <c r="O20" s="151" t="s">
        <v>207</v>
      </c>
      <c r="P20" s="137"/>
      <c r="Q20" s="138" t="s">
        <v>77</v>
      </c>
      <c r="R20" s="137"/>
      <c r="S20" s="138" t="s">
        <v>77</v>
      </c>
      <c r="T20" s="137"/>
      <c r="U20" s="138" t="s">
        <v>77</v>
      </c>
      <c r="V20" s="137"/>
      <c r="W20" s="138" t="s">
        <v>77</v>
      </c>
      <c r="X20" s="137"/>
      <c r="Y20" s="138" t="s">
        <v>77</v>
      </c>
      <c r="Z20" s="137"/>
      <c r="AA20" s="138" t="s">
        <v>77</v>
      </c>
      <c r="AB20" s="137"/>
      <c r="AC20" s="138" t="s">
        <v>214</v>
      </c>
      <c r="AD20" s="54"/>
      <c r="AE20" s="138" t="s">
        <v>207</v>
      </c>
      <c r="AF20" s="178" t="str">
        <f t="shared" si="0"/>
        <v>NC</v>
      </c>
      <c r="AG20" s="54" t="str">
        <f t="shared" si="1"/>
        <v>UTILIZOU O PDA CORRETAMENTE. NÃO HÁ FOTOS DE TODAS AS ETAPAS</v>
      </c>
      <c r="AH20" s="138" t="s">
        <v>207</v>
      </c>
      <c r="AI20" s="226" t="s">
        <v>36</v>
      </c>
      <c r="AJ20" s="224" t="str">
        <f t="shared" si="2"/>
        <v>SÃO PAULO</v>
      </c>
      <c r="AK20" s="227" t="s">
        <v>54</v>
      </c>
    </row>
    <row r="21" spans="1:37" ht="30" customHeight="1">
      <c r="A21" s="198" t="s">
        <v>198</v>
      </c>
      <c r="B21" s="198">
        <v>2617776506</v>
      </c>
      <c r="C21" s="198" t="s">
        <v>111</v>
      </c>
      <c r="D21" s="198" t="s">
        <v>92</v>
      </c>
      <c r="E21" s="198" t="s">
        <v>35</v>
      </c>
      <c r="F21" s="198" t="s">
        <v>254</v>
      </c>
      <c r="G21" s="198">
        <v>142</v>
      </c>
      <c r="H21" s="198" t="s">
        <v>205</v>
      </c>
      <c r="I21" s="198" t="s">
        <v>256</v>
      </c>
      <c r="J21" s="198" t="s">
        <v>111</v>
      </c>
      <c r="K21" s="198"/>
      <c r="L21" s="199">
        <v>46143.650694444441</v>
      </c>
      <c r="M21" s="199">
        <v>46143.651388888888</v>
      </c>
      <c r="N21" s="198" t="s">
        <v>206</v>
      </c>
      <c r="O21" s="151" t="s">
        <v>207</v>
      </c>
      <c r="P21" s="137"/>
      <c r="Q21" s="138" t="s">
        <v>77</v>
      </c>
      <c r="R21" s="137"/>
      <c r="S21" s="138" t="s">
        <v>77</v>
      </c>
      <c r="T21" s="137"/>
      <c r="U21" s="138" t="s">
        <v>77</v>
      </c>
      <c r="V21" s="137"/>
      <c r="W21" s="138" t="s">
        <v>77</v>
      </c>
      <c r="X21" s="137"/>
      <c r="Y21" s="138" t="s">
        <v>77</v>
      </c>
      <c r="Z21" s="137"/>
      <c r="AA21" s="138" t="s">
        <v>77</v>
      </c>
      <c r="AB21" s="137"/>
      <c r="AC21" s="138" t="s">
        <v>214</v>
      </c>
      <c r="AD21" s="54"/>
      <c r="AE21" s="138" t="s">
        <v>207</v>
      </c>
      <c r="AF21" s="178" t="str">
        <f t="shared" si="0"/>
        <v>NC</v>
      </c>
      <c r="AG21" s="54" t="str">
        <f t="shared" si="1"/>
        <v>UTILIZOU O PDA CORRETAMENTE. NÃO HÁ FOTOS DE TODAS AS ETAPAS</v>
      </c>
      <c r="AH21" s="138" t="s">
        <v>207</v>
      </c>
      <c r="AI21" s="226" t="s">
        <v>36</v>
      </c>
      <c r="AJ21" s="224" t="str">
        <f t="shared" si="2"/>
        <v>SÃO PAULO</v>
      </c>
      <c r="AK21" s="227" t="s">
        <v>54</v>
      </c>
    </row>
    <row r="22" spans="1:37" ht="30" customHeight="1">
      <c r="A22" s="198" t="s">
        <v>198</v>
      </c>
      <c r="B22" s="198">
        <v>2617776504</v>
      </c>
      <c r="C22" s="198" t="s">
        <v>109</v>
      </c>
      <c r="D22" s="198" t="s">
        <v>92</v>
      </c>
      <c r="E22" s="198" t="s">
        <v>35</v>
      </c>
      <c r="F22" s="198" t="s">
        <v>254</v>
      </c>
      <c r="G22" s="198">
        <v>142</v>
      </c>
      <c r="H22" s="198" t="s">
        <v>208</v>
      </c>
      <c r="I22" s="198" t="s">
        <v>256</v>
      </c>
      <c r="J22" s="198" t="s">
        <v>109</v>
      </c>
      <c r="K22" s="198" t="s">
        <v>200</v>
      </c>
      <c r="L22" s="199">
        <v>46143.65</v>
      </c>
      <c r="M22" s="199">
        <v>46143.650694444441</v>
      </c>
      <c r="N22" s="198" t="s">
        <v>206</v>
      </c>
      <c r="O22" s="151" t="s">
        <v>207</v>
      </c>
      <c r="P22" s="137"/>
      <c r="Q22" s="138" t="s">
        <v>77</v>
      </c>
      <c r="R22" s="137"/>
      <c r="S22" s="138" t="s">
        <v>77</v>
      </c>
      <c r="T22" s="137"/>
      <c r="U22" s="138" t="s">
        <v>77</v>
      </c>
      <c r="V22" s="137"/>
      <c r="W22" s="138" t="s">
        <v>77</v>
      </c>
      <c r="X22" s="137"/>
      <c r="Y22" s="138" t="s">
        <v>77</v>
      </c>
      <c r="Z22" s="137"/>
      <c r="AA22" s="138" t="s">
        <v>77</v>
      </c>
      <c r="AB22" s="137"/>
      <c r="AC22" s="138" t="s">
        <v>214</v>
      </c>
      <c r="AD22" s="54"/>
      <c r="AE22" s="138" t="s">
        <v>207</v>
      </c>
      <c r="AF22" s="178" t="str">
        <f t="shared" si="0"/>
        <v>NC</v>
      </c>
      <c r="AG22" s="54" t="str">
        <f t="shared" si="1"/>
        <v>UTILIZOU O PDA CORRETAMENTE. NÃO HÁ FOTOS DE TODAS AS ETAPAS</v>
      </c>
      <c r="AH22" s="138" t="s">
        <v>207</v>
      </c>
      <c r="AI22" s="226" t="s">
        <v>36</v>
      </c>
      <c r="AJ22" s="224" t="str">
        <f t="shared" si="2"/>
        <v>SÃO PAULO</v>
      </c>
      <c r="AK22" s="227" t="s">
        <v>54</v>
      </c>
    </row>
    <row r="23" spans="1:37" ht="30" customHeight="1">
      <c r="A23" s="198" t="s">
        <v>198</v>
      </c>
      <c r="B23" s="198">
        <v>2617776509</v>
      </c>
      <c r="C23" s="198" t="s">
        <v>111</v>
      </c>
      <c r="D23" s="198" t="s">
        <v>92</v>
      </c>
      <c r="E23" s="198" t="s">
        <v>35</v>
      </c>
      <c r="F23" s="198" t="s">
        <v>254</v>
      </c>
      <c r="G23" s="198">
        <v>142</v>
      </c>
      <c r="H23" s="198" t="s">
        <v>257</v>
      </c>
      <c r="I23" s="198" t="s">
        <v>256</v>
      </c>
      <c r="J23" s="198" t="s">
        <v>111</v>
      </c>
      <c r="K23" s="198"/>
      <c r="L23" s="199">
        <v>46143.648611111108</v>
      </c>
      <c r="M23" s="199">
        <v>46143.649305555555</v>
      </c>
      <c r="N23" s="198" t="s">
        <v>206</v>
      </c>
      <c r="O23" s="151" t="s">
        <v>207</v>
      </c>
      <c r="P23" s="137"/>
      <c r="Q23" s="138" t="s">
        <v>214</v>
      </c>
      <c r="R23" s="137"/>
      <c r="S23" s="138" t="s">
        <v>214</v>
      </c>
      <c r="T23" s="137"/>
      <c r="U23" s="138" t="s">
        <v>214</v>
      </c>
      <c r="V23" s="137"/>
      <c r="W23" s="138" t="s">
        <v>214</v>
      </c>
      <c r="X23" s="137"/>
      <c r="Y23" s="138" t="s">
        <v>77</v>
      </c>
      <c r="Z23" s="137"/>
      <c r="AA23" s="138" t="s">
        <v>214</v>
      </c>
      <c r="AB23" s="137"/>
      <c r="AC23" s="138" t="s">
        <v>214</v>
      </c>
      <c r="AD23" s="54"/>
      <c r="AE23" s="138" t="s">
        <v>207</v>
      </c>
      <c r="AF23" s="178" t="str">
        <f t="shared" si="0"/>
        <v>NC</v>
      </c>
      <c r="AG23" s="54" t="str">
        <f t="shared" si="1"/>
        <v>UTILIZOU O PDA CORRETAMENTE. NÃO HÁ FOTOS DE TODAS AS ETAPAS</v>
      </c>
      <c r="AH23" s="138" t="s">
        <v>207</v>
      </c>
      <c r="AI23" s="226" t="s">
        <v>36</v>
      </c>
      <c r="AJ23" s="224" t="str">
        <f t="shared" si="2"/>
        <v>SÃO PAULO</v>
      </c>
      <c r="AK23" s="227" t="s">
        <v>54</v>
      </c>
    </row>
    <row r="24" spans="1:37" ht="30" customHeight="1">
      <c r="A24" s="198" t="s">
        <v>198</v>
      </c>
      <c r="B24" s="198">
        <v>2692114144</v>
      </c>
      <c r="C24" s="198" t="s">
        <v>114</v>
      </c>
      <c r="D24" s="198" t="s">
        <v>96</v>
      </c>
      <c r="E24" s="198" t="s">
        <v>35</v>
      </c>
      <c r="F24" s="198" t="s">
        <v>258</v>
      </c>
      <c r="G24" s="198">
        <v>72</v>
      </c>
      <c r="H24" s="198" t="s">
        <v>205</v>
      </c>
      <c r="I24" s="198" t="s">
        <v>259</v>
      </c>
      <c r="J24" s="198" t="s">
        <v>260</v>
      </c>
      <c r="K24" s="198" t="s">
        <v>261</v>
      </c>
      <c r="L24" s="199">
        <v>46143.160416666666</v>
      </c>
      <c r="M24" s="199">
        <v>46143.175000000003</v>
      </c>
      <c r="N24" s="198" t="s">
        <v>262</v>
      </c>
      <c r="O24" s="151" t="s">
        <v>207</v>
      </c>
      <c r="P24" s="137"/>
      <c r="Q24" s="138" t="s">
        <v>215</v>
      </c>
      <c r="R24" s="137" t="s">
        <v>263</v>
      </c>
      <c r="S24" s="138" t="s">
        <v>214</v>
      </c>
      <c r="T24" s="137"/>
      <c r="U24" s="138" t="s">
        <v>207</v>
      </c>
      <c r="V24" s="137"/>
      <c r="W24" s="138" t="s">
        <v>207</v>
      </c>
      <c r="X24" s="137"/>
      <c r="Y24" s="138" t="s">
        <v>214</v>
      </c>
      <c r="Z24" s="137"/>
      <c r="AA24" s="138" t="s">
        <v>214</v>
      </c>
      <c r="AB24" s="137"/>
      <c r="AC24" s="138" t="s">
        <v>215</v>
      </c>
      <c r="AD24" s="54" t="s">
        <v>264</v>
      </c>
      <c r="AE24" s="138" t="s">
        <v>207</v>
      </c>
      <c r="AF24" s="178" t="str">
        <f t="shared" si="0"/>
        <v>NC</v>
      </c>
      <c r="AG24" s="54" t="str">
        <f t="shared" si="1"/>
        <v>UTILIZOU O PDA CORRETAMENTE. NÃO HÁ FOTOS DE TODAS AS ETAPAS</v>
      </c>
      <c r="AH24" s="138" t="s">
        <v>207</v>
      </c>
      <c r="AI24" s="226" t="s">
        <v>36</v>
      </c>
      <c r="AJ24" s="224" t="str">
        <f t="shared" si="2"/>
        <v>SÃO PAULO</v>
      </c>
      <c r="AK24" s="227" t="s">
        <v>54</v>
      </c>
    </row>
    <row r="25" spans="1:37" ht="30" customHeight="1">
      <c r="A25" s="198" t="s">
        <v>198</v>
      </c>
      <c r="B25" s="198">
        <v>2692133869</v>
      </c>
      <c r="C25" s="198" t="s">
        <v>122</v>
      </c>
      <c r="D25" s="198" t="s">
        <v>96</v>
      </c>
      <c r="E25" s="198" t="s">
        <v>35</v>
      </c>
      <c r="F25" s="198" t="s">
        <v>265</v>
      </c>
      <c r="G25" s="198">
        <v>102</v>
      </c>
      <c r="H25" s="198"/>
      <c r="I25" s="198" t="s">
        <v>266</v>
      </c>
      <c r="J25" s="198" t="s">
        <v>267</v>
      </c>
      <c r="K25" s="198"/>
      <c r="L25" s="199">
        <v>46143.625</v>
      </c>
      <c r="M25" s="199">
        <v>46143.625694444447</v>
      </c>
      <c r="N25" s="198" t="s">
        <v>203</v>
      </c>
      <c r="O25" s="151" t="s">
        <v>77</v>
      </c>
      <c r="P25" s="137"/>
      <c r="Q25" s="138" t="s">
        <v>77</v>
      </c>
      <c r="R25" s="137"/>
      <c r="S25" s="138" t="s">
        <v>77</v>
      </c>
      <c r="T25" s="137"/>
      <c r="U25" s="138" t="s">
        <v>77</v>
      </c>
      <c r="V25" s="137"/>
      <c r="W25" s="138" t="s">
        <v>77</v>
      </c>
      <c r="X25" s="137"/>
      <c r="Y25" s="138" t="s">
        <v>77</v>
      </c>
      <c r="Z25" s="137"/>
      <c r="AA25" s="138" t="s">
        <v>77</v>
      </c>
      <c r="AB25" s="137"/>
      <c r="AC25" s="138" t="s">
        <v>77</v>
      </c>
      <c r="AD25" s="54"/>
      <c r="AE25" s="138" t="s">
        <v>77</v>
      </c>
      <c r="AF25" s="178" t="str">
        <f t="shared" si="0"/>
        <v>NA</v>
      </c>
      <c r="AG25" s="54" t="str">
        <f t="shared" si="1"/>
        <v>NÃO AVALIADO POR FALHA DE SINCRONISMO</v>
      </c>
      <c r="AH25" s="138" t="s">
        <v>207</v>
      </c>
      <c r="AI25" s="226" t="s">
        <v>36</v>
      </c>
      <c r="AJ25" s="224" t="str">
        <f t="shared" si="2"/>
        <v>SÃO PAULO</v>
      </c>
      <c r="AK25" s="227" t="s">
        <v>54</v>
      </c>
    </row>
    <row r="26" spans="1:37" ht="30" customHeight="1">
      <c r="A26" s="198" t="s">
        <v>198</v>
      </c>
      <c r="B26" s="198">
        <v>2618109873</v>
      </c>
      <c r="C26" s="198" t="s">
        <v>115</v>
      </c>
      <c r="D26" s="198" t="s">
        <v>96</v>
      </c>
      <c r="E26" s="198" t="s">
        <v>35</v>
      </c>
      <c r="F26" s="198" t="s">
        <v>233</v>
      </c>
      <c r="G26" s="198">
        <v>53</v>
      </c>
      <c r="H26" s="198" t="s">
        <v>200</v>
      </c>
      <c r="I26" s="198" t="s">
        <v>234</v>
      </c>
      <c r="J26" s="198" t="s">
        <v>268</v>
      </c>
      <c r="K26" s="198" t="s">
        <v>200</v>
      </c>
      <c r="L26" s="199">
        <v>46143.160416666666</v>
      </c>
      <c r="M26" s="199">
        <v>46143.22152777778</v>
      </c>
      <c r="N26" s="198" t="s">
        <v>235</v>
      </c>
      <c r="O26" s="151" t="s">
        <v>207</v>
      </c>
      <c r="P26" s="137"/>
      <c r="Q26" s="138" t="s">
        <v>214</v>
      </c>
      <c r="R26" s="137"/>
      <c r="S26" s="138" t="s">
        <v>214</v>
      </c>
      <c r="T26" s="137"/>
      <c r="U26" s="138" t="s">
        <v>215</v>
      </c>
      <c r="V26" s="137" t="s">
        <v>236</v>
      </c>
      <c r="W26" s="138" t="s">
        <v>207</v>
      </c>
      <c r="X26" s="137"/>
      <c r="Y26" s="138" t="s">
        <v>214</v>
      </c>
      <c r="Z26" s="137"/>
      <c r="AA26" s="138" t="s">
        <v>214</v>
      </c>
      <c r="AB26" s="137"/>
      <c r="AC26" s="138" t="s">
        <v>215</v>
      </c>
      <c r="AD26" s="54" t="s">
        <v>237</v>
      </c>
      <c r="AE26" s="138" t="s">
        <v>207</v>
      </c>
      <c r="AF26" s="178" t="str">
        <f t="shared" si="0"/>
        <v>NC</v>
      </c>
      <c r="AG26" s="54" t="str">
        <f t="shared" si="1"/>
        <v>UTILIZOU O PDA CORRETAMENTE. NÃO HÁ FOTOS DE TODAS AS ETAPAS</v>
      </c>
      <c r="AH26" s="138" t="s">
        <v>207</v>
      </c>
      <c r="AI26" s="226" t="s">
        <v>36</v>
      </c>
      <c r="AJ26" s="224" t="str">
        <f t="shared" si="2"/>
        <v>SÃO PAULO</v>
      </c>
      <c r="AK26" s="227" t="s">
        <v>54</v>
      </c>
    </row>
    <row r="27" spans="1:37" ht="30" customHeight="1">
      <c r="A27" s="198" t="s">
        <v>198</v>
      </c>
      <c r="B27" s="198">
        <v>2618109873</v>
      </c>
      <c r="C27" s="198" t="s">
        <v>223</v>
      </c>
      <c r="D27" s="198" t="s">
        <v>96</v>
      </c>
      <c r="E27" s="198" t="s">
        <v>35</v>
      </c>
      <c r="F27" s="198" t="s">
        <v>233</v>
      </c>
      <c r="G27" s="198">
        <v>53</v>
      </c>
      <c r="H27" s="198"/>
      <c r="I27" s="198" t="s">
        <v>234</v>
      </c>
      <c r="J27" s="198" t="s">
        <v>226</v>
      </c>
      <c r="K27" s="198"/>
      <c r="L27" s="199">
        <v>46143.222916666666</v>
      </c>
      <c r="M27" s="199">
        <v>46143.222916666666</v>
      </c>
      <c r="N27" s="198" t="s">
        <v>235</v>
      </c>
      <c r="O27" s="151" t="s">
        <v>207</v>
      </c>
      <c r="P27" s="137"/>
      <c r="Q27" s="138" t="s">
        <v>77</v>
      </c>
      <c r="R27" s="137"/>
      <c r="S27" s="138" t="s">
        <v>77</v>
      </c>
      <c r="T27" s="137"/>
      <c r="U27" s="138" t="s">
        <v>77</v>
      </c>
      <c r="V27" s="137"/>
      <c r="W27" s="138" t="s">
        <v>77</v>
      </c>
      <c r="X27" s="137"/>
      <c r="Y27" s="138" t="s">
        <v>77</v>
      </c>
      <c r="Z27" s="137"/>
      <c r="AA27" s="138" t="s">
        <v>77</v>
      </c>
      <c r="AB27" s="137"/>
      <c r="AC27" s="138" t="s">
        <v>215</v>
      </c>
      <c r="AD27" s="54" t="s">
        <v>269</v>
      </c>
      <c r="AE27" s="138" t="s">
        <v>207</v>
      </c>
      <c r="AF27" s="178" t="str">
        <f t="shared" si="0"/>
        <v>NC</v>
      </c>
      <c r="AG27" s="54" t="str">
        <f t="shared" si="1"/>
        <v>UTILIZOU O PDA CORRETAMENTE. NÃO HÁ FOTOS DE TODAS AS ETAPAS</v>
      </c>
      <c r="AH27" s="138"/>
      <c r="AI27" s="226" t="s">
        <v>36</v>
      </c>
      <c r="AJ27" s="224" t="str">
        <f t="shared" si="2"/>
        <v>SÃO PAULO</v>
      </c>
      <c r="AK27" s="227" t="s">
        <v>54</v>
      </c>
    </row>
    <row r="28" spans="1:37" ht="30" customHeight="1">
      <c r="A28" s="198" t="s">
        <v>198</v>
      </c>
      <c r="B28" s="198">
        <v>2617971478</v>
      </c>
      <c r="C28" s="198" t="s">
        <v>105</v>
      </c>
      <c r="D28" s="198" t="s">
        <v>93</v>
      </c>
      <c r="E28" s="198" t="s">
        <v>35</v>
      </c>
      <c r="F28" s="198" t="s">
        <v>270</v>
      </c>
      <c r="G28" s="198">
        <v>90</v>
      </c>
      <c r="H28" s="198" t="s">
        <v>205</v>
      </c>
      <c r="I28" s="198" t="s">
        <v>271</v>
      </c>
      <c r="J28" s="198" t="s">
        <v>272</v>
      </c>
      <c r="K28" s="198" t="s">
        <v>273</v>
      </c>
      <c r="L28" s="199">
        <v>46143.479166666664</v>
      </c>
      <c r="M28" s="199">
        <v>46143.484027777777</v>
      </c>
      <c r="N28" s="198" t="s">
        <v>274</v>
      </c>
      <c r="O28" s="151" t="s">
        <v>207</v>
      </c>
      <c r="P28" s="137"/>
      <c r="Q28" s="138" t="s">
        <v>207</v>
      </c>
      <c r="R28" s="137"/>
      <c r="S28" s="138" t="s">
        <v>215</v>
      </c>
      <c r="T28" s="137" t="s">
        <v>275</v>
      </c>
      <c r="U28" s="138" t="s">
        <v>207</v>
      </c>
      <c r="V28" s="137"/>
      <c r="W28" s="138" t="s">
        <v>214</v>
      </c>
      <c r="X28" s="137"/>
      <c r="Y28" s="138" t="s">
        <v>77</v>
      </c>
      <c r="Z28" s="137"/>
      <c r="AA28" s="138" t="s">
        <v>214</v>
      </c>
      <c r="AB28" s="137"/>
      <c r="AC28" s="138" t="s">
        <v>214</v>
      </c>
      <c r="AD28" s="54"/>
      <c r="AE28" s="138" t="s">
        <v>207</v>
      </c>
      <c r="AF28" s="178" t="str">
        <f t="shared" si="0"/>
        <v>NC</v>
      </c>
      <c r="AG28" s="54" t="str">
        <f t="shared" si="1"/>
        <v>UTILIZOU O PDA CORRETAMENTE. NÃO HÁ FOTOS DE TODAS AS ETAPAS</v>
      </c>
      <c r="AH28" s="138" t="s">
        <v>207</v>
      </c>
      <c r="AI28" s="226" t="s">
        <v>36</v>
      </c>
      <c r="AJ28" s="224" t="str">
        <f t="shared" si="2"/>
        <v>SÃO PAULO</v>
      </c>
      <c r="AK28" s="227" t="s">
        <v>54</v>
      </c>
    </row>
    <row r="29" spans="1:37" ht="30" customHeight="1">
      <c r="A29" s="198" t="s">
        <v>198</v>
      </c>
      <c r="B29" s="198">
        <v>2618304847</v>
      </c>
      <c r="C29" s="198" t="s">
        <v>118</v>
      </c>
      <c r="D29" s="198" t="s">
        <v>96</v>
      </c>
      <c r="E29" s="198" t="s">
        <v>35</v>
      </c>
      <c r="F29" s="198" t="s">
        <v>276</v>
      </c>
      <c r="G29" s="198">
        <v>144</v>
      </c>
      <c r="H29" s="198" t="s">
        <v>208</v>
      </c>
      <c r="I29" s="198" t="s">
        <v>277</v>
      </c>
      <c r="J29" s="198" t="s">
        <v>267</v>
      </c>
      <c r="K29" s="198" t="s">
        <v>278</v>
      </c>
      <c r="L29" s="199">
        <v>46144.291666666664</v>
      </c>
      <c r="M29" s="199">
        <v>46144.292361111111</v>
      </c>
      <c r="N29" s="198" t="s">
        <v>279</v>
      </c>
      <c r="O29" s="151" t="s">
        <v>77</v>
      </c>
      <c r="P29" s="54"/>
      <c r="Q29" s="138" t="s">
        <v>77</v>
      </c>
      <c r="R29" s="54"/>
      <c r="S29" s="138" t="s">
        <v>77</v>
      </c>
      <c r="T29" s="54"/>
      <c r="U29" s="138" t="s">
        <v>77</v>
      </c>
      <c r="V29" s="54"/>
      <c r="W29" s="138" t="s">
        <v>77</v>
      </c>
      <c r="X29" s="54"/>
      <c r="Y29" s="138" t="s">
        <v>77</v>
      </c>
      <c r="Z29" s="54"/>
      <c r="AA29" s="138" t="s">
        <v>77</v>
      </c>
      <c r="AB29" s="54"/>
      <c r="AC29" s="138" t="s">
        <v>77</v>
      </c>
      <c r="AD29" s="54"/>
      <c r="AE29" s="138" t="s">
        <v>77</v>
      </c>
      <c r="AF29" s="178" t="str">
        <f t="shared" si="0"/>
        <v>NA</v>
      </c>
      <c r="AG29" s="54" t="str">
        <f t="shared" si="1"/>
        <v>NÃO AVALIADO POR FALHA DE SINCRONISMO</v>
      </c>
      <c r="AH29" s="138" t="s">
        <v>207</v>
      </c>
      <c r="AI29" s="226" t="s">
        <v>36</v>
      </c>
      <c r="AJ29" s="224" t="str">
        <f t="shared" si="2"/>
        <v>SÃO PAULO</v>
      </c>
      <c r="AK29" s="227" t="s">
        <v>54</v>
      </c>
    </row>
    <row r="30" spans="1:37" ht="30" customHeight="1">
      <c r="A30" s="198" t="s">
        <v>198</v>
      </c>
      <c r="B30" s="198">
        <v>2618310146</v>
      </c>
      <c r="C30" s="198" t="s">
        <v>116</v>
      </c>
      <c r="D30" s="198" t="s">
        <v>94</v>
      </c>
      <c r="E30" s="198" t="s">
        <v>35</v>
      </c>
      <c r="F30" s="198" t="s">
        <v>280</v>
      </c>
      <c r="G30" s="198">
        <v>528</v>
      </c>
      <c r="H30" s="198" t="s">
        <v>200</v>
      </c>
      <c r="I30" s="198" t="s">
        <v>281</v>
      </c>
      <c r="J30" s="198" t="s">
        <v>221</v>
      </c>
      <c r="K30" s="198" t="s">
        <v>282</v>
      </c>
      <c r="L30" s="199">
        <v>46143.536111111112</v>
      </c>
      <c r="M30" s="199">
        <v>46143.538888888892</v>
      </c>
      <c r="N30" s="198" t="s">
        <v>232</v>
      </c>
      <c r="O30" s="151" t="s">
        <v>214</v>
      </c>
      <c r="P30" s="54"/>
      <c r="Q30" s="138" t="s">
        <v>214</v>
      </c>
      <c r="R30" s="54"/>
      <c r="S30" s="138" t="s">
        <v>214</v>
      </c>
      <c r="T30" s="54"/>
      <c r="U30" s="138" t="s">
        <v>214</v>
      </c>
      <c r="V30" s="54"/>
      <c r="W30" s="138" t="s">
        <v>214</v>
      </c>
      <c r="X30" s="54"/>
      <c r="Y30" s="138" t="s">
        <v>214</v>
      </c>
      <c r="Z30" s="54"/>
      <c r="AA30" s="138" t="s">
        <v>214</v>
      </c>
      <c r="AB30" s="54"/>
      <c r="AC30" s="138" t="s">
        <v>214</v>
      </c>
      <c r="AD30" s="54"/>
      <c r="AE30" s="138" t="s">
        <v>215</v>
      </c>
      <c r="AF30" s="178" t="str">
        <f t="shared" si="0"/>
        <v>NC</v>
      </c>
      <c r="AG30" s="54" t="str">
        <f t="shared" si="1"/>
        <v>NÃO UTILIZOU O PDA</v>
      </c>
      <c r="AH30" s="138" t="s">
        <v>207</v>
      </c>
      <c r="AI30" s="226" t="s">
        <v>36</v>
      </c>
      <c r="AJ30" s="224" t="str">
        <f t="shared" si="2"/>
        <v>SÃO PAULO</v>
      </c>
      <c r="AK30" s="227" t="s">
        <v>54</v>
      </c>
    </row>
    <row r="31" spans="1:37" ht="30" customHeight="1">
      <c r="A31" s="198" t="s">
        <v>198</v>
      </c>
      <c r="B31" s="198">
        <v>2692137419</v>
      </c>
      <c r="C31" s="198" t="s">
        <v>118</v>
      </c>
      <c r="D31" s="198" t="s">
        <v>96</v>
      </c>
      <c r="E31" s="198" t="s">
        <v>35</v>
      </c>
      <c r="F31" s="198" t="s">
        <v>283</v>
      </c>
      <c r="G31" s="198">
        <v>13</v>
      </c>
      <c r="H31" s="198" t="s">
        <v>205</v>
      </c>
      <c r="I31" s="198" t="s">
        <v>284</v>
      </c>
      <c r="J31" s="198" t="s">
        <v>260</v>
      </c>
      <c r="K31" s="198"/>
      <c r="L31" s="199">
        <v>46144.461111111108</v>
      </c>
      <c r="M31" s="199">
        <v>46144.527777777781</v>
      </c>
      <c r="N31" s="198" t="s">
        <v>274</v>
      </c>
      <c r="O31" s="151" t="s">
        <v>207</v>
      </c>
      <c r="P31" s="54"/>
      <c r="Q31" s="138" t="s">
        <v>207</v>
      </c>
      <c r="R31" s="54"/>
      <c r="S31" s="138" t="s">
        <v>214</v>
      </c>
      <c r="T31" s="54"/>
      <c r="U31" s="138" t="s">
        <v>207</v>
      </c>
      <c r="V31" s="54"/>
      <c r="W31" s="138" t="s">
        <v>214</v>
      </c>
      <c r="X31" s="54"/>
      <c r="Y31" s="138" t="s">
        <v>214</v>
      </c>
      <c r="Z31" s="54"/>
      <c r="AA31" s="138" t="s">
        <v>214</v>
      </c>
      <c r="AB31" s="54"/>
      <c r="AC31" s="138" t="s">
        <v>215</v>
      </c>
      <c r="AD31" s="54" t="s">
        <v>285</v>
      </c>
      <c r="AE31" s="138" t="s">
        <v>207</v>
      </c>
      <c r="AF31" s="178" t="str">
        <f t="shared" si="0"/>
        <v>NC</v>
      </c>
      <c r="AG31" s="54" t="str">
        <f t="shared" si="1"/>
        <v>UTILIZOU O PDA CORRETAMENTE. NÃO HÁ FOTOS DE TODAS AS ETAPAS</v>
      </c>
      <c r="AH31" s="138" t="s">
        <v>207</v>
      </c>
      <c r="AI31" s="226" t="s">
        <v>36</v>
      </c>
      <c r="AJ31" s="224" t="str">
        <f t="shared" si="2"/>
        <v>SÃO PAULO</v>
      </c>
      <c r="AK31" s="227" t="s">
        <v>54</v>
      </c>
    </row>
    <row r="32" spans="1:37" ht="30" customHeight="1">
      <c r="A32" s="198" t="s">
        <v>198</v>
      </c>
      <c r="B32" s="198">
        <v>2692078384</v>
      </c>
      <c r="C32" s="198" t="s">
        <v>114</v>
      </c>
      <c r="D32" s="198" t="s">
        <v>96</v>
      </c>
      <c r="E32" s="198" t="s">
        <v>35</v>
      </c>
      <c r="F32" s="198" t="s">
        <v>280</v>
      </c>
      <c r="G32" s="198">
        <v>522</v>
      </c>
      <c r="H32" s="198" t="s">
        <v>200</v>
      </c>
      <c r="I32" s="198" t="s">
        <v>281</v>
      </c>
      <c r="J32" s="198" t="s">
        <v>260</v>
      </c>
      <c r="K32" s="198" t="s">
        <v>200</v>
      </c>
      <c r="L32" s="199">
        <v>46143.319444444445</v>
      </c>
      <c r="M32" s="199">
        <v>46143.330555555556</v>
      </c>
      <c r="N32" s="198" t="s">
        <v>232</v>
      </c>
      <c r="O32" s="151" t="s">
        <v>207</v>
      </c>
      <c r="P32" s="54"/>
      <c r="Q32" s="138" t="s">
        <v>207</v>
      </c>
      <c r="R32" s="54"/>
      <c r="S32" s="138" t="s">
        <v>214</v>
      </c>
      <c r="T32" s="54"/>
      <c r="U32" s="138" t="s">
        <v>207</v>
      </c>
      <c r="V32" s="54"/>
      <c r="W32" s="138" t="s">
        <v>207</v>
      </c>
      <c r="X32" s="54"/>
      <c r="Y32" s="138" t="s">
        <v>214</v>
      </c>
      <c r="Z32" s="54"/>
      <c r="AA32" s="138" t="s">
        <v>214</v>
      </c>
      <c r="AB32" s="54"/>
      <c r="AC32" s="138" t="s">
        <v>215</v>
      </c>
      <c r="AD32" s="54" t="s">
        <v>237</v>
      </c>
      <c r="AE32" s="138" t="s">
        <v>207</v>
      </c>
      <c r="AF32" s="178" t="str">
        <f t="shared" si="0"/>
        <v>NC</v>
      </c>
      <c r="AG32" s="54" t="str">
        <f t="shared" si="1"/>
        <v>UTILIZOU O PDA CORRETAMENTE. NÃO HÁ FOTOS DE TODAS AS ETAPAS</v>
      </c>
      <c r="AH32" s="138" t="s">
        <v>207</v>
      </c>
      <c r="AI32" s="226" t="s">
        <v>36</v>
      </c>
      <c r="AJ32" s="224" t="str">
        <f t="shared" si="2"/>
        <v>SÃO PAULO</v>
      </c>
      <c r="AK32" s="227" t="s">
        <v>54</v>
      </c>
    </row>
    <row r="33" spans="1:37" ht="30" customHeight="1">
      <c r="A33" s="198" t="s">
        <v>198</v>
      </c>
      <c r="B33" s="198">
        <v>2618094399</v>
      </c>
      <c r="C33" s="198" t="s">
        <v>121</v>
      </c>
      <c r="D33" s="198" t="s">
        <v>96</v>
      </c>
      <c r="E33" s="198" t="s">
        <v>35</v>
      </c>
      <c r="F33" s="198" t="s">
        <v>286</v>
      </c>
      <c r="G33" s="198">
        <v>3002</v>
      </c>
      <c r="H33" s="198" t="s">
        <v>208</v>
      </c>
      <c r="I33" s="198" t="s">
        <v>287</v>
      </c>
      <c r="J33" s="198" t="s">
        <v>202</v>
      </c>
      <c r="K33" s="198"/>
      <c r="L33" s="199">
        <v>46144.291666666664</v>
      </c>
      <c r="M33" s="199">
        <v>46144.292361111111</v>
      </c>
      <c r="N33" s="198" t="s">
        <v>288</v>
      </c>
      <c r="O33" s="151" t="s">
        <v>77</v>
      </c>
      <c r="P33" s="54"/>
      <c r="Q33" s="138" t="s">
        <v>77</v>
      </c>
      <c r="R33" s="54"/>
      <c r="S33" s="138" t="s">
        <v>77</v>
      </c>
      <c r="T33" s="54"/>
      <c r="U33" s="138" t="s">
        <v>77</v>
      </c>
      <c r="V33" s="54"/>
      <c r="W33" s="138" t="s">
        <v>77</v>
      </c>
      <c r="X33" s="54"/>
      <c r="Y33" s="138" t="s">
        <v>77</v>
      </c>
      <c r="Z33" s="54"/>
      <c r="AA33" s="138" t="s">
        <v>77</v>
      </c>
      <c r="AB33" s="54"/>
      <c r="AC33" s="138" t="s">
        <v>77</v>
      </c>
      <c r="AD33" s="54"/>
      <c r="AE33" s="138" t="s">
        <v>77</v>
      </c>
      <c r="AF33" s="178" t="str">
        <f t="shared" si="0"/>
        <v>NA</v>
      </c>
      <c r="AG33" s="54" t="str">
        <f t="shared" si="1"/>
        <v>NÃO AVALIADO POR FALHA DE SINCRONISMO</v>
      </c>
      <c r="AH33" s="138" t="s">
        <v>207</v>
      </c>
      <c r="AI33" s="226" t="s">
        <v>36</v>
      </c>
      <c r="AJ33" s="224" t="str">
        <f t="shared" si="2"/>
        <v>SÃO PAULO</v>
      </c>
      <c r="AK33" s="227" t="s">
        <v>54</v>
      </c>
    </row>
    <row r="34" spans="1:37" ht="30" customHeight="1">
      <c r="A34" s="198" t="s">
        <v>198</v>
      </c>
      <c r="B34" s="198">
        <v>2618306909</v>
      </c>
      <c r="C34" s="198" t="s">
        <v>121</v>
      </c>
      <c r="D34" s="198" t="s">
        <v>96</v>
      </c>
      <c r="E34" s="198" t="s">
        <v>35</v>
      </c>
      <c r="F34" s="198" t="s">
        <v>289</v>
      </c>
      <c r="G34" s="198">
        <v>36</v>
      </c>
      <c r="H34" s="198" t="s">
        <v>200</v>
      </c>
      <c r="I34" s="198" t="s">
        <v>290</v>
      </c>
      <c r="J34" s="198" t="s">
        <v>202</v>
      </c>
      <c r="K34" s="198" t="s">
        <v>200</v>
      </c>
      <c r="L34" s="199">
        <v>46144.458333333336</v>
      </c>
      <c r="M34" s="199">
        <v>46144.459027777775</v>
      </c>
      <c r="N34" s="198" t="s">
        <v>291</v>
      </c>
      <c r="O34" s="151" t="s">
        <v>77</v>
      </c>
      <c r="P34" s="54"/>
      <c r="Q34" s="138" t="s">
        <v>77</v>
      </c>
      <c r="R34" s="54"/>
      <c r="S34" s="138" t="s">
        <v>77</v>
      </c>
      <c r="T34" s="54"/>
      <c r="U34" s="138" t="s">
        <v>77</v>
      </c>
      <c r="V34" s="54"/>
      <c r="W34" s="138" t="s">
        <v>77</v>
      </c>
      <c r="X34" s="54"/>
      <c r="Y34" s="138" t="s">
        <v>77</v>
      </c>
      <c r="Z34" s="54"/>
      <c r="AA34" s="138" t="s">
        <v>77</v>
      </c>
      <c r="AB34" s="54"/>
      <c r="AC34" s="138" t="s">
        <v>77</v>
      </c>
      <c r="AD34" s="54"/>
      <c r="AE34" s="138" t="s">
        <v>77</v>
      </c>
      <c r="AF34" s="178" t="str">
        <f t="shared" si="0"/>
        <v>NA</v>
      </c>
      <c r="AG34" s="54" t="str">
        <f t="shared" si="1"/>
        <v>NÃO AVALIADO POR FALHA DE SINCRONISMO</v>
      </c>
      <c r="AH34" s="138" t="s">
        <v>207</v>
      </c>
      <c r="AI34" s="226" t="s">
        <v>36</v>
      </c>
      <c r="AJ34" s="224" t="str">
        <f t="shared" si="2"/>
        <v>SÃO PAULO</v>
      </c>
      <c r="AK34" s="227" t="s">
        <v>54</v>
      </c>
    </row>
    <row r="35" spans="1:37" ht="30" customHeight="1">
      <c r="A35" s="198" t="s">
        <v>198</v>
      </c>
      <c r="B35" s="198">
        <v>2618306209</v>
      </c>
      <c r="C35" s="198" t="s">
        <v>121</v>
      </c>
      <c r="D35" s="198" t="s">
        <v>96</v>
      </c>
      <c r="E35" s="198" t="s">
        <v>35</v>
      </c>
      <c r="F35" s="198" t="s">
        <v>292</v>
      </c>
      <c r="G35" s="198">
        <v>221</v>
      </c>
      <c r="H35" s="198" t="s">
        <v>208</v>
      </c>
      <c r="I35" s="198" t="s">
        <v>293</v>
      </c>
      <c r="J35" s="198" t="s">
        <v>294</v>
      </c>
      <c r="K35" s="198"/>
      <c r="L35" s="199">
        <v>46144.463888888888</v>
      </c>
      <c r="M35" s="199">
        <v>46144.661111111112</v>
      </c>
      <c r="N35" s="198" t="s">
        <v>295</v>
      </c>
      <c r="O35" s="151" t="s">
        <v>215</v>
      </c>
      <c r="P35" s="54" t="s">
        <v>227</v>
      </c>
      <c r="Q35" s="138" t="s">
        <v>215</v>
      </c>
      <c r="R35" s="54" t="s">
        <v>228</v>
      </c>
      <c r="S35" s="138" t="s">
        <v>215</v>
      </c>
      <c r="T35" s="54" t="s">
        <v>227</v>
      </c>
      <c r="U35" s="138" t="s">
        <v>215</v>
      </c>
      <c r="V35" s="54" t="s">
        <v>227</v>
      </c>
      <c r="W35" s="138" t="s">
        <v>215</v>
      </c>
      <c r="X35" s="54" t="s">
        <v>227</v>
      </c>
      <c r="Y35" s="138" t="s">
        <v>215</v>
      </c>
      <c r="Z35" s="54" t="s">
        <v>227</v>
      </c>
      <c r="AA35" s="138" t="s">
        <v>215</v>
      </c>
      <c r="AB35" s="54" t="s">
        <v>227</v>
      </c>
      <c r="AC35" s="138" t="s">
        <v>215</v>
      </c>
      <c r="AD35" s="54" t="s">
        <v>227</v>
      </c>
      <c r="AE35" s="138" t="s">
        <v>215</v>
      </c>
      <c r="AF35" s="178" t="str">
        <f t="shared" si="0"/>
        <v>NC</v>
      </c>
      <c r="AG35" s="54" t="str">
        <f t="shared" si="1"/>
        <v>NÃO UTILIZOU O PDA</v>
      </c>
      <c r="AH35" s="138" t="s">
        <v>207</v>
      </c>
      <c r="AI35" s="226" t="s">
        <v>36</v>
      </c>
      <c r="AJ35" s="224" t="str">
        <f t="shared" si="2"/>
        <v>SÃO PAULO</v>
      </c>
      <c r="AK35" s="227" t="s">
        <v>54</v>
      </c>
    </row>
    <row r="36" spans="1:37" ht="30" customHeight="1">
      <c r="A36" s="198" t="s">
        <v>198</v>
      </c>
      <c r="B36" s="198">
        <v>2618308874</v>
      </c>
      <c r="C36" s="198" t="s">
        <v>121</v>
      </c>
      <c r="D36" s="198" t="s">
        <v>96</v>
      </c>
      <c r="E36" s="198" t="s">
        <v>35</v>
      </c>
      <c r="F36" s="198" t="s">
        <v>296</v>
      </c>
      <c r="G36" s="198">
        <v>441</v>
      </c>
      <c r="H36" s="198" t="s">
        <v>200</v>
      </c>
      <c r="I36" s="198" t="s">
        <v>297</v>
      </c>
      <c r="J36" s="198" t="s">
        <v>294</v>
      </c>
      <c r="K36" s="198" t="s">
        <v>200</v>
      </c>
      <c r="L36" s="199">
        <v>46144.415277777778</v>
      </c>
      <c r="M36" s="199">
        <v>46144.430555555555</v>
      </c>
      <c r="N36" s="198" t="s">
        <v>274</v>
      </c>
      <c r="O36" s="151" t="s">
        <v>207</v>
      </c>
      <c r="P36" s="54"/>
      <c r="Q36" s="138" t="s">
        <v>207</v>
      </c>
      <c r="R36" s="54"/>
      <c r="S36" s="138" t="s">
        <v>214</v>
      </c>
      <c r="T36" s="54"/>
      <c r="U36" s="138" t="s">
        <v>207</v>
      </c>
      <c r="V36" s="54"/>
      <c r="W36" s="138" t="s">
        <v>207</v>
      </c>
      <c r="X36" s="54"/>
      <c r="Y36" s="138" t="s">
        <v>77</v>
      </c>
      <c r="Z36" s="54"/>
      <c r="AA36" s="138" t="s">
        <v>214</v>
      </c>
      <c r="AB36" s="54"/>
      <c r="AC36" s="138" t="s">
        <v>215</v>
      </c>
      <c r="AD36" s="54" t="s">
        <v>298</v>
      </c>
      <c r="AE36" s="138" t="s">
        <v>207</v>
      </c>
      <c r="AF36" s="178" t="str">
        <f t="shared" si="0"/>
        <v>NC</v>
      </c>
      <c r="AG36" s="54" t="str">
        <f t="shared" si="1"/>
        <v>UTILIZOU O PDA CORRETAMENTE. NÃO HÁ FOTOS DE TODAS AS ETAPAS</v>
      </c>
      <c r="AH36" s="138" t="s">
        <v>207</v>
      </c>
      <c r="AI36" s="226" t="s">
        <v>36</v>
      </c>
      <c r="AJ36" s="224" t="str">
        <f t="shared" si="2"/>
        <v>SÃO PAULO</v>
      </c>
      <c r="AK36" s="227" t="s">
        <v>54</v>
      </c>
    </row>
    <row r="37" spans="1:37" ht="30" customHeight="1">
      <c r="A37" s="198" t="s">
        <v>198</v>
      </c>
      <c r="B37" s="198">
        <v>2618382850</v>
      </c>
      <c r="C37" s="198" t="s">
        <v>122</v>
      </c>
      <c r="D37" s="198" t="s">
        <v>96</v>
      </c>
      <c r="E37" s="198" t="s">
        <v>35</v>
      </c>
      <c r="F37" s="198" t="s">
        <v>299</v>
      </c>
      <c r="G37" s="198">
        <v>28</v>
      </c>
      <c r="H37" s="198"/>
      <c r="I37" s="198" t="s">
        <v>300</v>
      </c>
      <c r="J37" s="198" t="s">
        <v>301</v>
      </c>
      <c r="K37" s="198"/>
      <c r="L37" s="199">
        <v>46144.617361111108</v>
      </c>
      <c r="M37" s="199">
        <v>46145.084722222222</v>
      </c>
      <c r="N37" s="198" t="s">
        <v>232</v>
      </c>
      <c r="O37" s="151" t="s">
        <v>77</v>
      </c>
      <c r="P37" s="54"/>
      <c r="Q37" s="138" t="s">
        <v>77</v>
      </c>
      <c r="R37" s="54"/>
      <c r="S37" s="138" t="s">
        <v>77</v>
      </c>
      <c r="T37" s="54"/>
      <c r="U37" s="138" t="s">
        <v>77</v>
      </c>
      <c r="V37" s="54"/>
      <c r="W37" s="138" t="s">
        <v>77</v>
      </c>
      <c r="X37" s="54"/>
      <c r="Y37" s="138" t="s">
        <v>77</v>
      </c>
      <c r="Z37" s="54"/>
      <c r="AA37" s="138" t="s">
        <v>77</v>
      </c>
      <c r="AB37" s="54"/>
      <c r="AC37" s="138" t="s">
        <v>77</v>
      </c>
      <c r="AD37" s="54"/>
      <c r="AE37" s="138" t="s">
        <v>77</v>
      </c>
      <c r="AF37" s="178" t="str">
        <f t="shared" si="0"/>
        <v>NA</v>
      </c>
      <c r="AG37" s="54" t="str">
        <f t="shared" si="1"/>
        <v>NÃO AVALIADO POR FALHA DE SINCRONISMO</v>
      </c>
      <c r="AH37" s="138" t="s">
        <v>207</v>
      </c>
      <c r="AI37" s="226" t="s">
        <v>36</v>
      </c>
      <c r="AJ37" s="224" t="str">
        <f t="shared" si="2"/>
        <v>SÃO PAULO</v>
      </c>
      <c r="AK37" s="227" t="s">
        <v>54</v>
      </c>
    </row>
    <row r="38" spans="1:37" ht="30" customHeight="1">
      <c r="A38" s="198" t="s">
        <v>198</v>
      </c>
      <c r="B38" s="198">
        <v>2692171845</v>
      </c>
      <c r="C38" s="198" t="s">
        <v>114</v>
      </c>
      <c r="D38" s="198" t="s">
        <v>96</v>
      </c>
      <c r="E38" s="198" t="s">
        <v>35</v>
      </c>
      <c r="F38" s="198" t="s">
        <v>302</v>
      </c>
      <c r="G38" s="198">
        <v>63</v>
      </c>
      <c r="H38" s="198" t="s">
        <v>200</v>
      </c>
      <c r="I38" s="198" t="s">
        <v>303</v>
      </c>
      <c r="J38" s="198" t="s">
        <v>260</v>
      </c>
      <c r="K38" s="198" t="s">
        <v>200</v>
      </c>
      <c r="L38" s="199">
        <v>46144.331944444442</v>
      </c>
      <c r="M38" s="199">
        <v>46144.333333333336</v>
      </c>
      <c r="N38" s="198" t="s">
        <v>232</v>
      </c>
      <c r="O38" s="151" t="s">
        <v>207</v>
      </c>
      <c r="P38" s="54"/>
      <c r="Q38" s="138" t="s">
        <v>214</v>
      </c>
      <c r="R38" s="54"/>
      <c r="S38" s="138" t="s">
        <v>214</v>
      </c>
      <c r="T38" s="54"/>
      <c r="U38" s="138" t="s">
        <v>207</v>
      </c>
      <c r="V38" s="54"/>
      <c r="W38" s="138" t="s">
        <v>207</v>
      </c>
      <c r="X38" s="54"/>
      <c r="Y38" s="138" t="s">
        <v>214</v>
      </c>
      <c r="Z38" s="54"/>
      <c r="AA38" s="138" t="s">
        <v>214</v>
      </c>
      <c r="AB38" s="54"/>
      <c r="AC38" s="138" t="s">
        <v>215</v>
      </c>
      <c r="AD38" s="54" t="s">
        <v>237</v>
      </c>
      <c r="AE38" s="138" t="s">
        <v>207</v>
      </c>
      <c r="AF38" s="178" t="str">
        <f t="shared" si="0"/>
        <v>NC</v>
      </c>
      <c r="AG38" s="54" t="str">
        <f t="shared" si="1"/>
        <v>UTILIZOU O PDA CORRETAMENTE. NÃO HÁ FOTOS DE TODAS AS ETAPAS</v>
      </c>
      <c r="AH38" s="138" t="s">
        <v>207</v>
      </c>
      <c r="AI38" s="226" t="s">
        <v>36</v>
      </c>
      <c r="AJ38" s="224" t="str">
        <f t="shared" si="2"/>
        <v>SÃO PAULO</v>
      </c>
      <c r="AK38" s="227" t="s">
        <v>54</v>
      </c>
    </row>
    <row r="39" spans="1:37" ht="30" customHeight="1">
      <c r="A39" s="198" t="s">
        <v>198</v>
      </c>
      <c r="B39" s="198">
        <v>2692187579</v>
      </c>
      <c r="C39" s="198" t="s">
        <v>117</v>
      </c>
      <c r="D39" s="198" t="s">
        <v>96</v>
      </c>
      <c r="E39" s="198" t="s">
        <v>35</v>
      </c>
      <c r="F39" s="198" t="s">
        <v>304</v>
      </c>
      <c r="G39" s="198">
        <v>16</v>
      </c>
      <c r="H39" s="198"/>
      <c r="I39" s="198" t="s">
        <v>305</v>
      </c>
      <c r="J39" s="198" t="s">
        <v>267</v>
      </c>
      <c r="K39" s="198"/>
      <c r="L39" s="199">
        <v>46144.659722222219</v>
      </c>
      <c r="M39" s="199">
        <v>46144.660416666666</v>
      </c>
      <c r="N39" s="198" t="s">
        <v>288</v>
      </c>
      <c r="O39" s="151" t="s">
        <v>77</v>
      </c>
      <c r="P39" s="54"/>
      <c r="Q39" s="138" t="s">
        <v>77</v>
      </c>
      <c r="R39" s="54"/>
      <c r="S39" s="138" t="s">
        <v>77</v>
      </c>
      <c r="T39" s="54"/>
      <c r="U39" s="138" t="s">
        <v>77</v>
      </c>
      <c r="V39" s="54"/>
      <c r="W39" s="138" t="s">
        <v>77</v>
      </c>
      <c r="X39" s="54"/>
      <c r="Y39" s="138" t="s">
        <v>77</v>
      </c>
      <c r="Z39" s="54"/>
      <c r="AA39" s="138" t="s">
        <v>77</v>
      </c>
      <c r="AB39" s="54"/>
      <c r="AC39" s="138" t="s">
        <v>77</v>
      </c>
      <c r="AD39" s="54"/>
      <c r="AE39" s="138" t="s">
        <v>77</v>
      </c>
      <c r="AF39" s="178" t="str">
        <f t="shared" si="0"/>
        <v>NA</v>
      </c>
      <c r="AG39" s="54" t="str">
        <f t="shared" si="1"/>
        <v>NÃO AVALIADO POR FALHA DE SINCRONISMO</v>
      </c>
      <c r="AH39" s="138"/>
      <c r="AI39" s="226" t="s">
        <v>36</v>
      </c>
      <c r="AJ39" s="224" t="str">
        <f t="shared" si="2"/>
        <v>SÃO PAULO</v>
      </c>
      <c r="AK39" s="227" t="s">
        <v>54</v>
      </c>
    </row>
    <row r="40" spans="1:37" ht="30" customHeight="1">
      <c r="A40" s="198" t="s">
        <v>198</v>
      </c>
      <c r="B40" s="198">
        <v>2618387155</v>
      </c>
      <c r="C40" s="198" t="s">
        <v>121</v>
      </c>
      <c r="D40" s="198" t="s">
        <v>96</v>
      </c>
      <c r="E40" s="198" t="s">
        <v>35</v>
      </c>
      <c r="F40" s="198" t="s">
        <v>306</v>
      </c>
      <c r="G40" s="198">
        <v>49</v>
      </c>
      <c r="H40" s="198" t="s">
        <v>208</v>
      </c>
      <c r="I40" s="198" t="s">
        <v>259</v>
      </c>
      <c r="J40" s="198" t="s">
        <v>202</v>
      </c>
      <c r="K40" s="198" t="s">
        <v>200</v>
      </c>
      <c r="L40" s="199">
        <v>46144.6875</v>
      </c>
      <c r="M40" s="199">
        <v>46144.688194444447</v>
      </c>
      <c r="N40" s="198" t="s">
        <v>288</v>
      </c>
      <c r="O40" s="151" t="s">
        <v>77</v>
      </c>
      <c r="P40" s="54"/>
      <c r="Q40" s="138" t="s">
        <v>77</v>
      </c>
      <c r="R40" s="54"/>
      <c r="S40" s="138" t="s">
        <v>77</v>
      </c>
      <c r="T40" s="54"/>
      <c r="U40" s="138" t="s">
        <v>77</v>
      </c>
      <c r="V40" s="54"/>
      <c r="W40" s="138" t="s">
        <v>77</v>
      </c>
      <c r="X40" s="54"/>
      <c r="Y40" s="138" t="s">
        <v>77</v>
      </c>
      <c r="Z40" s="54"/>
      <c r="AA40" s="138" t="s">
        <v>77</v>
      </c>
      <c r="AB40" s="54"/>
      <c r="AC40" s="138" t="s">
        <v>77</v>
      </c>
      <c r="AD40" s="54"/>
      <c r="AE40" s="138" t="s">
        <v>77</v>
      </c>
      <c r="AF40" s="178" t="str">
        <f t="shared" si="0"/>
        <v>NA</v>
      </c>
      <c r="AG40" s="54" t="str">
        <f t="shared" si="1"/>
        <v>NÃO AVALIADO POR FALHA DE SINCRONISMO</v>
      </c>
      <c r="AH40" s="138" t="s">
        <v>207</v>
      </c>
      <c r="AI40" s="226" t="s">
        <v>36</v>
      </c>
      <c r="AJ40" s="224" t="str">
        <f t="shared" si="2"/>
        <v>SÃO PAULO</v>
      </c>
      <c r="AK40" s="227" t="s">
        <v>54</v>
      </c>
    </row>
    <row r="41" spans="1:37" ht="30" customHeight="1">
      <c r="A41" s="198" t="s">
        <v>198</v>
      </c>
      <c r="B41" s="198">
        <v>2618395552</v>
      </c>
      <c r="C41" s="198" t="s">
        <v>122</v>
      </c>
      <c r="D41" s="198" t="s">
        <v>96</v>
      </c>
      <c r="E41" s="198" t="s">
        <v>35</v>
      </c>
      <c r="F41" s="198" t="s">
        <v>307</v>
      </c>
      <c r="G41" s="198">
        <v>475</v>
      </c>
      <c r="H41" s="198"/>
      <c r="I41" s="198" t="s">
        <v>308</v>
      </c>
      <c r="J41" s="198" t="s">
        <v>267</v>
      </c>
      <c r="K41" s="198"/>
      <c r="L41" s="199">
        <v>46145.416666666664</v>
      </c>
      <c r="M41" s="199">
        <v>46145.420138888891</v>
      </c>
      <c r="N41" s="198" t="s">
        <v>309</v>
      </c>
      <c r="O41" s="151" t="s">
        <v>207</v>
      </c>
      <c r="P41" s="54"/>
      <c r="Q41" s="138" t="s">
        <v>215</v>
      </c>
      <c r="R41" s="54" t="s">
        <v>310</v>
      </c>
      <c r="S41" s="138" t="s">
        <v>214</v>
      </c>
      <c r="T41" s="54"/>
      <c r="U41" s="138" t="s">
        <v>215</v>
      </c>
      <c r="V41" s="54" t="s">
        <v>236</v>
      </c>
      <c r="W41" s="138" t="s">
        <v>207</v>
      </c>
      <c r="X41" s="54"/>
      <c r="Y41" s="138" t="s">
        <v>77</v>
      </c>
      <c r="Z41" s="54"/>
      <c r="AA41" s="138" t="s">
        <v>214</v>
      </c>
      <c r="AB41" s="54"/>
      <c r="AC41" s="138" t="s">
        <v>207</v>
      </c>
      <c r="AD41" s="54"/>
      <c r="AE41" s="138" t="s">
        <v>207</v>
      </c>
      <c r="AF41" s="178" t="str">
        <f t="shared" si="0"/>
        <v>NC</v>
      </c>
      <c r="AG41" s="54" t="str">
        <f t="shared" si="1"/>
        <v>UTILIZOU O PDA CORRETAMENTE. NÃO HÁ FOTOS DE TODAS AS ETAPAS</v>
      </c>
      <c r="AH41" s="138" t="s">
        <v>207</v>
      </c>
      <c r="AI41" s="226" t="s">
        <v>36</v>
      </c>
      <c r="AJ41" s="224" t="str">
        <f t="shared" si="2"/>
        <v>SÃO PAULO</v>
      </c>
      <c r="AK41" s="227" t="s">
        <v>54</v>
      </c>
    </row>
    <row r="42" spans="1:37" ht="30" customHeight="1">
      <c r="A42" s="198" t="s">
        <v>198</v>
      </c>
      <c r="B42" s="198">
        <v>2692210322</v>
      </c>
      <c r="C42" s="198" t="s">
        <v>122</v>
      </c>
      <c r="D42" s="198" t="s">
        <v>96</v>
      </c>
      <c r="E42" s="198" t="s">
        <v>35</v>
      </c>
      <c r="F42" s="198" t="s">
        <v>311</v>
      </c>
      <c r="G42" s="198">
        <v>10</v>
      </c>
      <c r="H42" s="198" t="s">
        <v>200</v>
      </c>
      <c r="I42" s="198" t="s">
        <v>312</v>
      </c>
      <c r="J42" s="198" t="s">
        <v>301</v>
      </c>
      <c r="K42" s="198" t="s">
        <v>200</v>
      </c>
      <c r="L42" s="199">
        <v>46145.131944444445</v>
      </c>
      <c r="M42" s="199">
        <v>46145.134722222225</v>
      </c>
      <c r="N42" s="198" t="s">
        <v>213</v>
      </c>
      <c r="O42" s="151" t="s">
        <v>207</v>
      </c>
      <c r="P42" s="54"/>
      <c r="Q42" s="138" t="s">
        <v>214</v>
      </c>
      <c r="R42" s="54"/>
      <c r="S42" s="138" t="s">
        <v>214</v>
      </c>
      <c r="T42" s="54"/>
      <c r="U42" s="138" t="s">
        <v>214</v>
      </c>
      <c r="V42" s="54"/>
      <c r="W42" s="138" t="s">
        <v>214</v>
      </c>
      <c r="X42" s="54"/>
      <c r="Y42" s="138" t="s">
        <v>77</v>
      </c>
      <c r="Z42" s="54"/>
      <c r="AA42" s="138" t="s">
        <v>214</v>
      </c>
      <c r="AB42" s="54"/>
      <c r="AC42" s="138" t="s">
        <v>214</v>
      </c>
      <c r="AD42" s="54"/>
      <c r="AE42" s="138" t="s">
        <v>207</v>
      </c>
      <c r="AF42" s="178" t="str">
        <f t="shared" si="0"/>
        <v>NC</v>
      </c>
      <c r="AG42" s="54" t="str">
        <f t="shared" si="1"/>
        <v>UTILIZOU O PDA CORRETAMENTE. NÃO HÁ FOTOS DE TODAS AS ETAPAS</v>
      </c>
      <c r="AH42" s="138" t="s">
        <v>207</v>
      </c>
      <c r="AI42" s="226" t="s">
        <v>36</v>
      </c>
      <c r="AJ42" s="224" t="str">
        <f t="shared" si="2"/>
        <v>SÃO PAULO</v>
      </c>
      <c r="AK42" s="227" t="s">
        <v>54</v>
      </c>
    </row>
    <row r="43" spans="1:37" ht="30" customHeight="1">
      <c r="A43" s="198" t="s">
        <v>198</v>
      </c>
      <c r="B43" s="198">
        <v>2692220140</v>
      </c>
      <c r="C43" s="198" t="s">
        <v>117</v>
      </c>
      <c r="D43" s="198" t="s">
        <v>96</v>
      </c>
      <c r="E43" s="198" t="s">
        <v>35</v>
      </c>
      <c r="F43" s="198" t="s">
        <v>313</v>
      </c>
      <c r="G43" s="198">
        <v>104</v>
      </c>
      <c r="H43" s="198"/>
      <c r="I43" s="198" t="s">
        <v>314</v>
      </c>
      <c r="J43" s="198" t="s">
        <v>315</v>
      </c>
      <c r="K43" s="198"/>
      <c r="L43" s="199">
        <v>46145.103472222225</v>
      </c>
      <c r="M43" s="199">
        <v>46145.113888888889</v>
      </c>
      <c r="N43" s="198" t="s">
        <v>213</v>
      </c>
      <c r="O43" s="151" t="s">
        <v>207</v>
      </c>
      <c r="P43" s="54"/>
      <c r="Q43" s="51" t="s">
        <v>207</v>
      </c>
      <c r="R43" s="54"/>
      <c r="S43" s="138" t="s">
        <v>214</v>
      </c>
      <c r="T43" s="54"/>
      <c r="U43" s="138" t="s">
        <v>214</v>
      </c>
      <c r="V43" s="54"/>
      <c r="W43" s="138" t="s">
        <v>214</v>
      </c>
      <c r="X43" s="54"/>
      <c r="Y43" s="138" t="s">
        <v>77</v>
      </c>
      <c r="Z43" s="54"/>
      <c r="AA43" s="138" t="s">
        <v>214</v>
      </c>
      <c r="AB43" s="54"/>
      <c r="AC43" s="138" t="s">
        <v>214</v>
      </c>
      <c r="AD43" s="54"/>
      <c r="AE43" s="138" t="s">
        <v>207</v>
      </c>
      <c r="AF43" s="178" t="str">
        <f>IF(AND(O43="",Q45="",S43="",U43="",W43="",Y43="",AA43="",AC43=""),"",IF(OR(AND(O43&lt;&gt;"NA",O43&lt;&gt;"C",O43&lt;&gt;"NC",O43&lt;&gt;"SF",O43&lt;&gt;""),AND(Q45&lt;&gt;"NA",Q45&lt;&gt;"C",Q45&lt;&gt;"NC",Q45&lt;&gt;"SF",Q45&lt;&gt;""),AND(S43&lt;&gt;"NA",S43&lt;&gt;"C",S43&lt;&gt;"NC",S43&lt;&gt;"SF",S43&lt;&gt;""),AND(U43&lt;&gt;"NA",U43&lt;&gt;"C",U43&lt;&gt;"NC",U43&lt;&gt;"SF",U43&lt;&gt;""),AND(W43&lt;&gt;"NA",W43&lt;&gt;"C",W43&lt;&gt;"NC",W43&lt;&gt;"SF",W43&lt;&gt;""),AND(Y43&lt;&gt;"NA",Y43&lt;&gt;"C",Y43&lt;&gt;"NC",Y43&lt;&gt;"SF",Y43&lt;&gt;""),AND(AA43&lt;&gt;"NA",AA43&lt;&gt;"C",AA43&lt;&gt;"NC",AA43&lt;&gt;"SF",AA43&lt;&gt;""),AND(AC43&lt;&gt;"NA",AC43&lt;&gt;"C",AC43&lt;&gt;"NC",AC43&lt;&gt;"SF",AC43&lt;&gt;"")),"FALSO",IF(AND(O43="NA",Q45="NA",S43="NA",U43="NA",W43="NA",Y43="NA",AA43="NA",AC43="NA"),"NA",IF(OR(O43="NC",Q45="NC",S43="NC",U43="NC",W43="NC",Y43="NC",AA43="NC",AC43="NC",O43="SF",Q45="SF",S43="SF",U43="SF",W43="SF",Y43="SF",AA43="SF",AC43="SF"),"NC",IF(OR(O43="C",Q45="C",S43="C",U43="C",W43="C",Y43="C",AA43="C",AC43="C"),"C","")))))</f>
        <v>NC</v>
      </c>
      <c r="AG43" s="54" t="str">
        <f t="shared" si="1"/>
        <v>UTILIZOU O PDA CORRETAMENTE. NÃO HÁ FOTOS DE TODAS AS ETAPAS</v>
      </c>
      <c r="AH43" s="138" t="s">
        <v>207</v>
      </c>
      <c r="AI43" s="226" t="s">
        <v>36</v>
      </c>
      <c r="AJ43" s="224" t="str">
        <f t="shared" si="2"/>
        <v>SÃO PAULO</v>
      </c>
      <c r="AK43" s="227" t="s">
        <v>54</v>
      </c>
    </row>
    <row r="44" spans="1:37" ht="30" customHeight="1">
      <c r="A44" s="198" t="s">
        <v>198</v>
      </c>
      <c r="B44" s="198">
        <v>2692204547</v>
      </c>
      <c r="C44" s="198" t="s">
        <v>118</v>
      </c>
      <c r="D44" s="198" t="s">
        <v>96</v>
      </c>
      <c r="E44" s="198" t="s">
        <v>35</v>
      </c>
      <c r="F44" s="198" t="s">
        <v>316</v>
      </c>
      <c r="G44" s="198">
        <v>23</v>
      </c>
      <c r="H44" s="198" t="s">
        <v>205</v>
      </c>
      <c r="I44" s="198" t="s">
        <v>281</v>
      </c>
      <c r="J44" s="198" t="s">
        <v>267</v>
      </c>
      <c r="K44" s="198" t="s">
        <v>200</v>
      </c>
      <c r="L44" s="199">
        <v>46145.376388888886</v>
      </c>
      <c r="M44" s="199">
        <v>46145.378472222219</v>
      </c>
      <c r="N44" s="198" t="s">
        <v>317</v>
      </c>
      <c r="O44" s="151" t="s">
        <v>77</v>
      </c>
      <c r="P44" s="54"/>
      <c r="Q44" s="138" t="s">
        <v>77</v>
      </c>
      <c r="R44" s="54"/>
      <c r="S44" s="138" t="s">
        <v>77</v>
      </c>
      <c r="T44" s="54"/>
      <c r="U44" s="138" t="s">
        <v>77</v>
      </c>
      <c r="V44" s="54"/>
      <c r="W44" s="138" t="s">
        <v>77</v>
      </c>
      <c r="X44" s="54"/>
      <c r="Y44" s="138" t="s">
        <v>77</v>
      </c>
      <c r="Z44" s="54"/>
      <c r="AA44" s="138" t="s">
        <v>77</v>
      </c>
      <c r="AB44" s="54"/>
      <c r="AC44" s="138" t="s">
        <v>77</v>
      </c>
      <c r="AD44" s="54"/>
      <c r="AE44" s="138" t="s">
        <v>77</v>
      </c>
      <c r="AF44" s="178" t="str">
        <f t="shared" si="0"/>
        <v>NA</v>
      </c>
      <c r="AG44" s="54" t="str">
        <f t="shared" si="1"/>
        <v>NÃO AVALIADO POR FALHA DE SINCRONISMO</v>
      </c>
      <c r="AH44" s="138" t="s">
        <v>207</v>
      </c>
      <c r="AI44" s="226" t="s">
        <v>36</v>
      </c>
      <c r="AJ44" s="224" t="str">
        <f t="shared" si="2"/>
        <v>SÃO PAULO</v>
      </c>
      <c r="AK44" s="227" t="s">
        <v>54</v>
      </c>
    </row>
    <row r="45" spans="1:37" ht="30" customHeight="1">
      <c r="A45" s="198" t="s">
        <v>198</v>
      </c>
      <c r="B45" s="198">
        <v>2618378618</v>
      </c>
      <c r="C45" s="198" t="s">
        <v>121</v>
      </c>
      <c r="D45" s="198" t="s">
        <v>96</v>
      </c>
      <c r="E45" s="198" t="s">
        <v>35</v>
      </c>
      <c r="F45" s="198" t="s">
        <v>318</v>
      </c>
      <c r="G45" s="198">
        <v>25</v>
      </c>
      <c r="H45" s="198" t="s">
        <v>208</v>
      </c>
      <c r="I45" s="198" t="s">
        <v>319</v>
      </c>
      <c r="J45" s="198" t="s">
        <v>202</v>
      </c>
      <c r="K45" s="198"/>
      <c r="L45" s="199">
        <v>46145.334722222222</v>
      </c>
      <c r="M45" s="199">
        <v>46145.335416666669</v>
      </c>
      <c r="N45" s="198" t="s">
        <v>320</v>
      </c>
      <c r="O45" s="151" t="s">
        <v>77</v>
      </c>
      <c r="P45" s="54"/>
      <c r="Q45" s="138" t="s">
        <v>77</v>
      </c>
      <c r="R45" s="54"/>
      <c r="S45" s="138" t="s">
        <v>77</v>
      </c>
      <c r="T45" s="54"/>
      <c r="U45" s="138" t="s">
        <v>77</v>
      </c>
      <c r="V45" s="54"/>
      <c r="W45" s="138" t="s">
        <v>77</v>
      </c>
      <c r="X45" s="54"/>
      <c r="Y45" s="138" t="s">
        <v>77</v>
      </c>
      <c r="Z45" s="54"/>
      <c r="AA45" s="138" t="s">
        <v>77</v>
      </c>
      <c r="AB45" s="54"/>
      <c r="AC45" s="138" t="s">
        <v>77</v>
      </c>
      <c r="AD45" s="54"/>
      <c r="AE45" s="138" t="s">
        <v>77</v>
      </c>
      <c r="AF45" s="178" t="str">
        <f t="shared" si="0"/>
        <v>NA</v>
      </c>
      <c r="AG45" s="54" t="str">
        <f t="shared" si="1"/>
        <v>NÃO AVALIADO POR FALHA DE SINCRONISMO</v>
      </c>
      <c r="AH45" s="138"/>
      <c r="AI45" s="226" t="s">
        <v>36</v>
      </c>
      <c r="AJ45" s="224" t="str">
        <f t="shared" si="2"/>
        <v>SÃO PAULO</v>
      </c>
      <c r="AK45" s="227" t="s">
        <v>54</v>
      </c>
    </row>
    <row r="46" spans="1:37" ht="30" customHeight="1">
      <c r="A46" s="198" t="s">
        <v>198</v>
      </c>
      <c r="B46" s="198">
        <v>2692188689</v>
      </c>
      <c r="C46" s="198" t="s">
        <v>117</v>
      </c>
      <c r="D46" s="198" t="s">
        <v>96</v>
      </c>
      <c r="E46" s="198" t="s">
        <v>35</v>
      </c>
      <c r="F46" s="198" t="s">
        <v>321</v>
      </c>
      <c r="G46" s="198">
        <v>260</v>
      </c>
      <c r="H46" s="198" t="s">
        <v>200</v>
      </c>
      <c r="I46" s="198" t="s">
        <v>322</v>
      </c>
      <c r="J46" s="198" t="s">
        <v>301</v>
      </c>
      <c r="K46" s="198" t="s">
        <v>200</v>
      </c>
      <c r="L46" s="199">
        <v>46145.334722222222</v>
      </c>
      <c r="M46" s="199">
        <v>46145.336805555555</v>
      </c>
      <c r="N46" s="198" t="s">
        <v>323</v>
      </c>
      <c r="O46" s="151" t="s">
        <v>77</v>
      </c>
      <c r="P46" s="54"/>
      <c r="Q46" s="138" t="s">
        <v>77</v>
      </c>
      <c r="R46" s="54"/>
      <c r="S46" s="138" t="s">
        <v>77</v>
      </c>
      <c r="T46" s="54"/>
      <c r="U46" s="138" t="s">
        <v>77</v>
      </c>
      <c r="V46" s="54"/>
      <c r="W46" s="138" t="s">
        <v>77</v>
      </c>
      <c r="X46" s="54"/>
      <c r="Y46" s="138" t="s">
        <v>77</v>
      </c>
      <c r="Z46" s="54"/>
      <c r="AA46" s="138" t="s">
        <v>77</v>
      </c>
      <c r="AB46" s="54"/>
      <c r="AC46" s="138" t="s">
        <v>77</v>
      </c>
      <c r="AD46" s="54"/>
      <c r="AE46" s="138" t="s">
        <v>77</v>
      </c>
      <c r="AF46" s="178" t="str">
        <f t="shared" si="0"/>
        <v>NA</v>
      </c>
      <c r="AG46" s="54" t="str">
        <f t="shared" si="1"/>
        <v>NÃO AVALIADO POR FALHA DE SINCRONISMO</v>
      </c>
      <c r="AH46" s="138" t="s">
        <v>207</v>
      </c>
      <c r="AI46" s="226" t="s">
        <v>36</v>
      </c>
      <c r="AJ46" s="224" t="str">
        <f t="shared" si="2"/>
        <v>SÃO PAULO</v>
      </c>
      <c r="AK46" s="227" t="s">
        <v>54</v>
      </c>
    </row>
    <row r="47" spans="1:37" ht="30" customHeight="1">
      <c r="A47" s="198" t="s">
        <v>198</v>
      </c>
      <c r="B47" s="198">
        <v>2692187767</v>
      </c>
      <c r="C47" s="198" t="s">
        <v>118</v>
      </c>
      <c r="D47" s="198" t="s">
        <v>96</v>
      </c>
      <c r="E47" s="198" t="s">
        <v>35</v>
      </c>
      <c r="F47" s="198" t="s">
        <v>324</v>
      </c>
      <c r="G47" s="198">
        <v>79</v>
      </c>
      <c r="H47" s="198" t="s">
        <v>325</v>
      </c>
      <c r="I47" s="198" t="s">
        <v>326</v>
      </c>
      <c r="J47" s="198" t="s">
        <v>260</v>
      </c>
      <c r="K47" s="198"/>
      <c r="L47" s="199">
        <v>46145.125694444447</v>
      </c>
      <c r="M47" s="199">
        <v>46145.171527777777</v>
      </c>
      <c r="N47" s="198" t="s">
        <v>327</v>
      </c>
      <c r="O47" s="151" t="s">
        <v>207</v>
      </c>
      <c r="P47" s="54"/>
      <c r="Q47" s="138" t="s">
        <v>214</v>
      </c>
      <c r="R47" s="54"/>
      <c r="S47" s="138" t="s">
        <v>214</v>
      </c>
      <c r="T47" s="54"/>
      <c r="U47" s="138" t="s">
        <v>207</v>
      </c>
      <c r="V47" s="54"/>
      <c r="W47" s="138" t="s">
        <v>214</v>
      </c>
      <c r="X47" s="54"/>
      <c r="Y47" s="138" t="s">
        <v>214</v>
      </c>
      <c r="Z47" s="54"/>
      <c r="AA47" s="138" t="s">
        <v>214</v>
      </c>
      <c r="AB47" s="54"/>
      <c r="AC47" s="138" t="s">
        <v>207</v>
      </c>
      <c r="AD47" s="54" t="s">
        <v>216</v>
      </c>
      <c r="AE47" s="138" t="s">
        <v>207</v>
      </c>
      <c r="AF47" s="178" t="str">
        <f t="shared" si="0"/>
        <v>NC</v>
      </c>
      <c r="AG47" s="54" t="str">
        <f t="shared" si="1"/>
        <v>UTILIZOU O PDA CORRETAMENTE. NÃO HÁ FOTOS DE TODAS AS ETAPAS</v>
      </c>
      <c r="AH47" s="138" t="s">
        <v>207</v>
      </c>
      <c r="AI47" s="226" t="s">
        <v>36</v>
      </c>
      <c r="AJ47" s="224" t="str">
        <f t="shared" si="2"/>
        <v>SÃO PAULO</v>
      </c>
      <c r="AK47" s="227" t="s">
        <v>54</v>
      </c>
    </row>
    <row r="48" spans="1:37" ht="30" customHeight="1">
      <c r="A48" s="198" t="s">
        <v>198</v>
      </c>
      <c r="B48" s="198">
        <v>2692228392</v>
      </c>
      <c r="C48" s="198" t="s">
        <v>122</v>
      </c>
      <c r="D48" s="198" t="s">
        <v>96</v>
      </c>
      <c r="E48" s="198" t="s">
        <v>35</v>
      </c>
      <c r="F48" s="198" t="s">
        <v>328</v>
      </c>
      <c r="G48" s="198">
        <v>34</v>
      </c>
      <c r="H48" s="198" t="s">
        <v>329</v>
      </c>
      <c r="I48" s="198" t="s">
        <v>330</v>
      </c>
      <c r="J48" s="198" t="s">
        <v>301</v>
      </c>
      <c r="K48" s="198" t="s">
        <v>200</v>
      </c>
      <c r="L48" s="199">
        <v>46145.163888888892</v>
      </c>
      <c r="M48" s="199">
        <v>46145.174305555556</v>
      </c>
      <c r="N48" s="198" t="s">
        <v>331</v>
      </c>
      <c r="O48" s="151" t="s">
        <v>207</v>
      </c>
      <c r="P48" s="54"/>
      <c r="Q48" s="138" t="s">
        <v>77</v>
      </c>
      <c r="R48" s="54"/>
      <c r="S48" s="138" t="s">
        <v>214</v>
      </c>
      <c r="T48" s="54"/>
      <c r="U48" s="138" t="s">
        <v>207</v>
      </c>
      <c r="V48" s="54"/>
      <c r="W48" s="138" t="s">
        <v>207</v>
      </c>
      <c r="X48" s="54"/>
      <c r="Y48" s="138" t="s">
        <v>77</v>
      </c>
      <c r="Z48" s="54"/>
      <c r="AA48" s="138" t="s">
        <v>214</v>
      </c>
      <c r="AB48" s="54"/>
      <c r="AC48" s="138" t="s">
        <v>207</v>
      </c>
      <c r="AD48" s="54"/>
      <c r="AE48" s="138" t="s">
        <v>207</v>
      </c>
      <c r="AF48" s="178" t="str">
        <f t="shared" si="0"/>
        <v>NC</v>
      </c>
      <c r="AG48" s="54" t="str">
        <f t="shared" si="1"/>
        <v>UTILIZOU O PDA CORRETAMENTE. NÃO HÁ FOTOS DE TODAS AS ETAPAS</v>
      </c>
      <c r="AH48" s="138" t="s">
        <v>207</v>
      </c>
      <c r="AI48" s="226" t="s">
        <v>36</v>
      </c>
      <c r="AJ48" s="224" t="str">
        <f t="shared" si="2"/>
        <v>SÃO PAULO</v>
      </c>
      <c r="AK48" s="227" t="s">
        <v>54</v>
      </c>
    </row>
    <row r="49" spans="1:37" ht="30" customHeight="1">
      <c r="A49" s="198" t="s">
        <v>198</v>
      </c>
      <c r="B49" s="198">
        <v>2692174155</v>
      </c>
      <c r="C49" s="198" t="s">
        <v>117</v>
      </c>
      <c r="D49" s="198" t="s">
        <v>96</v>
      </c>
      <c r="E49" s="198" t="s">
        <v>35</v>
      </c>
      <c r="F49" s="198" t="s">
        <v>332</v>
      </c>
      <c r="G49" s="198">
        <v>222</v>
      </c>
      <c r="H49" s="198"/>
      <c r="I49" s="198" t="s">
        <v>284</v>
      </c>
      <c r="J49" s="198" t="s">
        <v>301</v>
      </c>
      <c r="K49" s="198"/>
      <c r="L49" s="199">
        <v>46145.293055555558</v>
      </c>
      <c r="M49" s="199">
        <v>46145.295138888891</v>
      </c>
      <c r="N49" s="198" t="s">
        <v>333</v>
      </c>
      <c r="O49" s="151" t="s">
        <v>77</v>
      </c>
      <c r="P49" s="54"/>
      <c r="Q49" s="138" t="s">
        <v>77</v>
      </c>
      <c r="R49" s="54"/>
      <c r="S49" s="138" t="s">
        <v>77</v>
      </c>
      <c r="T49" s="54"/>
      <c r="U49" s="138" t="s">
        <v>77</v>
      </c>
      <c r="V49" s="54"/>
      <c r="W49" s="138" t="s">
        <v>77</v>
      </c>
      <c r="X49" s="54"/>
      <c r="Y49" s="138" t="s">
        <v>77</v>
      </c>
      <c r="Z49" s="54"/>
      <c r="AA49" s="138" t="s">
        <v>77</v>
      </c>
      <c r="AB49" s="54"/>
      <c r="AC49" s="138" t="s">
        <v>77</v>
      </c>
      <c r="AD49" s="54"/>
      <c r="AE49" s="138" t="s">
        <v>77</v>
      </c>
      <c r="AF49" s="178" t="str">
        <f t="shared" si="0"/>
        <v>NA</v>
      </c>
      <c r="AG49" s="54" t="str">
        <f t="shared" si="1"/>
        <v>NÃO AVALIADO POR FALHA DE SINCRONISMO</v>
      </c>
      <c r="AH49" s="138" t="s">
        <v>207</v>
      </c>
      <c r="AI49" s="226" t="s">
        <v>36</v>
      </c>
      <c r="AJ49" s="224" t="str">
        <f t="shared" si="2"/>
        <v>SÃO PAULO</v>
      </c>
      <c r="AK49" s="227" t="s">
        <v>54</v>
      </c>
    </row>
    <row r="50" spans="1:37" ht="30" customHeight="1">
      <c r="A50" s="198" t="s">
        <v>198</v>
      </c>
      <c r="B50" s="198">
        <v>2618087738</v>
      </c>
      <c r="C50" s="198" t="s">
        <v>121</v>
      </c>
      <c r="D50" s="198" t="s">
        <v>96</v>
      </c>
      <c r="E50" s="198" t="s">
        <v>35</v>
      </c>
      <c r="F50" s="198" t="s">
        <v>334</v>
      </c>
      <c r="G50" s="198">
        <v>8</v>
      </c>
      <c r="H50" s="198" t="s">
        <v>335</v>
      </c>
      <c r="I50" s="198" t="s">
        <v>319</v>
      </c>
      <c r="J50" s="198" t="s">
        <v>336</v>
      </c>
      <c r="K50" s="198" t="s">
        <v>200</v>
      </c>
      <c r="L50" s="199">
        <v>46145.379166666666</v>
      </c>
      <c r="M50" s="199">
        <v>46145.380555555559</v>
      </c>
      <c r="N50" s="198" t="s">
        <v>295</v>
      </c>
      <c r="O50" s="151" t="s">
        <v>77</v>
      </c>
      <c r="P50" s="54"/>
      <c r="Q50" s="138" t="s">
        <v>77</v>
      </c>
      <c r="R50" s="54"/>
      <c r="S50" s="138" t="s">
        <v>77</v>
      </c>
      <c r="T50" s="54"/>
      <c r="U50" s="138" t="s">
        <v>77</v>
      </c>
      <c r="V50" s="54"/>
      <c r="W50" s="138" t="s">
        <v>77</v>
      </c>
      <c r="X50" s="54"/>
      <c r="Y50" s="138" t="s">
        <v>77</v>
      </c>
      <c r="Z50" s="54"/>
      <c r="AA50" s="138" t="s">
        <v>77</v>
      </c>
      <c r="AB50" s="54"/>
      <c r="AC50" s="138" t="s">
        <v>77</v>
      </c>
      <c r="AD50" s="54"/>
      <c r="AE50" s="138" t="s">
        <v>77</v>
      </c>
      <c r="AF50" s="178" t="str">
        <f t="shared" si="0"/>
        <v>NA</v>
      </c>
      <c r="AG50" s="54" t="str">
        <f t="shared" si="1"/>
        <v>NÃO AVALIADO POR FALHA DE SINCRONISMO</v>
      </c>
      <c r="AH50" s="138" t="s">
        <v>207</v>
      </c>
      <c r="AI50" s="226" t="s">
        <v>36</v>
      </c>
      <c r="AJ50" s="224" t="str">
        <f t="shared" si="2"/>
        <v>SÃO PAULO</v>
      </c>
      <c r="AK50" s="227" t="s">
        <v>54</v>
      </c>
    </row>
    <row r="51" spans="1:37" ht="30" customHeight="1">
      <c r="A51" s="198" t="s">
        <v>198</v>
      </c>
      <c r="B51" s="198">
        <v>2692172407</v>
      </c>
      <c r="C51" s="198" t="s">
        <v>118</v>
      </c>
      <c r="D51" s="198" t="s">
        <v>96</v>
      </c>
      <c r="E51" s="198" t="s">
        <v>35</v>
      </c>
      <c r="F51" s="198" t="s">
        <v>337</v>
      </c>
      <c r="G51" s="198">
        <v>144</v>
      </c>
      <c r="H51" s="198"/>
      <c r="I51" s="198" t="s">
        <v>338</v>
      </c>
      <c r="J51" s="198" t="s">
        <v>267</v>
      </c>
      <c r="K51" s="198"/>
      <c r="L51" s="199">
        <v>46145.291666666664</v>
      </c>
      <c r="M51" s="199">
        <v>46145.295138888891</v>
      </c>
      <c r="N51" s="198" t="s">
        <v>327</v>
      </c>
      <c r="O51" s="151" t="s">
        <v>207</v>
      </c>
      <c r="P51" s="54"/>
      <c r="Q51" s="138" t="s">
        <v>214</v>
      </c>
      <c r="R51" s="54"/>
      <c r="S51" s="138" t="s">
        <v>214</v>
      </c>
      <c r="T51" s="54"/>
      <c r="U51" s="138" t="s">
        <v>215</v>
      </c>
      <c r="V51" s="54" t="s">
        <v>339</v>
      </c>
      <c r="W51" s="138" t="s">
        <v>207</v>
      </c>
      <c r="X51" s="54"/>
      <c r="Y51" s="138" t="s">
        <v>77</v>
      </c>
      <c r="Z51" s="54"/>
      <c r="AA51" s="138" t="s">
        <v>214</v>
      </c>
      <c r="AB51" s="54"/>
      <c r="AC51" s="138" t="s">
        <v>214</v>
      </c>
      <c r="AD51" s="54"/>
      <c r="AE51" s="138" t="s">
        <v>207</v>
      </c>
      <c r="AF51" s="178" t="str">
        <f t="shared" si="0"/>
        <v>NC</v>
      </c>
      <c r="AG51" s="54" t="str">
        <f t="shared" si="1"/>
        <v>UTILIZOU O PDA CORRETAMENTE. NÃO HÁ FOTOS DE TODAS AS ETAPAS</v>
      </c>
      <c r="AH51" s="138" t="s">
        <v>207</v>
      </c>
      <c r="AI51" s="226" t="s">
        <v>36</v>
      </c>
      <c r="AJ51" s="224" t="str">
        <f t="shared" si="2"/>
        <v>SÃO PAULO</v>
      </c>
      <c r="AK51" s="227" t="s">
        <v>54</v>
      </c>
    </row>
    <row r="52" spans="1:37" ht="30" customHeight="1">
      <c r="A52" s="198" t="s">
        <v>198</v>
      </c>
      <c r="B52" s="198">
        <v>2618415939</v>
      </c>
      <c r="C52" s="198" t="s">
        <v>122</v>
      </c>
      <c r="D52" s="198" t="s">
        <v>96</v>
      </c>
      <c r="E52" s="198" t="s">
        <v>35</v>
      </c>
      <c r="F52" s="198" t="s">
        <v>340</v>
      </c>
      <c r="G52" s="198">
        <v>65</v>
      </c>
      <c r="H52" s="198" t="s">
        <v>200</v>
      </c>
      <c r="I52" s="198" t="s">
        <v>225</v>
      </c>
      <c r="J52" s="198" t="s">
        <v>301</v>
      </c>
      <c r="K52" s="198" t="s">
        <v>341</v>
      </c>
      <c r="L52" s="199">
        <v>46145.232638888891</v>
      </c>
      <c r="M52" s="199">
        <v>46145.23541666667</v>
      </c>
      <c r="N52" s="198" t="s">
        <v>331</v>
      </c>
      <c r="O52" s="151" t="s">
        <v>214</v>
      </c>
      <c r="P52" s="54"/>
      <c r="Q52" s="138" t="s">
        <v>214</v>
      </c>
      <c r="R52" s="54"/>
      <c r="S52" s="138" t="s">
        <v>77</v>
      </c>
      <c r="T52" s="54"/>
      <c r="U52" s="138" t="s">
        <v>214</v>
      </c>
      <c r="V52" s="54"/>
      <c r="W52" s="138" t="s">
        <v>214</v>
      </c>
      <c r="X52" s="54"/>
      <c r="Y52" s="138" t="s">
        <v>77</v>
      </c>
      <c r="Z52" s="54"/>
      <c r="AA52" s="138" t="s">
        <v>214</v>
      </c>
      <c r="AB52" s="54"/>
      <c r="AC52" s="138" t="s">
        <v>207</v>
      </c>
      <c r="AD52" s="54"/>
      <c r="AE52" s="138" t="s">
        <v>207</v>
      </c>
      <c r="AF52" s="178" t="str">
        <f t="shared" si="0"/>
        <v>NC</v>
      </c>
      <c r="AG52" s="54" t="str">
        <f t="shared" si="1"/>
        <v>UTILIZOU O PDA CORRETAMENTE. NÃO HÁ FOTOS DE TODAS AS ETAPAS</v>
      </c>
      <c r="AH52" s="138" t="s">
        <v>207</v>
      </c>
      <c r="AI52" s="226" t="s">
        <v>36</v>
      </c>
      <c r="AJ52" s="224" t="str">
        <f t="shared" si="2"/>
        <v>SÃO PAULO</v>
      </c>
      <c r="AK52" s="227" t="s">
        <v>54</v>
      </c>
    </row>
    <row r="53" spans="1:37" ht="30" customHeight="1">
      <c r="A53" s="198" t="s">
        <v>198</v>
      </c>
      <c r="B53" s="198">
        <v>2618417438</v>
      </c>
      <c r="C53" s="198" t="s">
        <v>116</v>
      </c>
      <c r="D53" s="198" t="s">
        <v>94</v>
      </c>
      <c r="E53" s="198" t="s">
        <v>35</v>
      </c>
      <c r="F53" s="198" t="s">
        <v>342</v>
      </c>
      <c r="G53" s="198">
        <v>47</v>
      </c>
      <c r="H53" s="198"/>
      <c r="I53" s="198" t="s">
        <v>259</v>
      </c>
      <c r="J53" s="198" t="s">
        <v>221</v>
      </c>
      <c r="K53" s="198"/>
      <c r="L53" s="199">
        <v>46145.214583333334</v>
      </c>
      <c r="M53" s="199">
        <v>46145.216666666667</v>
      </c>
      <c r="N53" s="198" t="s">
        <v>262</v>
      </c>
      <c r="O53" s="151" t="s">
        <v>207</v>
      </c>
      <c r="P53" s="54"/>
      <c r="Q53" s="138" t="s">
        <v>214</v>
      </c>
      <c r="R53" s="54"/>
      <c r="S53" s="138" t="s">
        <v>214</v>
      </c>
      <c r="T53" s="54"/>
      <c r="U53" s="138" t="s">
        <v>215</v>
      </c>
      <c r="V53" s="54" t="s">
        <v>236</v>
      </c>
      <c r="W53" s="138" t="s">
        <v>214</v>
      </c>
      <c r="X53" s="54"/>
      <c r="Y53" s="138" t="s">
        <v>214</v>
      </c>
      <c r="Z53" s="54"/>
      <c r="AA53" s="138" t="s">
        <v>214</v>
      </c>
      <c r="AB53" s="54"/>
      <c r="AC53" s="138" t="s">
        <v>215</v>
      </c>
      <c r="AD53" s="54" t="s">
        <v>285</v>
      </c>
      <c r="AE53" s="138" t="s">
        <v>207</v>
      </c>
      <c r="AF53" s="178" t="str">
        <f t="shared" si="0"/>
        <v>NC</v>
      </c>
      <c r="AG53" s="54" t="str">
        <f t="shared" si="1"/>
        <v>UTILIZOU O PDA CORRETAMENTE. NÃO HÁ FOTOS DE TODAS AS ETAPAS</v>
      </c>
      <c r="AH53" s="138" t="s">
        <v>207</v>
      </c>
      <c r="AI53" s="226" t="s">
        <v>36</v>
      </c>
      <c r="AJ53" s="224" t="str">
        <f t="shared" si="2"/>
        <v>SÃO PAULO</v>
      </c>
      <c r="AK53" s="227" t="s">
        <v>54</v>
      </c>
    </row>
    <row r="54" spans="1:37" ht="30" customHeight="1">
      <c r="A54" s="198" t="s">
        <v>198</v>
      </c>
      <c r="B54" s="198">
        <v>2618416282</v>
      </c>
      <c r="C54" s="198" t="s">
        <v>115</v>
      </c>
      <c r="D54" s="198" t="s">
        <v>96</v>
      </c>
      <c r="E54" s="198" t="s">
        <v>35</v>
      </c>
      <c r="F54" s="198" t="s">
        <v>342</v>
      </c>
      <c r="G54" s="198">
        <v>41</v>
      </c>
      <c r="H54" s="198"/>
      <c r="I54" s="198" t="s">
        <v>259</v>
      </c>
      <c r="J54" s="198" t="s">
        <v>268</v>
      </c>
      <c r="K54" s="198"/>
      <c r="L54" s="199">
        <v>46145.197222222225</v>
      </c>
      <c r="M54" s="199">
        <v>46145.209722222222</v>
      </c>
      <c r="N54" s="198" t="s">
        <v>262</v>
      </c>
      <c r="O54" s="151" t="s">
        <v>207</v>
      </c>
      <c r="P54" s="54"/>
      <c r="Q54" s="138" t="s">
        <v>214</v>
      </c>
      <c r="R54" s="54"/>
      <c r="S54" s="138" t="s">
        <v>214</v>
      </c>
      <c r="T54" s="54"/>
      <c r="U54" s="138" t="s">
        <v>215</v>
      </c>
      <c r="V54" s="54" t="s">
        <v>236</v>
      </c>
      <c r="W54" s="138" t="s">
        <v>214</v>
      </c>
      <c r="X54" s="54"/>
      <c r="Y54" s="138" t="s">
        <v>214</v>
      </c>
      <c r="Z54" s="54"/>
      <c r="AA54" s="138" t="s">
        <v>214</v>
      </c>
      <c r="AB54" s="54"/>
      <c r="AC54" s="138" t="s">
        <v>215</v>
      </c>
      <c r="AD54" s="54" t="s">
        <v>285</v>
      </c>
      <c r="AE54" s="138" t="s">
        <v>207</v>
      </c>
      <c r="AF54" s="178" t="str">
        <f t="shared" si="0"/>
        <v>NC</v>
      </c>
      <c r="AG54" s="54" t="str">
        <f t="shared" si="1"/>
        <v>UTILIZOU O PDA CORRETAMENTE. NÃO HÁ FOTOS DE TODAS AS ETAPAS</v>
      </c>
      <c r="AH54" s="138" t="s">
        <v>207</v>
      </c>
      <c r="AI54" s="226" t="s">
        <v>36</v>
      </c>
      <c r="AJ54" s="224" t="str">
        <f t="shared" si="2"/>
        <v>SÃO PAULO</v>
      </c>
      <c r="AK54" s="227" t="s">
        <v>54</v>
      </c>
    </row>
    <row r="55" spans="1:37" ht="30" customHeight="1">
      <c r="A55" s="198" t="s">
        <v>198</v>
      </c>
      <c r="B55" s="198">
        <v>2618417987</v>
      </c>
      <c r="C55" s="198" t="s">
        <v>116</v>
      </c>
      <c r="D55" s="198" t="s">
        <v>94</v>
      </c>
      <c r="E55" s="198" t="s">
        <v>35</v>
      </c>
      <c r="F55" s="198" t="s">
        <v>343</v>
      </c>
      <c r="G55" s="198">
        <v>45</v>
      </c>
      <c r="H55" s="198"/>
      <c r="I55" s="198" t="s">
        <v>344</v>
      </c>
      <c r="J55" s="198" t="s">
        <v>221</v>
      </c>
      <c r="K55" s="198"/>
      <c r="L55" s="199">
        <v>46145.556944444441</v>
      </c>
      <c r="M55" s="199">
        <v>46145.559027777781</v>
      </c>
      <c r="N55" s="198" t="s">
        <v>345</v>
      </c>
      <c r="O55" s="151" t="s">
        <v>77</v>
      </c>
      <c r="P55" s="54"/>
      <c r="Q55" s="138" t="s">
        <v>77</v>
      </c>
      <c r="R55" s="54"/>
      <c r="S55" s="138" t="s">
        <v>77</v>
      </c>
      <c r="T55" s="54"/>
      <c r="U55" s="138" t="s">
        <v>77</v>
      </c>
      <c r="V55" s="54"/>
      <c r="W55" s="138" t="s">
        <v>77</v>
      </c>
      <c r="X55" s="54"/>
      <c r="Y55" s="138" t="s">
        <v>77</v>
      </c>
      <c r="Z55" s="54"/>
      <c r="AA55" s="138" t="s">
        <v>77</v>
      </c>
      <c r="AB55" s="54"/>
      <c r="AC55" s="138" t="s">
        <v>77</v>
      </c>
      <c r="AD55" s="54"/>
      <c r="AE55" s="138" t="s">
        <v>77</v>
      </c>
      <c r="AF55" s="178" t="str">
        <f t="shared" si="0"/>
        <v>NA</v>
      </c>
      <c r="AG55" s="54" t="str">
        <f t="shared" si="1"/>
        <v>NÃO AVALIADO POR FALHA DE SINCRONISMO</v>
      </c>
      <c r="AH55" s="138" t="s">
        <v>207</v>
      </c>
      <c r="AI55" s="226" t="s">
        <v>36</v>
      </c>
      <c r="AJ55" s="224" t="str">
        <f t="shared" si="2"/>
        <v>SÃO PAULO</v>
      </c>
      <c r="AK55" s="227" t="s">
        <v>54</v>
      </c>
    </row>
    <row r="56" spans="1:37" ht="30" customHeight="1">
      <c r="A56" s="198" t="s">
        <v>198</v>
      </c>
      <c r="B56" s="198">
        <v>2692194436</v>
      </c>
      <c r="C56" s="198" t="s">
        <v>114</v>
      </c>
      <c r="D56" s="198" t="s">
        <v>96</v>
      </c>
      <c r="E56" s="198" t="s">
        <v>35</v>
      </c>
      <c r="F56" s="198" t="s">
        <v>346</v>
      </c>
      <c r="G56" s="198">
        <v>7</v>
      </c>
      <c r="H56" s="198" t="s">
        <v>347</v>
      </c>
      <c r="I56" s="198" t="s">
        <v>348</v>
      </c>
      <c r="J56" s="198" t="s">
        <v>260</v>
      </c>
      <c r="K56" s="198" t="s">
        <v>200</v>
      </c>
      <c r="L56" s="199">
        <v>46145.295138888891</v>
      </c>
      <c r="M56" s="199">
        <v>46145.297222222223</v>
      </c>
      <c r="N56" s="198" t="s">
        <v>349</v>
      </c>
      <c r="O56" s="151" t="s">
        <v>214</v>
      </c>
      <c r="P56" s="54"/>
      <c r="Q56" s="138" t="s">
        <v>214</v>
      </c>
      <c r="R56" s="54"/>
      <c r="S56" s="138" t="s">
        <v>214</v>
      </c>
      <c r="T56" s="54"/>
      <c r="U56" s="138" t="s">
        <v>214</v>
      </c>
      <c r="V56" s="54"/>
      <c r="W56" s="138" t="s">
        <v>214</v>
      </c>
      <c r="X56" s="54"/>
      <c r="Y56" s="138" t="s">
        <v>214</v>
      </c>
      <c r="Z56" s="54"/>
      <c r="AA56" s="138" t="s">
        <v>214</v>
      </c>
      <c r="AB56" s="54"/>
      <c r="AC56" s="138" t="s">
        <v>214</v>
      </c>
      <c r="AD56" s="54"/>
      <c r="AE56" s="138" t="s">
        <v>215</v>
      </c>
      <c r="AF56" s="178" t="str">
        <f t="shared" si="0"/>
        <v>NC</v>
      </c>
      <c r="AG56" s="54" t="str">
        <f t="shared" si="1"/>
        <v>NÃO UTILIZOU O PDA</v>
      </c>
      <c r="AH56" s="138" t="s">
        <v>207</v>
      </c>
      <c r="AI56" s="226" t="s">
        <v>36</v>
      </c>
      <c r="AJ56" s="224" t="str">
        <f t="shared" si="2"/>
        <v>SÃO PAULO</v>
      </c>
      <c r="AK56" s="227" t="s">
        <v>54</v>
      </c>
    </row>
    <row r="57" spans="1:37" ht="30" customHeight="1">
      <c r="A57" s="198" t="s">
        <v>198</v>
      </c>
      <c r="B57" s="198">
        <v>2618418901</v>
      </c>
      <c r="C57" s="198" t="s">
        <v>121</v>
      </c>
      <c r="D57" s="198" t="s">
        <v>96</v>
      </c>
      <c r="E57" s="198" t="s">
        <v>35</v>
      </c>
      <c r="F57" s="198" t="s">
        <v>334</v>
      </c>
      <c r="G57" s="198">
        <v>8</v>
      </c>
      <c r="H57" s="198" t="s">
        <v>335</v>
      </c>
      <c r="I57" s="198" t="s">
        <v>319</v>
      </c>
      <c r="J57" s="198" t="s">
        <v>336</v>
      </c>
      <c r="K57" s="198"/>
      <c r="L57" s="199">
        <v>46145.445833333331</v>
      </c>
      <c r="M57" s="199">
        <v>46145.47152777778</v>
      </c>
      <c r="N57" s="198" t="s">
        <v>262</v>
      </c>
      <c r="O57" s="151" t="s">
        <v>207</v>
      </c>
      <c r="P57" s="54"/>
      <c r="Q57" s="138" t="s">
        <v>214</v>
      </c>
      <c r="R57" s="54"/>
      <c r="S57" s="138" t="s">
        <v>214</v>
      </c>
      <c r="T57" s="54"/>
      <c r="U57" s="138" t="s">
        <v>214</v>
      </c>
      <c r="V57" s="54"/>
      <c r="W57" s="138" t="s">
        <v>207</v>
      </c>
      <c r="X57" s="54"/>
      <c r="Y57" s="138" t="s">
        <v>77</v>
      </c>
      <c r="Z57" s="54"/>
      <c r="AA57" s="138" t="s">
        <v>214</v>
      </c>
      <c r="AB57" s="54"/>
      <c r="AC57" s="138" t="s">
        <v>214</v>
      </c>
      <c r="AD57" s="54"/>
      <c r="AE57" s="138" t="s">
        <v>207</v>
      </c>
      <c r="AF57" s="178" t="str">
        <f t="shared" si="0"/>
        <v>NC</v>
      </c>
      <c r="AG57" s="54" t="str">
        <f t="shared" si="1"/>
        <v>UTILIZOU O PDA CORRETAMENTE. NÃO HÁ FOTOS DE TODAS AS ETAPAS</v>
      </c>
      <c r="AH57" s="138" t="s">
        <v>207</v>
      </c>
      <c r="AI57" s="226" t="s">
        <v>36</v>
      </c>
      <c r="AJ57" s="224" t="str">
        <f t="shared" si="2"/>
        <v>SÃO PAULO</v>
      </c>
      <c r="AK57" s="227" t="s">
        <v>54</v>
      </c>
    </row>
    <row r="58" spans="1:37" ht="30" customHeight="1">
      <c r="A58" s="198" t="s">
        <v>198</v>
      </c>
      <c r="B58" s="198">
        <v>2692235365</v>
      </c>
      <c r="C58" s="198" t="s">
        <v>117</v>
      </c>
      <c r="D58" s="198" t="s">
        <v>96</v>
      </c>
      <c r="E58" s="198" t="s">
        <v>35</v>
      </c>
      <c r="F58" s="198" t="s">
        <v>304</v>
      </c>
      <c r="G58" s="198">
        <v>16</v>
      </c>
      <c r="H58" s="198" t="s">
        <v>200</v>
      </c>
      <c r="I58" s="198" t="s">
        <v>305</v>
      </c>
      <c r="J58" s="198" t="s">
        <v>301</v>
      </c>
      <c r="K58" s="198" t="s">
        <v>350</v>
      </c>
      <c r="L58" s="199">
        <v>46146.148611111108</v>
      </c>
      <c r="M58" s="199">
        <v>46146.165972222225</v>
      </c>
      <c r="N58" s="198" t="s">
        <v>288</v>
      </c>
      <c r="O58" s="151" t="s">
        <v>207</v>
      </c>
      <c r="P58" s="54"/>
      <c r="Q58" s="138" t="s">
        <v>214</v>
      </c>
      <c r="R58" s="54"/>
      <c r="S58" s="138" t="s">
        <v>214</v>
      </c>
      <c r="T58" s="54"/>
      <c r="U58" s="138" t="s">
        <v>214</v>
      </c>
      <c r="V58" s="54"/>
      <c r="W58" s="138" t="s">
        <v>214</v>
      </c>
      <c r="X58" s="54"/>
      <c r="Y58" s="138" t="s">
        <v>214</v>
      </c>
      <c r="Z58" s="54"/>
      <c r="AA58" s="138" t="s">
        <v>214</v>
      </c>
      <c r="AB58" s="54"/>
      <c r="AC58" s="138" t="s">
        <v>207</v>
      </c>
      <c r="AD58" s="54"/>
      <c r="AE58" s="138" t="s">
        <v>207</v>
      </c>
      <c r="AF58" s="178" t="str">
        <f t="shared" si="0"/>
        <v>NC</v>
      </c>
      <c r="AG58" s="54" t="str">
        <f t="shared" si="1"/>
        <v>UTILIZOU O PDA CORRETAMENTE. NÃO HÁ FOTOS DE TODAS AS ETAPAS</v>
      </c>
      <c r="AH58" s="138" t="s">
        <v>207</v>
      </c>
      <c r="AI58" s="226" t="s">
        <v>36</v>
      </c>
      <c r="AJ58" s="224" t="str">
        <f t="shared" si="2"/>
        <v>SÃO PAULO</v>
      </c>
      <c r="AK58" s="227" t="s">
        <v>54</v>
      </c>
    </row>
    <row r="59" spans="1:37" ht="30" customHeight="1">
      <c r="A59" s="198" t="s">
        <v>198</v>
      </c>
      <c r="B59" s="198">
        <v>2692237385</v>
      </c>
      <c r="C59" s="198" t="s">
        <v>104</v>
      </c>
      <c r="D59" s="198" t="s">
        <v>93</v>
      </c>
      <c r="E59" s="198" t="s">
        <v>35</v>
      </c>
      <c r="F59" s="198" t="s">
        <v>351</v>
      </c>
      <c r="G59" s="198">
        <v>316</v>
      </c>
      <c r="H59" s="198" t="s">
        <v>208</v>
      </c>
      <c r="I59" s="198" t="s">
        <v>352</v>
      </c>
      <c r="J59" s="198" t="s">
        <v>249</v>
      </c>
      <c r="K59" s="198" t="s">
        <v>353</v>
      </c>
      <c r="L59" s="199">
        <v>46145.626388888886</v>
      </c>
      <c r="M59" s="199">
        <v>46145.629166666666</v>
      </c>
      <c r="N59" s="198" t="s">
        <v>317</v>
      </c>
      <c r="O59" s="151" t="s">
        <v>77</v>
      </c>
      <c r="P59" s="54"/>
      <c r="Q59" s="138" t="s">
        <v>77</v>
      </c>
      <c r="R59" s="54"/>
      <c r="S59" s="138" t="s">
        <v>77</v>
      </c>
      <c r="T59" s="54"/>
      <c r="U59" s="138" t="s">
        <v>77</v>
      </c>
      <c r="V59" s="54"/>
      <c r="W59" s="138" t="s">
        <v>77</v>
      </c>
      <c r="X59" s="54"/>
      <c r="Y59" s="138" t="s">
        <v>77</v>
      </c>
      <c r="Z59" s="54"/>
      <c r="AA59" s="138" t="s">
        <v>77</v>
      </c>
      <c r="AB59" s="54"/>
      <c r="AC59" s="138" t="s">
        <v>77</v>
      </c>
      <c r="AD59" s="54"/>
      <c r="AE59" s="138" t="s">
        <v>77</v>
      </c>
      <c r="AF59" s="178" t="str">
        <f t="shared" si="0"/>
        <v>NA</v>
      </c>
      <c r="AG59" s="54" t="str">
        <f t="shared" si="1"/>
        <v>NÃO AVALIADO POR FALHA DE SINCRONISMO</v>
      </c>
      <c r="AH59" s="138"/>
      <c r="AI59" s="226" t="s">
        <v>36</v>
      </c>
      <c r="AJ59" s="224" t="str">
        <f t="shared" si="2"/>
        <v>SÃO PAULO</v>
      </c>
      <c r="AK59" s="227" t="s">
        <v>54</v>
      </c>
    </row>
    <row r="60" spans="1:37" ht="30" customHeight="1">
      <c r="A60" s="198" t="s">
        <v>198</v>
      </c>
      <c r="B60" s="198">
        <v>2618417043</v>
      </c>
      <c r="C60" s="198" t="s">
        <v>223</v>
      </c>
      <c r="D60" s="198" t="s">
        <v>96</v>
      </c>
      <c r="E60" s="198" t="s">
        <v>35</v>
      </c>
      <c r="F60" s="198" t="s">
        <v>354</v>
      </c>
      <c r="G60" s="198">
        <v>252</v>
      </c>
      <c r="H60" s="198" t="s">
        <v>200</v>
      </c>
      <c r="I60" s="198" t="s">
        <v>355</v>
      </c>
      <c r="J60" s="198" t="s">
        <v>226</v>
      </c>
      <c r="K60" s="198" t="s">
        <v>200</v>
      </c>
      <c r="L60" s="199">
        <v>46145.636805555558</v>
      </c>
      <c r="M60" s="199">
        <v>46145.637499999997</v>
      </c>
      <c r="N60" s="198" t="s">
        <v>213</v>
      </c>
      <c r="O60" s="151" t="s">
        <v>77</v>
      </c>
      <c r="P60" s="54"/>
      <c r="Q60" s="138" t="s">
        <v>77</v>
      </c>
      <c r="R60" s="54"/>
      <c r="S60" s="138" t="s">
        <v>77</v>
      </c>
      <c r="T60" s="54"/>
      <c r="U60" s="138" t="s">
        <v>77</v>
      </c>
      <c r="V60" s="54"/>
      <c r="W60" s="138" t="s">
        <v>77</v>
      </c>
      <c r="X60" s="54"/>
      <c r="Y60" s="138" t="s">
        <v>77</v>
      </c>
      <c r="Z60" s="54"/>
      <c r="AA60" s="138" t="s">
        <v>77</v>
      </c>
      <c r="AB60" s="54"/>
      <c r="AC60" s="138" t="s">
        <v>77</v>
      </c>
      <c r="AD60" s="54"/>
      <c r="AE60" s="138" t="s">
        <v>77</v>
      </c>
      <c r="AF60" s="178" t="str">
        <f t="shared" si="0"/>
        <v>NA</v>
      </c>
      <c r="AG60" s="54" t="str">
        <f t="shared" si="1"/>
        <v>NÃO AVALIADO POR FALHA DE SINCRONISMO</v>
      </c>
      <c r="AH60" s="138" t="s">
        <v>207</v>
      </c>
      <c r="AI60" s="226" t="s">
        <v>36</v>
      </c>
      <c r="AJ60" s="224" t="str">
        <f t="shared" si="2"/>
        <v>SÃO PAULO</v>
      </c>
      <c r="AK60" s="227" t="s">
        <v>54</v>
      </c>
    </row>
    <row r="61" spans="1:37" ht="30" customHeight="1">
      <c r="A61" s="198" t="s">
        <v>198</v>
      </c>
      <c r="B61" s="198">
        <v>2692207490</v>
      </c>
      <c r="C61" s="198" t="s">
        <v>114</v>
      </c>
      <c r="D61" s="198" t="s">
        <v>96</v>
      </c>
      <c r="E61" s="198" t="s">
        <v>35</v>
      </c>
      <c r="F61" s="198" t="s">
        <v>356</v>
      </c>
      <c r="G61" s="198">
        <v>105</v>
      </c>
      <c r="H61" s="198"/>
      <c r="I61" s="198" t="s">
        <v>357</v>
      </c>
      <c r="J61" s="198" t="s">
        <v>260</v>
      </c>
      <c r="K61" s="198"/>
      <c r="L61" s="199">
        <v>46145.38958333333</v>
      </c>
      <c r="M61" s="199">
        <v>46145.390972222223</v>
      </c>
      <c r="N61" s="198" t="s">
        <v>349</v>
      </c>
      <c r="O61" s="151" t="s">
        <v>214</v>
      </c>
      <c r="P61" s="54"/>
      <c r="Q61" s="138" t="s">
        <v>214</v>
      </c>
      <c r="R61" s="54"/>
      <c r="S61" s="138" t="s">
        <v>214</v>
      </c>
      <c r="T61" s="54"/>
      <c r="U61" s="138" t="s">
        <v>214</v>
      </c>
      <c r="V61" s="54"/>
      <c r="W61" s="138" t="s">
        <v>214</v>
      </c>
      <c r="X61" s="54"/>
      <c r="Y61" s="138" t="s">
        <v>214</v>
      </c>
      <c r="Z61" s="54"/>
      <c r="AA61" s="138" t="s">
        <v>214</v>
      </c>
      <c r="AB61" s="54"/>
      <c r="AC61" s="138" t="s">
        <v>214</v>
      </c>
      <c r="AD61" s="54"/>
      <c r="AE61" s="138" t="s">
        <v>215</v>
      </c>
      <c r="AF61" s="178" t="str">
        <f t="shared" si="0"/>
        <v>NC</v>
      </c>
      <c r="AG61" s="54" t="str">
        <f t="shared" si="1"/>
        <v>NÃO UTILIZOU O PDA</v>
      </c>
      <c r="AH61" s="138" t="s">
        <v>207</v>
      </c>
      <c r="AI61" s="226" t="s">
        <v>36</v>
      </c>
      <c r="AJ61" s="224" t="str">
        <f t="shared" si="2"/>
        <v>SÃO PAULO</v>
      </c>
      <c r="AK61" s="227" t="s">
        <v>54</v>
      </c>
    </row>
    <row r="62" spans="1:37" ht="30" customHeight="1">
      <c r="A62" s="198" t="s">
        <v>198</v>
      </c>
      <c r="B62" s="198">
        <v>2617728303</v>
      </c>
      <c r="C62" s="198" t="s">
        <v>110</v>
      </c>
      <c r="D62" s="198" t="s">
        <v>92</v>
      </c>
      <c r="E62" s="198" t="s">
        <v>35</v>
      </c>
      <c r="F62" s="198" t="s">
        <v>358</v>
      </c>
      <c r="G62" s="198">
        <v>7</v>
      </c>
      <c r="H62" s="198" t="s">
        <v>208</v>
      </c>
      <c r="I62" s="198" t="s">
        <v>359</v>
      </c>
      <c r="J62" s="198" t="s">
        <v>110</v>
      </c>
      <c r="K62" s="198" t="s">
        <v>200</v>
      </c>
      <c r="L62" s="199">
        <v>46146.245833333334</v>
      </c>
      <c r="M62" s="199">
        <v>46146.276388888888</v>
      </c>
      <c r="N62" s="198" t="s">
        <v>213</v>
      </c>
      <c r="O62" s="151" t="s">
        <v>207</v>
      </c>
      <c r="P62" s="54"/>
      <c r="Q62" s="138" t="s">
        <v>214</v>
      </c>
      <c r="R62" s="54"/>
      <c r="S62" s="138" t="s">
        <v>207</v>
      </c>
      <c r="T62" s="54"/>
      <c r="U62" s="138" t="s">
        <v>207</v>
      </c>
      <c r="V62" s="54"/>
      <c r="W62" s="138" t="s">
        <v>214</v>
      </c>
      <c r="X62" s="54"/>
      <c r="Y62" s="138" t="s">
        <v>77</v>
      </c>
      <c r="Z62" s="54"/>
      <c r="AA62" s="138" t="s">
        <v>214</v>
      </c>
      <c r="AB62" s="54"/>
      <c r="AC62" s="138" t="s">
        <v>215</v>
      </c>
      <c r="AD62" s="54" t="s">
        <v>216</v>
      </c>
      <c r="AE62" s="138" t="s">
        <v>207</v>
      </c>
      <c r="AF62" s="178" t="str">
        <f t="shared" si="0"/>
        <v>NC</v>
      </c>
      <c r="AG62" s="54" t="str">
        <f t="shared" si="1"/>
        <v>UTILIZOU O PDA CORRETAMENTE. NÃO HÁ FOTOS DE TODAS AS ETAPAS</v>
      </c>
      <c r="AH62" s="138" t="s">
        <v>207</v>
      </c>
      <c r="AI62" s="226" t="s">
        <v>36</v>
      </c>
      <c r="AJ62" s="224" t="str">
        <f t="shared" si="2"/>
        <v>SÃO PAULO</v>
      </c>
      <c r="AK62" s="227" t="s">
        <v>54</v>
      </c>
    </row>
    <row r="63" spans="1:37" ht="30" customHeight="1">
      <c r="A63" s="198" t="s">
        <v>198</v>
      </c>
      <c r="B63" s="198">
        <v>2614801817</v>
      </c>
      <c r="C63" s="198" t="s">
        <v>107</v>
      </c>
      <c r="D63" s="198" t="s">
        <v>92</v>
      </c>
      <c r="E63" s="198" t="s">
        <v>35</v>
      </c>
      <c r="F63" s="198" t="s">
        <v>360</v>
      </c>
      <c r="G63" s="198">
        <v>84</v>
      </c>
      <c r="H63" s="198"/>
      <c r="I63" s="198" t="s">
        <v>218</v>
      </c>
      <c r="J63" s="198" t="s">
        <v>212</v>
      </c>
      <c r="K63" s="198"/>
      <c r="L63" s="199">
        <v>46146.057638888888</v>
      </c>
      <c r="M63" s="199">
        <v>46146.151388888888</v>
      </c>
      <c r="N63" s="198" t="s">
        <v>213</v>
      </c>
      <c r="O63" s="151" t="s">
        <v>207</v>
      </c>
      <c r="P63" s="54"/>
      <c r="Q63" s="138" t="s">
        <v>215</v>
      </c>
      <c r="R63" s="54" t="s">
        <v>361</v>
      </c>
      <c r="S63" s="138" t="s">
        <v>207</v>
      </c>
      <c r="T63" s="54"/>
      <c r="U63" s="138" t="s">
        <v>207</v>
      </c>
      <c r="V63" s="54"/>
      <c r="W63" s="138" t="s">
        <v>207</v>
      </c>
      <c r="X63" s="54"/>
      <c r="Y63" s="138" t="s">
        <v>77</v>
      </c>
      <c r="Z63" s="54"/>
      <c r="AA63" s="138" t="s">
        <v>214</v>
      </c>
      <c r="AB63" s="54"/>
      <c r="AC63" s="138" t="s">
        <v>214</v>
      </c>
      <c r="AD63" s="54"/>
      <c r="AE63" s="138" t="s">
        <v>207</v>
      </c>
      <c r="AF63" s="178" t="str">
        <f t="shared" si="0"/>
        <v>NC</v>
      </c>
      <c r="AG63" s="54" t="str">
        <f t="shared" si="1"/>
        <v>UTILIZOU O PDA CORRETAMENTE. NÃO HÁ FOTOS DE TODAS AS ETAPAS</v>
      </c>
      <c r="AH63" s="138" t="s">
        <v>207</v>
      </c>
      <c r="AI63" s="226" t="s">
        <v>36</v>
      </c>
      <c r="AJ63" s="224" t="str">
        <f t="shared" si="2"/>
        <v>SÃO PAULO</v>
      </c>
      <c r="AK63" s="227" t="s">
        <v>54</v>
      </c>
    </row>
    <row r="64" spans="1:37" ht="30" customHeight="1">
      <c r="A64" s="198" t="s">
        <v>198</v>
      </c>
      <c r="B64" s="198">
        <v>2617728305</v>
      </c>
      <c r="C64" s="198" t="s">
        <v>112</v>
      </c>
      <c r="D64" s="198" t="s">
        <v>92</v>
      </c>
      <c r="E64" s="198" t="s">
        <v>35</v>
      </c>
      <c r="F64" s="198" t="s">
        <v>358</v>
      </c>
      <c r="G64" s="198">
        <v>7</v>
      </c>
      <c r="H64" s="198" t="s">
        <v>205</v>
      </c>
      <c r="I64" s="198" t="s">
        <v>359</v>
      </c>
      <c r="J64" s="198" t="s">
        <v>112</v>
      </c>
      <c r="K64" s="198" t="s">
        <v>200</v>
      </c>
      <c r="L64" s="199">
        <v>46146.276388888888</v>
      </c>
      <c r="M64" s="199">
        <v>46146.368055555555</v>
      </c>
      <c r="N64" s="198" t="s">
        <v>213</v>
      </c>
      <c r="O64" s="151" t="s">
        <v>207</v>
      </c>
      <c r="P64" s="54"/>
      <c r="Q64" s="138" t="s">
        <v>214</v>
      </c>
      <c r="R64" s="54"/>
      <c r="S64" s="138" t="s">
        <v>207</v>
      </c>
      <c r="T64" s="54"/>
      <c r="U64" s="138" t="s">
        <v>207</v>
      </c>
      <c r="V64" s="54"/>
      <c r="W64" s="138" t="s">
        <v>214</v>
      </c>
      <c r="X64" s="54"/>
      <c r="Y64" s="138" t="s">
        <v>77</v>
      </c>
      <c r="Z64" s="54"/>
      <c r="AA64" s="138" t="s">
        <v>214</v>
      </c>
      <c r="AB64" s="54"/>
      <c r="AC64" s="138" t="s">
        <v>215</v>
      </c>
      <c r="AD64" s="54" t="s">
        <v>216</v>
      </c>
      <c r="AE64" s="138" t="s">
        <v>207</v>
      </c>
      <c r="AF64" s="178" t="str">
        <f t="shared" si="0"/>
        <v>NC</v>
      </c>
      <c r="AG64" s="54" t="str">
        <f t="shared" si="1"/>
        <v>UTILIZOU O PDA CORRETAMENTE. NÃO HÁ FOTOS DE TODAS AS ETAPAS</v>
      </c>
      <c r="AH64" s="138" t="s">
        <v>207</v>
      </c>
      <c r="AI64" s="226" t="s">
        <v>36</v>
      </c>
      <c r="AJ64" s="224" t="str">
        <f t="shared" si="2"/>
        <v>SÃO PAULO</v>
      </c>
      <c r="AK64" s="227" t="s">
        <v>54</v>
      </c>
    </row>
    <row r="65" spans="1:37" ht="30" customHeight="1">
      <c r="A65" s="198" t="s">
        <v>198</v>
      </c>
      <c r="B65" s="198">
        <v>2617593840</v>
      </c>
      <c r="C65" s="198" t="s">
        <v>101</v>
      </c>
      <c r="D65" s="198" t="s">
        <v>92</v>
      </c>
      <c r="E65" s="198" t="s">
        <v>35</v>
      </c>
      <c r="F65" s="198" t="s">
        <v>362</v>
      </c>
      <c r="G65" s="198">
        <v>86</v>
      </c>
      <c r="H65" s="198"/>
      <c r="I65" s="198" t="s">
        <v>256</v>
      </c>
      <c r="J65" s="198" t="s">
        <v>101</v>
      </c>
      <c r="K65" s="198" t="s">
        <v>363</v>
      </c>
      <c r="L65" s="199">
        <v>46146.063194444447</v>
      </c>
      <c r="M65" s="199">
        <v>46146.074305555558</v>
      </c>
      <c r="N65" s="198" t="s">
        <v>364</v>
      </c>
      <c r="O65" s="151" t="s">
        <v>207</v>
      </c>
      <c r="P65" s="54"/>
      <c r="Q65" s="138" t="s">
        <v>77</v>
      </c>
      <c r="R65" s="54"/>
      <c r="S65" s="138" t="s">
        <v>77</v>
      </c>
      <c r="T65" s="54"/>
      <c r="U65" s="138" t="s">
        <v>77</v>
      </c>
      <c r="V65" s="54"/>
      <c r="W65" s="138" t="s">
        <v>77</v>
      </c>
      <c r="X65" s="54"/>
      <c r="Y65" s="138" t="s">
        <v>77</v>
      </c>
      <c r="Z65" s="54"/>
      <c r="AA65" s="138" t="s">
        <v>77</v>
      </c>
      <c r="AB65" s="54"/>
      <c r="AC65" s="138" t="s">
        <v>215</v>
      </c>
      <c r="AD65" s="54" t="s">
        <v>365</v>
      </c>
      <c r="AE65" s="138" t="s">
        <v>207</v>
      </c>
      <c r="AF65" s="178" t="str">
        <f t="shared" si="0"/>
        <v>NC</v>
      </c>
      <c r="AG65" s="54" t="str">
        <f t="shared" si="1"/>
        <v>UTILIZOU O PDA CORRETAMENTE. NÃO HÁ FOTOS DE TODAS AS ETAPAS</v>
      </c>
      <c r="AH65" s="138" t="s">
        <v>207</v>
      </c>
      <c r="AI65" s="226" t="s">
        <v>36</v>
      </c>
      <c r="AJ65" s="224" t="str">
        <f t="shared" si="2"/>
        <v>SÃO PAULO</v>
      </c>
      <c r="AK65" s="227" t="s">
        <v>54</v>
      </c>
    </row>
    <row r="66" spans="1:37" ht="30" customHeight="1">
      <c r="A66" s="198" t="s">
        <v>198</v>
      </c>
      <c r="B66" s="198">
        <v>2617730697</v>
      </c>
      <c r="C66" s="198" t="s">
        <v>101</v>
      </c>
      <c r="D66" s="198" t="s">
        <v>92</v>
      </c>
      <c r="E66" s="198" t="s">
        <v>35</v>
      </c>
      <c r="F66" s="198" t="s">
        <v>366</v>
      </c>
      <c r="G66" s="198">
        <v>34</v>
      </c>
      <c r="H66" s="198" t="s">
        <v>200</v>
      </c>
      <c r="I66" s="198" t="s">
        <v>256</v>
      </c>
      <c r="J66" s="198" t="s">
        <v>101</v>
      </c>
      <c r="K66" s="198" t="s">
        <v>367</v>
      </c>
      <c r="L66" s="199">
        <v>46146.17083333333</v>
      </c>
      <c r="M66" s="199">
        <v>46146.177083333336</v>
      </c>
      <c r="N66" s="198" t="s">
        <v>364</v>
      </c>
      <c r="O66" s="151" t="s">
        <v>207</v>
      </c>
      <c r="P66" s="54"/>
      <c r="Q66" s="138" t="s">
        <v>214</v>
      </c>
      <c r="R66" s="54"/>
      <c r="S66" s="138" t="s">
        <v>214</v>
      </c>
      <c r="T66" s="54"/>
      <c r="U66" s="138" t="s">
        <v>207</v>
      </c>
      <c r="V66" s="54"/>
      <c r="W66" s="138" t="s">
        <v>214</v>
      </c>
      <c r="X66" s="54"/>
      <c r="Y66" s="138" t="s">
        <v>77</v>
      </c>
      <c r="Z66" s="54"/>
      <c r="AA66" s="138" t="s">
        <v>214</v>
      </c>
      <c r="AB66" s="54"/>
      <c r="AC66" s="138" t="s">
        <v>215</v>
      </c>
      <c r="AD66" s="54" t="s">
        <v>368</v>
      </c>
      <c r="AE66" s="138" t="s">
        <v>207</v>
      </c>
      <c r="AF66" s="178" t="str">
        <f t="shared" si="0"/>
        <v>NC</v>
      </c>
      <c r="AG66" s="54" t="str">
        <f t="shared" si="1"/>
        <v>UTILIZOU O PDA CORRETAMENTE. NÃO HÁ FOTOS DE TODAS AS ETAPAS</v>
      </c>
      <c r="AH66" s="138"/>
      <c r="AI66" s="226" t="s">
        <v>36</v>
      </c>
      <c r="AJ66" s="224" t="str">
        <f t="shared" si="2"/>
        <v>SÃO PAULO</v>
      </c>
      <c r="AK66" s="227" t="s">
        <v>54</v>
      </c>
    </row>
    <row r="67" spans="1:37" ht="30" customHeight="1">
      <c r="A67" s="198" t="s">
        <v>198</v>
      </c>
      <c r="B67" s="198">
        <v>268328541</v>
      </c>
      <c r="C67" s="198" t="s">
        <v>107</v>
      </c>
      <c r="D67" s="198" t="s">
        <v>92</v>
      </c>
      <c r="E67" s="198" t="s">
        <v>35</v>
      </c>
      <c r="F67" s="198" t="s">
        <v>369</v>
      </c>
      <c r="G67" s="198">
        <v>176</v>
      </c>
      <c r="H67" s="198"/>
      <c r="I67" s="198" t="s">
        <v>357</v>
      </c>
      <c r="J67" s="198" t="s">
        <v>212</v>
      </c>
      <c r="K67" s="198"/>
      <c r="L67" s="199">
        <v>46146.245138888888</v>
      </c>
      <c r="M67" s="199">
        <v>46146.24722222222</v>
      </c>
      <c r="N67" s="198" t="s">
        <v>364</v>
      </c>
      <c r="O67" s="151" t="s">
        <v>207</v>
      </c>
      <c r="P67" s="54"/>
      <c r="Q67" s="138" t="s">
        <v>214</v>
      </c>
      <c r="R67" s="54"/>
      <c r="S67" s="138" t="s">
        <v>214</v>
      </c>
      <c r="T67" s="54"/>
      <c r="U67" s="138" t="s">
        <v>214</v>
      </c>
      <c r="V67" s="54"/>
      <c r="W67" s="138" t="s">
        <v>214</v>
      </c>
      <c r="X67" s="54"/>
      <c r="Y67" s="138" t="s">
        <v>77</v>
      </c>
      <c r="Z67" s="54"/>
      <c r="AA67" s="138" t="s">
        <v>214</v>
      </c>
      <c r="AB67" s="54"/>
      <c r="AC67" s="138" t="s">
        <v>214</v>
      </c>
      <c r="AD67" s="54"/>
      <c r="AE67" s="138" t="s">
        <v>207</v>
      </c>
      <c r="AF67" s="178" t="str">
        <f t="shared" ref="AF67:AF130" si="3">IF(AND(O67="",Q67="",S67="",U67="",W67="",Y67="",AA67="",AC67=""),"",IF(OR(AND(O67&lt;&gt;"NA",O67&lt;&gt;"C",O67&lt;&gt;"NC",O67&lt;&gt;"SF",O67&lt;&gt;""),AND(Q67&lt;&gt;"NA",Q67&lt;&gt;"C",Q67&lt;&gt;"NC",Q67&lt;&gt;"SF",Q67&lt;&gt;""),AND(S67&lt;&gt;"NA",S67&lt;&gt;"C",S67&lt;&gt;"NC",S67&lt;&gt;"SF",S67&lt;&gt;""),AND(U67&lt;&gt;"NA",U67&lt;&gt;"C",U67&lt;&gt;"NC",U67&lt;&gt;"SF",U67&lt;&gt;""),AND(W67&lt;&gt;"NA",W67&lt;&gt;"C",W67&lt;&gt;"NC",W67&lt;&gt;"SF",W67&lt;&gt;""),AND(Y67&lt;&gt;"NA",Y67&lt;&gt;"C",Y67&lt;&gt;"NC",Y67&lt;&gt;"SF",Y67&lt;&gt;""),AND(AA67&lt;&gt;"NA",AA67&lt;&gt;"C",AA67&lt;&gt;"NC",AA67&lt;&gt;"SF",AA67&lt;&gt;""),AND(AC67&lt;&gt;"NA",AC67&lt;&gt;"C",AC67&lt;&gt;"NC",AC67&lt;&gt;"SF",AC67&lt;&gt;"")),"FALSO",IF(AND(O67="NA",Q67="NA",S67="NA",U67="NA",W67="NA",Y67="NA",AA67="NA",AC67="NA"),"NA",IF(OR(O67="NC",Q67="NC",S67="NC",U67="NC",W67="NC",Y67="NC",AA67="NC",AC67="NC",O67="SF",Q67="SF",S67="SF",U67="SF",W67="SF",Y67="SF",AA67="SF",AC67="SF"),"NC",IF(OR(O67="C",Q67="C",S67="C",U67="C",W67="C",Y67="C",AA67="C",AC67="C"),"C","")))))</f>
        <v>NC</v>
      </c>
      <c r="AG67" s="54" t="str">
        <f t="shared" ref="AG67:AG130" si="4">IF(AND(AE67="C",AF67="C"),"UTILIZOU O PDA CORRETAMENTE",IF(AND(AE67="C",AF67="NC"),"UTILIZOU O PDA CORRETAMENTE. NÃO HÁ FOTOS DE TODAS AS ETAPAS",IF(AND(AE67="NC",AF67="NC"),"NÃO UTILIZOU O PDA",IF(AND(AE67="NA",AF67="NA"),"NÃO AVALIADO POR FALHA DE SINCRONISMO"))))</f>
        <v>UTILIZOU O PDA CORRETAMENTE. NÃO HÁ FOTOS DE TODAS AS ETAPAS</v>
      </c>
      <c r="AH67" s="138" t="s">
        <v>207</v>
      </c>
      <c r="AI67" s="226" t="s">
        <v>36</v>
      </c>
      <c r="AJ67" s="224" t="str">
        <f t="shared" ref="AJ67:AJ130" si="5">E67</f>
        <v>SÃO PAULO</v>
      </c>
      <c r="AK67" s="227" t="s">
        <v>54</v>
      </c>
    </row>
    <row r="68" spans="1:37" ht="30" customHeight="1">
      <c r="A68" s="198" t="s">
        <v>198</v>
      </c>
      <c r="B68" s="198">
        <v>2617927808</v>
      </c>
      <c r="C68" s="198" t="s">
        <v>109</v>
      </c>
      <c r="D68" s="198" t="s">
        <v>92</v>
      </c>
      <c r="E68" s="198" t="s">
        <v>35</v>
      </c>
      <c r="F68" s="198" t="s">
        <v>370</v>
      </c>
      <c r="G68" s="198">
        <v>22</v>
      </c>
      <c r="H68" s="198" t="s">
        <v>208</v>
      </c>
      <c r="I68" s="198" t="s">
        <v>371</v>
      </c>
      <c r="J68" s="198" t="s">
        <v>109</v>
      </c>
      <c r="K68" s="198" t="s">
        <v>200</v>
      </c>
      <c r="L68" s="199">
        <v>46146.171527777777</v>
      </c>
      <c r="M68" s="199">
        <v>46146.172222222223</v>
      </c>
      <c r="N68" s="198" t="s">
        <v>206</v>
      </c>
      <c r="O68" s="151" t="s">
        <v>207</v>
      </c>
      <c r="P68" s="54"/>
      <c r="Q68" s="138" t="s">
        <v>77</v>
      </c>
      <c r="R68" s="54"/>
      <c r="S68" s="138" t="s">
        <v>77</v>
      </c>
      <c r="T68" s="54"/>
      <c r="U68" s="138" t="s">
        <v>77</v>
      </c>
      <c r="V68" s="54"/>
      <c r="W68" s="138" t="s">
        <v>77</v>
      </c>
      <c r="X68" s="54"/>
      <c r="Y68" s="138" t="s">
        <v>77</v>
      </c>
      <c r="Z68" s="54"/>
      <c r="AA68" s="138" t="s">
        <v>77</v>
      </c>
      <c r="AB68" s="54"/>
      <c r="AC68" s="138" t="s">
        <v>207</v>
      </c>
      <c r="AD68" s="54"/>
      <c r="AE68" s="138" t="s">
        <v>207</v>
      </c>
      <c r="AF68" s="178" t="str">
        <f t="shared" si="3"/>
        <v>C</v>
      </c>
      <c r="AG68" s="54" t="str">
        <f t="shared" si="4"/>
        <v>UTILIZOU O PDA CORRETAMENTE</v>
      </c>
      <c r="AH68" s="138" t="s">
        <v>207</v>
      </c>
      <c r="AI68" s="226" t="s">
        <v>36</v>
      </c>
      <c r="AJ68" s="224" t="str">
        <f t="shared" si="5"/>
        <v>SÃO PAULO</v>
      </c>
      <c r="AK68" s="227" t="s">
        <v>54</v>
      </c>
    </row>
    <row r="69" spans="1:37" ht="30" customHeight="1">
      <c r="A69" s="198" t="s">
        <v>198</v>
      </c>
      <c r="B69" s="198">
        <v>2617927813</v>
      </c>
      <c r="C69" s="198" t="s">
        <v>111</v>
      </c>
      <c r="D69" s="198" t="s">
        <v>92</v>
      </c>
      <c r="E69" s="198" t="s">
        <v>35</v>
      </c>
      <c r="F69" s="198" t="s">
        <v>370</v>
      </c>
      <c r="G69" s="198">
        <v>22</v>
      </c>
      <c r="H69" s="198" t="s">
        <v>205</v>
      </c>
      <c r="I69" s="198" t="s">
        <v>371</v>
      </c>
      <c r="J69" s="198" t="s">
        <v>111</v>
      </c>
      <c r="K69" s="198"/>
      <c r="L69" s="199">
        <v>46146.165277777778</v>
      </c>
      <c r="M69" s="199">
        <v>46146.165972222225</v>
      </c>
      <c r="N69" s="198" t="s">
        <v>206</v>
      </c>
      <c r="O69" s="151" t="s">
        <v>207</v>
      </c>
      <c r="P69" s="54"/>
      <c r="Q69" s="138" t="s">
        <v>77</v>
      </c>
      <c r="R69" s="54"/>
      <c r="S69" s="138" t="s">
        <v>77</v>
      </c>
      <c r="T69" s="54"/>
      <c r="U69" s="138" t="s">
        <v>77</v>
      </c>
      <c r="V69" s="54"/>
      <c r="W69" s="138" t="s">
        <v>77</v>
      </c>
      <c r="X69" s="54"/>
      <c r="Y69" s="138" t="s">
        <v>77</v>
      </c>
      <c r="Z69" s="54"/>
      <c r="AA69" s="138" t="s">
        <v>77</v>
      </c>
      <c r="AB69" s="54"/>
      <c r="AC69" s="138" t="s">
        <v>77</v>
      </c>
      <c r="AD69" s="54"/>
      <c r="AE69" s="138" t="s">
        <v>207</v>
      </c>
      <c r="AF69" s="178" t="str">
        <f t="shared" si="3"/>
        <v>C</v>
      </c>
      <c r="AG69" s="54" t="str">
        <f t="shared" si="4"/>
        <v>UTILIZOU O PDA CORRETAMENTE</v>
      </c>
      <c r="AH69" s="138" t="s">
        <v>207</v>
      </c>
      <c r="AI69" s="226" t="s">
        <v>36</v>
      </c>
      <c r="AJ69" s="224" t="str">
        <f t="shared" si="5"/>
        <v>SÃO PAULO</v>
      </c>
      <c r="AK69" s="227" t="s">
        <v>54</v>
      </c>
    </row>
    <row r="70" spans="1:37" ht="30" customHeight="1">
      <c r="A70" s="198" t="s">
        <v>198</v>
      </c>
      <c r="B70" s="198">
        <v>2618078448</v>
      </c>
      <c r="C70" s="198" t="s">
        <v>99</v>
      </c>
      <c r="D70" s="198" t="s">
        <v>92</v>
      </c>
      <c r="E70" s="198" t="s">
        <v>35</v>
      </c>
      <c r="F70" s="198" t="s">
        <v>372</v>
      </c>
      <c r="G70" s="198">
        <v>8</v>
      </c>
      <c r="H70" s="198" t="s">
        <v>257</v>
      </c>
      <c r="I70" s="198" t="s">
        <v>373</v>
      </c>
      <c r="J70" s="198" t="s">
        <v>374</v>
      </c>
      <c r="K70" s="198" t="s">
        <v>200</v>
      </c>
      <c r="L70" s="199">
        <v>46146.224999999999</v>
      </c>
      <c r="M70" s="199">
        <v>46146.234722222223</v>
      </c>
      <c r="N70" s="198" t="s">
        <v>206</v>
      </c>
      <c r="O70" s="151" t="s">
        <v>207</v>
      </c>
      <c r="P70" s="54"/>
      <c r="Q70" s="138" t="s">
        <v>77</v>
      </c>
      <c r="R70" s="54"/>
      <c r="S70" s="138" t="s">
        <v>77</v>
      </c>
      <c r="T70" s="54"/>
      <c r="U70" s="138" t="s">
        <v>77</v>
      </c>
      <c r="V70" s="54"/>
      <c r="W70" s="138" t="s">
        <v>77</v>
      </c>
      <c r="X70" s="54"/>
      <c r="Y70" s="138" t="s">
        <v>77</v>
      </c>
      <c r="Z70" s="54"/>
      <c r="AA70" s="138" t="s">
        <v>77</v>
      </c>
      <c r="AB70" s="54"/>
      <c r="AC70" s="138" t="s">
        <v>207</v>
      </c>
      <c r="AD70" s="54"/>
      <c r="AE70" s="138" t="s">
        <v>207</v>
      </c>
      <c r="AF70" s="178" t="str">
        <f t="shared" si="3"/>
        <v>C</v>
      </c>
      <c r="AG70" s="54" t="str">
        <f t="shared" si="4"/>
        <v>UTILIZOU O PDA CORRETAMENTE</v>
      </c>
      <c r="AH70" s="138" t="s">
        <v>207</v>
      </c>
      <c r="AI70" s="226" t="s">
        <v>36</v>
      </c>
      <c r="AJ70" s="224" t="str">
        <f t="shared" si="5"/>
        <v>SÃO PAULO</v>
      </c>
      <c r="AK70" s="227" t="s">
        <v>54</v>
      </c>
    </row>
    <row r="71" spans="1:37" ht="30" customHeight="1">
      <c r="A71" s="198" t="s">
        <v>198</v>
      </c>
      <c r="B71" s="198">
        <v>2618103363</v>
      </c>
      <c r="C71" s="198" t="s">
        <v>99</v>
      </c>
      <c r="D71" s="198" t="s">
        <v>92</v>
      </c>
      <c r="E71" s="198" t="s">
        <v>35</v>
      </c>
      <c r="F71" s="198" t="s">
        <v>375</v>
      </c>
      <c r="G71" s="198">
        <v>166</v>
      </c>
      <c r="H71" s="198" t="s">
        <v>257</v>
      </c>
      <c r="I71" s="198" t="s">
        <v>376</v>
      </c>
      <c r="J71" s="198" t="s">
        <v>374</v>
      </c>
      <c r="K71" s="198"/>
      <c r="L71" s="199">
        <v>46146.190972222219</v>
      </c>
      <c r="M71" s="199">
        <v>46146.201388888891</v>
      </c>
      <c r="N71" s="198" t="s">
        <v>206</v>
      </c>
      <c r="O71" s="151" t="s">
        <v>207</v>
      </c>
      <c r="P71" s="54"/>
      <c r="Q71" s="138" t="s">
        <v>77</v>
      </c>
      <c r="R71" s="54"/>
      <c r="S71" s="138" t="s">
        <v>77</v>
      </c>
      <c r="T71" s="54"/>
      <c r="U71" s="138" t="s">
        <v>77</v>
      </c>
      <c r="V71" s="54"/>
      <c r="W71" s="138" t="s">
        <v>77</v>
      </c>
      <c r="X71" s="54"/>
      <c r="Y71" s="138" t="s">
        <v>77</v>
      </c>
      <c r="Z71" s="54"/>
      <c r="AA71" s="138" t="s">
        <v>77</v>
      </c>
      <c r="AB71" s="54"/>
      <c r="AC71" s="138" t="s">
        <v>207</v>
      </c>
      <c r="AD71" s="54"/>
      <c r="AE71" s="138" t="s">
        <v>207</v>
      </c>
      <c r="AF71" s="178" t="str">
        <f t="shared" si="3"/>
        <v>C</v>
      </c>
      <c r="AG71" s="54" t="str">
        <f t="shared" si="4"/>
        <v>UTILIZOU O PDA CORRETAMENTE</v>
      </c>
      <c r="AH71" s="138" t="s">
        <v>207</v>
      </c>
      <c r="AI71" s="226" t="s">
        <v>36</v>
      </c>
      <c r="AJ71" s="224" t="str">
        <f t="shared" si="5"/>
        <v>SÃO PAULO</v>
      </c>
      <c r="AK71" s="227" t="s">
        <v>54</v>
      </c>
    </row>
    <row r="72" spans="1:37" ht="30" customHeight="1">
      <c r="A72" s="198" t="s">
        <v>198</v>
      </c>
      <c r="B72" s="198">
        <v>2618117008</v>
      </c>
      <c r="C72" s="198" t="s">
        <v>99</v>
      </c>
      <c r="D72" s="198" t="s">
        <v>92</v>
      </c>
      <c r="E72" s="198" t="s">
        <v>35</v>
      </c>
      <c r="F72" s="198" t="s">
        <v>377</v>
      </c>
      <c r="G72" s="198">
        <v>28</v>
      </c>
      <c r="H72" s="198" t="s">
        <v>257</v>
      </c>
      <c r="I72" s="198" t="s">
        <v>378</v>
      </c>
      <c r="J72" s="198" t="s">
        <v>374</v>
      </c>
      <c r="K72" s="198" t="s">
        <v>200</v>
      </c>
      <c r="L72" s="199">
        <v>46146.209027777775</v>
      </c>
      <c r="M72" s="199">
        <v>46146.21875</v>
      </c>
      <c r="N72" s="198" t="s">
        <v>206</v>
      </c>
      <c r="O72" s="151" t="s">
        <v>207</v>
      </c>
      <c r="P72" s="54"/>
      <c r="Q72" s="138" t="s">
        <v>77</v>
      </c>
      <c r="R72" s="54"/>
      <c r="S72" s="138" t="s">
        <v>77</v>
      </c>
      <c r="T72" s="54"/>
      <c r="U72" s="138" t="s">
        <v>77</v>
      </c>
      <c r="V72" s="54"/>
      <c r="W72" s="138" t="s">
        <v>77</v>
      </c>
      <c r="X72" s="54"/>
      <c r="Y72" s="138" t="s">
        <v>77</v>
      </c>
      <c r="Z72" s="54"/>
      <c r="AA72" s="138" t="s">
        <v>77</v>
      </c>
      <c r="AB72" s="54"/>
      <c r="AC72" s="138" t="s">
        <v>207</v>
      </c>
      <c r="AD72" s="54"/>
      <c r="AE72" s="138" t="s">
        <v>207</v>
      </c>
      <c r="AF72" s="178" t="str">
        <f t="shared" si="3"/>
        <v>C</v>
      </c>
      <c r="AG72" s="54" t="str">
        <f t="shared" si="4"/>
        <v>UTILIZOU O PDA CORRETAMENTE</v>
      </c>
      <c r="AH72" s="138" t="s">
        <v>207</v>
      </c>
      <c r="AI72" s="226" t="s">
        <v>36</v>
      </c>
      <c r="AJ72" s="224" t="str">
        <f t="shared" si="5"/>
        <v>SÃO PAULO</v>
      </c>
      <c r="AK72" s="227" t="s">
        <v>54</v>
      </c>
    </row>
    <row r="73" spans="1:37" ht="30" customHeight="1">
      <c r="A73" s="198" t="s">
        <v>198</v>
      </c>
      <c r="B73" s="198">
        <v>2617729125</v>
      </c>
      <c r="C73" s="198" t="s">
        <v>110</v>
      </c>
      <c r="D73" s="198" t="s">
        <v>92</v>
      </c>
      <c r="E73" s="198" t="s">
        <v>35</v>
      </c>
      <c r="F73" s="198" t="s">
        <v>379</v>
      </c>
      <c r="G73" s="198">
        <v>237</v>
      </c>
      <c r="H73" s="198" t="s">
        <v>208</v>
      </c>
      <c r="I73" s="198" t="s">
        <v>300</v>
      </c>
      <c r="J73" s="198" t="s">
        <v>110</v>
      </c>
      <c r="K73" s="198"/>
      <c r="L73" s="199">
        <v>46146.713194444441</v>
      </c>
      <c r="M73" s="199">
        <v>46146.71597222222</v>
      </c>
      <c r="N73" s="198" t="s">
        <v>251</v>
      </c>
      <c r="O73" s="151" t="s">
        <v>215</v>
      </c>
      <c r="P73" s="54" t="s">
        <v>228</v>
      </c>
      <c r="Q73" s="138" t="s">
        <v>215</v>
      </c>
      <c r="R73" s="54" t="s">
        <v>227</v>
      </c>
      <c r="S73" s="138" t="s">
        <v>215</v>
      </c>
      <c r="T73" s="54" t="s">
        <v>227</v>
      </c>
      <c r="U73" s="138" t="s">
        <v>215</v>
      </c>
      <c r="V73" s="54" t="s">
        <v>227</v>
      </c>
      <c r="W73" s="138" t="s">
        <v>215</v>
      </c>
      <c r="X73" s="54" t="s">
        <v>227</v>
      </c>
      <c r="Y73" s="138" t="s">
        <v>215</v>
      </c>
      <c r="Z73" s="54" t="s">
        <v>227</v>
      </c>
      <c r="AA73" s="138" t="s">
        <v>215</v>
      </c>
      <c r="AB73" s="54" t="s">
        <v>227</v>
      </c>
      <c r="AC73" s="138" t="s">
        <v>215</v>
      </c>
      <c r="AD73" s="54" t="s">
        <v>227</v>
      </c>
      <c r="AE73" s="138" t="s">
        <v>215</v>
      </c>
      <c r="AF73" s="178" t="str">
        <f t="shared" si="3"/>
        <v>NC</v>
      </c>
      <c r="AG73" s="54" t="str">
        <f t="shared" si="4"/>
        <v>NÃO UTILIZOU O PDA</v>
      </c>
      <c r="AH73" s="138" t="s">
        <v>207</v>
      </c>
      <c r="AI73" s="226" t="s">
        <v>36</v>
      </c>
      <c r="AJ73" s="224" t="str">
        <f t="shared" si="5"/>
        <v>SÃO PAULO</v>
      </c>
      <c r="AK73" s="227" t="s">
        <v>54</v>
      </c>
    </row>
    <row r="74" spans="1:37" ht="30" customHeight="1">
      <c r="A74" s="198" t="s">
        <v>198</v>
      </c>
      <c r="B74" s="198">
        <v>2617729126</v>
      </c>
      <c r="C74" s="198" t="s">
        <v>112</v>
      </c>
      <c r="D74" s="198" t="s">
        <v>92</v>
      </c>
      <c r="E74" s="198" t="s">
        <v>35</v>
      </c>
      <c r="F74" s="198" t="s">
        <v>379</v>
      </c>
      <c r="G74" s="198">
        <v>237</v>
      </c>
      <c r="H74" s="198" t="s">
        <v>205</v>
      </c>
      <c r="I74" s="198" t="s">
        <v>300</v>
      </c>
      <c r="J74" s="198" t="s">
        <v>112</v>
      </c>
      <c r="K74" s="198" t="s">
        <v>200</v>
      </c>
      <c r="L74" s="199">
        <v>46146.716666666667</v>
      </c>
      <c r="M74" s="199">
        <v>46146.71875</v>
      </c>
      <c r="N74" s="198" t="s">
        <v>251</v>
      </c>
      <c r="O74" s="151" t="s">
        <v>215</v>
      </c>
      <c r="P74" s="54" t="s">
        <v>228</v>
      </c>
      <c r="Q74" s="138" t="s">
        <v>215</v>
      </c>
      <c r="R74" s="54" t="s">
        <v>227</v>
      </c>
      <c r="S74" s="138" t="s">
        <v>215</v>
      </c>
      <c r="T74" s="54" t="s">
        <v>227</v>
      </c>
      <c r="U74" s="138" t="s">
        <v>215</v>
      </c>
      <c r="V74" s="54" t="s">
        <v>227</v>
      </c>
      <c r="W74" s="138" t="s">
        <v>215</v>
      </c>
      <c r="X74" s="54" t="s">
        <v>227</v>
      </c>
      <c r="Y74" s="138" t="s">
        <v>215</v>
      </c>
      <c r="Z74" s="54" t="s">
        <v>227</v>
      </c>
      <c r="AA74" s="138" t="s">
        <v>215</v>
      </c>
      <c r="AB74" s="54" t="s">
        <v>227</v>
      </c>
      <c r="AC74" s="138" t="s">
        <v>215</v>
      </c>
      <c r="AD74" s="54" t="s">
        <v>227</v>
      </c>
      <c r="AE74" s="138" t="s">
        <v>215</v>
      </c>
      <c r="AF74" s="178" t="str">
        <f t="shared" si="3"/>
        <v>NC</v>
      </c>
      <c r="AG74" s="54" t="str">
        <f t="shared" si="4"/>
        <v>NÃO UTILIZOU O PDA</v>
      </c>
      <c r="AH74" s="138" t="s">
        <v>207</v>
      </c>
      <c r="AI74" s="226" t="s">
        <v>36</v>
      </c>
      <c r="AJ74" s="224" t="str">
        <f t="shared" si="5"/>
        <v>SÃO PAULO</v>
      </c>
      <c r="AK74" s="227" t="s">
        <v>54</v>
      </c>
    </row>
    <row r="75" spans="1:37" ht="30" customHeight="1">
      <c r="A75" s="198" t="s">
        <v>198</v>
      </c>
      <c r="B75" s="198">
        <v>2617729128</v>
      </c>
      <c r="C75" s="198" t="s">
        <v>112</v>
      </c>
      <c r="D75" s="198" t="s">
        <v>92</v>
      </c>
      <c r="E75" s="198" t="s">
        <v>35</v>
      </c>
      <c r="F75" s="198" t="s">
        <v>379</v>
      </c>
      <c r="G75" s="198">
        <v>237</v>
      </c>
      <c r="H75" s="198" t="s">
        <v>257</v>
      </c>
      <c r="I75" s="198" t="s">
        <v>300</v>
      </c>
      <c r="J75" s="198" t="s">
        <v>112</v>
      </c>
      <c r="K75" s="198"/>
      <c r="L75" s="199">
        <v>46146.719444444447</v>
      </c>
      <c r="M75" s="199">
        <v>46146.720833333333</v>
      </c>
      <c r="N75" s="198" t="s">
        <v>251</v>
      </c>
      <c r="O75" s="151" t="s">
        <v>215</v>
      </c>
      <c r="P75" s="54" t="s">
        <v>228</v>
      </c>
      <c r="Q75" s="138" t="s">
        <v>215</v>
      </c>
      <c r="R75" s="54" t="s">
        <v>227</v>
      </c>
      <c r="S75" s="138" t="s">
        <v>215</v>
      </c>
      <c r="T75" s="54" t="s">
        <v>227</v>
      </c>
      <c r="U75" s="138" t="s">
        <v>215</v>
      </c>
      <c r="V75" s="54" t="s">
        <v>227</v>
      </c>
      <c r="W75" s="138" t="s">
        <v>215</v>
      </c>
      <c r="X75" s="54" t="s">
        <v>227</v>
      </c>
      <c r="Y75" s="138" t="s">
        <v>215</v>
      </c>
      <c r="Z75" s="54" t="s">
        <v>227</v>
      </c>
      <c r="AA75" s="138" t="s">
        <v>215</v>
      </c>
      <c r="AB75" s="54" t="s">
        <v>227</v>
      </c>
      <c r="AC75" s="138" t="s">
        <v>215</v>
      </c>
      <c r="AD75" s="54" t="s">
        <v>227</v>
      </c>
      <c r="AE75" s="138" t="s">
        <v>215</v>
      </c>
      <c r="AF75" s="178" t="str">
        <f t="shared" si="3"/>
        <v>NC</v>
      </c>
      <c r="AG75" s="54" t="str">
        <f t="shared" si="4"/>
        <v>NÃO UTILIZOU O PDA</v>
      </c>
      <c r="AH75" s="138" t="s">
        <v>207</v>
      </c>
      <c r="AI75" s="226" t="s">
        <v>36</v>
      </c>
      <c r="AJ75" s="224" t="str">
        <f t="shared" si="5"/>
        <v>SÃO PAULO</v>
      </c>
      <c r="AK75" s="227" t="s">
        <v>54</v>
      </c>
    </row>
    <row r="76" spans="1:37" ht="30" customHeight="1">
      <c r="A76" s="198" t="s">
        <v>198</v>
      </c>
      <c r="B76" s="198">
        <v>2617729130</v>
      </c>
      <c r="C76" s="198" t="s">
        <v>112</v>
      </c>
      <c r="D76" s="198" t="s">
        <v>92</v>
      </c>
      <c r="E76" s="198" t="s">
        <v>35</v>
      </c>
      <c r="F76" s="198" t="s">
        <v>379</v>
      </c>
      <c r="G76" s="198">
        <v>237</v>
      </c>
      <c r="H76" s="198" t="s">
        <v>255</v>
      </c>
      <c r="I76" s="198" t="s">
        <v>300</v>
      </c>
      <c r="J76" s="198" t="s">
        <v>112</v>
      </c>
      <c r="K76" s="198" t="s">
        <v>200</v>
      </c>
      <c r="L76" s="199">
        <v>46146.72152777778</v>
      </c>
      <c r="M76" s="199">
        <v>46146.722916666666</v>
      </c>
      <c r="N76" s="198" t="s">
        <v>251</v>
      </c>
      <c r="O76" s="151" t="s">
        <v>215</v>
      </c>
      <c r="P76" s="54" t="s">
        <v>228</v>
      </c>
      <c r="Q76" s="138" t="s">
        <v>215</v>
      </c>
      <c r="R76" s="54" t="s">
        <v>227</v>
      </c>
      <c r="S76" s="138" t="s">
        <v>215</v>
      </c>
      <c r="T76" s="54" t="s">
        <v>227</v>
      </c>
      <c r="U76" s="138" t="s">
        <v>215</v>
      </c>
      <c r="V76" s="54" t="s">
        <v>227</v>
      </c>
      <c r="W76" s="138" t="s">
        <v>215</v>
      </c>
      <c r="X76" s="54" t="s">
        <v>227</v>
      </c>
      <c r="Y76" s="138" t="s">
        <v>215</v>
      </c>
      <c r="Z76" s="54" t="s">
        <v>227</v>
      </c>
      <c r="AA76" s="138" t="s">
        <v>215</v>
      </c>
      <c r="AB76" s="54" t="s">
        <v>227</v>
      </c>
      <c r="AC76" s="138" t="s">
        <v>215</v>
      </c>
      <c r="AD76" s="54" t="s">
        <v>227</v>
      </c>
      <c r="AE76" s="138" t="s">
        <v>215</v>
      </c>
      <c r="AF76" s="178" t="str">
        <f t="shared" si="3"/>
        <v>NC</v>
      </c>
      <c r="AG76" s="54" t="str">
        <f t="shared" si="4"/>
        <v>NÃO UTILIZOU O PDA</v>
      </c>
      <c r="AH76" s="138" t="s">
        <v>207</v>
      </c>
      <c r="AI76" s="226" t="s">
        <v>36</v>
      </c>
      <c r="AJ76" s="224" t="str">
        <f t="shared" si="5"/>
        <v>SÃO PAULO</v>
      </c>
      <c r="AK76" s="227" t="s">
        <v>54</v>
      </c>
    </row>
    <row r="77" spans="1:37" ht="30" customHeight="1">
      <c r="A77" s="198" t="s">
        <v>198</v>
      </c>
      <c r="B77" s="198">
        <v>2617729131</v>
      </c>
      <c r="C77" s="198" t="s">
        <v>112</v>
      </c>
      <c r="D77" s="198" t="s">
        <v>92</v>
      </c>
      <c r="E77" s="198" t="s">
        <v>35</v>
      </c>
      <c r="F77" s="198" t="s">
        <v>379</v>
      </c>
      <c r="G77" s="198">
        <v>237</v>
      </c>
      <c r="H77" s="198" t="s">
        <v>380</v>
      </c>
      <c r="I77" s="198" t="s">
        <v>300</v>
      </c>
      <c r="J77" s="198" t="s">
        <v>112</v>
      </c>
      <c r="K77" s="198"/>
      <c r="L77" s="199">
        <v>46146.722916666666</v>
      </c>
      <c r="M77" s="199">
        <v>46146.724305555559</v>
      </c>
      <c r="N77" s="198" t="s">
        <v>251</v>
      </c>
      <c r="O77" s="151" t="s">
        <v>215</v>
      </c>
      <c r="P77" s="54" t="s">
        <v>228</v>
      </c>
      <c r="Q77" s="138" t="s">
        <v>215</v>
      </c>
      <c r="R77" s="54" t="s">
        <v>227</v>
      </c>
      <c r="S77" s="138" t="s">
        <v>215</v>
      </c>
      <c r="T77" s="54" t="s">
        <v>227</v>
      </c>
      <c r="U77" s="138" t="s">
        <v>215</v>
      </c>
      <c r="V77" s="54" t="s">
        <v>227</v>
      </c>
      <c r="W77" s="138" t="s">
        <v>215</v>
      </c>
      <c r="X77" s="54" t="s">
        <v>227</v>
      </c>
      <c r="Y77" s="138" t="s">
        <v>215</v>
      </c>
      <c r="Z77" s="54" t="s">
        <v>227</v>
      </c>
      <c r="AA77" s="138" t="s">
        <v>215</v>
      </c>
      <c r="AB77" s="54" t="s">
        <v>227</v>
      </c>
      <c r="AC77" s="138" t="s">
        <v>215</v>
      </c>
      <c r="AD77" s="54" t="s">
        <v>227</v>
      </c>
      <c r="AE77" s="138" t="s">
        <v>215</v>
      </c>
      <c r="AF77" s="178" t="str">
        <f t="shared" si="3"/>
        <v>NC</v>
      </c>
      <c r="AG77" s="54" t="str">
        <f t="shared" si="4"/>
        <v>NÃO UTILIZOU O PDA</v>
      </c>
      <c r="AH77" s="138" t="s">
        <v>207</v>
      </c>
      <c r="AI77" s="226" t="s">
        <v>36</v>
      </c>
      <c r="AJ77" s="224" t="str">
        <f t="shared" si="5"/>
        <v>SÃO PAULO</v>
      </c>
      <c r="AK77" s="227" t="s">
        <v>54</v>
      </c>
    </row>
    <row r="78" spans="1:37" ht="30" customHeight="1">
      <c r="A78" s="198" t="s">
        <v>198</v>
      </c>
      <c r="B78" s="198">
        <v>2617773201</v>
      </c>
      <c r="C78" s="198" t="s">
        <v>110</v>
      </c>
      <c r="D78" s="198" t="s">
        <v>92</v>
      </c>
      <c r="E78" s="198" t="s">
        <v>35</v>
      </c>
      <c r="F78" s="198" t="s">
        <v>381</v>
      </c>
      <c r="G78" s="198">
        <v>1310</v>
      </c>
      <c r="H78" s="198" t="s">
        <v>208</v>
      </c>
      <c r="I78" s="198" t="s">
        <v>382</v>
      </c>
      <c r="J78" s="198" t="s">
        <v>110</v>
      </c>
      <c r="K78" s="198" t="s">
        <v>200</v>
      </c>
      <c r="L78" s="199">
        <v>46146.724999999999</v>
      </c>
      <c r="M78" s="199">
        <v>46146.727777777778</v>
      </c>
      <c r="N78" s="198" t="s">
        <v>251</v>
      </c>
      <c r="O78" s="151" t="s">
        <v>215</v>
      </c>
      <c r="P78" s="54" t="s">
        <v>228</v>
      </c>
      <c r="Q78" s="138" t="s">
        <v>215</v>
      </c>
      <c r="R78" s="54" t="s">
        <v>227</v>
      </c>
      <c r="S78" s="138" t="s">
        <v>215</v>
      </c>
      <c r="T78" s="54" t="s">
        <v>227</v>
      </c>
      <c r="U78" s="138" t="s">
        <v>215</v>
      </c>
      <c r="V78" s="54" t="s">
        <v>227</v>
      </c>
      <c r="W78" s="138" t="s">
        <v>215</v>
      </c>
      <c r="X78" s="54" t="s">
        <v>227</v>
      </c>
      <c r="Y78" s="138" t="s">
        <v>215</v>
      </c>
      <c r="Z78" s="54" t="s">
        <v>227</v>
      </c>
      <c r="AA78" s="138" t="s">
        <v>215</v>
      </c>
      <c r="AB78" s="54" t="s">
        <v>227</v>
      </c>
      <c r="AC78" s="138" t="s">
        <v>215</v>
      </c>
      <c r="AD78" s="54" t="s">
        <v>227</v>
      </c>
      <c r="AE78" s="138" t="s">
        <v>215</v>
      </c>
      <c r="AF78" s="178" t="str">
        <f t="shared" si="3"/>
        <v>NC</v>
      </c>
      <c r="AG78" s="54" t="str">
        <f t="shared" si="4"/>
        <v>NÃO UTILIZOU O PDA</v>
      </c>
      <c r="AH78" s="138" t="s">
        <v>207</v>
      </c>
      <c r="AI78" s="226" t="s">
        <v>36</v>
      </c>
      <c r="AJ78" s="224" t="str">
        <f t="shared" si="5"/>
        <v>SÃO PAULO</v>
      </c>
      <c r="AK78" s="227" t="s">
        <v>54</v>
      </c>
    </row>
    <row r="79" spans="1:37" ht="30" customHeight="1">
      <c r="A79" s="198" t="s">
        <v>198</v>
      </c>
      <c r="B79" s="198">
        <v>2617773207</v>
      </c>
      <c r="C79" s="198" t="s">
        <v>112</v>
      </c>
      <c r="D79" s="198" t="s">
        <v>92</v>
      </c>
      <c r="E79" s="198" t="s">
        <v>35</v>
      </c>
      <c r="F79" s="198" t="s">
        <v>381</v>
      </c>
      <c r="G79" s="198">
        <v>1310</v>
      </c>
      <c r="H79" s="198" t="s">
        <v>205</v>
      </c>
      <c r="I79" s="198" t="s">
        <v>382</v>
      </c>
      <c r="J79" s="198" t="s">
        <v>112</v>
      </c>
      <c r="K79" s="198"/>
      <c r="L79" s="199">
        <v>46146.728472222225</v>
      </c>
      <c r="M79" s="199">
        <v>46146.729861111111</v>
      </c>
      <c r="N79" s="198" t="s">
        <v>251</v>
      </c>
      <c r="O79" s="151" t="s">
        <v>215</v>
      </c>
      <c r="P79" s="54" t="s">
        <v>228</v>
      </c>
      <c r="Q79" s="138" t="s">
        <v>215</v>
      </c>
      <c r="R79" s="54" t="s">
        <v>227</v>
      </c>
      <c r="S79" s="138" t="s">
        <v>215</v>
      </c>
      <c r="T79" s="54" t="s">
        <v>227</v>
      </c>
      <c r="U79" s="138" t="s">
        <v>215</v>
      </c>
      <c r="V79" s="54" t="s">
        <v>227</v>
      </c>
      <c r="W79" s="138" t="s">
        <v>215</v>
      </c>
      <c r="X79" s="54" t="s">
        <v>227</v>
      </c>
      <c r="Y79" s="138" t="s">
        <v>215</v>
      </c>
      <c r="Z79" s="54" t="s">
        <v>227</v>
      </c>
      <c r="AA79" s="138" t="s">
        <v>215</v>
      </c>
      <c r="AB79" s="54" t="s">
        <v>227</v>
      </c>
      <c r="AC79" s="138" t="s">
        <v>215</v>
      </c>
      <c r="AD79" s="54" t="s">
        <v>227</v>
      </c>
      <c r="AE79" s="138" t="s">
        <v>215</v>
      </c>
      <c r="AF79" s="178" t="str">
        <f t="shared" si="3"/>
        <v>NC</v>
      </c>
      <c r="AG79" s="54" t="str">
        <f t="shared" si="4"/>
        <v>NÃO UTILIZOU O PDA</v>
      </c>
      <c r="AH79" s="138" t="s">
        <v>207</v>
      </c>
      <c r="AI79" s="226" t="s">
        <v>36</v>
      </c>
      <c r="AJ79" s="224" t="str">
        <f t="shared" si="5"/>
        <v>SÃO PAULO</v>
      </c>
      <c r="AK79" s="227" t="s">
        <v>54</v>
      </c>
    </row>
    <row r="80" spans="1:37" ht="30" customHeight="1">
      <c r="A80" s="198" t="s">
        <v>198</v>
      </c>
      <c r="B80" s="198">
        <v>2618418668</v>
      </c>
      <c r="C80" s="198" t="s">
        <v>120</v>
      </c>
      <c r="D80" s="198" t="s">
        <v>96</v>
      </c>
      <c r="E80" s="198" t="s">
        <v>35</v>
      </c>
      <c r="F80" s="198" t="s">
        <v>383</v>
      </c>
      <c r="G80" s="198">
        <v>46</v>
      </c>
      <c r="H80" s="198" t="s">
        <v>208</v>
      </c>
      <c r="I80" s="198" t="s">
        <v>314</v>
      </c>
      <c r="J80" s="198" t="s">
        <v>336</v>
      </c>
      <c r="K80" s="198" t="s">
        <v>384</v>
      </c>
      <c r="L80" s="199">
        <v>46146.30972222222</v>
      </c>
      <c r="M80" s="199">
        <v>46146.372916666667</v>
      </c>
      <c r="N80" s="198" t="s">
        <v>288</v>
      </c>
      <c r="O80" s="151" t="s">
        <v>207</v>
      </c>
      <c r="P80" s="54"/>
      <c r="Q80" s="138" t="s">
        <v>214</v>
      </c>
      <c r="R80" s="54"/>
      <c r="S80" s="138" t="s">
        <v>77</v>
      </c>
      <c r="T80" s="54"/>
      <c r="U80" s="138" t="s">
        <v>207</v>
      </c>
      <c r="V80" s="54"/>
      <c r="W80" s="138" t="s">
        <v>214</v>
      </c>
      <c r="X80" s="54"/>
      <c r="Y80" s="138" t="s">
        <v>77</v>
      </c>
      <c r="Z80" s="54"/>
      <c r="AA80" s="138" t="s">
        <v>214</v>
      </c>
      <c r="AB80" s="54"/>
      <c r="AC80" s="138" t="s">
        <v>214</v>
      </c>
      <c r="AD80" s="54"/>
      <c r="AE80" s="138" t="s">
        <v>207</v>
      </c>
      <c r="AF80" s="178" t="str">
        <f t="shared" si="3"/>
        <v>NC</v>
      </c>
      <c r="AG80" s="54" t="str">
        <f t="shared" si="4"/>
        <v>UTILIZOU O PDA CORRETAMENTE. NÃO HÁ FOTOS DE TODAS AS ETAPAS</v>
      </c>
      <c r="AH80" s="138" t="s">
        <v>207</v>
      </c>
      <c r="AI80" s="226" t="s">
        <v>36</v>
      </c>
      <c r="AJ80" s="224" t="str">
        <f t="shared" si="5"/>
        <v>SÃO PAULO</v>
      </c>
      <c r="AK80" s="227" t="s">
        <v>54</v>
      </c>
    </row>
    <row r="81" spans="1:37" ht="30" customHeight="1">
      <c r="A81" s="198" t="s">
        <v>198</v>
      </c>
      <c r="B81" s="198">
        <v>2618378437</v>
      </c>
      <c r="C81" s="198" t="s">
        <v>121</v>
      </c>
      <c r="D81" s="198" t="s">
        <v>96</v>
      </c>
      <c r="E81" s="198" t="s">
        <v>35</v>
      </c>
      <c r="F81" s="198" t="s">
        <v>385</v>
      </c>
      <c r="G81" s="198">
        <v>48</v>
      </c>
      <c r="H81" s="198"/>
      <c r="I81" s="198" t="s">
        <v>386</v>
      </c>
      <c r="J81" s="198" t="s">
        <v>294</v>
      </c>
      <c r="K81" s="198"/>
      <c r="L81" s="199">
        <v>46146.12777777778</v>
      </c>
      <c r="M81" s="199">
        <v>46146.517361111109</v>
      </c>
      <c r="N81" s="198" t="s">
        <v>295</v>
      </c>
      <c r="O81" s="151" t="s">
        <v>207</v>
      </c>
      <c r="P81" s="54"/>
      <c r="Q81" s="138" t="s">
        <v>207</v>
      </c>
      <c r="R81" s="54"/>
      <c r="S81" s="138" t="s">
        <v>214</v>
      </c>
      <c r="T81" s="54"/>
      <c r="U81" s="138" t="s">
        <v>207</v>
      </c>
      <c r="V81" s="54"/>
      <c r="W81" s="138" t="s">
        <v>207</v>
      </c>
      <c r="X81" s="54"/>
      <c r="Y81" s="138" t="s">
        <v>77</v>
      </c>
      <c r="Z81" s="54"/>
      <c r="AA81" s="138" t="s">
        <v>214</v>
      </c>
      <c r="AB81" s="54"/>
      <c r="AC81" s="138" t="s">
        <v>207</v>
      </c>
      <c r="AD81" s="54"/>
      <c r="AE81" s="138" t="s">
        <v>207</v>
      </c>
      <c r="AF81" s="178" t="str">
        <f t="shared" si="3"/>
        <v>NC</v>
      </c>
      <c r="AG81" s="54" t="str">
        <f t="shared" si="4"/>
        <v>UTILIZOU O PDA CORRETAMENTE. NÃO HÁ FOTOS DE TODAS AS ETAPAS</v>
      </c>
      <c r="AH81" s="138" t="s">
        <v>207</v>
      </c>
      <c r="AI81" s="226" t="s">
        <v>36</v>
      </c>
      <c r="AJ81" s="224" t="str">
        <f t="shared" si="5"/>
        <v>SÃO PAULO</v>
      </c>
      <c r="AK81" s="227" t="s">
        <v>54</v>
      </c>
    </row>
    <row r="82" spans="1:37" ht="30" customHeight="1">
      <c r="A82" s="198" t="s">
        <v>198</v>
      </c>
      <c r="B82" s="198">
        <v>2692243067</v>
      </c>
      <c r="C82" s="198" t="s">
        <v>118</v>
      </c>
      <c r="D82" s="198" t="s">
        <v>96</v>
      </c>
      <c r="E82" s="198" t="s">
        <v>35</v>
      </c>
      <c r="F82" s="198" t="s">
        <v>387</v>
      </c>
      <c r="G82" s="198">
        <v>18</v>
      </c>
      <c r="H82" s="198" t="s">
        <v>207</v>
      </c>
      <c r="I82" s="198" t="s">
        <v>277</v>
      </c>
      <c r="J82" s="198" t="s">
        <v>301</v>
      </c>
      <c r="K82" s="198" t="s">
        <v>200</v>
      </c>
      <c r="L82" s="199">
        <v>46146.501388888886</v>
      </c>
      <c r="M82" s="199">
        <v>46146.503472222219</v>
      </c>
      <c r="N82" s="198" t="s">
        <v>323</v>
      </c>
      <c r="O82" s="151" t="s">
        <v>77</v>
      </c>
      <c r="P82" s="54"/>
      <c r="Q82" s="138" t="s">
        <v>77</v>
      </c>
      <c r="R82" s="54"/>
      <c r="S82" s="138" t="s">
        <v>77</v>
      </c>
      <c r="T82" s="54"/>
      <c r="U82" s="138" t="s">
        <v>77</v>
      </c>
      <c r="V82" s="54"/>
      <c r="W82" s="138" t="s">
        <v>77</v>
      </c>
      <c r="X82" s="54"/>
      <c r="Y82" s="138" t="s">
        <v>77</v>
      </c>
      <c r="Z82" s="54"/>
      <c r="AA82" s="138" t="s">
        <v>77</v>
      </c>
      <c r="AB82" s="54"/>
      <c r="AC82" s="138" t="s">
        <v>77</v>
      </c>
      <c r="AD82" s="54"/>
      <c r="AE82" s="138" t="s">
        <v>77</v>
      </c>
      <c r="AF82" s="178" t="str">
        <f t="shared" si="3"/>
        <v>NA</v>
      </c>
      <c r="AG82" s="54" t="str">
        <f t="shared" si="4"/>
        <v>NÃO AVALIADO POR FALHA DE SINCRONISMO</v>
      </c>
      <c r="AH82" s="138" t="s">
        <v>207</v>
      </c>
      <c r="AI82" s="226" t="s">
        <v>36</v>
      </c>
      <c r="AJ82" s="224" t="str">
        <f t="shared" si="5"/>
        <v>SÃO PAULO</v>
      </c>
      <c r="AK82" s="227" t="s">
        <v>54</v>
      </c>
    </row>
    <row r="83" spans="1:37" ht="30" customHeight="1">
      <c r="A83" s="198" t="s">
        <v>198</v>
      </c>
      <c r="B83" s="198">
        <v>2617928114</v>
      </c>
      <c r="C83" s="198" t="s">
        <v>111</v>
      </c>
      <c r="D83" s="198" t="s">
        <v>92</v>
      </c>
      <c r="E83" s="198" t="s">
        <v>35</v>
      </c>
      <c r="F83" s="198" t="s">
        <v>388</v>
      </c>
      <c r="G83" s="198">
        <v>57</v>
      </c>
      <c r="H83" s="198" t="s">
        <v>205</v>
      </c>
      <c r="I83" s="198" t="s">
        <v>389</v>
      </c>
      <c r="J83" s="198" t="s">
        <v>111</v>
      </c>
      <c r="K83" s="198"/>
      <c r="L83" s="199">
        <v>46146.223611111112</v>
      </c>
      <c r="M83" s="199">
        <v>46146.224999999999</v>
      </c>
      <c r="N83" s="198" t="s">
        <v>390</v>
      </c>
      <c r="O83" s="151" t="s">
        <v>207</v>
      </c>
      <c r="P83" s="54"/>
      <c r="Q83" s="138" t="s">
        <v>214</v>
      </c>
      <c r="R83" s="54"/>
      <c r="S83" s="138" t="s">
        <v>214</v>
      </c>
      <c r="T83" s="54"/>
      <c r="U83" s="138" t="s">
        <v>207</v>
      </c>
      <c r="V83" s="54"/>
      <c r="W83" s="138" t="s">
        <v>214</v>
      </c>
      <c r="X83" s="54"/>
      <c r="Y83" s="138" t="s">
        <v>77</v>
      </c>
      <c r="Z83" s="54"/>
      <c r="AA83" s="138" t="s">
        <v>214</v>
      </c>
      <c r="AB83" s="54"/>
      <c r="AC83" s="138" t="s">
        <v>207</v>
      </c>
      <c r="AD83" s="54"/>
      <c r="AE83" s="138" t="s">
        <v>207</v>
      </c>
      <c r="AF83" s="178" t="str">
        <f t="shared" si="3"/>
        <v>NC</v>
      </c>
      <c r="AG83" s="54" t="str">
        <f t="shared" si="4"/>
        <v>UTILIZOU O PDA CORRETAMENTE. NÃO HÁ FOTOS DE TODAS AS ETAPAS</v>
      </c>
      <c r="AH83" s="138" t="s">
        <v>207</v>
      </c>
      <c r="AI83" s="226" t="s">
        <v>36</v>
      </c>
      <c r="AJ83" s="224" t="str">
        <f t="shared" si="5"/>
        <v>SÃO PAULO</v>
      </c>
      <c r="AK83" s="227" t="s">
        <v>54</v>
      </c>
    </row>
    <row r="84" spans="1:37" ht="30" customHeight="1">
      <c r="A84" s="198" t="s">
        <v>198</v>
      </c>
      <c r="B84" s="198">
        <v>2617928112</v>
      </c>
      <c r="C84" s="198" t="s">
        <v>109</v>
      </c>
      <c r="D84" s="198" t="s">
        <v>92</v>
      </c>
      <c r="E84" s="198" t="s">
        <v>35</v>
      </c>
      <c r="F84" s="198" t="s">
        <v>388</v>
      </c>
      <c r="G84" s="198">
        <v>57</v>
      </c>
      <c r="H84" s="198" t="s">
        <v>208</v>
      </c>
      <c r="I84" s="198" t="s">
        <v>389</v>
      </c>
      <c r="J84" s="198" t="s">
        <v>109</v>
      </c>
      <c r="K84" s="198" t="s">
        <v>200</v>
      </c>
      <c r="L84" s="199">
        <v>46146.183333333334</v>
      </c>
      <c r="M84" s="199">
        <v>46146.222916666666</v>
      </c>
      <c r="N84" s="198" t="s">
        <v>390</v>
      </c>
      <c r="O84" s="151" t="s">
        <v>207</v>
      </c>
      <c r="P84" s="54"/>
      <c r="Q84" s="138" t="s">
        <v>214</v>
      </c>
      <c r="R84" s="54"/>
      <c r="S84" s="138" t="s">
        <v>214</v>
      </c>
      <c r="T84" s="54"/>
      <c r="U84" s="138" t="s">
        <v>207</v>
      </c>
      <c r="V84" s="54"/>
      <c r="W84" s="138" t="s">
        <v>214</v>
      </c>
      <c r="X84" s="54"/>
      <c r="Y84" s="138" t="s">
        <v>77</v>
      </c>
      <c r="Z84" s="54"/>
      <c r="AA84" s="138" t="s">
        <v>214</v>
      </c>
      <c r="AB84" s="54"/>
      <c r="AC84" s="138" t="s">
        <v>207</v>
      </c>
      <c r="AD84" s="54"/>
      <c r="AE84" s="138" t="s">
        <v>207</v>
      </c>
      <c r="AF84" s="178" t="str">
        <f t="shared" si="3"/>
        <v>NC</v>
      </c>
      <c r="AG84" s="54" t="str">
        <f t="shared" si="4"/>
        <v>UTILIZOU O PDA CORRETAMENTE. NÃO HÁ FOTOS DE TODAS AS ETAPAS</v>
      </c>
      <c r="AH84" s="138" t="s">
        <v>207</v>
      </c>
      <c r="AI84" s="226" t="s">
        <v>36</v>
      </c>
      <c r="AJ84" s="224" t="str">
        <f t="shared" si="5"/>
        <v>SÃO PAULO</v>
      </c>
      <c r="AK84" s="227" t="s">
        <v>54</v>
      </c>
    </row>
    <row r="85" spans="1:37" ht="30" customHeight="1">
      <c r="A85" s="198" t="s">
        <v>198</v>
      </c>
      <c r="B85" s="198">
        <v>2617949508</v>
      </c>
      <c r="C85" s="198" t="s">
        <v>109</v>
      </c>
      <c r="D85" s="198" t="s">
        <v>92</v>
      </c>
      <c r="E85" s="198" t="s">
        <v>35</v>
      </c>
      <c r="F85" s="198" t="s">
        <v>391</v>
      </c>
      <c r="G85" s="198">
        <v>466</v>
      </c>
      <c r="H85" s="198" t="s">
        <v>208</v>
      </c>
      <c r="I85" s="198" t="s">
        <v>392</v>
      </c>
      <c r="J85" s="198" t="s">
        <v>109</v>
      </c>
      <c r="K85" s="198"/>
      <c r="L85" s="199">
        <v>46146.260416666664</v>
      </c>
      <c r="M85" s="199">
        <v>46146.263194444444</v>
      </c>
      <c r="N85" s="198" t="s">
        <v>390</v>
      </c>
      <c r="O85" s="151" t="s">
        <v>207</v>
      </c>
      <c r="P85" s="54"/>
      <c r="Q85" s="138" t="s">
        <v>214</v>
      </c>
      <c r="R85" s="54"/>
      <c r="S85" s="138" t="s">
        <v>214</v>
      </c>
      <c r="T85" s="54"/>
      <c r="U85" s="138" t="s">
        <v>214</v>
      </c>
      <c r="V85" s="54"/>
      <c r="W85" s="138" t="s">
        <v>214</v>
      </c>
      <c r="X85" s="54"/>
      <c r="Y85" s="138" t="s">
        <v>77</v>
      </c>
      <c r="Z85" s="54"/>
      <c r="AA85" s="138" t="s">
        <v>214</v>
      </c>
      <c r="AB85" s="54"/>
      <c r="AC85" s="138" t="s">
        <v>214</v>
      </c>
      <c r="AD85" s="54"/>
      <c r="AE85" s="138" t="s">
        <v>207</v>
      </c>
      <c r="AF85" s="178" t="str">
        <f t="shared" si="3"/>
        <v>NC</v>
      </c>
      <c r="AG85" s="54" t="str">
        <f t="shared" si="4"/>
        <v>UTILIZOU O PDA CORRETAMENTE. NÃO HÁ FOTOS DE TODAS AS ETAPAS</v>
      </c>
      <c r="AH85" s="138" t="s">
        <v>207</v>
      </c>
      <c r="AI85" s="226" t="s">
        <v>36</v>
      </c>
      <c r="AJ85" s="224" t="str">
        <f t="shared" si="5"/>
        <v>SÃO PAULO</v>
      </c>
      <c r="AK85" s="227" t="s">
        <v>54</v>
      </c>
    </row>
    <row r="86" spans="1:37" ht="30" customHeight="1">
      <c r="A86" s="198" t="s">
        <v>198</v>
      </c>
      <c r="B86" s="198">
        <v>2617995191</v>
      </c>
      <c r="C86" s="198" t="s">
        <v>99</v>
      </c>
      <c r="D86" s="198" t="s">
        <v>92</v>
      </c>
      <c r="E86" s="198" t="s">
        <v>35</v>
      </c>
      <c r="F86" s="198" t="s">
        <v>393</v>
      </c>
      <c r="G86" s="198">
        <v>2</v>
      </c>
      <c r="H86" s="198" t="s">
        <v>255</v>
      </c>
      <c r="I86" s="198" t="s">
        <v>271</v>
      </c>
      <c r="J86" s="198" t="s">
        <v>374</v>
      </c>
      <c r="K86" s="198" t="s">
        <v>200</v>
      </c>
      <c r="L86" s="199">
        <v>46146.156944444447</v>
      </c>
      <c r="M86" s="199">
        <v>46146.167361111111</v>
      </c>
      <c r="N86" s="198" t="s">
        <v>390</v>
      </c>
      <c r="O86" s="151" t="s">
        <v>207</v>
      </c>
      <c r="P86" s="54"/>
      <c r="Q86" s="138" t="s">
        <v>77</v>
      </c>
      <c r="R86" s="54"/>
      <c r="S86" s="138" t="s">
        <v>77</v>
      </c>
      <c r="T86" s="54"/>
      <c r="U86" s="138" t="s">
        <v>77</v>
      </c>
      <c r="V86" s="54"/>
      <c r="W86" s="138" t="s">
        <v>77</v>
      </c>
      <c r="X86" s="54"/>
      <c r="Y86" s="138" t="s">
        <v>77</v>
      </c>
      <c r="Z86" s="54"/>
      <c r="AA86" s="138" t="s">
        <v>77</v>
      </c>
      <c r="AB86" s="54"/>
      <c r="AC86" s="138" t="s">
        <v>207</v>
      </c>
      <c r="AD86" s="54"/>
      <c r="AE86" s="138" t="s">
        <v>207</v>
      </c>
      <c r="AF86" s="178" t="str">
        <f t="shared" si="3"/>
        <v>C</v>
      </c>
      <c r="AG86" s="54" t="str">
        <f t="shared" si="4"/>
        <v>UTILIZOU O PDA CORRETAMENTE</v>
      </c>
      <c r="AH86" s="138" t="s">
        <v>207</v>
      </c>
      <c r="AI86" s="226" t="s">
        <v>36</v>
      </c>
      <c r="AJ86" s="224" t="str">
        <f t="shared" si="5"/>
        <v>SÃO PAULO</v>
      </c>
      <c r="AK86" s="227" t="s">
        <v>54</v>
      </c>
    </row>
    <row r="87" spans="1:37" ht="30" customHeight="1">
      <c r="A87" s="198" t="s">
        <v>198</v>
      </c>
      <c r="B87" s="198">
        <v>2617949523</v>
      </c>
      <c r="C87" s="198" t="s">
        <v>111</v>
      </c>
      <c r="D87" s="198" t="s">
        <v>92</v>
      </c>
      <c r="E87" s="198" t="s">
        <v>35</v>
      </c>
      <c r="F87" s="198" t="s">
        <v>391</v>
      </c>
      <c r="G87" s="198">
        <v>466</v>
      </c>
      <c r="H87" s="198" t="s">
        <v>205</v>
      </c>
      <c r="I87" s="198" t="s">
        <v>392</v>
      </c>
      <c r="J87" s="198" t="s">
        <v>111</v>
      </c>
      <c r="K87" s="198"/>
      <c r="L87" s="199">
        <v>46146.268750000003</v>
      </c>
      <c r="M87" s="199">
        <v>46146.269444444442</v>
      </c>
      <c r="N87" s="198" t="s">
        <v>390</v>
      </c>
      <c r="O87" s="151" t="s">
        <v>207</v>
      </c>
      <c r="P87" s="54"/>
      <c r="Q87" s="138" t="s">
        <v>214</v>
      </c>
      <c r="R87" s="54"/>
      <c r="S87" s="138" t="s">
        <v>214</v>
      </c>
      <c r="T87" s="54"/>
      <c r="U87" s="138" t="s">
        <v>214</v>
      </c>
      <c r="V87" s="54"/>
      <c r="W87" s="138" t="s">
        <v>214</v>
      </c>
      <c r="X87" s="54"/>
      <c r="Y87" s="138" t="s">
        <v>77</v>
      </c>
      <c r="Z87" s="54"/>
      <c r="AA87" s="138" t="s">
        <v>214</v>
      </c>
      <c r="AB87" s="54"/>
      <c r="AC87" s="138" t="s">
        <v>214</v>
      </c>
      <c r="AD87" s="54"/>
      <c r="AE87" s="138" t="s">
        <v>207</v>
      </c>
      <c r="AF87" s="178" t="str">
        <f t="shared" si="3"/>
        <v>NC</v>
      </c>
      <c r="AG87" s="54" t="str">
        <f t="shared" si="4"/>
        <v>UTILIZOU O PDA CORRETAMENTE. NÃO HÁ FOTOS DE TODAS AS ETAPAS</v>
      </c>
      <c r="AH87" s="138" t="s">
        <v>207</v>
      </c>
      <c r="AI87" s="226" t="s">
        <v>36</v>
      </c>
      <c r="AJ87" s="224" t="str">
        <f t="shared" si="5"/>
        <v>SÃO PAULO</v>
      </c>
      <c r="AK87" s="227" t="s">
        <v>54</v>
      </c>
    </row>
    <row r="88" spans="1:37" ht="30" customHeight="1">
      <c r="A88" s="198" t="s">
        <v>198</v>
      </c>
      <c r="B88" s="198">
        <v>2618109645</v>
      </c>
      <c r="C88" s="198" t="s">
        <v>109</v>
      </c>
      <c r="D88" s="198" t="s">
        <v>92</v>
      </c>
      <c r="E88" s="198" t="s">
        <v>35</v>
      </c>
      <c r="F88" s="198" t="s">
        <v>394</v>
      </c>
      <c r="G88" s="198">
        <v>778</v>
      </c>
      <c r="H88" s="198" t="s">
        <v>208</v>
      </c>
      <c r="I88" s="198" t="s">
        <v>395</v>
      </c>
      <c r="J88" s="198" t="s">
        <v>109</v>
      </c>
      <c r="K88" s="198" t="s">
        <v>200</v>
      </c>
      <c r="L88" s="199">
        <v>46146.406944444447</v>
      </c>
      <c r="M88" s="199">
        <v>46146.429166666669</v>
      </c>
      <c r="N88" s="198" t="s">
        <v>390</v>
      </c>
      <c r="O88" s="151" t="s">
        <v>207</v>
      </c>
      <c r="P88" s="54"/>
      <c r="Q88" s="138" t="s">
        <v>214</v>
      </c>
      <c r="R88" s="54"/>
      <c r="S88" s="138" t="s">
        <v>214</v>
      </c>
      <c r="T88" s="54"/>
      <c r="U88" s="138" t="s">
        <v>207</v>
      </c>
      <c r="V88" s="54"/>
      <c r="W88" s="138" t="s">
        <v>214</v>
      </c>
      <c r="X88" s="54"/>
      <c r="Y88" s="138" t="s">
        <v>77</v>
      </c>
      <c r="Z88" s="54"/>
      <c r="AA88" s="138" t="s">
        <v>214</v>
      </c>
      <c r="AB88" s="54"/>
      <c r="AC88" s="138" t="s">
        <v>214</v>
      </c>
      <c r="AD88" s="54"/>
      <c r="AE88" s="138" t="s">
        <v>207</v>
      </c>
      <c r="AF88" s="178" t="str">
        <f t="shared" si="3"/>
        <v>NC</v>
      </c>
      <c r="AG88" s="54" t="str">
        <f t="shared" si="4"/>
        <v>UTILIZOU O PDA CORRETAMENTE. NÃO HÁ FOTOS DE TODAS AS ETAPAS</v>
      </c>
      <c r="AH88" s="138" t="s">
        <v>207</v>
      </c>
      <c r="AI88" s="226" t="s">
        <v>36</v>
      </c>
      <c r="AJ88" s="224" t="str">
        <f t="shared" si="5"/>
        <v>SÃO PAULO</v>
      </c>
      <c r="AK88" s="227" t="s">
        <v>54</v>
      </c>
    </row>
    <row r="89" spans="1:37" ht="30" customHeight="1">
      <c r="A89" s="198" t="s">
        <v>198</v>
      </c>
      <c r="B89" s="198">
        <v>2618109649</v>
      </c>
      <c r="C89" s="198" t="s">
        <v>111</v>
      </c>
      <c r="D89" s="198" t="s">
        <v>92</v>
      </c>
      <c r="E89" s="198" t="s">
        <v>35</v>
      </c>
      <c r="F89" s="198" t="s">
        <v>394</v>
      </c>
      <c r="G89" s="198">
        <v>778</v>
      </c>
      <c r="H89" s="198" t="s">
        <v>205</v>
      </c>
      <c r="I89" s="198" t="s">
        <v>395</v>
      </c>
      <c r="J89" s="198" t="s">
        <v>111</v>
      </c>
      <c r="K89" s="198"/>
      <c r="L89" s="199">
        <v>46146.429166666669</v>
      </c>
      <c r="M89" s="199">
        <v>46146.430555555555</v>
      </c>
      <c r="N89" s="198" t="s">
        <v>390</v>
      </c>
      <c r="O89" s="151" t="s">
        <v>207</v>
      </c>
      <c r="P89" s="54"/>
      <c r="Q89" s="138" t="s">
        <v>214</v>
      </c>
      <c r="R89" s="54"/>
      <c r="S89" s="138" t="s">
        <v>214</v>
      </c>
      <c r="T89" s="54"/>
      <c r="U89" s="138" t="s">
        <v>207</v>
      </c>
      <c r="V89" s="54"/>
      <c r="W89" s="138" t="s">
        <v>214</v>
      </c>
      <c r="X89" s="54"/>
      <c r="Y89" s="138" t="s">
        <v>77</v>
      </c>
      <c r="Z89" s="54"/>
      <c r="AA89" s="138" t="s">
        <v>214</v>
      </c>
      <c r="AB89" s="54"/>
      <c r="AC89" s="138" t="s">
        <v>214</v>
      </c>
      <c r="AD89" s="54"/>
      <c r="AE89" s="138" t="s">
        <v>207</v>
      </c>
      <c r="AF89" s="178" t="str">
        <f t="shared" si="3"/>
        <v>NC</v>
      </c>
      <c r="AG89" s="54" t="str">
        <f t="shared" si="4"/>
        <v>UTILIZOU O PDA CORRETAMENTE. NÃO HÁ FOTOS DE TODAS AS ETAPAS</v>
      </c>
      <c r="AH89" s="138" t="s">
        <v>207</v>
      </c>
      <c r="AI89" s="226" t="s">
        <v>36</v>
      </c>
      <c r="AJ89" s="224" t="str">
        <f t="shared" si="5"/>
        <v>SÃO PAULO</v>
      </c>
      <c r="AK89" s="227" t="s">
        <v>54</v>
      </c>
    </row>
    <row r="90" spans="1:37" ht="30" customHeight="1">
      <c r="A90" s="198" t="s">
        <v>198</v>
      </c>
      <c r="B90" s="198">
        <v>2618109651</v>
      </c>
      <c r="C90" s="198" t="s">
        <v>111</v>
      </c>
      <c r="D90" s="198" t="s">
        <v>92</v>
      </c>
      <c r="E90" s="198" t="s">
        <v>35</v>
      </c>
      <c r="F90" s="198" t="s">
        <v>394</v>
      </c>
      <c r="G90" s="198">
        <v>778</v>
      </c>
      <c r="H90" s="198" t="s">
        <v>257</v>
      </c>
      <c r="I90" s="198" t="s">
        <v>395</v>
      </c>
      <c r="J90" s="198" t="s">
        <v>111</v>
      </c>
      <c r="K90" s="198" t="s">
        <v>200</v>
      </c>
      <c r="L90" s="199">
        <v>46146.430555555555</v>
      </c>
      <c r="M90" s="199">
        <v>46146.431250000001</v>
      </c>
      <c r="N90" s="198" t="s">
        <v>390</v>
      </c>
      <c r="O90" s="151" t="s">
        <v>207</v>
      </c>
      <c r="P90" s="54"/>
      <c r="Q90" s="138" t="s">
        <v>214</v>
      </c>
      <c r="R90" s="54"/>
      <c r="S90" s="138" t="s">
        <v>214</v>
      </c>
      <c r="T90" s="54"/>
      <c r="U90" s="138" t="s">
        <v>207</v>
      </c>
      <c r="V90" s="54"/>
      <c r="W90" s="138" t="s">
        <v>214</v>
      </c>
      <c r="X90" s="54"/>
      <c r="Y90" s="138" t="s">
        <v>77</v>
      </c>
      <c r="Z90" s="54"/>
      <c r="AA90" s="138" t="s">
        <v>214</v>
      </c>
      <c r="AB90" s="54"/>
      <c r="AC90" s="138" t="s">
        <v>214</v>
      </c>
      <c r="AD90" s="54"/>
      <c r="AE90" s="138" t="s">
        <v>207</v>
      </c>
      <c r="AF90" s="178" t="str">
        <f t="shared" si="3"/>
        <v>NC</v>
      </c>
      <c r="AG90" s="54" t="str">
        <f t="shared" si="4"/>
        <v>UTILIZOU O PDA CORRETAMENTE. NÃO HÁ FOTOS DE TODAS AS ETAPAS</v>
      </c>
      <c r="AH90" s="138" t="s">
        <v>207</v>
      </c>
      <c r="AI90" s="226" t="s">
        <v>36</v>
      </c>
      <c r="AJ90" s="224" t="str">
        <f t="shared" si="5"/>
        <v>SÃO PAULO</v>
      </c>
      <c r="AK90" s="227" t="s">
        <v>54</v>
      </c>
    </row>
    <row r="91" spans="1:37" ht="30" customHeight="1">
      <c r="A91" s="198" t="s">
        <v>198</v>
      </c>
      <c r="B91" s="198">
        <v>2618418369</v>
      </c>
      <c r="C91" s="198" t="s">
        <v>121</v>
      </c>
      <c r="D91" s="198" t="s">
        <v>96</v>
      </c>
      <c r="E91" s="198" t="s">
        <v>35</v>
      </c>
      <c r="F91" s="198" t="s">
        <v>396</v>
      </c>
      <c r="G91" s="198">
        <v>196</v>
      </c>
      <c r="H91" s="198"/>
      <c r="I91" s="198" t="s">
        <v>300</v>
      </c>
      <c r="J91" s="198" t="s">
        <v>397</v>
      </c>
      <c r="K91" s="198"/>
      <c r="L91" s="199">
        <v>46146.584722222222</v>
      </c>
      <c r="M91" s="199">
        <v>46146.586805555555</v>
      </c>
      <c r="N91" s="198" t="s">
        <v>331</v>
      </c>
      <c r="O91" s="151" t="s">
        <v>77</v>
      </c>
      <c r="P91" s="54"/>
      <c r="Q91" s="138" t="s">
        <v>77</v>
      </c>
      <c r="R91" s="54"/>
      <c r="S91" s="138" t="s">
        <v>77</v>
      </c>
      <c r="T91" s="54"/>
      <c r="U91" s="138" t="s">
        <v>77</v>
      </c>
      <c r="V91" s="54"/>
      <c r="W91" s="138" t="s">
        <v>77</v>
      </c>
      <c r="X91" s="54"/>
      <c r="Y91" s="138" t="s">
        <v>77</v>
      </c>
      <c r="Z91" s="54"/>
      <c r="AA91" s="138" t="s">
        <v>77</v>
      </c>
      <c r="AB91" s="54"/>
      <c r="AC91" s="138" t="s">
        <v>77</v>
      </c>
      <c r="AD91" s="54"/>
      <c r="AE91" s="138" t="s">
        <v>77</v>
      </c>
      <c r="AF91" s="178" t="str">
        <f t="shared" si="3"/>
        <v>NA</v>
      </c>
      <c r="AG91" s="54" t="str">
        <f t="shared" si="4"/>
        <v>NÃO AVALIADO POR FALHA DE SINCRONISMO</v>
      </c>
      <c r="AH91" s="138"/>
      <c r="AI91" s="226" t="s">
        <v>36</v>
      </c>
      <c r="AJ91" s="224" t="str">
        <f t="shared" si="5"/>
        <v>SÃO PAULO</v>
      </c>
      <c r="AK91" s="227" t="s">
        <v>54</v>
      </c>
    </row>
    <row r="92" spans="1:37" ht="30" customHeight="1">
      <c r="A92" s="198" t="s">
        <v>198</v>
      </c>
      <c r="B92" s="198">
        <v>2618418681</v>
      </c>
      <c r="C92" s="198" t="s">
        <v>121</v>
      </c>
      <c r="D92" s="198" t="s">
        <v>96</v>
      </c>
      <c r="E92" s="198" t="s">
        <v>35</v>
      </c>
      <c r="F92" s="198" t="s">
        <v>398</v>
      </c>
      <c r="G92" s="198">
        <v>30</v>
      </c>
      <c r="H92" s="198" t="s">
        <v>200</v>
      </c>
      <c r="I92" s="198" t="s">
        <v>399</v>
      </c>
      <c r="J92" s="198" t="s">
        <v>202</v>
      </c>
      <c r="K92" s="198" t="s">
        <v>200</v>
      </c>
      <c r="L92" s="199">
        <v>46147.459722222222</v>
      </c>
      <c r="M92" s="199">
        <v>46147.460416666669</v>
      </c>
      <c r="N92" s="198" t="s">
        <v>331</v>
      </c>
      <c r="O92" s="151" t="s">
        <v>77</v>
      </c>
      <c r="P92" s="54"/>
      <c r="Q92" s="138" t="s">
        <v>77</v>
      </c>
      <c r="R92" s="54"/>
      <c r="S92" s="138" t="s">
        <v>77</v>
      </c>
      <c r="T92" s="54"/>
      <c r="U92" s="138" t="s">
        <v>77</v>
      </c>
      <c r="V92" s="54"/>
      <c r="W92" s="138" t="s">
        <v>77</v>
      </c>
      <c r="X92" s="54"/>
      <c r="Y92" s="138" t="s">
        <v>77</v>
      </c>
      <c r="Z92" s="54"/>
      <c r="AA92" s="138" t="s">
        <v>77</v>
      </c>
      <c r="AB92" s="54"/>
      <c r="AC92" s="138" t="s">
        <v>77</v>
      </c>
      <c r="AD92" s="54"/>
      <c r="AE92" s="138" t="s">
        <v>77</v>
      </c>
      <c r="AF92" s="178" t="str">
        <f t="shared" si="3"/>
        <v>NA</v>
      </c>
      <c r="AG92" s="54" t="str">
        <f t="shared" si="4"/>
        <v>NÃO AVALIADO POR FALHA DE SINCRONISMO</v>
      </c>
      <c r="AH92" s="138" t="s">
        <v>207</v>
      </c>
      <c r="AI92" s="226" t="s">
        <v>36</v>
      </c>
      <c r="AJ92" s="224" t="str">
        <f t="shared" si="5"/>
        <v>SÃO PAULO</v>
      </c>
      <c r="AK92" s="227" t="s">
        <v>54</v>
      </c>
    </row>
    <row r="93" spans="1:37" ht="30" customHeight="1">
      <c r="A93" s="198" t="s">
        <v>198</v>
      </c>
      <c r="B93" s="198">
        <v>2618430302</v>
      </c>
      <c r="C93" s="198" t="s">
        <v>122</v>
      </c>
      <c r="D93" s="198" t="s">
        <v>96</v>
      </c>
      <c r="E93" s="198" t="s">
        <v>35</v>
      </c>
      <c r="F93" s="198" t="s">
        <v>400</v>
      </c>
      <c r="G93" s="198">
        <v>47</v>
      </c>
      <c r="H93" s="198" t="s">
        <v>401</v>
      </c>
      <c r="I93" s="198" t="s">
        <v>402</v>
      </c>
      <c r="J93" s="198" t="s">
        <v>267</v>
      </c>
      <c r="K93" s="198"/>
      <c r="L93" s="199">
        <v>46146.140972222223</v>
      </c>
      <c r="M93" s="199">
        <v>46146.533333333333</v>
      </c>
      <c r="N93" s="198" t="s">
        <v>403</v>
      </c>
      <c r="O93" s="151" t="s">
        <v>207</v>
      </c>
      <c r="P93" s="54"/>
      <c r="Q93" s="138" t="s">
        <v>214</v>
      </c>
      <c r="R93" s="54"/>
      <c r="S93" s="138" t="s">
        <v>214</v>
      </c>
      <c r="T93" s="54"/>
      <c r="U93" s="138" t="s">
        <v>215</v>
      </c>
      <c r="V93" s="54" t="s">
        <v>236</v>
      </c>
      <c r="W93" s="138" t="s">
        <v>214</v>
      </c>
      <c r="X93" s="54"/>
      <c r="Y93" s="138" t="s">
        <v>77</v>
      </c>
      <c r="Z93" s="54"/>
      <c r="AA93" s="138" t="s">
        <v>214</v>
      </c>
      <c r="AB93" s="54"/>
      <c r="AC93" s="138" t="s">
        <v>207</v>
      </c>
      <c r="AD93" s="54"/>
      <c r="AE93" s="138" t="s">
        <v>207</v>
      </c>
      <c r="AF93" s="178" t="str">
        <f t="shared" si="3"/>
        <v>NC</v>
      </c>
      <c r="AG93" s="54" t="str">
        <f t="shared" si="4"/>
        <v>UTILIZOU O PDA CORRETAMENTE. NÃO HÁ FOTOS DE TODAS AS ETAPAS</v>
      </c>
      <c r="AH93" s="138" t="s">
        <v>207</v>
      </c>
      <c r="AI93" s="226" t="s">
        <v>36</v>
      </c>
      <c r="AJ93" s="224" t="str">
        <f t="shared" si="5"/>
        <v>SÃO PAULO</v>
      </c>
      <c r="AK93" s="227" t="s">
        <v>54</v>
      </c>
    </row>
    <row r="94" spans="1:37" ht="30" customHeight="1">
      <c r="A94" s="198" t="s">
        <v>198</v>
      </c>
      <c r="B94" s="198">
        <v>2618428837</v>
      </c>
      <c r="C94" s="198" t="s">
        <v>118</v>
      </c>
      <c r="D94" s="198" t="s">
        <v>96</v>
      </c>
      <c r="E94" s="198" t="s">
        <v>35</v>
      </c>
      <c r="F94" s="198" t="s">
        <v>404</v>
      </c>
      <c r="G94" s="198">
        <v>50</v>
      </c>
      <c r="H94" s="198" t="s">
        <v>200</v>
      </c>
      <c r="I94" s="198" t="s">
        <v>271</v>
      </c>
      <c r="J94" s="198" t="s">
        <v>301</v>
      </c>
      <c r="K94" s="198" t="s">
        <v>200</v>
      </c>
      <c r="L94" s="199">
        <v>46147.334722222222</v>
      </c>
      <c r="M94" s="199">
        <v>46147.336805555555</v>
      </c>
      <c r="N94" s="198" t="s">
        <v>345</v>
      </c>
      <c r="O94" s="151" t="s">
        <v>77</v>
      </c>
      <c r="P94" s="54"/>
      <c r="Q94" s="138" t="s">
        <v>77</v>
      </c>
      <c r="R94" s="54"/>
      <c r="S94" s="138" t="s">
        <v>77</v>
      </c>
      <c r="T94" s="54"/>
      <c r="U94" s="138" t="s">
        <v>77</v>
      </c>
      <c r="V94" s="54"/>
      <c r="W94" s="138" t="s">
        <v>77</v>
      </c>
      <c r="X94" s="54"/>
      <c r="Y94" s="138" t="s">
        <v>77</v>
      </c>
      <c r="Z94" s="54"/>
      <c r="AA94" s="138" t="s">
        <v>77</v>
      </c>
      <c r="AB94" s="54"/>
      <c r="AC94" s="138" t="s">
        <v>77</v>
      </c>
      <c r="AD94" s="54"/>
      <c r="AE94" s="138" t="s">
        <v>77</v>
      </c>
      <c r="AF94" s="178" t="str">
        <f t="shared" si="3"/>
        <v>NA</v>
      </c>
      <c r="AG94" s="54" t="str">
        <f t="shared" si="4"/>
        <v>NÃO AVALIADO POR FALHA DE SINCRONISMO</v>
      </c>
      <c r="AH94" s="138" t="s">
        <v>207</v>
      </c>
      <c r="AI94" s="226" t="s">
        <v>36</v>
      </c>
      <c r="AJ94" s="224" t="str">
        <f t="shared" si="5"/>
        <v>SÃO PAULO</v>
      </c>
      <c r="AK94" s="227" t="s">
        <v>54</v>
      </c>
    </row>
    <row r="95" spans="1:37" ht="30" customHeight="1">
      <c r="A95" s="198" t="s">
        <v>198</v>
      </c>
      <c r="B95" s="198">
        <v>2618418477</v>
      </c>
      <c r="C95" s="198" t="s">
        <v>105</v>
      </c>
      <c r="D95" s="198" t="s">
        <v>93</v>
      </c>
      <c r="E95" s="198" t="s">
        <v>35</v>
      </c>
      <c r="F95" s="198" t="s">
        <v>405</v>
      </c>
      <c r="G95" s="198">
        <v>830</v>
      </c>
      <c r="H95" s="198" t="s">
        <v>208</v>
      </c>
      <c r="I95" s="198" t="s">
        <v>211</v>
      </c>
      <c r="J95" s="198" t="s">
        <v>272</v>
      </c>
      <c r="K95" s="198"/>
      <c r="L95" s="199">
        <v>46146.134722222225</v>
      </c>
      <c r="M95" s="199">
        <v>46146.145833333336</v>
      </c>
      <c r="N95" s="198" t="s">
        <v>235</v>
      </c>
      <c r="O95" s="151" t="s">
        <v>207</v>
      </c>
      <c r="P95" s="54"/>
      <c r="Q95" s="138" t="s">
        <v>215</v>
      </c>
      <c r="R95" s="54" t="s">
        <v>406</v>
      </c>
      <c r="S95" s="138" t="s">
        <v>214</v>
      </c>
      <c r="T95" s="54"/>
      <c r="U95" s="138" t="s">
        <v>207</v>
      </c>
      <c r="V95" s="54"/>
      <c r="W95" s="138" t="s">
        <v>207</v>
      </c>
      <c r="X95" s="54"/>
      <c r="Y95" s="138" t="s">
        <v>77</v>
      </c>
      <c r="Z95" s="54"/>
      <c r="AA95" s="138" t="s">
        <v>214</v>
      </c>
      <c r="AB95" s="54"/>
      <c r="AC95" s="138" t="s">
        <v>215</v>
      </c>
      <c r="AD95" s="54" t="s">
        <v>216</v>
      </c>
      <c r="AE95" s="138" t="s">
        <v>207</v>
      </c>
      <c r="AF95" s="178" t="str">
        <f t="shared" si="3"/>
        <v>NC</v>
      </c>
      <c r="AG95" s="54" t="str">
        <f t="shared" si="4"/>
        <v>UTILIZOU O PDA CORRETAMENTE. NÃO HÁ FOTOS DE TODAS AS ETAPAS</v>
      </c>
      <c r="AH95" s="138"/>
      <c r="AI95" s="226" t="s">
        <v>36</v>
      </c>
      <c r="AJ95" s="224" t="str">
        <f t="shared" si="5"/>
        <v>SÃO PAULO</v>
      </c>
      <c r="AK95" s="227" t="s">
        <v>54</v>
      </c>
    </row>
    <row r="96" spans="1:37" ht="30" customHeight="1">
      <c r="A96" s="198" t="s">
        <v>198</v>
      </c>
      <c r="B96" s="198">
        <v>2618452314</v>
      </c>
      <c r="C96" s="198" t="s">
        <v>116</v>
      </c>
      <c r="D96" s="198" t="s">
        <v>94</v>
      </c>
      <c r="E96" s="198" t="s">
        <v>35</v>
      </c>
      <c r="F96" s="198" t="s">
        <v>407</v>
      </c>
      <c r="G96" s="198">
        <v>31</v>
      </c>
      <c r="H96" s="198" t="s">
        <v>329</v>
      </c>
      <c r="I96" s="198" t="s">
        <v>408</v>
      </c>
      <c r="J96" s="198" t="s">
        <v>221</v>
      </c>
      <c r="K96" s="198" t="s">
        <v>200</v>
      </c>
      <c r="L96" s="199">
        <v>46147.418055555558</v>
      </c>
      <c r="M96" s="199">
        <v>46147.418749999997</v>
      </c>
      <c r="N96" s="198" t="s">
        <v>222</v>
      </c>
      <c r="O96" s="151" t="s">
        <v>207</v>
      </c>
      <c r="P96" s="54"/>
      <c r="Q96" s="138" t="s">
        <v>215</v>
      </c>
      <c r="R96" s="54" t="s">
        <v>310</v>
      </c>
      <c r="S96" s="138" t="s">
        <v>207</v>
      </c>
      <c r="T96" s="54"/>
      <c r="U96" s="138" t="s">
        <v>214</v>
      </c>
      <c r="V96" s="54"/>
      <c r="W96" s="138" t="s">
        <v>214</v>
      </c>
      <c r="X96" s="54"/>
      <c r="Y96" s="138" t="s">
        <v>214</v>
      </c>
      <c r="Z96" s="54"/>
      <c r="AA96" s="138" t="s">
        <v>214</v>
      </c>
      <c r="AB96" s="54"/>
      <c r="AC96" s="138" t="s">
        <v>214</v>
      </c>
      <c r="AD96" s="54"/>
      <c r="AE96" s="138" t="s">
        <v>207</v>
      </c>
      <c r="AF96" s="178" t="str">
        <f t="shared" si="3"/>
        <v>NC</v>
      </c>
      <c r="AG96" s="54" t="str">
        <f t="shared" si="4"/>
        <v>UTILIZOU O PDA CORRETAMENTE. NÃO HÁ FOTOS DE TODAS AS ETAPAS</v>
      </c>
      <c r="AH96" s="138" t="s">
        <v>207</v>
      </c>
      <c r="AI96" s="226" t="s">
        <v>36</v>
      </c>
      <c r="AJ96" s="224" t="str">
        <f t="shared" si="5"/>
        <v>SÃO PAULO</v>
      </c>
      <c r="AK96" s="227" t="s">
        <v>54</v>
      </c>
    </row>
    <row r="97" spans="1:37" ht="30" customHeight="1">
      <c r="A97" s="198" t="s">
        <v>198</v>
      </c>
      <c r="B97" s="198">
        <v>2692277120</v>
      </c>
      <c r="C97" s="198" t="s">
        <v>122</v>
      </c>
      <c r="D97" s="198" t="s">
        <v>96</v>
      </c>
      <c r="E97" s="198" t="s">
        <v>35</v>
      </c>
      <c r="F97" s="198" t="s">
        <v>409</v>
      </c>
      <c r="G97" s="198">
        <v>27</v>
      </c>
      <c r="H97" s="198"/>
      <c r="I97" s="198" t="s">
        <v>355</v>
      </c>
      <c r="J97" s="198" t="s">
        <v>267</v>
      </c>
      <c r="K97" s="198"/>
      <c r="L97" s="199">
        <v>46146.361111111109</v>
      </c>
      <c r="M97" s="199">
        <v>46146.37222222222</v>
      </c>
      <c r="N97" s="198" t="s">
        <v>262</v>
      </c>
      <c r="O97" s="151" t="s">
        <v>207</v>
      </c>
      <c r="P97" s="54"/>
      <c r="Q97" s="138" t="s">
        <v>214</v>
      </c>
      <c r="R97" s="54"/>
      <c r="S97" s="138" t="s">
        <v>214</v>
      </c>
      <c r="T97" s="54"/>
      <c r="U97" s="138" t="s">
        <v>215</v>
      </c>
      <c r="V97" s="54" t="s">
        <v>236</v>
      </c>
      <c r="W97" s="138" t="s">
        <v>207</v>
      </c>
      <c r="X97" s="54"/>
      <c r="Y97" s="138" t="s">
        <v>77</v>
      </c>
      <c r="Z97" s="54"/>
      <c r="AA97" s="138" t="s">
        <v>214</v>
      </c>
      <c r="AB97" s="54"/>
      <c r="AC97" s="138" t="s">
        <v>207</v>
      </c>
      <c r="AD97" s="54"/>
      <c r="AE97" s="138" t="s">
        <v>207</v>
      </c>
      <c r="AF97" s="178" t="str">
        <f t="shared" si="3"/>
        <v>NC</v>
      </c>
      <c r="AG97" s="54" t="str">
        <f t="shared" si="4"/>
        <v>UTILIZOU O PDA CORRETAMENTE. NÃO HÁ FOTOS DE TODAS AS ETAPAS</v>
      </c>
      <c r="AH97" s="138" t="s">
        <v>207</v>
      </c>
      <c r="AI97" s="226" t="s">
        <v>36</v>
      </c>
      <c r="AJ97" s="224" t="str">
        <f t="shared" si="5"/>
        <v>SÃO PAULO</v>
      </c>
      <c r="AK97" s="227" t="s">
        <v>54</v>
      </c>
    </row>
    <row r="98" spans="1:37" ht="30" customHeight="1">
      <c r="A98" s="198" t="s">
        <v>198</v>
      </c>
      <c r="B98" s="198">
        <v>2618452741</v>
      </c>
      <c r="C98" s="198" t="s">
        <v>121</v>
      </c>
      <c r="D98" s="198" t="s">
        <v>96</v>
      </c>
      <c r="E98" s="198" t="s">
        <v>35</v>
      </c>
      <c r="F98" s="198" t="s">
        <v>410</v>
      </c>
      <c r="G98" s="198">
        <v>107</v>
      </c>
      <c r="H98" s="198" t="s">
        <v>200</v>
      </c>
      <c r="I98" s="198" t="s">
        <v>411</v>
      </c>
      <c r="J98" s="198" t="s">
        <v>202</v>
      </c>
      <c r="K98" s="198" t="s">
        <v>200</v>
      </c>
      <c r="L98" s="199">
        <v>46146.353472222225</v>
      </c>
      <c r="M98" s="199">
        <v>46146.363194444442</v>
      </c>
      <c r="N98" s="198" t="s">
        <v>235</v>
      </c>
      <c r="O98" s="151" t="s">
        <v>207</v>
      </c>
      <c r="P98" s="57"/>
      <c r="Q98" s="138" t="s">
        <v>215</v>
      </c>
      <c r="R98" s="57" t="s">
        <v>263</v>
      </c>
      <c r="S98" s="138" t="s">
        <v>214</v>
      </c>
      <c r="T98" s="57"/>
      <c r="U98" s="138" t="s">
        <v>214</v>
      </c>
      <c r="V98" s="57"/>
      <c r="W98" s="138" t="s">
        <v>214</v>
      </c>
      <c r="X98" s="57"/>
      <c r="Y98" s="138" t="s">
        <v>214</v>
      </c>
      <c r="Z98" s="57"/>
      <c r="AA98" s="138" t="s">
        <v>214</v>
      </c>
      <c r="AB98" s="57"/>
      <c r="AC98" s="138" t="s">
        <v>214</v>
      </c>
      <c r="AD98" s="57"/>
      <c r="AE98" s="138" t="s">
        <v>207</v>
      </c>
      <c r="AF98" s="178" t="str">
        <f t="shared" si="3"/>
        <v>NC</v>
      </c>
      <c r="AG98" s="54" t="str">
        <f t="shared" si="4"/>
        <v>UTILIZOU O PDA CORRETAMENTE. NÃO HÁ FOTOS DE TODAS AS ETAPAS</v>
      </c>
      <c r="AH98" s="138"/>
      <c r="AI98" s="226" t="s">
        <v>36</v>
      </c>
      <c r="AJ98" s="224" t="str">
        <f t="shared" si="5"/>
        <v>SÃO PAULO</v>
      </c>
      <c r="AK98" s="227" t="s">
        <v>54</v>
      </c>
    </row>
    <row r="99" spans="1:37" ht="30" customHeight="1">
      <c r="A99" s="198" t="s">
        <v>198</v>
      </c>
      <c r="B99" s="198">
        <v>2692278159</v>
      </c>
      <c r="C99" s="198" t="s">
        <v>122</v>
      </c>
      <c r="D99" s="198" t="s">
        <v>96</v>
      </c>
      <c r="E99" s="198" t="s">
        <v>35</v>
      </c>
      <c r="F99" s="198" t="s">
        <v>412</v>
      </c>
      <c r="G99" s="198">
        <v>4</v>
      </c>
      <c r="H99" s="198"/>
      <c r="I99" s="198" t="s">
        <v>386</v>
      </c>
      <c r="J99" s="198" t="s">
        <v>267</v>
      </c>
      <c r="K99" s="198"/>
      <c r="L99" s="199">
        <v>46147.334722222222</v>
      </c>
      <c r="M99" s="199">
        <v>46147.336805555555</v>
      </c>
      <c r="N99" s="198" t="s">
        <v>345</v>
      </c>
      <c r="O99" s="151" t="s">
        <v>77</v>
      </c>
      <c r="P99" s="90"/>
      <c r="Q99" s="138" t="s">
        <v>77</v>
      </c>
      <c r="R99" s="90"/>
      <c r="S99" s="138" t="s">
        <v>77</v>
      </c>
      <c r="T99" s="90"/>
      <c r="U99" s="138" t="s">
        <v>77</v>
      </c>
      <c r="V99" s="90"/>
      <c r="W99" s="138" t="s">
        <v>77</v>
      </c>
      <c r="X99" s="90"/>
      <c r="Y99" s="138" t="s">
        <v>77</v>
      </c>
      <c r="Z99" s="90"/>
      <c r="AA99" s="138" t="s">
        <v>77</v>
      </c>
      <c r="AB99" s="90"/>
      <c r="AC99" s="138" t="s">
        <v>77</v>
      </c>
      <c r="AD99" s="90"/>
      <c r="AE99" s="138" t="s">
        <v>77</v>
      </c>
      <c r="AF99" s="178" t="str">
        <f t="shared" si="3"/>
        <v>NA</v>
      </c>
      <c r="AG99" s="54" t="str">
        <f t="shared" si="4"/>
        <v>NÃO AVALIADO POR FALHA DE SINCRONISMO</v>
      </c>
      <c r="AH99" s="138" t="s">
        <v>207</v>
      </c>
      <c r="AI99" s="228" t="s">
        <v>36</v>
      </c>
      <c r="AJ99" s="224" t="str">
        <f t="shared" si="5"/>
        <v>SÃO PAULO</v>
      </c>
      <c r="AK99" s="229" t="s">
        <v>54</v>
      </c>
    </row>
    <row r="100" spans="1:37" ht="30" customHeight="1">
      <c r="A100" s="198" t="s">
        <v>198</v>
      </c>
      <c r="B100" s="198">
        <v>2618418471</v>
      </c>
      <c r="C100" s="198" t="s">
        <v>115</v>
      </c>
      <c r="D100" s="198" t="s">
        <v>96</v>
      </c>
      <c r="E100" s="198" t="s">
        <v>35</v>
      </c>
      <c r="F100" s="198" t="s">
        <v>413</v>
      </c>
      <c r="G100" s="198">
        <v>8</v>
      </c>
      <c r="H100" s="198" t="s">
        <v>200</v>
      </c>
      <c r="I100" s="198" t="s">
        <v>414</v>
      </c>
      <c r="J100" s="198" t="s">
        <v>268</v>
      </c>
      <c r="K100" s="198" t="s">
        <v>200</v>
      </c>
      <c r="L100" s="199">
        <v>46146.241666666669</v>
      </c>
      <c r="M100" s="199">
        <v>46146.243750000001</v>
      </c>
      <c r="N100" s="198" t="s">
        <v>232</v>
      </c>
      <c r="O100" s="151" t="s">
        <v>215</v>
      </c>
      <c r="P100" s="90" t="s">
        <v>228</v>
      </c>
      <c r="Q100" s="138" t="s">
        <v>215</v>
      </c>
      <c r="R100" s="90" t="s">
        <v>227</v>
      </c>
      <c r="S100" s="138" t="s">
        <v>215</v>
      </c>
      <c r="T100" s="90" t="s">
        <v>227</v>
      </c>
      <c r="U100" s="138" t="s">
        <v>215</v>
      </c>
      <c r="V100" s="90" t="s">
        <v>227</v>
      </c>
      <c r="W100" s="138" t="s">
        <v>215</v>
      </c>
      <c r="X100" s="90" t="s">
        <v>227</v>
      </c>
      <c r="Y100" s="138" t="s">
        <v>215</v>
      </c>
      <c r="Z100" s="90" t="s">
        <v>227</v>
      </c>
      <c r="AA100" s="138" t="s">
        <v>215</v>
      </c>
      <c r="AB100" s="90" t="s">
        <v>227</v>
      </c>
      <c r="AC100" s="138" t="s">
        <v>215</v>
      </c>
      <c r="AD100" s="90" t="s">
        <v>227</v>
      </c>
      <c r="AE100" s="138" t="s">
        <v>215</v>
      </c>
      <c r="AF100" s="178" t="str">
        <f t="shared" si="3"/>
        <v>NC</v>
      </c>
      <c r="AG100" s="54" t="str">
        <f t="shared" si="4"/>
        <v>NÃO UTILIZOU O PDA</v>
      </c>
      <c r="AH100" s="138" t="s">
        <v>207</v>
      </c>
      <c r="AI100" s="228" t="s">
        <v>36</v>
      </c>
      <c r="AJ100" s="224" t="str">
        <f t="shared" si="5"/>
        <v>SÃO PAULO</v>
      </c>
      <c r="AK100" s="229" t="s">
        <v>54</v>
      </c>
    </row>
    <row r="101" spans="1:37" ht="30" customHeight="1">
      <c r="A101" s="198" t="s">
        <v>198</v>
      </c>
      <c r="B101" s="198">
        <v>2692301322</v>
      </c>
      <c r="C101" s="198" t="s">
        <v>122</v>
      </c>
      <c r="D101" s="198" t="s">
        <v>96</v>
      </c>
      <c r="E101" s="198" t="s">
        <v>35</v>
      </c>
      <c r="F101" s="198" t="s">
        <v>415</v>
      </c>
      <c r="G101" s="198">
        <v>98</v>
      </c>
      <c r="H101" s="198"/>
      <c r="I101" s="198" t="s">
        <v>357</v>
      </c>
      <c r="J101" s="198" t="s">
        <v>267</v>
      </c>
      <c r="K101" s="198"/>
      <c r="L101" s="199">
        <v>46146.314583333333</v>
      </c>
      <c r="M101" s="199">
        <v>46146.338194444441</v>
      </c>
      <c r="N101" s="198" t="s">
        <v>235</v>
      </c>
      <c r="O101" s="151" t="s">
        <v>207</v>
      </c>
      <c r="P101" s="90"/>
      <c r="Q101" s="138" t="s">
        <v>215</v>
      </c>
      <c r="R101" s="90" t="s">
        <v>406</v>
      </c>
      <c r="S101" s="138" t="s">
        <v>77</v>
      </c>
      <c r="T101" s="90"/>
      <c r="U101" s="138" t="s">
        <v>207</v>
      </c>
      <c r="V101" s="90"/>
      <c r="W101" s="138" t="s">
        <v>207</v>
      </c>
      <c r="X101" s="90"/>
      <c r="Y101" s="138" t="s">
        <v>77</v>
      </c>
      <c r="Z101" s="90"/>
      <c r="AA101" s="138" t="s">
        <v>214</v>
      </c>
      <c r="AB101" s="90"/>
      <c r="AC101" s="138" t="s">
        <v>207</v>
      </c>
      <c r="AD101" s="90"/>
      <c r="AE101" s="138" t="s">
        <v>207</v>
      </c>
      <c r="AF101" s="178" t="str">
        <f t="shared" si="3"/>
        <v>NC</v>
      </c>
      <c r="AG101" s="54" t="str">
        <f t="shared" si="4"/>
        <v>UTILIZOU O PDA CORRETAMENTE. NÃO HÁ FOTOS DE TODAS AS ETAPAS</v>
      </c>
      <c r="AH101" s="138" t="s">
        <v>207</v>
      </c>
      <c r="AI101" s="228" t="s">
        <v>36</v>
      </c>
      <c r="AJ101" s="224" t="str">
        <f t="shared" si="5"/>
        <v>SÃO PAULO</v>
      </c>
      <c r="AK101" s="229" t="s">
        <v>54</v>
      </c>
    </row>
    <row r="102" spans="1:37" ht="30" customHeight="1">
      <c r="A102" s="198" t="s">
        <v>198</v>
      </c>
      <c r="B102" s="198">
        <v>2692274830</v>
      </c>
      <c r="C102" s="198" t="s">
        <v>118</v>
      </c>
      <c r="D102" s="198" t="s">
        <v>96</v>
      </c>
      <c r="E102" s="198" t="s">
        <v>35</v>
      </c>
      <c r="F102" s="198" t="s">
        <v>416</v>
      </c>
      <c r="G102" s="198">
        <v>104</v>
      </c>
      <c r="H102" s="198" t="s">
        <v>200</v>
      </c>
      <c r="I102" s="198" t="s">
        <v>417</v>
      </c>
      <c r="J102" s="198" t="s">
        <v>260</v>
      </c>
      <c r="K102" s="198" t="s">
        <v>200</v>
      </c>
      <c r="L102" s="199">
        <v>46146.368750000001</v>
      </c>
      <c r="M102" s="199">
        <v>46146.425694444442</v>
      </c>
      <c r="N102" s="198" t="s">
        <v>320</v>
      </c>
      <c r="O102" s="151" t="s">
        <v>207</v>
      </c>
      <c r="P102" s="90"/>
      <c r="Q102" s="138" t="s">
        <v>215</v>
      </c>
      <c r="R102" s="90" t="s">
        <v>418</v>
      </c>
      <c r="S102" s="138" t="s">
        <v>214</v>
      </c>
      <c r="T102" s="90"/>
      <c r="U102" s="138" t="s">
        <v>207</v>
      </c>
      <c r="V102" s="90"/>
      <c r="W102" s="138" t="s">
        <v>207</v>
      </c>
      <c r="X102" s="90"/>
      <c r="Y102" s="138" t="s">
        <v>214</v>
      </c>
      <c r="Z102" s="90"/>
      <c r="AA102" s="138" t="s">
        <v>214</v>
      </c>
      <c r="AB102" s="90"/>
      <c r="AC102" s="138" t="s">
        <v>215</v>
      </c>
      <c r="AD102" s="90" t="s">
        <v>419</v>
      </c>
      <c r="AE102" s="138" t="s">
        <v>207</v>
      </c>
      <c r="AF102" s="178" t="str">
        <f t="shared" si="3"/>
        <v>NC</v>
      </c>
      <c r="AG102" s="54" t="str">
        <f t="shared" si="4"/>
        <v>UTILIZOU O PDA CORRETAMENTE. NÃO HÁ FOTOS DE TODAS AS ETAPAS</v>
      </c>
      <c r="AH102" s="138" t="s">
        <v>207</v>
      </c>
      <c r="AI102" s="228" t="s">
        <v>36</v>
      </c>
      <c r="AJ102" s="224" t="str">
        <f t="shared" si="5"/>
        <v>SÃO PAULO</v>
      </c>
      <c r="AK102" s="229" t="s">
        <v>54</v>
      </c>
    </row>
    <row r="103" spans="1:37" ht="30" customHeight="1">
      <c r="A103" s="198" t="s">
        <v>198</v>
      </c>
      <c r="B103" s="198">
        <v>2618437874</v>
      </c>
      <c r="C103" s="198" t="s">
        <v>119</v>
      </c>
      <c r="D103" s="198" t="s">
        <v>96</v>
      </c>
      <c r="E103" s="198" t="s">
        <v>35</v>
      </c>
      <c r="F103" s="198" t="s">
        <v>420</v>
      </c>
      <c r="G103" s="198">
        <v>29</v>
      </c>
      <c r="H103" s="198" t="s">
        <v>347</v>
      </c>
      <c r="I103" s="198" t="s">
        <v>421</v>
      </c>
      <c r="J103" s="198" t="s">
        <v>301</v>
      </c>
      <c r="K103" s="198"/>
      <c r="L103" s="199">
        <v>46146.298611111109</v>
      </c>
      <c r="M103" s="199">
        <v>46146.328472222223</v>
      </c>
      <c r="N103" s="198" t="s">
        <v>262</v>
      </c>
      <c r="O103" s="151" t="s">
        <v>207</v>
      </c>
      <c r="P103" s="90"/>
      <c r="Q103" s="138" t="s">
        <v>215</v>
      </c>
      <c r="R103" s="90" t="s">
        <v>310</v>
      </c>
      <c r="S103" s="138" t="s">
        <v>214</v>
      </c>
      <c r="T103" s="90"/>
      <c r="U103" s="138" t="s">
        <v>207</v>
      </c>
      <c r="V103" s="90"/>
      <c r="W103" s="138" t="s">
        <v>207</v>
      </c>
      <c r="X103" s="90"/>
      <c r="Y103" s="138" t="s">
        <v>77</v>
      </c>
      <c r="Z103" s="90"/>
      <c r="AA103" s="138" t="s">
        <v>214</v>
      </c>
      <c r="AB103" s="90"/>
      <c r="AC103" s="138" t="s">
        <v>207</v>
      </c>
      <c r="AD103" s="90"/>
      <c r="AE103" s="138" t="s">
        <v>207</v>
      </c>
      <c r="AF103" s="178" t="str">
        <f t="shared" si="3"/>
        <v>NC</v>
      </c>
      <c r="AG103" s="54" t="str">
        <f t="shared" si="4"/>
        <v>UTILIZOU O PDA CORRETAMENTE. NÃO HÁ FOTOS DE TODAS AS ETAPAS</v>
      </c>
      <c r="AH103" s="138" t="s">
        <v>207</v>
      </c>
      <c r="AI103" s="228" t="s">
        <v>36</v>
      </c>
      <c r="AJ103" s="224" t="str">
        <f t="shared" si="5"/>
        <v>SÃO PAULO</v>
      </c>
      <c r="AK103" s="229" t="s">
        <v>54</v>
      </c>
    </row>
    <row r="104" spans="1:37" ht="30" customHeight="1">
      <c r="A104" s="198" t="s">
        <v>198</v>
      </c>
      <c r="B104" s="198">
        <v>2618481312</v>
      </c>
      <c r="C104" s="198" t="s">
        <v>116</v>
      </c>
      <c r="D104" s="198" t="s">
        <v>94</v>
      </c>
      <c r="E104" s="198" t="s">
        <v>35</v>
      </c>
      <c r="F104" s="198" t="s">
        <v>385</v>
      </c>
      <c r="G104" s="198">
        <v>5</v>
      </c>
      <c r="H104" s="198" t="s">
        <v>208</v>
      </c>
      <c r="I104" s="198" t="s">
        <v>386</v>
      </c>
      <c r="J104" s="198" t="s">
        <v>221</v>
      </c>
      <c r="K104" s="198" t="s">
        <v>200</v>
      </c>
      <c r="L104" s="199">
        <v>46146.623611111114</v>
      </c>
      <c r="M104" s="199">
        <v>46146.715277777781</v>
      </c>
      <c r="N104" s="198" t="s">
        <v>295</v>
      </c>
      <c r="O104" s="152" t="s">
        <v>207</v>
      </c>
      <c r="P104" s="90"/>
      <c r="Q104" s="140" t="s">
        <v>214</v>
      </c>
      <c r="R104" s="90"/>
      <c r="S104" s="140" t="s">
        <v>214</v>
      </c>
      <c r="T104" s="90"/>
      <c r="U104" s="140" t="s">
        <v>215</v>
      </c>
      <c r="V104" s="90" t="s">
        <v>236</v>
      </c>
      <c r="W104" s="140" t="s">
        <v>214</v>
      </c>
      <c r="X104" s="90"/>
      <c r="Y104" s="140" t="s">
        <v>214</v>
      </c>
      <c r="Z104" s="90"/>
      <c r="AA104" s="140" t="s">
        <v>207</v>
      </c>
      <c r="AB104" s="90"/>
      <c r="AC104" s="140" t="s">
        <v>215</v>
      </c>
      <c r="AD104" s="90" t="s">
        <v>237</v>
      </c>
      <c r="AE104" s="140" t="s">
        <v>207</v>
      </c>
      <c r="AF104" s="178" t="str">
        <f t="shared" si="3"/>
        <v>NC</v>
      </c>
      <c r="AG104" s="54" t="str">
        <f t="shared" si="4"/>
        <v>UTILIZOU O PDA CORRETAMENTE. NÃO HÁ FOTOS DE TODAS AS ETAPAS</v>
      </c>
      <c r="AH104" s="140" t="s">
        <v>207</v>
      </c>
      <c r="AI104" s="228" t="s">
        <v>36</v>
      </c>
      <c r="AJ104" s="224" t="str">
        <f t="shared" si="5"/>
        <v>SÃO PAULO</v>
      </c>
      <c r="AK104" s="229" t="s">
        <v>54</v>
      </c>
    </row>
    <row r="105" spans="1:37" ht="30" customHeight="1">
      <c r="A105" s="198" t="s">
        <v>198</v>
      </c>
      <c r="B105" s="198">
        <v>2692309766</v>
      </c>
      <c r="C105" s="198" t="s">
        <v>105</v>
      </c>
      <c r="D105" s="198" t="s">
        <v>93</v>
      </c>
      <c r="E105" s="198" t="s">
        <v>35</v>
      </c>
      <c r="F105" s="198" t="s">
        <v>422</v>
      </c>
      <c r="G105" s="198">
        <v>458</v>
      </c>
      <c r="H105" s="198" t="s">
        <v>208</v>
      </c>
      <c r="I105" s="198" t="s">
        <v>201</v>
      </c>
      <c r="J105" s="198" t="s">
        <v>272</v>
      </c>
      <c r="K105" s="198"/>
      <c r="L105" s="199">
        <v>46146.302777777775</v>
      </c>
      <c r="M105" s="199">
        <v>46146.304166666669</v>
      </c>
      <c r="N105" s="198" t="s">
        <v>235</v>
      </c>
      <c r="O105" s="152" t="s">
        <v>207</v>
      </c>
      <c r="P105" s="90"/>
      <c r="Q105" s="140" t="s">
        <v>214</v>
      </c>
      <c r="R105" s="90"/>
      <c r="S105" s="140" t="s">
        <v>214</v>
      </c>
      <c r="T105" s="90"/>
      <c r="U105" s="140" t="s">
        <v>214</v>
      </c>
      <c r="V105" s="90"/>
      <c r="W105" s="140" t="s">
        <v>207</v>
      </c>
      <c r="X105" s="90"/>
      <c r="Y105" s="140" t="s">
        <v>214</v>
      </c>
      <c r="Z105" s="90"/>
      <c r="AA105" s="140" t="s">
        <v>214</v>
      </c>
      <c r="AB105" s="90"/>
      <c r="AC105" s="140" t="s">
        <v>214</v>
      </c>
      <c r="AD105" s="90"/>
      <c r="AE105" s="140" t="s">
        <v>207</v>
      </c>
      <c r="AF105" s="178" t="str">
        <f t="shared" si="3"/>
        <v>NC</v>
      </c>
      <c r="AG105" s="54" t="str">
        <f t="shared" si="4"/>
        <v>UTILIZOU O PDA CORRETAMENTE. NÃO HÁ FOTOS DE TODAS AS ETAPAS</v>
      </c>
      <c r="AH105" s="140"/>
      <c r="AI105" s="228" t="s">
        <v>36</v>
      </c>
      <c r="AJ105" s="224" t="str">
        <f t="shared" si="5"/>
        <v>SÃO PAULO</v>
      </c>
      <c r="AK105" s="229" t="s">
        <v>54</v>
      </c>
    </row>
    <row r="106" spans="1:37" ht="30" customHeight="1">
      <c r="A106" s="198" t="s">
        <v>198</v>
      </c>
      <c r="B106" s="198">
        <v>2618481925</v>
      </c>
      <c r="C106" s="198" t="s">
        <v>118</v>
      </c>
      <c r="D106" s="198" t="s">
        <v>96</v>
      </c>
      <c r="E106" s="198" t="s">
        <v>35</v>
      </c>
      <c r="F106" s="198" t="s">
        <v>423</v>
      </c>
      <c r="G106" s="198">
        <v>689</v>
      </c>
      <c r="H106" s="198" t="s">
        <v>200</v>
      </c>
      <c r="I106" s="198" t="s">
        <v>424</v>
      </c>
      <c r="J106" s="198" t="s">
        <v>267</v>
      </c>
      <c r="K106" s="198" t="s">
        <v>200</v>
      </c>
      <c r="L106" s="199">
        <v>46146.626388888886</v>
      </c>
      <c r="M106" s="199">
        <v>46146.628472222219</v>
      </c>
      <c r="N106" s="198" t="s">
        <v>320</v>
      </c>
      <c r="O106" s="152" t="s">
        <v>77</v>
      </c>
      <c r="P106" s="90"/>
      <c r="Q106" s="140" t="s">
        <v>77</v>
      </c>
      <c r="R106" s="90"/>
      <c r="S106" s="140" t="s">
        <v>77</v>
      </c>
      <c r="T106" s="90"/>
      <c r="U106" s="140" t="s">
        <v>77</v>
      </c>
      <c r="V106" s="90"/>
      <c r="W106" s="140" t="s">
        <v>77</v>
      </c>
      <c r="X106" s="90"/>
      <c r="Y106" s="140" t="s">
        <v>77</v>
      </c>
      <c r="Z106" s="90"/>
      <c r="AA106" s="140" t="s">
        <v>77</v>
      </c>
      <c r="AB106" s="90"/>
      <c r="AC106" s="140" t="s">
        <v>77</v>
      </c>
      <c r="AD106" s="90"/>
      <c r="AE106" s="140" t="s">
        <v>77</v>
      </c>
      <c r="AF106" s="178" t="str">
        <f t="shared" si="3"/>
        <v>NA</v>
      </c>
      <c r="AG106" s="54" t="str">
        <f t="shared" si="4"/>
        <v>NÃO AVALIADO POR FALHA DE SINCRONISMO</v>
      </c>
      <c r="AH106" s="140" t="s">
        <v>207</v>
      </c>
      <c r="AI106" s="228" t="s">
        <v>36</v>
      </c>
      <c r="AJ106" s="224" t="str">
        <f t="shared" si="5"/>
        <v>SÃO PAULO</v>
      </c>
      <c r="AK106" s="229" t="s">
        <v>54</v>
      </c>
    </row>
    <row r="107" spans="1:37" ht="30" customHeight="1">
      <c r="A107" s="198" t="s">
        <v>198</v>
      </c>
      <c r="B107" s="198">
        <v>2618424332</v>
      </c>
      <c r="C107" s="198" t="s">
        <v>102</v>
      </c>
      <c r="D107" s="198" t="s">
        <v>95</v>
      </c>
      <c r="E107" s="198" t="s">
        <v>35</v>
      </c>
      <c r="F107" s="198" t="s">
        <v>425</v>
      </c>
      <c r="G107" s="198">
        <v>534</v>
      </c>
      <c r="H107" s="198" t="s">
        <v>426</v>
      </c>
      <c r="I107" s="198" t="s">
        <v>300</v>
      </c>
      <c r="J107" s="198" t="s">
        <v>427</v>
      </c>
      <c r="K107" s="198"/>
      <c r="L107" s="199">
        <v>46146.666666666664</v>
      </c>
      <c r="M107" s="199">
        <v>46146.667361111111</v>
      </c>
      <c r="N107" s="198" t="s">
        <v>203</v>
      </c>
      <c r="O107" s="152" t="s">
        <v>77</v>
      </c>
      <c r="P107" s="90"/>
      <c r="Q107" s="140" t="s">
        <v>77</v>
      </c>
      <c r="R107" s="90"/>
      <c r="S107" s="140" t="s">
        <v>77</v>
      </c>
      <c r="T107" s="90"/>
      <c r="U107" s="140" t="s">
        <v>77</v>
      </c>
      <c r="V107" s="90"/>
      <c r="W107" s="140" t="s">
        <v>77</v>
      </c>
      <c r="X107" s="90"/>
      <c r="Y107" s="140" t="s">
        <v>77</v>
      </c>
      <c r="Z107" s="90"/>
      <c r="AA107" s="140" t="s">
        <v>77</v>
      </c>
      <c r="AB107" s="90"/>
      <c r="AC107" s="140" t="s">
        <v>77</v>
      </c>
      <c r="AD107" s="90"/>
      <c r="AE107" s="140" t="s">
        <v>77</v>
      </c>
      <c r="AF107" s="178" t="str">
        <f t="shared" si="3"/>
        <v>NA</v>
      </c>
      <c r="AG107" s="54" t="str">
        <f t="shared" si="4"/>
        <v>NÃO AVALIADO POR FALHA DE SINCRONISMO</v>
      </c>
      <c r="AH107" s="140" t="s">
        <v>207</v>
      </c>
      <c r="AI107" s="228" t="s">
        <v>36</v>
      </c>
      <c r="AJ107" s="224" t="str">
        <f t="shared" si="5"/>
        <v>SÃO PAULO</v>
      </c>
      <c r="AK107" s="229" t="s">
        <v>54</v>
      </c>
    </row>
    <row r="108" spans="1:37" ht="30" customHeight="1">
      <c r="A108" s="198" t="s">
        <v>198</v>
      </c>
      <c r="B108" s="198">
        <v>2618452741</v>
      </c>
      <c r="C108" s="198" t="s">
        <v>114</v>
      </c>
      <c r="D108" s="198" t="s">
        <v>96</v>
      </c>
      <c r="E108" s="198" t="s">
        <v>35</v>
      </c>
      <c r="F108" s="198" t="s">
        <v>410</v>
      </c>
      <c r="G108" s="198">
        <v>107</v>
      </c>
      <c r="H108" s="198" t="s">
        <v>200</v>
      </c>
      <c r="I108" s="198" t="s">
        <v>411</v>
      </c>
      <c r="J108" s="198" t="s">
        <v>260</v>
      </c>
      <c r="K108" s="198" t="s">
        <v>200</v>
      </c>
      <c r="L108" s="199">
        <v>46146.363888888889</v>
      </c>
      <c r="M108" s="199">
        <v>46146.368750000001</v>
      </c>
      <c r="N108" s="198" t="s">
        <v>235</v>
      </c>
      <c r="O108" s="152" t="s">
        <v>207</v>
      </c>
      <c r="P108" s="90"/>
      <c r="Q108" s="140" t="s">
        <v>215</v>
      </c>
      <c r="R108" s="90" t="s">
        <v>263</v>
      </c>
      <c r="S108" s="140" t="s">
        <v>214</v>
      </c>
      <c r="T108" s="90"/>
      <c r="U108" s="140" t="s">
        <v>214</v>
      </c>
      <c r="V108" s="90"/>
      <c r="W108" s="140" t="s">
        <v>214</v>
      </c>
      <c r="X108" s="90"/>
      <c r="Y108" s="140" t="s">
        <v>77</v>
      </c>
      <c r="Z108" s="90"/>
      <c r="AA108" s="140" t="s">
        <v>214</v>
      </c>
      <c r="AB108" s="90"/>
      <c r="AC108" s="140" t="s">
        <v>214</v>
      </c>
      <c r="AD108" s="90"/>
      <c r="AE108" s="140" t="s">
        <v>207</v>
      </c>
      <c r="AF108" s="178" t="str">
        <f t="shared" si="3"/>
        <v>NC</v>
      </c>
      <c r="AG108" s="54" t="str">
        <f t="shared" si="4"/>
        <v>UTILIZOU O PDA CORRETAMENTE. NÃO HÁ FOTOS DE TODAS AS ETAPAS</v>
      </c>
      <c r="AH108" s="140"/>
      <c r="AI108" s="228" t="s">
        <v>36</v>
      </c>
      <c r="AJ108" s="224" t="str">
        <f t="shared" si="5"/>
        <v>SÃO PAULO</v>
      </c>
      <c r="AK108" s="229" t="s">
        <v>54</v>
      </c>
    </row>
    <row r="109" spans="1:37" ht="30" customHeight="1">
      <c r="A109" s="198" t="s">
        <v>198</v>
      </c>
      <c r="B109" s="198">
        <v>2618461135</v>
      </c>
      <c r="C109" s="198" t="s">
        <v>114</v>
      </c>
      <c r="D109" s="198" t="s">
        <v>96</v>
      </c>
      <c r="E109" s="198" t="s">
        <v>35</v>
      </c>
      <c r="F109" s="198" t="s">
        <v>428</v>
      </c>
      <c r="G109" s="198">
        <v>12</v>
      </c>
      <c r="H109" s="198" t="s">
        <v>208</v>
      </c>
      <c r="I109" s="198" t="s">
        <v>429</v>
      </c>
      <c r="J109" s="198" t="s">
        <v>260</v>
      </c>
      <c r="K109" s="198"/>
      <c r="L109" s="199">
        <v>46146.390277777777</v>
      </c>
      <c r="M109" s="199">
        <v>46146.392361111109</v>
      </c>
      <c r="N109" s="198" t="s">
        <v>232</v>
      </c>
      <c r="O109" s="152" t="s">
        <v>207</v>
      </c>
      <c r="P109" s="90"/>
      <c r="Q109" s="140" t="s">
        <v>214</v>
      </c>
      <c r="R109" s="90"/>
      <c r="S109" s="140" t="s">
        <v>214</v>
      </c>
      <c r="T109" s="90"/>
      <c r="U109" s="140" t="s">
        <v>207</v>
      </c>
      <c r="V109" s="90"/>
      <c r="W109" s="140" t="s">
        <v>207</v>
      </c>
      <c r="X109" s="90"/>
      <c r="Y109" s="140" t="s">
        <v>214</v>
      </c>
      <c r="Z109" s="90"/>
      <c r="AA109" s="140" t="s">
        <v>214</v>
      </c>
      <c r="AB109" s="90"/>
      <c r="AC109" s="140" t="s">
        <v>215</v>
      </c>
      <c r="AD109" s="90" t="s">
        <v>430</v>
      </c>
      <c r="AE109" s="140" t="s">
        <v>207</v>
      </c>
      <c r="AF109" s="178" t="str">
        <f t="shared" si="3"/>
        <v>NC</v>
      </c>
      <c r="AG109" s="54" t="str">
        <f t="shared" si="4"/>
        <v>UTILIZOU O PDA CORRETAMENTE. NÃO HÁ FOTOS DE TODAS AS ETAPAS</v>
      </c>
      <c r="AH109" s="140" t="s">
        <v>207</v>
      </c>
      <c r="AI109" s="228" t="s">
        <v>36</v>
      </c>
      <c r="AJ109" s="224" t="str">
        <f t="shared" si="5"/>
        <v>SÃO PAULO</v>
      </c>
      <c r="AK109" s="229" t="s">
        <v>54</v>
      </c>
    </row>
    <row r="110" spans="1:37" ht="30" customHeight="1">
      <c r="A110" s="198" t="s">
        <v>198</v>
      </c>
      <c r="B110" s="198">
        <v>2618103771</v>
      </c>
      <c r="C110" s="198" t="s">
        <v>101</v>
      </c>
      <c r="D110" s="198" t="s">
        <v>92</v>
      </c>
      <c r="E110" s="198" t="s">
        <v>35</v>
      </c>
      <c r="F110" s="198" t="s">
        <v>431</v>
      </c>
      <c r="G110" s="198">
        <v>3</v>
      </c>
      <c r="H110" s="198" t="s">
        <v>200</v>
      </c>
      <c r="I110" s="198" t="s">
        <v>256</v>
      </c>
      <c r="J110" s="198" t="s">
        <v>101</v>
      </c>
      <c r="K110" s="198" t="s">
        <v>200</v>
      </c>
      <c r="L110" s="199">
        <v>46147.293749999997</v>
      </c>
      <c r="M110" s="199">
        <v>46147.299305555556</v>
      </c>
      <c r="N110" s="198" t="s">
        <v>213</v>
      </c>
      <c r="O110" s="152" t="s">
        <v>214</v>
      </c>
      <c r="P110" s="90"/>
      <c r="Q110" s="140" t="s">
        <v>214</v>
      </c>
      <c r="R110" s="90"/>
      <c r="S110" s="140" t="s">
        <v>214</v>
      </c>
      <c r="T110" s="90"/>
      <c r="U110" s="140" t="s">
        <v>214</v>
      </c>
      <c r="V110" s="90"/>
      <c r="W110" s="140" t="s">
        <v>214</v>
      </c>
      <c r="X110" s="90"/>
      <c r="Y110" s="140" t="s">
        <v>214</v>
      </c>
      <c r="Z110" s="90"/>
      <c r="AA110" s="140" t="s">
        <v>214</v>
      </c>
      <c r="AB110" s="90"/>
      <c r="AC110" s="140" t="s">
        <v>214</v>
      </c>
      <c r="AD110" s="90"/>
      <c r="AE110" s="140" t="s">
        <v>215</v>
      </c>
      <c r="AF110" s="178" t="str">
        <f t="shared" si="3"/>
        <v>NC</v>
      </c>
      <c r="AG110" s="54" t="str">
        <f t="shared" si="4"/>
        <v>NÃO UTILIZOU O PDA</v>
      </c>
      <c r="AH110" s="140" t="s">
        <v>207</v>
      </c>
      <c r="AI110" s="228" t="s">
        <v>36</v>
      </c>
      <c r="AJ110" s="224" t="str">
        <f t="shared" si="5"/>
        <v>SÃO PAULO</v>
      </c>
      <c r="AK110" s="229" t="s">
        <v>54</v>
      </c>
    </row>
    <row r="111" spans="1:37" ht="30" customHeight="1">
      <c r="A111" s="198" t="s">
        <v>198</v>
      </c>
      <c r="B111" s="198">
        <v>2618116556</v>
      </c>
      <c r="C111" s="198" t="s">
        <v>101</v>
      </c>
      <c r="D111" s="198" t="s">
        <v>92</v>
      </c>
      <c r="E111" s="198" t="s">
        <v>35</v>
      </c>
      <c r="F111" s="198" t="s">
        <v>432</v>
      </c>
      <c r="G111" s="198">
        <v>158</v>
      </c>
      <c r="H111" s="198"/>
      <c r="I111" s="198" t="s">
        <v>433</v>
      </c>
      <c r="J111" s="198" t="s">
        <v>101</v>
      </c>
      <c r="K111" s="198"/>
      <c r="L111" s="199">
        <v>46147.154861111114</v>
      </c>
      <c r="M111" s="199">
        <v>46147.163194444445</v>
      </c>
      <c r="N111" s="198" t="s">
        <v>364</v>
      </c>
      <c r="O111" s="152" t="s">
        <v>207</v>
      </c>
      <c r="P111" s="90"/>
      <c r="Q111" s="140" t="s">
        <v>77</v>
      </c>
      <c r="R111" s="90"/>
      <c r="S111" s="140" t="s">
        <v>214</v>
      </c>
      <c r="T111" s="90"/>
      <c r="U111" s="140" t="s">
        <v>207</v>
      </c>
      <c r="V111" s="90"/>
      <c r="W111" s="140" t="s">
        <v>214</v>
      </c>
      <c r="X111" s="90"/>
      <c r="Y111" s="140" t="s">
        <v>77</v>
      </c>
      <c r="Z111" s="90"/>
      <c r="AA111" s="140" t="s">
        <v>214</v>
      </c>
      <c r="AB111" s="90"/>
      <c r="AC111" s="140" t="s">
        <v>215</v>
      </c>
      <c r="AD111" s="90" t="s">
        <v>434</v>
      </c>
      <c r="AE111" s="140" t="s">
        <v>207</v>
      </c>
      <c r="AF111" s="178" t="str">
        <f t="shared" si="3"/>
        <v>NC</v>
      </c>
      <c r="AG111" s="54" t="str">
        <f t="shared" si="4"/>
        <v>UTILIZOU O PDA CORRETAMENTE. NÃO HÁ FOTOS DE TODAS AS ETAPAS</v>
      </c>
      <c r="AH111" s="140" t="s">
        <v>207</v>
      </c>
      <c r="AI111" s="228" t="s">
        <v>36</v>
      </c>
      <c r="AJ111" s="224" t="str">
        <f t="shared" si="5"/>
        <v>SÃO PAULO</v>
      </c>
      <c r="AK111" s="229" t="s">
        <v>54</v>
      </c>
    </row>
    <row r="112" spans="1:37" ht="30" customHeight="1">
      <c r="A112" s="198" t="s">
        <v>198</v>
      </c>
      <c r="B112" s="198">
        <v>2618085292</v>
      </c>
      <c r="C112" s="198" t="s">
        <v>101</v>
      </c>
      <c r="D112" s="198" t="s">
        <v>92</v>
      </c>
      <c r="E112" s="198" t="s">
        <v>35</v>
      </c>
      <c r="F112" s="198" t="s">
        <v>435</v>
      </c>
      <c r="G112" s="198">
        <v>121</v>
      </c>
      <c r="H112" s="198" t="s">
        <v>200</v>
      </c>
      <c r="I112" s="198" t="s">
        <v>271</v>
      </c>
      <c r="J112" s="198" t="s">
        <v>101</v>
      </c>
      <c r="K112" s="198" t="s">
        <v>200</v>
      </c>
      <c r="L112" s="199">
        <v>46147.335416666669</v>
      </c>
      <c r="M112" s="199">
        <v>46147.338194444441</v>
      </c>
      <c r="N112" s="198" t="s">
        <v>364</v>
      </c>
      <c r="O112" s="152" t="s">
        <v>207</v>
      </c>
      <c r="P112" s="90"/>
      <c r="Q112" s="140" t="s">
        <v>215</v>
      </c>
      <c r="R112" s="90" t="s">
        <v>263</v>
      </c>
      <c r="S112" s="140" t="s">
        <v>215</v>
      </c>
      <c r="T112" s="90" t="s">
        <v>436</v>
      </c>
      <c r="U112" s="140" t="s">
        <v>207</v>
      </c>
      <c r="V112" s="90"/>
      <c r="W112" s="140" t="s">
        <v>214</v>
      </c>
      <c r="X112" s="90"/>
      <c r="Y112" s="140" t="s">
        <v>77</v>
      </c>
      <c r="Z112" s="90"/>
      <c r="AA112" s="140" t="s">
        <v>214</v>
      </c>
      <c r="AB112" s="90"/>
      <c r="AC112" s="140" t="s">
        <v>214</v>
      </c>
      <c r="AD112" s="90"/>
      <c r="AE112" s="140" t="s">
        <v>207</v>
      </c>
      <c r="AF112" s="178" t="str">
        <f t="shared" si="3"/>
        <v>NC</v>
      </c>
      <c r="AG112" s="54" t="str">
        <f t="shared" si="4"/>
        <v>UTILIZOU O PDA CORRETAMENTE. NÃO HÁ FOTOS DE TODAS AS ETAPAS</v>
      </c>
      <c r="AH112" s="140" t="s">
        <v>207</v>
      </c>
      <c r="AI112" s="228" t="s">
        <v>36</v>
      </c>
      <c r="AJ112" s="224" t="str">
        <f t="shared" si="5"/>
        <v>SÃO PAULO</v>
      </c>
      <c r="AK112" s="229" t="s">
        <v>54</v>
      </c>
    </row>
    <row r="113" spans="1:37" ht="30" customHeight="1">
      <c r="A113" s="198" t="s">
        <v>198</v>
      </c>
      <c r="B113" s="198">
        <v>2618097477</v>
      </c>
      <c r="C113" s="198" t="s">
        <v>238</v>
      </c>
      <c r="D113" s="198" t="s">
        <v>92</v>
      </c>
      <c r="E113" s="198" t="s">
        <v>35</v>
      </c>
      <c r="F113" s="198" t="s">
        <v>437</v>
      </c>
      <c r="G113" s="198">
        <v>109</v>
      </c>
      <c r="H113" s="198" t="s">
        <v>208</v>
      </c>
      <c r="I113" s="198" t="s">
        <v>438</v>
      </c>
      <c r="J113" s="198" t="s">
        <v>242</v>
      </c>
      <c r="K113" s="198"/>
      <c r="L113" s="199">
        <v>46147.236111111109</v>
      </c>
      <c r="M113" s="199">
        <v>46147.240277777775</v>
      </c>
      <c r="N113" s="198" t="s">
        <v>213</v>
      </c>
      <c r="O113" s="152" t="s">
        <v>207</v>
      </c>
      <c r="P113" s="90"/>
      <c r="Q113" s="140" t="s">
        <v>215</v>
      </c>
      <c r="R113" s="90" t="s">
        <v>263</v>
      </c>
      <c r="S113" s="140" t="s">
        <v>215</v>
      </c>
      <c r="T113" s="90" t="s">
        <v>275</v>
      </c>
      <c r="U113" s="140" t="s">
        <v>207</v>
      </c>
      <c r="V113" s="90"/>
      <c r="W113" s="140" t="s">
        <v>214</v>
      </c>
      <c r="X113" s="90"/>
      <c r="Y113" s="140" t="s">
        <v>77</v>
      </c>
      <c r="Z113" s="90"/>
      <c r="AA113" s="140" t="s">
        <v>214</v>
      </c>
      <c r="AB113" s="90"/>
      <c r="AC113" s="140" t="s">
        <v>214</v>
      </c>
      <c r="AD113" s="90"/>
      <c r="AE113" s="140" t="s">
        <v>207</v>
      </c>
      <c r="AF113" s="178" t="str">
        <f t="shared" si="3"/>
        <v>NC</v>
      </c>
      <c r="AG113" s="54" t="str">
        <f t="shared" si="4"/>
        <v>UTILIZOU O PDA CORRETAMENTE. NÃO HÁ FOTOS DE TODAS AS ETAPAS</v>
      </c>
      <c r="AH113" s="140" t="s">
        <v>207</v>
      </c>
      <c r="AI113" s="228" t="s">
        <v>36</v>
      </c>
      <c r="AJ113" s="224" t="str">
        <f t="shared" si="5"/>
        <v>SÃO PAULO</v>
      </c>
      <c r="AK113" s="229" t="s">
        <v>54</v>
      </c>
    </row>
    <row r="114" spans="1:37" ht="30" customHeight="1">
      <c r="A114" s="198" t="s">
        <v>198</v>
      </c>
      <c r="B114" s="198">
        <v>2618097486</v>
      </c>
      <c r="C114" s="198" t="s">
        <v>238</v>
      </c>
      <c r="D114" s="198" t="s">
        <v>92</v>
      </c>
      <c r="E114" s="198" t="s">
        <v>35</v>
      </c>
      <c r="F114" s="198" t="s">
        <v>437</v>
      </c>
      <c r="G114" s="198">
        <v>109</v>
      </c>
      <c r="H114" s="198" t="s">
        <v>205</v>
      </c>
      <c r="I114" s="198" t="s">
        <v>438</v>
      </c>
      <c r="J114" s="198" t="s">
        <v>242</v>
      </c>
      <c r="K114" s="198" t="s">
        <v>200</v>
      </c>
      <c r="L114" s="199">
        <v>46147.238888888889</v>
      </c>
      <c r="M114" s="199">
        <v>46147.239583333336</v>
      </c>
      <c r="N114" s="198" t="s">
        <v>213</v>
      </c>
      <c r="O114" s="152" t="s">
        <v>207</v>
      </c>
      <c r="P114" s="90"/>
      <c r="Q114" s="140" t="s">
        <v>215</v>
      </c>
      <c r="R114" s="90" t="s">
        <v>263</v>
      </c>
      <c r="S114" s="140" t="s">
        <v>215</v>
      </c>
      <c r="T114" s="90" t="s">
        <v>275</v>
      </c>
      <c r="U114" s="140" t="s">
        <v>207</v>
      </c>
      <c r="V114" s="90"/>
      <c r="W114" s="140" t="s">
        <v>214</v>
      </c>
      <c r="X114" s="90"/>
      <c r="Y114" s="140" t="s">
        <v>77</v>
      </c>
      <c r="Z114" s="90"/>
      <c r="AA114" s="140" t="s">
        <v>214</v>
      </c>
      <c r="AB114" s="90"/>
      <c r="AC114" s="140" t="s">
        <v>214</v>
      </c>
      <c r="AD114" s="90"/>
      <c r="AE114" s="140" t="s">
        <v>207</v>
      </c>
      <c r="AF114" s="178" t="str">
        <f t="shared" si="3"/>
        <v>NC</v>
      </c>
      <c r="AG114" s="54" t="str">
        <f t="shared" si="4"/>
        <v>UTILIZOU O PDA CORRETAMENTE. NÃO HÁ FOTOS DE TODAS AS ETAPAS</v>
      </c>
      <c r="AH114" s="140" t="s">
        <v>207</v>
      </c>
      <c r="AI114" s="228" t="s">
        <v>36</v>
      </c>
      <c r="AJ114" s="224" t="str">
        <f t="shared" si="5"/>
        <v>SÃO PAULO</v>
      </c>
      <c r="AK114" s="229" t="s">
        <v>54</v>
      </c>
    </row>
    <row r="115" spans="1:37" ht="30" customHeight="1">
      <c r="A115" s="198" t="s">
        <v>198</v>
      </c>
      <c r="B115" s="198">
        <v>2618120947</v>
      </c>
      <c r="C115" s="198" t="s">
        <v>107</v>
      </c>
      <c r="D115" s="198" t="s">
        <v>92</v>
      </c>
      <c r="E115" s="198" t="s">
        <v>35</v>
      </c>
      <c r="F115" s="198" t="s">
        <v>439</v>
      </c>
      <c r="G115" s="198">
        <v>947</v>
      </c>
      <c r="H115" s="198"/>
      <c r="I115" s="198" t="s">
        <v>440</v>
      </c>
      <c r="J115" s="198" t="s">
        <v>212</v>
      </c>
      <c r="K115" s="198"/>
      <c r="L115" s="199">
        <v>46147.393055555556</v>
      </c>
      <c r="M115" s="199">
        <v>46147.745833333334</v>
      </c>
      <c r="N115" s="198" t="s">
        <v>295</v>
      </c>
      <c r="O115" s="152" t="s">
        <v>207</v>
      </c>
      <c r="P115" s="90"/>
      <c r="Q115" s="140" t="s">
        <v>214</v>
      </c>
      <c r="R115" s="90"/>
      <c r="S115" s="140" t="s">
        <v>214</v>
      </c>
      <c r="T115" s="90"/>
      <c r="U115" s="140" t="s">
        <v>207</v>
      </c>
      <c r="V115" s="90"/>
      <c r="W115" s="140" t="s">
        <v>207</v>
      </c>
      <c r="X115" s="90"/>
      <c r="Y115" s="140" t="s">
        <v>77</v>
      </c>
      <c r="Z115" s="90"/>
      <c r="AA115" s="140" t="s">
        <v>214</v>
      </c>
      <c r="AB115" s="90"/>
      <c r="AC115" s="140" t="s">
        <v>215</v>
      </c>
      <c r="AD115" s="90" t="s">
        <v>441</v>
      </c>
      <c r="AE115" s="140" t="s">
        <v>207</v>
      </c>
      <c r="AF115" s="178" t="str">
        <f t="shared" si="3"/>
        <v>NC</v>
      </c>
      <c r="AG115" s="54" t="str">
        <f t="shared" si="4"/>
        <v>UTILIZOU O PDA CORRETAMENTE. NÃO HÁ FOTOS DE TODAS AS ETAPAS</v>
      </c>
      <c r="AH115" s="140" t="s">
        <v>207</v>
      </c>
      <c r="AI115" s="228" t="s">
        <v>36</v>
      </c>
      <c r="AJ115" s="224" t="str">
        <f t="shared" si="5"/>
        <v>SÃO PAULO</v>
      </c>
      <c r="AK115" s="229" t="s">
        <v>54</v>
      </c>
    </row>
    <row r="116" spans="1:37" ht="30" customHeight="1">
      <c r="A116" s="198" t="s">
        <v>198</v>
      </c>
      <c r="B116" s="198">
        <v>2618431838</v>
      </c>
      <c r="C116" s="198" t="s">
        <v>99</v>
      </c>
      <c r="D116" s="198" t="s">
        <v>92</v>
      </c>
      <c r="E116" s="198" t="s">
        <v>35</v>
      </c>
      <c r="F116" s="198" t="s">
        <v>442</v>
      </c>
      <c r="G116" s="198">
        <v>277</v>
      </c>
      <c r="H116" s="198" t="s">
        <v>255</v>
      </c>
      <c r="I116" s="198" t="s">
        <v>220</v>
      </c>
      <c r="J116" s="198" t="s">
        <v>374</v>
      </c>
      <c r="K116" s="198" t="s">
        <v>200</v>
      </c>
      <c r="L116" s="199">
        <v>46147.518750000003</v>
      </c>
      <c r="M116" s="199">
        <v>46147.527083333334</v>
      </c>
      <c r="N116" s="198" t="s">
        <v>206</v>
      </c>
      <c r="O116" s="152" t="s">
        <v>207</v>
      </c>
      <c r="P116" s="90"/>
      <c r="Q116" s="140" t="s">
        <v>77</v>
      </c>
      <c r="R116" s="90"/>
      <c r="S116" s="140" t="s">
        <v>77</v>
      </c>
      <c r="T116" s="90"/>
      <c r="U116" s="140" t="s">
        <v>77</v>
      </c>
      <c r="V116" s="90"/>
      <c r="W116" s="140" t="s">
        <v>77</v>
      </c>
      <c r="X116" s="90"/>
      <c r="Y116" s="140" t="s">
        <v>77</v>
      </c>
      <c r="Z116" s="90"/>
      <c r="AA116" s="140" t="s">
        <v>77</v>
      </c>
      <c r="AB116" s="90"/>
      <c r="AC116" s="140" t="s">
        <v>207</v>
      </c>
      <c r="AD116" s="90"/>
      <c r="AE116" s="140" t="s">
        <v>207</v>
      </c>
      <c r="AF116" s="178" t="str">
        <f t="shared" si="3"/>
        <v>C</v>
      </c>
      <c r="AG116" s="54" t="str">
        <f t="shared" si="4"/>
        <v>UTILIZOU O PDA CORRETAMENTE</v>
      </c>
      <c r="AH116" s="140" t="s">
        <v>207</v>
      </c>
      <c r="AI116" s="228" t="s">
        <v>36</v>
      </c>
      <c r="AJ116" s="224" t="str">
        <f t="shared" si="5"/>
        <v>SÃO PAULO</v>
      </c>
      <c r="AK116" s="229" t="s">
        <v>54</v>
      </c>
    </row>
    <row r="117" spans="1:37" ht="30" customHeight="1">
      <c r="A117" s="198" t="s">
        <v>198</v>
      </c>
      <c r="B117" s="198">
        <v>2618435575</v>
      </c>
      <c r="C117" s="198" t="s">
        <v>99</v>
      </c>
      <c r="D117" s="198" t="s">
        <v>92</v>
      </c>
      <c r="E117" s="198" t="s">
        <v>35</v>
      </c>
      <c r="F117" s="198" t="s">
        <v>443</v>
      </c>
      <c r="G117" s="198">
        <v>9</v>
      </c>
      <c r="H117" s="198" t="s">
        <v>257</v>
      </c>
      <c r="I117" s="198" t="s">
        <v>433</v>
      </c>
      <c r="J117" s="198" t="s">
        <v>374</v>
      </c>
      <c r="K117" s="198"/>
      <c r="L117" s="199">
        <v>46147.629861111112</v>
      </c>
      <c r="M117" s="199">
        <v>46147.636805555558</v>
      </c>
      <c r="N117" s="198" t="s">
        <v>206</v>
      </c>
      <c r="O117" s="152" t="s">
        <v>207</v>
      </c>
      <c r="P117" s="90"/>
      <c r="Q117" s="140" t="s">
        <v>77</v>
      </c>
      <c r="R117" s="90"/>
      <c r="S117" s="140" t="s">
        <v>77</v>
      </c>
      <c r="T117" s="90"/>
      <c r="U117" s="140" t="s">
        <v>77</v>
      </c>
      <c r="V117" s="90"/>
      <c r="W117" s="140" t="s">
        <v>77</v>
      </c>
      <c r="X117" s="90"/>
      <c r="Y117" s="140" t="s">
        <v>77</v>
      </c>
      <c r="Z117" s="90"/>
      <c r="AA117" s="140" t="s">
        <v>77</v>
      </c>
      <c r="AB117" s="90"/>
      <c r="AC117" s="140" t="s">
        <v>207</v>
      </c>
      <c r="AD117" s="90"/>
      <c r="AE117" s="140" t="s">
        <v>207</v>
      </c>
      <c r="AF117" s="178" t="str">
        <f t="shared" si="3"/>
        <v>C</v>
      </c>
      <c r="AG117" s="54" t="str">
        <f t="shared" si="4"/>
        <v>UTILIZOU O PDA CORRETAMENTE</v>
      </c>
      <c r="AH117" s="140" t="s">
        <v>207</v>
      </c>
      <c r="AI117" s="228" t="s">
        <v>36</v>
      </c>
      <c r="AJ117" s="224" t="str">
        <f t="shared" si="5"/>
        <v>SÃO PAULO</v>
      </c>
      <c r="AK117" s="229" t="s">
        <v>54</v>
      </c>
    </row>
    <row r="118" spans="1:37" ht="30" customHeight="1">
      <c r="A118" s="198" t="s">
        <v>198</v>
      </c>
      <c r="B118" s="198">
        <v>2618516462</v>
      </c>
      <c r="C118" s="198" t="s">
        <v>118</v>
      </c>
      <c r="D118" s="198" t="s">
        <v>96</v>
      </c>
      <c r="E118" s="198" t="s">
        <v>35</v>
      </c>
      <c r="F118" s="198" t="s">
        <v>286</v>
      </c>
      <c r="G118" s="198">
        <v>2392</v>
      </c>
      <c r="H118" s="198" t="s">
        <v>200</v>
      </c>
      <c r="I118" s="198" t="s">
        <v>355</v>
      </c>
      <c r="J118" s="198" t="s">
        <v>315</v>
      </c>
      <c r="K118" s="198" t="s">
        <v>444</v>
      </c>
      <c r="L118" s="199">
        <v>46147.164583333331</v>
      </c>
      <c r="M118" s="199">
        <v>46147.172222222223</v>
      </c>
      <c r="N118" s="198" t="s">
        <v>274</v>
      </c>
      <c r="O118" s="152" t="s">
        <v>207</v>
      </c>
      <c r="P118" s="90"/>
      <c r="Q118" s="140" t="s">
        <v>215</v>
      </c>
      <c r="R118" s="90" t="s">
        <v>445</v>
      </c>
      <c r="S118" s="140" t="s">
        <v>214</v>
      </c>
      <c r="T118" s="90"/>
      <c r="U118" s="140" t="s">
        <v>207</v>
      </c>
      <c r="V118" s="90"/>
      <c r="W118" s="140" t="s">
        <v>207</v>
      </c>
      <c r="X118" s="90"/>
      <c r="Y118" s="140" t="s">
        <v>77</v>
      </c>
      <c r="Z118" s="90"/>
      <c r="AA118" s="140" t="s">
        <v>214</v>
      </c>
      <c r="AB118" s="90"/>
      <c r="AC118" s="140" t="s">
        <v>215</v>
      </c>
      <c r="AD118" s="90" t="s">
        <v>441</v>
      </c>
      <c r="AE118" s="140" t="s">
        <v>207</v>
      </c>
      <c r="AF118" s="178" t="str">
        <f t="shared" si="3"/>
        <v>NC</v>
      </c>
      <c r="AG118" s="54" t="str">
        <f t="shared" si="4"/>
        <v>UTILIZOU O PDA CORRETAMENTE. NÃO HÁ FOTOS DE TODAS AS ETAPAS</v>
      </c>
      <c r="AH118" s="140" t="s">
        <v>207</v>
      </c>
      <c r="AI118" s="228" t="s">
        <v>36</v>
      </c>
      <c r="AJ118" s="224" t="str">
        <f t="shared" si="5"/>
        <v>SÃO PAULO</v>
      </c>
      <c r="AK118" s="229" t="s">
        <v>54</v>
      </c>
    </row>
    <row r="119" spans="1:37" ht="30" customHeight="1">
      <c r="A119" s="198" t="s">
        <v>198</v>
      </c>
      <c r="B119" s="198">
        <v>2692320390</v>
      </c>
      <c r="C119" s="198" t="s">
        <v>118</v>
      </c>
      <c r="D119" s="198" t="s">
        <v>96</v>
      </c>
      <c r="E119" s="198" t="s">
        <v>35</v>
      </c>
      <c r="F119" s="198" t="s">
        <v>446</v>
      </c>
      <c r="G119" s="198">
        <v>55</v>
      </c>
      <c r="H119" s="198"/>
      <c r="I119" s="198" t="s">
        <v>447</v>
      </c>
      <c r="J119" s="198" t="s">
        <v>260</v>
      </c>
      <c r="K119" s="198"/>
      <c r="L119" s="199">
        <v>46147.275000000001</v>
      </c>
      <c r="M119" s="199">
        <v>46147.27847222222</v>
      </c>
      <c r="N119" s="198" t="s">
        <v>222</v>
      </c>
      <c r="O119" s="152" t="s">
        <v>214</v>
      </c>
      <c r="P119" s="90"/>
      <c r="Q119" s="152" t="s">
        <v>214</v>
      </c>
      <c r="R119" s="90"/>
      <c r="S119" s="152" t="s">
        <v>214</v>
      </c>
      <c r="T119" s="90"/>
      <c r="U119" s="152" t="s">
        <v>214</v>
      </c>
      <c r="V119" s="90"/>
      <c r="W119" s="152" t="s">
        <v>214</v>
      </c>
      <c r="X119" s="90"/>
      <c r="Y119" s="152" t="s">
        <v>77</v>
      </c>
      <c r="Z119" s="90"/>
      <c r="AA119" s="152" t="s">
        <v>214</v>
      </c>
      <c r="AB119" s="90"/>
      <c r="AC119" s="152" t="s">
        <v>214</v>
      </c>
      <c r="AD119" s="90"/>
      <c r="AE119" s="152" t="s">
        <v>215</v>
      </c>
      <c r="AF119" s="178" t="str">
        <f t="shared" si="3"/>
        <v>NC</v>
      </c>
      <c r="AG119" s="52" t="str">
        <f t="shared" si="4"/>
        <v>NÃO UTILIZOU O PDA</v>
      </c>
      <c r="AH119" s="140"/>
      <c r="AI119" s="182" t="s">
        <v>36</v>
      </c>
      <c r="AJ119" s="93" t="str">
        <f t="shared" si="5"/>
        <v>SÃO PAULO</v>
      </c>
      <c r="AK119" s="183" t="s">
        <v>54</v>
      </c>
    </row>
    <row r="120" spans="1:37" ht="30" customHeight="1">
      <c r="A120" s="198" t="s">
        <v>198</v>
      </c>
      <c r="B120" s="198">
        <v>2692369929</v>
      </c>
      <c r="C120" s="198" t="s">
        <v>117</v>
      </c>
      <c r="D120" s="198" t="s">
        <v>96</v>
      </c>
      <c r="E120" s="198" t="s">
        <v>35</v>
      </c>
      <c r="F120" s="198" t="s">
        <v>448</v>
      </c>
      <c r="G120" s="198">
        <v>540</v>
      </c>
      <c r="H120" s="198" t="s">
        <v>255</v>
      </c>
      <c r="I120" s="198" t="s">
        <v>314</v>
      </c>
      <c r="J120" s="198" t="s">
        <v>315</v>
      </c>
      <c r="K120" s="198" t="s">
        <v>200</v>
      </c>
      <c r="L120" s="199">
        <v>46147.206250000003</v>
      </c>
      <c r="M120" s="199">
        <v>46147.227777777778</v>
      </c>
      <c r="N120" s="198" t="s">
        <v>327</v>
      </c>
      <c r="O120" s="152" t="s">
        <v>207</v>
      </c>
      <c r="P120" s="90"/>
      <c r="Q120" s="140" t="s">
        <v>214</v>
      </c>
      <c r="R120" s="90"/>
      <c r="S120" s="140" t="s">
        <v>214</v>
      </c>
      <c r="T120" s="90"/>
      <c r="U120" s="140" t="s">
        <v>77</v>
      </c>
      <c r="V120" s="90"/>
      <c r="W120" s="140" t="s">
        <v>207</v>
      </c>
      <c r="X120" s="90"/>
      <c r="Y120" s="140" t="s">
        <v>77</v>
      </c>
      <c r="Z120" s="90"/>
      <c r="AA120" s="140" t="s">
        <v>214</v>
      </c>
      <c r="AB120" s="90"/>
      <c r="AC120" s="140" t="s">
        <v>207</v>
      </c>
      <c r="AD120" s="90"/>
      <c r="AE120" s="140" t="s">
        <v>207</v>
      </c>
      <c r="AF120" s="178" t="str">
        <f t="shared" si="3"/>
        <v>NC</v>
      </c>
      <c r="AG120" s="52" t="str">
        <f t="shared" si="4"/>
        <v>UTILIZOU O PDA CORRETAMENTE. NÃO HÁ FOTOS DE TODAS AS ETAPAS</v>
      </c>
      <c r="AH120" s="140"/>
      <c r="AI120" s="182" t="s">
        <v>36</v>
      </c>
      <c r="AJ120" s="93" t="str">
        <f t="shared" si="5"/>
        <v>SÃO PAULO</v>
      </c>
      <c r="AK120" s="183" t="s">
        <v>54</v>
      </c>
    </row>
    <row r="121" spans="1:37" ht="30" customHeight="1">
      <c r="A121" s="198" t="s">
        <v>198</v>
      </c>
      <c r="B121" s="198">
        <v>2618506012</v>
      </c>
      <c r="C121" s="198" t="s">
        <v>118</v>
      </c>
      <c r="D121" s="198" t="s">
        <v>96</v>
      </c>
      <c r="E121" s="198" t="s">
        <v>35</v>
      </c>
      <c r="F121" s="198" t="s">
        <v>449</v>
      </c>
      <c r="G121" s="198">
        <v>82</v>
      </c>
      <c r="H121" s="198"/>
      <c r="I121" s="198" t="s">
        <v>440</v>
      </c>
      <c r="J121" s="198" t="s">
        <v>260</v>
      </c>
      <c r="K121" s="198"/>
      <c r="L121" s="199">
        <v>46147.320138888892</v>
      </c>
      <c r="M121" s="199">
        <v>46147.375694444447</v>
      </c>
      <c r="N121" s="198" t="s">
        <v>320</v>
      </c>
      <c r="O121" s="152" t="s">
        <v>207</v>
      </c>
      <c r="P121" s="90"/>
      <c r="Q121" s="140" t="s">
        <v>207</v>
      </c>
      <c r="R121" s="90"/>
      <c r="S121" s="140" t="s">
        <v>214</v>
      </c>
      <c r="T121" s="90"/>
      <c r="U121" s="140" t="s">
        <v>207</v>
      </c>
      <c r="V121" s="90"/>
      <c r="W121" s="140" t="s">
        <v>207</v>
      </c>
      <c r="X121" s="90"/>
      <c r="Y121" s="140" t="s">
        <v>77</v>
      </c>
      <c r="Z121" s="90"/>
      <c r="AA121" s="140" t="s">
        <v>214</v>
      </c>
      <c r="AB121" s="90"/>
      <c r="AC121" s="140" t="s">
        <v>207</v>
      </c>
      <c r="AD121" s="90"/>
      <c r="AE121" s="140" t="s">
        <v>207</v>
      </c>
      <c r="AF121" s="178" t="str">
        <f t="shared" si="3"/>
        <v>NC</v>
      </c>
      <c r="AG121" s="52" t="str">
        <f t="shared" si="4"/>
        <v>UTILIZOU O PDA CORRETAMENTE. NÃO HÁ FOTOS DE TODAS AS ETAPAS</v>
      </c>
      <c r="AH121" s="140"/>
      <c r="AI121" s="182" t="s">
        <v>36</v>
      </c>
      <c r="AJ121" s="93" t="str">
        <f t="shared" si="5"/>
        <v>SÃO PAULO</v>
      </c>
      <c r="AK121" s="183" t="s">
        <v>54</v>
      </c>
    </row>
    <row r="122" spans="1:37" ht="30" customHeight="1">
      <c r="A122" s="198" t="s">
        <v>198</v>
      </c>
      <c r="B122" s="198">
        <v>2692316131</v>
      </c>
      <c r="C122" s="198" t="s">
        <v>122</v>
      </c>
      <c r="D122" s="198" t="s">
        <v>96</v>
      </c>
      <c r="E122" s="198" t="s">
        <v>35</v>
      </c>
      <c r="F122" s="198" t="s">
        <v>311</v>
      </c>
      <c r="G122" s="198">
        <v>10</v>
      </c>
      <c r="H122" s="198" t="s">
        <v>200</v>
      </c>
      <c r="I122" s="198" t="s">
        <v>312</v>
      </c>
      <c r="J122" s="198" t="s">
        <v>301</v>
      </c>
      <c r="K122" s="198" t="s">
        <v>200</v>
      </c>
      <c r="L122" s="199">
        <v>46147.501388888886</v>
      </c>
      <c r="M122" s="199">
        <v>46147.503472222219</v>
      </c>
      <c r="N122" s="198" t="s">
        <v>331</v>
      </c>
      <c r="O122" s="152" t="s">
        <v>207</v>
      </c>
      <c r="P122" s="90"/>
      <c r="Q122" s="140" t="s">
        <v>77</v>
      </c>
      <c r="R122" s="90"/>
      <c r="S122" s="140" t="s">
        <v>214</v>
      </c>
      <c r="T122" s="90"/>
      <c r="U122" s="140" t="s">
        <v>77</v>
      </c>
      <c r="V122" s="90"/>
      <c r="W122" s="140" t="s">
        <v>77</v>
      </c>
      <c r="X122" s="90"/>
      <c r="Y122" s="140" t="s">
        <v>77</v>
      </c>
      <c r="Z122" s="90"/>
      <c r="AA122" s="140" t="s">
        <v>77</v>
      </c>
      <c r="AB122" s="90"/>
      <c r="AC122" s="140" t="s">
        <v>207</v>
      </c>
      <c r="AD122" s="90"/>
      <c r="AE122" s="140" t="s">
        <v>207</v>
      </c>
      <c r="AF122" s="178" t="str">
        <f t="shared" si="3"/>
        <v>NC</v>
      </c>
      <c r="AG122" s="52" t="str">
        <f t="shared" si="4"/>
        <v>UTILIZOU O PDA CORRETAMENTE. NÃO HÁ FOTOS DE TODAS AS ETAPAS</v>
      </c>
      <c r="AH122" s="140"/>
      <c r="AI122" s="182" t="s">
        <v>36</v>
      </c>
      <c r="AJ122" s="93" t="str">
        <f t="shared" si="5"/>
        <v>SÃO PAULO</v>
      </c>
      <c r="AK122" s="183" t="s">
        <v>54</v>
      </c>
    </row>
    <row r="123" spans="1:37" ht="30" customHeight="1">
      <c r="A123" s="198" t="s">
        <v>198</v>
      </c>
      <c r="B123" s="198">
        <v>2618445832</v>
      </c>
      <c r="C123" s="198" t="s">
        <v>118</v>
      </c>
      <c r="D123" s="198" t="s">
        <v>96</v>
      </c>
      <c r="E123" s="198" t="s">
        <v>35</v>
      </c>
      <c r="F123" s="198" t="s">
        <v>450</v>
      </c>
      <c r="G123" s="198">
        <v>44</v>
      </c>
      <c r="H123" s="198"/>
      <c r="I123" s="198" t="s">
        <v>371</v>
      </c>
      <c r="J123" s="198" t="s">
        <v>260</v>
      </c>
      <c r="K123" s="198"/>
      <c r="L123" s="199">
        <v>46147.152777777781</v>
      </c>
      <c r="M123" s="199">
        <v>46147.194444444445</v>
      </c>
      <c r="N123" s="198" t="s">
        <v>320</v>
      </c>
      <c r="O123" s="152" t="s">
        <v>207</v>
      </c>
      <c r="P123" s="90"/>
      <c r="Q123" s="140" t="s">
        <v>214</v>
      </c>
      <c r="R123" s="90"/>
      <c r="S123" s="140" t="s">
        <v>214</v>
      </c>
      <c r="T123" s="90"/>
      <c r="U123" s="140" t="s">
        <v>214</v>
      </c>
      <c r="V123" s="90"/>
      <c r="W123" s="140" t="s">
        <v>214</v>
      </c>
      <c r="X123" s="90"/>
      <c r="Y123" s="140" t="s">
        <v>214</v>
      </c>
      <c r="Z123" s="90"/>
      <c r="AA123" s="140" t="s">
        <v>214</v>
      </c>
      <c r="AB123" s="90"/>
      <c r="AC123" s="140" t="s">
        <v>214</v>
      </c>
      <c r="AD123" s="90"/>
      <c r="AE123" s="140" t="s">
        <v>207</v>
      </c>
      <c r="AF123" s="178" t="str">
        <f t="shared" si="3"/>
        <v>NC</v>
      </c>
      <c r="AG123" s="52" t="str">
        <f t="shared" si="4"/>
        <v>UTILIZOU O PDA CORRETAMENTE. NÃO HÁ FOTOS DE TODAS AS ETAPAS</v>
      </c>
      <c r="AH123" s="140"/>
      <c r="AI123" s="182" t="s">
        <v>36</v>
      </c>
      <c r="AJ123" s="93" t="str">
        <f t="shared" si="5"/>
        <v>SÃO PAULO</v>
      </c>
      <c r="AK123" s="183" t="s">
        <v>54</v>
      </c>
    </row>
    <row r="124" spans="1:37" ht="30" customHeight="1">
      <c r="A124" s="198" t="s">
        <v>198</v>
      </c>
      <c r="B124" s="198">
        <v>2618460727</v>
      </c>
      <c r="C124" s="198" t="s">
        <v>118</v>
      </c>
      <c r="D124" s="198" t="s">
        <v>96</v>
      </c>
      <c r="E124" s="198" t="s">
        <v>35</v>
      </c>
      <c r="F124" s="198" t="s">
        <v>334</v>
      </c>
      <c r="G124" s="198">
        <v>634</v>
      </c>
      <c r="H124" s="198" t="s">
        <v>208</v>
      </c>
      <c r="I124" s="198" t="s">
        <v>451</v>
      </c>
      <c r="J124" s="198" t="s">
        <v>267</v>
      </c>
      <c r="K124" s="198" t="s">
        <v>452</v>
      </c>
      <c r="L124" s="199">
        <v>46147.173611111109</v>
      </c>
      <c r="M124" s="199">
        <v>46147.177083333336</v>
      </c>
      <c r="N124" s="198" t="s">
        <v>288</v>
      </c>
      <c r="O124" s="152" t="s">
        <v>207</v>
      </c>
      <c r="P124" s="90"/>
      <c r="Q124" s="140" t="s">
        <v>214</v>
      </c>
      <c r="R124" s="90"/>
      <c r="S124" s="140" t="s">
        <v>214</v>
      </c>
      <c r="T124" s="90"/>
      <c r="U124" s="140" t="s">
        <v>215</v>
      </c>
      <c r="V124" s="90" t="s">
        <v>453</v>
      </c>
      <c r="W124" s="140" t="s">
        <v>207</v>
      </c>
      <c r="X124" s="90"/>
      <c r="Y124" s="140" t="s">
        <v>77</v>
      </c>
      <c r="Z124" s="90"/>
      <c r="AA124" s="140" t="s">
        <v>214</v>
      </c>
      <c r="AB124" s="90"/>
      <c r="AC124" s="140" t="s">
        <v>214</v>
      </c>
      <c r="AD124" s="90"/>
      <c r="AE124" s="140" t="s">
        <v>207</v>
      </c>
      <c r="AF124" s="178" t="str">
        <f t="shared" si="3"/>
        <v>NC</v>
      </c>
      <c r="AG124" s="52" t="str">
        <f t="shared" si="4"/>
        <v>UTILIZOU O PDA CORRETAMENTE. NÃO HÁ FOTOS DE TODAS AS ETAPAS</v>
      </c>
      <c r="AH124" s="140"/>
      <c r="AI124" s="182" t="s">
        <v>36</v>
      </c>
      <c r="AJ124" s="93" t="str">
        <f t="shared" si="5"/>
        <v>SÃO PAULO</v>
      </c>
      <c r="AK124" s="183" t="s">
        <v>54</v>
      </c>
    </row>
    <row r="125" spans="1:37" ht="30" customHeight="1">
      <c r="A125" s="198" t="s">
        <v>198</v>
      </c>
      <c r="B125" s="198">
        <v>2618540683</v>
      </c>
      <c r="C125" s="198" t="s">
        <v>122</v>
      </c>
      <c r="D125" s="198" t="s">
        <v>96</v>
      </c>
      <c r="E125" s="198" t="s">
        <v>35</v>
      </c>
      <c r="F125" s="198" t="s">
        <v>454</v>
      </c>
      <c r="G125" s="198">
        <v>2</v>
      </c>
      <c r="H125" s="198" t="s">
        <v>208</v>
      </c>
      <c r="I125" s="198" t="s">
        <v>455</v>
      </c>
      <c r="J125" s="198" t="s">
        <v>267</v>
      </c>
      <c r="K125" s="198" t="s">
        <v>456</v>
      </c>
      <c r="L125" s="199">
        <v>46147.501388888886</v>
      </c>
      <c r="M125" s="199">
        <v>46147.503472222219</v>
      </c>
      <c r="N125" s="198" t="s">
        <v>323</v>
      </c>
      <c r="O125" s="152" t="s">
        <v>77</v>
      </c>
      <c r="P125" s="90"/>
      <c r="Q125" s="152" t="s">
        <v>77</v>
      </c>
      <c r="R125" s="90"/>
      <c r="S125" s="152" t="s">
        <v>77</v>
      </c>
      <c r="T125" s="90"/>
      <c r="U125" s="152" t="s">
        <v>77</v>
      </c>
      <c r="V125" s="90"/>
      <c r="W125" s="152" t="s">
        <v>77</v>
      </c>
      <c r="X125" s="90"/>
      <c r="Y125" s="152" t="s">
        <v>77</v>
      </c>
      <c r="Z125" s="90"/>
      <c r="AA125" s="152" t="s">
        <v>77</v>
      </c>
      <c r="AB125" s="90"/>
      <c r="AC125" s="152" t="s">
        <v>77</v>
      </c>
      <c r="AD125" s="90"/>
      <c r="AE125" s="140" t="s">
        <v>77</v>
      </c>
      <c r="AF125" s="178" t="str">
        <f t="shared" si="3"/>
        <v>NA</v>
      </c>
      <c r="AG125" s="52" t="str">
        <f t="shared" si="4"/>
        <v>NÃO AVALIADO POR FALHA DE SINCRONISMO</v>
      </c>
      <c r="AH125" s="140"/>
      <c r="AI125" s="182" t="s">
        <v>36</v>
      </c>
      <c r="AJ125" s="93" t="str">
        <f t="shared" si="5"/>
        <v>SÃO PAULO</v>
      </c>
      <c r="AK125" s="183" t="s">
        <v>54</v>
      </c>
    </row>
    <row r="126" spans="1:37" ht="30" customHeight="1">
      <c r="A126" s="198" t="s">
        <v>198</v>
      </c>
      <c r="B126" s="198">
        <v>2692270899</v>
      </c>
      <c r="C126" s="198" t="s">
        <v>117</v>
      </c>
      <c r="D126" s="198" t="s">
        <v>96</v>
      </c>
      <c r="E126" s="198" t="s">
        <v>35</v>
      </c>
      <c r="F126" s="198" t="s">
        <v>457</v>
      </c>
      <c r="G126" s="198">
        <v>454</v>
      </c>
      <c r="H126" s="198" t="s">
        <v>200</v>
      </c>
      <c r="I126" s="198" t="s">
        <v>417</v>
      </c>
      <c r="J126" s="198" t="s">
        <v>267</v>
      </c>
      <c r="K126" s="198" t="s">
        <v>200</v>
      </c>
      <c r="L126" s="199">
        <v>46147.334722222222</v>
      </c>
      <c r="M126" s="199">
        <v>46147.336805555555</v>
      </c>
      <c r="N126" s="198" t="s">
        <v>345</v>
      </c>
      <c r="O126" s="152" t="s">
        <v>77</v>
      </c>
      <c r="P126" s="90"/>
      <c r="Q126" s="152" t="s">
        <v>77</v>
      </c>
      <c r="R126" s="90"/>
      <c r="S126" s="152" t="s">
        <v>77</v>
      </c>
      <c r="T126" s="90"/>
      <c r="U126" s="152" t="s">
        <v>77</v>
      </c>
      <c r="V126" s="90"/>
      <c r="W126" s="152" t="s">
        <v>77</v>
      </c>
      <c r="X126" s="90"/>
      <c r="Y126" s="152" t="s">
        <v>77</v>
      </c>
      <c r="Z126" s="90"/>
      <c r="AA126" s="152" t="s">
        <v>77</v>
      </c>
      <c r="AB126" s="90"/>
      <c r="AC126" s="152" t="s">
        <v>77</v>
      </c>
      <c r="AD126" s="90"/>
      <c r="AE126" s="140" t="s">
        <v>77</v>
      </c>
      <c r="AF126" s="178" t="str">
        <f t="shared" si="3"/>
        <v>NA</v>
      </c>
      <c r="AG126" s="52" t="str">
        <f t="shared" si="4"/>
        <v>NÃO AVALIADO POR FALHA DE SINCRONISMO</v>
      </c>
      <c r="AH126" s="140"/>
      <c r="AI126" s="182" t="s">
        <v>36</v>
      </c>
      <c r="AJ126" s="93" t="str">
        <f t="shared" si="5"/>
        <v>SÃO PAULO</v>
      </c>
      <c r="AK126" s="183" t="s">
        <v>54</v>
      </c>
    </row>
    <row r="127" spans="1:37" ht="30" customHeight="1">
      <c r="A127" s="198" t="s">
        <v>198</v>
      </c>
      <c r="B127" s="198">
        <v>2618506747</v>
      </c>
      <c r="C127" s="198" t="s">
        <v>120</v>
      </c>
      <c r="D127" s="198" t="s">
        <v>96</v>
      </c>
      <c r="E127" s="198" t="s">
        <v>35</v>
      </c>
      <c r="F127" s="198" t="s">
        <v>458</v>
      </c>
      <c r="G127" s="198">
        <v>263</v>
      </c>
      <c r="H127" s="198" t="s">
        <v>459</v>
      </c>
      <c r="I127" s="198" t="s">
        <v>460</v>
      </c>
      <c r="J127" s="198" t="s">
        <v>336</v>
      </c>
      <c r="K127" s="198"/>
      <c r="L127" s="199">
        <v>46147.376388888886</v>
      </c>
      <c r="M127" s="199">
        <v>46147.378472222219</v>
      </c>
      <c r="N127" s="198" t="s">
        <v>262</v>
      </c>
      <c r="O127" s="152" t="s">
        <v>77</v>
      </c>
      <c r="P127" s="90"/>
      <c r="Q127" s="152" t="s">
        <v>77</v>
      </c>
      <c r="R127" s="90"/>
      <c r="S127" s="152" t="s">
        <v>77</v>
      </c>
      <c r="T127" s="90"/>
      <c r="U127" s="152" t="s">
        <v>77</v>
      </c>
      <c r="V127" s="90"/>
      <c r="W127" s="152" t="s">
        <v>77</v>
      </c>
      <c r="X127" s="90"/>
      <c r="Y127" s="152" t="s">
        <v>77</v>
      </c>
      <c r="Z127" s="90"/>
      <c r="AA127" s="152" t="s">
        <v>77</v>
      </c>
      <c r="AB127" s="90"/>
      <c r="AC127" s="152" t="s">
        <v>77</v>
      </c>
      <c r="AD127" s="90"/>
      <c r="AE127" s="140" t="s">
        <v>77</v>
      </c>
      <c r="AF127" s="178" t="str">
        <f t="shared" si="3"/>
        <v>NA</v>
      </c>
      <c r="AG127" s="52" t="str">
        <f t="shared" si="4"/>
        <v>NÃO AVALIADO POR FALHA DE SINCRONISMO</v>
      </c>
      <c r="AH127" s="140"/>
      <c r="AI127" s="182" t="s">
        <v>36</v>
      </c>
      <c r="AJ127" s="93" t="str">
        <f t="shared" si="5"/>
        <v>SÃO PAULO</v>
      </c>
      <c r="AK127" s="183" t="s">
        <v>54</v>
      </c>
    </row>
    <row r="128" spans="1:37" ht="30" customHeight="1">
      <c r="A128" s="198" t="s">
        <v>198</v>
      </c>
      <c r="B128" s="198">
        <v>2618607184</v>
      </c>
      <c r="C128" s="198" t="s">
        <v>121</v>
      </c>
      <c r="D128" s="198" t="s">
        <v>96</v>
      </c>
      <c r="E128" s="198" t="s">
        <v>35</v>
      </c>
      <c r="F128" s="198" t="s">
        <v>387</v>
      </c>
      <c r="G128" s="198">
        <v>20</v>
      </c>
      <c r="H128" s="198" t="s">
        <v>461</v>
      </c>
      <c r="I128" s="198" t="s">
        <v>277</v>
      </c>
      <c r="J128" s="198" t="s">
        <v>336</v>
      </c>
      <c r="K128" s="198" t="s">
        <v>462</v>
      </c>
      <c r="L128" s="199">
        <v>46147.418055555558</v>
      </c>
      <c r="M128" s="199">
        <v>46147.418749999997</v>
      </c>
      <c r="N128" s="198" t="s">
        <v>323</v>
      </c>
      <c r="O128" s="152" t="s">
        <v>77</v>
      </c>
      <c r="P128" s="90"/>
      <c r="Q128" s="152" t="s">
        <v>77</v>
      </c>
      <c r="R128" s="90"/>
      <c r="S128" s="152" t="s">
        <v>77</v>
      </c>
      <c r="T128" s="90"/>
      <c r="U128" s="152" t="s">
        <v>77</v>
      </c>
      <c r="V128" s="90"/>
      <c r="W128" s="152" t="s">
        <v>77</v>
      </c>
      <c r="X128" s="90"/>
      <c r="Y128" s="152" t="s">
        <v>77</v>
      </c>
      <c r="Z128" s="90"/>
      <c r="AA128" s="152" t="s">
        <v>77</v>
      </c>
      <c r="AB128" s="90"/>
      <c r="AC128" s="152" t="s">
        <v>77</v>
      </c>
      <c r="AD128" s="90"/>
      <c r="AE128" s="140" t="s">
        <v>77</v>
      </c>
      <c r="AF128" s="178" t="str">
        <f t="shared" si="3"/>
        <v>NA</v>
      </c>
      <c r="AG128" s="52" t="str">
        <f t="shared" si="4"/>
        <v>NÃO AVALIADO POR FALHA DE SINCRONISMO</v>
      </c>
      <c r="AH128" s="140"/>
      <c r="AI128" s="182" t="s">
        <v>36</v>
      </c>
      <c r="AJ128" s="93" t="str">
        <f t="shared" si="5"/>
        <v>SÃO PAULO</v>
      </c>
      <c r="AK128" s="183" t="s">
        <v>54</v>
      </c>
    </row>
    <row r="129" spans="1:37" ht="30" customHeight="1">
      <c r="A129" s="198" t="s">
        <v>198</v>
      </c>
      <c r="B129" s="198">
        <v>2618607051</v>
      </c>
      <c r="C129" s="198" t="s">
        <v>116</v>
      </c>
      <c r="D129" s="198" t="s">
        <v>94</v>
      </c>
      <c r="E129" s="198" t="s">
        <v>35</v>
      </c>
      <c r="F129" s="198" t="s">
        <v>387</v>
      </c>
      <c r="G129" s="198">
        <v>18</v>
      </c>
      <c r="H129" s="198" t="s">
        <v>207</v>
      </c>
      <c r="I129" s="198" t="s">
        <v>277</v>
      </c>
      <c r="J129" s="198" t="s">
        <v>221</v>
      </c>
      <c r="K129" s="198" t="s">
        <v>463</v>
      </c>
      <c r="L129" s="199">
        <v>46147.376388888886</v>
      </c>
      <c r="M129" s="199">
        <v>46147.377083333333</v>
      </c>
      <c r="N129" s="198" t="s">
        <v>323</v>
      </c>
      <c r="O129" s="152" t="s">
        <v>77</v>
      </c>
      <c r="P129" s="90"/>
      <c r="Q129" s="140" t="s">
        <v>77</v>
      </c>
      <c r="R129" s="90"/>
      <c r="S129" s="140" t="s">
        <v>77</v>
      </c>
      <c r="T129" s="90"/>
      <c r="U129" s="140" t="s">
        <v>77</v>
      </c>
      <c r="V129" s="90"/>
      <c r="W129" s="140" t="s">
        <v>77</v>
      </c>
      <c r="X129" s="90"/>
      <c r="Y129" s="140" t="s">
        <v>77</v>
      </c>
      <c r="Z129" s="90"/>
      <c r="AA129" s="140" t="s">
        <v>77</v>
      </c>
      <c r="AB129" s="90"/>
      <c r="AC129" s="140" t="s">
        <v>77</v>
      </c>
      <c r="AD129" s="90"/>
      <c r="AE129" s="140" t="s">
        <v>77</v>
      </c>
      <c r="AF129" s="178" t="str">
        <f t="shared" si="3"/>
        <v>NA</v>
      </c>
      <c r="AG129" s="52" t="str">
        <f t="shared" si="4"/>
        <v>NÃO AVALIADO POR FALHA DE SINCRONISMO</v>
      </c>
      <c r="AH129" s="140" t="s">
        <v>207</v>
      </c>
      <c r="AI129" s="182" t="s">
        <v>36</v>
      </c>
      <c r="AJ129" s="93" t="str">
        <f t="shared" si="5"/>
        <v>SÃO PAULO</v>
      </c>
      <c r="AK129" s="183" t="s">
        <v>54</v>
      </c>
    </row>
    <row r="130" spans="1:37" ht="30" customHeight="1">
      <c r="A130" s="198" t="s">
        <v>198</v>
      </c>
      <c r="B130" s="198">
        <v>2618618895</v>
      </c>
      <c r="C130" s="198" t="s">
        <v>120</v>
      </c>
      <c r="D130" s="198" t="s">
        <v>96</v>
      </c>
      <c r="E130" s="198" t="s">
        <v>35</v>
      </c>
      <c r="F130" s="198" t="s">
        <v>464</v>
      </c>
      <c r="G130" s="198">
        <v>13</v>
      </c>
      <c r="H130" s="198" t="s">
        <v>200</v>
      </c>
      <c r="I130" s="198" t="s">
        <v>230</v>
      </c>
      <c r="J130" s="198" t="s">
        <v>202</v>
      </c>
      <c r="K130" s="198" t="s">
        <v>200</v>
      </c>
      <c r="L130" s="199">
        <v>46147.416666666664</v>
      </c>
      <c r="M130" s="199">
        <v>46147.417361111111</v>
      </c>
      <c r="N130" s="198" t="s">
        <v>465</v>
      </c>
      <c r="O130" s="152" t="s">
        <v>77</v>
      </c>
      <c r="P130" s="90"/>
      <c r="Q130" s="152" t="s">
        <v>77</v>
      </c>
      <c r="R130" s="90"/>
      <c r="S130" s="152" t="s">
        <v>77</v>
      </c>
      <c r="T130" s="90"/>
      <c r="U130" s="152" t="s">
        <v>77</v>
      </c>
      <c r="V130" s="90"/>
      <c r="W130" s="152" t="s">
        <v>77</v>
      </c>
      <c r="X130" s="90"/>
      <c r="Y130" s="152" t="s">
        <v>77</v>
      </c>
      <c r="Z130" s="90"/>
      <c r="AA130" s="152" t="s">
        <v>77</v>
      </c>
      <c r="AB130" s="90"/>
      <c r="AC130" s="152" t="s">
        <v>77</v>
      </c>
      <c r="AD130" s="90"/>
      <c r="AE130" s="140" t="s">
        <v>77</v>
      </c>
      <c r="AF130" s="178" t="str">
        <f t="shared" si="3"/>
        <v>NA</v>
      </c>
      <c r="AG130" s="52" t="str">
        <f t="shared" si="4"/>
        <v>NÃO AVALIADO POR FALHA DE SINCRONISMO</v>
      </c>
      <c r="AH130" s="140"/>
      <c r="AI130" s="182" t="s">
        <v>36</v>
      </c>
      <c r="AJ130" s="93" t="str">
        <f t="shared" si="5"/>
        <v>SÃO PAULO</v>
      </c>
      <c r="AK130" s="183" t="s">
        <v>54</v>
      </c>
    </row>
    <row r="131" spans="1:37" ht="30" customHeight="1">
      <c r="A131" s="198" t="s">
        <v>198</v>
      </c>
      <c r="B131" s="198">
        <v>2618602897</v>
      </c>
      <c r="C131" s="198" t="s">
        <v>120</v>
      </c>
      <c r="D131" s="198" t="s">
        <v>96</v>
      </c>
      <c r="E131" s="198" t="s">
        <v>35</v>
      </c>
      <c r="F131" s="198" t="s">
        <v>466</v>
      </c>
      <c r="G131" s="198">
        <v>106</v>
      </c>
      <c r="H131" s="198"/>
      <c r="I131" s="198" t="s">
        <v>467</v>
      </c>
      <c r="J131" s="198" t="s">
        <v>202</v>
      </c>
      <c r="K131" s="198"/>
      <c r="L131" s="199">
        <v>46147.15625</v>
      </c>
      <c r="M131" s="199">
        <v>46147.173611111109</v>
      </c>
      <c r="N131" s="198" t="s">
        <v>251</v>
      </c>
      <c r="O131" s="152" t="s">
        <v>77</v>
      </c>
      <c r="P131" s="90"/>
      <c r="Q131" s="152" t="s">
        <v>77</v>
      </c>
      <c r="R131" s="90"/>
      <c r="S131" s="152" t="s">
        <v>77</v>
      </c>
      <c r="T131" s="90"/>
      <c r="U131" s="152" t="s">
        <v>77</v>
      </c>
      <c r="V131" s="90"/>
      <c r="W131" s="152" t="s">
        <v>77</v>
      </c>
      <c r="X131" s="90"/>
      <c r="Y131" s="152" t="s">
        <v>77</v>
      </c>
      <c r="Z131" s="90"/>
      <c r="AA131" s="152" t="s">
        <v>77</v>
      </c>
      <c r="AB131" s="90"/>
      <c r="AC131" s="152" t="s">
        <v>77</v>
      </c>
      <c r="AD131" s="90"/>
      <c r="AE131" s="140" t="s">
        <v>77</v>
      </c>
      <c r="AF131" s="178" t="str">
        <f t="shared" ref="AF131:AF194" si="6">IF(AND(O131="",Q131="",S131="",U131="",W131="",Y131="",AA131="",AC131=""),"",IF(OR(AND(O131&lt;&gt;"NA",O131&lt;&gt;"C",O131&lt;&gt;"NC",O131&lt;&gt;"SF",O131&lt;&gt;""),AND(Q131&lt;&gt;"NA",Q131&lt;&gt;"C",Q131&lt;&gt;"NC",Q131&lt;&gt;"SF",Q131&lt;&gt;""),AND(S131&lt;&gt;"NA",S131&lt;&gt;"C",S131&lt;&gt;"NC",S131&lt;&gt;"SF",S131&lt;&gt;""),AND(U131&lt;&gt;"NA",U131&lt;&gt;"C",U131&lt;&gt;"NC",U131&lt;&gt;"SF",U131&lt;&gt;""),AND(W131&lt;&gt;"NA",W131&lt;&gt;"C",W131&lt;&gt;"NC",W131&lt;&gt;"SF",W131&lt;&gt;""),AND(Y131&lt;&gt;"NA",Y131&lt;&gt;"C",Y131&lt;&gt;"NC",Y131&lt;&gt;"SF",Y131&lt;&gt;""),AND(AA131&lt;&gt;"NA",AA131&lt;&gt;"C",AA131&lt;&gt;"NC",AA131&lt;&gt;"SF",AA131&lt;&gt;""),AND(AC131&lt;&gt;"NA",AC131&lt;&gt;"C",AC131&lt;&gt;"NC",AC131&lt;&gt;"SF",AC131&lt;&gt;"")),"FALSO",IF(AND(O131="NA",Q131="NA",S131="NA",U131="NA",W131="NA",Y131="NA",AA131="NA",AC131="NA"),"NA",IF(OR(O131="NC",Q131="NC",S131="NC",U131="NC",W131="NC",Y131="NC",AA131="NC",AC131="NC",O131="SF",Q131="SF",S131="SF",U131="SF",W131="SF",Y131="SF",AA131="SF",AC131="SF"),"NC",IF(OR(O131="C",Q131="C",S131="C",U131="C",W131="C",Y131="C",AA131="C",AC131="C"),"C","")))))</f>
        <v>NA</v>
      </c>
      <c r="AG131" s="52" t="str">
        <f t="shared" ref="AG131:AG194" si="7">IF(AND(AE131="C",AF131="C"),"UTILIZOU O PDA CORRETAMENTE",IF(AND(AE131="C",AF131="NC"),"UTILIZOU O PDA CORRETAMENTE. NÃO HÁ FOTOS DE TODAS AS ETAPAS",IF(AND(AE131="NC",AF131="NC"),"NÃO UTILIZOU O PDA",IF(AND(AE131="NA",AF131="NA"),"NÃO AVALIADO POR FALHA DE SINCRONISMO"))))</f>
        <v>NÃO AVALIADO POR FALHA DE SINCRONISMO</v>
      </c>
      <c r="AH131" s="140"/>
      <c r="AI131" s="182" t="s">
        <v>36</v>
      </c>
      <c r="AJ131" s="93" t="str">
        <f t="shared" ref="AJ131:AJ194" si="8">E131</f>
        <v>SÃO PAULO</v>
      </c>
      <c r="AK131" s="183" t="s">
        <v>54</v>
      </c>
    </row>
    <row r="132" spans="1:37" ht="30" customHeight="1">
      <c r="A132" s="198" t="s">
        <v>198</v>
      </c>
      <c r="B132" s="198">
        <v>2692403412</v>
      </c>
      <c r="C132" s="198" t="s">
        <v>118</v>
      </c>
      <c r="D132" s="198" t="s">
        <v>96</v>
      </c>
      <c r="E132" s="198" t="s">
        <v>35</v>
      </c>
      <c r="F132" s="198" t="s">
        <v>468</v>
      </c>
      <c r="G132" s="198">
        <v>67</v>
      </c>
      <c r="H132" s="198" t="s">
        <v>200</v>
      </c>
      <c r="I132" s="198" t="s">
        <v>467</v>
      </c>
      <c r="J132" s="198" t="s">
        <v>267</v>
      </c>
      <c r="K132" s="198" t="s">
        <v>200</v>
      </c>
      <c r="L132" s="199">
        <v>46147.273611111108</v>
      </c>
      <c r="M132" s="199">
        <v>46147.293749999997</v>
      </c>
      <c r="N132" s="198" t="s">
        <v>251</v>
      </c>
      <c r="O132" s="152" t="s">
        <v>207</v>
      </c>
      <c r="P132" s="90"/>
      <c r="Q132" s="140" t="s">
        <v>207</v>
      </c>
      <c r="R132" s="90"/>
      <c r="S132" s="140" t="s">
        <v>214</v>
      </c>
      <c r="T132" s="90"/>
      <c r="U132" s="140" t="s">
        <v>207</v>
      </c>
      <c r="V132" s="90"/>
      <c r="W132" s="140" t="s">
        <v>214</v>
      </c>
      <c r="X132" s="90"/>
      <c r="Y132" s="140" t="s">
        <v>77</v>
      </c>
      <c r="Z132" s="90"/>
      <c r="AA132" s="140" t="s">
        <v>214</v>
      </c>
      <c r="AB132" s="90"/>
      <c r="AC132" s="140" t="s">
        <v>215</v>
      </c>
      <c r="AD132" s="90" t="s">
        <v>469</v>
      </c>
      <c r="AE132" s="140" t="s">
        <v>207</v>
      </c>
      <c r="AF132" s="178" t="str">
        <f t="shared" si="6"/>
        <v>NC</v>
      </c>
      <c r="AG132" s="52" t="str">
        <f t="shared" si="7"/>
        <v>UTILIZOU O PDA CORRETAMENTE. NÃO HÁ FOTOS DE TODAS AS ETAPAS</v>
      </c>
      <c r="AH132" s="140" t="s">
        <v>207</v>
      </c>
      <c r="AI132" s="182" t="s">
        <v>36</v>
      </c>
      <c r="AJ132" s="93" t="str">
        <f t="shared" si="8"/>
        <v>SÃO PAULO</v>
      </c>
      <c r="AK132" s="183" t="s">
        <v>54</v>
      </c>
    </row>
    <row r="133" spans="1:37" ht="30" customHeight="1">
      <c r="A133" s="198" t="s">
        <v>198</v>
      </c>
      <c r="B133" s="198">
        <v>2618496092</v>
      </c>
      <c r="C133" s="198" t="s">
        <v>223</v>
      </c>
      <c r="D133" s="198" t="s">
        <v>96</v>
      </c>
      <c r="E133" s="198" t="s">
        <v>35</v>
      </c>
      <c r="F133" s="198" t="s">
        <v>470</v>
      </c>
      <c r="G133" s="198">
        <v>29</v>
      </c>
      <c r="H133" s="198"/>
      <c r="I133" s="198" t="s">
        <v>471</v>
      </c>
      <c r="J133" s="198" t="s">
        <v>226</v>
      </c>
      <c r="K133" s="198"/>
      <c r="L133" s="199">
        <v>46147.143750000003</v>
      </c>
      <c r="M133" s="199">
        <v>46147.145138888889</v>
      </c>
      <c r="N133" s="198" t="s">
        <v>251</v>
      </c>
      <c r="O133" s="152" t="s">
        <v>207</v>
      </c>
      <c r="P133" s="90"/>
      <c r="Q133" s="140" t="s">
        <v>77</v>
      </c>
      <c r="R133" s="90"/>
      <c r="S133" s="140" t="s">
        <v>77</v>
      </c>
      <c r="T133" s="90"/>
      <c r="U133" s="140" t="s">
        <v>77</v>
      </c>
      <c r="V133" s="90"/>
      <c r="W133" s="140" t="s">
        <v>77</v>
      </c>
      <c r="X133" s="90"/>
      <c r="Y133" s="140" t="s">
        <v>77</v>
      </c>
      <c r="Z133" s="90"/>
      <c r="AA133" s="140" t="s">
        <v>77</v>
      </c>
      <c r="AB133" s="90"/>
      <c r="AC133" s="140" t="s">
        <v>207</v>
      </c>
      <c r="AD133" s="90"/>
      <c r="AE133" s="140" t="s">
        <v>207</v>
      </c>
      <c r="AF133" s="178" t="str">
        <f t="shared" si="6"/>
        <v>C</v>
      </c>
      <c r="AG133" s="52" t="str">
        <f t="shared" si="7"/>
        <v>UTILIZOU O PDA CORRETAMENTE</v>
      </c>
      <c r="AH133" s="140"/>
      <c r="AI133" s="182" t="s">
        <v>36</v>
      </c>
      <c r="AJ133" s="93" t="str">
        <f t="shared" si="8"/>
        <v>SÃO PAULO</v>
      </c>
      <c r="AK133" s="183" t="s">
        <v>54</v>
      </c>
    </row>
    <row r="134" spans="1:37" ht="30" customHeight="1">
      <c r="A134" s="198" t="s">
        <v>198</v>
      </c>
      <c r="B134" s="198">
        <v>2618659965</v>
      </c>
      <c r="C134" s="198" t="s">
        <v>116</v>
      </c>
      <c r="D134" s="198" t="s">
        <v>94</v>
      </c>
      <c r="E134" s="198" t="s">
        <v>35</v>
      </c>
      <c r="F134" s="198" t="s">
        <v>432</v>
      </c>
      <c r="G134" s="198">
        <v>144</v>
      </c>
      <c r="H134" s="198" t="s">
        <v>200</v>
      </c>
      <c r="I134" s="198" t="s">
        <v>433</v>
      </c>
      <c r="J134" s="198" t="s">
        <v>221</v>
      </c>
      <c r="K134" s="198" t="s">
        <v>200</v>
      </c>
      <c r="L134" s="199">
        <v>46147.135416666664</v>
      </c>
      <c r="M134" s="199">
        <v>46147.136805555558</v>
      </c>
      <c r="N134" s="198" t="s">
        <v>364</v>
      </c>
      <c r="O134" s="152" t="s">
        <v>207</v>
      </c>
      <c r="P134" s="90"/>
      <c r="Q134" s="140" t="s">
        <v>214</v>
      </c>
      <c r="R134" s="90"/>
      <c r="S134" s="140" t="s">
        <v>214</v>
      </c>
      <c r="T134" s="90"/>
      <c r="U134" s="140" t="s">
        <v>207</v>
      </c>
      <c r="V134" s="90"/>
      <c r="W134" s="140" t="s">
        <v>214</v>
      </c>
      <c r="X134" s="90"/>
      <c r="Y134" s="140" t="s">
        <v>214</v>
      </c>
      <c r="Z134" s="90"/>
      <c r="AA134" s="140" t="s">
        <v>214</v>
      </c>
      <c r="AB134" s="90"/>
      <c r="AC134" s="140" t="s">
        <v>214</v>
      </c>
      <c r="AD134" s="90"/>
      <c r="AE134" s="140" t="s">
        <v>207</v>
      </c>
      <c r="AF134" s="178" t="str">
        <f t="shared" si="6"/>
        <v>NC</v>
      </c>
      <c r="AG134" s="52" t="str">
        <f t="shared" si="7"/>
        <v>UTILIZOU O PDA CORRETAMENTE. NÃO HÁ FOTOS DE TODAS AS ETAPAS</v>
      </c>
      <c r="AH134" s="140" t="s">
        <v>207</v>
      </c>
      <c r="AI134" s="182" t="s">
        <v>36</v>
      </c>
      <c r="AJ134" s="93" t="str">
        <f t="shared" si="8"/>
        <v>SÃO PAULO</v>
      </c>
      <c r="AK134" s="183" t="s">
        <v>54</v>
      </c>
    </row>
    <row r="135" spans="1:37" ht="30" customHeight="1">
      <c r="A135" s="198" t="s">
        <v>198</v>
      </c>
      <c r="B135" s="198">
        <v>2692417717</v>
      </c>
      <c r="C135" s="198" t="s">
        <v>122</v>
      </c>
      <c r="D135" s="198" t="s">
        <v>96</v>
      </c>
      <c r="E135" s="198" t="s">
        <v>35</v>
      </c>
      <c r="F135" s="198" t="s">
        <v>286</v>
      </c>
      <c r="G135" s="198">
        <v>4387</v>
      </c>
      <c r="H135" s="198"/>
      <c r="I135" s="198" t="s">
        <v>287</v>
      </c>
      <c r="J135" s="198" t="s">
        <v>267</v>
      </c>
      <c r="K135" s="198" t="s">
        <v>472</v>
      </c>
      <c r="L135" s="199">
        <v>46147.252083333333</v>
      </c>
      <c r="M135" s="199">
        <v>46147.265972222223</v>
      </c>
      <c r="N135" s="198" t="s">
        <v>262</v>
      </c>
      <c r="O135" s="152" t="s">
        <v>207</v>
      </c>
      <c r="P135" s="90"/>
      <c r="Q135" s="140" t="s">
        <v>207</v>
      </c>
      <c r="R135" s="90"/>
      <c r="S135" s="140" t="s">
        <v>77</v>
      </c>
      <c r="T135" s="90"/>
      <c r="U135" s="140" t="s">
        <v>77</v>
      </c>
      <c r="V135" s="90"/>
      <c r="W135" s="140" t="s">
        <v>207</v>
      </c>
      <c r="X135" s="90"/>
      <c r="Y135" s="140" t="s">
        <v>77</v>
      </c>
      <c r="Z135" s="90"/>
      <c r="AA135" s="140" t="s">
        <v>214</v>
      </c>
      <c r="AB135" s="90"/>
      <c r="AC135" s="140" t="s">
        <v>207</v>
      </c>
      <c r="AD135" s="90"/>
      <c r="AE135" s="140" t="s">
        <v>207</v>
      </c>
      <c r="AF135" s="178" t="str">
        <f t="shared" si="6"/>
        <v>NC</v>
      </c>
      <c r="AG135" s="52" t="str">
        <f t="shared" si="7"/>
        <v>UTILIZOU O PDA CORRETAMENTE. NÃO HÁ FOTOS DE TODAS AS ETAPAS</v>
      </c>
      <c r="AH135" s="140"/>
      <c r="AI135" s="182" t="s">
        <v>36</v>
      </c>
      <c r="AJ135" s="93" t="str">
        <f t="shared" si="8"/>
        <v>SÃO PAULO</v>
      </c>
      <c r="AK135" s="183" t="s">
        <v>54</v>
      </c>
    </row>
    <row r="136" spans="1:37" ht="30" customHeight="1">
      <c r="A136" s="198" t="s">
        <v>198</v>
      </c>
      <c r="B136" s="198">
        <v>2618540004</v>
      </c>
      <c r="C136" s="198" t="s">
        <v>117</v>
      </c>
      <c r="D136" s="198" t="s">
        <v>96</v>
      </c>
      <c r="E136" s="198" t="s">
        <v>35</v>
      </c>
      <c r="F136" s="198" t="s">
        <v>383</v>
      </c>
      <c r="G136" s="198">
        <v>18</v>
      </c>
      <c r="H136" s="198" t="s">
        <v>208</v>
      </c>
      <c r="I136" s="198" t="s">
        <v>314</v>
      </c>
      <c r="J136" s="198" t="s">
        <v>301</v>
      </c>
      <c r="K136" s="198" t="s">
        <v>473</v>
      </c>
      <c r="L136" s="199">
        <v>46147.331944444442</v>
      </c>
      <c r="M136" s="199">
        <v>46147.338194444441</v>
      </c>
      <c r="N136" s="198" t="s">
        <v>288</v>
      </c>
      <c r="O136" s="152" t="s">
        <v>207</v>
      </c>
      <c r="P136" s="90"/>
      <c r="Q136" s="140" t="s">
        <v>214</v>
      </c>
      <c r="R136" s="90"/>
      <c r="S136" s="140" t="s">
        <v>214</v>
      </c>
      <c r="T136" s="90"/>
      <c r="U136" s="140" t="s">
        <v>215</v>
      </c>
      <c r="V136" s="90" t="s">
        <v>453</v>
      </c>
      <c r="W136" s="140" t="s">
        <v>207</v>
      </c>
      <c r="X136" s="90"/>
      <c r="Y136" s="140" t="s">
        <v>77</v>
      </c>
      <c r="Z136" s="90"/>
      <c r="AA136" s="140" t="s">
        <v>214</v>
      </c>
      <c r="AB136" s="90"/>
      <c r="AC136" s="140" t="s">
        <v>207</v>
      </c>
      <c r="AD136" s="90"/>
      <c r="AE136" s="140" t="s">
        <v>207</v>
      </c>
      <c r="AF136" s="178" t="str">
        <f t="shared" si="6"/>
        <v>NC</v>
      </c>
      <c r="AG136" s="52" t="str">
        <f t="shared" si="7"/>
        <v>UTILIZOU O PDA CORRETAMENTE. NÃO HÁ FOTOS DE TODAS AS ETAPAS</v>
      </c>
      <c r="AH136" s="140"/>
      <c r="AI136" s="182" t="s">
        <v>36</v>
      </c>
      <c r="AJ136" s="93" t="str">
        <f t="shared" si="8"/>
        <v>SÃO PAULO</v>
      </c>
      <c r="AK136" s="183" t="s">
        <v>54</v>
      </c>
    </row>
    <row r="137" spans="1:37" ht="30" customHeight="1">
      <c r="A137" s="198" t="s">
        <v>198</v>
      </c>
      <c r="B137" s="198">
        <v>2618440177</v>
      </c>
      <c r="C137" s="198" t="s">
        <v>105</v>
      </c>
      <c r="D137" s="198" t="s">
        <v>93</v>
      </c>
      <c r="E137" s="198" t="s">
        <v>35</v>
      </c>
      <c r="F137" s="198" t="s">
        <v>474</v>
      </c>
      <c r="G137" s="198">
        <v>187</v>
      </c>
      <c r="H137" s="198" t="s">
        <v>205</v>
      </c>
      <c r="I137" s="198" t="s">
        <v>475</v>
      </c>
      <c r="J137" s="198" t="s">
        <v>272</v>
      </c>
      <c r="K137" s="198"/>
      <c r="L137" s="199">
        <v>46147.127083333333</v>
      </c>
      <c r="M137" s="199">
        <v>46147.18472222222</v>
      </c>
      <c r="N137" s="198" t="s">
        <v>235</v>
      </c>
      <c r="O137" s="152" t="s">
        <v>207</v>
      </c>
      <c r="P137" s="90"/>
      <c r="Q137" s="140" t="s">
        <v>214</v>
      </c>
      <c r="R137" s="90"/>
      <c r="S137" s="140" t="s">
        <v>214</v>
      </c>
      <c r="T137" s="90"/>
      <c r="U137" s="140" t="s">
        <v>214</v>
      </c>
      <c r="V137" s="90"/>
      <c r="W137" s="140" t="s">
        <v>207</v>
      </c>
      <c r="X137" s="90"/>
      <c r="Y137" s="140" t="s">
        <v>77</v>
      </c>
      <c r="Z137" s="90"/>
      <c r="AA137" s="140" t="s">
        <v>214</v>
      </c>
      <c r="AB137" s="90"/>
      <c r="AC137" s="140" t="s">
        <v>215</v>
      </c>
      <c r="AD137" s="90" t="s">
        <v>216</v>
      </c>
      <c r="AE137" s="140" t="s">
        <v>207</v>
      </c>
      <c r="AF137" s="178" t="str">
        <f t="shared" si="6"/>
        <v>NC</v>
      </c>
      <c r="AG137" s="52" t="str">
        <f t="shared" si="7"/>
        <v>UTILIZOU O PDA CORRETAMENTE. NÃO HÁ FOTOS DE TODAS AS ETAPAS</v>
      </c>
      <c r="AH137" s="140" t="s">
        <v>207</v>
      </c>
      <c r="AI137" s="182" t="s">
        <v>36</v>
      </c>
      <c r="AJ137" s="93" t="str">
        <f t="shared" si="8"/>
        <v>SÃO PAULO</v>
      </c>
      <c r="AK137" s="183" t="s">
        <v>54</v>
      </c>
    </row>
    <row r="138" spans="1:37" ht="30" customHeight="1">
      <c r="A138" s="198" t="s">
        <v>198</v>
      </c>
      <c r="B138" s="198">
        <v>2692286967</v>
      </c>
      <c r="C138" s="198" t="s">
        <v>114</v>
      </c>
      <c r="D138" s="198" t="s">
        <v>96</v>
      </c>
      <c r="E138" s="198" t="s">
        <v>35</v>
      </c>
      <c r="F138" s="198" t="s">
        <v>476</v>
      </c>
      <c r="G138" s="198">
        <v>869</v>
      </c>
      <c r="H138" s="198" t="s">
        <v>200</v>
      </c>
      <c r="I138" s="198" t="s">
        <v>440</v>
      </c>
      <c r="J138" s="198" t="s">
        <v>260</v>
      </c>
      <c r="K138" s="198" t="s">
        <v>200</v>
      </c>
      <c r="L138" s="199">
        <v>46147.361805555556</v>
      </c>
      <c r="M138" s="199">
        <v>46147.366666666669</v>
      </c>
      <c r="N138" s="198" t="s">
        <v>222</v>
      </c>
      <c r="O138" s="152" t="s">
        <v>207</v>
      </c>
      <c r="P138" s="90"/>
      <c r="Q138" s="140" t="s">
        <v>215</v>
      </c>
      <c r="R138" s="90" t="s">
        <v>477</v>
      </c>
      <c r="S138" s="140" t="s">
        <v>214</v>
      </c>
      <c r="T138" s="90"/>
      <c r="U138" s="140" t="s">
        <v>214</v>
      </c>
      <c r="V138" s="90"/>
      <c r="W138" s="140" t="s">
        <v>207</v>
      </c>
      <c r="X138" s="90"/>
      <c r="Y138" s="140" t="s">
        <v>214</v>
      </c>
      <c r="Z138" s="90"/>
      <c r="AA138" s="140" t="s">
        <v>214</v>
      </c>
      <c r="AB138" s="90"/>
      <c r="AC138" s="140" t="s">
        <v>214</v>
      </c>
      <c r="AD138" s="90"/>
      <c r="AE138" s="140" t="s">
        <v>207</v>
      </c>
      <c r="AF138" s="178" t="str">
        <f t="shared" si="6"/>
        <v>NC</v>
      </c>
      <c r="AG138" s="52" t="str">
        <f t="shared" si="7"/>
        <v>UTILIZOU O PDA CORRETAMENTE. NÃO HÁ FOTOS DE TODAS AS ETAPAS</v>
      </c>
      <c r="AH138" s="140" t="s">
        <v>207</v>
      </c>
      <c r="AI138" s="182" t="s">
        <v>36</v>
      </c>
      <c r="AJ138" s="93" t="str">
        <f t="shared" si="8"/>
        <v>SÃO PAULO</v>
      </c>
      <c r="AK138" s="183" t="s">
        <v>54</v>
      </c>
    </row>
    <row r="139" spans="1:37" ht="30" customHeight="1">
      <c r="A139" s="198" t="s">
        <v>198</v>
      </c>
      <c r="B139" s="198">
        <v>2618692484</v>
      </c>
      <c r="C139" s="198" t="s">
        <v>118</v>
      </c>
      <c r="D139" s="198" t="s">
        <v>96</v>
      </c>
      <c r="E139" s="198" t="s">
        <v>35</v>
      </c>
      <c r="F139" s="198" t="s">
        <v>478</v>
      </c>
      <c r="G139" s="198">
        <v>84</v>
      </c>
      <c r="H139" s="198" t="s">
        <v>208</v>
      </c>
      <c r="I139" s="198" t="s">
        <v>479</v>
      </c>
      <c r="J139" s="198" t="s">
        <v>315</v>
      </c>
      <c r="K139" s="198"/>
      <c r="L139" s="199">
        <v>46148.09097222222</v>
      </c>
      <c r="M139" s="199">
        <v>46148.231249999997</v>
      </c>
      <c r="N139" s="198" t="s">
        <v>295</v>
      </c>
      <c r="O139" s="152" t="s">
        <v>207</v>
      </c>
      <c r="P139" s="90"/>
      <c r="Q139" s="140" t="s">
        <v>207</v>
      </c>
      <c r="R139" s="90"/>
      <c r="S139" s="140" t="s">
        <v>214</v>
      </c>
      <c r="T139" s="90"/>
      <c r="U139" s="140" t="s">
        <v>215</v>
      </c>
      <c r="V139" s="90" t="s">
        <v>453</v>
      </c>
      <c r="W139" s="140" t="s">
        <v>207</v>
      </c>
      <c r="X139" s="90"/>
      <c r="Y139" s="140" t="s">
        <v>77</v>
      </c>
      <c r="Z139" s="90"/>
      <c r="AA139" s="140" t="s">
        <v>214</v>
      </c>
      <c r="AB139" s="90"/>
      <c r="AC139" s="140" t="s">
        <v>215</v>
      </c>
      <c r="AD139" s="90" t="s">
        <v>480</v>
      </c>
      <c r="AE139" s="140" t="s">
        <v>207</v>
      </c>
      <c r="AF139" s="178" t="str">
        <f t="shared" si="6"/>
        <v>NC</v>
      </c>
      <c r="AG139" s="52" t="str">
        <f t="shared" si="7"/>
        <v>UTILIZOU O PDA CORRETAMENTE. NÃO HÁ FOTOS DE TODAS AS ETAPAS</v>
      </c>
      <c r="AH139" s="140"/>
      <c r="AI139" s="182" t="s">
        <v>36</v>
      </c>
      <c r="AJ139" s="93" t="str">
        <f t="shared" si="8"/>
        <v>SÃO PAULO</v>
      </c>
      <c r="AK139" s="183" t="s">
        <v>54</v>
      </c>
    </row>
    <row r="140" spans="1:37" ht="30" customHeight="1">
      <c r="A140" s="198" t="s">
        <v>198</v>
      </c>
      <c r="B140" s="198">
        <v>2692442806</v>
      </c>
      <c r="C140" s="198" t="s">
        <v>122</v>
      </c>
      <c r="D140" s="198" t="s">
        <v>96</v>
      </c>
      <c r="E140" s="198" t="s">
        <v>35</v>
      </c>
      <c r="F140" s="198" t="s">
        <v>481</v>
      </c>
      <c r="G140" s="198">
        <v>67</v>
      </c>
      <c r="H140" s="198" t="s">
        <v>200</v>
      </c>
      <c r="I140" s="198" t="s">
        <v>482</v>
      </c>
      <c r="J140" s="198" t="s">
        <v>267</v>
      </c>
      <c r="K140" s="198" t="s">
        <v>200</v>
      </c>
      <c r="L140" s="199">
        <v>46148.334722222222</v>
      </c>
      <c r="M140" s="199">
        <v>46148.335416666669</v>
      </c>
      <c r="N140" s="198" t="s">
        <v>327</v>
      </c>
      <c r="O140" s="152" t="s">
        <v>207</v>
      </c>
      <c r="P140" s="90"/>
      <c r="Q140" s="140" t="s">
        <v>214</v>
      </c>
      <c r="R140" s="90"/>
      <c r="S140" s="140" t="s">
        <v>214</v>
      </c>
      <c r="T140" s="90"/>
      <c r="U140" s="140" t="s">
        <v>214</v>
      </c>
      <c r="V140" s="90"/>
      <c r="W140" s="140" t="s">
        <v>214</v>
      </c>
      <c r="X140" s="90"/>
      <c r="Y140" s="140" t="s">
        <v>77</v>
      </c>
      <c r="Z140" s="90"/>
      <c r="AA140" s="140" t="s">
        <v>214</v>
      </c>
      <c r="AB140" s="90"/>
      <c r="AC140" s="140" t="s">
        <v>214</v>
      </c>
      <c r="AD140" s="90"/>
      <c r="AE140" s="140" t="s">
        <v>207</v>
      </c>
      <c r="AF140" s="178" t="str">
        <f t="shared" si="6"/>
        <v>NC</v>
      </c>
      <c r="AG140" s="52" t="str">
        <f t="shared" si="7"/>
        <v>UTILIZOU O PDA CORRETAMENTE. NÃO HÁ FOTOS DE TODAS AS ETAPAS</v>
      </c>
      <c r="AH140" s="140"/>
      <c r="AI140" s="182" t="s">
        <v>36</v>
      </c>
      <c r="AJ140" s="93" t="str">
        <f t="shared" si="8"/>
        <v>SÃO PAULO</v>
      </c>
      <c r="AK140" s="183" t="s">
        <v>54</v>
      </c>
    </row>
    <row r="141" spans="1:37" ht="30" customHeight="1">
      <c r="A141" s="198" t="s">
        <v>198</v>
      </c>
      <c r="B141" s="198">
        <v>2618496427</v>
      </c>
      <c r="C141" s="198" t="s">
        <v>114</v>
      </c>
      <c r="D141" s="198" t="s">
        <v>96</v>
      </c>
      <c r="E141" s="198" t="s">
        <v>35</v>
      </c>
      <c r="F141" s="198" t="s">
        <v>307</v>
      </c>
      <c r="G141" s="198">
        <v>475</v>
      </c>
      <c r="H141" s="198"/>
      <c r="I141" s="198" t="s">
        <v>308</v>
      </c>
      <c r="J141" s="198" t="s">
        <v>260</v>
      </c>
      <c r="K141" s="198"/>
      <c r="L141" s="199">
        <v>46147.222916666666</v>
      </c>
      <c r="M141" s="199">
        <v>46147.224999999999</v>
      </c>
      <c r="N141" s="198" t="s">
        <v>349</v>
      </c>
      <c r="O141" s="152" t="s">
        <v>214</v>
      </c>
      <c r="P141" s="90"/>
      <c r="Q141" s="140" t="s">
        <v>214</v>
      </c>
      <c r="R141" s="90"/>
      <c r="S141" s="140" t="s">
        <v>214</v>
      </c>
      <c r="T141" s="90"/>
      <c r="U141" s="140" t="s">
        <v>214</v>
      </c>
      <c r="V141" s="90"/>
      <c r="W141" s="140" t="s">
        <v>214</v>
      </c>
      <c r="X141" s="90"/>
      <c r="Y141" s="140" t="s">
        <v>214</v>
      </c>
      <c r="Z141" s="90"/>
      <c r="AA141" s="140" t="s">
        <v>214</v>
      </c>
      <c r="AB141" s="90"/>
      <c r="AC141" s="140" t="s">
        <v>214</v>
      </c>
      <c r="AD141" s="90"/>
      <c r="AE141" s="140" t="s">
        <v>215</v>
      </c>
      <c r="AF141" s="178" t="str">
        <f t="shared" si="6"/>
        <v>NC</v>
      </c>
      <c r="AG141" s="52" t="str">
        <f t="shared" si="7"/>
        <v>NÃO UTILIZOU O PDA</v>
      </c>
      <c r="AH141" s="140" t="s">
        <v>207</v>
      </c>
      <c r="AI141" s="182" t="s">
        <v>36</v>
      </c>
      <c r="AJ141" s="93" t="str">
        <f t="shared" si="8"/>
        <v>SÃO PAULO</v>
      </c>
      <c r="AK141" s="183" t="s">
        <v>54</v>
      </c>
    </row>
    <row r="142" spans="1:37" ht="30" customHeight="1">
      <c r="A142" s="198" t="s">
        <v>198</v>
      </c>
      <c r="B142" s="198">
        <v>2618735405</v>
      </c>
      <c r="C142" s="198" t="s">
        <v>122</v>
      </c>
      <c r="D142" s="198" t="s">
        <v>96</v>
      </c>
      <c r="E142" s="198" t="s">
        <v>35</v>
      </c>
      <c r="F142" s="198" t="s">
        <v>340</v>
      </c>
      <c r="G142" s="198">
        <v>70</v>
      </c>
      <c r="H142" s="198" t="s">
        <v>200</v>
      </c>
      <c r="I142" s="198" t="s">
        <v>225</v>
      </c>
      <c r="J142" s="198" t="s">
        <v>267</v>
      </c>
      <c r="K142" s="198" t="s">
        <v>483</v>
      </c>
      <c r="L142" s="199">
        <v>46147.316666666666</v>
      </c>
      <c r="M142" s="199">
        <v>46147.338194444441</v>
      </c>
      <c r="N142" s="198" t="s">
        <v>327</v>
      </c>
      <c r="O142" s="152" t="s">
        <v>207</v>
      </c>
      <c r="P142" s="90"/>
      <c r="Q142" s="140" t="s">
        <v>77</v>
      </c>
      <c r="R142" s="90"/>
      <c r="S142" s="140" t="s">
        <v>214</v>
      </c>
      <c r="T142" s="90"/>
      <c r="U142" s="140" t="s">
        <v>77</v>
      </c>
      <c r="V142" s="90"/>
      <c r="W142" s="140" t="s">
        <v>214</v>
      </c>
      <c r="X142" s="90"/>
      <c r="Y142" s="140" t="s">
        <v>77</v>
      </c>
      <c r="Z142" s="90"/>
      <c r="AA142" s="140" t="s">
        <v>214</v>
      </c>
      <c r="AB142" s="90"/>
      <c r="AC142" s="140" t="s">
        <v>207</v>
      </c>
      <c r="AD142" s="90"/>
      <c r="AE142" s="140" t="s">
        <v>207</v>
      </c>
      <c r="AF142" s="178" t="str">
        <f t="shared" si="6"/>
        <v>NC</v>
      </c>
      <c r="AG142" s="52" t="str">
        <f t="shared" si="7"/>
        <v>UTILIZOU O PDA CORRETAMENTE. NÃO HÁ FOTOS DE TODAS AS ETAPAS</v>
      </c>
      <c r="AH142" s="140"/>
      <c r="AI142" s="182" t="s">
        <v>36</v>
      </c>
      <c r="AJ142" s="93" t="str">
        <f t="shared" si="8"/>
        <v>SÃO PAULO</v>
      </c>
      <c r="AK142" s="183" t="s">
        <v>54</v>
      </c>
    </row>
    <row r="143" spans="1:37" ht="30" customHeight="1">
      <c r="A143" s="198" t="s">
        <v>198</v>
      </c>
      <c r="B143" s="198">
        <v>2692437299</v>
      </c>
      <c r="C143" s="198" t="s">
        <v>117</v>
      </c>
      <c r="D143" s="198" t="s">
        <v>96</v>
      </c>
      <c r="E143" s="198" t="s">
        <v>35</v>
      </c>
      <c r="F143" s="198" t="s">
        <v>286</v>
      </c>
      <c r="G143" s="198">
        <v>4030</v>
      </c>
      <c r="H143" s="198"/>
      <c r="I143" s="198" t="s">
        <v>402</v>
      </c>
      <c r="J143" s="198" t="s">
        <v>301</v>
      </c>
      <c r="K143" s="198"/>
      <c r="L143" s="199">
        <v>46147.361805555556</v>
      </c>
      <c r="M143" s="199">
        <v>46147.377083333333</v>
      </c>
      <c r="N143" s="198" t="s">
        <v>251</v>
      </c>
      <c r="O143" s="152" t="s">
        <v>207</v>
      </c>
      <c r="P143" s="90"/>
      <c r="Q143" s="140" t="s">
        <v>77</v>
      </c>
      <c r="R143" s="90"/>
      <c r="S143" s="140" t="s">
        <v>214</v>
      </c>
      <c r="T143" s="90"/>
      <c r="U143" s="140" t="s">
        <v>77</v>
      </c>
      <c r="V143" s="90"/>
      <c r="W143" s="140" t="s">
        <v>214</v>
      </c>
      <c r="X143" s="90"/>
      <c r="Y143" s="140" t="s">
        <v>77</v>
      </c>
      <c r="Z143" s="90"/>
      <c r="AA143" s="140" t="s">
        <v>214</v>
      </c>
      <c r="AB143" s="90"/>
      <c r="AC143" s="140" t="s">
        <v>215</v>
      </c>
      <c r="AD143" s="90" t="s">
        <v>484</v>
      </c>
      <c r="AE143" s="140" t="s">
        <v>207</v>
      </c>
      <c r="AF143" s="178" t="str">
        <f t="shared" si="6"/>
        <v>NC</v>
      </c>
      <c r="AG143" s="52" t="str">
        <f t="shared" si="7"/>
        <v>UTILIZOU O PDA CORRETAMENTE. NÃO HÁ FOTOS DE TODAS AS ETAPAS</v>
      </c>
      <c r="AH143" s="140"/>
      <c r="AI143" s="182" t="s">
        <v>36</v>
      </c>
      <c r="AJ143" s="93" t="str">
        <f t="shared" si="8"/>
        <v>SÃO PAULO</v>
      </c>
      <c r="AK143" s="183" t="s">
        <v>54</v>
      </c>
    </row>
    <row r="144" spans="1:37" ht="30" customHeight="1">
      <c r="A144" s="198" t="s">
        <v>198</v>
      </c>
      <c r="B144" s="198">
        <v>2692395030</v>
      </c>
      <c r="C144" s="198" t="s">
        <v>114</v>
      </c>
      <c r="D144" s="198" t="s">
        <v>96</v>
      </c>
      <c r="E144" s="198" t="s">
        <v>35</v>
      </c>
      <c r="F144" s="198" t="s">
        <v>485</v>
      </c>
      <c r="G144" s="198">
        <v>39</v>
      </c>
      <c r="H144" s="198" t="s">
        <v>208</v>
      </c>
      <c r="I144" s="198" t="s">
        <v>433</v>
      </c>
      <c r="J144" s="198" t="s">
        <v>260</v>
      </c>
      <c r="K144" s="198" t="s">
        <v>200</v>
      </c>
      <c r="L144" s="199">
        <v>46147.290972222225</v>
      </c>
      <c r="M144" s="199">
        <v>46147.313194444447</v>
      </c>
      <c r="N144" s="198" t="s">
        <v>235</v>
      </c>
      <c r="O144" s="152" t="s">
        <v>215</v>
      </c>
      <c r="P144" s="90"/>
      <c r="Q144" s="140" t="s">
        <v>215</v>
      </c>
      <c r="R144" s="90"/>
      <c r="S144" s="140" t="s">
        <v>215</v>
      </c>
      <c r="T144" s="90"/>
      <c r="U144" s="140" t="s">
        <v>215</v>
      </c>
      <c r="V144" s="90"/>
      <c r="W144" s="140" t="s">
        <v>215</v>
      </c>
      <c r="X144" s="90"/>
      <c r="Y144" s="140" t="s">
        <v>215</v>
      </c>
      <c r="Z144" s="90"/>
      <c r="AA144" s="140" t="s">
        <v>215</v>
      </c>
      <c r="AB144" s="90"/>
      <c r="AC144" s="140" t="s">
        <v>215</v>
      </c>
      <c r="AD144" s="90"/>
      <c r="AE144" s="140" t="s">
        <v>215</v>
      </c>
      <c r="AF144" s="178" t="str">
        <f t="shared" si="6"/>
        <v>NC</v>
      </c>
      <c r="AG144" s="52" t="s">
        <v>227</v>
      </c>
      <c r="AH144" s="140" t="s">
        <v>207</v>
      </c>
      <c r="AI144" s="182" t="s">
        <v>36</v>
      </c>
      <c r="AJ144" s="93" t="str">
        <f t="shared" si="8"/>
        <v>SÃO PAULO</v>
      </c>
      <c r="AK144" s="183" t="s">
        <v>54</v>
      </c>
    </row>
    <row r="145" spans="1:37" ht="30" customHeight="1">
      <c r="A145" s="198" t="s">
        <v>198</v>
      </c>
      <c r="B145" s="198">
        <v>2618773865</v>
      </c>
      <c r="C145" s="198" t="s">
        <v>120</v>
      </c>
      <c r="D145" s="198" t="s">
        <v>96</v>
      </c>
      <c r="E145" s="198" t="s">
        <v>35</v>
      </c>
      <c r="F145" s="198" t="s">
        <v>485</v>
      </c>
      <c r="G145" s="198">
        <v>40</v>
      </c>
      <c r="H145" s="198" t="s">
        <v>208</v>
      </c>
      <c r="I145" s="198" t="s">
        <v>433</v>
      </c>
      <c r="J145" s="198" t="s">
        <v>202</v>
      </c>
      <c r="K145" s="198" t="s">
        <v>456</v>
      </c>
      <c r="L145" s="199">
        <v>46147.753472222219</v>
      </c>
      <c r="M145" s="199">
        <v>46147.755555555559</v>
      </c>
      <c r="N145" s="198" t="s">
        <v>235</v>
      </c>
      <c r="O145" s="152" t="s">
        <v>77</v>
      </c>
      <c r="P145" s="90"/>
      <c r="Q145" s="256" t="s">
        <v>77</v>
      </c>
      <c r="R145" s="90"/>
      <c r="S145" s="256" t="s">
        <v>77</v>
      </c>
      <c r="T145" s="90"/>
      <c r="U145" s="256" t="s">
        <v>77</v>
      </c>
      <c r="V145" s="90"/>
      <c r="W145" s="256" t="s">
        <v>77</v>
      </c>
      <c r="X145" s="90"/>
      <c r="Y145" s="256" t="s">
        <v>77</v>
      </c>
      <c r="Z145" s="90"/>
      <c r="AA145" s="256" t="s">
        <v>77</v>
      </c>
      <c r="AB145" s="90"/>
      <c r="AC145" s="256" t="s">
        <v>77</v>
      </c>
      <c r="AD145" s="90"/>
      <c r="AE145" s="256" t="s">
        <v>77</v>
      </c>
      <c r="AF145" s="178" t="str">
        <f t="shared" si="6"/>
        <v>NA</v>
      </c>
      <c r="AG145" s="52" t="str">
        <f t="shared" si="7"/>
        <v>NÃO AVALIADO POR FALHA DE SINCRONISMO</v>
      </c>
      <c r="AH145" s="140" t="s">
        <v>207</v>
      </c>
      <c r="AI145" s="182" t="s">
        <v>36</v>
      </c>
      <c r="AJ145" s="93" t="str">
        <f t="shared" si="8"/>
        <v>SÃO PAULO</v>
      </c>
      <c r="AK145" s="183" t="s">
        <v>54</v>
      </c>
    </row>
    <row r="146" spans="1:37" ht="30" customHeight="1">
      <c r="A146" s="198" t="s">
        <v>198</v>
      </c>
      <c r="B146" s="198">
        <v>2618752816</v>
      </c>
      <c r="C146" s="198" t="s">
        <v>116</v>
      </c>
      <c r="D146" s="198" t="s">
        <v>94</v>
      </c>
      <c r="E146" s="198" t="s">
        <v>35</v>
      </c>
      <c r="F146" s="198" t="s">
        <v>410</v>
      </c>
      <c r="G146" s="198">
        <v>89</v>
      </c>
      <c r="H146" s="198" t="s">
        <v>200</v>
      </c>
      <c r="I146" s="198" t="s">
        <v>411</v>
      </c>
      <c r="J146" s="198" t="s">
        <v>221</v>
      </c>
      <c r="K146" s="198" t="s">
        <v>486</v>
      </c>
      <c r="L146" s="199">
        <v>46147.753472222219</v>
      </c>
      <c r="M146" s="199">
        <v>46147.756249999999</v>
      </c>
      <c r="N146" s="198" t="s">
        <v>235</v>
      </c>
      <c r="O146" s="152" t="s">
        <v>77</v>
      </c>
      <c r="P146" s="90"/>
      <c r="Q146" s="140" t="s">
        <v>77</v>
      </c>
      <c r="R146" s="90"/>
      <c r="S146" s="140" t="s">
        <v>77</v>
      </c>
      <c r="T146" s="90"/>
      <c r="U146" s="140" t="s">
        <v>77</v>
      </c>
      <c r="V146" s="90"/>
      <c r="W146" s="140" t="s">
        <v>77</v>
      </c>
      <c r="X146" s="90"/>
      <c r="Y146" s="140" t="s">
        <v>77</v>
      </c>
      <c r="Z146" s="90"/>
      <c r="AA146" s="140" t="s">
        <v>77</v>
      </c>
      <c r="AB146" s="90"/>
      <c r="AC146" s="140" t="s">
        <v>77</v>
      </c>
      <c r="AD146" s="90"/>
      <c r="AE146" s="140" t="s">
        <v>77</v>
      </c>
      <c r="AF146" s="178" t="str">
        <f t="shared" si="6"/>
        <v>NA</v>
      </c>
      <c r="AG146" s="52" t="str">
        <f t="shared" si="7"/>
        <v>NÃO AVALIADO POR FALHA DE SINCRONISMO</v>
      </c>
      <c r="AH146" s="140" t="s">
        <v>207</v>
      </c>
      <c r="AI146" s="182" t="s">
        <v>36</v>
      </c>
      <c r="AJ146" s="93" t="str">
        <f t="shared" si="8"/>
        <v>SÃO PAULO</v>
      </c>
      <c r="AK146" s="183" t="s">
        <v>54</v>
      </c>
    </row>
    <row r="147" spans="1:37" ht="30" customHeight="1">
      <c r="A147" s="198" t="s">
        <v>198</v>
      </c>
      <c r="B147" s="198">
        <v>2618423984</v>
      </c>
      <c r="C147" s="198" t="s">
        <v>238</v>
      </c>
      <c r="D147" s="198" t="s">
        <v>92</v>
      </c>
      <c r="E147" s="198" t="s">
        <v>35</v>
      </c>
      <c r="F147" s="198" t="s">
        <v>270</v>
      </c>
      <c r="G147" s="198">
        <v>8</v>
      </c>
      <c r="H147" s="198" t="s">
        <v>487</v>
      </c>
      <c r="I147" s="198" t="s">
        <v>297</v>
      </c>
      <c r="J147" s="198" t="s">
        <v>242</v>
      </c>
      <c r="K147" s="198"/>
      <c r="L147" s="199">
        <v>46148.21875</v>
      </c>
      <c r="M147" s="199">
        <v>46148.220833333333</v>
      </c>
      <c r="N147" s="198" t="s">
        <v>213</v>
      </c>
      <c r="O147" s="152" t="s">
        <v>207</v>
      </c>
      <c r="P147" s="90"/>
      <c r="Q147" s="140" t="s">
        <v>214</v>
      </c>
      <c r="R147" s="90"/>
      <c r="S147" s="140" t="s">
        <v>214</v>
      </c>
      <c r="T147" s="90"/>
      <c r="U147" s="140" t="s">
        <v>207</v>
      </c>
      <c r="V147" s="90"/>
      <c r="W147" s="140" t="s">
        <v>214</v>
      </c>
      <c r="X147" s="90"/>
      <c r="Y147" s="140" t="s">
        <v>77</v>
      </c>
      <c r="Z147" s="90"/>
      <c r="AA147" s="140" t="s">
        <v>214</v>
      </c>
      <c r="AB147" s="90"/>
      <c r="AC147" s="140" t="s">
        <v>207</v>
      </c>
      <c r="AD147" s="90"/>
      <c r="AE147" s="140" t="s">
        <v>207</v>
      </c>
      <c r="AF147" s="178" t="str">
        <f t="shared" si="6"/>
        <v>NC</v>
      </c>
      <c r="AG147" s="52" t="str">
        <f t="shared" si="7"/>
        <v>UTILIZOU O PDA CORRETAMENTE. NÃO HÁ FOTOS DE TODAS AS ETAPAS</v>
      </c>
      <c r="AH147" s="140" t="s">
        <v>207</v>
      </c>
      <c r="AI147" s="182" t="s">
        <v>36</v>
      </c>
      <c r="AJ147" s="93" t="str">
        <f t="shared" si="8"/>
        <v>SÃO PAULO</v>
      </c>
      <c r="AK147" s="183" t="s">
        <v>54</v>
      </c>
    </row>
    <row r="148" spans="1:37" ht="30" customHeight="1">
      <c r="A148" s="198" t="s">
        <v>198</v>
      </c>
      <c r="B148" s="198">
        <v>2618073648</v>
      </c>
      <c r="C148" s="198" t="s">
        <v>101</v>
      </c>
      <c r="D148" s="198" t="s">
        <v>92</v>
      </c>
      <c r="E148" s="198" t="s">
        <v>35</v>
      </c>
      <c r="F148" s="198" t="s">
        <v>488</v>
      </c>
      <c r="G148" s="198">
        <v>177</v>
      </c>
      <c r="H148" s="198" t="s">
        <v>489</v>
      </c>
      <c r="I148" s="198" t="s">
        <v>490</v>
      </c>
      <c r="J148" s="198" t="s">
        <v>101</v>
      </c>
      <c r="K148" s="198" t="s">
        <v>200</v>
      </c>
      <c r="L148" s="199">
        <v>46148.28125</v>
      </c>
      <c r="M148" s="199">
        <v>46148.385416666664</v>
      </c>
      <c r="N148" s="198" t="s">
        <v>213</v>
      </c>
      <c r="O148" s="152" t="s">
        <v>207</v>
      </c>
      <c r="P148" s="90"/>
      <c r="Q148" s="140" t="s">
        <v>207</v>
      </c>
      <c r="R148" s="90"/>
      <c r="S148" s="140" t="s">
        <v>77</v>
      </c>
      <c r="T148" s="90"/>
      <c r="U148" s="140" t="s">
        <v>77</v>
      </c>
      <c r="V148" s="90"/>
      <c r="W148" s="140" t="s">
        <v>77</v>
      </c>
      <c r="X148" s="90"/>
      <c r="Y148" s="140" t="s">
        <v>214</v>
      </c>
      <c r="Z148" s="90"/>
      <c r="AA148" s="140" t="s">
        <v>77</v>
      </c>
      <c r="AB148" s="90"/>
      <c r="AC148" s="140" t="s">
        <v>207</v>
      </c>
      <c r="AD148" s="90"/>
      <c r="AE148" s="140" t="s">
        <v>207</v>
      </c>
      <c r="AF148" s="178" t="str">
        <f t="shared" si="6"/>
        <v>NC</v>
      </c>
      <c r="AG148" s="52" t="str">
        <f t="shared" si="7"/>
        <v>UTILIZOU O PDA CORRETAMENTE. NÃO HÁ FOTOS DE TODAS AS ETAPAS</v>
      </c>
      <c r="AH148" s="140"/>
      <c r="AI148" s="182" t="s">
        <v>36</v>
      </c>
      <c r="AJ148" s="93" t="str">
        <f t="shared" si="8"/>
        <v>SÃO PAULO</v>
      </c>
      <c r="AK148" s="183" t="s">
        <v>54</v>
      </c>
    </row>
    <row r="149" spans="1:37" ht="30" customHeight="1">
      <c r="A149" s="198" t="s">
        <v>198</v>
      </c>
      <c r="B149" s="198">
        <v>2618423983</v>
      </c>
      <c r="C149" s="198" t="s">
        <v>238</v>
      </c>
      <c r="D149" s="198" t="s">
        <v>92</v>
      </c>
      <c r="E149" s="198" t="s">
        <v>35</v>
      </c>
      <c r="F149" s="198" t="s">
        <v>270</v>
      </c>
      <c r="G149" s="198">
        <v>8</v>
      </c>
      <c r="H149" s="198" t="s">
        <v>491</v>
      </c>
      <c r="I149" s="198" t="s">
        <v>297</v>
      </c>
      <c r="J149" s="198" t="s">
        <v>242</v>
      </c>
      <c r="K149" s="198"/>
      <c r="L149" s="199">
        <v>46148.034722222219</v>
      </c>
      <c r="M149" s="199">
        <v>46148.218055555553</v>
      </c>
      <c r="N149" s="198" t="s">
        <v>213</v>
      </c>
      <c r="O149" s="152" t="s">
        <v>207</v>
      </c>
      <c r="P149" s="90"/>
      <c r="Q149" s="140" t="s">
        <v>207</v>
      </c>
      <c r="R149" s="90"/>
      <c r="S149" s="140" t="s">
        <v>77</v>
      </c>
      <c r="T149" s="90"/>
      <c r="U149" s="140" t="s">
        <v>77</v>
      </c>
      <c r="V149" s="90"/>
      <c r="W149" s="140" t="s">
        <v>77</v>
      </c>
      <c r="X149" s="90"/>
      <c r="Y149" s="140" t="s">
        <v>77</v>
      </c>
      <c r="Z149" s="90"/>
      <c r="AA149" s="140" t="s">
        <v>77</v>
      </c>
      <c r="AB149" s="90"/>
      <c r="AC149" s="140" t="s">
        <v>215</v>
      </c>
      <c r="AD149" s="90" t="s">
        <v>492</v>
      </c>
      <c r="AE149" s="140" t="s">
        <v>207</v>
      </c>
      <c r="AF149" s="178" t="str">
        <f t="shared" si="6"/>
        <v>NC</v>
      </c>
      <c r="AG149" s="52" t="str">
        <f t="shared" si="7"/>
        <v>UTILIZOU O PDA CORRETAMENTE. NÃO HÁ FOTOS DE TODAS AS ETAPAS</v>
      </c>
      <c r="AH149" s="140" t="s">
        <v>207</v>
      </c>
      <c r="AI149" s="182" t="s">
        <v>36</v>
      </c>
      <c r="AJ149" s="93" t="str">
        <f t="shared" si="8"/>
        <v>SÃO PAULO</v>
      </c>
      <c r="AK149" s="183" t="s">
        <v>54</v>
      </c>
    </row>
    <row r="150" spans="1:37" ht="30" customHeight="1">
      <c r="A150" s="198" t="s">
        <v>198</v>
      </c>
      <c r="B150" s="198">
        <v>2618426258</v>
      </c>
      <c r="C150" s="198" t="s">
        <v>109</v>
      </c>
      <c r="D150" s="198" t="s">
        <v>92</v>
      </c>
      <c r="E150" s="198" t="s">
        <v>35</v>
      </c>
      <c r="F150" s="198" t="s">
        <v>493</v>
      </c>
      <c r="G150" s="198">
        <v>220</v>
      </c>
      <c r="H150" s="198" t="s">
        <v>208</v>
      </c>
      <c r="I150" s="198" t="s">
        <v>447</v>
      </c>
      <c r="J150" s="198" t="s">
        <v>109</v>
      </c>
      <c r="K150" s="198" t="s">
        <v>200</v>
      </c>
      <c r="L150" s="199">
        <v>46148.455555555556</v>
      </c>
      <c r="M150" s="199">
        <v>46148.479861111111</v>
      </c>
      <c r="N150" s="198" t="s">
        <v>206</v>
      </c>
      <c r="O150" s="152" t="s">
        <v>207</v>
      </c>
      <c r="P150" s="90"/>
      <c r="Q150" s="140" t="s">
        <v>77</v>
      </c>
      <c r="R150" s="90"/>
      <c r="S150" s="140" t="s">
        <v>77</v>
      </c>
      <c r="T150" s="90"/>
      <c r="U150" s="140" t="s">
        <v>77</v>
      </c>
      <c r="V150" s="90"/>
      <c r="W150" s="140" t="s">
        <v>77</v>
      </c>
      <c r="X150" s="90"/>
      <c r="Y150" s="140" t="s">
        <v>77</v>
      </c>
      <c r="Z150" s="90"/>
      <c r="AA150" s="140" t="s">
        <v>207</v>
      </c>
      <c r="AB150" s="90"/>
      <c r="AC150" s="140" t="s">
        <v>207</v>
      </c>
      <c r="AD150" s="90"/>
      <c r="AE150" s="140" t="s">
        <v>207</v>
      </c>
      <c r="AF150" s="178" t="str">
        <f t="shared" si="6"/>
        <v>C</v>
      </c>
      <c r="AG150" s="52" t="str">
        <f t="shared" si="7"/>
        <v>UTILIZOU O PDA CORRETAMENTE</v>
      </c>
      <c r="AH150" s="140"/>
      <c r="AI150" s="182" t="s">
        <v>36</v>
      </c>
      <c r="AJ150" s="93" t="str">
        <f t="shared" si="8"/>
        <v>SÃO PAULO</v>
      </c>
      <c r="AK150" s="183" t="s">
        <v>54</v>
      </c>
    </row>
    <row r="151" spans="1:37" ht="30" customHeight="1">
      <c r="A151" s="198" t="s">
        <v>198</v>
      </c>
      <c r="B151" s="198">
        <v>2618426262</v>
      </c>
      <c r="C151" s="198" t="s">
        <v>111</v>
      </c>
      <c r="D151" s="198" t="s">
        <v>92</v>
      </c>
      <c r="E151" s="198" t="s">
        <v>35</v>
      </c>
      <c r="F151" s="198" t="s">
        <v>493</v>
      </c>
      <c r="G151" s="198">
        <v>220</v>
      </c>
      <c r="H151" s="198" t="s">
        <v>205</v>
      </c>
      <c r="I151" s="198" t="s">
        <v>447</v>
      </c>
      <c r="J151" s="198" t="s">
        <v>111</v>
      </c>
      <c r="K151" s="198"/>
      <c r="L151" s="199">
        <v>46148.474305555559</v>
      </c>
      <c r="M151" s="199">
        <v>46148.475694444445</v>
      </c>
      <c r="N151" s="198" t="s">
        <v>206</v>
      </c>
      <c r="O151" s="152" t="s">
        <v>207</v>
      </c>
      <c r="P151" s="90"/>
      <c r="Q151" s="140" t="s">
        <v>77</v>
      </c>
      <c r="R151" s="90"/>
      <c r="S151" s="140" t="s">
        <v>77</v>
      </c>
      <c r="T151" s="90"/>
      <c r="U151" s="140" t="s">
        <v>77</v>
      </c>
      <c r="V151" s="90"/>
      <c r="W151" s="140" t="s">
        <v>77</v>
      </c>
      <c r="X151" s="90"/>
      <c r="Y151" s="140" t="s">
        <v>77</v>
      </c>
      <c r="Z151" s="90"/>
      <c r="AA151" s="140" t="s">
        <v>207</v>
      </c>
      <c r="AB151" s="90"/>
      <c r="AC151" s="140" t="s">
        <v>207</v>
      </c>
      <c r="AD151" s="90"/>
      <c r="AE151" s="140" t="s">
        <v>207</v>
      </c>
      <c r="AF151" s="178" t="str">
        <f t="shared" si="6"/>
        <v>C</v>
      </c>
      <c r="AG151" s="52" t="str">
        <f t="shared" si="7"/>
        <v>UTILIZOU O PDA CORRETAMENTE</v>
      </c>
      <c r="AH151" s="140"/>
      <c r="AI151" s="182" t="s">
        <v>36</v>
      </c>
      <c r="AJ151" s="93" t="str">
        <f t="shared" si="8"/>
        <v>SÃO PAULO</v>
      </c>
      <c r="AK151" s="183" t="s">
        <v>54</v>
      </c>
    </row>
    <row r="152" spans="1:37" ht="30" customHeight="1">
      <c r="A152" s="198" t="s">
        <v>198</v>
      </c>
      <c r="B152" s="198">
        <v>2618426265</v>
      </c>
      <c r="C152" s="198" t="s">
        <v>111</v>
      </c>
      <c r="D152" s="198" t="s">
        <v>92</v>
      </c>
      <c r="E152" s="198" t="s">
        <v>35</v>
      </c>
      <c r="F152" s="198" t="s">
        <v>493</v>
      </c>
      <c r="G152" s="198">
        <v>220</v>
      </c>
      <c r="H152" s="198" t="s">
        <v>257</v>
      </c>
      <c r="I152" s="198" t="s">
        <v>447</v>
      </c>
      <c r="J152" s="198" t="s">
        <v>111</v>
      </c>
      <c r="K152" s="198" t="s">
        <v>200</v>
      </c>
      <c r="L152" s="199">
        <v>46148.475694444445</v>
      </c>
      <c r="M152" s="199">
        <v>46148.477083333331</v>
      </c>
      <c r="N152" s="198" t="s">
        <v>206</v>
      </c>
      <c r="O152" s="152" t="s">
        <v>207</v>
      </c>
      <c r="P152" s="90"/>
      <c r="Q152" s="140" t="s">
        <v>77</v>
      </c>
      <c r="R152" s="90"/>
      <c r="S152" s="140" t="s">
        <v>77</v>
      </c>
      <c r="T152" s="90"/>
      <c r="U152" s="140" t="s">
        <v>77</v>
      </c>
      <c r="V152" s="90"/>
      <c r="W152" s="140" t="s">
        <v>77</v>
      </c>
      <c r="X152" s="90"/>
      <c r="Y152" s="140" t="s">
        <v>77</v>
      </c>
      <c r="Z152" s="90"/>
      <c r="AA152" s="140" t="s">
        <v>207</v>
      </c>
      <c r="AB152" s="90"/>
      <c r="AC152" s="140" t="s">
        <v>207</v>
      </c>
      <c r="AD152" s="90"/>
      <c r="AE152" s="140" t="s">
        <v>207</v>
      </c>
      <c r="AF152" s="178" t="str">
        <f t="shared" si="6"/>
        <v>C</v>
      </c>
      <c r="AG152" s="52" t="str">
        <f t="shared" si="7"/>
        <v>UTILIZOU O PDA CORRETAMENTE</v>
      </c>
      <c r="AH152" s="140"/>
      <c r="AI152" s="182" t="s">
        <v>36</v>
      </c>
      <c r="AJ152" s="93" t="str">
        <f t="shared" si="8"/>
        <v>SÃO PAULO</v>
      </c>
      <c r="AK152" s="183" t="s">
        <v>54</v>
      </c>
    </row>
    <row r="153" spans="1:37" ht="30" customHeight="1">
      <c r="A153" s="198" t="s">
        <v>198</v>
      </c>
      <c r="B153" s="198">
        <v>2618426266</v>
      </c>
      <c r="C153" s="198" t="s">
        <v>111</v>
      </c>
      <c r="D153" s="198" t="s">
        <v>92</v>
      </c>
      <c r="E153" s="198" t="s">
        <v>35</v>
      </c>
      <c r="F153" s="198" t="s">
        <v>493</v>
      </c>
      <c r="G153" s="198">
        <v>220</v>
      </c>
      <c r="H153" s="198" t="s">
        <v>255</v>
      </c>
      <c r="I153" s="198" t="s">
        <v>447</v>
      </c>
      <c r="J153" s="198" t="s">
        <v>111</v>
      </c>
      <c r="K153" s="198"/>
      <c r="L153" s="199">
        <v>46148.477777777778</v>
      </c>
      <c r="M153" s="199">
        <v>46148.479166666664</v>
      </c>
      <c r="N153" s="198" t="s">
        <v>206</v>
      </c>
      <c r="O153" s="152" t="s">
        <v>207</v>
      </c>
      <c r="P153" s="90"/>
      <c r="Q153" s="140" t="s">
        <v>77</v>
      </c>
      <c r="R153" s="90"/>
      <c r="S153" s="140" t="s">
        <v>77</v>
      </c>
      <c r="T153" s="90"/>
      <c r="U153" s="140" t="s">
        <v>77</v>
      </c>
      <c r="V153" s="90"/>
      <c r="W153" s="140" t="s">
        <v>77</v>
      </c>
      <c r="X153" s="90"/>
      <c r="Y153" s="140" t="s">
        <v>77</v>
      </c>
      <c r="Z153" s="90"/>
      <c r="AA153" s="140" t="s">
        <v>207</v>
      </c>
      <c r="AB153" s="90"/>
      <c r="AC153" s="140" t="s">
        <v>207</v>
      </c>
      <c r="AD153" s="90"/>
      <c r="AE153" s="140" t="s">
        <v>207</v>
      </c>
      <c r="AF153" s="178" t="str">
        <f t="shared" si="6"/>
        <v>C</v>
      </c>
      <c r="AG153" s="52" t="str">
        <f t="shared" si="7"/>
        <v>UTILIZOU O PDA CORRETAMENTE</v>
      </c>
      <c r="AH153" s="140"/>
      <c r="AI153" s="182" t="s">
        <v>36</v>
      </c>
      <c r="AJ153" s="93" t="str">
        <f t="shared" si="8"/>
        <v>SÃO PAULO</v>
      </c>
      <c r="AK153" s="183" t="s">
        <v>54</v>
      </c>
    </row>
    <row r="154" spans="1:37" ht="30" customHeight="1">
      <c r="A154" s="198" t="s">
        <v>198</v>
      </c>
      <c r="B154" s="198">
        <v>2618616223</v>
      </c>
      <c r="C154" s="198" t="s">
        <v>109</v>
      </c>
      <c r="D154" s="198" t="s">
        <v>92</v>
      </c>
      <c r="E154" s="198" t="s">
        <v>35</v>
      </c>
      <c r="F154" s="198" t="s">
        <v>494</v>
      </c>
      <c r="G154" s="198">
        <v>633</v>
      </c>
      <c r="H154" s="198" t="s">
        <v>491</v>
      </c>
      <c r="I154" s="198" t="s">
        <v>495</v>
      </c>
      <c r="J154" s="198" t="s">
        <v>109</v>
      </c>
      <c r="K154" s="198" t="s">
        <v>200</v>
      </c>
      <c r="L154" s="199">
        <v>46148.606944444444</v>
      </c>
      <c r="M154" s="199">
        <v>46148.624305555553</v>
      </c>
      <c r="N154" s="198" t="s">
        <v>206</v>
      </c>
      <c r="O154" s="152" t="s">
        <v>207</v>
      </c>
      <c r="P154" s="90"/>
      <c r="Q154" s="140" t="s">
        <v>77</v>
      </c>
      <c r="R154" s="90"/>
      <c r="S154" s="140" t="s">
        <v>77</v>
      </c>
      <c r="T154" s="90"/>
      <c r="U154" s="140" t="s">
        <v>77</v>
      </c>
      <c r="V154" s="90"/>
      <c r="W154" s="140" t="s">
        <v>77</v>
      </c>
      <c r="X154" s="90"/>
      <c r="Y154" s="140" t="s">
        <v>77</v>
      </c>
      <c r="Z154" s="90"/>
      <c r="AA154" s="140" t="s">
        <v>207</v>
      </c>
      <c r="AB154" s="90"/>
      <c r="AC154" s="140" t="s">
        <v>207</v>
      </c>
      <c r="AD154" s="90"/>
      <c r="AE154" s="140" t="s">
        <v>207</v>
      </c>
      <c r="AF154" s="178" t="str">
        <f t="shared" si="6"/>
        <v>C</v>
      </c>
      <c r="AG154" s="52" t="str">
        <f t="shared" si="7"/>
        <v>UTILIZOU O PDA CORRETAMENTE</v>
      </c>
      <c r="AH154" s="140"/>
      <c r="AI154" s="182" t="s">
        <v>36</v>
      </c>
      <c r="AJ154" s="93" t="str">
        <f t="shared" si="8"/>
        <v>SÃO PAULO</v>
      </c>
      <c r="AK154" s="183" t="s">
        <v>54</v>
      </c>
    </row>
    <row r="155" spans="1:37" ht="30" customHeight="1">
      <c r="A155" s="198" t="s">
        <v>198</v>
      </c>
      <c r="B155" s="198">
        <v>2618616226</v>
      </c>
      <c r="C155" s="198" t="s">
        <v>111</v>
      </c>
      <c r="D155" s="198" t="s">
        <v>92</v>
      </c>
      <c r="E155" s="198" t="s">
        <v>35</v>
      </c>
      <c r="F155" s="198" t="s">
        <v>494</v>
      </c>
      <c r="G155" s="198">
        <v>633</v>
      </c>
      <c r="H155" s="198" t="s">
        <v>487</v>
      </c>
      <c r="I155" s="198" t="s">
        <v>495</v>
      </c>
      <c r="J155" s="198" t="s">
        <v>111</v>
      </c>
      <c r="K155" s="198"/>
      <c r="L155" s="199">
        <v>46148.624305555553</v>
      </c>
      <c r="M155" s="199">
        <v>46148.625694444447</v>
      </c>
      <c r="N155" s="198" t="s">
        <v>206</v>
      </c>
      <c r="O155" s="152" t="s">
        <v>207</v>
      </c>
      <c r="P155" s="90"/>
      <c r="Q155" s="140" t="s">
        <v>77</v>
      </c>
      <c r="R155" s="90"/>
      <c r="S155" s="140" t="s">
        <v>77</v>
      </c>
      <c r="T155" s="90"/>
      <c r="U155" s="140" t="s">
        <v>77</v>
      </c>
      <c r="V155" s="90"/>
      <c r="W155" s="140" t="s">
        <v>77</v>
      </c>
      <c r="X155" s="90"/>
      <c r="Y155" s="140" t="s">
        <v>77</v>
      </c>
      <c r="Z155" s="90"/>
      <c r="AA155" s="140" t="s">
        <v>207</v>
      </c>
      <c r="AB155" s="90"/>
      <c r="AC155" s="140" t="s">
        <v>207</v>
      </c>
      <c r="AD155" s="90"/>
      <c r="AE155" s="140" t="s">
        <v>207</v>
      </c>
      <c r="AF155" s="178" t="str">
        <f t="shared" si="6"/>
        <v>C</v>
      </c>
      <c r="AG155" s="52" t="str">
        <f t="shared" si="7"/>
        <v>UTILIZOU O PDA CORRETAMENTE</v>
      </c>
      <c r="AH155" s="140"/>
      <c r="AI155" s="182" t="s">
        <v>36</v>
      </c>
      <c r="AJ155" s="93" t="str">
        <f t="shared" si="8"/>
        <v>SÃO PAULO</v>
      </c>
      <c r="AK155" s="183" t="s">
        <v>54</v>
      </c>
    </row>
    <row r="156" spans="1:37" ht="30" customHeight="1">
      <c r="A156" s="198" t="s">
        <v>198</v>
      </c>
      <c r="B156" s="198">
        <v>2618773550</v>
      </c>
      <c r="C156" s="198" t="s">
        <v>111</v>
      </c>
      <c r="D156" s="198" t="s">
        <v>92</v>
      </c>
      <c r="E156" s="198" t="s">
        <v>35</v>
      </c>
      <c r="F156" s="198" t="s">
        <v>496</v>
      </c>
      <c r="G156" s="198">
        <v>247</v>
      </c>
      <c r="H156" s="198" t="s">
        <v>205</v>
      </c>
      <c r="I156" s="198" t="s">
        <v>497</v>
      </c>
      <c r="J156" s="198" t="s">
        <v>111</v>
      </c>
      <c r="K156" s="198" t="s">
        <v>200</v>
      </c>
      <c r="L156" s="199">
        <v>46148.665972222225</v>
      </c>
      <c r="M156" s="199">
        <v>46148.666666666664</v>
      </c>
      <c r="N156" s="198" t="s">
        <v>206</v>
      </c>
      <c r="O156" s="152" t="s">
        <v>207</v>
      </c>
      <c r="P156" s="90"/>
      <c r="Q156" s="140" t="s">
        <v>77</v>
      </c>
      <c r="R156" s="90"/>
      <c r="S156" s="140" t="s">
        <v>77</v>
      </c>
      <c r="T156" s="90"/>
      <c r="U156" s="140" t="s">
        <v>77</v>
      </c>
      <c r="V156" s="90"/>
      <c r="W156" s="140" t="s">
        <v>77</v>
      </c>
      <c r="X156" s="90"/>
      <c r="Y156" s="140" t="s">
        <v>77</v>
      </c>
      <c r="Z156" s="90"/>
      <c r="AA156" s="140" t="s">
        <v>207</v>
      </c>
      <c r="AB156" s="90"/>
      <c r="AC156" s="140" t="s">
        <v>207</v>
      </c>
      <c r="AD156" s="90"/>
      <c r="AE156" s="140" t="s">
        <v>207</v>
      </c>
      <c r="AF156" s="178" t="str">
        <f t="shared" si="6"/>
        <v>C</v>
      </c>
      <c r="AG156" s="52" t="str">
        <f t="shared" si="7"/>
        <v>UTILIZOU O PDA CORRETAMENTE</v>
      </c>
      <c r="AH156" s="140"/>
      <c r="AI156" s="182" t="s">
        <v>36</v>
      </c>
      <c r="AJ156" s="93" t="str">
        <f t="shared" si="8"/>
        <v>SÃO PAULO</v>
      </c>
      <c r="AK156" s="183" t="s">
        <v>54</v>
      </c>
    </row>
    <row r="157" spans="1:37" ht="30" customHeight="1">
      <c r="A157" s="198" t="s">
        <v>198</v>
      </c>
      <c r="B157" s="198">
        <v>2618773546</v>
      </c>
      <c r="C157" s="198" t="s">
        <v>109</v>
      </c>
      <c r="D157" s="198" t="s">
        <v>92</v>
      </c>
      <c r="E157" s="198" t="s">
        <v>35</v>
      </c>
      <c r="F157" s="198" t="s">
        <v>496</v>
      </c>
      <c r="G157" s="198">
        <v>247</v>
      </c>
      <c r="H157" s="198" t="s">
        <v>208</v>
      </c>
      <c r="I157" s="198" t="s">
        <v>497</v>
      </c>
      <c r="J157" s="198" t="s">
        <v>109</v>
      </c>
      <c r="K157" s="198"/>
      <c r="L157" s="199">
        <v>46148.663194444445</v>
      </c>
      <c r="M157" s="199">
        <v>46148.665277777778</v>
      </c>
      <c r="N157" s="198" t="s">
        <v>206</v>
      </c>
      <c r="O157" s="152" t="s">
        <v>207</v>
      </c>
      <c r="P157" s="90"/>
      <c r="Q157" s="140" t="s">
        <v>77</v>
      </c>
      <c r="R157" s="90"/>
      <c r="S157" s="140" t="s">
        <v>77</v>
      </c>
      <c r="T157" s="90"/>
      <c r="U157" s="140" t="s">
        <v>77</v>
      </c>
      <c r="V157" s="90"/>
      <c r="W157" s="140" t="s">
        <v>77</v>
      </c>
      <c r="X157" s="90"/>
      <c r="Y157" s="140" t="s">
        <v>77</v>
      </c>
      <c r="Z157" s="90"/>
      <c r="AA157" s="140" t="s">
        <v>207</v>
      </c>
      <c r="AB157" s="90"/>
      <c r="AC157" s="140" t="s">
        <v>207</v>
      </c>
      <c r="AD157" s="90"/>
      <c r="AE157" s="140" t="s">
        <v>207</v>
      </c>
      <c r="AF157" s="178" t="str">
        <f t="shared" si="6"/>
        <v>C</v>
      </c>
      <c r="AG157" s="52" t="str">
        <f t="shared" si="7"/>
        <v>UTILIZOU O PDA CORRETAMENTE</v>
      </c>
      <c r="AH157" s="140"/>
      <c r="AI157" s="182" t="s">
        <v>36</v>
      </c>
      <c r="AJ157" s="93" t="str">
        <f t="shared" si="8"/>
        <v>SÃO PAULO</v>
      </c>
      <c r="AK157" s="183" t="s">
        <v>54</v>
      </c>
    </row>
    <row r="158" spans="1:37" ht="30" customHeight="1">
      <c r="A158" s="198" t="s">
        <v>198</v>
      </c>
      <c r="B158" s="198">
        <v>2618773552</v>
      </c>
      <c r="C158" s="198" t="s">
        <v>111</v>
      </c>
      <c r="D158" s="198" t="s">
        <v>92</v>
      </c>
      <c r="E158" s="198" t="s">
        <v>35</v>
      </c>
      <c r="F158" s="198" t="s">
        <v>496</v>
      </c>
      <c r="G158" s="198">
        <v>247</v>
      </c>
      <c r="H158" s="198" t="s">
        <v>257</v>
      </c>
      <c r="I158" s="198" t="s">
        <v>497</v>
      </c>
      <c r="J158" s="198" t="s">
        <v>111</v>
      </c>
      <c r="K158" s="198" t="s">
        <v>200</v>
      </c>
      <c r="L158" s="199">
        <v>46148.659722222219</v>
      </c>
      <c r="M158" s="199">
        <v>46148.662499999999</v>
      </c>
      <c r="N158" s="198" t="s">
        <v>206</v>
      </c>
      <c r="O158" s="152" t="s">
        <v>207</v>
      </c>
      <c r="P158" s="90"/>
      <c r="Q158" s="140" t="s">
        <v>77</v>
      </c>
      <c r="R158" s="90"/>
      <c r="S158" s="140" t="s">
        <v>77</v>
      </c>
      <c r="T158" s="90"/>
      <c r="U158" s="140" t="s">
        <v>77</v>
      </c>
      <c r="V158" s="90"/>
      <c r="W158" s="140" t="s">
        <v>77</v>
      </c>
      <c r="X158" s="90"/>
      <c r="Y158" s="140" t="s">
        <v>77</v>
      </c>
      <c r="Z158" s="90"/>
      <c r="AA158" s="140" t="s">
        <v>207</v>
      </c>
      <c r="AB158" s="90"/>
      <c r="AC158" s="140" t="s">
        <v>207</v>
      </c>
      <c r="AD158" s="90"/>
      <c r="AE158" s="140" t="s">
        <v>207</v>
      </c>
      <c r="AF158" s="178" t="str">
        <f t="shared" si="6"/>
        <v>C</v>
      </c>
      <c r="AG158" s="52" t="str">
        <f t="shared" si="7"/>
        <v>UTILIZOU O PDA CORRETAMENTE</v>
      </c>
      <c r="AH158" s="140"/>
      <c r="AI158" s="182" t="s">
        <v>36</v>
      </c>
      <c r="AJ158" s="93" t="str">
        <f t="shared" si="8"/>
        <v>SÃO PAULO</v>
      </c>
      <c r="AK158" s="183" t="s">
        <v>54</v>
      </c>
    </row>
    <row r="159" spans="1:37" ht="30" customHeight="1">
      <c r="A159" s="198" t="s">
        <v>198</v>
      </c>
      <c r="B159" s="198">
        <v>2618776325</v>
      </c>
      <c r="C159" s="198" t="s">
        <v>118</v>
      </c>
      <c r="D159" s="198" t="s">
        <v>96</v>
      </c>
      <c r="E159" s="198" t="s">
        <v>35</v>
      </c>
      <c r="F159" s="198" t="s">
        <v>498</v>
      </c>
      <c r="G159" s="198">
        <v>6241</v>
      </c>
      <c r="H159" s="198" t="s">
        <v>205</v>
      </c>
      <c r="I159" s="198" t="s">
        <v>499</v>
      </c>
      <c r="J159" s="198" t="s">
        <v>301</v>
      </c>
      <c r="K159" s="198"/>
      <c r="L159" s="199">
        <v>46148.299305555556</v>
      </c>
      <c r="M159" s="199">
        <v>46148.383333333331</v>
      </c>
      <c r="N159" s="198" t="s">
        <v>262</v>
      </c>
      <c r="O159" s="152" t="s">
        <v>207</v>
      </c>
      <c r="P159" s="90"/>
      <c r="Q159" s="140" t="s">
        <v>77</v>
      </c>
      <c r="R159" s="90"/>
      <c r="S159" s="140" t="s">
        <v>214</v>
      </c>
      <c r="T159" s="90"/>
      <c r="U159" s="140" t="s">
        <v>77</v>
      </c>
      <c r="V159" s="90"/>
      <c r="W159" s="140" t="s">
        <v>214</v>
      </c>
      <c r="X159" s="90"/>
      <c r="Y159" s="140" t="s">
        <v>77</v>
      </c>
      <c r="Z159" s="90"/>
      <c r="AA159" s="140" t="s">
        <v>214</v>
      </c>
      <c r="AB159" s="90"/>
      <c r="AC159" s="140" t="s">
        <v>215</v>
      </c>
      <c r="AD159" s="90" t="s">
        <v>484</v>
      </c>
      <c r="AE159" s="140" t="s">
        <v>207</v>
      </c>
      <c r="AF159" s="178" t="str">
        <f t="shared" si="6"/>
        <v>NC</v>
      </c>
      <c r="AG159" s="52" t="str">
        <f t="shared" si="7"/>
        <v>UTILIZOU O PDA CORRETAMENTE. NÃO HÁ FOTOS DE TODAS AS ETAPAS</v>
      </c>
      <c r="AH159" s="140"/>
      <c r="AI159" s="182" t="s">
        <v>36</v>
      </c>
      <c r="AJ159" s="93" t="str">
        <f t="shared" si="8"/>
        <v>SÃO PAULO</v>
      </c>
      <c r="AK159" s="183" t="s">
        <v>54</v>
      </c>
    </row>
    <row r="160" spans="1:37" ht="30" customHeight="1">
      <c r="A160" s="198" t="s">
        <v>198</v>
      </c>
      <c r="B160" s="198">
        <v>2618465194</v>
      </c>
      <c r="C160" s="198" t="s">
        <v>121</v>
      </c>
      <c r="D160" s="198" t="s">
        <v>96</v>
      </c>
      <c r="E160" s="198" t="s">
        <v>35</v>
      </c>
      <c r="F160" s="198" t="s">
        <v>500</v>
      </c>
      <c r="G160" s="198">
        <v>15</v>
      </c>
      <c r="H160" s="198" t="s">
        <v>257</v>
      </c>
      <c r="I160" s="198" t="s">
        <v>501</v>
      </c>
      <c r="J160" s="198" t="s">
        <v>202</v>
      </c>
      <c r="K160" s="198" t="s">
        <v>502</v>
      </c>
      <c r="L160" s="199">
        <v>46148.240972222222</v>
      </c>
      <c r="M160" s="199">
        <v>46148.245138888888</v>
      </c>
      <c r="N160" s="198" t="s">
        <v>331</v>
      </c>
      <c r="O160" s="152" t="s">
        <v>207</v>
      </c>
      <c r="P160" s="90"/>
      <c r="Q160" s="140" t="s">
        <v>77</v>
      </c>
      <c r="R160" s="90"/>
      <c r="S160" s="140" t="s">
        <v>214</v>
      </c>
      <c r="T160" s="90"/>
      <c r="U160" s="140" t="s">
        <v>77</v>
      </c>
      <c r="V160" s="90"/>
      <c r="W160" s="140" t="s">
        <v>214</v>
      </c>
      <c r="X160" s="90"/>
      <c r="Y160" s="140" t="s">
        <v>77</v>
      </c>
      <c r="Z160" s="90"/>
      <c r="AA160" s="140" t="s">
        <v>214</v>
      </c>
      <c r="AB160" s="90"/>
      <c r="AC160" s="140" t="s">
        <v>215</v>
      </c>
      <c r="AD160" s="90" t="s">
        <v>484</v>
      </c>
      <c r="AE160" s="140" t="s">
        <v>207</v>
      </c>
      <c r="AF160" s="178" t="str">
        <f t="shared" si="6"/>
        <v>NC</v>
      </c>
      <c r="AG160" s="52" t="str">
        <f t="shared" si="7"/>
        <v>UTILIZOU O PDA CORRETAMENTE. NÃO HÁ FOTOS DE TODAS AS ETAPAS</v>
      </c>
      <c r="AH160" s="140"/>
      <c r="AI160" s="182" t="s">
        <v>36</v>
      </c>
      <c r="AJ160" s="93" t="str">
        <f t="shared" si="8"/>
        <v>SÃO PAULO</v>
      </c>
      <c r="AK160" s="183" t="s">
        <v>54</v>
      </c>
    </row>
    <row r="161" spans="1:37" ht="30" customHeight="1">
      <c r="A161" s="198" t="s">
        <v>198</v>
      </c>
      <c r="B161" s="198">
        <v>2692391194</v>
      </c>
      <c r="C161" s="198" t="s">
        <v>118</v>
      </c>
      <c r="D161" s="198" t="s">
        <v>96</v>
      </c>
      <c r="E161" s="198" t="s">
        <v>35</v>
      </c>
      <c r="F161" s="198" t="s">
        <v>503</v>
      </c>
      <c r="G161" s="198">
        <v>147</v>
      </c>
      <c r="H161" s="198"/>
      <c r="I161" s="198" t="s">
        <v>440</v>
      </c>
      <c r="J161" s="198" t="s">
        <v>260</v>
      </c>
      <c r="K161" s="198"/>
      <c r="L161" s="199">
        <v>46148.122916666667</v>
      </c>
      <c r="M161" s="199">
        <v>46148.140277777777</v>
      </c>
      <c r="N161" s="198" t="s">
        <v>320</v>
      </c>
      <c r="O161" s="152" t="s">
        <v>207</v>
      </c>
      <c r="P161" s="90"/>
      <c r="Q161" s="140" t="s">
        <v>77</v>
      </c>
      <c r="R161" s="90"/>
      <c r="S161" s="140" t="s">
        <v>214</v>
      </c>
      <c r="T161" s="90"/>
      <c r="U161" s="140" t="s">
        <v>77</v>
      </c>
      <c r="V161" s="90"/>
      <c r="W161" s="140" t="s">
        <v>214</v>
      </c>
      <c r="X161" s="90"/>
      <c r="Y161" s="140" t="s">
        <v>77</v>
      </c>
      <c r="Z161" s="90"/>
      <c r="AA161" s="140" t="s">
        <v>214</v>
      </c>
      <c r="AB161" s="90"/>
      <c r="AC161" s="140" t="s">
        <v>215</v>
      </c>
      <c r="AD161" s="90" t="s">
        <v>484</v>
      </c>
      <c r="AE161" s="140" t="s">
        <v>207</v>
      </c>
      <c r="AF161" s="178" t="str">
        <f t="shared" si="6"/>
        <v>NC</v>
      </c>
      <c r="AG161" s="52" t="str">
        <f t="shared" si="7"/>
        <v>UTILIZOU O PDA CORRETAMENTE. NÃO HÁ FOTOS DE TODAS AS ETAPAS</v>
      </c>
      <c r="AH161" s="140"/>
      <c r="AI161" s="182" t="s">
        <v>36</v>
      </c>
      <c r="AJ161" s="93" t="str">
        <f t="shared" si="8"/>
        <v>SÃO PAULO</v>
      </c>
      <c r="AK161" s="183" t="s">
        <v>54</v>
      </c>
    </row>
    <row r="162" spans="1:37" ht="30" customHeight="1">
      <c r="A162" s="198" t="s">
        <v>198</v>
      </c>
      <c r="B162" s="198">
        <v>2692454111</v>
      </c>
      <c r="C162" s="198" t="s">
        <v>117</v>
      </c>
      <c r="D162" s="198" t="s">
        <v>96</v>
      </c>
      <c r="E162" s="198" t="s">
        <v>35</v>
      </c>
      <c r="F162" s="198" t="s">
        <v>504</v>
      </c>
      <c r="G162" s="198">
        <v>20</v>
      </c>
      <c r="H162" s="198" t="s">
        <v>200</v>
      </c>
      <c r="I162" s="198" t="s">
        <v>314</v>
      </c>
      <c r="J162" s="198" t="s">
        <v>260</v>
      </c>
      <c r="K162" s="198" t="s">
        <v>502</v>
      </c>
      <c r="L162" s="199">
        <v>46148.136111111111</v>
      </c>
      <c r="M162" s="199">
        <v>46148.236805555556</v>
      </c>
      <c r="N162" s="198" t="s">
        <v>331</v>
      </c>
      <c r="O162" s="152" t="s">
        <v>207</v>
      </c>
      <c r="P162" s="90"/>
      <c r="Q162" s="140" t="s">
        <v>77</v>
      </c>
      <c r="R162" s="90"/>
      <c r="S162" s="140" t="s">
        <v>214</v>
      </c>
      <c r="T162" s="90"/>
      <c r="U162" s="140" t="s">
        <v>214</v>
      </c>
      <c r="V162" s="90"/>
      <c r="W162" s="140" t="s">
        <v>214</v>
      </c>
      <c r="X162" s="90"/>
      <c r="Y162" s="140" t="s">
        <v>77</v>
      </c>
      <c r="Z162" s="90"/>
      <c r="AA162" s="140" t="s">
        <v>214</v>
      </c>
      <c r="AB162" s="90"/>
      <c r="AC162" s="140" t="s">
        <v>214</v>
      </c>
      <c r="AD162" s="90"/>
      <c r="AE162" s="140" t="s">
        <v>207</v>
      </c>
      <c r="AF162" s="178" t="str">
        <f t="shared" si="6"/>
        <v>NC</v>
      </c>
      <c r="AG162" s="52" t="str">
        <f t="shared" si="7"/>
        <v>UTILIZOU O PDA CORRETAMENTE. NÃO HÁ FOTOS DE TODAS AS ETAPAS</v>
      </c>
      <c r="AH162" s="140"/>
      <c r="AI162" s="182" t="s">
        <v>36</v>
      </c>
      <c r="AJ162" s="93" t="str">
        <f t="shared" si="8"/>
        <v>SÃO PAULO</v>
      </c>
      <c r="AK162" s="183" t="s">
        <v>54</v>
      </c>
    </row>
    <row r="163" spans="1:37" ht="30" customHeight="1">
      <c r="A163" s="198" t="s">
        <v>198</v>
      </c>
      <c r="B163" s="198">
        <v>2618611544</v>
      </c>
      <c r="C163" s="198" t="s">
        <v>118</v>
      </c>
      <c r="D163" s="198" t="s">
        <v>96</v>
      </c>
      <c r="E163" s="198" t="s">
        <v>35</v>
      </c>
      <c r="F163" s="198" t="s">
        <v>276</v>
      </c>
      <c r="G163" s="198">
        <v>109</v>
      </c>
      <c r="H163" s="198"/>
      <c r="I163" s="198" t="s">
        <v>277</v>
      </c>
      <c r="J163" s="198" t="s">
        <v>267</v>
      </c>
      <c r="K163" s="198"/>
      <c r="L163" s="199">
        <v>46148.336805555555</v>
      </c>
      <c r="M163" s="199">
        <v>46148.338888888888</v>
      </c>
      <c r="N163" s="198" t="s">
        <v>288</v>
      </c>
      <c r="O163" s="152" t="s">
        <v>77</v>
      </c>
      <c r="P163" s="90"/>
      <c r="Q163" s="256" t="s">
        <v>77</v>
      </c>
      <c r="R163" s="90"/>
      <c r="S163" s="256" t="s">
        <v>77</v>
      </c>
      <c r="T163" s="90"/>
      <c r="U163" s="256" t="s">
        <v>77</v>
      </c>
      <c r="V163" s="90"/>
      <c r="W163" s="256" t="s">
        <v>77</v>
      </c>
      <c r="X163" s="90"/>
      <c r="Y163" s="256" t="s">
        <v>77</v>
      </c>
      <c r="Z163" s="90"/>
      <c r="AA163" s="256" t="s">
        <v>77</v>
      </c>
      <c r="AB163" s="90"/>
      <c r="AC163" s="256" t="s">
        <v>77</v>
      </c>
      <c r="AD163" s="90"/>
      <c r="AE163" s="256" t="s">
        <v>77</v>
      </c>
      <c r="AF163" s="178" t="str">
        <f t="shared" si="6"/>
        <v>NA</v>
      </c>
      <c r="AG163" s="52" t="str">
        <f t="shared" si="7"/>
        <v>NÃO AVALIADO POR FALHA DE SINCRONISMO</v>
      </c>
      <c r="AH163" s="140" t="s">
        <v>207</v>
      </c>
      <c r="AI163" s="182" t="s">
        <v>36</v>
      </c>
      <c r="AJ163" s="93" t="str">
        <f t="shared" si="8"/>
        <v>SÃO PAULO</v>
      </c>
      <c r="AK163" s="183" t="s">
        <v>54</v>
      </c>
    </row>
    <row r="164" spans="1:37" ht="30" customHeight="1">
      <c r="A164" s="198" t="s">
        <v>198</v>
      </c>
      <c r="B164" s="319">
        <v>2618609122</v>
      </c>
      <c r="C164" s="198" t="s">
        <v>118</v>
      </c>
      <c r="D164" s="198" t="s">
        <v>96</v>
      </c>
      <c r="E164" s="198" t="s">
        <v>35</v>
      </c>
      <c r="F164" s="198" t="s">
        <v>505</v>
      </c>
      <c r="G164" s="198">
        <v>212</v>
      </c>
      <c r="H164" s="198" t="s">
        <v>205</v>
      </c>
      <c r="I164" s="198" t="s">
        <v>455</v>
      </c>
      <c r="J164" s="198" t="s">
        <v>267</v>
      </c>
      <c r="K164" s="198" t="s">
        <v>506</v>
      </c>
      <c r="L164" s="199">
        <v>46148.334722222222</v>
      </c>
      <c r="M164" s="199">
        <v>46148.335416666669</v>
      </c>
      <c r="N164" s="198" t="s">
        <v>323</v>
      </c>
      <c r="O164" s="152" t="s">
        <v>207</v>
      </c>
      <c r="P164" s="90"/>
      <c r="Q164" s="140" t="s">
        <v>207</v>
      </c>
      <c r="R164" s="90"/>
      <c r="S164" s="140" t="s">
        <v>207</v>
      </c>
      <c r="T164" s="90"/>
      <c r="U164" s="140" t="s">
        <v>207</v>
      </c>
      <c r="V164" s="90"/>
      <c r="W164" s="140" t="s">
        <v>207</v>
      </c>
      <c r="X164" s="90"/>
      <c r="Y164" s="140" t="s">
        <v>77</v>
      </c>
      <c r="Z164" s="90"/>
      <c r="AA164" s="140" t="s">
        <v>207</v>
      </c>
      <c r="AB164" s="90"/>
      <c r="AC164" s="140" t="s">
        <v>207</v>
      </c>
      <c r="AD164" s="90"/>
      <c r="AE164" s="140" t="s">
        <v>207</v>
      </c>
      <c r="AF164" s="178" t="str">
        <f t="shared" si="6"/>
        <v>C</v>
      </c>
      <c r="AG164" s="52" t="str">
        <f t="shared" si="7"/>
        <v>UTILIZOU O PDA CORRETAMENTE</v>
      </c>
      <c r="AH164" s="140" t="s">
        <v>207</v>
      </c>
      <c r="AI164" s="182" t="s">
        <v>36</v>
      </c>
      <c r="AJ164" s="93" t="str">
        <f t="shared" si="8"/>
        <v>SÃO PAULO</v>
      </c>
      <c r="AK164" s="183" t="s">
        <v>54</v>
      </c>
    </row>
    <row r="165" spans="1:37" ht="30" customHeight="1">
      <c r="A165" s="198" t="s">
        <v>198</v>
      </c>
      <c r="B165" s="319">
        <v>2618378588</v>
      </c>
      <c r="C165" s="198" t="s">
        <v>121</v>
      </c>
      <c r="D165" s="198" t="s">
        <v>96</v>
      </c>
      <c r="E165" s="198" t="s">
        <v>35</v>
      </c>
      <c r="F165" s="198" t="s">
        <v>507</v>
      </c>
      <c r="G165" s="198">
        <v>197</v>
      </c>
      <c r="H165" s="198" t="s">
        <v>508</v>
      </c>
      <c r="I165" s="198" t="s">
        <v>433</v>
      </c>
      <c r="J165" s="198" t="s">
        <v>336</v>
      </c>
      <c r="K165" s="198"/>
      <c r="L165" s="199">
        <v>46148.293055555558</v>
      </c>
      <c r="M165" s="199">
        <v>46148.295138888891</v>
      </c>
      <c r="N165" s="198" t="s">
        <v>274</v>
      </c>
      <c r="O165" s="152" t="s">
        <v>207</v>
      </c>
      <c r="P165" s="90"/>
      <c r="Q165" s="140" t="s">
        <v>207</v>
      </c>
      <c r="R165" s="90"/>
      <c r="S165" s="140" t="s">
        <v>207</v>
      </c>
      <c r="T165" s="90"/>
      <c r="U165" s="140" t="s">
        <v>207</v>
      </c>
      <c r="V165" s="90"/>
      <c r="W165" s="140" t="s">
        <v>207</v>
      </c>
      <c r="X165" s="90"/>
      <c r="Y165" s="140" t="s">
        <v>77</v>
      </c>
      <c r="Z165" s="90"/>
      <c r="AA165" s="140" t="s">
        <v>207</v>
      </c>
      <c r="AB165" s="90"/>
      <c r="AC165" s="140" t="s">
        <v>207</v>
      </c>
      <c r="AD165" s="90"/>
      <c r="AE165" s="140" t="s">
        <v>207</v>
      </c>
      <c r="AF165" s="178" t="str">
        <f t="shared" si="6"/>
        <v>C</v>
      </c>
      <c r="AG165" s="52" t="str">
        <f t="shared" si="7"/>
        <v>UTILIZOU O PDA CORRETAMENTE</v>
      </c>
      <c r="AH165" s="140" t="s">
        <v>207</v>
      </c>
      <c r="AI165" s="182" t="s">
        <v>36</v>
      </c>
      <c r="AJ165" s="93" t="str">
        <f t="shared" si="8"/>
        <v>SÃO PAULO</v>
      </c>
      <c r="AK165" s="183" t="s">
        <v>54</v>
      </c>
    </row>
    <row r="166" spans="1:37" ht="30" customHeight="1">
      <c r="A166" s="198" t="s">
        <v>198</v>
      </c>
      <c r="B166" s="198">
        <v>2692473669</v>
      </c>
      <c r="C166" s="198" t="s">
        <v>118</v>
      </c>
      <c r="D166" s="198" t="s">
        <v>96</v>
      </c>
      <c r="E166" s="198" t="s">
        <v>35</v>
      </c>
      <c r="F166" s="198" t="s">
        <v>509</v>
      </c>
      <c r="G166" s="198">
        <v>70</v>
      </c>
      <c r="H166" s="198" t="s">
        <v>200</v>
      </c>
      <c r="I166" s="198" t="s">
        <v>510</v>
      </c>
      <c r="J166" s="198" t="s">
        <v>267</v>
      </c>
      <c r="K166" s="198" t="s">
        <v>200</v>
      </c>
      <c r="L166" s="199">
        <v>46148.122916666667</v>
      </c>
      <c r="M166" s="199">
        <v>46148.125</v>
      </c>
      <c r="N166" s="198" t="s">
        <v>232</v>
      </c>
      <c r="O166" s="152" t="s">
        <v>207</v>
      </c>
      <c r="P166" s="90"/>
      <c r="Q166" s="140" t="s">
        <v>214</v>
      </c>
      <c r="R166" s="90"/>
      <c r="S166" s="140" t="s">
        <v>77</v>
      </c>
      <c r="T166" s="90"/>
      <c r="U166" s="140" t="s">
        <v>215</v>
      </c>
      <c r="V166" s="90" t="s">
        <v>453</v>
      </c>
      <c r="W166" s="140" t="s">
        <v>207</v>
      </c>
      <c r="X166" s="90"/>
      <c r="Y166" s="140" t="s">
        <v>77</v>
      </c>
      <c r="Z166" s="90"/>
      <c r="AA166" s="140" t="s">
        <v>214</v>
      </c>
      <c r="AB166" s="90"/>
      <c r="AC166" s="140" t="s">
        <v>207</v>
      </c>
      <c r="AD166" s="90"/>
      <c r="AE166" s="140" t="s">
        <v>207</v>
      </c>
      <c r="AF166" s="178" t="str">
        <f t="shared" si="6"/>
        <v>NC</v>
      </c>
      <c r="AG166" s="52" t="str">
        <f t="shared" si="7"/>
        <v>UTILIZOU O PDA CORRETAMENTE. NÃO HÁ FOTOS DE TODAS AS ETAPAS</v>
      </c>
      <c r="AH166" s="140"/>
      <c r="AI166" s="182" t="s">
        <v>36</v>
      </c>
      <c r="AJ166" s="93" t="str">
        <f t="shared" si="8"/>
        <v>SÃO PAULO</v>
      </c>
      <c r="AK166" s="183" t="s">
        <v>54</v>
      </c>
    </row>
    <row r="167" spans="1:37" ht="30" customHeight="1">
      <c r="A167" s="198" t="s">
        <v>198</v>
      </c>
      <c r="B167" s="198">
        <v>2692472975</v>
      </c>
      <c r="C167" s="198" t="s">
        <v>118</v>
      </c>
      <c r="D167" s="198" t="s">
        <v>96</v>
      </c>
      <c r="E167" s="198" t="s">
        <v>35</v>
      </c>
      <c r="F167" s="198" t="s">
        <v>511</v>
      </c>
      <c r="G167" s="198">
        <v>483</v>
      </c>
      <c r="H167" s="198" t="s">
        <v>512</v>
      </c>
      <c r="I167" s="198" t="s">
        <v>513</v>
      </c>
      <c r="J167" s="198" t="s">
        <v>301</v>
      </c>
      <c r="K167" s="198"/>
      <c r="L167" s="199">
        <v>46148.146527777775</v>
      </c>
      <c r="M167" s="199">
        <v>46148.147916666669</v>
      </c>
      <c r="N167" s="198" t="s">
        <v>364</v>
      </c>
      <c r="O167" s="152" t="s">
        <v>207</v>
      </c>
      <c r="P167" s="90"/>
      <c r="Q167" s="140" t="s">
        <v>207</v>
      </c>
      <c r="R167" s="90"/>
      <c r="S167" s="140" t="s">
        <v>214</v>
      </c>
      <c r="T167" s="90"/>
      <c r="U167" s="140" t="s">
        <v>215</v>
      </c>
      <c r="V167" s="90" t="s">
        <v>453</v>
      </c>
      <c r="W167" s="140" t="s">
        <v>207</v>
      </c>
      <c r="X167" s="90"/>
      <c r="Y167" s="140" t="s">
        <v>77</v>
      </c>
      <c r="Z167" s="90"/>
      <c r="AA167" s="140" t="s">
        <v>214</v>
      </c>
      <c r="AB167" s="90"/>
      <c r="AC167" s="140" t="s">
        <v>207</v>
      </c>
      <c r="AD167" s="90"/>
      <c r="AE167" s="140" t="s">
        <v>207</v>
      </c>
      <c r="AF167" s="178" t="str">
        <f t="shared" si="6"/>
        <v>NC</v>
      </c>
      <c r="AG167" s="52" t="str">
        <f t="shared" si="7"/>
        <v>UTILIZOU O PDA CORRETAMENTE. NÃO HÁ FOTOS DE TODAS AS ETAPAS</v>
      </c>
      <c r="AH167" s="140"/>
      <c r="AI167" s="182" t="s">
        <v>36</v>
      </c>
      <c r="AJ167" s="93" t="str">
        <f t="shared" si="8"/>
        <v>SÃO PAULO</v>
      </c>
      <c r="AK167" s="183" t="s">
        <v>54</v>
      </c>
    </row>
    <row r="168" spans="1:37" ht="30" customHeight="1">
      <c r="A168" s="198" t="s">
        <v>198</v>
      </c>
      <c r="B168" s="198">
        <v>2692433676</v>
      </c>
      <c r="C168" s="198" t="s">
        <v>122</v>
      </c>
      <c r="D168" s="198" t="s">
        <v>96</v>
      </c>
      <c r="E168" s="198" t="s">
        <v>35</v>
      </c>
      <c r="F168" s="198" t="s">
        <v>514</v>
      </c>
      <c r="G168" s="198">
        <v>389</v>
      </c>
      <c r="H168" s="198" t="s">
        <v>200</v>
      </c>
      <c r="I168" s="198" t="s">
        <v>515</v>
      </c>
      <c r="J168" s="198" t="s">
        <v>267</v>
      </c>
      <c r="K168" s="198" t="s">
        <v>516</v>
      </c>
      <c r="L168" s="199">
        <v>46148.088888888888</v>
      </c>
      <c r="M168" s="199">
        <v>46148.091666666667</v>
      </c>
      <c r="N168" s="198" t="s">
        <v>517</v>
      </c>
      <c r="O168" s="152" t="s">
        <v>207</v>
      </c>
      <c r="P168" s="90"/>
      <c r="Q168" s="140" t="s">
        <v>207</v>
      </c>
      <c r="R168" s="90"/>
      <c r="S168" s="140" t="s">
        <v>214</v>
      </c>
      <c r="T168" s="90"/>
      <c r="U168" s="140" t="s">
        <v>215</v>
      </c>
      <c r="V168" s="90" t="s">
        <v>453</v>
      </c>
      <c r="W168" s="140" t="s">
        <v>207</v>
      </c>
      <c r="X168" s="90"/>
      <c r="Y168" s="140" t="s">
        <v>77</v>
      </c>
      <c r="Z168" s="90"/>
      <c r="AA168" s="140" t="s">
        <v>214</v>
      </c>
      <c r="AB168" s="90"/>
      <c r="AC168" s="140" t="s">
        <v>207</v>
      </c>
      <c r="AD168" s="90"/>
      <c r="AE168" s="140" t="s">
        <v>207</v>
      </c>
      <c r="AF168" s="178" t="str">
        <f t="shared" si="6"/>
        <v>NC</v>
      </c>
      <c r="AG168" s="52" t="str">
        <f t="shared" si="7"/>
        <v>UTILIZOU O PDA CORRETAMENTE. NÃO HÁ FOTOS DE TODAS AS ETAPAS</v>
      </c>
      <c r="AH168" s="140"/>
      <c r="AI168" s="182" t="s">
        <v>36</v>
      </c>
      <c r="AJ168" s="93" t="str">
        <f t="shared" si="8"/>
        <v>SÃO PAULO</v>
      </c>
      <c r="AK168" s="183" t="s">
        <v>54</v>
      </c>
    </row>
    <row r="169" spans="1:37" ht="30" customHeight="1">
      <c r="A169" s="198" t="s">
        <v>198</v>
      </c>
      <c r="B169" s="198">
        <v>2618865954</v>
      </c>
      <c r="C169" s="198" t="s">
        <v>118</v>
      </c>
      <c r="D169" s="198" t="s">
        <v>96</v>
      </c>
      <c r="E169" s="198" t="s">
        <v>35</v>
      </c>
      <c r="F169" s="198" t="s">
        <v>518</v>
      </c>
      <c r="G169" s="198">
        <v>129</v>
      </c>
      <c r="H169" s="198"/>
      <c r="I169" s="198" t="s">
        <v>440</v>
      </c>
      <c r="J169" s="198" t="s">
        <v>260</v>
      </c>
      <c r="K169" s="198"/>
      <c r="L169" s="199">
        <v>46148.29583333333</v>
      </c>
      <c r="M169" s="199">
        <v>46148.347916666666</v>
      </c>
      <c r="N169" s="198" t="s">
        <v>320</v>
      </c>
      <c r="O169" s="152" t="s">
        <v>207</v>
      </c>
      <c r="P169" s="90"/>
      <c r="Q169" s="140" t="s">
        <v>207</v>
      </c>
      <c r="R169" s="90"/>
      <c r="S169" s="140" t="s">
        <v>214</v>
      </c>
      <c r="T169" s="90"/>
      <c r="U169" s="140" t="s">
        <v>207</v>
      </c>
      <c r="V169" s="90"/>
      <c r="W169" s="140" t="s">
        <v>207</v>
      </c>
      <c r="X169" s="90"/>
      <c r="Y169" s="140" t="s">
        <v>77</v>
      </c>
      <c r="Z169" s="90"/>
      <c r="AA169" s="140" t="s">
        <v>214</v>
      </c>
      <c r="AB169" s="90"/>
      <c r="AC169" s="140" t="s">
        <v>207</v>
      </c>
      <c r="AD169" s="90"/>
      <c r="AE169" s="140" t="s">
        <v>207</v>
      </c>
      <c r="AF169" s="178" t="str">
        <f t="shared" si="6"/>
        <v>NC</v>
      </c>
      <c r="AG169" s="52" t="str">
        <f t="shared" si="7"/>
        <v>UTILIZOU O PDA CORRETAMENTE. NÃO HÁ FOTOS DE TODAS AS ETAPAS</v>
      </c>
      <c r="AH169" s="140" t="s">
        <v>207</v>
      </c>
      <c r="AI169" s="182" t="s">
        <v>36</v>
      </c>
      <c r="AJ169" s="93" t="str">
        <f t="shared" si="8"/>
        <v>SÃO PAULO</v>
      </c>
      <c r="AK169" s="183" t="s">
        <v>54</v>
      </c>
    </row>
    <row r="170" spans="1:37" ht="30" customHeight="1">
      <c r="A170" s="198" t="s">
        <v>198</v>
      </c>
      <c r="B170" s="198">
        <v>2618867055</v>
      </c>
      <c r="C170" s="198" t="s">
        <v>118</v>
      </c>
      <c r="D170" s="198" t="s">
        <v>96</v>
      </c>
      <c r="E170" s="198" t="s">
        <v>35</v>
      </c>
      <c r="F170" s="198" t="s">
        <v>519</v>
      </c>
      <c r="G170" s="198">
        <v>128</v>
      </c>
      <c r="H170" s="198" t="s">
        <v>200</v>
      </c>
      <c r="I170" s="198" t="s">
        <v>338</v>
      </c>
      <c r="J170" s="198" t="s">
        <v>301</v>
      </c>
      <c r="K170" s="198" t="s">
        <v>200</v>
      </c>
      <c r="L170" s="199">
        <v>46148.294444444444</v>
      </c>
      <c r="M170" s="199">
        <v>46148.295138888891</v>
      </c>
      <c r="N170" s="198" t="s">
        <v>364</v>
      </c>
      <c r="O170" s="152" t="s">
        <v>207</v>
      </c>
      <c r="P170" s="90"/>
      <c r="Q170" s="140" t="s">
        <v>207</v>
      </c>
      <c r="R170" s="90"/>
      <c r="S170" s="140" t="s">
        <v>207</v>
      </c>
      <c r="T170" s="90"/>
      <c r="U170" s="140" t="s">
        <v>207</v>
      </c>
      <c r="V170" s="90"/>
      <c r="W170" s="140" t="s">
        <v>207</v>
      </c>
      <c r="X170" s="90"/>
      <c r="Y170" s="140" t="s">
        <v>77</v>
      </c>
      <c r="Z170" s="90"/>
      <c r="AA170" s="140" t="s">
        <v>207</v>
      </c>
      <c r="AB170" s="90"/>
      <c r="AC170" s="140" t="s">
        <v>207</v>
      </c>
      <c r="AD170" s="90"/>
      <c r="AE170" s="140" t="s">
        <v>207</v>
      </c>
      <c r="AF170" s="178" t="str">
        <f t="shared" si="6"/>
        <v>C</v>
      </c>
      <c r="AG170" s="52" t="str">
        <f t="shared" si="7"/>
        <v>UTILIZOU O PDA CORRETAMENTE</v>
      </c>
      <c r="AH170" s="140" t="s">
        <v>207</v>
      </c>
      <c r="AI170" s="182" t="s">
        <v>36</v>
      </c>
      <c r="AJ170" s="93" t="str">
        <f t="shared" si="8"/>
        <v>SÃO PAULO</v>
      </c>
      <c r="AK170" s="183" t="s">
        <v>54</v>
      </c>
    </row>
    <row r="171" spans="1:37" ht="30" customHeight="1">
      <c r="A171" s="198" t="s">
        <v>198</v>
      </c>
      <c r="B171" s="198">
        <v>2618867579</v>
      </c>
      <c r="C171" s="198" t="s">
        <v>118</v>
      </c>
      <c r="D171" s="198" t="s">
        <v>96</v>
      </c>
      <c r="E171" s="198" t="s">
        <v>35</v>
      </c>
      <c r="F171" s="198" t="s">
        <v>520</v>
      </c>
      <c r="G171" s="198">
        <v>51</v>
      </c>
      <c r="H171" s="198"/>
      <c r="I171" s="198" t="s">
        <v>241</v>
      </c>
      <c r="J171" s="198" t="s">
        <v>260</v>
      </c>
      <c r="K171" s="198"/>
      <c r="L171" s="199">
        <v>46148.111805555556</v>
      </c>
      <c r="M171" s="199">
        <v>46148.394444444442</v>
      </c>
      <c r="N171" s="198" t="s">
        <v>403</v>
      </c>
      <c r="O171" s="152" t="s">
        <v>207</v>
      </c>
      <c r="P171" s="90"/>
      <c r="Q171" s="140" t="s">
        <v>207</v>
      </c>
      <c r="R171" s="90"/>
      <c r="S171" s="140" t="s">
        <v>207</v>
      </c>
      <c r="T171" s="90"/>
      <c r="U171" s="140" t="s">
        <v>207</v>
      </c>
      <c r="V171" s="90"/>
      <c r="W171" s="140" t="s">
        <v>207</v>
      </c>
      <c r="X171" s="90"/>
      <c r="Y171" s="140" t="s">
        <v>77</v>
      </c>
      <c r="Z171" s="90"/>
      <c r="AA171" s="140" t="s">
        <v>207</v>
      </c>
      <c r="AB171" s="90"/>
      <c r="AC171" s="140" t="s">
        <v>207</v>
      </c>
      <c r="AD171" s="90"/>
      <c r="AE171" s="140" t="s">
        <v>207</v>
      </c>
      <c r="AF171" s="178" t="str">
        <f t="shared" si="6"/>
        <v>C</v>
      </c>
      <c r="AG171" s="52" t="str">
        <f t="shared" si="7"/>
        <v>UTILIZOU O PDA CORRETAMENTE</v>
      </c>
      <c r="AH171" s="140" t="s">
        <v>207</v>
      </c>
      <c r="AI171" s="182" t="s">
        <v>36</v>
      </c>
      <c r="AJ171" s="93" t="str">
        <f t="shared" si="8"/>
        <v>SÃO PAULO</v>
      </c>
      <c r="AK171" s="183" t="s">
        <v>54</v>
      </c>
    </row>
    <row r="172" spans="1:37" ht="30" customHeight="1">
      <c r="A172" s="198" t="s">
        <v>198</v>
      </c>
      <c r="B172" s="198">
        <v>2618867300</v>
      </c>
      <c r="C172" s="198" t="s">
        <v>118</v>
      </c>
      <c r="D172" s="198" t="s">
        <v>96</v>
      </c>
      <c r="E172" s="198" t="s">
        <v>35</v>
      </c>
      <c r="F172" s="198" t="s">
        <v>521</v>
      </c>
      <c r="G172" s="198">
        <v>105</v>
      </c>
      <c r="H172" s="198" t="s">
        <v>522</v>
      </c>
      <c r="I172" s="198" t="s">
        <v>392</v>
      </c>
      <c r="J172" s="198" t="s">
        <v>301</v>
      </c>
      <c r="K172" s="198" t="s">
        <v>200</v>
      </c>
      <c r="L172" s="199">
        <v>46149.295138888891</v>
      </c>
      <c r="M172" s="199">
        <v>46149.29583333333</v>
      </c>
      <c r="N172" s="198" t="s">
        <v>345</v>
      </c>
      <c r="O172" s="152" t="s">
        <v>207</v>
      </c>
      <c r="P172" s="90"/>
      <c r="Q172" s="140" t="s">
        <v>207</v>
      </c>
      <c r="R172" s="90"/>
      <c r="S172" s="140" t="s">
        <v>207</v>
      </c>
      <c r="T172" s="90"/>
      <c r="U172" s="140" t="s">
        <v>207</v>
      </c>
      <c r="V172" s="90"/>
      <c r="W172" s="140" t="s">
        <v>207</v>
      </c>
      <c r="X172" s="90"/>
      <c r="Y172" s="140" t="s">
        <v>77</v>
      </c>
      <c r="Z172" s="90"/>
      <c r="AA172" s="140" t="s">
        <v>207</v>
      </c>
      <c r="AB172" s="90"/>
      <c r="AC172" s="140" t="s">
        <v>207</v>
      </c>
      <c r="AD172" s="90"/>
      <c r="AE172" s="140" t="s">
        <v>207</v>
      </c>
      <c r="AF172" s="178" t="str">
        <f t="shared" si="6"/>
        <v>C</v>
      </c>
      <c r="AG172" s="52" t="str">
        <f t="shared" si="7"/>
        <v>UTILIZOU O PDA CORRETAMENTE</v>
      </c>
      <c r="AH172" s="140" t="s">
        <v>207</v>
      </c>
      <c r="AI172" s="182" t="s">
        <v>36</v>
      </c>
      <c r="AJ172" s="93" t="str">
        <f t="shared" si="8"/>
        <v>SÃO PAULO</v>
      </c>
      <c r="AK172" s="183" t="s">
        <v>54</v>
      </c>
    </row>
    <row r="173" spans="1:37" ht="30" customHeight="1">
      <c r="A173" s="198" t="s">
        <v>198</v>
      </c>
      <c r="B173" s="198">
        <v>2692520680</v>
      </c>
      <c r="C173" s="198" t="s">
        <v>118</v>
      </c>
      <c r="D173" s="198" t="s">
        <v>96</v>
      </c>
      <c r="E173" s="198" t="s">
        <v>35</v>
      </c>
      <c r="F173" s="198" t="s">
        <v>523</v>
      </c>
      <c r="G173" s="198">
        <v>31</v>
      </c>
      <c r="H173" s="198" t="s">
        <v>208</v>
      </c>
      <c r="I173" s="198" t="s">
        <v>382</v>
      </c>
      <c r="J173" s="198" t="s">
        <v>301</v>
      </c>
      <c r="K173" s="198"/>
      <c r="L173" s="199">
        <v>46148.10833333333</v>
      </c>
      <c r="M173" s="199">
        <v>46148.142361111109</v>
      </c>
      <c r="N173" s="198" t="s">
        <v>251</v>
      </c>
      <c r="O173" s="152" t="s">
        <v>207</v>
      </c>
      <c r="P173" s="90"/>
      <c r="Q173" s="140" t="s">
        <v>207</v>
      </c>
      <c r="R173" s="90"/>
      <c r="S173" s="140" t="s">
        <v>207</v>
      </c>
      <c r="T173" s="90"/>
      <c r="U173" s="140" t="s">
        <v>207</v>
      </c>
      <c r="V173" s="90"/>
      <c r="W173" s="140" t="s">
        <v>207</v>
      </c>
      <c r="X173" s="90"/>
      <c r="Y173" s="140" t="s">
        <v>77</v>
      </c>
      <c r="Z173" s="90"/>
      <c r="AA173" s="140" t="s">
        <v>207</v>
      </c>
      <c r="AB173" s="90"/>
      <c r="AC173" s="140" t="s">
        <v>207</v>
      </c>
      <c r="AD173" s="90"/>
      <c r="AE173" s="140" t="s">
        <v>207</v>
      </c>
      <c r="AF173" s="178" t="str">
        <f t="shared" si="6"/>
        <v>C</v>
      </c>
      <c r="AG173" s="52" t="str">
        <f t="shared" si="7"/>
        <v>UTILIZOU O PDA CORRETAMENTE</v>
      </c>
      <c r="AH173" s="140" t="s">
        <v>207</v>
      </c>
      <c r="AI173" s="182" t="s">
        <v>36</v>
      </c>
      <c r="AJ173" s="93" t="str">
        <f t="shared" si="8"/>
        <v>SÃO PAULO</v>
      </c>
      <c r="AK173" s="183" t="s">
        <v>54</v>
      </c>
    </row>
    <row r="174" spans="1:37" ht="30" customHeight="1">
      <c r="A174" s="198" t="s">
        <v>198</v>
      </c>
      <c r="B174" s="198">
        <v>2618865579</v>
      </c>
      <c r="C174" s="198" t="s">
        <v>122</v>
      </c>
      <c r="D174" s="198" t="s">
        <v>96</v>
      </c>
      <c r="E174" s="198" t="s">
        <v>35</v>
      </c>
      <c r="F174" s="198" t="s">
        <v>524</v>
      </c>
      <c r="G174" s="198">
        <v>11</v>
      </c>
      <c r="H174" s="198" t="s">
        <v>200</v>
      </c>
      <c r="I174" s="198" t="s">
        <v>525</v>
      </c>
      <c r="J174" s="198" t="s">
        <v>267</v>
      </c>
      <c r="K174" s="198" t="s">
        <v>200</v>
      </c>
      <c r="L174" s="199">
        <v>46149.313888888886</v>
      </c>
      <c r="M174" s="199">
        <v>46149.315972222219</v>
      </c>
      <c r="N174" s="198" t="s">
        <v>323</v>
      </c>
      <c r="O174" s="152" t="s">
        <v>207</v>
      </c>
      <c r="P174" s="90"/>
      <c r="Q174" s="140" t="s">
        <v>207</v>
      </c>
      <c r="R174" s="90"/>
      <c r="S174" s="140" t="s">
        <v>207</v>
      </c>
      <c r="T174" s="90"/>
      <c r="U174" s="140" t="s">
        <v>207</v>
      </c>
      <c r="V174" s="90"/>
      <c r="W174" s="140" t="s">
        <v>207</v>
      </c>
      <c r="X174" s="90"/>
      <c r="Y174" s="140" t="s">
        <v>77</v>
      </c>
      <c r="Z174" s="90"/>
      <c r="AA174" s="140" t="s">
        <v>207</v>
      </c>
      <c r="AB174" s="90"/>
      <c r="AC174" s="140" t="s">
        <v>207</v>
      </c>
      <c r="AD174" s="90"/>
      <c r="AE174" s="140" t="s">
        <v>207</v>
      </c>
      <c r="AF174" s="178" t="str">
        <f t="shared" si="6"/>
        <v>C</v>
      </c>
      <c r="AG174" s="52" t="str">
        <f t="shared" si="7"/>
        <v>UTILIZOU O PDA CORRETAMENTE</v>
      </c>
      <c r="AH174" s="140" t="s">
        <v>207</v>
      </c>
      <c r="AI174" s="182" t="s">
        <v>36</v>
      </c>
      <c r="AJ174" s="93" t="str">
        <f t="shared" si="8"/>
        <v>SÃO PAULO</v>
      </c>
      <c r="AK174" s="183" t="s">
        <v>54</v>
      </c>
    </row>
    <row r="175" spans="1:37" ht="30" customHeight="1">
      <c r="A175" s="198" t="s">
        <v>198</v>
      </c>
      <c r="B175" s="198">
        <v>2618894208</v>
      </c>
      <c r="C175" s="198" t="s">
        <v>120</v>
      </c>
      <c r="D175" s="198" t="s">
        <v>96</v>
      </c>
      <c r="E175" s="198" t="s">
        <v>35</v>
      </c>
      <c r="F175" s="198" t="s">
        <v>410</v>
      </c>
      <c r="G175" s="198">
        <v>77</v>
      </c>
      <c r="H175" s="198"/>
      <c r="I175" s="198" t="s">
        <v>411</v>
      </c>
      <c r="J175" s="198" t="s">
        <v>202</v>
      </c>
      <c r="K175" s="198"/>
      <c r="L175" s="199">
        <v>46148.15902777778</v>
      </c>
      <c r="M175" s="199">
        <v>46148.20208333333</v>
      </c>
      <c r="N175" s="198" t="s">
        <v>235</v>
      </c>
      <c r="O175" s="152" t="s">
        <v>207</v>
      </c>
      <c r="P175" s="90"/>
      <c r="Q175" s="140" t="s">
        <v>207</v>
      </c>
      <c r="R175" s="90"/>
      <c r="S175" s="140" t="s">
        <v>207</v>
      </c>
      <c r="T175" s="90"/>
      <c r="U175" s="140" t="s">
        <v>207</v>
      </c>
      <c r="V175" s="90"/>
      <c r="W175" s="140" t="s">
        <v>207</v>
      </c>
      <c r="X175" s="90"/>
      <c r="Y175" s="140" t="s">
        <v>77</v>
      </c>
      <c r="Z175" s="90"/>
      <c r="AA175" s="140" t="s">
        <v>207</v>
      </c>
      <c r="AB175" s="90"/>
      <c r="AC175" s="140" t="s">
        <v>207</v>
      </c>
      <c r="AD175" s="90"/>
      <c r="AE175" s="140" t="s">
        <v>207</v>
      </c>
      <c r="AF175" s="178" t="str">
        <f t="shared" si="6"/>
        <v>C</v>
      </c>
      <c r="AG175" s="52" t="str">
        <f t="shared" si="7"/>
        <v>UTILIZOU O PDA CORRETAMENTE</v>
      </c>
      <c r="AH175" s="140" t="s">
        <v>207</v>
      </c>
      <c r="AI175" s="182" t="s">
        <v>36</v>
      </c>
      <c r="AJ175" s="93" t="str">
        <f t="shared" si="8"/>
        <v>SÃO PAULO</v>
      </c>
      <c r="AK175" s="183" t="s">
        <v>54</v>
      </c>
    </row>
    <row r="176" spans="1:37" ht="30" customHeight="1">
      <c r="A176" s="198" t="s">
        <v>198</v>
      </c>
      <c r="B176" s="198">
        <v>2618891292</v>
      </c>
      <c r="C176" s="198" t="s">
        <v>121</v>
      </c>
      <c r="D176" s="198" t="s">
        <v>96</v>
      </c>
      <c r="E176" s="198" t="s">
        <v>35</v>
      </c>
      <c r="F176" s="198" t="s">
        <v>526</v>
      </c>
      <c r="G176" s="198">
        <v>70</v>
      </c>
      <c r="H176" s="198" t="s">
        <v>200</v>
      </c>
      <c r="I176" s="198" t="s">
        <v>527</v>
      </c>
      <c r="J176" s="198" t="s">
        <v>202</v>
      </c>
      <c r="K176" s="198" t="s">
        <v>200</v>
      </c>
      <c r="L176" s="199">
        <v>46148.494444444441</v>
      </c>
      <c r="M176" s="199">
        <v>46148.495138888888</v>
      </c>
      <c r="N176" s="198" t="s">
        <v>235</v>
      </c>
      <c r="O176" s="152" t="s">
        <v>207</v>
      </c>
      <c r="P176" s="90"/>
      <c r="Q176" s="140" t="s">
        <v>207</v>
      </c>
      <c r="R176" s="90"/>
      <c r="S176" s="140" t="s">
        <v>207</v>
      </c>
      <c r="T176" s="90"/>
      <c r="U176" s="140" t="s">
        <v>207</v>
      </c>
      <c r="V176" s="90"/>
      <c r="W176" s="140" t="s">
        <v>207</v>
      </c>
      <c r="X176" s="90"/>
      <c r="Y176" s="140" t="s">
        <v>77</v>
      </c>
      <c r="Z176" s="90"/>
      <c r="AA176" s="140" t="s">
        <v>207</v>
      </c>
      <c r="AB176" s="90"/>
      <c r="AC176" s="140" t="s">
        <v>207</v>
      </c>
      <c r="AD176" s="90"/>
      <c r="AE176" s="140" t="s">
        <v>207</v>
      </c>
      <c r="AF176" s="178" t="str">
        <f t="shared" si="6"/>
        <v>C</v>
      </c>
      <c r="AG176" s="52" t="str">
        <f t="shared" si="7"/>
        <v>UTILIZOU O PDA CORRETAMENTE</v>
      </c>
      <c r="AH176" s="140" t="s">
        <v>207</v>
      </c>
      <c r="AI176" s="182" t="s">
        <v>36</v>
      </c>
      <c r="AJ176" s="93" t="str">
        <f t="shared" si="8"/>
        <v>SÃO PAULO</v>
      </c>
      <c r="AK176" s="183" t="s">
        <v>54</v>
      </c>
    </row>
    <row r="177" spans="1:37" ht="30" customHeight="1">
      <c r="A177" s="198" t="s">
        <v>198</v>
      </c>
      <c r="B177" s="198">
        <v>2618867996</v>
      </c>
      <c r="C177" s="198" t="s">
        <v>118</v>
      </c>
      <c r="D177" s="198" t="s">
        <v>96</v>
      </c>
      <c r="E177" s="198" t="s">
        <v>35</v>
      </c>
      <c r="F177" s="198" t="s">
        <v>528</v>
      </c>
      <c r="G177" s="198">
        <v>134</v>
      </c>
      <c r="H177" s="198"/>
      <c r="I177" s="198" t="s">
        <v>357</v>
      </c>
      <c r="J177" s="198" t="s">
        <v>267</v>
      </c>
      <c r="K177" s="198" t="s">
        <v>529</v>
      </c>
      <c r="L177" s="199">
        <v>46148.366666666669</v>
      </c>
      <c r="M177" s="199">
        <v>46148.37222222222</v>
      </c>
      <c r="N177" s="198" t="s">
        <v>222</v>
      </c>
      <c r="O177" s="152" t="s">
        <v>207</v>
      </c>
      <c r="P177" s="90"/>
      <c r="Q177" s="140" t="s">
        <v>207</v>
      </c>
      <c r="R177" s="90"/>
      <c r="S177" s="140" t="s">
        <v>207</v>
      </c>
      <c r="T177" s="90"/>
      <c r="U177" s="140" t="s">
        <v>207</v>
      </c>
      <c r="V177" s="90"/>
      <c r="W177" s="140" t="s">
        <v>207</v>
      </c>
      <c r="X177" s="90"/>
      <c r="Y177" s="140" t="s">
        <v>77</v>
      </c>
      <c r="Z177" s="90"/>
      <c r="AA177" s="140" t="s">
        <v>207</v>
      </c>
      <c r="AB177" s="90"/>
      <c r="AC177" s="140" t="s">
        <v>207</v>
      </c>
      <c r="AD177" s="90"/>
      <c r="AE177" s="140" t="s">
        <v>207</v>
      </c>
      <c r="AF177" s="178" t="str">
        <f t="shared" si="6"/>
        <v>C</v>
      </c>
      <c r="AG177" s="52" t="str">
        <f t="shared" si="7"/>
        <v>UTILIZOU O PDA CORRETAMENTE</v>
      </c>
      <c r="AH177" s="140" t="s">
        <v>207</v>
      </c>
      <c r="AI177" s="182" t="s">
        <v>36</v>
      </c>
      <c r="AJ177" s="93" t="str">
        <f t="shared" si="8"/>
        <v>SÃO PAULO</v>
      </c>
      <c r="AK177" s="183" t="s">
        <v>54</v>
      </c>
    </row>
    <row r="178" spans="1:37" ht="30" customHeight="1">
      <c r="A178" s="198" t="s">
        <v>198</v>
      </c>
      <c r="B178" s="198">
        <v>2618893415</v>
      </c>
      <c r="C178" s="198" t="s">
        <v>120</v>
      </c>
      <c r="D178" s="198" t="s">
        <v>96</v>
      </c>
      <c r="E178" s="198" t="s">
        <v>35</v>
      </c>
      <c r="F178" s="198" t="s">
        <v>530</v>
      </c>
      <c r="G178" s="198">
        <v>202</v>
      </c>
      <c r="H178" s="198" t="s">
        <v>200</v>
      </c>
      <c r="I178" s="198" t="s">
        <v>241</v>
      </c>
      <c r="J178" s="198" t="s">
        <v>336</v>
      </c>
      <c r="K178" s="198" t="s">
        <v>531</v>
      </c>
      <c r="L178" s="199">
        <v>46149.418055555558</v>
      </c>
      <c r="M178" s="199">
        <v>46149.420138888891</v>
      </c>
      <c r="N178" s="198" t="s">
        <v>232</v>
      </c>
      <c r="O178" s="152" t="s">
        <v>207</v>
      </c>
      <c r="P178" s="90"/>
      <c r="Q178" s="140" t="s">
        <v>207</v>
      </c>
      <c r="R178" s="90"/>
      <c r="S178" s="140" t="s">
        <v>207</v>
      </c>
      <c r="T178" s="90"/>
      <c r="U178" s="140" t="s">
        <v>207</v>
      </c>
      <c r="V178" s="90"/>
      <c r="W178" s="140" t="s">
        <v>207</v>
      </c>
      <c r="X178" s="90"/>
      <c r="Y178" s="140" t="s">
        <v>77</v>
      </c>
      <c r="Z178" s="90"/>
      <c r="AA178" s="140" t="s">
        <v>207</v>
      </c>
      <c r="AB178" s="90"/>
      <c r="AC178" s="140" t="s">
        <v>207</v>
      </c>
      <c r="AD178" s="90"/>
      <c r="AE178" s="140" t="s">
        <v>207</v>
      </c>
      <c r="AF178" s="178" t="str">
        <f t="shared" si="6"/>
        <v>C</v>
      </c>
      <c r="AG178" s="52" t="str">
        <f t="shared" si="7"/>
        <v>UTILIZOU O PDA CORRETAMENTE</v>
      </c>
      <c r="AH178" s="140" t="s">
        <v>207</v>
      </c>
      <c r="AI178" s="182" t="s">
        <v>36</v>
      </c>
      <c r="AJ178" s="93" t="str">
        <f t="shared" si="8"/>
        <v>SÃO PAULO</v>
      </c>
      <c r="AK178" s="183" t="s">
        <v>54</v>
      </c>
    </row>
    <row r="179" spans="1:37" ht="30" customHeight="1">
      <c r="A179" s="198" t="s">
        <v>198</v>
      </c>
      <c r="B179" s="198">
        <v>2618888821</v>
      </c>
      <c r="C179" s="198" t="s">
        <v>116</v>
      </c>
      <c r="D179" s="198" t="s">
        <v>94</v>
      </c>
      <c r="E179" s="198" t="s">
        <v>35</v>
      </c>
      <c r="F179" s="198" t="s">
        <v>369</v>
      </c>
      <c r="G179" s="198">
        <v>176</v>
      </c>
      <c r="H179" s="198" t="s">
        <v>329</v>
      </c>
      <c r="I179" s="198" t="s">
        <v>357</v>
      </c>
      <c r="J179" s="198" t="s">
        <v>221</v>
      </c>
      <c r="K179" s="198"/>
      <c r="L179" s="199">
        <v>46148.286805555559</v>
      </c>
      <c r="M179" s="199">
        <v>46148.290277777778</v>
      </c>
      <c r="N179" s="198" t="s">
        <v>232</v>
      </c>
      <c r="O179" s="152" t="s">
        <v>215</v>
      </c>
      <c r="P179" s="90"/>
      <c r="Q179" s="140" t="s">
        <v>215</v>
      </c>
      <c r="R179" s="90"/>
      <c r="S179" s="140" t="s">
        <v>215</v>
      </c>
      <c r="T179" s="90"/>
      <c r="U179" s="140" t="s">
        <v>215</v>
      </c>
      <c r="V179" s="90"/>
      <c r="W179" s="140" t="s">
        <v>215</v>
      </c>
      <c r="X179" s="90"/>
      <c r="Y179" s="140" t="s">
        <v>215</v>
      </c>
      <c r="Z179" s="90"/>
      <c r="AA179" s="140" t="s">
        <v>215</v>
      </c>
      <c r="AB179" s="90"/>
      <c r="AC179" s="140" t="s">
        <v>215</v>
      </c>
      <c r="AD179" s="90"/>
      <c r="AE179" s="140" t="s">
        <v>215</v>
      </c>
      <c r="AF179" s="178" t="str">
        <f t="shared" si="6"/>
        <v>NC</v>
      </c>
      <c r="AG179" s="52" t="s">
        <v>227</v>
      </c>
      <c r="AH179" s="140" t="s">
        <v>207</v>
      </c>
      <c r="AI179" s="182" t="s">
        <v>36</v>
      </c>
      <c r="AJ179" s="93" t="str">
        <f t="shared" si="8"/>
        <v>SÃO PAULO</v>
      </c>
      <c r="AK179" s="183" t="s">
        <v>54</v>
      </c>
    </row>
    <row r="180" spans="1:37" ht="30" customHeight="1">
      <c r="A180" s="198" t="s">
        <v>198</v>
      </c>
      <c r="B180" s="198">
        <v>2618903417</v>
      </c>
      <c r="C180" s="198" t="s">
        <v>116</v>
      </c>
      <c r="D180" s="198" t="s">
        <v>94</v>
      </c>
      <c r="E180" s="198" t="s">
        <v>35</v>
      </c>
      <c r="F180" s="198" t="s">
        <v>342</v>
      </c>
      <c r="G180" s="198">
        <v>33</v>
      </c>
      <c r="H180" s="198" t="s">
        <v>200</v>
      </c>
      <c r="I180" s="198" t="s">
        <v>259</v>
      </c>
      <c r="J180" s="198" t="s">
        <v>221</v>
      </c>
      <c r="K180" s="198" t="s">
        <v>200</v>
      </c>
      <c r="L180" s="199">
        <v>46148.602777777778</v>
      </c>
      <c r="M180" s="199">
        <v>46148.698611111111</v>
      </c>
      <c r="N180" s="198" t="s">
        <v>295</v>
      </c>
      <c r="O180" s="152" t="s">
        <v>207</v>
      </c>
      <c r="P180" s="90"/>
      <c r="Q180" s="140" t="s">
        <v>207</v>
      </c>
      <c r="R180" s="90"/>
      <c r="S180" s="140" t="s">
        <v>207</v>
      </c>
      <c r="T180" s="90"/>
      <c r="U180" s="140" t="s">
        <v>207</v>
      </c>
      <c r="V180" s="90"/>
      <c r="W180" s="140" t="s">
        <v>207</v>
      </c>
      <c r="X180" s="90"/>
      <c r="Y180" s="140" t="s">
        <v>207</v>
      </c>
      <c r="Z180" s="90"/>
      <c r="AA180" s="140" t="s">
        <v>207</v>
      </c>
      <c r="AB180" s="90"/>
      <c r="AC180" s="140" t="s">
        <v>215</v>
      </c>
      <c r="AD180" s="90" t="s">
        <v>532</v>
      </c>
      <c r="AE180" s="140" t="s">
        <v>207</v>
      </c>
      <c r="AF180" s="178" t="str">
        <f t="shared" si="6"/>
        <v>NC</v>
      </c>
      <c r="AG180" s="52" t="str">
        <f t="shared" si="7"/>
        <v>UTILIZOU O PDA CORRETAMENTE. NÃO HÁ FOTOS DE TODAS AS ETAPAS</v>
      </c>
      <c r="AH180" s="140" t="s">
        <v>207</v>
      </c>
      <c r="AI180" s="182" t="s">
        <v>36</v>
      </c>
      <c r="AJ180" s="93" t="str">
        <f t="shared" si="8"/>
        <v>SÃO PAULO</v>
      </c>
      <c r="AK180" s="183" t="s">
        <v>54</v>
      </c>
    </row>
    <row r="181" spans="1:37" ht="30" customHeight="1">
      <c r="A181" s="198" t="s">
        <v>198</v>
      </c>
      <c r="B181" s="198">
        <v>2618769936</v>
      </c>
      <c r="C181" s="198" t="s">
        <v>122</v>
      </c>
      <c r="D181" s="198" t="s">
        <v>96</v>
      </c>
      <c r="E181" s="198" t="s">
        <v>35</v>
      </c>
      <c r="F181" s="198" t="s">
        <v>533</v>
      </c>
      <c r="G181" s="198">
        <v>92</v>
      </c>
      <c r="H181" s="198"/>
      <c r="I181" s="198" t="s">
        <v>467</v>
      </c>
      <c r="J181" s="198" t="s">
        <v>260</v>
      </c>
      <c r="K181" s="198"/>
      <c r="L181" s="199">
        <v>46148.328472222223</v>
      </c>
      <c r="M181" s="199">
        <v>46148.361805555556</v>
      </c>
      <c r="N181" s="198" t="s">
        <v>517</v>
      </c>
      <c r="O181" s="152" t="s">
        <v>207</v>
      </c>
      <c r="P181" s="90"/>
      <c r="Q181" s="140" t="s">
        <v>207</v>
      </c>
      <c r="R181" s="90"/>
      <c r="S181" s="140" t="s">
        <v>207</v>
      </c>
      <c r="T181" s="90"/>
      <c r="U181" s="140" t="s">
        <v>207</v>
      </c>
      <c r="V181" s="90"/>
      <c r="W181" s="140" t="s">
        <v>207</v>
      </c>
      <c r="X181" s="90"/>
      <c r="Y181" s="140" t="s">
        <v>77</v>
      </c>
      <c r="Z181" s="90"/>
      <c r="AA181" s="140" t="s">
        <v>207</v>
      </c>
      <c r="AB181" s="90"/>
      <c r="AC181" s="140" t="s">
        <v>207</v>
      </c>
      <c r="AD181" s="90"/>
      <c r="AE181" s="140" t="s">
        <v>207</v>
      </c>
      <c r="AF181" s="178" t="str">
        <f t="shared" si="6"/>
        <v>C</v>
      </c>
      <c r="AG181" s="52" t="str">
        <f t="shared" si="7"/>
        <v>UTILIZOU O PDA CORRETAMENTE</v>
      </c>
      <c r="AH181" s="140" t="s">
        <v>207</v>
      </c>
      <c r="AI181" s="182" t="s">
        <v>36</v>
      </c>
      <c r="AJ181" s="93" t="str">
        <f t="shared" si="8"/>
        <v>SÃO PAULO</v>
      </c>
      <c r="AK181" s="183" t="s">
        <v>54</v>
      </c>
    </row>
    <row r="182" spans="1:37" ht="30" customHeight="1">
      <c r="A182" s="198" t="s">
        <v>198</v>
      </c>
      <c r="B182" s="198">
        <v>2618754853</v>
      </c>
      <c r="C182" s="198" t="s">
        <v>102</v>
      </c>
      <c r="D182" s="198" t="s">
        <v>95</v>
      </c>
      <c r="E182" s="198" t="s">
        <v>35</v>
      </c>
      <c r="F182" s="198" t="s">
        <v>534</v>
      </c>
      <c r="G182" s="198">
        <v>110</v>
      </c>
      <c r="H182" s="198" t="s">
        <v>200</v>
      </c>
      <c r="I182" s="198" t="s">
        <v>479</v>
      </c>
      <c r="J182" s="198" t="s">
        <v>427</v>
      </c>
      <c r="K182" s="198" t="s">
        <v>200</v>
      </c>
      <c r="L182" s="199">
        <v>46148.636805555558</v>
      </c>
      <c r="M182" s="199">
        <v>46148.637499999997</v>
      </c>
      <c r="N182" s="198" t="s">
        <v>309</v>
      </c>
      <c r="O182" s="152" t="s">
        <v>214</v>
      </c>
      <c r="P182" s="90"/>
      <c r="Q182" s="140" t="s">
        <v>77</v>
      </c>
      <c r="R182" s="90"/>
      <c r="S182" s="140" t="s">
        <v>77</v>
      </c>
      <c r="T182" s="90"/>
      <c r="U182" s="140" t="s">
        <v>77</v>
      </c>
      <c r="V182" s="90"/>
      <c r="W182" s="140" t="s">
        <v>77</v>
      </c>
      <c r="X182" s="90"/>
      <c r="Y182" s="140" t="s">
        <v>77</v>
      </c>
      <c r="Z182" s="90"/>
      <c r="AA182" s="140" t="s">
        <v>77</v>
      </c>
      <c r="AB182" s="90"/>
      <c r="AC182" s="140" t="s">
        <v>207</v>
      </c>
      <c r="AD182" s="90"/>
      <c r="AE182" s="140" t="s">
        <v>207</v>
      </c>
      <c r="AF182" s="178" t="str">
        <f t="shared" si="6"/>
        <v>NC</v>
      </c>
      <c r="AG182" s="52" t="str">
        <f t="shared" si="7"/>
        <v>UTILIZOU O PDA CORRETAMENTE. NÃO HÁ FOTOS DE TODAS AS ETAPAS</v>
      </c>
      <c r="AH182" s="140" t="s">
        <v>207</v>
      </c>
      <c r="AI182" s="182" t="s">
        <v>36</v>
      </c>
      <c r="AJ182" s="93" t="str">
        <f t="shared" si="8"/>
        <v>SÃO PAULO</v>
      </c>
      <c r="AK182" s="183" t="s">
        <v>54</v>
      </c>
    </row>
    <row r="183" spans="1:37" ht="30" customHeight="1">
      <c r="A183" s="198" t="s">
        <v>198</v>
      </c>
      <c r="B183" s="198">
        <v>2692560854</v>
      </c>
      <c r="C183" s="198" t="s">
        <v>118</v>
      </c>
      <c r="D183" s="198" t="s">
        <v>96</v>
      </c>
      <c r="E183" s="198" t="s">
        <v>35</v>
      </c>
      <c r="F183" s="198" t="s">
        <v>535</v>
      </c>
      <c r="G183" s="198">
        <v>166</v>
      </c>
      <c r="H183" s="198" t="s">
        <v>208</v>
      </c>
      <c r="I183" s="198" t="s">
        <v>536</v>
      </c>
      <c r="J183" s="198" t="s">
        <v>267</v>
      </c>
      <c r="K183" s="198" t="s">
        <v>537</v>
      </c>
      <c r="L183" s="199">
        <v>46149.125</v>
      </c>
      <c r="M183" s="199">
        <v>46149.129166666666</v>
      </c>
      <c r="N183" s="198" t="s">
        <v>364</v>
      </c>
      <c r="O183" s="152" t="s">
        <v>207</v>
      </c>
      <c r="P183" s="90"/>
      <c r="Q183" s="140" t="s">
        <v>207</v>
      </c>
      <c r="R183" s="90"/>
      <c r="S183" s="140" t="s">
        <v>207</v>
      </c>
      <c r="T183" s="90"/>
      <c r="U183" s="140" t="s">
        <v>207</v>
      </c>
      <c r="V183" s="90"/>
      <c r="W183" s="140" t="s">
        <v>207</v>
      </c>
      <c r="X183" s="90"/>
      <c r="Y183" s="140" t="s">
        <v>77</v>
      </c>
      <c r="Z183" s="90"/>
      <c r="AA183" s="140" t="s">
        <v>207</v>
      </c>
      <c r="AB183" s="90"/>
      <c r="AC183" s="140" t="s">
        <v>207</v>
      </c>
      <c r="AD183" s="90"/>
      <c r="AE183" s="140" t="s">
        <v>207</v>
      </c>
      <c r="AF183" s="178" t="str">
        <f t="shared" si="6"/>
        <v>C</v>
      </c>
      <c r="AG183" s="52" t="str">
        <f t="shared" si="7"/>
        <v>UTILIZOU O PDA CORRETAMENTE</v>
      </c>
      <c r="AH183" s="140" t="s">
        <v>207</v>
      </c>
      <c r="AI183" s="182" t="s">
        <v>36</v>
      </c>
      <c r="AJ183" s="93" t="str">
        <f t="shared" si="8"/>
        <v>SÃO PAULO</v>
      </c>
      <c r="AK183" s="183" t="s">
        <v>54</v>
      </c>
    </row>
    <row r="184" spans="1:37" ht="30" customHeight="1">
      <c r="A184" s="198" t="s">
        <v>198</v>
      </c>
      <c r="B184" s="198">
        <v>2618894208</v>
      </c>
      <c r="C184" s="198" t="s">
        <v>115</v>
      </c>
      <c r="D184" s="198" t="s">
        <v>96</v>
      </c>
      <c r="E184" s="198" t="s">
        <v>35</v>
      </c>
      <c r="F184" s="198" t="s">
        <v>410</v>
      </c>
      <c r="G184" s="198">
        <v>77</v>
      </c>
      <c r="H184" s="198"/>
      <c r="I184" s="198" t="s">
        <v>411</v>
      </c>
      <c r="J184" s="198" t="s">
        <v>268</v>
      </c>
      <c r="K184" s="198" t="s">
        <v>538</v>
      </c>
      <c r="L184" s="199">
        <v>46148.202777777777</v>
      </c>
      <c r="M184" s="199">
        <v>46148.384027777778</v>
      </c>
      <c r="N184" s="198" t="s">
        <v>235</v>
      </c>
      <c r="O184" s="152" t="s">
        <v>207</v>
      </c>
      <c r="P184" s="90"/>
      <c r="Q184" s="140" t="s">
        <v>207</v>
      </c>
      <c r="R184" s="90"/>
      <c r="S184" s="140" t="s">
        <v>207</v>
      </c>
      <c r="T184" s="90"/>
      <c r="U184" s="140" t="s">
        <v>207</v>
      </c>
      <c r="V184" s="90"/>
      <c r="W184" s="140" t="s">
        <v>207</v>
      </c>
      <c r="X184" s="90"/>
      <c r="Y184" s="140" t="s">
        <v>207</v>
      </c>
      <c r="Z184" s="90"/>
      <c r="AA184" s="140" t="s">
        <v>207</v>
      </c>
      <c r="AB184" s="90"/>
      <c r="AC184" s="140" t="s">
        <v>207</v>
      </c>
      <c r="AD184" s="90"/>
      <c r="AE184" s="140" t="s">
        <v>207</v>
      </c>
      <c r="AF184" s="178" t="str">
        <f t="shared" si="6"/>
        <v>C</v>
      </c>
      <c r="AG184" s="52" t="str">
        <f t="shared" si="7"/>
        <v>UTILIZOU O PDA CORRETAMENTE</v>
      </c>
      <c r="AH184" s="140" t="s">
        <v>207</v>
      </c>
      <c r="AI184" s="182" t="s">
        <v>36</v>
      </c>
      <c r="AJ184" s="93" t="str">
        <f t="shared" si="8"/>
        <v>SÃO PAULO</v>
      </c>
      <c r="AK184" s="183" t="s">
        <v>54</v>
      </c>
    </row>
    <row r="185" spans="1:37" ht="30" customHeight="1">
      <c r="A185" s="198" t="s">
        <v>198</v>
      </c>
      <c r="B185" s="198">
        <v>2618928096</v>
      </c>
      <c r="C185" s="198" t="s">
        <v>122</v>
      </c>
      <c r="D185" s="198" t="s">
        <v>96</v>
      </c>
      <c r="E185" s="198" t="s">
        <v>35</v>
      </c>
      <c r="F185" s="198" t="s">
        <v>539</v>
      </c>
      <c r="G185" s="198">
        <v>23</v>
      </c>
      <c r="H185" s="198" t="s">
        <v>208</v>
      </c>
      <c r="I185" s="198" t="s">
        <v>230</v>
      </c>
      <c r="J185" s="198" t="s">
        <v>260</v>
      </c>
      <c r="K185" s="198" t="s">
        <v>200</v>
      </c>
      <c r="L185" s="199">
        <v>46149.180555555555</v>
      </c>
      <c r="M185" s="199">
        <v>46149.220138888886</v>
      </c>
      <c r="N185" s="198" t="s">
        <v>320</v>
      </c>
      <c r="O185" s="152" t="s">
        <v>207</v>
      </c>
      <c r="P185" s="90"/>
      <c r="Q185" s="140" t="s">
        <v>207</v>
      </c>
      <c r="R185" s="90"/>
      <c r="S185" s="140" t="s">
        <v>207</v>
      </c>
      <c r="T185" s="90"/>
      <c r="U185" s="140" t="s">
        <v>207</v>
      </c>
      <c r="V185" s="90"/>
      <c r="W185" s="140" t="s">
        <v>207</v>
      </c>
      <c r="X185" s="90"/>
      <c r="Y185" s="140" t="s">
        <v>77</v>
      </c>
      <c r="Z185" s="90"/>
      <c r="AA185" s="140" t="s">
        <v>207</v>
      </c>
      <c r="AB185" s="90"/>
      <c r="AC185" s="140" t="s">
        <v>207</v>
      </c>
      <c r="AD185" s="90"/>
      <c r="AE185" s="140" t="s">
        <v>207</v>
      </c>
      <c r="AF185" s="178" t="str">
        <f t="shared" si="6"/>
        <v>C</v>
      </c>
      <c r="AG185" s="52" t="str">
        <f t="shared" si="7"/>
        <v>UTILIZOU O PDA CORRETAMENTE</v>
      </c>
      <c r="AH185" s="140" t="s">
        <v>207</v>
      </c>
      <c r="AI185" s="182" t="s">
        <v>36</v>
      </c>
      <c r="AJ185" s="93" t="str">
        <f t="shared" si="8"/>
        <v>SÃO PAULO</v>
      </c>
      <c r="AK185" s="183" t="s">
        <v>54</v>
      </c>
    </row>
    <row r="186" spans="1:37" ht="30" customHeight="1">
      <c r="A186" s="198" t="s">
        <v>198</v>
      </c>
      <c r="B186" s="198">
        <v>2692604274</v>
      </c>
      <c r="C186" s="198" t="s">
        <v>122</v>
      </c>
      <c r="D186" s="198" t="s">
        <v>96</v>
      </c>
      <c r="E186" s="198" t="s">
        <v>35</v>
      </c>
      <c r="F186" s="198" t="s">
        <v>540</v>
      </c>
      <c r="G186" s="198">
        <v>5</v>
      </c>
      <c r="H186" s="198" t="s">
        <v>347</v>
      </c>
      <c r="I186" s="198" t="s">
        <v>433</v>
      </c>
      <c r="J186" s="198" t="s">
        <v>267</v>
      </c>
      <c r="K186" s="198"/>
      <c r="L186" s="199">
        <v>46149.418055555558</v>
      </c>
      <c r="M186" s="199">
        <v>46149.420138888891</v>
      </c>
      <c r="N186" s="198" t="s">
        <v>345</v>
      </c>
      <c r="O186" s="152" t="s">
        <v>207</v>
      </c>
      <c r="P186" s="90"/>
      <c r="Q186" s="140" t="s">
        <v>207</v>
      </c>
      <c r="R186" s="90"/>
      <c r="S186" s="140" t="s">
        <v>207</v>
      </c>
      <c r="T186" s="90"/>
      <c r="U186" s="140" t="s">
        <v>207</v>
      </c>
      <c r="V186" s="90"/>
      <c r="W186" s="140" t="s">
        <v>207</v>
      </c>
      <c r="X186" s="90"/>
      <c r="Y186" s="140" t="s">
        <v>77</v>
      </c>
      <c r="Z186" s="90"/>
      <c r="AA186" s="140" t="s">
        <v>207</v>
      </c>
      <c r="AB186" s="90"/>
      <c r="AC186" s="140" t="s">
        <v>207</v>
      </c>
      <c r="AD186" s="90"/>
      <c r="AE186" s="140" t="s">
        <v>207</v>
      </c>
      <c r="AF186" s="178" t="str">
        <f t="shared" si="6"/>
        <v>C</v>
      </c>
      <c r="AG186" s="52" t="str">
        <f t="shared" si="7"/>
        <v>UTILIZOU O PDA CORRETAMENTE</v>
      </c>
      <c r="AH186" s="140" t="s">
        <v>207</v>
      </c>
      <c r="AI186" s="182" t="s">
        <v>36</v>
      </c>
      <c r="AJ186" s="93" t="str">
        <f t="shared" si="8"/>
        <v>SÃO PAULO</v>
      </c>
      <c r="AK186" s="183" t="s">
        <v>54</v>
      </c>
    </row>
    <row r="187" spans="1:37" ht="30" customHeight="1">
      <c r="A187" s="198" t="s">
        <v>198</v>
      </c>
      <c r="B187" s="198">
        <v>2618898272</v>
      </c>
      <c r="C187" s="198" t="s">
        <v>118</v>
      </c>
      <c r="D187" s="198" t="s">
        <v>96</v>
      </c>
      <c r="E187" s="198" t="s">
        <v>35</v>
      </c>
      <c r="F187" s="198" t="s">
        <v>541</v>
      </c>
      <c r="G187" s="198">
        <v>2</v>
      </c>
      <c r="H187" s="198" t="s">
        <v>329</v>
      </c>
      <c r="I187" s="198" t="s">
        <v>542</v>
      </c>
      <c r="J187" s="198" t="s">
        <v>267</v>
      </c>
      <c r="K187" s="198" t="s">
        <v>200</v>
      </c>
      <c r="L187" s="199">
        <v>46149.359722222223</v>
      </c>
      <c r="M187" s="199">
        <v>46149.361111111109</v>
      </c>
      <c r="N187" s="198" t="s">
        <v>232</v>
      </c>
      <c r="O187" s="152" t="s">
        <v>207</v>
      </c>
      <c r="P187" s="90"/>
      <c r="Q187" s="140" t="s">
        <v>207</v>
      </c>
      <c r="R187" s="90"/>
      <c r="S187" s="140" t="s">
        <v>207</v>
      </c>
      <c r="T187" s="90"/>
      <c r="U187" s="140" t="s">
        <v>207</v>
      </c>
      <c r="V187" s="90"/>
      <c r="W187" s="140" t="s">
        <v>207</v>
      </c>
      <c r="X187" s="90"/>
      <c r="Y187" s="140" t="s">
        <v>77</v>
      </c>
      <c r="Z187" s="90"/>
      <c r="AA187" s="140" t="s">
        <v>207</v>
      </c>
      <c r="AB187" s="90"/>
      <c r="AC187" s="140" t="s">
        <v>207</v>
      </c>
      <c r="AD187" s="90"/>
      <c r="AE187" s="140" t="s">
        <v>207</v>
      </c>
      <c r="AF187" s="178" t="str">
        <f t="shared" si="6"/>
        <v>C</v>
      </c>
      <c r="AG187" s="52" t="str">
        <f t="shared" si="7"/>
        <v>UTILIZOU O PDA CORRETAMENTE</v>
      </c>
      <c r="AH187" s="140" t="s">
        <v>207</v>
      </c>
      <c r="AI187" s="182" t="s">
        <v>36</v>
      </c>
      <c r="AJ187" s="93" t="str">
        <f t="shared" si="8"/>
        <v>SÃO PAULO</v>
      </c>
      <c r="AK187" s="183" t="s">
        <v>54</v>
      </c>
    </row>
    <row r="188" spans="1:37" ht="30" customHeight="1">
      <c r="A188" s="198" t="s">
        <v>198</v>
      </c>
      <c r="B188" s="198">
        <v>2618740756</v>
      </c>
      <c r="C188" s="198" t="s">
        <v>101</v>
      </c>
      <c r="D188" s="198" t="s">
        <v>92</v>
      </c>
      <c r="E188" s="198" t="s">
        <v>35</v>
      </c>
      <c r="F188" s="198" t="s">
        <v>543</v>
      </c>
      <c r="G188" s="198">
        <v>115</v>
      </c>
      <c r="H188" s="198"/>
      <c r="I188" s="198" t="s">
        <v>300</v>
      </c>
      <c r="J188" s="198" t="s">
        <v>101</v>
      </c>
      <c r="K188" s="198"/>
      <c r="L188" s="199">
        <v>46149.166666666664</v>
      </c>
      <c r="M188" s="199">
        <v>46149.204861111109</v>
      </c>
      <c r="N188" s="198" t="s">
        <v>213</v>
      </c>
      <c r="O188" s="152" t="s">
        <v>207</v>
      </c>
      <c r="P188" s="90"/>
      <c r="Q188" s="140" t="s">
        <v>207</v>
      </c>
      <c r="R188" s="90"/>
      <c r="S188" s="140" t="s">
        <v>207</v>
      </c>
      <c r="T188" s="90"/>
      <c r="U188" s="140" t="s">
        <v>207</v>
      </c>
      <c r="V188" s="90"/>
      <c r="W188" s="140" t="s">
        <v>207</v>
      </c>
      <c r="X188" s="90"/>
      <c r="Y188" s="140" t="s">
        <v>77</v>
      </c>
      <c r="Z188" s="90"/>
      <c r="AA188" s="140" t="s">
        <v>214</v>
      </c>
      <c r="AB188" s="90"/>
      <c r="AC188" s="140" t="s">
        <v>207</v>
      </c>
      <c r="AD188" s="90"/>
      <c r="AE188" s="140" t="s">
        <v>207</v>
      </c>
      <c r="AF188" s="178" t="str">
        <f t="shared" si="6"/>
        <v>NC</v>
      </c>
      <c r="AG188" s="52" t="str">
        <f t="shared" si="7"/>
        <v>UTILIZOU O PDA CORRETAMENTE. NÃO HÁ FOTOS DE TODAS AS ETAPAS</v>
      </c>
      <c r="AH188" s="140" t="s">
        <v>207</v>
      </c>
      <c r="AI188" s="182" t="s">
        <v>36</v>
      </c>
      <c r="AJ188" s="93" t="str">
        <f t="shared" si="8"/>
        <v>SÃO PAULO</v>
      </c>
      <c r="AK188" s="183" t="s">
        <v>54</v>
      </c>
    </row>
    <row r="189" spans="1:37" ht="30" customHeight="1">
      <c r="A189" s="198" t="s">
        <v>198</v>
      </c>
      <c r="B189" s="198">
        <v>2618418412</v>
      </c>
      <c r="C189" s="198" t="s">
        <v>120</v>
      </c>
      <c r="D189" s="198" t="s">
        <v>96</v>
      </c>
      <c r="E189" s="198" t="s">
        <v>35</v>
      </c>
      <c r="F189" s="198" t="s">
        <v>544</v>
      </c>
      <c r="G189" s="198">
        <v>68</v>
      </c>
      <c r="H189" s="198" t="s">
        <v>200</v>
      </c>
      <c r="I189" s="198" t="s">
        <v>515</v>
      </c>
      <c r="J189" s="198" t="s">
        <v>336</v>
      </c>
      <c r="K189" s="198" t="s">
        <v>545</v>
      </c>
      <c r="L189" s="199">
        <v>46149.17291666667</v>
      </c>
      <c r="M189" s="199">
        <v>46149.308333333334</v>
      </c>
      <c r="N189" s="198" t="s">
        <v>331</v>
      </c>
      <c r="O189" s="152" t="s">
        <v>207</v>
      </c>
      <c r="P189" s="90"/>
      <c r="Q189" s="140" t="s">
        <v>207</v>
      </c>
      <c r="R189" s="90"/>
      <c r="S189" s="140" t="s">
        <v>207</v>
      </c>
      <c r="T189" s="90"/>
      <c r="U189" s="140" t="s">
        <v>207</v>
      </c>
      <c r="V189" s="90"/>
      <c r="W189" s="140" t="s">
        <v>207</v>
      </c>
      <c r="X189" s="90"/>
      <c r="Y189" s="140" t="s">
        <v>77</v>
      </c>
      <c r="Z189" s="90"/>
      <c r="AA189" s="140" t="s">
        <v>207</v>
      </c>
      <c r="AB189" s="90"/>
      <c r="AC189" s="140" t="s">
        <v>207</v>
      </c>
      <c r="AD189" s="90"/>
      <c r="AE189" s="140" t="s">
        <v>207</v>
      </c>
      <c r="AF189" s="178" t="str">
        <f t="shared" si="6"/>
        <v>C</v>
      </c>
      <c r="AG189" s="52" t="str">
        <f t="shared" si="7"/>
        <v>UTILIZOU O PDA CORRETAMENTE</v>
      </c>
      <c r="AH189" s="140" t="s">
        <v>207</v>
      </c>
      <c r="AI189" s="182" t="s">
        <v>36</v>
      </c>
      <c r="AJ189" s="93" t="str">
        <f t="shared" si="8"/>
        <v>SÃO PAULO</v>
      </c>
      <c r="AK189" s="183" t="s">
        <v>54</v>
      </c>
    </row>
    <row r="190" spans="1:37" ht="30" customHeight="1">
      <c r="A190" s="198" t="s">
        <v>198</v>
      </c>
      <c r="B190" s="198">
        <v>2692628815</v>
      </c>
      <c r="C190" s="198" t="s">
        <v>122</v>
      </c>
      <c r="D190" s="198" t="s">
        <v>96</v>
      </c>
      <c r="E190" s="198" t="s">
        <v>35</v>
      </c>
      <c r="F190" s="198" t="s">
        <v>286</v>
      </c>
      <c r="G190" s="198">
        <v>7040</v>
      </c>
      <c r="H190" s="198"/>
      <c r="I190" s="198" t="s">
        <v>287</v>
      </c>
      <c r="J190" s="198" t="s">
        <v>267</v>
      </c>
      <c r="K190" s="198" t="s">
        <v>546</v>
      </c>
      <c r="L190" s="199">
        <v>46149.19027777778</v>
      </c>
      <c r="M190" s="199">
        <v>46149.20416666667</v>
      </c>
      <c r="N190" s="198" t="s">
        <v>364</v>
      </c>
      <c r="O190" s="152" t="s">
        <v>207</v>
      </c>
      <c r="P190" s="90"/>
      <c r="Q190" s="140" t="s">
        <v>207</v>
      </c>
      <c r="R190" s="90"/>
      <c r="S190" s="140" t="s">
        <v>207</v>
      </c>
      <c r="T190" s="90"/>
      <c r="U190" s="140" t="s">
        <v>207</v>
      </c>
      <c r="V190" s="90"/>
      <c r="W190" s="140" t="s">
        <v>207</v>
      </c>
      <c r="X190" s="90"/>
      <c r="Y190" s="140" t="s">
        <v>77</v>
      </c>
      <c r="Z190" s="90"/>
      <c r="AA190" s="140" t="s">
        <v>207</v>
      </c>
      <c r="AB190" s="90"/>
      <c r="AC190" s="140" t="s">
        <v>207</v>
      </c>
      <c r="AD190" s="90"/>
      <c r="AE190" s="140" t="s">
        <v>207</v>
      </c>
      <c r="AF190" s="178" t="str">
        <f t="shared" si="6"/>
        <v>C</v>
      </c>
      <c r="AG190" s="52" t="str">
        <f t="shared" si="7"/>
        <v>UTILIZOU O PDA CORRETAMENTE</v>
      </c>
      <c r="AH190" s="140" t="s">
        <v>207</v>
      </c>
      <c r="AI190" s="182" t="s">
        <v>36</v>
      </c>
      <c r="AJ190" s="93" t="str">
        <f t="shared" si="8"/>
        <v>SÃO PAULO</v>
      </c>
      <c r="AK190" s="183" t="s">
        <v>54</v>
      </c>
    </row>
    <row r="191" spans="1:37" ht="30" customHeight="1">
      <c r="A191" s="198" t="s">
        <v>198</v>
      </c>
      <c r="B191" s="198">
        <v>2618881555</v>
      </c>
      <c r="C191" s="198" t="s">
        <v>122</v>
      </c>
      <c r="D191" s="198" t="s">
        <v>96</v>
      </c>
      <c r="E191" s="198" t="s">
        <v>35</v>
      </c>
      <c r="F191" s="198" t="s">
        <v>547</v>
      </c>
      <c r="G191" s="198">
        <v>292</v>
      </c>
      <c r="H191" s="198" t="s">
        <v>208</v>
      </c>
      <c r="I191" s="198" t="s">
        <v>548</v>
      </c>
      <c r="J191" s="198" t="s">
        <v>315</v>
      </c>
      <c r="K191" s="198" t="s">
        <v>200</v>
      </c>
      <c r="L191" s="199">
        <v>46149.115972222222</v>
      </c>
      <c r="M191" s="199">
        <v>46149.123611111114</v>
      </c>
      <c r="N191" s="198" t="s">
        <v>517</v>
      </c>
      <c r="O191" s="152" t="s">
        <v>207</v>
      </c>
      <c r="P191" s="90"/>
      <c r="Q191" s="140" t="s">
        <v>207</v>
      </c>
      <c r="R191" s="90"/>
      <c r="S191" s="140" t="s">
        <v>207</v>
      </c>
      <c r="T191" s="90"/>
      <c r="U191" s="140" t="s">
        <v>207</v>
      </c>
      <c r="V191" s="90"/>
      <c r="W191" s="140" t="s">
        <v>207</v>
      </c>
      <c r="X191" s="90"/>
      <c r="Y191" s="140" t="s">
        <v>77</v>
      </c>
      <c r="Z191" s="90"/>
      <c r="AA191" s="140" t="s">
        <v>207</v>
      </c>
      <c r="AB191" s="90"/>
      <c r="AC191" s="140" t="s">
        <v>207</v>
      </c>
      <c r="AD191" s="90"/>
      <c r="AE191" s="140" t="s">
        <v>207</v>
      </c>
      <c r="AF191" s="178" t="str">
        <f t="shared" si="6"/>
        <v>C</v>
      </c>
      <c r="AG191" s="52" t="str">
        <f t="shared" si="7"/>
        <v>UTILIZOU O PDA CORRETAMENTE</v>
      </c>
      <c r="AH191" s="140" t="s">
        <v>207</v>
      </c>
      <c r="AI191" s="182" t="s">
        <v>36</v>
      </c>
      <c r="AJ191" s="93" t="str">
        <f t="shared" si="8"/>
        <v>SÃO PAULO</v>
      </c>
      <c r="AK191" s="183" t="s">
        <v>54</v>
      </c>
    </row>
    <row r="192" spans="1:37" ht="30" customHeight="1">
      <c r="A192" s="198" t="s">
        <v>198</v>
      </c>
      <c r="B192" s="198">
        <v>2618864533</v>
      </c>
      <c r="C192" s="198" t="s">
        <v>118</v>
      </c>
      <c r="D192" s="198" t="s">
        <v>96</v>
      </c>
      <c r="E192" s="198" t="s">
        <v>35</v>
      </c>
      <c r="F192" s="198" t="s">
        <v>549</v>
      </c>
      <c r="G192" s="198">
        <v>31</v>
      </c>
      <c r="H192" s="198"/>
      <c r="I192" s="198" t="s">
        <v>550</v>
      </c>
      <c r="J192" s="198" t="s">
        <v>267</v>
      </c>
      <c r="K192" s="198"/>
      <c r="L192" s="199">
        <v>46149.135416666664</v>
      </c>
      <c r="M192" s="199">
        <v>46149.149305555555</v>
      </c>
      <c r="N192" s="198" t="s">
        <v>262</v>
      </c>
      <c r="O192" s="152" t="s">
        <v>207</v>
      </c>
      <c r="P192" s="90"/>
      <c r="Q192" s="140" t="s">
        <v>207</v>
      </c>
      <c r="R192" s="90"/>
      <c r="S192" s="140" t="s">
        <v>207</v>
      </c>
      <c r="T192" s="90"/>
      <c r="U192" s="140" t="s">
        <v>207</v>
      </c>
      <c r="V192" s="90"/>
      <c r="W192" s="140" t="s">
        <v>207</v>
      </c>
      <c r="X192" s="90"/>
      <c r="Y192" s="140" t="s">
        <v>77</v>
      </c>
      <c r="Z192" s="90"/>
      <c r="AA192" s="140" t="s">
        <v>207</v>
      </c>
      <c r="AB192" s="90"/>
      <c r="AC192" s="140" t="s">
        <v>207</v>
      </c>
      <c r="AD192" s="90"/>
      <c r="AE192" s="140" t="s">
        <v>207</v>
      </c>
      <c r="AF192" s="178" t="str">
        <f t="shared" si="6"/>
        <v>C</v>
      </c>
      <c r="AG192" s="52" t="str">
        <f t="shared" si="7"/>
        <v>UTILIZOU O PDA CORRETAMENTE</v>
      </c>
      <c r="AH192" s="140" t="s">
        <v>207</v>
      </c>
      <c r="AI192" s="182" t="s">
        <v>36</v>
      </c>
      <c r="AJ192" s="93" t="str">
        <f t="shared" si="8"/>
        <v>SÃO PAULO</v>
      </c>
      <c r="AK192" s="183" t="s">
        <v>54</v>
      </c>
    </row>
    <row r="193" spans="1:37" ht="30" customHeight="1">
      <c r="A193" s="198" t="s">
        <v>198</v>
      </c>
      <c r="B193" s="198">
        <v>2618897442</v>
      </c>
      <c r="C193" s="198" t="s">
        <v>122</v>
      </c>
      <c r="D193" s="198" t="s">
        <v>96</v>
      </c>
      <c r="E193" s="198" t="s">
        <v>35</v>
      </c>
      <c r="F193" s="198" t="s">
        <v>286</v>
      </c>
      <c r="G193" s="198">
        <v>3684</v>
      </c>
      <c r="H193" s="198" t="s">
        <v>257</v>
      </c>
      <c r="I193" s="198" t="s">
        <v>287</v>
      </c>
      <c r="J193" s="198" t="s">
        <v>301</v>
      </c>
      <c r="K193" s="198" t="s">
        <v>200</v>
      </c>
      <c r="L193" s="199">
        <v>46149.227083333331</v>
      </c>
      <c r="M193" s="199">
        <v>46149.228472222225</v>
      </c>
      <c r="N193" s="198" t="s">
        <v>517</v>
      </c>
      <c r="O193" s="152" t="s">
        <v>207</v>
      </c>
      <c r="P193" s="90"/>
      <c r="Q193" s="140" t="s">
        <v>207</v>
      </c>
      <c r="R193" s="90"/>
      <c r="S193" s="140" t="s">
        <v>207</v>
      </c>
      <c r="T193" s="90"/>
      <c r="U193" s="140" t="s">
        <v>207</v>
      </c>
      <c r="V193" s="90"/>
      <c r="W193" s="140" t="s">
        <v>207</v>
      </c>
      <c r="X193" s="90"/>
      <c r="Y193" s="140" t="s">
        <v>77</v>
      </c>
      <c r="Z193" s="90"/>
      <c r="AA193" s="140" t="s">
        <v>207</v>
      </c>
      <c r="AB193" s="90"/>
      <c r="AC193" s="140" t="s">
        <v>207</v>
      </c>
      <c r="AD193" s="90"/>
      <c r="AE193" s="140" t="s">
        <v>207</v>
      </c>
      <c r="AF193" s="178" t="str">
        <f t="shared" si="6"/>
        <v>C</v>
      </c>
      <c r="AG193" s="52" t="str">
        <f t="shared" si="7"/>
        <v>UTILIZOU O PDA CORRETAMENTE</v>
      </c>
      <c r="AH193" s="140" t="s">
        <v>207</v>
      </c>
      <c r="AI193" s="182" t="s">
        <v>36</v>
      </c>
      <c r="AJ193" s="93" t="str">
        <f t="shared" si="8"/>
        <v>SÃO PAULO</v>
      </c>
      <c r="AK193" s="183" t="s">
        <v>54</v>
      </c>
    </row>
    <row r="194" spans="1:37" ht="30" customHeight="1">
      <c r="A194" s="198" t="s">
        <v>198</v>
      </c>
      <c r="B194" s="198">
        <v>2618927773</v>
      </c>
      <c r="C194" s="198" t="s">
        <v>118</v>
      </c>
      <c r="D194" s="198" t="s">
        <v>96</v>
      </c>
      <c r="E194" s="198" t="s">
        <v>35</v>
      </c>
      <c r="F194" s="198" t="s">
        <v>551</v>
      </c>
      <c r="G194" s="198">
        <v>101</v>
      </c>
      <c r="H194" s="198"/>
      <c r="I194" s="198" t="s">
        <v>550</v>
      </c>
      <c r="J194" s="198" t="s">
        <v>301</v>
      </c>
      <c r="K194" s="198"/>
      <c r="L194" s="199">
        <v>46149.28125</v>
      </c>
      <c r="M194" s="199">
        <v>46149.3</v>
      </c>
      <c r="N194" s="198" t="s">
        <v>262</v>
      </c>
      <c r="O194" s="152" t="s">
        <v>207</v>
      </c>
      <c r="P194" s="90"/>
      <c r="Q194" s="140" t="s">
        <v>207</v>
      </c>
      <c r="R194" s="90"/>
      <c r="S194" s="140" t="s">
        <v>207</v>
      </c>
      <c r="T194" s="90"/>
      <c r="U194" s="140" t="s">
        <v>207</v>
      </c>
      <c r="V194" s="90"/>
      <c r="W194" s="140" t="s">
        <v>207</v>
      </c>
      <c r="X194" s="90"/>
      <c r="Y194" s="140" t="s">
        <v>77</v>
      </c>
      <c r="Z194" s="90"/>
      <c r="AA194" s="140" t="s">
        <v>207</v>
      </c>
      <c r="AB194" s="90"/>
      <c r="AC194" s="140" t="s">
        <v>207</v>
      </c>
      <c r="AD194" s="90"/>
      <c r="AE194" s="140" t="s">
        <v>207</v>
      </c>
      <c r="AF194" s="178" t="str">
        <f t="shared" si="6"/>
        <v>C</v>
      </c>
      <c r="AG194" s="52" t="str">
        <f t="shared" si="7"/>
        <v>UTILIZOU O PDA CORRETAMENTE</v>
      </c>
      <c r="AH194" s="140" t="s">
        <v>207</v>
      </c>
      <c r="AI194" s="182" t="s">
        <v>36</v>
      </c>
      <c r="AJ194" s="93" t="str">
        <f t="shared" si="8"/>
        <v>SÃO PAULO</v>
      </c>
      <c r="AK194" s="183" t="s">
        <v>54</v>
      </c>
    </row>
    <row r="195" spans="1:37" ht="30" customHeight="1">
      <c r="A195" s="198" t="s">
        <v>198</v>
      </c>
      <c r="B195" s="198">
        <v>2618602234</v>
      </c>
      <c r="C195" s="198" t="s">
        <v>101</v>
      </c>
      <c r="D195" s="198" t="s">
        <v>92</v>
      </c>
      <c r="E195" s="198" t="s">
        <v>35</v>
      </c>
      <c r="F195" s="198" t="s">
        <v>552</v>
      </c>
      <c r="G195" s="198">
        <v>70</v>
      </c>
      <c r="H195" s="198" t="s">
        <v>200</v>
      </c>
      <c r="I195" s="198" t="s">
        <v>256</v>
      </c>
      <c r="J195" s="198" t="s">
        <v>101</v>
      </c>
      <c r="K195" s="198" t="s">
        <v>200</v>
      </c>
      <c r="L195" s="199">
        <v>46149.101388888892</v>
      </c>
      <c r="M195" s="199">
        <v>46149.123611111114</v>
      </c>
      <c r="N195" s="198" t="s">
        <v>213</v>
      </c>
      <c r="O195" s="152" t="s">
        <v>207</v>
      </c>
      <c r="P195" s="90"/>
      <c r="Q195" s="140" t="s">
        <v>77</v>
      </c>
      <c r="R195" s="90"/>
      <c r="S195" s="140" t="s">
        <v>77</v>
      </c>
      <c r="T195" s="90"/>
      <c r="U195" s="140" t="s">
        <v>77</v>
      </c>
      <c r="V195" s="90"/>
      <c r="W195" s="140" t="s">
        <v>77</v>
      </c>
      <c r="X195" s="90"/>
      <c r="Y195" s="140" t="s">
        <v>77</v>
      </c>
      <c r="Z195" s="90"/>
      <c r="AA195" s="140" t="s">
        <v>77</v>
      </c>
      <c r="AB195" s="90"/>
      <c r="AC195" s="140" t="s">
        <v>207</v>
      </c>
      <c r="AD195" s="90"/>
      <c r="AE195" s="140" t="s">
        <v>207</v>
      </c>
      <c r="AF195" s="178" t="str">
        <f t="shared" ref="AF195:AF258" si="9">IF(AND(O195="",Q195="",S195="",U195="",W195="",Y195="",AA195="",AC195=""),"",IF(OR(AND(O195&lt;&gt;"NA",O195&lt;&gt;"C",O195&lt;&gt;"NC",O195&lt;&gt;"SF",O195&lt;&gt;""),AND(Q195&lt;&gt;"NA",Q195&lt;&gt;"C",Q195&lt;&gt;"NC",Q195&lt;&gt;"SF",Q195&lt;&gt;""),AND(S195&lt;&gt;"NA",S195&lt;&gt;"C",S195&lt;&gt;"NC",S195&lt;&gt;"SF",S195&lt;&gt;""),AND(U195&lt;&gt;"NA",U195&lt;&gt;"C",U195&lt;&gt;"NC",U195&lt;&gt;"SF",U195&lt;&gt;""),AND(W195&lt;&gt;"NA",W195&lt;&gt;"C",W195&lt;&gt;"NC",W195&lt;&gt;"SF",W195&lt;&gt;""),AND(Y195&lt;&gt;"NA",Y195&lt;&gt;"C",Y195&lt;&gt;"NC",Y195&lt;&gt;"SF",Y195&lt;&gt;""),AND(AA195&lt;&gt;"NA",AA195&lt;&gt;"C",AA195&lt;&gt;"NC",AA195&lt;&gt;"SF",AA195&lt;&gt;""),AND(AC195&lt;&gt;"NA",AC195&lt;&gt;"C",AC195&lt;&gt;"NC",AC195&lt;&gt;"SF",AC195&lt;&gt;"")),"FALSO",IF(AND(O195="NA",Q195="NA",S195="NA",U195="NA",W195="NA",Y195="NA",AA195="NA",AC195="NA"),"NA",IF(OR(O195="NC",Q195="NC",S195="NC",U195="NC",W195="NC",Y195="NC",AA195="NC",AC195="NC",O195="SF",Q195="SF",S195="SF",U195="SF",W195="SF",Y195="SF",AA195="SF",AC195="SF"),"NC",IF(OR(O195="C",Q195="C",S195="C",U195="C",W195="C",Y195="C",AA195="C",AC195="C"),"C","")))))</f>
        <v>C</v>
      </c>
      <c r="AG195" s="52" t="str">
        <f t="shared" ref="AG195:AG258" si="10">IF(AND(AE195="C",AF195="C"),"UTILIZOU O PDA CORRETAMENTE",IF(AND(AE195="C",AF195="NC"),"UTILIZOU O PDA CORRETAMENTE. NÃO HÁ FOTOS DE TODAS AS ETAPAS",IF(AND(AE195="NC",AF195="NC"),"NÃO UTILIZOU O PDA",IF(AND(AE195="NA",AF195="NA"),"NÃO AVALIADO POR FALHA DE SINCRONISMO"))))</f>
        <v>UTILIZOU O PDA CORRETAMENTE</v>
      </c>
      <c r="AH195" s="140" t="s">
        <v>207</v>
      </c>
      <c r="AI195" s="182" t="s">
        <v>36</v>
      </c>
      <c r="AJ195" s="93" t="str">
        <f t="shared" ref="AJ195:AJ258" si="11">E195</f>
        <v>SÃO PAULO</v>
      </c>
      <c r="AK195" s="183" t="s">
        <v>54</v>
      </c>
    </row>
    <row r="196" spans="1:37" ht="30" customHeight="1">
      <c r="A196" s="198" t="s">
        <v>198</v>
      </c>
      <c r="B196" s="198">
        <v>2692592355</v>
      </c>
      <c r="C196" s="198" t="s">
        <v>118</v>
      </c>
      <c r="D196" s="198" t="s">
        <v>96</v>
      </c>
      <c r="E196" s="198" t="s">
        <v>35</v>
      </c>
      <c r="F196" s="198" t="s">
        <v>553</v>
      </c>
      <c r="G196" s="198">
        <v>9</v>
      </c>
      <c r="H196" s="198"/>
      <c r="I196" s="198" t="s">
        <v>392</v>
      </c>
      <c r="J196" s="198" t="s">
        <v>260</v>
      </c>
      <c r="K196" s="198"/>
      <c r="L196" s="199">
        <v>46149.438888888886</v>
      </c>
      <c r="M196" s="199">
        <v>46149.54583333333</v>
      </c>
      <c r="N196" s="198" t="s">
        <v>295</v>
      </c>
      <c r="O196" s="152" t="s">
        <v>207</v>
      </c>
      <c r="P196" s="280"/>
      <c r="Q196" s="287" t="s">
        <v>207</v>
      </c>
      <c r="R196" s="280"/>
      <c r="S196" s="287" t="s">
        <v>207</v>
      </c>
      <c r="T196" s="280"/>
      <c r="U196" s="287" t="s">
        <v>207</v>
      </c>
      <c r="V196" s="280"/>
      <c r="W196" s="287" t="s">
        <v>207</v>
      </c>
      <c r="X196" s="280"/>
      <c r="Y196" s="287" t="s">
        <v>77</v>
      </c>
      <c r="Z196" s="280"/>
      <c r="AA196" s="287" t="s">
        <v>207</v>
      </c>
      <c r="AB196" s="280"/>
      <c r="AC196" s="287" t="s">
        <v>207</v>
      </c>
      <c r="AD196" s="280"/>
      <c r="AE196" s="287" t="s">
        <v>207</v>
      </c>
      <c r="AF196" s="178" t="str">
        <f t="shared" si="9"/>
        <v>C</v>
      </c>
      <c r="AG196" s="52" t="str">
        <f t="shared" si="10"/>
        <v>UTILIZOU O PDA CORRETAMENTE</v>
      </c>
      <c r="AH196" s="140" t="s">
        <v>207</v>
      </c>
      <c r="AI196" s="182" t="s">
        <v>36</v>
      </c>
      <c r="AJ196" s="93" t="str">
        <f t="shared" si="11"/>
        <v>SÃO PAULO</v>
      </c>
      <c r="AK196" s="183" t="s">
        <v>54</v>
      </c>
    </row>
    <row r="197" spans="1:37" ht="30" customHeight="1">
      <c r="A197" s="198" t="s">
        <v>198</v>
      </c>
      <c r="B197" s="198">
        <v>2619139412</v>
      </c>
      <c r="C197" s="198" t="s">
        <v>120</v>
      </c>
      <c r="D197" s="198" t="s">
        <v>96</v>
      </c>
      <c r="E197" s="198" t="s">
        <v>35</v>
      </c>
      <c r="F197" s="198" t="s">
        <v>554</v>
      </c>
      <c r="G197" s="198">
        <v>10</v>
      </c>
      <c r="H197" s="198" t="s">
        <v>200</v>
      </c>
      <c r="I197" s="198" t="s">
        <v>417</v>
      </c>
      <c r="J197" s="198" t="s">
        <v>202</v>
      </c>
      <c r="K197" s="198" t="s">
        <v>200</v>
      </c>
      <c r="L197" s="199">
        <v>46149.081944444442</v>
      </c>
      <c r="M197" s="199">
        <v>46149.147916666669</v>
      </c>
      <c r="N197" s="198" t="s">
        <v>235</v>
      </c>
      <c r="O197" s="152" t="s">
        <v>207</v>
      </c>
      <c r="P197" s="280"/>
      <c r="Q197" s="287" t="s">
        <v>207</v>
      </c>
      <c r="R197" s="280"/>
      <c r="S197" s="287" t="s">
        <v>207</v>
      </c>
      <c r="T197" s="280"/>
      <c r="U197" s="287" t="s">
        <v>207</v>
      </c>
      <c r="V197" s="280"/>
      <c r="W197" s="287" t="s">
        <v>207</v>
      </c>
      <c r="X197" s="280"/>
      <c r="Y197" s="287" t="s">
        <v>77</v>
      </c>
      <c r="Z197" s="280"/>
      <c r="AA197" s="287" t="s">
        <v>207</v>
      </c>
      <c r="AB197" s="280"/>
      <c r="AC197" s="287" t="s">
        <v>207</v>
      </c>
      <c r="AD197" s="280"/>
      <c r="AE197" s="287" t="s">
        <v>207</v>
      </c>
      <c r="AF197" s="178" t="str">
        <f t="shared" si="9"/>
        <v>C</v>
      </c>
      <c r="AG197" s="52" t="str">
        <f t="shared" si="10"/>
        <v>UTILIZOU O PDA CORRETAMENTE</v>
      </c>
      <c r="AH197" s="140" t="s">
        <v>207</v>
      </c>
      <c r="AI197" s="182" t="s">
        <v>36</v>
      </c>
      <c r="AJ197" s="93" t="str">
        <f t="shared" si="11"/>
        <v>SÃO PAULO</v>
      </c>
      <c r="AK197" s="183" t="s">
        <v>54</v>
      </c>
    </row>
    <row r="198" spans="1:37" ht="30" customHeight="1">
      <c r="A198" s="198" t="s">
        <v>198</v>
      </c>
      <c r="B198" s="198">
        <v>2618900226</v>
      </c>
      <c r="C198" s="198" t="s">
        <v>118</v>
      </c>
      <c r="D198" s="198" t="s">
        <v>96</v>
      </c>
      <c r="E198" s="198" t="s">
        <v>35</v>
      </c>
      <c r="F198" s="198" t="s">
        <v>555</v>
      </c>
      <c r="G198" s="198">
        <v>740</v>
      </c>
      <c r="H198" s="198" t="s">
        <v>208</v>
      </c>
      <c r="I198" s="198" t="s">
        <v>417</v>
      </c>
      <c r="J198" s="198" t="s">
        <v>267</v>
      </c>
      <c r="K198" s="198"/>
      <c r="L198" s="199">
        <v>46149.261805555558</v>
      </c>
      <c r="M198" s="199">
        <v>46149.329861111109</v>
      </c>
      <c r="N198" s="198" t="s">
        <v>235</v>
      </c>
      <c r="O198" s="152" t="s">
        <v>207</v>
      </c>
      <c r="P198" s="280"/>
      <c r="Q198" s="287" t="s">
        <v>207</v>
      </c>
      <c r="R198" s="280"/>
      <c r="S198" s="287" t="s">
        <v>207</v>
      </c>
      <c r="T198" s="280"/>
      <c r="U198" s="287" t="s">
        <v>207</v>
      </c>
      <c r="V198" s="280"/>
      <c r="W198" s="287" t="s">
        <v>207</v>
      </c>
      <c r="X198" s="280"/>
      <c r="Y198" s="287" t="s">
        <v>77</v>
      </c>
      <c r="Z198" s="280"/>
      <c r="AA198" s="287" t="s">
        <v>207</v>
      </c>
      <c r="AB198" s="280"/>
      <c r="AC198" s="287" t="s">
        <v>207</v>
      </c>
      <c r="AD198" s="280"/>
      <c r="AE198" s="287" t="s">
        <v>207</v>
      </c>
      <c r="AF198" s="178" t="str">
        <f t="shared" si="9"/>
        <v>C</v>
      </c>
      <c r="AG198" s="52" t="str">
        <f t="shared" si="10"/>
        <v>UTILIZOU O PDA CORRETAMENTE</v>
      </c>
      <c r="AH198" s="140" t="s">
        <v>207</v>
      </c>
      <c r="AI198" s="182" t="s">
        <v>36</v>
      </c>
      <c r="AJ198" s="93" t="str">
        <f t="shared" si="11"/>
        <v>SÃO PAULO</v>
      </c>
      <c r="AK198" s="183" t="s">
        <v>54</v>
      </c>
    </row>
    <row r="199" spans="1:37" ht="30" customHeight="1">
      <c r="A199" s="198" t="s">
        <v>198</v>
      </c>
      <c r="B199" s="198">
        <v>2692640038</v>
      </c>
      <c r="C199" s="198" t="s">
        <v>122</v>
      </c>
      <c r="D199" s="198" t="s">
        <v>96</v>
      </c>
      <c r="E199" s="198" t="s">
        <v>35</v>
      </c>
      <c r="F199" s="198" t="s">
        <v>556</v>
      </c>
      <c r="G199" s="198">
        <v>39</v>
      </c>
      <c r="H199" s="198" t="s">
        <v>200</v>
      </c>
      <c r="I199" s="198" t="s">
        <v>220</v>
      </c>
      <c r="J199" s="198" t="s">
        <v>267</v>
      </c>
      <c r="K199" s="198" t="s">
        <v>200</v>
      </c>
      <c r="L199" s="199">
        <v>46149.084027777775</v>
      </c>
      <c r="M199" s="199">
        <v>46149.117361111108</v>
      </c>
      <c r="N199" s="198" t="s">
        <v>403</v>
      </c>
      <c r="O199" s="152" t="s">
        <v>207</v>
      </c>
      <c r="P199" s="280"/>
      <c r="Q199" s="287" t="s">
        <v>207</v>
      </c>
      <c r="R199" s="280"/>
      <c r="S199" s="287" t="s">
        <v>207</v>
      </c>
      <c r="T199" s="280"/>
      <c r="U199" s="287" t="s">
        <v>207</v>
      </c>
      <c r="V199" s="280"/>
      <c r="W199" s="287" t="s">
        <v>207</v>
      </c>
      <c r="X199" s="280"/>
      <c r="Y199" s="287" t="s">
        <v>77</v>
      </c>
      <c r="Z199" s="280"/>
      <c r="AA199" s="287" t="s">
        <v>207</v>
      </c>
      <c r="AB199" s="280"/>
      <c r="AC199" s="287" t="s">
        <v>207</v>
      </c>
      <c r="AD199" s="280"/>
      <c r="AE199" s="287" t="s">
        <v>207</v>
      </c>
      <c r="AF199" s="178" t="str">
        <f t="shared" si="9"/>
        <v>C</v>
      </c>
      <c r="AG199" s="52" t="str">
        <f t="shared" si="10"/>
        <v>UTILIZOU O PDA CORRETAMENTE</v>
      </c>
      <c r="AH199" s="140" t="s">
        <v>207</v>
      </c>
      <c r="AI199" s="182" t="s">
        <v>36</v>
      </c>
      <c r="AJ199" s="93" t="str">
        <f t="shared" si="11"/>
        <v>SÃO PAULO</v>
      </c>
      <c r="AK199" s="183" t="s">
        <v>54</v>
      </c>
    </row>
    <row r="200" spans="1:37" ht="30" customHeight="1">
      <c r="A200" s="198" t="s">
        <v>198</v>
      </c>
      <c r="B200" s="198">
        <v>2619150464</v>
      </c>
      <c r="C200" s="198" t="s">
        <v>116</v>
      </c>
      <c r="D200" s="198" t="s">
        <v>94</v>
      </c>
      <c r="E200" s="198" t="s">
        <v>35</v>
      </c>
      <c r="F200" s="198" t="s">
        <v>557</v>
      </c>
      <c r="G200" s="198">
        <v>54</v>
      </c>
      <c r="H200" s="198"/>
      <c r="I200" s="198" t="s">
        <v>558</v>
      </c>
      <c r="J200" s="198" t="s">
        <v>221</v>
      </c>
      <c r="K200" s="198"/>
      <c r="L200" s="199">
        <v>46149.411805555559</v>
      </c>
      <c r="M200" s="199">
        <v>46149.412499999999</v>
      </c>
      <c r="N200" s="198" t="s">
        <v>349</v>
      </c>
      <c r="O200" s="152" t="s">
        <v>207</v>
      </c>
      <c r="P200" s="280"/>
      <c r="Q200" s="287" t="s">
        <v>207</v>
      </c>
      <c r="R200" s="280"/>
      <c r="S200" s="287" t="s">
        <v>207</v>
      </c>
      <c r="T200" s="280"/>
      <c r="U200" s="287" t="s">
        <v>207</v>
      </c>
      <c r="V200" s="280"/>
      <c r="W200" s="287" t="s">
        <v>207</v>
      </c>
      <c r="X200" s="280"/>
      <c r="Y200" s="287" t="s">
        <v>207</v>
      </c>
      <c r="Z200" s="280"/>
      <c r="AA200" s="287" t="s">
        <v>207</v>
      </c>
      <c r="AB200" s="280"/>
      <c r="AC200" s="287" t="s">
        <v>207</v>
      </c>
      <c r="AD200" s="280"/>
      <c r="AE200" s="287" t="s">
        <v>207</v>
      </c>
      <c r="AF200" s="178" t="str">
        <f t="shared" si="9"/>
        <v>C</v>
      </c>
      <c r="AG200" s="52" t="str">
        <f t="shared" si="10"/>
        <v>UTILIZOU O PDA CORRETAMENTE</v>
      </c>
      <c r="AH200" s="140" t="s">
        <v>207</v>
      </c>
      <c r="AI200" s="182" t="s">
        <v>36</v>
      </c>
      <c r="AJ200" s="93" t="str">
        <f t="shared" si="11"/>
        <v>SÃO PAULO</v>
      </c>
      <c r="AK200" s="183" t="s">
        <v>54</v>
      </c>
    </row>
    <row r="201" spans="1:37" ht="30" customHeight="1">
      <c r="A201" s="198" t="s">
        <v>198</v>
      </c>
      <c r="B201" s="198">
        <v>2619150011</v>
      </c>
      <c r="C201" s="198" t="s">
        <v>120</v>
      </c>
      <c r="D201" s="198" t="s">
        <v>96</v>
      </c>
      <c r="E201" s="198" t="s">
        <v>35</v>
      </c>
      <c r="F201" s="198" t="s">
        <v>557</v>
      </c>
      <c r="G201" s="198">
        <v>55</v>
      </c>
      <c r="H201" s="198" t="s">
        <v>200</v>
      </c>
      <c r="I201" s="198" t="s">
        <v>558</v>
      </c>
      <c r="J201" s="198" t="s">
        <v>336</v>
      </c>
      <c r="K201" s="198" t="s">
        <v>559</v>
      </c>
      <c r="L201" s="199">
        <v>46149.418055555558</v>
      </c>
      <c r="M201" s="199">
        <v>46149.418749999997</v>
      </c>
      <c r="N201" s="198" t="s">
        <v>349</v>
      </c>
      <c r="O201" s="152" t="s">
        <v>207</v>
      </c>
      <c r="P201" s="280"/>
      <c r="Q201" s="287" t="s">
        <v>207</v>
      </c>
      <c r="R201" s="280"/>
      <c r="S201" s="287" t="s">
        <v>207</v>
      </c>
      <c r="T201" s="280"/>
      <c r="U201" s="287" t="s">
        <v>207</v>
      </c>
      <c r="V201" s="280"/>
      <c r="W201" s="287" t="s">
        <v>207</v>
      </c>
      <c r="X201" s="280"/>
      <c r="Y201" s="287" t="s">
        <v>77</v>
      </c>
      <c r="Z201" s="280"/>
      <c r="AA201" s="287" t="s">
        <v>207</v>
      </c>
      <c r="AB201" s="280"/>
      <c r="AC201" s="287" t="s">
        <v>207</v>
      </c>
      <c r="AD201" s="280"/>
      <c r="AE201" s="287" t="s">
        <v>207</v>
      </c>
      <c r="AF201" s="178" t="str">
        <f t="shared" si="9"/>
        <v>C</v>
      </c>
      <c r="AG201" s="52" t="str">
        <f t="shared" si="10"/>
        <v>UTILIZOU O PDA CORRETAMENTE</v>
      </c>
      <c r="AH201" s="140" t="s">
        <v>207</v>
      </c>
      <c r="AI201" s="182" t="s">
        <v>36</v>
      </c>
      <c r="AJ201" s="93" t="str">
        <f t="shared" si="11"/>
        <v>SÃO PAULO</v>
      </c>
      <c r="AK201" s="183" t="s">
        <v>54</v>
      </c>
    </row>
    <row r="202" spans="1:37" ht="30" customHeight="1">
      <c r="A202" s="198" t="s">
        <v>198</v>
      </c>
      <c r="B202" s="198">
        <v>2619152098</v>
      </c>
      <c r="C202" s="198" t="s">
        <v>120</v>
      </c>
      <c r="D202" s="198" t="s">
        <v>96</v>
      </c>
      <c r="E202" s="198" t="s">
        <v>35</v>
      </c>
      <c r="F202" s="198" t="s">
        <v>410</v>
      </c>
      <c r="G202" s="198">
        <v>77</v>
      </c>
      <c r="H202" s="198"/>
      <c r="I202" s="198" t="s">
        <v>411</v>
      </c>
      <c r="J202" s="198" t="s">
        <v>336</v>
      </c>
      <c r="K202" s="198" t="s">
        <v>531</v>
      </c>
      <c r="L202" s="199">
        <v>46149.421527777777</v>
      </c>
      <c r="M202" s="199">
        <v>46149.422222222223</v>
      </c>
      <c r="N202" s="198" t="s">
        <v>235</v>
      </c>
      <c r="O202" s="152" t="s">
        <v>207</v>
      </c>
      <c r="P202" s="280"/>
      <c r="Q202" s="287" t="s">
        <v>207</v>
      </c>
      <c r="R202" s="280"/>
      <c r="S202" s="287" t="s">
        <v>207</v>
      </c>
      <c r="T202" s="280"/>
      <c r="U202" s="287" t="s">
        <v>207</v>
      </c>
      <c r="V202" s="280"/>
      <c r="W202" s="287" t="s">
        <v>207</v>
      </c>
      <c r="X202" s="280"/>
      <c r="Y202" s="287" t="s">
        <v>77</v>
      </c>
      <c r="Z202" s="280"/>
      <c r="AA202" s="287" t="s">
        <v>207</v>
      </c>
      <c r="AB202" s="280"/>
      <c r="AC202" s="287" t="s">
        <v>207</v>
      </c>
      <c r="AD202" s="280"/>
      <c r="AE202" s="287" t="s">
        <v>207</v>
      </c>
      <c r="AF202" s="178" t="str">
        <f t="shared" si="9"/>
        <v>C</v>
      </c>
      <c r="AG202" s="52" t="str">
        <f t="shared" si="10"/>
        <v>UTILIZOU O PDA CORRETAMENTE</v>
      </c>
      <c r="AH202" s="140" t="s">
        <v>207</v>
      </c>
      <c r="AI202" s="182" t="s">
        <v>36</v>
      </c>
      <c r="AJ202" s="93" t="str">
        <f t="shared" si="11"/>
        <v>SÃO PAULO</v>
      </c>
      <c r="AK202" s="183" t="s">
        <v>54</v>
      </c>
    </row>
    <row r="203" spans="1:37" ht="30" customHeight="1">
      <c r="A203" s="198" t="s">
        <v>198</v>
      </c>
      <c r="B203" s="198">
        <v>2619152098</v>
      </c>
      <c r="C203" s="198" t="s">
        <v>121</v>
      </c>
      <c r="D203" s="198" t="s">
        <v>96</v>
      </c>
      <c r="E203" s="198" t="s">
        <v>35</v>
      </c>
      <c r="F203" s="198" t="s">
        <v>410</v>
      </c>
      <c r="G203" s="198">
        <v>77</v>
      </c>
      <c r="H203" s="198" t="s">
        <v>200</v>
      </c>
      <c r="I203" s="198" t="s">
        <v>411</v>
      </c>
      <c r="J203" s="198" t="s">
        <v>202</v>
      </c>
      <c r="K203" s="198" t="s">
        <v>531</v>
      </c>
      <c r="L203" s="199">
        <v>46149.425000000003</v>
      </c>
      <c r="M203" s="199">
        <v>46149.425694444442</v>
      </c>
      <c r="N203" s="198" t="s">
        <v>235</v>
      </c>
      <c r="O203" s="152" t="s">
        <v>207</v>
      </c>
      <c r="P203" s="280"/>
      <c r="Q203" s="287" t="s">
        <v>207</v>
      </c>
      <c r="R203" s="280"/>
      <c r="S203" s="287" t="s">
        <v>207</v>
      </c>
      <c r="T203" s="280"/>
      <c r="U203" s="287" t="s">
        <v>207</v>
      </c>
      <c r="V203" s="280"/>
      <c r="W203" s="287" t="s">
        <v>207</v>
      </c>
      <c r="X203" s="280"/>
      <c r="Y203" s="287" t="s">
        <v>77</v>
      </c>
      <c r="Z203" s="280"/>
      <c r="AA203" s="287" t="s">
        <v>207</v>
      </c>
      <c r="AB203" s="280"/>
      <c r="AC203" s="287" t="s">
        <v>207</v>
      </c>
      <c r="AD203" s="280"/>
      <c r="AE203" s="287" t="s">
        <v>207</v>
      </c>
      <c r="AF203" s="178" t="str">
        <f t="shared" si="9"/>
        <v>C</v>
      </c>
      <c r="AG203" s="52" t="str">
        <f t="shared" si="10"/>
        <v>UTILIZOU O PDA CORRETAMENTE</v>
      </c>
      <c r="AH203" s="140" t="s">
        <v>207</v>
      </c>
      <c r="AI203" s="182" t="s">
        <v>36</v>
      </c>
      <c r="AJ203" s="93" t="str">
        <f t="shared" si="11"/>
        <v>SÃO PAULO</v>
      </c>
      <c r="AK203" s="183" t="s">
        <v>54</v>
      </c>
    </row>
    <row r="204" spans="1:37" ht="30" customHeight="1">
      <c r="A204" s="198" t="s">
        <v>198</v>
      </c>
      <c r="B204" s="198">
        <v>2619167402</v>
      </c>
      <c r="C204" s="198" t="s">
        <v>122</v>
      </c>
      <c r="D204" s="198" t="s">
        <v>96</v>
      </c>
      <c r="E204" s="198" t="s">
        <v>35</v>
      </c>
      <c r="F204" s="198" t="s">
        <v>560</v>
      </c>
      <c r="G204" s="198">
        <v>454</v>
      </c>
      <c r="H204" s="198"/>
      <c r="I204" s="198" t="s">
        <v>241</v>
      </c>
      <c r="J204" s="198" t="s">
        <v>267</v>
      </c>
      <c r="K204" s="198"/>
      <c r="L204" s="199">
        <v>46149.302777777775</v>
      </c>
      <c r="M204" s="199">
        <v>46149.350694444445</v>
      </c>
      <c r="N204" s="198" t="s">
        <v>403</v>
      </c>
      <c r="O204" s="152" t="s">
        <v>207</v>
      </c>
      <c r="P204" s="280"/>
      <c r="Q204" s="287" t="s">
        <v>207</v>
      </c>
      <c r="R204" s="280"/>
      <c r="S204" s="287" t="s">
        <v>207</v>
      </c>
      <c r="T204" s="280"/>
      <c r="U204" s="287" t="s">
        <v>207</v>
      </c>
      <c r="V204" s="280"/>
      <c r="W204" s="287" t="s">
        <v>207</v>
      </c>
      <c r="X204" s="280"/>
      <c r="Y204" s="287" t="s">
        <v>77</v>
      </c>
      <c r="Z204" s="280"/>
      <c r="AA204" s="287" t="s">
        <v>207</v>
      </c>
      <c r="AB204" s="280"/>
      <c r="AC204" s="287" t="s">
        <v>207</v>
      </c>
      <c r="AD204" s="280"/>
      <c r="AE204" s="287" t="s">
        <v>207</v>
      </c>
      <c r="AF204" s="178" t="str">
        <f t="shared" si="9"/>
        <v>C</v>
      </c>
      <c r="AG204" s="52" t="str">
        <f t="shared" si="10"/>
        <v>UTILIZOU O PDA CORRETAMENTE</v>
      </c>
      <c r="AH204" s="140" t="s">
        <v>207</v>
      </c>
      <c r="AI204" s="182" t="s">
        <v>36</v>
      </c>
      <c r="AJ204" s="93" t="str">
        <f t="shared" si="11"/>
        <v>SÃO PAULO</v>
      </c>
      <c r="AK204" s="183" t="s">
        <v>54</v>
      </c>
    </row>
    <row r="205" spans="1:37" ht="30" customHeight="1">
      <c r="A205" s="198" t="s">
        <v>198</v>
      </c>
      <c r="B205" s="198">
        <v>2692660862</v>
      </c>
      <c r="C205" s="198" t="s">
        <v>118</v>
      </c>
      <c r="D205" s="198" t="s">
        <v>96</v>
      </c>
      <c r="E205" s="198" t="s">
        <v>35</v>
      </c>
      <c r="F205" s="198" t="s">
        <v>561</v>
      </c>
      <c r="G205" s="198">
        <v>5</v>
      </c>
      <c r="H205" s="198" t="s">
        <v>200</v>
      </c>
      <c r="I205" s="198" t="s">
        <v>558</v>
      </c>
      <c r="J205" s="198" t="s">
        <v>267</v>
      </c>
      <c r="K205" s="198" t="s">
        <v>200</v>
      </c>
      <c r="L205" s="199">
        <v>46149.252083333333</v>
      </c>
      <c r="M205" s="199">
        <v>46149.279166666667</v>
      </c>
      <c r="N205" s="198" t="s">
        <v>403</v>
      </c>
      <c r="O205" s="152" t="s">
        <v>207</v>
      </c>
      <c r="P205" s="280"/>
      <c r="Q205" s="287" t="s">
        <v>207</v>
      </c>
      <c r="R205" s="280"/>
      <c r="S205" s="287" t="s">
        <v>207</v>
      </c>
      <c r="T205" s="280"/>
      <c r="U205" s="287" t="s">
        <v>207</v>
      </c>
      <c r="V205" s="280"/>
      <c r="W205" s="287" t="s">
        <v>207</v>
      </c>
      <c r="X205" s="280"/>
      <c r="Y205" s="287" t="s">
        <v>77</v>
      </c>
      <c r="Z205" s="280"/>
      <c r="AA205" s="287" t="s">
        <v>207</v>
      </c>
      <c r="AB205" s="280"/>
      <c r="AC205" s="287" t="s">
        <v>207</v>
      </c>
      <c r="AD205" s="280"/>
      <c r="AE205" s="287" t="s">
        <v>207</v>
      </c>
      <c r="AF205" s="178" t="str">
        <f t="shared" si="9"/>
        <v>C</v>
      </c>
      <c r="AG205" s="52" t="str">
        <f t="shared" si="10"/>
        <v>UTILIZOU O PDA CORRETAMENTE</v>
      </c>
      <c r="AH205" s="140" t="s">
        <v>207</v>
      </c>
      <c r="AI205" s="182" t="s">
        <v>36</v>
      </c>
      <c r="AJ205" s="93" t="str">
        <f t="shared" si="11"/>
        <v>SÃO PAULO</v>
      </c>
      <c r="AK205" s="183" t="s">
        <v>54</v>
      </c>
    </row>
    <row r="206" spans="1:37" ht="30" customHeight="1">
      <c r="A206" s="198" t="s">
        <v>198</v>
      </c>
      <c r="B206" s="198">
        <v>2619139672</v>
      </c>
      <c r="C206" s="198" t="s">
        <v>120</v>
      </c>
      <c r="D206" s="198" t="s">
        <v>96</v>
      </c>
      <c r="E206" s="198" t="s">
        <v>35</v>
      </c>
      <c r="F206" s="198" t="s">
        <v>539</v>
      </c>
      <c r="G206" s="198">
        <v>14</v>
      </c>
      <c r="H206" s="198" t="s">
        <v>208</v>
      </c>
      <c r="I206" s="198" t="s">
        <v>230</v>
      </c>
      <c r="J206" s="198" t="s">
        <v>562</v>
      </c>
      <c r="K206" s="198"/>
      <c r="L206" s="199">
        <v>46149.223611111112</v>
      </c>
      <c r="M206" s="199">
        <v>46149.229861111111</v>
      </c>
      <c r="N206" s="198" t="s">
        <v>320</v>
      </c>
      <c r="O206" s="152" t="s">
        <v>207</v>
      </c>
      <c r="P206" s="280"/>
      <c r="Q206" s="287" t="s">
        <v>207</v>
      </c>
      <c r="R206" s="280"/>
      <c r="S206" s="287" t="s">
        <v>207</v>
      </c>
      <c r="T206" s="280"/>
      <c r="U206" s="287" t="s">
        <v>207</v>
      </c>
      <c r="V206" s="280"/>
      <c r="W206" s="287" t="s">
        <v>207</v>
      </c>
      <c r="X206" s="280"/>
      <c r="Y206" s="287" t="s">
        <v>77</v>
      </c>
      <c r="Z206" s="280"/>
      <c r="AA206" s="287" t="s">
        <v>207</v>
      </c>
      <c r="AB206" s="280"/>
      <c r="AC206" s="287" t="s">
        <v>207</v>
      </c>
      <c r="AD206" s="280"/>
      <c r="AE206" s="287" t="s">
        <v>207</v>
      </c>
      <c r="AF206" s="178" t="str">
        <f t="shared" si="9"/>
        <v>C</v>
      </c>
      <c r="AG206" s="52" t="str">
        <f t="shared" si="10"/>
        <v>UTILIZOU O PDA CORRETAMENTE</v>
      </c>
      <c r="AH206" s="140" t="s">
        <v>207</v>
      </c>
      <c r="AI206" s="182" t="s">
        <v>36</v>
      </c>
      <c r="AJ206" s="93" t="str">
        <f t="shared" si="11"/>
        <v>SÃO PAULO</v>
      </c>
      <c r="AK206" s="183" t="s">
        <v>54</v>
      </c>
    </row>
    <row r="207" spans="1:37" ht="30" customHeight="1">
      <c r="A207" s="198" t="s">
        <v>198</v>
      </c>
      <c r="B207" s="198">
        <v>2619139412</v>
      </c>
      <c r="C207" s="198" t="s">
        <v>114</v>
      </c>
      <c r="D207" s="198" t="s">
        <v>96</v>
      </c>
      <c r="E207" s="198" t="s">
        <v>35</v>
      </c>
      <c r="F207" s="198" t="s">
        <v>554</v>
      </c>
      <c r="G207" s="198">
        <v>10</v>
      </c>
      <c r="H207" s="198" t="s">
        <v>200</v>
      </c>
      <c r="I207" s="198" t="s">
        <v>417</v>
      </c>
      <c r="J207" s="198" t="s">
        <v>260</v>
      </c>
      <c r="K207" s="198" t="s">
        <v>200</v>
      </c>
      <c r="L207" s="199">
        <v>46149.148611111108</v>
      </c>
      <c r="M207" s="199">
        <v>46149.168749999997</v>
      </c>
      <c r="N207" s="198" t="s">
        <v>235</v>
      </c>
      <c r="O207" s="152" t="s">
        <v>207</v>
      </c>
      <c r="P207" s="280"/>
      <c r="Q207" s="287" t="s">
        <v>207</v>
      </c>
      <c r="R207" s="280"/>
      <c r="S207" s="287" t="s">
        <v>207</v>
      </c>
      <c r="T207" s="280"/>
      <c r="U207" s="287" t="s">
        <v>207</v>
      </c>
      <c r="V207" s="280"/>
      <c r="W207" s="287" t="s">
        <v>207</v>
      </c>
      <c r="X207" s="280"/>
      <c r="Y207" s="287" t="s">
        <v>207</v>
      </c>
      <c r="Z207" s="280"/>
      <c r="AA207" s="287" t="s">
        <v>207</v>
      </c>
      <c r="AB207" s="280"/>
      <c r="AC207" s="287" t="s">
        <v>207</v>
      </c>
      <c r="AD207" s="280"/>
      <c r="AE207" s="287" t="s">
        <v>207</v>
      </c>
      <c r="AF207" s="178" t="str">
        <f t="shared" si="9"/>
        <v>C</v>
      </c>
      <c r="AG207" s="52" t="str">
        <f t="shared" si="10"/>
        <v>UTILIZOU O PDA CORRETAMENTE</v>
      </c>
      <c r="AH207" s="140" t="s">
        <v>207</v>
      </c>
      <c r="AI207" s="182" t="s">
        <v>36</v>
      </c>
      <c r="AJ207" s="93" t="str">
        <f t="shared" si="11"/>
        <v>SÃO PAULO</v>
      </c>
      <c r="AK207" s="183" t="s">
        <v>54</v>
      </c>
    </row>
    <row r="208" spans="1:37" ht="30" customHeight="1">
      <c r="A208" s="198" t="s">
        <v>198</v>
      </c>
      <c r="B208" s="198">
        <v>2618906050</v>
      </c>
      <c r="C208" s="198" t="s">
        <v>121</v>
      </c>
      <c r="D208" s="198" t="s">
        <v>96</v>
      </c>
      <c r="E208" s="198" t="s">
        <v>35</v>
      </c>
      <c r="F208" s="198" t="s">
        <v>563</v>
      </c>
      <c r="G208" s="198">
        <v>2284</v>
      </c>
      <c r="H208" s="198"/>
      <c r="I208" s="198" t="s">
        <v>234</v>
      </c>
      <c r="J208" s="198" t="s">
        <v>202</v>
      </c>
      <c r="K208" s="198"/>
      <c r="L208" s="199">
        <v>46150.086805555555</v>
      </c>
      <c r="M208" s="199">
        <v>46150.181944444441</v>
      </c>
      <c r="N208" s="198" t="s">
        <v>349</v>
      </c>
      <c r="O208" s="152" t="s">
        <v>207</v>
      </c>
      <c r="P208" s="280"/>
      <c r="Q208" s="287" t="s">
        <v>207</v>
      </c>
      <c r="R208" s="280"/>
      <c r="S208" s="287" t="s">
        <v>207</v>
      </c>
      <c r="T208" s="280"/>
      <c r="U208" s="287" t="s">
        <v>207</v>
      </c>
      <c r="V208" s="280"/>
      <c r="W208" s="287" t="s">
        <v>207</v>
      </c>
      <c r="X208" s="280"/>
      <c r="Y208" s="287" t="s">
        <v>77</v>
      </c>
      <c r="Z208" s="280"/>
      <c r="AA208" s="287" t="s">
        <v>207</v>
      </c>
      <c r="AB208" s="280"/>
      <c r="AC208" s="287" t="s">
        <v>207</v>
      </c>
      <c r="AD208" s="280"/>
      <c r="AE208" s="287" t="s">
        <v>207</v>
      </c>
      <c r="AF208" s="178" t="str">
        <f t="shared" si="9"/>
        <v>C</v>
      </c>
      <c r="AG208" s="52" t="str">
        <f t="shared" si="10"/>
        <v>UTILIZOU O PDA CORRETAMENTE</v>
      </c>
      <c r="AH208" s="140" t="s">
        <v>207</v>
      </c>
      <c r="AI208" s="182" t="s">
        <v>36</v>
      </c>
      <c r="AJ208" s="93" t="str">
        <f t="shared" si="11"/>
        <v>SÃO PAULO</v>
      </c>
      <c r="AK208" s="183" t="s">
        <v>54</v>
      </c>
    </row>
    <row r="209" spans="1:37" ht="30" customHeight="1">
      <c r="A209" s="198" t="s">
        <v>198</v>
      </c>
      <c r="B209" s="198">
        <v>2619203362</v>
      </c>
      <c r="C209" s="198" t="s">
        <v>102</v>
      </c>
      <c r="D209" s="198" t="s">
        <v>95</v>
      </c>
      <c r="E209" s="198" t="s">
        <v>35</v>
      </c>
      <c r="F209" s="198" t="s">
        <v>564</v>
      </c>
      <c r="G209" s="198">
        <v>332</v>
      </c>
      <c r="H209" s="198" t="s">
        <v>200</v>
      </c>
      <c r="I209" s="198" t="s">
        <v>293</v>
      </c>
      <c r="J209" s="198" t="s">
        <v>427</v>
      </c>
      <c r="K209" s="198" t="s">
        <v>200</v>
      </c>
      <c r="L209" s="199">
        <v>46150.333333333336</v>
      </c>
      <c r="M209" s="199">
        <v>46150.334027777775</v>
      </c>
      <c r="N209" s="198" t="s">
        <v>203</v>
      </c>
      <c r="O209" s="152" t="s">
        <v>77</v>
      </c>
      <c r="P209" s="180"/>
      <c r="Q209" s="155" t="s">
        <v>77</v>
      </c>
      <c r="R209" s="155"/>
      <c r="S209" s="155" t="s">
        <v>77</v>
      </c>
      <c r="T209" s="181"/>
      <c r="U209" s="155" t="s">
        <v>77</v>
      </c>
      <c r="V209" s="181"/>
      <c r="W209" s="155" t="s">
        <v>77</v>
      </c>
      <c r="X209" s="181"/>
      <c r="Y209" s="181" t="s">
        <v>77</v>
      </c>
      <c r="Z209" s="181"/>
      <c r="AA209" s="181" t="s">
        <v>77</v>
      </c>
      <c r="AB209" s="181"/>
      <c r="AC209" s="181" t="s">
        <v>77</v>
      </c>
      <c r="AD209" s="181"/>
      <c r="AE209" s="180" t="s">
        <v>77</v>
      </c>
      <c r="AF209" s="178" t="str">
        <f t="shared" si="9"/>
        <v>NA</v>
      </c>
      <c r="AG209" s="52" t="str">
        <f t="shared" si="10"/>
        <v>NÃO AVALIADO POR FALHA DE SINCRONISMO</v>
      </c>
      <c r="AH209" s="140" t="s">
        <v>207</v>
      </c>
      <c r="AI209" s="182" t="s">
        <v>36</v>
      </c>
      <c r="AJ209" s="93" t="str">
        <f t="shared" si="11"/>
        <v>SÃO PAULO</v>
      </c>
      <c r="AK209" s="183" t="s">
        <v>54</v>
      </c>
    </row>
    <row r="210" spans="1:37" ht="30" customHeight="1">
      <c r="A210" s="198" t="s">
        <v>198</v>
      </c>
      <c r="B210" s="198">
        <v>2619202768</v>
      </c>
      <c r="C210" s="198" t="s">
        <v>102</v>
      </c>
      <c r="D210" s="198" t="s">
        <v>95</v>
      </c>
      <c r="E210" s="198" t="s">
        <v>35</v>
      </c>
      <c r="F210" s="198" t="s">
        <v>565</v>
      </c>
      <c r="G210" s="198">
        <v>17</v>
      </c>
      <c r="H210" s="198" t="s">
        <v>208</v>
      </c>
      <c r="I210" s="198" t="s">
        <v>408</v>
      </c>
      <c r="J210" s="198" t="s">
        <v>427</v>
      </c>
      <c r="K210" s="198"/>
      <c r="L210" s="199">
        <v>46150.291666666664</v>
      </c>
      <c r="M210" s="199">
        <v>46150.292361111111</v>
      </c>
      <c r="N210" s="198" t="s">
        <v>203</v>
      </c>
      <c r="O210" s="152" t="s">
        <v>77</v>
      </c>
      <c r="P210" s="180"/>
      <c r="Q210" s="155" t="s">
        <v>77</v>
      </c>
      <c r="R210" s="181"/>
      <c r="S210" s="155" t="s">
        <v>77</v>
      </c>
      <c r="T210" s="181"/>
      <c r="U210" s="155" t="s">
        <v>77</v>
      </c>
      <c r="V210" s="181"/>
      <c r="W210" s="155" t="s">
        <v>77</v>
      </c>
      <c r="X210" s="181"/>
      <c r="Y210" s="155" t="s">
        <v>77</v>
      </c>
      <c r="Z210" s="181"/>
      <c r="AA210" s="155" t="s">
        <v>77</v>
      </c>
      <c r="AB210" s="181"/>
      <c r="AC210" s="155" t="s">
        <v>77</v>
      </c>
      <c r="AD210" s="181"/>
      <c r="AE210" s="161" t="s">
        <v>77</v>
      </c>
      <c r="AF210" s="178" t="str">
        <f t="shared" si="9"/>
        <v>NA</v>
      </c>
      <c r="AG210" s="52" t="str">
        <f t="shared" si="10"/>
        <v>NÃO AVALIADO POR FALHA DE SINCRONISMO</v>
      </c>
      <c r="AH210" s="140" t="s">
        <v>207</v>
      </c>
      <c r="AI210" s="182" t="s">
        <v>36</v>
      </c>
      <c r="AJ210" s="93" t="str">
        <f t="shared" si="11"/>
        <v>SÃO PAULO</v>
      </c>
      <c r="AK210" s="183" t="s">
        <v>54</v>
      </c>
    </row>
    <row r="211" spans="1:37" ht="30" customHeight="1">
      <c r="A211" s="198" t="s">
        <v>198</v>
      </c>
      <c r="B211" s="198">
        <v>2619204024</v>
      </c>
      <c r="C211" s="198" t="s">
        <v>102</v>
      </c>
      <c r="D211" s="198" t="s">
        <v>95</v>
      </c>
      <c r="E211" s="198" t="s">
        <v>35</v>
      </c>
      <c r="F211" s="198" t="s">
        <v>564</v>
      </c>
      <c r="G211" s="198">
        <v>335</v>
      </c>
      <c r="H211" s="198" t="s">
        <v>200</v>
      </c>
      <c r="I211" s="198" t="s">
        <v>293</v>
      </c>
      <c r="J211" s="198" t="s">
        <v>427</v>
      </c>
      <c r="K211" s="198" t="s">
        <v>200</v>
      </c>
      <c r="L211" s="199">
        <v>46150.333333333336</v>
      </c>
      <c r="M211" s="199">
        <v>46150.334027777775</v>
      </c>
      <c r="N211" s="198" t="s">
        <v>203</v>
      </c>
      <c r="O211" s="152" t="s">
        <v>77</v>
      </c>
      <c r="P211" s="180"/>
      <c r="Q211" s="155" t="s">
        <v>77</v>
      </c>
      <c r="R211" s="181"/>
      <c r="S211" s="155" t="s">
        <v>77</v>
      </c>
      <c r="T211" s="317"/>
      <c r="U211" s="317" t="s">
        <v>77</v>
      </c>
      <c r="V211" s="317"/>
      <c r="W211" s="317" t="s">
        <v>77</v>
      </c>
      <c r="X211" s="317"/>
      <c r="Y211" s="317" t="s">
        <v>77</v>
      </c>
      <c r="Z211" s="317"/>
      <c r="AA211" s="317" t="s">
        <v>77</v>
      </c>
      <c r="AB211" s="317"/>
      <c r="AC211" s="317" t="s">
        <v>77</v>
      </c>
      <c r="AD211" s="317"/>
      <c r="AE211" s="318" t="s">
        <v>77</v>
      </c>
      <c r="AF211" s="178" t="str">
        <f t="shared" si="9"/>
        <v>NA</v>
      </c>
      <c r="AG211" s="52" t="str">
        <f t="shared" si="10"/>
        <v>NÃO AVALIADO POR FALHA DE SINCRONISMO</v>
      </c>
      <c r="AH211" s="140" t="s">
        <v>207</v>
      </c>
      <c r="AI211" s="182" t="s">
        <v>36</v>
      </c>
      <c r="AJ211" s="93" t="str">
        <f t="shared" si="11"/>
        <v>SÃO PAULO</v>
      </c>
      <c r="AK211" s="183" t="s">
        <v>54</v>
      </c>
    </row>
    <row r="212" spans="1:37" ht="30" customHeight="1">
      <c r="A212" s="198" t="s">
        <v>198</v>
      </c>
      <c r="B212" s="198">
        <v>2619204884</v>
      </c>
      <c r="C212" s="198" t="s">
        <v>102</v>
      </c>
      <c r="D212" s="198" t="s">
        <v>95</v>
      </c>
      <c r="E212" s="198" t="s">
        <v>35</v>
      </c>
      <c r="F212" s="198" t="s">
        <v>566</v>
      </c>
      <c r="G212" s="198">
        <v>0</v>
      </c>
      <c r="H212" s="198"/>
      <c r="I212" s="198" t="s">
        <v>567</v>
      </c>
      <c r="J212" s="198" t="s">
        <v>427</v>
      </c>
      <c r="K212" s="198"/>
      <c r="L212" s="199">
        <v>46150.291666666664</v>
      </c>
      <c r="M212" s="199">
        <v>46150.292361111111</v>
      </c>
      <c r="N212" s="198" t="s">
        <v>203</v>
      </c>
      <c r="O212" s="152" t="s">
        <v>77</v>
      </c>
      <c r="P212" s="180"/>
      <c r="Q212" s="155" t="s">
        <v>77</v>
      </c>
      <c r="R212" s="181"/>
      <c r="S212" s="155" t="s">
        <v>77</v>
      </c>
      <c r="T212" s="181"/>
      <c r="U212" s="155" t="s">
        <v>77</v>
      </c>
      <c r="V212" s="181"/>
      <c r="W212" s="155" t="s">
        <v>77</v>
      </c>
      <c r="X212" s="181"/>
      <c r="Y212" s="155" t="s">
        <v>77</v>
      </c>
      <c r="Z212" s="181"/>
      <c r="AA212" s="155" t="s">
        <v>77</v>
      </c>
      <c r="AB212" s="181"/>
      <c r="AC212" s="155" t="s">
        <v>77</v>
      </c>
      <c r="AD212" s="181"/>
      <c r="AE212" s="161" t="s">
        <v>77</v>
      </c>
      <c r="AF212" s="178" t="str">
        <f t="shared" si="9"/>
        <v>NA</v>
      </c>
      <c r="AG212" s="52" t="str">
        <f t="shared" si="10"/>
        <v>NÃO AVALIADO POR FALHA DE SINCRONISMO</v>
      </c>
      <c r="AH212" s="140" t="s">
        <v>207</v>
      </c>
      <c r="AI212" s="182" t="s">
        <v>36</v>
      </c>
      <c r="AJ212" s="93" t="str">
        <f t="shared" si="11"/>
        <v>SÃO PAULO</v>
      </c>
      <c r="AK212" s="183" t="s">
        <v>54</v>
      </c>
    </row>
    <row r="213" spans="1:37" ht="30" customHeight="1">
      <c r="A213" s="198" t="s">
        <v>198</v>
      </c>
      <c r="B213" s="198">
        <v>2692659679</v>
      </c>
      <c r="C213" s="198" t="s">
        <v>118</v>
      </c>
      <c r="D213" s="198" t="s">
        <v>96</v>
      </c>
      <c r="E213" s="198" t="s">
        <v>35</v>
      </c>
      <c r="F213" s="198" t="s">
        <v>568</v>
      </c>
      <c r="G213" s="198">
        <v>68</v>
      </c>
      <c r="H213" s="198" t="s">
        <v>200</v>
      </c>
      <c r="I213" s="198" t="s">
        <v>569</v>
      </c>
      <c r="J213" s="198" t="s">
        <v>267</v>
      </c>
      <c r="K213" s="198" t="s">
        <v>200</v>
      </c>
      <c r="L213" s="199">
        <v>46150.253472222219</v>
      </c>
      <c r="M213" s="199">
        <v>46150.256249999999</v>
      </c>
      <c r="N213" s="198" t="s">
        <v>251</v>
      </c>
      <c r="O213" s="152" t="s">
        <v>207</v>
      </c>
      <c r="P213" s="280"/>
      <c r="Q213" s="287" t="s">
        <v>207</v>
      </c>
      <c r="R213" s="280"/>
      <c r="S213" s="287" t="s">
        <v>207</v>
      </c>
      <c r="T213" s="280"/>
      <c r="U213" s="287" t="s">
        <v>207</v>
      </c>
      <c r="V213" s="280"/>
      <c r="W213" s="287" t="s">
        <v>207</v>
      </c>
      <c r="X213" s="280"/>
      <c r="Y213" s="287" t="s">
        <v>77</v>
      </c>
      <c r="Z213" s="280"/>
      <c r="AA213" s="287" t="s">
        <v>207</v>
      </c>
      <c r="AB213" s="280"/>
      <c r="AC213" s="287" t="s">
        <v>207</v>
      </c>
      <c r="AD213" s="280"/>
      <c r="AE213" s="287" t="s">
        <v>207</v>
      </c>
      <c r="AF213" s="178" t="str">
        <f t="shared" si="9"/>
        <v>C</v>
      </c>
      <c r="AG213" s="52" t="str">
        <f t="shared" si="10"/>
        <v>UTILIZOU O PDA CORRETAMENTE</v>
      </c>
      <c r="AH213" s="140" t="s">
        <v>207</v>
      </c>
      <c r="AI213" s="182" t="s">
        <v>36</v>
      </c>
      <c r="AJ213" s="93" t="str">
        <f t="shared" si="11"/>
        <v>SÃO PAULO</v>
      </c>
      <c r="AK213" s="183" t="s">
        <v>54</v>
      </c>
    </row>
    <row r="214" spans="1:37" ht="30" customHeight="1">
      <c r="A214" s="198" t="s">
        <v>198</v>
      </c>
      <c r="B214" s="198">
        <v>2619161634</v>
      </c>
      <c r="C214" s="198" t="s">
        <v>121</v>
      </c>
      <c r="D214" s="198" t="s">
        <v>96</v>
      </c>
      <c r="E214" s="198" t="s">
        <v>35</v>
      </c>
      <c r="F214" s="198" t="s">
        <v>570</v>
      </c>
      <c r="G214" s="198">
        <v>417</v>
      </c>
      <c r="H214" s="198"/>
      <c r="I214" s="198" t="s">
        <v>571</v>
      </c>
      <c r="J214" s="198" t="s">
        <v>202</v>
      </c>
      <c r="K214" s="198"/>
      <c r="L214" s="199">
        <v>46150.253472222219</v>
      </c>
      <c r="M214" s="199">
        <v>46150.255555555559</v>
      </c>
      <c r="N214" s="198" t="s">
        <v>251</v>
      </c>
      <c r="O214" s="152" t="s">
        <v>207</v>
      </c>
      <c r="P214" s="280"/>
      <c r="Q214" s="287" t="s">
        <v>207</v>
      </c>
      <c r="R214" s="280"/>
      <c r="S214" s="287" t="s">
        <v>207</v>
      </c>
      <c r="T214" s="280"/>
      <c r="U214" s="287" t="s">
        <v>207</v>
      </c>
      <c r="V214" s="280"/>
      <c r="W214" s="287" t="s">
        <v>207</v>
      </c>
      <c r="X214" s="280"/>
      <c r="Y214" s="287" t="s">
        <v>77</v>
      </c>
      <c r="Z214" s="280"/>
      <c r="AA214" s="287" t="s">
        <v>207</v>
      </c>
      <c r="AB214" s="280"/>
      <c r="AC214" s="287" t="s">
        <v>207</v>
      </c>
      <c r="AD214" s="280"/>
      <c r="AE214" s="287" t="s">
        <v>207</v>
      </c>
      <c r="AF214" s="178" t="str">
        <f t="shared" si="9"/>
        <v>C</v>
      </c>
      <c r="AG214" s="52" t="str">
        <f t="shared" si="10"/>
        <v>UTILIZOU O PDA CORRETAMENTE</v>
      </c>
      <c r="AH214" s="140" t="s">
        <v>207</v>
      </c>
      <c r="AI214" s="182" t="s">
        <v>36</v>
      </c>
      <c r="AJ214" s="93" t="str">
        <f t="shared" si="11"/>
        <v>SÃO PAULO</v>
      </c>
      <c r="AK214" s="183" t="s">
        <v>54</v>
      </c>
    </row>
    <row r="215" spans="1:37" ht="30" customHeight="1">
      <c r="A215" s="198" t="s">
        <v>198</v>
      </c>
      <c r="B215" s="198">
        <v>2618925890</v>
      </c>
      <c r="C215" s="198" t="s">
        <v>120</v>
      </c>
      <c r="D215" s="198" t="s">
        <v>96</v>
      </c>
      <c r="E215" s="198" t="s">
        <v>35</v>
      </c>
      <c r="F215" s="198" t="s">
        <v>572</v>
      </c>
      <c r="G215" s="198">
        <v>1196</v>
      </c>
      <c r="H215" s="198" t="s">
        <v>200</v>
      </c>
      <c r="I215" s="198" t="s">
        <v>573</v>
      </c>
      <c r="J215" s="198" t="s">
        <v>574</v>
      </c>
      <c r="K215" s="198" t="s">
        <v>575</v>
      </c>
      <c r="L215" s="199">
        <v>46150.271527777775</v>
      </c>
      <c r="M215" s="199">
        <v>46150.272222222222</v>
      </c>
      <c r="N215" s="198" t="s">
        <v>251</v>
      </c>
      <c r="O215" s="152" t="s">
        <v>207</v>
      </c>
      <c r="P215" s="280"/>
      <c r="Q215" s="287" t="s">
        <v>207</v>
      </c>
      <c r="R215" s="280"/>
      <c r="S215" s="287" t="s">
        <v>207</v>
      </c>
      <c r="T215" s="280"/>
      <c r="U215" s="287" t="s">
        <v>207</v>
      </c>
      <c r="V215" s="280"/>
      <c r="W215" s="287" t="s">
        <v>207</v>
      </c>
      <c r="X215" s="280"/>
      <c r="Y215" s="287" t="s">
        <v>77</v>
      </c>
      <c r="Z215" s="280"/>
      <c r="AA215" s="287" t="s">
        <v>207</v>
      </c>
      <c r="AB215" s="280"/>
      <c r="AC215" s="287" t="s">
        <v>207</v>
      </c>
      <c r="AD215" s="280"/>
      <c r="AE215" s="287" t="s">
        <v>207</v>
      </c>
      <c r="AF215" s="178" t="str">
        <f t="shared" si="9"/>
        <v>C</v>
      </c>
      <c r="AG215" s="52" t="str">
        <f t="shared" si="10"/>
        <v>UTILIZOU O PDA CORRETAMENTE</v>
      </c>
      <c r="AH215" s="140" t="s">
        <v>207</v>
      </c>
      <c r="AI215" s="182" t="s">
        <v>36</v>
      </c>
      <c r="AJ215" s="93" t="str">
        <f t="shared" si="11"/>
        <v>SÃO PAULO</v>
      </c>
      <c r="AK215" s="183" t="s">
        <v>54</v>
      </c>
    </row>
    <row r="216" spans="1:37" ht="30" customHeight="1">
      <c r="A216" s="198" t="s">
        <v>198</v>
      </c>
      <c r="B216" s="198">
        <v>2692737279</v>
      </c>
      <c r="C216" s="198" t="s">
        <v>118</v>
      </c>
      <c r="D216" s="198" t="s">
        <v>96</v>
      </c>
      <c r="E216" s="198" t="s">
        <v>35</v>
      </c>
      <c r="F216" s="198" t="s">
        <v>576</v>
      </c>
      <c r="G216" s="198">
        <v>73</v>
      </c>
      <c r="H216" s="198"/>
      <c r="I216" s="198" t="s">
        <v>220</v>
      </c>
      <c r="J216" s="198" t="s">
        <v>315</v>
      </c>
      <c r="K216" s="198"/>
      <c r="L216" s="199">
        <v>46150.117361111108</v>
      </c>
      <c r="M216" s="199">
        <v>46150.336805555555</v>
      </c>
      <c r="N216" s="198" t="s">
        <v>403</v>
      </c>
      <c r="O216" s="152" t="s">
        <v>207</v>
      </c>
      <c r="P216" s="280"/>
      <c r="Q216" s="287" t="s">
        <v>207</v>
      </c>
      <c r="R216" s="280"/>
      <c r="S216" s="287" t="s">
        <v>207</v>
      </c>
      <c r="T216" s="280"/>
      <c r="U216" s="287" t="s">
        <v>207</v>
      </c>
      <c r="V216" s="280"/>
      <c r="W216" s="287" t="s">
        <v>207</v>
      </c>
      <c r="X216" s="280"/>
      <c r="Y216" s="287" t="s">
        <v>77</v>
      </c>
      <c r="Z216" s="280"/>
      <c r="AA216" s="287" t="s">
        <v>207</v>
      </c>
      <c r="AB216" s="280"/>
      <c r="AC216" s="287" t="s">
        <v>207</v>
      </c>
      <c r="AD216" s="280"/>
      <c r="AE216" s="287" t="s">
        <v>207</v>
      </c>
      <c r="AF216" s="178" t="str">
        <f t="shared" si="9"/>
        <v>C</v>
      </c>
      <c r="AG216" s="52" t="str">
        <f t="shared" si="10"/>
        <v>UTILIZOU O PDA CORRETAMENTE</v>
      </c>
      <c r="AH216" s="140" t="s">
        <v>207</v>
      </c>
      <c r="AI216" s="182" t="s">
        <v>36</v>
      </c>
      <c r="AJ216" s="93" t="str">
        <f t="shared" si="11"/>
        <v>SÃO PAULO</v>
      </c>
      <c r="AK216" s="183" t="s">
        <v>54</v>
      </c>
    </row>
    <row r="217" spans="1:37" ht="30" customHeight="1">
      <c r="A217" s="198" t="s">
        <v>198</v>
      </c>
      <c r="B217" s="198">
        <v>2618888140</v>
      </c>
      <c r="C217" s="198" t="s">
        <v>121</v>
      </c>
      <c r="D217" s="198" t="s">
        <v>96</v>
      </c>
      <c r="E217" s="198" t="s">
        <v>35</v>
      </c>
      <c r="F217" s="198" t="s">
        <v>577</v>
      </c>
      <c r="G217" s="198">
        <v>648</v>
      </c>
      <c r="H217" s="198" t="s">
        <v>205</v>
      </c>
      <c r="I217" s="198" t="s">
        <v>433</v>
      </c>
      <c r="J217" s="198" t="s">
        <v>336</v>
      </c>
      <c r="K217" s="198" t="s">
        <v>200</v>
      </c>
      <c r="L217" s="199">
        <v>46150.129166666666</v>
      </c>
      <c r="M217" s="199">
        <v>46150.146527777775</v>
      </c>
      <c r="N217" s="198" t="s">
        <v>262</v>
      </c>
      <c r="O217" s="152" t="s">
        <v>207</v>
      </c>
      <c r="P217" s="280"/>
      <c r="Q217" s="287" t="s">
        <v>207</v>
      </c>
      <c r="R217" s="280"/>
      <c r="S217" s="287" t="s">
        <v>207</v>
      </c>
      <c r="T217" s="280"/>
      <c r="U217" s="287" t="s">
        <v>207</v>
      </c>
      <c r="V217" s="280"/>
      <c r="W217" s="287" t="s">
        <v>207</v>
      </c>
      <c r="X217" s="280"/>
      <c r="Y217" s="287" t="s">
        <v>77</v>
      </c>
      <c r="Z217" s="280"/>
      <c r="AA217" s="287" t="s">
        <v>207</v>
      </c>
      <c r="AB217" s="280"/>
      <c r="AC217" s="287" t="s">
        <v>207</v>
      </c>
      <c r="AD217" s="280"/>
      <c r="AE217" s="287" t="s">
        <v>207</v>
      </c>
      <c r="AF217" s="178" t="str">
        <f t="shared" si="9"/>
        <v>C</v>
      </c>
      <c r="AG217" s="52" t="str">
        <f t="shared" si="10"/>
        <v>UTILIZOU O PDA CORRETAMENTE</v>
      </c>
      <c r="AH217" s="140" t="s">
        <v>207</v>
      </c>
      <c r="AI217" s="182" t="s">
        <v>36</v>
      </c>
      <c r="AJ217" s="93" t="str">
        <f t="shared" si="11"/>
        <v>SÃO PAULO</v>
      </c>
      <c r="AK217" s="183" t="s">
        <v>54</v>
      </c>
    </row>
    <row r="218" spans="1:37" ht="30" customHeight="1">
      <c r="A218" s="198" t="s">
        <v>198</v>
      </c>
      <c r="B218" s="198">
        <v>2619160291</v>
      </c>
      <c r="C218" s="198" t="s">
        <v>118</v>
      </c>
      <c r="D218" s="198" t="s">
        <v>96</v>
      </c>
      <c r="E218" s="198" t="s">
        <v>35</v>
      </c>
      <c r="F218" s="198" t="s">
        <v>578</v>
      </c>
      <c r="G218" s="198">
        <v>227</v>
      </c>
      <c r="H218" s="198"/>
      <c r="I218" s="198" t="s">
        <v>271</v>
      </c>
      <c r="J218" s="198" t="s">
        <v>267</v>
      </c>
      <c r="K218" s="198"/>
      <c r="L218" s="199">
        <v>46150.065972222219</v>
      </c>
      <c r="M218" s="199">
        <v>46150.101388888892</v>
      </c>
      <c r="N218" s="198" t="s">
        <v>251</v>
      </c>
      <c r="O218" s="152" t="s">
        <v>207</v>
      </c>
      <c r="P218" s="280"/>
      <c r="Q218" s="287" t="s">
        <v>207</v>
      </c>
      <c r="R218" s="280"/>
      <c r="S218" s="287" t="s">
        <v>207</v>
      </c>
      <c r="T218" s="280"/>
      <c r="U218" s="287" t="s">
        <v>207</v>
      </c>
      <c r="V218" s="280"/>
      <c r="W218" s="287" t="s">
        <v>207</v>
      </c>
      <c r="X218" s="280"/>
      <c r="Y218" s="287" t="s">
        <v>77</v>
      </c>
      <c r="Z218" s="280"/>
      <c r="AA218" s="287" t="s">
        <v>207</v>
      </c>
      <c r="AB218" s="280"/>
      <c r="AC218" s="287" t="s">
        <v>207</v>
      </c>
      <c r="AD218" s="280"/>
      <c r="AE218" s="287" t="s">
        <v>207</v>
      </c>
      <c r="AF218" s="178" t="str">
        <f t="shared" si="9"/>
        <v>C</v>
      </c>
      <c r="AG218" s="52" t="str">
        <f t="shared" si="10"/>
        <v>UTILIZOU O PDA CORRETAMENTE</v>
      </c>
      <c r="AH218" s="140" t="s">
        <v>207</v>
      </c>
      <c r="AI218" s="182" t="s">
        <v>36</v>
      </c>
      <c r="AJ218" s="93" t="str">
        <f t="shared" si="11"/>
        <v>SÃO PAULO</v>
      </c>
      <c r="AK218" s="183" t="s">
        <v>54</v>
      </c>
    </row>
    <row r="219" spans="1:37" ht="30" customHeight="1">
      <c r="A219" s="198" t="s">
        <v>198</v>
      </c>
      <c r="B219" s="198">
        <v>2618944090</v>
      </c>
      <c r="C219" s="198" t="s">
        <v>120</v>
      </c>
      <c r="D219" s="198" t="s">
        <v>96</v>
      </c>
      <c r="E219" s="198" t="s">
        <v>35</v>
      </c>
      <c r="F219" s="198" t="s">
        <v>579</v>
      </c>
      <c r="G219" s="198">
        <v>21</v>
      </c>
      <c r="H219" s="198" t="s">
        <v>401</v>
      </c>
      <c r="I219" s="198" t="s">
        <v>580</v>
      </c>
      <c r="J219" s="198" t="s">
        <v>202</v>
      </c>
      <c r="K219" s="198" t="s">
        <v>200</v>
      </c>
      <c r="L219" s="199">
        <v>46150.083333333336</v>
      </c>
      <c r="M219" s="199">
        <v>46150.10833333333</v>
      </c>
      <c r="N219" s="198" t="s">
        <v>403</v>
      </c>
      <c r="O219" s="152" t="s">
        <v>207</v>
      </c>
      <c r="P219" s="280"/>
      <c r="Q219" s="287" t="s">
        <v>207</v>
      </c>
      <c r="R219" s="280"/>
      <c r="S219" s="287" t="s">
        <v>207</v>
      </c>
      <c r="T219" s="280"/>
      <c r="U219" s="287" t="s">
        <v>207</v>
      </c>
      <c r="V219" s="280"/>
      <c r="W219" s="287" t="s">
        <v>207</v>
      </c>
      <c r="X219" s="280"/>
      <c r="Y219" s="287" t="s">
        <v>77</v>
      </c>
      <c r="Z219" s="280"/>
      <c r="AA219" s="287" t="s">
        <v>207</v>
      </c>
      <c r="AB219" s="280"/>
      <c r="AC219" s="287" t="s">
        <v>207</v>
      </c>
      <c r="AD219" s="280"/>
      <c r="AE219" s="287" t="s">
        <v>207</v>
      </c>
      <c r="AF219" s="178" t="str">
        <f t="shared" si="9"/>
        <v>C</v>
      </c>
      <c r="AG219" s="52" t="str">
        <f t="shared" si="10"/>
        <v>UTILIZOU O PDA CORRETAMENTE</v>
      </c>
      <c r="AH219" s="140" t="s">
        <v>207</v>
      </c>
      <c r="AI219" s="182" t="s">
        <v>36</v>
      </c>
      <c r="AJ219" s="93" t="str">
        <f t="shared" si="11"/>
        <v>SÃO PAULO</v>
      </c>
      <c r="AK219" s="183" t="s">
        <v>54</v>
      </c>
    </row>
    <row r="220" spans="1:37" ht="30" customHeight="1">
      <c r="A220" s="198" t="s">
        <v>198</v>
      </c>
      <c r="B220" s="198">
        <v>2619146796</v>
      </c>
      <c r="C220" s="198" t="s">
        <v>120</v>
      </c>
      <c r="D220" s="198" t="s">
        <v>96</v>
      </c>
      <c r="E220" s="198" t="s">
        <v>35</v>
      </c>
      <c r="F220" s="198" t="s">
        <v>581</v>
      </c>
      <c r="G220" s="198">
        <v>306</v>
      </c>
      <c r="H220" s="198" t="s">
        <v>208</v>
      </c>
      <c r="I220" s="198" t="s">
        <v>338</v>
      </c>
      <c r="J220" s="198" t="s">
        <v>202</v>
      </c>
      <c r="K220" s="198"/>
      <c r="L220" s="199">
        <v>46150.207638888889</v>
      </c>
      <c r="M220" s="199">
        <v>46150.347916666666</v>
      </c>
      <c r="N220" s="198" t="s">
        <v>232</v>
      </c>
      <c r="O220" s="152" t="s">
        <v>207</v>
      </c>
      <c r="P220" s="280"/>
      <c r="Q220" s="287" t="s">
        <v>207</v>
      </c>
      <c r="R220" s="280"/>
      <c r="S220" s="287" t="s">
        <v>207</v>
      </c>
      <c r="T220" s="280"/>
      <c r="U220" s="287" t="s">
        <v>207</v>
      </c>
      <c r="V220" s="280"/>
      <c r="W220" s="287" t="s">
        <v>207</v>
      </c>
      <c r="X220" s="280"/>
      <c r="Y220" s="287" t="s">
        <v>77</v>
      </c>
      <c r="Z220" s="280"/>
      <c r="AA220" s="287" t="s">
        <v>207</v>
      </c>
      <c r="AB220" s="280"/>
      <c r="AC220" s="287" t="s">
        <v>207</v>
      </c>
      <c r="AD220" s="280"/>
      <c r="AE220" s="287" t="s">
        <v>207</v>
      </c>
      <c r="AF220" s="178" t="str">
        <f t="shared" si="9"/>
        <v>C</v>
      </c>
      <c r="AG220" s="52" t="str">
        <f t="shared" si="10"/>
        <v>UTILIZOU O PDA CORRETAMENTE</v>
      </c>
      <c r="AH220" s="140" t="s">
        <v>207</v>
      </c>
      <c r="AI220" s="182" t="s">
        <v>36</v>
      </c>
      <c r="AJ220" s="93" t="str">
        <f t="shared" si="11"/>
        <v>SÃO PAULO</v>
      </c>
      <c r="AK220" s="183" t="s">
        <v>54</v>
      </c>
    </row>
    <row r="221" spans="1:37" ht="30" customHeight="1">
      <c r="A221" s="198" t="s">
        <v>198</v>
      </c>
      <c r="B221" s="198">
        <v>2692728803</v>
      </c>
      <c r="C221" s="198" t="s">
        <v>122</v>
      </c>
      <c r="D221" s="198" t="s">
        <v>96</v>
      </c>
      <c r="E221" s="198" t="s">
        <v>35</v>
      </c>
      <c r="F221" s="198" t="s">
        <v>582</v>
      </c>
      <c r="G221" s="198">
        <v>43</v>
      </c>
      <c r="H221" s="198" t="s">
        <v>200</v>
      </c>
      <c r="I221" s="198" t="s">
        <v>558</v>
      </c>
      <c r="J221" s="198" t="s">
        <v>267</v>
      </c>
      <c r="K221" s="198" t="s">
        <v>200</v>
      </c>
      <c r="L221" s="199">
        <v>46150.11041666667</v>
      </c>
      <c r="M221" s="199">
        <v>46150.115972222222</v>
      </c>
      <c r="N221" s="198" t="s">
        <v>517</v>
      </c>
      <c r="O221" s="152" t="s">
        <v>207</v>
      </c>
      <c r="P221" s="90"/>
      <c r="Q221" s="140" t="s">
        <v>207</v>
      </c>
      <c r="R221" s="90"/>
      <c r="S221" s="140" t="s">
        <v>207</v>
      </c>
      <c r="T221" s="90"/>
      <c r="U221" s="140" t="s">
        <v>207</v>
      </c>
      <c r="V221" s="90"/>
      <c r="W221" s="140" t="s">
        <v>207</v>
      </c>
      <c r="X221" s="90"/>
      <c r="Y221" s="140" t="s">
        <v>77</v>
      </c>
      <c r="Z221" s="90"/>
      <c r="AA221" s="140" t="s">
        <v>207</v>
      </c>
      <c r="AB221" s="90"/>
      <c r="AC221" s="140" t="s">
        <v>207</v>
      </c>
      <c r="AD221" s="90"/>
      <c r="AE221" s="140" t="s">
        <v>207</v>
      </c>
      <c r="AF221" s="178" t="str">
        <f t="shared" si="9"/>
        <v>C</v>
      </c>
      <c r="AG221" s="52" t="str">
        <f t="shared" si="10"/>
        <v>UTILIZOU O PDA CORRETAMENTE</v>
      </c>
      <c r="AH221" s="140" t="s">
        <v>207</v>
      </c>
      <c r="AI221" s="182" t="s">
        <v>36</v>
      </c>
      <c r="AJ221" s="93" t="str">
        <f t="shared" si="11"/>
        <v>SÃO PAULO</v>
      </c>
      <c r="AK221" s="183" t="s">
        <v>54</v>
      </c>
    </row>
    <row r="222" spans="1:37" ht="30" customHeight="1">
      <c r="A222" s="198" t="s">
        <v>198</v>
      </c>
      <c r="B222" s="198">
        <v>2692703765</v>
      </c>
      <c r="C222" s="198" t="s">
        <v>118</v>
      </c>
      <c r="D222" s="198" t="s">
        <v>96</v>
      </c>
      <c r="E222" s="198" t="s">
        <v>35</v>
      </c>
      <c r="F222" s="198" t="s">
        <v>583</v>
      </c>
      <c r="G222" s="198">
        <v>2</v>
      </c>
      <c r="H222" s="198"/>
      <c r="I222" s="198" t="s">
        <v>584</v>
      </c>
      <c r="J222" s="198" t="s">
        <v>267</v>
      </c>
      <c r="K222" s="198"/>
      <c r="L222" s="199">
        <v>46150.418055555558</v>
      </c>
      <c r="M222" s="199">
        <v>46150.418749999997</v>
      </c>
      <c r="N222" s="198" t="s">
        <v>323</v>
      </c>
      <c r="O222" s="152" t="s">
        <v>207</v>
      </c>
      <c r="P222" s="90"/>
      <c r="Q222" s="140" t="s">
        <v>207</v>
      </c>
      <c r="R222" s="90"/>
      <c r="S222" s="140" t="s">
        <v>207</v>
      </c>
      <c r="T222" s="90"/>
      <c r="U222" s="140" t="s">
        <v>207</v>
      </c>
      <c r="V222" s="90"/>
      <c r="W222" s="140" t="s">
        <v>207</v>
      </c>
      <c r="X222" s="90"/>
      <c r="Y222" s="140" t="s">
        <v>77</v>
      </c>
      <c r="Z222" s="90"/>
      <c r="AA222" s="140" t="s">
        <v>207</v>
      </c>
      <c r="AB222" s="90"/>
      <c r="AC222" s="140" t="s">
        <v>207</v>
      </c>
      <c r="AD222" s="90"/>
      <c r="AE222" s="140" t="s">
        <v>207</v>
      </c>
      <c r="AF222" s="178" t="str">
        <f t="shared" si="9"/>
        <v>C</v>
      </c>
      <c r="AG222" s="52" t="str">
        <f t="shared" si="10"/>
        <v>UTILIZOU O PDA CORRETAMENTE</v>
      </c>
      <c r="AH222" s="140" t="s">
        <v>207</v>
      </c>
      <c r="AI222" s="182" t="s">
        <v>36</v>
      </c>
      <c r="AJ222" s="93" t="str">
        <f t="shared" si="11"/>
        <v>SÃO PAULO</v>
      </c>
      <c r="AK222" s="183" t="s">
        <v>54</v>
      </c>
    </row>
    <row r="223" spans="1:37" ht="30" customHeight="1">
      <c r="A223" s="198" t="s">
        <v>198</v>
      </c>
      <c r="B223" s="198">
        <v>2692724937</v>
      </c>
      <c r="C223" s="198" t="s">
        <v>122</v>
      </c>
      <c r="D223" s="198" t="s">
        <v>96</v>
      </c>
      <c r="E223" s="198" t="s">
        <v>35</v>
      </c>
      <c r="F223" s="198" t="s">
        <v>585</v>
      </c>
      <c r="G223" s="198">
        <v>195</v>
      </c>
      <c r="H223" s="198" t="s">
        <v>200</v>
      </c>
      <c r="I223" s="198" t="s">
        <v>479</v>
      </c>
      <c r="J223" s="198" t="s">
        <v>267</v>
      </c>
      <c r="K223" s="198" t="s">
        <v>586</v>
      </c>
      <c r="L223" s="199">
        <v>46150.220138888886</v>
      </c>
      <c r="M223" s="199">
        <v>46150.23333333333</v>
      </c>
      <c r="N223" s="198" t="s">
        <v>331</v>
      </c>
      <c r="O223" s="152" t="s">
        <v>207</v>
      </c>
      <c r="P223" s="90"/>
      <c r="Q223" s="140" t="s">
        <v>207</v>
      </c>
      <c r="R223" s="90"/>
      <c r="S223" s="140" t="s">
        <v>207</v>
      </c>
      <c r="T223" s="90"/>
      <c r="U223" s="140" t="s">
        <v>207</v>
      </c>
      <c r="V223" s="90"/>
      <c r="W223" s="140" t="s">
        <v>207</v>
      </c>
      <c r="X223" s="90"/>
      <c r="Y223" s="140" t="s">
        <v>77</v>
      </c>
      <c r="Z223" s="90"/>
      <c r="AA223" s="140" t="s">
        <v>207</v>
      </c>
      <c r="AB223" s="90"/>
      <c r="AC223" s="140" t="s">
        <v>207</v>
      </c>
      <c r="AD223" s="90"/>
      <c r="AE223" s="140" t="s">
        <v>207</v>
      </c>
      <c r="AF223" s="178" t="str">
        <f t="shared" si="9"/>
        <v>C</v>
      </c>
      <c r="AG223" s="52" t="str">
        <f t="shared" si="10"/>
        <v>UTILIZOU O PDA CORRETAMENTE</v>
      </c>
      <c r="AH223" s="140" t="s">
        <v>207</v>
      </c>
      <c r="AI223" s="182" t="s">
        <v>36</v>
      </c>
      <c r="AJ223" s="93" t="str">
        <f t="shared" si="11"/>
        <v>SÃO PAULO</v>
      </c>
      <c r="AK223" s="183" t="s">
        <v>54</v>
      </c>
    </row>
    <row r="224" spans="1:37" ht="30" customHeight="1">
      <c r="A224" s="198" t="s">
        <v>198</v>
      </c>
      <c r="B224" s="198">
        <v>2692759597</v>
      </c>
      <c r="C224" s="198" t="s">
        <v>122</v>
      </c>
      <c r="D224" s="198" t="s">
        <v>96</v>
      </c>
      <c r="E224" s="198" t="s">
        <v>35</v>
      </c>
      <c r="F224" s="198" t="s">
        <v>587</v>
      </c>
      <c r="G224" s="198">
        <v>24</v>
      </c>
      <c r="H224" s="198" t="s">
        <v>205</v>
      </c>
      <c r="I224" s="198" t="s">
        <v>479</v>
      </c>
      <c r="J224" s="198" t="s">
        <v>260</v>
      </c>
      <c r="K224" s="198" t="s">
        <v>588</v>
      </c>
      <c r="L224" s="199">
        <v>46150.161111111112</v>
      </c>
      <c r="M224" s="199">
        <v>46150.2</v>
      </c>
      <c r="N224" s="198" t="s">
        <v>331</v>
      </c>
      <c r="O224" s="152" t="s">
        <v>207</v>
      </c>
      <c r="P224" s="90"/>
      <c r="Q224" s="140" t="s">
        <v>207</v>
      </c>
      <c r="R224" s="90"/>
      <c r="S224" s="140" t="s">
        <v>207</v>
      </c>
      <c r="T224" s="90"/>
      <c r="U224" s="140" t="s">
        <v>207</v>
      </c>
      <c r="V224" s="90"/>
      <c r="W224" s="140" t="s">
        <v>207</v>
      </c>
      <c r="X224" s="90"/>
      <c r="Y224" s="140" t="s">
        <v>77</v>
      </c>
      <c r="Z224" s="90"/>
      <c r="AA224" s="140" t="s">
        <v>207</v>
      </c>
      <c r="AB224" s="90"/>
      <c r="AC224" s="140" t="s">
        <v>207</v>
      </c>
      <c r="AD224" s="90"/>
      <c r="AE224" s="140" t="s">
        <v>207</v>
      </c>
      <c r="AF224" s="178" t="str">
        <f t="shared" si="9"/>
        <v>C</v>
      </c>
      <c r="AG224" s="52" t="str">
        <f t="shared" si="10"/>
        <v>UTILIZOU O PDA CORRETAMENTE</v>
      </c>
      <c r="AH224" s="140" t="s">
        <v>207</v>
      </c>
      <c r="AI224" s="182" t="s">
        <v>36</v>
      </c>
      <c r="AJ224" s="93" t="str">
        <f t="shared" si="11"/>
        <v>SÃO PAULO</v>
      </c>
      <c r="AK224" s="183" t="s">
        <v>54</v>
      </c>
    </row>
    <row r="225" spans="1:37" ht="30" customHeight="1">
      <c r="A225" s="198" t="s">
        <v>198</v>
      </c>
      <c r="B225" s="198">
        <v>2618920543</v>
      </c>
      <c r="C225" s="198" t="s">
        <v>109</v>
      </c>
      <c r="D225" s="198" t="s">
        <v>92</v>
      </c>
      <c r="E225" s="198" t="s">
        <v>35</v>
      </c>
      <c r="F225" s="198" t="s">
        <v>589</v>
      </c>
      <c r="G225" s="198">
        <v>162</v>
      </c>
      <c r="H225" s="198" t="s">
        <v>208</v>
      </c>
      <c r="I225" s="198" t="s">
        <v>567</v>
      </c>
      <c r="J225" s="198" t="s">
        <v>109</v>
      </c>
      <c r="K225" s="198" t="s">
        <v>200</v>
      </c>
      <c r="L225" s="199">
        <v>46150.456944444442</v>
      </c>
      <c r="M225" s="199">
        <v>46150.458333333336</v>
      </c>
      <c r="N225" s="198" t="s">
        <v>206</v>
      </c>
      <c r="O225" s="152" t="s">
        <v>207</v>
      </c>
      <c r="P225" s="90"/>
      <c r="Q225" s="140" t="s">
        <v>77</v>
      </c>
      <c r="R225" s="90"/>
      <c r="S225" s="140" t="s">
        <v>77</v>
      </c>
      <c r="T225" s="90"/>
      <c r="U225" s="140" t="s">
        <v>77</v>
      </c>
      <c r="V225" s="90"/>
      <c r="W225" s="140" t="s">
        <v>77</v>
      </c>
      <c r="X225" s="90"/>
      <c r="Y225" s="140" t="s">
        <v>77</v>
      </c>
      <c r="Z225" s="90"/>
      <c r="AA225" s="140" t="s">
        <v>207</v>
      </c>
      <c r="AB225" s="90"/>
      <c r="AC225" s="140" t="s">
        <v>207</v>
      </c>
      <c r="AD225" s="90"/>
      <c r="AE225" s="140" t="s">
        <v>207</v>
      </c>
      <c r="AF225" s="178" t="str">
        <f t="shared" si="9"/>
        <v>C</v>
      </c>
      <c r="AG225" s="52" t="str">
        <f t="shared" si="10"/>
        <v>UTILIZOU O PDA CORRETAMENTE</v>
      </c>
      <c r="AH225" s="140"/>
      <c r="AI225" s="182" t="s">
        <v>36</v>
      </c>
      <c r="AJ225" s="93" t="str">
        <f t="shared" si="11"/>
        <v>SÃO PAULO</v>
      </c>
      <c r="AK225" s="183" t="s">
        <v>54</v>
      </c>
    </row>
    <row r="226" spans="1:37" ht="30" customHeight="1">
      <c r="A226" s="198" t="s">
        <v>198</v>
      </c>
      <c r="B226" s="198">
        <v>2618920545</v>
      </c>
      <c r="C226" s="198" t="s">
        <v>111</v>
      </c>
      <c r="D226" s="198" t="s">
        <v>92</v>
      </c>
      <c r="E226" s="198" t="s">
        <v>35</v>
      </c>
      <c r="F226" s="198" t="s">
        <v>589</v>
      </c>
      <c r="G226" s="198">
        <v>162</v>
      </c>
      <c r="H226" s="198" t="s">
        <v>205</v>
      </c>
      <c r="I226" s="198" t="s">
        <v>567</v>
      </c>
      <c r="J226" s="198" t="s">
        <v>111</v>
      </c>
      <c r="K226" s="198"/>
      <c r="L226" s="199">
        <v>46150.461111111108</v>
      </c>
      <c r="M226" s="199">
        <v>46150.462500000001</v>
      </c>
      <c r="N226" s="198" t="s">
        <v>206</v>
      </c>
      <c r="O226" s="152" t="s">
        <v>207</v>
      </c>
      <c r="P226" s="90"/>
      <c r="Q226" s="140" t="s">
        <v>77</v>
      </c>
      <c r="R226" s="90"/>
      <c r="S226" s="140" t="s">
        <v>77</v>
      </c>
      <c r="T226" s="90"/>
      <c r="U226" s="140" t="s">
        <v>77</v>
      </c>
      <c r="V226" s="90"/>
      <c r="W226" s="140" t="s">
        <v>77</v>
      </c>
      <c r="X226" s="90"/>
      <c r="Y226" s="140" t="s">
        <v>77</v>
      </c>
      <c r="Z226" s="90"/>
      <c r="AA226" s="140" t="s">
        <v>207</v>
      </c>
      <c r="AB226" s="90"/>
      <c r="AC226" s="140" t="s">
        <v>207</v>
      </c>
      <c r="AD226" s="90"/>
      <c r="AE226" s="140" t="s">
        <v>207</v>
      </c>
      <c r="AF226" s="178" t="str">
        <f t="shared" si="9"/>
        <v>C</v>
      </c>
      <c r="AG226" s="52" t="str">
        <f t="shared" si="10"/>
        <v>UTILIZOU O PDA CORRETAMENTE</v>
      </c>
      <c r="AH226" s="140"/>
      <c r="AI226" s="182" t="s">
        <v>36</v>
      </c>
      <c r="AJ226" s="93" t="str">
        <f t="shared" si="11"/>
        <v>SÃO PAULO</v>
      </c>
      <c r="AK226" s="183" t="s">
        <v>54</v>
      </c>
    </row>
    <row r="227" spans="1:37" ht="30" customHeight="1">
      <c r="A227" s="198" t="s">
        <v>198</v>
      </c>
      <c r="B227" s="198">
        <v>2618920546</v>
      </c>
      <c r="C227" s="198" t="s">
        <v>111</v>
      </c>
      <c r="D227" s="198" t="s">
        <v>92</v>
      </c>
      <c r="E227" s="198" t="s">
        <v>35</v>
      </c>
      <c r="F227" s="198" t="s">
        <v>589</v>
      </c>
      <c r="G227" s="198">
        <v>162</v>
      </c>
      <c r="H227" s="198" t="s">
        <v>257</v>
      </c>
      <c r="I227" s="198" t="s">
        <v>567</v>
      </c>
      <c r="J227" s="198" t="s">
        <v>111</v>
      </c>
      <c r="K227" s="198" t="s">
        <v>200</v>
      </c>
      <c r="L227" s="199">
        <v>46150.452777777777</v>
      </c>
      <c r="M227" s="199">
        <v>46150.456250000003</v>
      </c>
      <c r="N227" s="198" t="s">
        <v>206</v>
      </c>
      <c r="O227" s="152" t="s">
        <v>207</v>
      </c>
      <c r="P227" s="90"/>
      <c r="Q227" s="140" t="s">
        <v>77</v>
      </c>
      <c r="R227" s="90"/>
      <c r="S227" s="140" t="s">
        <v>77</v>
      </c>
      <c r="T227" s="90"/>
      <c r="U227" s="140" t="s">
        <v>77</v>
      </c>
      <c r="V227" s="90"/>
      <c r="W227" s="140" t="s">
        <v>77</v>
      </c>
      <c r="X227" s="90"/>
      <c r="Y227" s="140" t="s">
        <v>77</v>
      </c>
      <c r="Z227" s="90"/>
      <c r="AA227" s="140" t="s">
        <v>207</v>
      </c>
      <c r="AB227" s="90"/>
      <c r="AC227" s="140" t="s">
        <v>207</v>
      </c>
      <c r="AD227" s="90"/>
      <c r="AE227" s="140" t="s">
        <v>207</v>
      </c>
      <c r="AF227" s="178" t="str">
        <f t="shared" si="9"/>
        <v>C</v>
      </c>
      <c r="AG227" s="52" t="str">
        <f t="shared" si="10"/>
        <v>UTILIZOU O PDA CORRETAMENTE</v>
      </c>
      <c r="AH227" s="140"/>
      <c r="AI227" s="182" t="s">
        <v>36</v>
      </c>
      <c r="AJ227" s="93" t="str">
        <f t="shared" si="11"/>
        <v>SÃO PAULO</v>
      </c>
      <c r="AK227" s="183" t="s">
        <v>54</v>
      </c>
    </row>
    <row r="228" spans="1:37" ht="30" customHeight="1">
      <c r="A228" s="198" t="s">
        <v>198</v>
      </c>
      <c r="B228" s="198">
        <v>2618966134</v>
      </c>
      <c r="C228" s="198" t="s">
        <v>111</v>
      </c>
      <c r="D228" s="198" t="s">
        <v>92</v>
      </c>
      <c r="E228" s="198" t="s">
        <v>35</v>
      </c>
      <c r="F228" s="198" t="s">
        <v>590</v>
      </c>
      <c r="G228" s="198">
        <v>61</v>
      </c>
      <c r="H228" s="198" t="s">
        <v>205</v>
      </c>
      <c r="I228" s="198" t="s">
        <v>591</v>
      </c>
      <c r="J228" s="198" t="s">
        <v>111</v>
      </c>
      <c r="K228" s="198"/>
      <c r="L228" s="199">
        <v>46150.547222222223</v>
      </c>
      <c r="M228" s="199">
        <v>46150.548611111109</v>
      </c>
      <c r="N228" s="198" t="s">
        <v>206</v>
      </c>
      <c r="O228" s="152" t="s">
        <v>207</v>
      </c>
      <c r="P228" s="90"/>
      <c r="Q228" s="140" t="s">
        <v>77</v>
      </c>
      <c r="R228" s="90"/>
      <c r="S228" s="140" t="s">
        <v>77</v>
      </c>
      <c r="T228" s="90"/>
      <c r="U228" s="140" t="s">
        <v>77</v>
      </c>
      <c r="V228" s="90"/>
      <c r="W228" s="140" t="s">
        <v>77</v>
      </c>
      <c r="X228" s="90"/>
      <c r="Y228" s="140" t="s">
        <v>77</v>
      </c>
      <c r="Z228" s="90"/>
      <c r="AA228" s="140" t="s">
        <v>207</v>
      </c>
      <c r="AB228" s="90"/>
      <c r="AC228" s="140" t="s">
        <v>207</v>
      </c>
      <c r="AD228" s="90"/>
      <c r="AE228" s="140" t="s">
        <v>207</v>
      </c>
      <c r="AF228" s="178" t="str">
        <f t="shared" si="9"/>
        <v>C</v>
      </c>
      <c r="AG228" s="52" t="str">
        <f t="shared" si="10"/>
        <v>UTILIZOU O PDA CORRETAMENTE</v>
      </c>
      <c r="AH228" s="140"/>
      <c r="AI228" s="182" t="s">
        <v>36</v>
      </c>
      <c r="AJ228" s="93" t="str">
        <f t="shared" si="11"/>
        <v>SÃO PAULO</v>
      </c>
      <c r="AK228" s="183" t="s">
        <v>54</v>
      </c>
    </row>
    <row r="229" spans="1:37" ht="30" customHeight="1">
      <c r="A229" s="198" t="s">
        <v>198</v>
      </c>
      <c r="B229" s="198">
        <v>2618966136</v>
      </c>
      <c r="C229" s="198" t="s">
        <v>111</v>
      </c>
      <c r="D229" s="198" t="s">
        <v>92</v>
      </c>
      <c r="E229" s="198" t="s">
        <v>35</v>
      </c>
      <c r="F229" s="198" t="s">
        <v>590</v>
      </c>
      <c r="G229" s="198">
        <v>61</v>
      </c>
      <c r="H229" s="198" t="s">
        <v>257</v>
      </c>
      <c r="I229" s="198" t="s">
        <v>591</v>
      </c>
      <c r="J229" s="198" t="s">
        <v>111</v>
      </c>
      <c r="K229" s="198" t="s">
        <v>200</v>
      </c>
      <c r="L229" s="199">
        <v>46150.673611111109</v>
      </c>
      <c r="M229" s="199">
        <v>46150.675000000003</v>
      </c>
      <c r="N229" s="198" t="s">
        <v>206</v>
      </c>
      <c r="O229" s="152" t="s">
        <v>207</v>
      </c>
      <c r="P229" s="90"/>
      <c r="Q229" s="140" t="s">
        <v>77</v>
      </c>
      <c r="R229" s="90"/>
      <c r="S229" s="140" t="s">
        <v>77</v>
      </c>
      <c r="T229" s="90"/>
      <c r="U229" s="140" t="s">
        <v>77</v>
      </c>
      <c r="V229" s="90"/>
      <c r="W229" s="140" t="s">
        <v>77</v>
      </c>
      <c r="X229" s="90"/>
      <c r="Y229" s="140" t="s">
        <v>77</v>
      </c>
      <c r="Z229" s="90"/>
      <c r="AA229" s="140" t="s">
        <v>207</v>
      </c>
      <c r="AB229" s="90"/>
      <c r="AC229" s="140" t="s">
        <v>207</v>
      </c>
      <c r="AD229" s="90"/>
      <c r="AE229" s="140" t="s">
        <v>207</v>
      </c>
      <c r="AF229" s="178" t="str">
        <f t="shared" si="9"/>
        <v>C</v>
      </c>
      <c r="AG229" s="52" t="str">
        <f t="shared" si="10"/>
        <v>UTILIZOU O PDA CORRETAMENTE</v>
      </c>
      <c r="AH229" s="140"/>
      <c r="AI229" s="182" t="s">
        <v>36</v>
      </c>
      <c r="AJ229" s="93" t="str">
        <f t="shared" si="11"/>
        <v>SÃO PAULO</v>
      </c>
      <c r="AK229" s="183" t="s">
        <v>54</v>
      </c>
    </row>
    <row r="230" spans="1:37" ht="30" customHeight="1">
      <c r="A230" s="198" t="s">
        <v>198</v>
      </c>
      <c r="B230" s="198">
        <v>2618966173</v>
      </c>
      <c r="C230" s="198" t="s">
        <v>111</v>
      </c>
      <c r="D230" s="198" t="s">
        <v>92</v>
      </c>
      <c r="E230" s="198" t="s">
        <v>35</v>
      </c>
      <c r="F230" s="198" t="s">
        <v>590</v>
      </c>
      <c r="G230" s="198">
        <v>61</v>
      </c>
      <c r="H230" s="198" t="s">
        <v>255</v>
      </c>
      <c r="I230" s="198" t="s">
        <v>591</v>
      </c>
      <c r="J230" s="198" t="s">
        <v>111</v>
      </c>
      <c r="K230" s="198"/>
      <c r="L230" s="199">
        <v>46150.499305555553</v>
      </c>
      <c r="M230" s="199">
        <v>46150.506249999999</v>
      </c>
      <c r="N230" s="198" t="s">
        <v>206</v>
      </c>
      <c r="O230" s="152" t="s">
        <v>207</v>
      </c>
      <c r="P230" s="90"/>
      <c r="Q230" s="140" t="s">
        <v>77</v>
      </c>
      <c r="R230" s="90"/>
      <c r="S230" s="140" t="s">
        <v>77</v>
      </c>
      <c r="T230" s="90"/>
      <c r="U230" s="140" t="s">
        <v>77</v>
      </c>
      <c r="V230" s="90"/>
      <c r="W230" s="140" t="s">
        <v>77</v>
      </c>
      <c r="X230" s="90"/>
      <c r="Y230" s="140" t="s">
        <v>77</v>
      </c>
      <c r="Z230" s="90"/>
      <c r="AA230" s="140" t="s">
        <v>207</v>
      </c>
      <c r="AB230" s="90"/>
      <c r="AC230" s="140" t="s">
        <v>207</v>
      </c>
      <c r="AD230" s="90"/>
      <c r="AE230" s="140" t="s">
        <v>207</v>
      </c>
      <c r="AF230" s="178" t="str">
        <f t="shared" si="9"/>
        <v>C</v>
      </c>
      <c r="AG230" s="52" t="str">
        <f t="shared" si="10"/>
        <v>UTILIZOU O PDA CORRETAMENTE</v>
      </c>
      <c r="AH230" s="140"/>
      <c r="AI230" s="182" t="s">
        <v>36</v>
      </c>
      <c r="AJ230" s="93" t="str">
        <f t="shared" si="11"/>
        <v>SÃO PAULO</v>
      </c>
      <c r="AK230" s="183" t="s">
        <v>54</v>
      </c>
    </row>
    <row r="231" spans="1:37" ht="30" customHeight="1">
      <c r="A231" s="198" t="s">
        <v>198</v>
      </c>
      <c r="B231" s="198">
        <v>2618864739</v>
      </c>
      <c r="C231" s="198" t="s">
        <v>109</v>
      </c>
      <c r="D231" s="198" t="s">
        <v>92</v>
      </c>
      <c r="E231" s="198" t="s">
        <v>35</v>
      </c>
      <c r="F231" s="198" t="s">
        <v>592</v>
      </c>
      <c r="G231" s="198">
        <v>609</v>
      </c>
      <c r="H231" s="198" t="s">
        <v>208</v>
      </c>
      <c r="I231" s="198" t="s">
        <v>357</v>
      </c>
      <c r="J231" s="198" t="s">
        <v>109</v>
      </c>
      <c r="K231" s="198" t="s">
        <v>200</v>
      </c>
      <c r="L231" s="199">
        <v>46150.42291666667</v>
      </c>
      <c r="M231" s="199">
        <v>46150.425000000003</v>
      </c>
      <c r="N231" s="198" t="s">
        <v>206</v>
      </c>
      <c r="O231" s="152" t="s">
        <v>207</v>
      </c>
      <c r="P231" s="90"/>
      <c r="Q231" s="140" t="s">
        <v>77</v>
      </c>
      <c r="R231" s="90"/>
      <c r="S231" s="140" t="s">
        <v>77</v>
      </c>
      <c r="T231" s="90"/>
      <c r="U231" s="140" t="s">
        <v>77</v>
      </c>
      <c r="V231" s="90"/>
      <c r="W231" s="140" t="s">
        <v>77</v>
      </c>
      <c r="X231" s="90"/>
      <c r="Y231" s="140" t="s">
        <v>77</v>
      </c>
      <c r="Z231" s="90"/>
      <c r="AA231" s="140" t="s">
        <v>77</v>
      </c>
      <c r="AB231" s="90"/>
      <c r="AC231" s="140" t="s">
        <v>207</v>
      </c>
      <c r="AD231" s="90"/>
      <c r="AE231" s="140" t="s">
        <v>207</v>
      </c>
      <c r="AF231" s="178" t="str">
        <f t="shared" si="9"/>
        <v>C</v>
      </c>
      <c r="AG231" s="52" t="str">
        <f t="shared" si="10"/>
        <v>UTILIZOU O PDA CORRETAMENTE</v>
      </c>
      <c r="AH231" s="140"/>
      <c r="AI231" s="182" t="s">
        <v>36</v>
      </c>
      <c r="AJ231" s="93" t="str">
        <f t="shared" si="11"/>
        <v>SÃO PAULO</v>
      </c>
      <c r="AK231" s="183" t="s">
        <v>54</v>
      </c>
    </row>
    <row r="232" spans="1:37" ht="30" customHeight="1">
      <c r="A232" s="198" t="s">
        <v>198</v>
      </c>
      <c r="B232" s="198">
        <v>2618864741</v>
      </c>
      <c r="C232" s="198" t="s">
        <v>111</v>
      </c>
      <c r="D232" s="198" t="s">
        <v>92</v>
      </c>
      <c r="E232" s="198" t="s">
        <v>35</v>
      </c>
      <c r="F232" s="198" t="s">
        <v>592</v>
      </c>
      <c r="G232" s="198">
        <v>609</v>
      </c>
      <c r="H232" s="198" t="s">
        <v>205</v>
      </c>
      <c r="I232" s="198" t="s">
        <v>357</v>
      </c>
      <c r="J232" s="198" t="s">
        <v>111</v>
      </c>
      <c r="K232" s="198"/>
      <c r="L232" s="199">
        <v>46150.416666666664</v>
      </c>
      <c r="M232" s="199">
        <v>46150.42291666667</v>
      </c>
      <c r="N232" s="198" t="s">
        <v>206</v>
      </c>
      <c r="O232" s="152" t="s">
        <v>207</v>
      </c>
      <c r="P232" s="90"/>
      <c r="Q232" s="140" t="s">
        <v>77</v>
      </c>
      <c r="R232" s="90"/>
      <c r="S232" s="140" t="s">
        <v>77</v>
      </c>
      <c r="T232" s="90"/>
      <c r="U232" s="140" t="s">
        <v>77</v>
      </c>
      <c r="V232" s="90"/>
      <c r="W232" s="140" t="s">
        <v>77</v>
      </c>
      <c r="X232" s="90"/>
      <c r="Y232" s="140" t="s">
        <v>77</v>
      </c>
      <c r="Z232" s="90"/>
      <c r="AA232" s="140" t="s">
        <v>77</v>
      </c>
      <c r="AB232" s="90"/>
      <c r="AC232" s="140" t="s">
        <v>207</v>
      </c>
      <c r="AD232" s="90"/>
      <c r="AE232" s="140" t="s">
        <v>207</v>
      </c>
      <c r="AF232" s="178" t="str">
        <f t="shared" si="9"/>
        <v>C</v>
      </c>
      <c r="AG232" s="52" t="str">
        <f t="shared" si="10"/>
        <v>UTILIZOU O PDA CORRETAMENTE</v>
      </c>
      <c r="AH232" s="140"/>
      <c r="AI232" s="182" t="s">
        <v>36</v>
      </c>
      <c r="AJ232" s="93" t="str">
        <f t="shared" si="11"/>
        <v>SÃO PAULO</v>
      </c>
      <c r="AK232" s="183" t="s">
        <v>54</v>
      </c>
    </row>
    <row r="233" spans="1:37" ht="30" customHeight="1">
      <c r="A233" s="198" t="s">
        <v>198</v>
      </c>
      <c r="B233" s="198">
        <v>2619182294</v>
      </c>
      <c r="C233" s="198" t="s">
        <v>109</v>
      </c>
      <c r="D233" s="198" t="s">
        <v>92</v>
      </c>
      <c r="E233" s="198" t="s">
        <v>35</v>
      </c>
      <c r="F233" s="198" t="s">
        <v>593</v>
      </c>
      <c r="G233" s="198">
        <v>46</v>
      </c>
      <c r="H233" s="198" t="s">
        <v>208</v>
      </c>
      <c r="I233" s="198" t="s">
        <v>392</v>
      </c>
      <c r="J233" s="198" t="s">
        <v>109</v>
      </c>
      <c r="K233" s="198" t="s">
        <v>200</v>
      </c>
      <c r="L233" s="199">
        <v>46150.525000000001</v>
      </c>
      <c r="M233" s="199">
        <v>46150.526388888888</v>
      </c>
      <c r="N233" s="198" t="s">
        <v>206</v>
      </c>
      <c r="O233" s="152" t="s">
        <v>207</v>
      </c>
      <c r="P233" s="90"/>
      <c r="Q233" s="140" t="s">
        <v>77</v>
      </c>
      <c r="R233" s="90"/>
      <c r="S233" s="140" t="s">
        <v>77</v>
      </c>
      <c r="T233" s="90"/>
      <c r="U233" s="140" t="s">
        <v>77</v>
      </c>
      <c r="V233" s="90"/>
      <c r="W233" s="140" t="s">
        <v>77</v>
      </c>
      <c r="X233" s="90"/>
      <c r="Y233" s="140" t="s">
        <v>77</v>
      </c>
      <c r="Z233" s="90"/>
      <c r="AA233" s="140" t="s">
        <v>207</v>
      </c>
      <c r="AB233" s="90"/>
      <c r="AC233" s="140" t="s">
        <v>207</v>
      </c>
      <c r="AD233" s="90"/>
      <c r="AE233" s="140" t="s">
        <v>207</v>
      </c>
      <c r="AF233" s="178" t="str">
        <f t="shared" si="9"/>
        <v>C</v>
      </c>
      <c r="AG233" s="52" t="str">
        <f t="shared" si="10"/>
        <v>UTILIZOU O PDA CORRETAMENTE</v>
      </c>
      <c r="AH233" s="140"/>
      <c r="AI233" s="182" t="s">
        <v>36</v>
      </c>
      <c r="AJ233" s="93" t="str">
        <f t="shared" si="11"/>
        <v>SÃO PAULO</v>
      </c>
      <c r="AK233" s="183" t="s">
        <v>54</v>
      </c>
    </row>
    <row r="234" spans="1:37" ht="30" customHeight="1">
      <c r="A234" s="198" t="s">
        <v>198</v>
      </c>
      <c r="B234" s="198">
        <v>2619182297</v>
      </c>
      <c r="C234" s="198" t="s">
        <v>111</v>
      </c>
      <c r="D234" s="198" t="s">
        <v>92</v>
      </c>
      <c r="E234" s="198" t="s">
        <v>35</v>
      </c>
      <c r="F234" s="198" t="s">
        <v>593</v>
      </c>
      <c r="G234" s="198">
        <v>46</v>
      </c>
      <c r="H234" s="198" t="s">
        <v>205</v>
      </c>
      <c r="I234" s="198" t="s">
        <v>392</v>
      </c>
      <c r="J234" s="198" t="s">
        <v>111</v>
      </c>
      <c r="K234" s="198"/>
      <c r="L234" s="199">
        <v>46150.518055555556</v>
      </c>
      <c r="M234" s="199">
        <v>46150.519444444442</v>
      </c>
      <c r="N234" s="198" t="s">
        <v>206</v>
      </c>
      <c r="O234" s="152" t="s">
        <v>207</v>
      </c>
      <c r="P234" s="90"/>
      <c r="Q234" s="140" t="s">
        <v>77</v>
      </c>
      <c r="R234" s="90"/>
      <c r="S234" s="140" t="s">
        <v>77</v>
      </c>
      <c r="T234" s="90"/>
      <c r="U234" s="140" t="s">
        <v>77</v>
      </c>
      <c r="V234" s="90"/>
      <c r="W234" s="140" t="s">
        <v>77</v>
      </c>
      <c r="X234" s="90"/>
      <c r="Y234" s="140" t="s">
        <v>77</v>
      </c>
      <c r="Z234" s="90"/>
      <c r="AA234" s="140" t="s">
        <v>207</v>
      </c>
      <c r="AB234" s="90"/>
      <c r="AC234" s="140" t="s">
        <v>207</v>
      </c>
      <c r="AD234" s="90"/>
      <c r="AE234" s="140" t="s">
        <v>207</v>
      </c>
      <c r="AF234" s="178" t="str">
        <f t="shared" si="9"/>
        <v>C</v>
      </c>
      <c r="AG234" s="52" t="str">
        <f t="shared" si="10"/>
        <v>UTILIZOU O PDA CORRETAMENTE</v>
      </c>
      <c r="AH234" s="140"/>
      <c r="AI234" s="182" t="s">
        <v>36</v>
      </c>
      <c r="AJ234" s="93" t="str">
        <f t="shared" si="11"/>
        <v>SÃO PAULO</v>
      </c>
      <c r="AK234" s="183" t="s">
        <v>54</v>
      </c>
    </row>
    <row r="235" spans="1:37" ht="30" customHeight="1">
      <c r="A235" s="198" t="s">
        <v>198</v>
      </c>
      <c r="B235" s="198">
        <v>2618901607</v>
      </c>
      <c r="C235" s="198" t="s">
        <v>99</v>
      </c>
      <c r="D235" s="198" t="s">
        <v>92</v>
      </c>
      <c r="E235" s="198" t="s">
        <v>35</v>
      </c>
      <c r="F235" s="198" t="s">
        <v>594</v>
      </c>
      <c r="G235" s="198">
        <v>5</v>
      </c>
      <c r="H235" s="198" t="s">
        <v>595</v>
      </c>
      <c r="I235" s="198" t="s">
        <v>596</v>
      </c>
      <c r="J235" s="198" t="s">
        <v>374</v>
      </c>
      <c r="K235" s="198" t="s">
        <v>200</v>
      </c>
      <c r="L235" s="199">
        <v>46150.649305555555</v>
      </c>
      <c r="M235" s="199">
        <v>46150.664583333331</v>
      </c>
      <c r="N235" s="198" t="s">
        <v>206</v>
      </c>
      <c r="O235" s="152" t="s">
        <v>207</v>
      </c>
      <c r="P235" s="90"/>
      <c r="Q235" s="140" t="s">
        <v>77</v>
      </c>
      <c r="R235" s="90"/>
      <c r="S235" s="140" t="s">
        <v>77</v>
      </c>
      <c r="T235" s="90"/>
      <c r="U235" s="140" t="s">
        <v>77</v>
      </c>
      <c r="V235" s="90"/>
      <c r="W235" s="140" t="s">
        <v>77</v>
      </c>
      <c r="X235" s="90"/>
      <c r="Y235" s="140" t="s">
        <v>77</v>
      </c>
      <c r="Z235" s="90"/>
      <c r="AA235" s="140" t="s">
        <v>77</v>
      </c>
      <c r="AB235" s="90"/>
      <c r="AC235" s="140" t="s">
        <v>207</v>
      </c>
      <c r="AD235" s="90"/>
      <c r="AE235" s="140" t="s">
        <v>207</v>
      </c>
      <c r="AF235" s="178" t="str">
        <f t="shared" si="9"/>
        <v>C</v>
      </c>
      <c r="AG235" s="52" t="str">
        <f t="shared" si="10"/>
        <v>UTILIZOU O PDA CORRETAMENTE</v>
      </c>
      <c r="AH235" s="140"/>
      <c r="AI235" s="182" t="s">
        <v>36</v>
      </c>
      <c r="AJ235" s="93" t="str">
        <f t="shared" si="11"/>
        <v>SÃO PAULO</v>
      </c>
      <c r="AK235" s="183" t="s">
        <v>54</v>
      </c>
    </row>
    <row r="236" spans="1:37" ht="30" customHeight="1">
      <c r="A236" s="198" t="s">
        <v>198</v>
      </c>
      <c r="B236" s="198">
        <v>2618966071</v>
      </c>
      <c r="C236" s="198" t="s">
        <v>109</v>
      </c>
      <c r="D236" s="198" t="s">
        <v>92</v>
      </c>
      <c r="E236" s="198" t="s">
        <v>35</v>
      </c>
      <c r="F236" s="198" t="s">
        <v>590</v>
      </c>
      <c r="G236" s="198">
        <v>61</v>
      </c>
      <c r="H236" s="198" t="s">
        <v>208</v>
      </c>
      <c r="I236" s="198" t="s">
        <v>591</v>
      </c>
      <c r="J236" s="198" t="s">
        <v>109</v>
      </c>
      <c r="K236" s="198"/>
      <c r="L236" s="199">
        <v>46150.520138888889</v>
      </c>
      <c r="M236" s="199">
        <v>46150.524305555555</v>
      </c>
      <c r="N236" s="198" t="s">
        <v>206</v>
      </c>
      <c r="O236" s="152" t="s">
        <v>207</v>
      </c>
      <c r="P236" s="90"/>
      <c r="Q236" s="140" t="s">
        <v>77</v>
      </c>
      <c r="R236" s="90"/>
      <c r="S236" s="140" t="s">
        <v>77</v>
      </c>
      <c r="T236" s="90"/>
      <c r="U236" s="140" t="s">
        <v>77</v>
      </c>
      <c r="V236" s="90"/>
      <c r="W236" s="140" t="s">
        <v>77</v>
      </c>
      <c r="X236" s="90"/>
      <c r="Y236" s="140" t="s">
        <v>77</v>
      </c>
      <c r="Z236" s="90"/>
      <c r="AA236" s="140" t="s">
        <v>207</v>
      </c>
      <c r="AB236" s="90"/>
      <c r="AC236" s="140" t="s">
        <v>207</v>
      </c>
      <c r="AD236" s="90"/>
      <c r="AE236" s="140" t="s">
        <v>207</v>
      </c>
      <c r="AF236" s="178" t="str">
        <f t="shared" si="9"/>
        <v>C</v>
      </c>
      <c r="AG236" s="52" t="str">
        <f t="shared" si="10"/>
        <v>UTILIZOU O PDA CORRETAMENTE</v>
      </c>
      <c r="AH236" s="140"/>
      <c r="AI236" s="182" t="s">
        <v>36</v>
      </c>
      <c r="AJ236" s="93" t="str">
        <f t="shared" si="11"/>
        <v>SÃO PAULO</v>
      </c>
      <c r="AK236" s="183" t="s">
        <v>54</v>
      </c>
    </row>
    <row r="237" spans="1:37" ht="30" customHeight="1">
      <c r="A237" s="198" t="s">
        <v>198</v>
      </c>
      <c r="B237" s="198">
        <v>2619135767</v>
      </c>
      <c r="C237" s="198" t="s">
        <v>99</v>
      </c>
      <c r="D237" s="198" t="s">
        <v>92</v>
      </c>
      <c r="E237" s="198" t="s">
        <v>35</v>
      </c>
      <c r="F237" s="198" t="s">
        <v>597</v>
      </c>
      <c r="G237" s="198">
        <v>689</v>
      </c>
      <c r="H237" s="198" t="s">
        <v>257</v>
      </c>
      <c r="I237" s="198" t="s">
        <v>598</v>
      </c>
      <c r="J237" s="198" t="s">
        <v>374</v>
      </c>
      <c r="K237" s="198" t="s">
        <v>200</v>
      </c>
      <c r="L237" s="199">
        <v>46150.102083333331</v>
      </c>
      <c r="M237" s="199">
        <v>46150.103472222225</v>
      </c>
      <c r="N237" s="198" t="s">
        <v>213</v>
      </c>
      <c r="O237" s="152" t="s">
        <v>207</v>
      </c>
      <c r="P237" s="90"/>
      <c r="Q237" s="140" t="s">
        <v>77</v>
      </c>
      <c r="R237" s="90"/>
      <c r="S237" s="140" t="s">
        <v>77</v>
      </c>
      <c r="T237" s="90"/>
      <c r="U237" s="140" t="s">
        <v>77</v>
      </c>
      <c r="V237" s="90"/>
      <c r="W237" s="140" t="s">
        <v>77</v>
      </c>
      <c r="X237" s="90"/>
      <c r="Y237" s="140" t="s">
        <v>77</v>
      </c>
      <c r="Z237" s="90"/>
      <c r="AA237" s="140" t="s">
        <v>77</v>
      </c>
      <c r="AB237" s="90"/>
      <c r="AC237" s="140" t="s">
        <v>207</v>
      </c>
      <c r="AD237" s="90"/>
      <c r="AE237" s="140" t="s">
        <v>207</v>
      </c>
      <c r="AF237" s="178" t="str">
        <f t="shared" si="9"/>
        <v>C</v>
      </c>
      <c r="AG237" s="52" t="str">
        <f t="shared" si="10"/>
        <v>UTILIZOU O PDA CORRETAMENTE</v>
      </c>
      <c r="AH237" s="140"/>
      <c r="AI237" s="182" t="s">
        <v>36</v>
      </c>
      <c r="AJ237" s="93" t="str">
        <f t="shared" si="11"/>
        <v>SÃO PAULO</v>
      </c>
      <c r="AK237" s="183" t="s">
        <v>54</v>
      </c>
    </row>
    <row r="238" spans="1:37" ht="30" customHeight="1">
      <c r="A238" s="198" t="s">
        <v>198</v>
      </c>
      <c r="B238" s="198">
        <v>2619135913</v>
      </c>
      <c r="C238" s="198" t="s">
        <v>99</v>
      </c>
      <c r="D238" s="198" t="s">
        <v>92</v>
      </c>
      <c r="E238" s="198" t="s">
        <v>35</v>
      </c>
      <c r="F238" s="198" t="s">
        <v>597</v>
      </c>
      <c r="G238" s="198">
        <v>689</v>
      </c>
      <c r="H238" s="198" t="s">
        <v>255</v>
      </c>
      <c r="I238" s="198" t="s">
        <v>598</v>
      </c>
      <c r="J238" s="198" t="s">
        <v>374</v>
      </c>
      <c r="K238" s="198"/>
      <c r="L238" s="199">
        <v>46150.103472222225</v>
      </c>
      <c r="M238" s="199">
        <v>46150.104166666664</v>
      </c>
      <c r="N238" s="198" t="s">
        <v>213</v>
      </c>
      <c r="O238" s="152" t="s">
        <v>207</v>
      </c>
      <c r="P238" s="90"/>
      <c r="Q238" s="140" t="s">
        <v>77</v>
      </c>
      <c r="R238" s="90"/>
      <c r="S238" s="140" t="s">
        <v>77</v>
      </c>
      <c r="T238" s="90"/>
      <c r="U238" s="140" t="s">
        <v>77</v>
      </c>
      <c r="V238" s="90"/>
      <c r="W238" s="140" t="s">
        <v>77</v>
      </c>
      <c r="X238" s="90"/>
      <c r="Y238" s="140" t="s">
        <v>77</v>
      </c>
      <c r="Z238" s="90"/>
      <c r="AA238" s="140" t="s">
        <v>77</v>
      </c>
      <c r="AB238" s="90"/>
      <c r="AC238" s="140" t="s">
        <v>207</v>
      </c>
      <c r="AD238" s="90"/>
      <c r="AE238" s="140" t="s">
        <v>207</v>
      </c>
      <c r="AF238" s="178" t="str">
        <f t="shared" si="9"/>
        <v>C</v>
      </c>
      <c r="AG238" s="52" t="str">
        <f t="shared" si="10"/>
        <v>UTILIZOU O PDA CORRETAMENTE</v>
      </c>
      <c r="AH238" s="140"/>
      <c r="AI238" s="182" t="s">
        <v>36</v>
      </c>
      <c r="AJ238" s="93" t="str">
        <f t="shared" si="11"/>
        <v>SÃO PAULO</v>
      </c>
      <c r="AK238" s="183" t="s">
        <v>54</v>
      </c>
    </row>
    <row r="239" spans="1:37" ht="30" customHeight="1">
      <c r="A239" s="198" t="s">
        <v>198</v>
      </c>
      <c r="B239" s="198">
        <v>2618863255</v>
      </c>
      <c r="C239" s="198" t="s">
        <v>238</v>
      </c>
      <c r="D239" s="198" t="s">
        <v>92</v>
      </c>
      <c r="E239" s="198" t="s">
        <v>35</v>
      </c>
      <c r="F239" s="198" t="s">
        <v>599</v>
      </c>
      <c r="G239" s="198">
        <v>62</v>
      </c>
      <c r="H239" s="198" t="s">
        <v>325</v>
      </c>
      <c r="I239" s="198" t="s">
        <v>271</v>
      </c>
      <c r="J239" s="198" t="s">
        <v>242</v>
      </c>
      <c r="K239" s="198" t="s">
        <v>200</v>
      </c>
      <c r="L239" s="199">
        <v>46150.234027777777</v>
      </c>
      <c r="M239" s="199">
        <v>46150.23541666667</v>
      </c>
      <c r="N239" s="198" t="s">
        <v>213</v>
      </c>
      <c r="O239" s="152" t="s">
        <v>207</v>
      </c>
      <c r="P239" s="90"/>
      <c r="Q239" s="140" t="s">
        <v>77</v>
      </c>
      <c r="R239" s="90"/>
      <c r="S239" s="140" t="s">
        <v>77</v>
      </c>
      <c r="T239" s="90"/>
      <c r="U239" s="140" t="s">
        <v>77</v>
      </c>
      <c r="V239" s="90"/>
      <c r="W239" s="140" t="s">
        <v>77</v>
      </c>
      <c r="X239" s="90"/>
      <c r="Y239" s="140" t="s">
        <v>77</v>
      </c>
      <c r="Z239" s="90"/>
      <c r="AA239" s="140" t="s">
        <v>77</v>
      </c>
      <c r="AB239" s="90"/>
      <c r="AC239" s="140" t="s">
        <v>215</v>
      </c>
      <c r="AD239" s="90" t="s">
        <v>492</v>
      </c>
      <c r="AE239" s="140" t="s">
        <v>207</v>
      </c>
      <c r="AF239" s="178" t="str">
        <f t="shared" si="9"/>
        <v>NC</v>
      </c>
      <c r="AG239" s="52" t="str">
        <f t="shared" si="10"/>
        <v>UTILIZOU O PDA CORRETAMENTE. NÃO HÁ FOTOS DE TODAS AS ETAPAS</v>
      </c>
      <c r="AH239" s="140" t="s">
        <v>207</v>
      </c>
      <c r="AI239" s="182" t="s">
        <v>36</v>
      </c>
      <c r="AJ239" s="93" t="str">
        <f t="shared" si="11"/>
        <v>SÃO PAULO</v>
      </c>
      <c r="AK239" s="183" t="s">
        <v>54</v>
      </c>
    </row>
    <row r="240" spans="1:37" ht="30" customHeight="1">
      <c r="A240" s="198" t="s">
        <v>198</v>
      </c>
      <c r="B240" s="198">
        <v>2618863254</v>
      </c>
      <c r="C240" s="198" t="s">
        <v>238</v>
      </c>
      <c r="D240" s="198" t="s">
        <v>92</v>
      </c>
      <c r="E240" s="198" t="s">
        <v>35</v>
      </c>
      <c r="F240" s="198" t="s">
        <v>599</v>
      </c>
      <c r="G240" s="198">
        <v>62</v>
      </c>
      <c r="H240" s="198" t="s">
        <v>329</v>
      </c>
      <c r="I240" s="198" t="s">
        <v>271</v>
      </c>
      <c r="J240" s="198" t="s">
        <v>242</v>
      </c>
      <c r="K240" s="198"/>
      <c r="L240" s="199">
        <v>46150.18472222222</v>
      </c>
      <c r="M240" s="199">
        <v>46150.23333333333</v>
      </c>
      <c r="N240" s="198" t="s">
        <v>213</v>
      </c>
      <c r="O240" s="152" t="s">
        <v>207</v>
      </c>
      <c r="P240" s="90"/>
      <c r="Q240" s="140" t="s">
        <v>77</v>
      </c>
      <c r="R240" s="90"/>
      <c r="S240" s="140" t="s">
        <v>77</v>
      </c>
      <c r="T240" s="90"/>
      <c r="U240" s="140" t="s">
        <v>77</v>
      </c>
      <c r="V240" s="90"/>
      <c r="W240" s="140" t="s">
        <v>77</v>
      </c>
      <c r="X240" s="90"/>
      <c r="Y240" s="140" t="s">
        <v>77</v>
      </c>
      <c r="Z240" s="90"/>
      <c r="AA240" s="140" t="s">
        <v>77</v>
      </c>
      <c r="AB240" s="90"/>
      <c r="AC240" s="140" t="s">
        <v>215</v>
      </c>
      <c r="AD240" s="90" t="s">
        <v>492</v>
      </c>
      <c r="AE240" s="140" t="s">
        <v>207</v>
      </c>
      <c r="AF240" s="178" t="str">
        <f t="shared" si="9"/>
        <v>NC</v>
      </c>
      <c r="AG240" s="52" t="str">
        <f>IF(AND(AE240="C",AF240="C"),"UTILIZOU O PDA CORRETAMENTE",IF(AND(AE240="C",AF240="NC"),"UTILIZOU O PDA CORRETAMENTE. NÃO HÁ FOTOS DE TODAS AS ETAPAS",IF(AND(AE240="NC",AF240="NC"),"NÃO UTILIZOU O PDA",IF(AND(AE240="NA",AF240="NA"),"NÃO AVALIADO POR FALHA DE SINCRONISMO"))))</f>
        <v>UTILIZOU O PDA CORRETAMENTE. NÃO HÁ FOTOS DE TODAS AS ETAPAS</v>
      </c>
      <c r="AH240" s="140" t="s">
        <v>207</v>
      </c>
      <c r="AI240" s="182" t="s">
        <v>36</v>
      </c>
      <c r="AJ240" s="93" t="str">
        <f t="shared" si="11"/>
        <v>SÃO PAULO</v>
      </c>
      <c r="AK240" s="183" t="s">
        <v>54</v>
      </c>
    </row>
    <row r="241" spans="1:37" ht="30" customHeight="1">
      <c r="A241" s="198" t="s">
        <v>198</v>
      </c>
      <c r="B241" s="198">
        <v>2618893924</v>
      </c>
      <c r="C241" s="198" t="s">
        <v>120</v>
      </c>
      <c r="D241" s="198" t="s">
        <v>96</v>
      </c>
      <c r="E241" s="198" t="s">
        <v>35</v>
      </c>
      <c r="F241" s="198" t="s">
        <v>509</v>
      </c>
      <c r="G241" s="198">
        <v>71</v>
      </c>
      <c r="H241" s="198" t="s">
        <v>200</v>
      </c>
      <c r="I241" s="198" t="s">
        <v>510</v>
      </c>
      <c r="J241" s="198" t="s">
        <v>202</v>
      </c>
      <c r="K241" s="198" t="s">
        <v>200</v>
      </c>
      <c r="L241" s="199">
        <v>46150.293055555558</v>
      </c>
      <c r="M241" s="199">
        <v>46150.295138888891</v>
      </c>
      <c r="N241" s="198" t="s">
        <v>232</v>
      </c>
      <c r="O241" s="152" t="s">
        <v>207</v>
      </c>
      <c r="P241" s="90"/>
      <c r="Q241" s="140" t="s">
        <v>207</v>
      </c>
      <c r="R241" s="90"/>
      <c r="S241" s="140" t="s">
        <v>207</v>
      </c>
      <c r="T241" s="90"/>
      <c r="U241" s="140" t="s">
        <v>207</v>
      </c>
      <c r="V241" s="90"/>
      <c r="W241" s="140" t="s">
        <v>207</v>
      </c>
      <c r="X241" s="90"/>
      <c r="Y241" s="140" t="s">
        <v>77</v>
      </c>
      <c r="Z241" s="90"/>
      <c r="AA241" s="140" t="s">
        <v>207</v>
      </c>
      <c r="AB241" s="90"/>
      <c r="AC241" s="140" t="s">
        <v>207</v>
      </c>
      <c r="AD241" s="90"/>
      <c r="AE241" s="140" t="s">
        <v>207</v>
      </c>
      <c r="AF241" s="178" t="str">
        <f t="shared" si="9"/>
        <v>C</v>
      </c>
      <c r="AG241" s="52" t="str">
        <f t="shared" si="10"/>
        <v>UTILIZOU O PDA CORRETAMENTE</v>
      </c>
      <c r="AH241" s="140" t="s">
        <v>207</v>
      </c>
      <c r="AI241" s="182" t="s">
        <v>36</v>
      </c>
      <c r="AJ241" s="93" t="str">
        <f t="shared" si="11"/>
        <v>SÃO PAULO</v>
      </c>
      <c r="AK241" s="183" t="s">
        <v>54</v>
      </c>
    </row>
    <row r="242" spans="1:37" ht="30" customHeight="1">
      <c r="A242" s="198" t="s">
        <v>198</v>
      </c>
      <c r="B242" s="198">
        <v>2619301075</v>
      </c>
      <c r="C242" s="198" t="s">
        <v>116</v>
      </c>
      <c r="D242" s="198" t="s">
        <v>94</v>
      </c>
      <c r="E242" s="198" t="s">
        <v>35</v>
      </c>
      <c r="F242" s="198" t="s">
        <v>296</v>
      </c>
      <c r="G242" s="198">
        <v>836</v>
      </c>
      <c r="H242" s="198" t="s">
        <v>208</v>
      </c>
      <c r="I242" s="198" t="s">
        <v>297</v>
      </c>
      <c r="J242" s="198" t="s">
        <v>221</v>
      </c>
      <c r="K242" s="198" t="s">
        <v>600</v>
      </c>
      <c r="L242" s="199">
        <v>46150.334722222222</v>
      </c>
      <c r="M242" s="199">
        <v>46150.335416666669</v>
      </c>
      <c r="N242" s="198" t="s">
        <v>349</v>
      </c>
      <c r="O242" s="152" t="s">
        <v>207</v>
      </c>
      <c r="P242" s="90"/>
      <c r="Q242" s="140" t="s">
        <v>207</v>
      </c>
      <c r="R242" s="90"/>
      <c r="S242" s="140" t="s">
        <v>207</v>
      </c>
      <c r="T242" s="90"/>
      <c r="U242" s="140" t="s">
        <v>207</v>
      </c>
      <c r="V242" s="90"/>
      <c r="W242" s="140" t="s">
        <v>207</v>
      </c>
      <c r="X242" s="90"/>
      <c r="Y242" s="140" t="s">
        <v>207</v>
      </c>
      <c r="Z242" s="90"/>
      <c r="AA242" s="140" t="s">
        <v>207</v>
      </c>
      <c r="AB242" s="90"/>
      <c r="AC242" s="140" t="s">
        <v>207</v>
      </c>
      <c r="AD242" s="90"/>
      <c r="AE242" s="140" t="s">
        <v>207</v>
      </c>
      <c r="AF242" s="178" t="str">
        <f t="shared" si="9"/>
        <v>C</v>
      </c>
      <c r="AG242" s="52" t="str">
        <f t="shared" si="10"/>
        <v>UTILIZOU O PDA CORRETAMENTE</v>
      </c>
      <c r="AH242" s="140" t="s">
        <v>207</v>
      </c>
      <c r="AI242" s="182" t="s">
        <v>36</v>
      </c>
      <c r="AJ242" s="93" t="str">
        <f t="shared" si="11"/>
        <v>SÃO PAULO</v>
      </c>
      <c r="AK242" s="183" t="s">
        <v>54</v>
      </c>
    </row>
    <row r="243" spans="1:37" ht="30" customHeight="1">
      <c r="A243" s="198" t="s">
        <v>198</v>
      </c>
      <c r="B243" s="198">
        <v>2619300796</v>
      </c>
      <c r="C243" s="198" t="s">
        <v>116</v>
      </c>
      <c r="D243" s="198" t="s">
        <v>94</v>
      </c>
      <c r="E243" s="198" t="s">
        <v>35</v>
      </c>
      <c r="F243" s="198" t="s">
        <v>601</v>
      </c>
      <c r="G243" s="198">
        <v>7</v>
      </c>
      <c r="H243" s="198" t="s">
        <v>200</v>
      </c>
      <c r="I243" s="198" t="s">
        <v>402</v>
      </c>
      <c r="J243" s="198" t="s">
        <v>221</v>
      </c>
      <c r="K243" s="198" t="s">
        <v>200</v>
      </c>
      <c r="L243" s="199">
        <v>46150.334722222222</v>
      </c>
      <c r="M243" s="199">
        <v>46150.335416666669</v>
      </c>
      <c r="N243" s="198" t="s">
        <v>222</v>
      </c>
      <c r="O243" s="152" t="s">
        <v>207</v>
      </c>
      <c r="P243" s="90"/>
      <c r="Q243" s="140" t="s">
        <v>207</v>
      </c>
      <c r="R243" s="90"/>
      <c r="S243" s="140" t="s">
        <v>207</v>
      </c>
      <c r="T243" s="90"/>
      <c r="U243" s="140" t="s">
        <v>207</v>
      </c>
      <c r="V243" s="90"/>
      <c r="W243" s="140" t="s">
        <v>207</v>
      </c>
      <c r="X243" s="90"/>
      <c r="Y243" s="140" t="s">
        <v>207</v>
      </c>
      <c r="Z243" s="90"/>
      <c r="AA243" s="140" t="s">
        <v>207</v>
      </c>
      <c r="AB243" s="90"/>
      <c r="AC243" s="140" t="s">
        <v>207</v>
      </c>
      <c r="AD243" s="90"/>
      <c r="AE243" s="140" t="s">
        <v>207</v>
      </c>
      <c r="AF243" s="178" t="str">
        <f t="shared" si="9"/>
        <v>C</v>
      </c>
      <c r="AG243" s="52" t="str">
        <f t="shared" si="10"/>
        <v>UTILIZOU O PDA CORRETAMENTE</v>
      </c>
      <c r="AH243" s="140" t="s">
        <v>207</v>
      </c>
      <c r="AI243" s="182" t="s">
        <v>36</v>
      </c>
      <c r="AJ243" s="93" t="str">
        <f t="shared" si="11"/>
        <v>SÃO PAULO</v>
      </c>
      <c r="AK243" s="183" t="s">
        <v>54</v>
      </c>
    </row>
    <row r="244" spans="1:37" ht="30" customHeight="1">
      <c r="A244" s="198" t="s">
        <v>198</v>
      </c>
      <c r="B244" s="198">
        <v>2619178936</v>
      </c>
      <c r="C244" s="198" t="s">
        <v>121</v>
      </c>
      <c r="D244" s="198" t="s">
        <v>96</v>
      </c>
      <c r="E244" s="198" t="s">
        <v>35</v>
      </c>
      <c r="F244" s="198" t="s">
        <v>507</v>
      </c>
      <c r="G244" s="198">
        <v>197</v>
      </c>
      <c r="H244" s="198" t="s">
        <v>508</v>
      </c>
      <c r="I244" s="198" t="s">
        <v>433</v>
      </c>
      <c r="J244" s="198" t="s">
        <v>336</v>
      </c>
      <c r="K244" s="198" t="s">
        <v>200</v>
      </c>
      <c r="L244" s="199">
        <v>46150.334722222222</v>
      </c>
      <c r="M244" s="199">
        <v>46150.335416666669</v>
      </c>
      <c r="N244" s="198" t="s">
        <v>345</v>
      </c>
      <c r="O244" s="152" t="s">
        <v>207</v>
      </c>
      <c r="P244" s="90"/>
      <c r="Q244" s="140" t="s">
        <v>207</v>
      </c>
      <c r="R244" s="90"/>
      <c r="S244" s="140" t="s">
        <v>207</v>
      </c>
      <c r="T244" s="90"/>
      <c r="U244" s="140" t="s">
        <v>207</v>
      </c>
      <c r="V244" s="90"/>
      <c r="W244" s="140" t="s">
        <v>207</v>
      </c>
      <c r="X244" s="90"/>
      <c r="Y244" s="140" t="s">
        <v>77</v>
      </c>
      <c r="Z244" s="90"/>
      <c r="AA244" s="140" t="s">
        <v>207</v>
      </c>
      <c r="AB244" s="90"/>
      <c r="AC244" s="140" t="s">
        <v>207</v>
      </c>
      <c r="AD244" s="90"/>
      <c r="AE244" s="140" t="s">
        <v>207</v>
      </c>
      <c r="AF244" s="178" t="str">
        <f t="shared" si="9"/>
        <v>C</v>
      </c>
      <c r="AG244" s="52" t="str">
        <f t="shared" si="10"/>
        <v>UTILIZOU O PDA CORRETAMENTE</v>
      </c>
      <c r="AH244" s="140" t="s">
        <v>207</v>
      </c>
      <c r="AI244" s="182" t="s">
        <v>36</v>
      </c>
      <c r="AJ244" s="93" t="str">
        <f t="shared" si="11"/>
        <v>SÃO PAULO</v>
      </c>
      <c r="AK244" s="183" t="s">
        <v>54</v>
      </c>
    </row>
    <row r="245" spans="1:37" ht="30" customHeight="1">
      <c r="A245" s="198" t="s">
        <v>198</v>
      </c>
      <c r="B245" s="198">
        <v>2618886633</v>
      </c>
      <c r="C245" s="198" t="s">
        <v>102</v>
      </c>
      <c r="D245" s="198" t="s">
        <v>95</v>
      </c>
      <c r="E245" s="198" t="s">
        <v>35</v>
      </c>
      <c r="F245" s="198" t="s">
        <v>577</v>
      </c>
      <c r="G245" s="198">
        <v>2</v>
      </c>
      <c r="H245" s="198" t="s">
        <v>200</v>
      </c>
      <c r="I245" s="198" t="s">
        <v>433</v>
      </c>
      <c r="J245" s="198" t="s">
        <v>427</v>
      </c>
      <c r="K245" s="198" t="s">
        <v>200</v>
      </c>
      <c r="L245" s="199">
        <v>46150.612500000003</v>
      </c>
      <c r="M245" s="199">
        <v>46150.656944444447</v>
      </c>
      <c r="N245" s="198" t="s">
        <v>203</v>
      </c>
      <c r="O245" s="152" t="s">
        <v>207</v>
      </c>
      <c r="P245" s="90"/>
      <c r="Q245" s="140" t="s">
        <v>207</v>
      </c>
      <c r="R245" s="90"/>
      <c r="S245" s="140" t="s">
        <v>77</v>
      </c>
      <c r="T245" s="90"/>
      <c r="U245" s="140" t="s">
        <v>77</v>
      </c>
      <c r="V245" s="90"/>
      <c r="W245" s="140" t="s">
        <v>77</v>
      </c>
      <c r="X245" s="90"/>
      <c r="Y245" s="140" t="s">
        <v>77</v>
      </c>
      <c r="Z245" s="90"/>
      <c r="AA245" s="140" t="s">
        <v>77</v>
      </c>
      <c r="AB245" s="90"/>
      <c r="AC245" s="140" t="s">
        <v>207</v>
      </c>
      <c r="AD245" s="90"/>
      <c r="AE245" s="140" t="s">
        <v>207</v>
      </c>
      <c r="AF245" s="178" t="str">
        <f t="shared" si="9"/>
        <v>C</v>
      </c>
      <c r="AG245" s="52" t="str">
        <f t="shared" si="10"/>
        <v>UTILIZOU O PDA CORRETAMENTE</v>
      </c>
      <c r="AH245" s="140" t="s">
        <v>207</v>
      </c>
      <c r="AI245" s="182" t="s">
        <v>36</v>
      </c>
      <c r="AJ245" s="93" t="str">
        <f t="shared" si="11"/>
        <v>SÃO PAULO</v>
      </c>
      <c r="AK245" s="183" t="s">
        <v>54</v>
      </c>
    </row>
    <row r="246" spans="1:37" ht="30" customHeight="1">
      <c r="A246" s="198" t="s">
        <v>198</v>
      </c>
      <c r="B246" s="198">
        <v>2619307910</v>
      </c>
      <c r="C246" s="198" t="s">
        <v>120</v>
      </c>
      <c r="D246" s="198" t="s">
        <v>96</v>
      </c>
      <c r="E246" s="198" t="s">
        <v>35</v>
      </c>
      <c r="F246" s="198" t="s">
        <v>602</v>
      </c>
      <c r="G246" s="198">
        <v>1013</v>
      </c>
      <c r="H246" s="198" t="s">
        <v>208</v>
      </c>
      <c r="I246" s="198" t="s">
        <v>603</v>
      </c>
      <c r="J246" s="198" t="s">
        <v>202</v>
      </c>
      <c r="K246" s="198" t="s">
        <v>200</v>
      </c>
      <c r="L246" s="199">
        <v>46150.37777777778</v>
      </c>
      <c r="M246" s="199">
        <v>46150.378472222219</v>
      </c>
      <c r="N246" s="198" t="s">
        <v>288</v>
      </c>
      <c r="O246" s="152" t="s">
        <v>207</v>
      </c>
      <c r="P246" s="90"/>
      <c r="Q246" s="140" t="s">
        <v>207</v>
      </c>
      <c r="R246" s="90"/>
      <c r="S246" s="140" t="s">
        <v>207</v>
      </c>
      <c r="T246" s="90"/>
      <c r="U246" s="140" t="s">
        <v>207</v>
      </c>
      <c r="V246" s="90"/>
      <c r="W246" s="140" t="s">
        <v>207</v>
      </c>
      <c r="X246" s="90"/>
      <c r="Y246" s="140" t="s">
        <v>77</v>
      </c>
      <c r="Z246" s="90"/>
      <c r="AA246" s="140" t="s">
        <v>207</v>
      </c>
      <c r="AB246" s="90"/>
      <c r="AC246" s="140" t="s">
        <v>207</v>
      </c>
      <c r="AD246" s="90"/>
      <c r="AE246" s="140" t="s">
        <v>207</v>
      </c>
      <c r="AF246" s="178" t="str">
        <f t="shared" si="9"/>
        <v>C</v>
      </c>
      <c r="AG246" s="52" t="str">
        <f t="shared" si="10"/>
        <v>UTILIZOU O PDA CORRETAMENTE</v>
      </c>
      <c r="AH246" s="140" t="s">
        <v>207</v>
      </c>
      <c r="AI246" s="182" t="s">
        <v>36</v>
      </c>
      <c r="AJ246" s="93" t="str">
        <f t="shared" si="11"/>
        <v>SÃO PAULO</v>
      </c>
      <c r="AK246" s="183" t="s">
        <v>54</v>
      </c>
    </row>
    <row r="247" spans="1:37" ht="30" customHeight="1">
      <c r="A247" s="198" t="s">
        <v>198</v>
      </c>
      <c r="B247" s="198">
        <v>2619308987</v>
      </c>
      <c r="C247" s="198" t="s">
        <v>120</v>
      </c>
      <c r="D247" s="198" t="s">
        <v>96</v>
      </c>
      <c r="E247" s="198" t="s">
        <v>35</v>
      </c>
      <c r="F247" s="198" t="s">
        <v>604</v>
      </c>
      <c r="G247" s="198">
        <v>411</v>
      </c>
      <c r="H247" s="198" t="s">
        <v>208</v>
      </c>
      <c r="I247" s="198" t="s">
        <v>218</v>
      </c>
      <c r="J247" s="198" t="s">
        <v>202</v>
      </c>
      <c r="K247" s="198"/>
      <c r="L247" s="199">
        <v>46150.384027777778</v>
      </c>
      <c r="M247" s="199">
        <v>46150.384722222225</v>
      </c>
      <c r="N247" s="198" t="s">
        <v>295</v>
      </c>
      <c r="O247" s="152" t="s">
        <v>207</v>
      </c>
      <c r="P247" s="90"/>
      <c r="Q247" s="140" t="s">
        <v>207</v>
      </c>
      <c r="R247" s="90"/>
      <c r="S247" s="140" t="s">
        <v>207</v>
      </c>
      <c r="T247" s="90"/>
      <c r="U247" s="140" t="s">
        <v>207</v>
      </c>
      <c r="V247" s="90"/>
      <c r="W247" s="140" t="s">
        <v>207</v>
      </c>
      <c r="X247" s="90"/>
      <c r="Y247" s="140" t="s">
        <v>77</v>
      </c>
      <c r="Z247" s="90"/>
      <c r="AA247" s="140" t="s">
        <v>207</v>
      </c>
      <c r="AB247" s="90"/>
      <c r="AC247" s="140" t="s">
        <v>207</v>
      </c>
      <c r="AD247" s="90"/>
      <c r="AE247" s="140" t="s">
        <v>207</v>
      </c>
      <c r="AF247" s="178" t="str">
        <f t="shared" si="9"/>
        <v>C</v>
      </c>
      <c r="AG247" s="52" t="str">
        <f t="shared" si="10"/>
        <v>UTILIZOU O PDA CORRETAMENTE</v>
      </c>
      <c r="AH247" s="140" t="s">
        <v>207</v>
      </c>
      <c r="AI247" s="182" t="s">
        <v>36</v>
      </c>
      <c r="AJ247" s="93" t="str">
        <f t="shared" si="11"/>
        <v>SÃO PAULO</v>
      </c>
      <c r="AK247" s="183" t="s">
        <v>54</v>
      </c>
    </row>
    <row r="248" spans="1:37" ht="30" customHeight="1">
      <c r="A248" s="198" t="s">
        <v>198</v>
      </c>
      <c r="B248" s="198">
        <v>2619304801</v>
      </c>
      <c r="C248" s="198" t="s">
        <v>120</v>
      </c>
      <c r="D248" s="198" t="s">
        <v>96</v>
      </c>
      <c r="E248" s="198" t="s">
        <v>35</v>
      </c>
      <c r="F248" s="198" t="s">
        <v>605</v>
      </c>
      <c r="G248" s="198">
        <v>262</v>
      </c>
      <c r="H248" s="198" t="s">
        <v>200</v>
      </c>
      <c r="I248" s="198" t="s">
        <v>277</v>
      </c>
      <c r="J248" s="198" t="s">
        <v>202</v>
      </c>
      <c r="K248" s="198" t="s">
        <v>200</v>
      </c>
      <c r="L248" s="199">
        <v>46150.112500000003</v>
      </c>
      <c r="M248" s="199">
        <v>46150.140972222223</v>
      </c>
      <c r="N248" s="198" t="s">
        <v>235</v>
      </c>
      <c r="O248" s="152" t="s">
        <v>207</v>
      </c>
      <c r="P248" s="90"/>
      <c r="Q248" s="140" t="s">
        <v>207</v>
      </c>
      <c r="R248" s="90"/>
      <c r="S248" s="140" t="s">
        <v>207</v>
      </c>
      <c r="T248" s="90"/>
      <c r="U248" s="140" t="s">
        <v>207</v>
      </c>
      <c r="V248" s="90"/>
      <c r="W248" s="140" t="s">
        <v>207</v>
      </c>
      <c r="X248" s="90"/>
      <c r="Y248" s="140" t="s">
        <v>77</v>
      </c>
      <c r="Z248" s="90"/>
      <c r="AA248" s="140" t="s">
        <v>207</v>
      </c>
      <c r="AB248" s="90"/>
      <c r="AC248" s="140" t="s">
        <v>207</v>
      </c>
      <c r="AD248" s="90"/>
      <c r="AE248" s="140" t="s">
        <v>207</v>
      </c>
      <c r="AF248" s="178" t="str">
        <f t="shared" si="9"/>
        <v>C</v>
      </c>
      <c r="AG248" s="52" t="str">
        <f t="shared" si="10"/>
        <v>UTILIZOU O PDA CORRETAMENTE</v>
      </c>
      <c r="AH248" s="140" t="s">
        <v>207</v>
      </c>
      <c r="AI248" s="182" t="s">
        <v>36</v>
      </c>
      <c r="AJ248" s="93" t="str">
        <f t="shared" si="11"/>
        <v>SÃO PAULO</v>
      </c>
      <c r="AK248" s="183" t="s">
        <v>54</v>
      </c>
    </row>
    <row r="249" spans="1:37" ht="30" customHeight="1">
      <c r="A249" s="198" t="s">
        <v>198</v>
      </c>
      <c r="B249" s="198">
        <v>2692792647</v>
      </c>
      <c r="C249" s="198" t="s">
        <v>122</v>
      </c>
      <c r="D249" s="198" t="s">
        <v>96</v>
      </c>
      <c r="E249" s="198" t="s">
        <v>35</v>
      </c>
      <c r="F249" s="198" t="s">
        <v>606</v>
      </c>
      <c r="G249" s="198">
        <v>219</v>
      </c>
      <c r="H249" s="198" t="s">
        <v>200</v>
      </c>
      <c r="I249" s="198" t="s">
        <v>326</v>
      </c>
      <c r="J249" s="198" t="s">
        <v>301</v>
      </c>
      <c r="K249" s="198" t="s">
        <v>200</v>
      </c>
      <c r="L249" s="199">
        <v>46150.157638888886</v>
      </c>
      <c r="M249" s="199">
        <v>46150.568055555559</v>
      </c>
      <c r="N249" s="198" t="s">
        <v>295</v>
      </c>
      <c r="O249" s="152" t="s">
        <v>207</v>
      </c>
      <c r="P249" s="90"/>
      <c r="Q249" s="140" t="s">
        <v>207</v>
      </c>
      <c r="R249" s="90"/>
      <c r="S249" s="140" t="s">
        <v>207</v>
      </c>
      <c r="T249" s="90"/>
      <c r="U249" s="140" t="s">
        <v>207</v>
      </c>
      <c r="V249" s="90"/>
      <c r="W249" s="140" t="s">
        <v>207</v>
      </c>
      <c r="X249" s="90"/>
      <c r="Y249" s="140" t="s">
        <v>77</v>
      </c>
      <c r="Z249" s="90"/>
      <c r="AA249" s="140" t="s">
        <v>207</v>
      </c>
      <c r="AB249" s="90"/>
      <c r="AC249" s="140" t="s">
        <v>207</v>
      </c>
      <c r="AD249" s="90"/>
      <c r="AE249" s="140" t="s">
        <v>207</v>
      </c>
      <c r="AF249" s="178" t="str">
        <f t="shared" si="9"/>
        <v>C</v>
      </c>
      <c r="AG249" s="52" t="str">
        <f t="shared" si="10"/>
        <v>UTILIZOU O PDA CORRETAMENTE</v>
      </c>
      <c r="AH249" s="140" t="s">
        <v>207</v>
      </c>
      <c r="AI249" s="182" t="s">
        <v>36</v>
      </c>
      <c r="AJ249" s="93" t="str">
        <f t="shared" si="11"/>
        <v>SÃO PAULO</v>
      </c>
      <c r="AK249" s="183" t="s">
        <v>54</v>
      </c>
    </row>
    <row r="250" spans="1:37" ht="30" customHeight="1">
      <c r="A250" s="198" t="s">
        <v>198</v>
      </c>
      <c r="B250" s="198">
        <v>2619304987</v>
      </c>
      <c r="C250" s="198" t="s">
        <v>120</v>
      </c>
      <c r="D250" s="198" t="s">
        <v>96</v>
      </c>
      <c r="E250" s="198" t="s">
        <v>35</v>
      </c>
      <c r="F250" s="198" t="s">
        <v>607</v>
      </c>
      <c r="G250" s="198">
        <v>93</v>
      </c>
      <c r="H250" s="198" t="s">
        <v>205</v>
      </c>
      <c r="I250" s="198" t="s">
        <v>271</v>
      </c>
      <c r="J250" s="198" t="s">
        <v>336</v>
      </c>
      <c r="K250" s="198"/>
      <c r="L250" s="199">
        <v>46150.60833333333</v>
      </c>
      <c r="M250" s="199">
        <v>46150.647222222222</v>
      </c>
      <c r="N250" s="198" t="s">
        <v>295</v>
      </c>
      <c r="O250" s="152" t="s">
        <v>207</v>
      </c>
      <c r="P250" s="90"/>
      <c r="Q250" s="140" t="s">
        <v>207</v>
      </c>
      <c r="R250" s="90"/>
      <c r="S250" s="140" t="s">
        <v>207</v>
      </c>
      <c r="T250" s="90"/>
      <c r="U250" s="140" t="s">
        <v>207</v>
      </c>
      <c r="V250" s="90"/>
      <c r="W250" s="140" t="s">
        <v>207</v>
      </c>
      <c r="X250" s="90"/>
      <c r="Y250" s="140" t="s">
        <v>77</v>
      </c>
      <c r="Z250" s="90"/>
      <c r="AA250" s="140" t="s">
        <v>207</v>
      </c>
      <c r="AB250" s="90"/>
      <c r="AC250" s="140" t="s">
        <v>207</v>
      </c>
      <c r="AD250" s="90"/>
      <c r="AE250" s="140" t="s">
        <v>207</v>
      </c>
      <c r="AF250" s="178" t="str">
        <f t="shared" si="9"/>
        <v>C</v>
      </c>
      <c r="AG250" s="52" t="str">
        <f t="shared" si="10"/>
        <v>UTILIZOU O PDA CORRETAMENTE</v>
      </c>
      <c r="AH250" s="140" t="s">
        <v>207</v>
      </c>
      <c r="AI250" s="182" t="s">
        <v>36</v>
      </c>
      <c r="AJ250" s="93" t="str">
        <f t="shared" si="11"/>
        <v>SÃO PAULO</v>
      </c>
      <c r="AK250" s="183" t="s">
        <v>54</v>
      </c>
    </row>
    <row r="251" spans="1:37" ht="30" customHeight="1">
      <c r="A251" s="198" t="s">
        <v>198</v>
      </c>
      <c r="B251" s="198">
        <v>2692793934</v>
      </c>
      <c r="C251" s="198" t="s">
        <v>118</v>
      </c>
      <c r="D251" s="198" t="s">
        <v>96</v>
      </c>
      <c r="E251" s="198" t="s">
        <v>35</v>
      </c>
      <c r="F251" s="198" t="s">
        <v>608</v>
      </c>
      <c r="G251" s="198">
        <v>894</v>
      </c>
      <c r="H251" s="198" t="s">
        <v>200</v>
      </c>
      <c r="I251" s="198" t="s">
        <v>392</v>
      </c>
      <c r="J251" s="198" t="s">
        <v>267</v>
      </c>
      <c r="K251" s="198" t="s">
        <v>200</v>
      </c>
      <c r="L251" s="199">
        <v>46150.126388888886</v>
      </c>
      <c r="M251" s="199">
        <v>46150.147222222222</v>
      </c>
      <c r="N251" s="198" t="s">
        <v>251</v>
      </c>
      <c r="O251" s="152" t="s">
        <v>207</v>
      </c>
      <c r="P251" s="90"/>
      <c r="Q251" s="140" t="s">
        <v>207</v>
      </c>
      <c r="R251" s="90"/>
      <c r="S251" s="140" t="s">
        <v>207</v>
      </c>
      <c r="T251" s="90"/>
      <c r="U251" s="140" t="s">
        <v>207</v>
      </c>
      <c r="V251" s="90"/>
      <c r="W251" s="140" t="s">
        <v>207</v>
      </c>
      <c r="X251" s="90"/>
      <c r="Y251" s="140" t="s">
        <v>77</v>
      </c>
      <c r="Z251" s="90"/>
      <c r="AA251" s="140" t="s">
        <v>207</v>
      </c>
      <c r="AB251" s="90"/>
      <c r="AC251" s="140" t="s">
        <v>207</v>
      </c>
      <c r="AD251" s="90"/>
      <c r="AE251" s="140" t="s">
        <v>207</v>
      </c>
      <c r="AF251" s="178" t="str">
        <f t="shared" si="9"/>
        <v>C</v>
      </c>
      <c r="AG251" s="52" t="str">
        <f t="shared" si="10"/>
        <v>UTILIZOU O PDA CORRETAMENTE</v>
      </c>
      <c r="AH251" s="140" t="s">
        <v>207</v>
      </c>
      <c r="AI251" s="182" t="s">
        <v>36</v>
      </c>
      <c r="AJ251" s="93" t="str">
        <f t="shared" si="11"/>
        <v>SÃO PAULO</v>
      </c>
      <c r="AK251" s="183" t="s">
        <v>54</v>
      </c>
    </row>
    <row r="252" spans="1:37" ht="30" customHeight="1">
      <c r="A252" s="198" t="s">
        <v>198</v>
      </c>
      <c r="B252" s="198">
        <v>2692794500</v>
      </c>
      <c r="C252" s="198" t="s">
        <v>122</v>
      </c>
      <c r="D252" s="198" t="s">
        <v>96</v>
      </c>
      <c r="E252" s="198" t="s">
        <v>35</v>
      </c>
      <c r="F252" s="198" t="s">
        <v>609</v>
      </c>
      <c r="G252" s="198">
        <v>204</v>
      </c>
      <c r="H252" s="198" t="s">
        <v>205</v>
      </c>
      <c r="I252" s="198" t="s">
        <v>225</v>
      </c>
      <c r="J252" s="198" t="s">
        <v>267</v>
      </c>
      <c r="K252" s="198" t="s">
        <v>610</v>
      </c>
      <c r="L252" s="199">
        <v>46150.229166666664</v>
      </c>
      <c r="M252" s="199">
        <v>46150.231249999997</v>
      </c>
      <c r="N252" s="198" t="s">
        <v>364</v>
      </c>
      <c r="O252" s="152" t="s">
        <v>207</v>
      </c>
      <c r="P252" s="90"/>
      <c r="Q252" s="140" t="s">
        <v>207</v>
      </c>
      <c r="R252" s="90"/>
      <c r="S252" s="140" t="s">
        <v>207</v>
      </c>
      <c r="T252" s="90"/>
      <c r="U252" s="140" t="s">
        <v>207</v>
      </c>
      <c r="V252" s="90"/>
      <c r="W252" s="140" t="s">
        <v>207</v>
      </c>
      <c r="X252" s="90"/>
      <c r="Y252" s="140" t="s">
        <v>77</v>
      </c>
      <c r="Z252" s="90"/>
      <c r="AA252" s="140" t="s">
        <v>207</v>
      </c>
      <c r="AB252" s="90"/>
      <c r="AC252" s="140" t="s">
        <v>207</v>
      </c>
      <c r="AD252" s="90"/>
      <c r="AE252" s="140" t="s">
        <v>207</v>
      </c>
      <c r="AF252" s="178" t="str">
        <f t="shared" si="9"/>
        <v>C</v>
      </c>
      <c r="AG252" s="52" t="str">
        <f t="shared" si="10"/>
        <v>UTILIZOU O PDA CORRETAMENTE</v>
      </c>
      <c r="AH252" s="140" t="s">
        <v>207</v>
      </c>
      <c r="AI252" s="182" t="s">
        <v>36</v>
      </c>
      <c r="AJ252" s="93" t="str">
        <f t="shared" si="11"/>
        <v>SÃO PAULO</v>
      </c>
      <c r="AK252" s="183" t="s">
        <v>54</v>
      </c>
    </row>
    <row r="253" spans="1:37" ht="30" customHeight="1">
      <c r="A253" s="198" t="s">
        <v>198</v>
      </c>
      <c r="B253" s="198">
        <v>2618734668</v>
      </c>
      <c r="C253" s="198" t="s">
        <v>121</v>
      </c>
      <c r="D253" s="198" t="s">
        <v>96</v>
      </c>
      <c r="E253" s="198" t="s">
        <v>35</v>
      </c>
      <c r="F253" s="198" t="s">
        <v>611</v>
      </c>
      <c r="G253" s="198">
        <v>115</v>
      </c>
      <c r="H253" s="198" t="s">
        <v>200</v>
      </c>
      <c r="I253" s="198" t="s">
        <v>612</v>
      </c>
      <c r="J253" s="198" t="s">
        <v>202</v>
      </c>
      <c r="K253" s="198" t="s">
        <v>486</v>
      </c>
      <c r="L253" s="199">
        <v>46150.459722222222</v>
      </c>
      <c r="M253" s="199">
        <v>46150.460416666669</v>
      </c>
      <c r="N253" s="198" t="s">
        <v>333</v>
      </c>
      <c r="O253" s="152" t="s">
        <v>207</v>
      </c>
      <c r="P253" s="90"/>
      <c r="Q253" s="140" t="s">
        <v>207</v>
      </c>
      <c r="R253" s="90"/>
      <c r="S253" s="140" t="s">
        <v>207</v>
      </c>
      <c r="T253" s="90"/>
      <c r="U253" s="140" t="s">
        <v>207</v>
      </c>
      <c r="V253" s="90"/>
      <c r="W253" s="140" t="s">
        <v>207</v>
      </c>
      <c r="X253" s="90"/>
      <c r="Y253" s="140" t="s">
        <v>77</v>
      </c>
      <c r="Z253" s="90"/>
      <c r="AA253" s="140" t="s">
        <v>207</v>
      </c>
      <c r="AB253" s="90"/>
      <c r="AC253" s="140" t="s">
        <v>207</v>
      </c>
      <c r="AD253" s="90"/>
      <c r="AE253" s="140" t="s">
        <v>207</v>
      </c>
      <c r="AF253" s="178" t="str">
        <f t="shared" si="9"/>
        <v>C</v>
      </c>
      <c r="AG253" s="52" t="str">
        <f t="shared" si="10"/>
        <v>UTILIZOU O PDA CORRETAMENTE</v>
      </c>
      <c r="AH253" s="140" t="s">
        <v>207</v>
      </c>
      <c r="AI253" s="182" t="s">
        <v>36</v>
      </c>
      <c r="AJ253" s="93" t="str">
        <f t="shared" si="11"/>
        <v>SÃO PAULO</v>
      </c>
      <c r="AK253" s="183" t="s">
        <v>54</v>
      </c>
    </row>
    <row r="254" spans="1:37" ht="30" customHeight="1">
      <c r="A254" s="198" t="s">
        <v>198</v>
      </c>
      <c r="B254" s="198">
        <v>2619170794</v>
      </c>
      <c r="C254" s="198" t="s">
        <v>121</v>
      </c>
      <c r="D254" s="198" t="s">
        <v>96</v>
      </c>
      <c r="E254" s="198" t="s">
        <v>35</v>
      </c>
      <c r="F254" s="198" t="s">
        <v>613</v>
      </c>
      <c r="G254" s="198">
        <v>11</v>
      </c>
      <c r="H254" s="198" t="s">
        <v>200</v>
      </c>
      <c r="I254" s="198" t="s">
        <v>614</v>
      </c>
      <c r="J254" s="198" t="s">
        <v>336</v>
      </c>
      <c r="K254" s="198" t="s">
        <v>200</v>
      </c>
      <c r="L254" s="199">
        <v>46150.438888888886</v>
      </c>
      <c r="M254" s="199">
        <v>46150.439583333333</v>
      </c>
      <c r="N254" s="198" t="s">
        <v>333</v>
      </c>
      <c r="O254" s="152" t="s">
        <v>207</v>
      </c>
      <c r="P254" s="90"/>
      <c r="Q254" s="140" t="s">
        <v>207</v>
      </c>
      <c r="R254" s="90"/>
      <c r="S254" s="140" t="s">
        <v>207</v>
      </c>
      <c r="T254" s="90"/>
      <c r="U254" s="140" t="s">
        <v>207</v>
      </c>
      <c r="V254" s="90"/>
      <c r="W254" s="140" t="s">
        <v>207</v>
      </c>
      <c r="X254" s="90"/>
      <c r="Y254" s="140" t="s">
        <v>77</v>
      </c>
      <c r="Z254" s="90"/>
      <c r="AA254" s="140" t="s">
        <v>207</v>
      </c>
      <c r="AB254" s="90"/>
      <c r="AC254" s="140" t="s">
        <v>207</v>
      </c>
      <c r="AD254" s="90"/>
      <c r="AE254" s="140" t="s">
        <v>207</v>
      </c>
      <c r="AF254" s="178" t="str">
        <f t="shared" si="9"/>
        <v>C</v>
      </c>
      <c r="AG254" s="52" t="str">
        <f t="shared" si="10"/>
        <v>UTILIZOU O PDA CORRETAMENTE</v>
      </c>
      <c r="AH254" s="140" t="s">
        <v>207</v>
      </c>
      <c r="AI254" s="182" t="s">
        <v>36</v>
      </c>
      <c r="AJ254" s="93" t="str">
        <f t="shared" si="11"/>
        <v>SÃO PAULO</v>
      </c>
      <c r="AK254" s="183" t="s">
        <v>54</v>
      </c>
    </row>
    <row r="255" spans="1:37" ht="30" customHeight="1">
      <c r="A255" s="198" t="s">
        <v>198</v>
      </c>
      <c r="B255" s="198">
        <v>2619311722</v>
      </c>
      <c r="C255" s="198" t="s">
        <v>116</v>
      </c>
      <c r="D255" s="198" t="s">
        <v>94</v>
      </c>
      <c r="E255" s="198" t="s">
        <v>35</v>
      </c>
      <c r="F255" s="198" t="s">
        <v>601</v>
      </c>
      <c r="G255" s="198">
        <v>42</v>
      </c>
      <c r="H255" s="198" t="s">
        <v>347</v>
      </c>
      <c r="I255" s="198" t="s">
        <v>615</v>
      </c>
      <c r="J255" s="198" t="s">
        <v>221</v>
      </c>
      <c r="K255" s="198"/>
      <c r="L255" s="199">
        <v>46150.472222222219</v>
      </c>
      <c r="M255" s="199">
        <v>46150.472916666666</v>
      </c>
      <c r="N255" s="198" t="s">
        <v>327</v>
      </c>
      <c r="O255" s="152" t="s">
        <v>207</v>
      </c>
      <c r="P255" s="90"/>
      <c r="Q255" s="140" t="s">
        <v>207</v>
      </c>
      <c r="R255" s="90"/>
      <c r="S255" s="140" t="s">
        <v>207</v>
      </c>
      <c r="T255" s="90"/>
      <c r="U255" s="140" t="s">
        <v>207</v>
      </c>
      <c r="V255" s="90"/>
      <c r="W255" s="140" t="s">
        <v>207</v>
      </c>
      <c r="X255" s="90"/>
      <c r="Y255" s="140" t="s">
        <v>207</v>
      </c>
      <c r="Z255" s="90"/>
      <c r="AA255" s="140" t="s">
        <v>207</v>
      </c>
      <c r="AB255" s="90"/>
      <c r="AC255" s="140" t="s">
        <v>207</v>
      </c>
      <c r="AD255" s="90"/>
      <c r="AE255" s="140" t="s">
        <v>207</v>
      </c>
      <c r="AF255" s="178" t="str">
        <f t="shared" si="9"/>
        <v>C</v>
      </c>
      <c r="AG255" s="52" t="str">
        <f t="shared" si="10"/>
        <v>UTILIZOU O PDA CORRETAMENTE</v>
      </c>
      <c r="AH255" s="140" t="s">
        <v>207</v>
      </c>
      <c r="AI255" s="182" t="s">
        <v>36</v>
      </c>
      <c r="AJ255" s="93" t="str">
        <f t="shared" si="11"/>
        <v>SÃO PAULO</v>
      </c>
      <c r="AK255" s="183" t="s">
        <v>54</v>
      </c>
    </row>
    <row r="256" spans="1:37" ht="30" customHeight="1">
      <c r="A256" s="198" t="s">
        <v>198</v>
      </c>
      <c r="B256" s="198">
        <v>2619334256</v>
      </c>
      <c r="C256" s="198" t="s">
        <v>116</v>
      </c>
      <c r="D256" s="198" t="s">
        <v>94</v>
      </c>
      <c r="E256" s="198" t="s">
        <v>35</v>
      </c>
      <c r="F256" s="198" t="s">
        <v>616</v>
      </c>
      <c r="G256" s="198">
        <v>14</v>
      </c>
      <c r="H256" s="198" t="s">
        <v>208</v>
      </c>
      <c r="I256" s="198" t="s">
        <v>359</v>
      </c>
      <c r="J256" s="198" t="s">
        <v>221</v>
      </c>
      <c r="K256" s="198" t="s">
        <v>617</v>
      </c>
      <c r="L256" s="199">
        <v>46150.361805555556</v>
      </c>
      <c r="M256" s="199">
        <v>46150.366666666669</v>
      </c>
      <c r="N256" s="198" t="s">
        <v>320</v>
      </c>
      <c r="O256" s="152" t="s">
        <v>207</v>
      </c>
      <c r="P256" s="90"/>
      <c r="Q256" s="140" t="s">
        <v>207</v>
      </c>
      <c r="R256" s="90"/>
      <c r="S256" s="140" t="s">
        <v>207</v>
      </c>
      <c r="T256" s="90"/>
      <c r="U256" s="140" t="s">
        <v>207</v>
      </c>
      <c r="V256" s="90"/>
      <c r="W256" s="140" t="s">
        <v>207</v>
      </c>
      <c r="X256" s="90"/>
      <c r="Y256" s="140" t="s">
        <v>207</v>
      </c>
      <c r="Z256" s="90"/>
      <c r="AA256" s="140" t="s">
        <v>207</v>
      </c>
      <c r="AB256" s="90"/>
      <c r="AC256" s="140" t="s">
        <v>207</v>
      </c>
      <c r="AD256" s="90"/>
      <c r="AE256" s="140" t="s">
        <v>207</v>
      </c>
      <c r="AF256" s="178" t="str">
        <f t="shared" si="9"/>
        <v>C</v>
      </c>
      <c r="AG256" s="52" t="str">
        <f t="shared" si="10"/>
        <v>UTILIZOU O PDA CORRETAMENTE</v>
      </c>
      <c r="AH256" s="140" t="s">
        <v>207</v>
      </c>
      <c r="AI256" s="182" t="s">
        <v>36</v>
      </c>
      <c r="AJ256" s="93" t="str">
        <f t="shared" si="11"/>
        <v>SÃO PAULO</v>
      </c>
      <c r="AK256" s="183" t="s">
        <v>54</v>
      </c>
    </row>
    <row r="257" spans="1:37" ht="30" customHeight="1">
      <c r="A257" s="198" t="s">
        <v>198</v>
      </c>
      <c r="B257" s="198">
        <v>2619337483</v>
      </c>
      <c r="C257" s="198" t="s">
        <v>120</v>
      </c>
      <c r="D257" s="198" t="s">
        <v>96</v>
      </c>
      <c r="E257" s="198" t="s">
        <v>35</v>
      </c>
      <c r="F257" s="198" t="s">
        <v>286</v>
      </c>
      <c r="G257" s="198">
        <v>3655</v>
      </c>
      <c r="H257" s="198"/>
      <c r="I257" s="198" t="s">
        <v>618</v>
      </c>
      <c r="J257" s="198" t="s">
        <v>336</v>
      </c>
      <c r="K257" s="198"/>
      <c r="L257" s="199">
        <v>46150.188194444447</v>
      </c>
      <c r="M257" s="199">
        <v>46150.222916666666</v>
      </c>
      <c r="N257" s="198" t="s">
        <v>517</v>
      </c>
      <c r="O257" s="152" t="s">
        <v>207</v>
      </c>
      <c r="P257" s="90"/>
      <c r="Q257" s="140" t="s">
        <v>207</v>
      </c>
      <c r="R257" s="90"/>
      <c r="S257" s="140" t="s">
        <v>207</v>
      </c>
      <c r="T257" s="90"/>
      <c r="U257" s="140" t="s">
        <v>207</v>
      </c>
      <c r="V257" s="90"/>
      <c r="W257" s="140" t="s">
        <v>207</v>
      </c>
      <c r="X257" s="90"/>
      <c r="Y257" s="140" t="s">
        <v>77</v>
      </c>
      <c r="Z257" s="90"/>
      <c r="AA257" s="140" t="s">
        <v>207</v>
      </c>
      <c r="AB257" s="90"/>
      <c r="AC257" s="140" t="s">
        <v>207</v>
      </c>
      <c r="AD257" s="90"/>
      <c r="AE257" s="140" t="s">
        <v>207</v>
      </c>
      <c r="AF257" s="178" t="str">
        <f t="shared" si="9"/>
        <v>C</v>
      </c>
      <c r="AG257" s="52" t="str">
        <f t="shared" si="10"/>
        <v>UTILIZOU O PDA CORRETAMENTE</v>
      </c>
      <c r="AH257" s="140" t="s">
        <v>207</v>
      </c>
      <c r="AI257" s="182" t="s">
        <v>36</v>
      </c>
      <c r="AJ257" s="93" t="str">
        <f t="shared" si="11"/>
        <v>SÃO PAULO</v>
      </c>
      <c r="AK257" s="183" t="s">
        <v>54</v>
      </c>
    </row>
    <row r="258" spans="1:37" ht="30" customHeight="1">
      <c r="A258" s="198" t="s">
        <v>198</v>
      </c>
      <c r="B258" s="198">
        <v>2619304801</v>
      </c>
      <c r="C258" s="198" t="s">
        <v>115</v>
      </c>
      <c r="D258" s="198" t="s">
        <v>96</v>
      </c>
      <c r="E258" s="198" t="s">
        <v>35</v>
      </c>
      <c r="F258" s="198" t="s">
        <v>605</v>
      </c>
      <c r="G258" s="198">
        <v>262</v>
      </c>
      <c r="H258" s="198"/>
      <c r="I258" s="198" t="s">
        <v>277</v>
      </c>
      <c r="J258" s="198" t="s">
        <v>268</v>
      </c>
      <c r="K258" s="198"/>
      <c r="L258" s="199">
        <v>46150.142361111109</v>
      </c>
      <c r="M258" s="199">
        <v>46150.169444444444</v>
      </c>
      <c r="N258" s="198" t="s">
        <v>235</v>
      </c>
      <c r="O258" s="152" t="s">
        <v>207</v>
      </c>
      <c r="P258" s="90"/>
      <c r="Q258" s="140" t="s">
        <v>207</v>
      </c>
      <c r="R258" s="90"/>
      <c r="S258" s="140" t="s">
        <v>207</v>
      </c>
      <c r="T258" s="90"/>
      <c r="U258" s="140" t="s">
        <v>207</v>
      </c>
      <c r="V258" s="90"/>
      <c r="W258" s="140" t="s">
        <v>207</v>
      </c>
      <c r="X258" s="90"/>
      <c r="Y258" s="140" t="s">
        <v>207</v>
      </c>
      <c r="Z258" s="90"/>
      <c r="AA258" s="140" t="s">
        <v>207</v>
      </c>
      <c r="AB258" s="90"/>
      <c r="AC258" s="140" t="s">
        <v>207</v>
      </c>
      <c r="AD258" s="90"/>
      <c r="AE258" s="140" t="s">
        <v>207</v>
      </c>
      <c r="AF258" s="178" t="str">
        <f t="shared" si="9"/>
        <v>C</v>
      </c>
      <c r="AG258" s="52" t="str">
        <f t="shared" si="10"/>
        <v>UTILIZOU O PDA CORRETAMENTE</v>
      </c>
      <c r="AH258" s="140" t="s">
        <v>207</v>
      </c>
      <c r="AI258" s="182" t="s">
        <v>36</v>
      </c>
      <c r="AJ258" s="93" t="str">
        <f t="shared" si="11"/>
        <v>SÃO PAULO</v>
      </c>
      <c r="AK258" s="183" t="s">
        <v>54</v>
      </c>
    </row>
    <row r="259" spans="1:37" ht="30" customHeight="1">
      <c r="A259" s="198" t="s">
        <v>198</v>
      </c>
      <c r="B259" s="198">
        <v>2619304801</v>
      </c>
      <c r="C259" s="198" t="s">
        <v>223</v>
      </c>
      <c r="D259" s="198" t="s">
        <v>96</v>
      </c>
      <c r="E259" s="198" t="s">
        <v>35</v>
      </c>
      <c r="F259" s="198" t="s">
        <v>605</v>
      </c>
      <c r="G259" s="198">
        <v>262</v>
      </c>
      <c r="H259" s="198" t="s">
        <v>200</v>
      </c>
      <c r="I259" s="198" t="s">
        <v>277</v>
      </c>
      <c r="J259" s="198" t="s">
        <v>226</v>
      </c>
      <c r="K259" s="198" t="s">
        <v>200</v>
      </c>
      <c r="L259" s="199">
        <v>46150.169444444444</v>
      </c>
      <c r="M259" s="199">
        <v>46150.17291666667</v>
      </c>
      <c r="N259" s="198" t="s">
        <v>235</v>
      </c>
      <c r="O259" s="152" t="s">
        <v>207</v>
      </c>
      <c r="P259" s="90"/>
      <c r="Q259" s="140" t="s">
        <v>207</v>
      </c>
      <c r="R259" s="90"/>
      <c r="S259" s="140" t="s">
        <v>207</v>
      </c>
      <c r="T259" s="90"/>
      <c r="U259" s="140" t="s">
        <v>207</v>
      </c>
      <c r="V259" s="90"/>
      <c r="W259" s="140" t="s">
        <v>207</v>
      </c>
      <c r="X259" s="90"/>
      <c r="Y259" s="140" t="s">
        <v>77</v>
      </c>
      <c r="Z259" s="90"/>
      <c r="AA259" s="140" t="s">
        <v>207</v>
      </c>
      <c r="AB259" s="90"/>
      <c r="AC259" s="140" t="s">
        <v>207</v>
      </c>
      <c r="AD259" s="90"/>
      <c r="AE259" s="140" t="s">
        <v>207</v>
      </c>
      <c r="AF259" s="178" t="str">
        <f t="shared" ref="AF259:AF322" si="12">IF(AND(O259="",Q259="",S259="",U259="",W259="",Y259="",AA259="",AC259=""),"",IF(OR(AND(O259&lt;&gt;"NA",O259&lt;&gt;"C",O259&lt;&gt;"NC",O259&lt;&gt;"SF",O259&lt;&gt;""),AND(Q259&lt;&gt;"NA",Q259&lt;&gt;"C",Q259&lt;&gt;"NC",Q259&lt;&gt;"SF",Q259&lt;&gt;""),AND(S259&lt;&gt;"NA",S259&lt;&gt;"C",S259&lt;&gt;"NC",S259&lt;&gt;"SF",S259&lt;&gt;""),AND(U259&lt;&gt;"NA",U259&lt;&gt;"C",U259&lt;&gt;"NC",U259&lt;&gt;"SF",U259&lt;&gt;""),AND(W259&lt;&gt;"NA",W259&lt;&gt;"C",W259&lt;&gt;"NC",W259&lt;&gt;"SF",W259&lt;&gt;""),AND(Y259&lt;&gt;"NA",Y259&lt;&gt;"C",Y259&lt;&gt;"NC",Y259&lt;&gt;"SF",Y259&lt;&gt;""),AND(AA259&lt;&gt;"NA",AA259&lt;&gt;"C",AA259&lt;&gt;"NC",AA259&lt;&gt;"SF",AA259&lt;&gt;""),AND(AC259&lt;&gt;"NA",AC259&lt;&gt;"C",AC259&lt;&gt;"NC",AC259&lt;&gt;"SF",AC259&lt;&gt;"")),"FALSO",IF(AND(O259="NA",Q259="NA",S259="NA",U259="NA",W259="NA",Y259="NA",AA259="NA",AC259="NA"),"NA",IF(OR(O259="NC",Q259="NC",S259="NC",U259="NC",W259="NC",Y259="NC",AA259="NC",AC259="NC",O259="SF",Q259="SF",S259="SF",U259="SF",W259="SF",Y259="SF",AA259="SF",AC259="SF"),"NC",IF(OR(O259="C",Q259="C",S259="C",U259="C",W259="C",Y259="C",AA259="C",AC259="C"),"C","")))))</f>
        <v>C</v>
      </c>
      <c r="AG259" s="52" t="str">
        <f t="shared" ref="AG259:AG322" si="13">IF(AND(AE259="C",AF259="C"),"UTILIZOU O PDA CORRETAMENTE",IF(AND(AE259="C",AF259="NC"),"UTILIZOU O PDA CORRETAMENTE. NÃO HÁ FOTOS DE TODAS AS ETAPAS",IF(AND(AE259="NC",AF259="NC"),"NÃO UTILIZOU O PDA",IF(AND(AE259="NA",AF259="NA"),"NÃO AVALIADO POR FALHA DE SINCRONISMO"))))</f>
        <v>UTILIZOU O PDA CORRETAMENTE</v>
      </c>
      <c r="AH259" s="140" t="s">
        <v>207</v>
      </c>
      <c r="AI259" s="182" t="s">
        <v>36</v>
      </c>
      <c r="AJ259" s="93" t="str">
        <f t="shared" ref="AJ259:AJ322" si="14">E259</f>
        <v>SÃO PAULO</v>
      </c>
      <c r="AK259" s="183" t="s">
        <v>54</v>
      </c>
    </row>
    <row r="260" spans="1:37" ht="30" customHeight="1">
      <c r="A260" s="198" t="s">
        <v>198</v>
      </c>
      <c r="B260" s="198">
        <v>2692678199</v>
      </c>
      <c r="C260" s="198" t="s">
        <v>114</v>
      </c>
      <c r="D260" s="198" t="s">
        <v>96</v>
      </c>
      <c r="E260" s="198" t="s">
        <v>35</v>
      </c>
      <c r="F260" s="198" t="s">
        <v>619</v>
      </c>
      <c r="G260" s="198">
        <v>30</v>
      </c>
      <c r="H260" s="198" t="s">
        <v>620</v>
      </c>
      <c r="I260" s="198" t="s">
        <v>621</v>
      </c>
      <c r="J260" s="198" t="s">
        <v>260</v>
      </c>
      <c r="K260" s="198"/>
      <c r="L260" s="199">
        <v>46150.152777777781</v>
      </c>
      <c r="M260" s="199">
        <v>46150.154861111114</v>
      </c>
      <c r="N260" s="198" t="s">
        <v>364</v>
      </c>
      <c r="O260" s="152" t="s">
        <v>207</v>
      </c>
      <c r="P260" s="90"/>
      <c r="Q260" s="140" t="s">
        <v>207</v>
      </c>
      <c r="R260" s="90"/>
      <c r="S260" s="140" t="s">
        <v>207</v>
      </c>
      <c r="T260" s="90"/>
      <c r="U260" s="140" t="s">
        <v>207</v>
      </c>
      <c r="V260" s="90"/>
      <c r="W260" s="140" t="s">
        <v>207</v>
      </c>
      <c r="X260" s="90"/>
      <c r="Y260" s="140" t="s">
        <v>207</v>
      </c>
      <c r="Z260" s="90"/>
      <c r="AA260" s="140" t="s">
        <v>207</v>
      </c>
      <c r="AB260" s="90"/>
      <c r="AC260" s="140" t="s">
        <v>207</v>
      </c>
      <c r="AD260" s="90"/>
      <c r="AE260" s="140" t="s">
        <v>207</v>
      </c>
      <c r="AF260" s="178" t="str">
        <f t="shared" si="12"/>
        <v>C</v>
      </c>
      <c r="AG260" s="52" t="str">
        <f t="shared" si="13"/>
        <v>UTILIZOU O PDA CORRETAMENTE</v>
      </c>
      <c r="AH260" s="140" t="s">
        <v>207</v>
      </c>
      <c r="AI260" s="182" t="s">
        <v>36</v>
      </c>
      <c r="AJ260" s="93" t="str">
        <f t="shared" si="14"/>
        <v>SÃO PAULO</v>
      </c>
      <c r="AK260" s="183" t="s">
        <v>54</v>
      </c>
    </row>
    <row r="261" spans="1:37" ht="30" customHeight="1">
      <c r="A261" s="198" t="s">
        <v>198</v>
      </c>
      <c r="B261" s="198">
        <v>2692831266</v>
      </c>
      <c r="C261" s="198" t="s">
        <v>117</v>
      </c>
      <c r="D261" s="198" t="s">
        <v>96</v>
      </c>
      <c r="E261" s="198" t="s">
        <v>35</v>
      </c>
      <c r="F261" s="198" t="s">
        <v>622</v>
      </c>
      <c r="G261" s="198">
        <v>362</v>
      </c>
      <c r="H261" s="198" t="s">
        <v>200</v>
      </c>
      <c r="I261" s="198" t="s">
        <v>433</v>
      </c>
      <c r="J261" s="198" t="s">
        <v>267</v>
      </c>
      <c r="K261" s="198" t="s">
        <v>623</v>
      </c>
      <c r="L261" s="199">
        <v>46150.262499999997</v>
      </c>
      <c r="M261" s="199">
        <v>46150.275694444441</v>
      </c>
      <c r="N261" s="198" t="s">
        <v>235</v>
      </c>
      <c r="O261" s="152" t="s">
        <v>207</v>
      </c>
      <c r="P261" s="90"/>
      <c r="Q261" s="140" t="s">
        <v>207</v>
      </c>
      <c r="R261" s="90"/>
      <c r="S261" s="140" t="s">
        <v>207</v>
      </c>
      <c r="T261" s="90"/>
      <c r="U261" s="140" t="s">
        <v>207</v>
      </c>
      <c r="V261" s="90"/>
      <c r="W261" s="140" t="s">
        <v>207</v>
      </c>
      <c r="X261" s="90"/>
      <c r="Y261" s="140" t="s">
        <v>77</v>
      </c>
      <c r="Z261" s="90"/>
      <c r="AA261" s="140" t="s">
        <v>207</v>
      </c>
      <c r="AB261" s="90"/>
      <c r="AC261" s="140" t="s">
        <v>207</v>
      </c>
      <c r="AD261" s="90"/>
      <c r="AE261" s="140" t="s">
        <v>207</v>
      </c>
      <c r="AF261" s="178" t="str">
        <f t="shared" si="12"/>
        <v>C</v>
      </c>
      <c r="AG261" s="52" t="str">
        <f t="shared" si="13"/>
        <v>UTILIZOU O PDA CORRETAMENTE</v>
      </c>
      <c r="AH261" s="140" t="s">
        <v>207</v>
      </c>
      <c r="AI261" s="182" t="s">
        <v>36</v>
      </c>
      <c r="AJ261" s="93" t="str">
        <f t="shared" si="14"/>
        <v>SÃO PAULO</v>
      </c>
      <c r="AK261" s="183" t="s">
        <v>54</v>
      </c>
    </row>
    <row r="262" spans="1:37" ht="30" customHeight="1">
      <c r="A262" s="198" t="s">
        <v>198</v>
      </c>
      <c r="B262" s="198">
        <v>2619339395</v>
      </c>
      <c r="C262" s="198" t="s">
        <v>121</v>
      </c>
      <c r="D262" s="198" t="s">
        <v>96</v>
      </c>
      <c r="E262" s="198" t="s">
        <v>35</v>
      </c>
      <c r="F262" s="198" t="s">
        <v>507</v>
      </c>
      <c r="G262" s="198">
        <v>197</v>
      </c>
      <c r="H262" s="198" t="s">
        <v>508</v>
      </c>
      <c r="I262" s="198" t="s">
        <v>433</v>
      </c>
      <c r="J262" s="198" t="s">
        <v>336</v>
      </c>
      <c r="K262" s="198"/>
      <c r="L262" s="199">
        <v>46150.626388888886</v>
      </c>
      <c r="M262" s="199">
        <v>46150.630555555559</v>
      </c>
      <c r="N262" s="198" t="s">
        <v>345</v>
      </c>
      <c r="O262" s="152" t="s">
        <v>207</v>
      </c>
      <c r="P262" s="90"/>
      <c r="Q262" s="140" t="s">
        <v>207</v>
      </c>
      <c r="R262" s="90"/>
      <c r="S262" s="140" t="s">
        <v>207</v>
      </c>
      <c r="T262" s="90"/>
      <c r="U262" s="140" t="s">
        <v>207</v>
      </c>
      <c r="V262" s="90"/>
      <c r="W262" s="140" t="s">
        <v>207</v>
      </c>
      <c r="X262" s="90"/>
      <c r="Y262" s="140" t="s">
        <v>77</v>
      </c>
      <c r="Z262" s="90"/>
      <c r="AA262" s="140" t="s">
        <v>207</v>
      </c>
      <c r="AB262" s="90"/>
      <c r="AC262" s="140" t="s">
        <v>207</v>
      </c>
      <c r="AD262" s="90"/>
      <c r="AE262" s="140" t="s">
        <v>207</v>
      </c>
      <c r="AF262" s="178" t="str">
        <f t="shared" si="12"/>
        <v>C</v>
      </c>
      <c r="AG262" s="52" t="str">
        <f t="shared" si="13"/>
        <v>UTILIZOU O PDA CORRETAMENTE</v>
      </c>
      <c r="AH262" s="140" t="s">
        <v>207</v>
      </c>
      <c r="AI262" s="182" t="s">
        <v>36</v>
      </c>
      <c r="AJ262" s="93" t="str">
        <f t="shared" si="14"/>
        <v>SÃO PAULO</v>
      </c>
      <c r="AK262" s="183" t="s">
        <v>54</v>
      </c>
    </row>
    <row r="263" spans="1:37" ht="30" customHeight="1">
      <c r="A263" s="198" t="s">
        <v>198</v>
      </c>
      <c r="B263" s="198">
        <v>2619304634</v>
      </c>
      <c r="C263" s="198" t="s">
        <v>120</v>
      </c>
      <c r="D263" s="198" t="s">
        <v>96</v>
      </c>
      <c r="E263" s="198" t="s">
        <v>35</v>
      </c>
      <c r="F263" s="198" t="s">
        <v>624</v>
      </c>
      <c r="G263" s="198">
        <v>19</v>
      </c>
      <c r="H263" s="198" t="s">
        <v>205</v>
      </c>
      <c r="I263" s="198" t="s">
        <v>625</v>
      </c>
      <c r="J263" s="198" t="s">
        <v>574</v>
      </c>
      <c r="K263" s="198" t="s">
        <v>626</v>
      </c>
      <c r="L263" s="199">
        <v>46150.297222222223</v>
      </c>
      <c r="M263" s="199">
        <v>46150.388888888891</v>
      </c>
      <c r="N263" s="198" t="s">
        <v>327</v>
      </c>
      <c r="O263" s="152" t="s">
        <v>207</v>
      </c>
      <c r="P263" s="90"/>
      <c r="Q263" s="140" t="s">
        <v>207</v>
      </c>
      <c r="R263" s="90"/>
      <c r="S263" s="140" t="s">
        <v>207</v>
      </c>
      <c r="T263" s="90"/>
      <c r="U263" s="140" t="s">
        <v>207</v>
      </c>
      <c r="V263" s="90"/>
      <c r="W263" s="140" t="s">
        <v>207</v>
      </c>
      <c r="X263" s="90"/>
      <c r="Y263" s="140" t="s">
        <v>77</v>
      </c>
      <c r="Z263" s="90"/>
      <c r="AA263" s="140" t="s">
        <v>207</v>
      </c>
      <c r="AB263" s="90"/>
      <c r="AC263" s="140" t="s">
        <v>207</v>
      </c>
      <c r="AD263" s="90"/>
      <c r="AE263" s="140" t="s">
        <v>207</v>
      </c>
      <c r="AF263" s="178" t="str">
        <f t="shared" si="12"/>
        <v>C</v>
      </c>
      <c r="AG263" s="52" t="str">
        <f t="shared" si="13"/>
        <v>UTILIZOU O PDA CORRETAMENTE</v>
      </c>
      <c r="AH263" s="140" t="s">
        <v>207</v>
      </c>
      <c r="AI263" s="182" t="s">
        <v>36</v>
      </c>
      <c r="AJ263" s="93" t="str">
        <f t="shared" si="14"/>
        <v>SÃO PAULO</v>
      </c>
      <c r="AK263" s="183" t="s">
        <v>54</v>
      </c>
    </row>
    <row r="264" spans="1:37" ht="30" customHeight="1">
      <c r="A264" s="198" t="s">
        <v>198</v>
      </c>
      <c r="B264" s="198">
        <v>2619349976</v>
      </c>
      <c r="C264" s="198" t="s">
        <v>120</v>
      </c>
      <c r="D264" s="198" t="s">
        <v>96</v>
      </c>
      <c r="E264" s="198" t="s">
        <v>35</v>
      </c>
      <c r="F264" s="198" t="s">
        <v>627</v>
      </c>
      <c r="G264" s="198">
        <v>150</v>
      </c>
      <c r="H264" s="198"/>
      <c r="I264" s="198" t="s">
        <v>271</v>
      </c>
      <c r="J264" s="198" t="s">
        <v>202</v>
      </c>
      <c r="K264" s="198" t="s">
        <v>586</v>
      </c>
      <c r="L264" s="199">
        <v>46150.379166666666</v>
      </c>
      <c r="M264" s="199">
        <v>46150.380555555559</v>
      </c>
      <c r="N264" s="198" t="s">
        <v>331</v>
      </c>
      <c r="O264" s="152" t="s">
        <v>207</v>
      </c>
      <c r="P264" s="280"/>
      <c r="Q264" s="140" t="s">
        <v>207</v>
      </c>
      <c r="R264" s="280"/>
      <c r="S264" s="140" t="s">
        <v>207</v>
      </c>
      <c r="T264" s="280"/>
      <c r="U264" s="140" t="s">
        <v>207</v>
      </c>
      <c r="V264" s="280"/>
      <c r="W264" s="140" t="s">
        <v>207</v>
      </c>
      <c r="X264" s="280"/>
      <c r="Y264" s="140" t="s">
        <v>77</v>
      </c>
      <c r="Z264" s="280"/>
      <c r="AA264" s="140" t="s">
        <v>207</v>
      </c>
      <c r="AB264" s="280"/>
      <c r="AC264" s="140" t="s">
        <v>207</v>
      </c>
      <c r="AD264" s="280"/>
      <c r="AE264" s="140" t="s">
        <v>207</v>
      </c>
      <c r="AF264" s="178" t="str">
        <f t="shared" si="12"/>
        <v>C</v>
      </c>
      <c r="AG264" s="52" t="str">
        <f t="shared" si="13"/>
        <v>UTILIZOU O PDA CORRETAMENTE</v>
      </c>
      <c r="AH264" s="140" t="s">
        <v>207</v>
      </c>
      <c r="AI264" s="182" t="s">
        <v>36</v>
      </c>
      <c r="AJ264" s="93" t="str">
        <f t="shared" si="14"/>
        <v>SÃO PAULO</v>
      </c>
      <c r="AK264" s="183" t="s">
        <v>54</v>
      </c>
    </row>
    <row r="265" spans="1:37" ht="30" customHeight="1">
      <c r="A265" s="198" t="s">
        <v>198</v>
      </c>
      <c r="B265" s="198">
        <v>2619238559</v>
      </c>
      <c r="C265" s="198" t="s">
        <v>105</v>
      </c>
      <c r="D265" s="198" t="s">
        <v>93</v>
      </c>
      <c r="E265" s="198" t="s">
        <v>35</v>
      </c>
      <c r="F265" s="198" t="s">
        <v>628</v>
      </c>
      <c r="G265" s="198">
        <v>20</v>
      </c>
      <c r="H265" s="198" t="s">
        <v>207</v>
      </c>
      <c r="I265" s="198" t="s">
        <v>248</v>
      </c>
      <c r="J265" s="198" t="s">
        <v>272</v>
      </c>
      <c r="K265" s="200" t="s">
        <v>629</v>
      </c>
      <c r="L265" s="199">
        <v>46150.327777777777</v>
      </c>
      <c r="M265" s="199">
        <v>46150.330555555556</v>
      </c>
      <c r="N265" s="198" t="s">
        <v>274</v>
      </c>
      <c r="O265" s="152" t="s">
        <v>207</v>
      </c>
      <c r="P265" s="280"/>
      <c r="Q265" s="140" t="s">
        <v>207</v>
      </c>
      <c r="R265" s="280"/>
      <c r="S265" s="140" t="s">
        <v>207</v>
      </c>
      <c r="T265" s="280"/>
      <c r="U265" s="140" t="s">
        <v>207</v>
      </c>
      <c r="V265" s="280"/>
      <c r="W265" s="140" t="s">
        <v>207</v>
      </c>
      <c r="X265" s="280"/>
      <c r="Y265" s="140" t="s">
        <v>77</v>
      </c>
      <c r="Z265" s="280"/>
      <c r="AA265" s="140" t="s">
        <v>207</v>
      </c>
      <c r="AB265" s="280"/>
      <c r="AC265" s="140" t="s">
        <v>207</v>
      </c>
      <c r="AD265" s="280"/>
      <c r="AE265" s="140" t="s">
        <v>207</v>
      </c>
      <c r="AF265" s="178" t="str">
        <f t="shared" si="12"/>
        <v>C</v>
      </c>
      <c r="AG265" s="52" t="str">
        <f t="shared" si="13"/>
        <v>UTILIZOU O PDA CORRETAMENTE</v>
      </c>
      <c r="AH265" s="140" t="s">
        <v>207</v>
      </c>
      <c r="AI265" s="182" t="s">
        <v>36</v>
      </c>
      <c r="AJ265" s="93" t="str">
        <f t="shared" si="14"/>
        <v>SÃO PAULO</v>
      </c>
      <c r="AK265" s="183" t="s">
        <v>54</v>
      </c>
    </row>
    <row r="266" spans="1:37" ht="30" customHeight="1">
      <c r="A266" s="198" t="s">
        <v>198</v>
      </c>
      <c r="B266" s="198">
        <v>2619361096</v>
      </c>
      <c r="C266" s="198" t="s">
        <v>120</v>
      </c>
      <c r="D266" s="198" t="s">
        <v>96</v>
      </c>
      <c r="E266" s="198" t="s">
        <v>35</v>
      </c>
      <c r="F266" s="198" t="s">
        <v>611</v>
      </c>
      <c r="G266" s="198">
        <v>262</v>
      </c>
      <c r="H266" s="198" t="s">
        <v>200</v>
      </c>
      <c r="I266" s="198" t="s">
        <v>612</v>
      </c>
      <c r="J266" s="198" t="s">
        <v>202</v>
      </c>
      <c r="K266" s="200" t="s">
        <v>630</v>
      </c>
      <c r="L266" s="199">
        <v>46150.644444444442</v>
      </c>
      <c r="M266" s="199">
        <v>46150.660416666666</v>
      </c>
      <c r="N266" s="198" t="s">
        <v>279</v>
      </c>
      <c r="O266" s="152" t="s">
        <v>207</v>
      </c>
      <c r="P266" s="280"/>
      <c r="Q266" s="140" t="s">
        <v>207</v>
      </c>
      <c r="R266" s="280"/>
      <c r="S266" s="140" t="s">
        <v>207</v>
      </c>
      <c r="T266" s="280"/>
      <c r="U266" s="140" t="s">
        <v>207</v>
      </c>
      <c r="V266" s="280"/>
      <c r="W266" s="140" t="s">
        <v>207</v>
      </c>
      <c r="X266" s="280"/>
      <c r="Y266" s="140" t="s">
        <v>77</v>
      </c>
      <c r="Z266" s="280"/>
      <c r="AA266" s="140" t="s">
        <v>207</v>
      </c>
      <c r="AB266" s="280"/>
      <c r="AC266" s="140" t="s">
        <v>207</v>
      </c>
      <c r="AD266" s="280"/>
      <c r="AE266" s="140" t="s">
        <v>207</v>
      </c>
      <c r="AF266" s="178" t="str">
        <f t="shared" si="12"/>
        <v>C</v>
      </c>
      <c r="AG266" s="52" t="str">
        <f t="shared" si="13"/>
        <v>UTILIZOU O PDA CORRETAMENTE</v>
      </c>
      <c r="AH266" s="287" t="s">
        <v>207</v>
      </c>
      <c r="AI266" s="182" t="s">
        <v>36</v>
      </c>
      <c r="AJ266" s="93" t="str">
        <f t="shared" si="14"/>
        <v>SÃO PAULO</v>
      </c>
      <c r="AK266" s="183" t="s">
        <v>54</v>
      </c>
    </row>
    <row r="267" spans="1:37" ht="30" customHeight="1">
      <c r="A267" s="198" t="s">
        <v>198</v>
      </c>
      <c r="B267" s="198">
        <v>2619361283</v>
      </c>
      <c r="C267" s="198" t="s">
        <v>120</v>
      </c>
      <c r="D267" s="198" t="s">
        <v>96</v>
      </c>
      <c r="E267" s="198" t="s">
        <v>35</v>
      </c>
      <c r="F267" s="198" t="s">
        <v>611</v>
      </c>
      <c r="G267" s="198">
        <v>248</v>
      </c>
      <c r="H267" s="198" t="s">
        <v>426</v>
      </c>
      <c r="I267" s="198" t="s">
        <v>631</v>
      </c>
      <c r="J267" s="198" t="s">
        <v>202</v>
      </c>
      <c r="K267" s="200" t="s">
        <v>632</v>
      </c>
      <c r="L267" s="199">
        <v>46150.645138888889</v>
      </c>
      <c r="M267" s="199">
        <v>46150.657638888886</v>
      </c>
      <c r="N267" s="198" t="s">
        <v>279</v>
      </c>
      <c r="O267" s="152" t="s">
        <v>207</v>
      </c>
      <c r="P267" s="280"/>
      <c r="Q267" s="140" t="s">
        <v>207</v>
      </c>
      <c r="R267" s="280"/>
      <c r="S267" s="140" t="s">
        <v>207</v>
      </c>
      <c r="T267" s="280"/>
      <c r="U267" s="140" t="s">
        <v>207</v>
      </c>
      <c r="V267" s="280"/>
      <c r="W267" s="140" t="s">
        <v>207</v>
      </c>
      <c r="X267" s="280"/>
      <c r="Y267" s="140" t="s">
        <v>77</v>
      </c>
      <c r="Z267" s="280"/>
      <c r="AA267" s="140" t="s">
        <v>207</v>
      </c>
      <c r="AB267" s="280"/>
      <c r="AC267" s="140" t="s">
        <v>207</v>
      </c>
      <c r="AD267" s="280"/>
      <c r="AE267" s="140" t="s">
        <v>207</v>
      </c>
      <c r="AF267" s="178" t="str">
        <f t="shared" si="12"/>
        <v>C</v>
      </c>
      <c r="AG267" s="52" t="str">
        <f t="shared" si="13"/>
        <v>UTILIZOU O PDA CORRETAMENTE</v>
      </c>
      <c r="AH267" s="287" t="s">
        <v>207</v>
      </c>
      <c r="AI267" s="182" t="s">
        <v>36</v>
      </c>
      <c r="AJ267" s="93" t="str">
        <f t="shared" si="14"/>
        <v>SÃO PAULO</v>
      </c>
      <c r="AK267" s="183" t="s">
        <v>54</v>
      </c>
    </row>
    <row r="268" spans="1:37" ht="30" customHeight="1">
      <c r="A268" s="198" t="s">
        <v>198</v>
      </c>
      <c r="B268" s="198">
        <v>2619364890</v>
      </c>
      <c r="C268" s="198" t="s">
        <v>120</v>
      </c>
      <c r="D268" s="198" t="s">
        <v>96</v>
      </c>
      <c r="E268" s="198" t="s">
        <v>35</v>
      </c>
      <c r="F268" s="198" t="s">
        <v>616</v>
      </c>
      <c r="G268" s="198">
        <v>5</v>
      </c>
      <c r="H268" s="198" t="s">
        <v>200</v>
      </c>
      <c r="I268" s="198" t="s">
        <v>359</v>
      </c>
      <c r="J268" s="198" t="s">
        <v>336</v>
      </c>
      <c r="K268" s="198" t="s">
        <v>200</v>
      </c>
      <c r="L268" s="199">
        <v>46150.353472222225</v>
      </c>
      <c r="M268" s="199">
        <v>46150.359722222223</v>
      </c>
      <c r="N268" s="198" t="s">
        <v>320</v>
      </c>
      <c r="O268" s="152" t="s">
        <v>207</v>
      </c>
      <c r="P268" s="280"/>
      <c r="Q268" s="140" t="s">
        <v>207</v>
      </c>
      <c r="R268" s="280"/>
      <c r="S268" s="140" t="s">
        <v>207</v>
      </c>
      <c r="T268" s="280"/>
      <c r="U268" s="140" t="s">
        <v>207</v>
      </c>
      <c r="V268" s="280"/>
      <c r="W268" s="140" t="s">
        <v>207</v>
      </c>
      <c r="X268" s="280"/>
      <c r="Y268" s="140" t="s">
        <v>77</v>
      </c>
      <c r="Z268" s="280"/>
      <c r="AA268" s="140" t="s">
        <v>207</v>
      </c>
      <c r="AB268" s="280"/>
      <c r="AC268" s="140" t="s">
        <v>207</v>
      </c>
      <c r="AD268" s="280"/>
      <c r="AE268" s="140" t="s">
        <v>207</v>
      </c>
      <c r="AF268" s="178" t="str">
        <f t="shared" si="12"/>
        <v>C</v>
      </c>
      <c r="AG268" s="52" t="str">
        <f t="shared" si="13"/>
        <v>UTILIZOU O PDA CORRETAMENTE</v>
      </c>
      <c r="AH268" s="287" t="s">
        <v>207</v>
      </c>
      <c r="AI268" s="182" t="s">
        <v>36</v>
      </c>
      <c r="AJ268" s="93" t="str">
        <f t="shared" si="14"/>
        <v>SÃO PAULO</v>
      </c>
      <c r="AK268" s="183" t="s">
        <v>54</v>
      </c>
    </row>
    <row r="269" spans="1:37" ht="30" customHeight="1">
      <c r="A269" s="198" t="s">
        <v>198</v>
      </c>
      <c r="B269" s="198">
        <v>2619157395</v>
      </c>
      <c r="C269" s="198" t="s">
        <v>114</v>
      </c>
      <c r="D269" s="198" t="s">
        <v>96</v>
      </c>
      <c r="E269" s="198" t="s">
        <v>35</v>
      </c>
      <c r="F269" s="198" t="s">
        <v>616</v>
      </c>
      <c r="G269" s="198">
        <v>7</v>
      </c>
      <c r="H269" s="198" t="s">
        <v>208</v>
      </c>
      <c r="I269" s="198" t="s">
        <v>359</v>
      </c>
      <c r="J269" s="198" t="s">
        <v>260</v>
      </c>
      <c r="K269" s="198"/>
      <c r="L269" s="199">
        <v>46150.156944444447</v>
      </c>
      <c r="M269" s="199">
        <v>46150.34375</v>
      </c>
      <c r="N269" s="198" t="s">
        <v>320</v>
      </c>
      <c r="O269" s="152" t="s">
        <v>207</v>
      </c>
      <c r="P269" s="280"/>
      <c r="Q269" s="140" t="s">
        <v>207</v>
      </c>
      <c r="R269" s="280"/>
      <c r="S269" s="140" t="s">
        <v>207</v>
      </c>
      <c r="T269" s="280"/>
      <c r="U269" s="140" t="s">
        <v>207</v>
      </c>
      <c r="V269" s="280"/>
      <c r="W269" s="140" t="s">
        <v>207</v>
      </c>
      <c r="X269" s="280"/>
      <c r="Y269" s="140" t="s">
        <v>207</v>
      </c>
      <c r="Z269" s="280"/>
      <c r="AA269" s="140" t="s">
        <v>207</v>
      </c>
      <c r="AB269" s="280"/>
      <c r="AC269" s="140" t="s">
        <v>207</v>
      </c>
      <c r="AD269" s="280"/>
      <c r="AE269" s="140" t="s">
        <v>207</v>
      </c>
      <c r="AF269" s="178" t="str">
        <f t="shared" si="12"/>
        <v>C</v>
      </c>
      <c r="AG269" s="52" t="str">
        <f t="shared" si="13"/>
        <v>UTILIZOU O PDA CORRETAMENTE</v>
      </c>
      <c r="AH269" s="287" t="s">
        <v>207</v>
      </c>
      <c r="AI269" s="182" t="s">
        <v>36</v>
      </c>
      <c r="AJ269" s="93" t="str">
        <f t="shared" si="14"/>
        <v>SÃO PAULO</v>
      </c>
      <c r="AK269" s="183" t="s">
        <v>54</v>
      </c>
    </row>
    <row r="270" spans="1:37" ht="30" customHeight="1">
      <c r="A270" s="198" t="s">
        <v>198</v>
      </c>
      <c r="B270" s="198">
        <v>2619238559</v>
      </c>
      <c r="C270" s="198" t="s">
        <v>104</v>
      </c>
      <c r="D270" s="198" t="s">
        <v>93</v>
      </c>
      <c r="E270" s="198" t="s">
        <v>35</v>
      </c>
      <c r="F270" s="198" t="s">
        <v>628</v>
      </c>
      <c r="G270" s="198">
        <v>20</v>
      </c>
      <c r="H270" s="198" t="s">
        <v>207</v>
      </c>
      <c r="I270" s="198" t="s">
        <v>248</v>
      </c>
      <c r="J270" s="198" t="s">
        <v>249</v>
      </c>
      <c r="K270" s="198"/>
      <c r="L270" s="199">
        <v>46150.354861111111</v>
      </c>
      <c r="M270" s="199">
        <v>46150.355555555558</v>
      </c>
      <c r="N270" s="198" t="s">
        <v>274</v>
      </c>
      <c r="O270" s="152" t="s">
        <v>207</v>
      </c>
      <c r="P270" s="280"/>
      <c r="Q270" s="140" t="s">
        <v>207</v>
      </c>
      <c r="R270" s="280"/>
      <c r="S270" s="140" t="s">
        <v>207</v>
      </c>
      <c r="T270" s="280"/>
      <c r="U270" s="140" t="s">
        <v>207</v>
      </c>
      <c r="V270" s="280"/>
      <c r="W270" s="140" t="s">
        <v>207</v>
      </c>
      <c r="X270" s="280"/>
      <c r="Y270" s="140" t="s">
        <v>77</v>
      </c>
      <c r="Z270" s="280"/>
      <c r="AA270" s="140" t="s">
        <v>207</v>
      </c>
      <c r="AB270" s="280"/>
      <c r="AC270" s="140" t="s">
        <v>207</v>
      </c>
      <c r="AD270" s="280"/>
      <c r="AE270" s="140" t="s">
        <v>207</v>
      </c>
      <c r="AF270" s="178" t="str">
        <f t="shared" si="12"/>
        <v>C</v>
      </c>
      <c r="AG270" s="52" t="str">
        <f t="shared" si="13"/>
        <v>UTILIZOU O PDA CORRETAMENTE</v>
      </c>
      <c r="AH270" s="287" t="s">
        <v>207</v>
      </c>
      <c r="AI270" s="182" t="s">
        <v>36</v>
      </c>
      <c r="AJ270" s="93" t="str">
        <f t="shared" si="14"/>
        <v>SÃO PAULO</v>
      </c>
      <c r="AK270" s="183" t="s">
        <v>54</v>
      </c>
    </row>
    <row r="271" spans="1:37" ht="30" customHeight="1">
      <c r="A271" s="198" t="s">
        <v>198</v>
      </c>
      <c r="B271" s="198">
        <v>2619213825</v>
      </c>
      <c r="C271" s="198" t="s">
        <v>114</v>
      </c>
      <c r="D271" s="198" t="s">
        <v>96</v>
      </c>
      <c r="E271" s="198" t="s">
        <v>35</v>
      </c>
      <c r="F271" s="198" t="s">
        <v>563</v>
      </c>
      <c r="G271" s="198">
        <v>5071</v>
      </c>
      <c r="H271" s="198" t="s">
        <v>200</v>
      </c>
      <c r="I271" s="198" t="s">
        <v>234</v>
      </c>
      <c r="J271" s="198" t="s">
        <v>260</v>
      </c>
      <c r="K271" s="198" t="s">
        <v>200</v>
      </c>
      <c r="L271" s="199">
        <v>46150.34652777778</v>
      </c>
      <c r="M271" s="199">
        <v>46150.368750000001</v>
      </c>
      <c r="N271" s="198" t="s">
        <v>349</v>
      </c>
      <c r="O271" s="152" t="s">
        <v>207</v>
      </c>
      <c r="P271" s="280"/>
      <c r="Q271" s="140" t="s">
        <v>207</v>
      </c>
      <c r="R271" s="280"/>
      <c r="S271" s="140" t="s">
        <v>207</v>
      </c>
      <c r="T271" s="280"/>
      <c r="U271" s="140" t="s">
        <v>207</v>
      </c>
      <c r="V271" s="280"/>
      <c r="W271" s="140" t="s">
        <v>207</v>
      </c>
      <c r="X271" s="280"/>
      <c r="Y271" s="140" t="s">
        <v>207</v>
      </c>
      <c r="Z271" s="280"/>
      <c r="AA271" s="140" t="s">
        <v>207</v>
      </c>
      <c r="AB271" s="280"/>
      <c r="AC271" s="140" t="s">
        <v>207</v>
      </c>
      <c r="AD271" s="280"/>
      <c r="AE271" s="140" t="s">
        <v>207</v>
      </c>
      <c r="AF271" s="178" t="str">
        <f t="shared" si="12"/>
        <v>C</v>
      </c>
      <c r="AG271" s="52" t="str">
        <f t="shared" si="13"/>
        <v>UTILIZOU O PDA CORRETAMENTE</v>
      </c>
      <c r="AH271" s="287" t="s">
        <v>207</v>
      </c>
      <c r="AI271" s="182" t="s">
        <v>36</v>
      </c>
      <c r="AJ271" s="93" t="str">
        <f t="shared" si="14"/>
        <v>SÃO PAULO</v>
      </c>
      <c r="AK271" s="183" t="s">
        <v>54</v>
      </c>
    </row>
    <row r="272" spans="1:37" ht="30" customHeight="1">
      <c r="A272" s="198" t="s">
        <v>198</v>
      </c>
      <c r="B272" s="198">
        <v>2619346931</v>
      </c>
      <c r="C272" s="198" t="s">
        <v>120</v>
      </c>
      <c r="D272" s="198" t="s">
        <v>96</v>
      </c>
      <c r="E272" s="198" t="s">
        <v>35</v>
      </c>
      <c r="F272" s="198" t="s">
        <v>633</v>
      </c>
      <c r="G272" s="198">
        <v>338</v>
      </c>
      <c r="H272" s="198" t="s">
        <v>257</v>
      </c>
      <c r="I272" s="198" t="s">
        <v>634</v>
      </c>
      <c r="J272" s="198" t="s">
        <v>202</v>
      </c>
      <c r="K272" s="198" t="s">
        <v>635</v>
      </c>
      <c r="L272" s="199">
        <v>46151.043749999997</v>
      </c>
      <c r="M272" s="199">
        <v>46151.045138888891</v>
      </c>
      <c r="N272" s="198" t="s">
        <v>349</v>
      </c>
      <c r="O272" s="152" t="s">
        <v>207</v>
      </c>
      <c r="P272" s="280"/>
      <c r="Q272" s="140" t="s">
        <v>207</v>
      </c>
      <c r="R272" s="280"/>
      <c r="S272" s="140" t="s">
        <v>207</v>
      </c>
      <c r="T272" s="280"/>
      <c r="U272" s="140" t="s">
        <v>207</v>
      </c>
      <c r="V272" s="280"/>
      <c r="W272" s="140" t="s">
        <v>207</v>
      </c>
      <c r="X272" s="280"/>
      <c r="Y272" s="140" t="s">
        <v>77</v>
      </c>
      <c r="Z272" s="280"/>
      <c r="AA272" s="140" t="s">
        <v>207</v>
      </c>
      <c r="AB272" s="280"/>
      <c r="AC272" s="140" t="s">
        <v>207</v>
      </c>
      <c r="AD272" s="280"/>
      <c r="AE272" s="140" t="s">
        <v>207</v>
      </c>
      <c r="AF272" s="178" t="str">
        <f t="shared" si="12"/>
        <v>C</v>
      </c>
      <c r="AG272" s="52" t="str">
        <f t="shared" si="13"/>
        <v>UTILIZOU O PDA CORRETAMENTE</v>
      </c>
      <c r="AH272" s="287" t="s">
        <v>207</v>
      </c>
      <c r="AI272" s="182" t="s">
        <v>36</v>
      </c>
      <c r="AJ272" s="93" t="str">
        <f t="shared" si="14"/>
        <v>SÃO PAULO</v>
      </c>
      <c r="AK272" s="183" t="s">
        <v>54</v>
      </c>
    </row>
    <row r="273" spans="1:37" ht="30" customHeight="1">
      <c r="A273" s="198" t="s">
        <v>198</v>
      </c>
      <c r="B273" s="198">
        <v>2619346916</v>
      </c>
      <c r="C273" s="198" t="s">
        <v>117</v>
      </c>
      <c r="D273" s="198" t="s">
        <v>96</v>
      </c>
      <c r="E273" s="198" t="s">
        <v>35</v>
      </c>
      <c r="F273" s="198" t="s">
        <v>393</v>
      </c>
      <c r="G273" s="198">
        <v>2</v>
      </c>
      <c r="H273" s="198" t="s">
        <v>200</v>
      </c>
      <c r="I273" s="198" t="s">
        <v>636</v>
      </c>
      <c r="J273" s="198" t="s">
        <v>267</v>
      </c>
      <c r="K273" s="198" t="s">
        <v>637</v>
      </c>
      <c r="L273" s="199">
        <v>46151.26666666667</v>
      </c>
      <c r="M273" s="199">
        <v>46151.268055555556</v>
      </c>
      <c r="N273" s="198" t="s">
        <v>320</v>
      </c>
      <c r="O273" s="152" t="s">
        <v>207</v>
      </c>
      <c r="P273" s="280"/>
      <c r="Q273" s="140" t="s">
        <v>207</v>
      </c>
      <c r="R273" s="280"/>
      <c r="S273" s="140" t="s">
        <v>207</v>
      </c>
      <c r="T273" s="280"/>
      <c r="U273" s="140" t="s">
        <v>207</v>
      </c>
      <c r="V273" s="280"/>
      <c r="W273" s="140" t="s">
        <v>207</v>
      </c>
      <c r="X273" s="280"/>
      <c r="Y273" s="140" t="s">
        <v>77</v>
      </c>
      <c r="Z273" s="280"/>
      <c r="AA273" s="140" t="s">
        <v>207</v>
      </c>
      <c r="AB273" s="280"/>
      <c r="AC273" s="140" t="s">
        <v>207</v>
      </c>
      <c r="AD273" s="280"/>
      <c r="AE273" s="140" t="s">
        <v>207</v>
      </c>
      <c r="AF273" s="178" t="str">
        <f t="shared" si="12"/>
        <v>C</v>
      </c>
      <c r="AG273" s="52" t="str">
        <f t="shared" si="13"/>
        <v>UTILIZOU O PDA CORRETAMENTE</v>
      </c>
      <c r="AH273" s="287" t="s">
        <v>207</v>
      </c>
      <c r="AI273" s="182" t="s">
        <v>36</v>
      </c>
      <c r="AJ273" s="93" t="str">
        <f t="shared" si="14"/>
        <v>SÃO PAULO</v>
      </c>
      <c r="AK273" s="183" t="s">
        <v>54</v>
      </c>
    </row>
    <row r="274" spans="1:37" ht="30" customHeight="1">
      <c r="A274" s="198" t="s">
        <v>198</v>
      </c>
      <c r="B274" s="198">
        <v>2692802161</v>
      </c>
      <c r="C274" s="198" t="s">
        <v>118</v>
      </c>
      <c r="D274" s="198" t="s">
        <v>96</v>
      </c>
      <c r="E274" s="198" t="s">
        <v>35</v>
      </c>
      <c r="F274" s="198" t="s">
        <v>638</v>
      </c>
      <c r="G274" s="198">
        <v>1</v>
      </c>
      <c r="H274" s="198"/>
      <c r="I274" s="198" t="s">
        <v>447</v>
      </c>
      <c r="J274" s="198" t="s">
        <v>267</v>
      </c>
      <c r="K274" s="198"/>
      <c r="L274" s="199">
        <v>46151.156944444447</v>
      </c>
      <c r="M274" s="199">
        <v>46151.178472222222</v>
      </c>
      <c r="N274" s="198" t="s">
        <v>251</v>
      </c>
      <c r="O274" s="152" t="s">
        <v>207</v>
      </c>
      <c r="P274" s="280"/>
      <c r="Q274" s="140" t="s">
        <v>207</v>
      </c>
      <c r="R274" s="280"/>
      <c r="S274" s="140" t="s">
        <v>207</v>
      </c>
      <c r="T274" s="280"/>
      <c r="U274" s="140" t="s">
        <v>207</v>
      </c>
      <c r="V274" s="280"/>
      <c r="W274" s="140" t="s">
        <v>207</v>
      </c>
      <c r="X274" s="280"/>
      <c r="Y274" s="140" t="s">
        <v>77</v>
      </c>
      <c r="Z274" s="280"/>
      <c r="AA274" s="140" t="s">
        <v>207</v>
      </c>
      <c r="AB274" s="280"/>
      <c r="AC274" s="140" t="s">
        <v>207</v>
      </c>
      <c r="AD274" s="280"/>
      <c r="AE274" s="140" t="s">
        <v>207</v>
      </c>
      <c r="AF274" s="178" t="str">
        <f t="shared" si="12"/>
        <v>C</v>
      </c>
      <c r="AG274" s="52" t="str">
        <f t="shared" si="13"/>
        <v>UTILIZOU O PDA CORRETAMENTE</v>
      </c>
      <c r="AH274" s="287" t="s">
        <v>207</v>
      </c>
      <c r="AI274" s="182" t="s">
        <v>36</v>
      </c>
      <c r="AJ274" s="93" t="str">
        <f t="shared" si="14"/>
        <v>SÃO PAULO</v>
      </c>
      <c r="AK274" s="183" t="s">
        <v>54</v>
      </c>
    </row>
    <row r="275" spans="1:37" ht="30" customHeight="1">
      <c r="A275" s="198" t="s">
        <v>198</v>
      </c>
      <c r="B275" s="198">
        <v>2692781109</v>
      </c>
      <c r="C275" s="198" t="s">
        <v>118</v>
      </c>
      <c r="D275" s="198" t="s">
        <v>96</v>
      </c>
      <c r="E275" s="198" t="s">
        <v>35</v>
      </c>
      <c r="F275" s="198" t="s">
        <v>639</v>
      </c>
      <c r="G275" s="198">
        <v>454</v>
      </c>
      <c r="H275" s="198" t="s">
        <v>347</v>
      </c>
      <c r="I275" s="198" t="s">
        <v>408</v>
      </c>
      <c r="J275" s="198" t="s">
        <v>267</v>
      </c>
      <c r="K275" s="198" t="s">
        <v>200</v>
      </c>
      <c r="L275" s="199">
        <v>46151.117361111108</v>
      </c>
      <c r="M275" s="199">
        <v>46151.124305555553</v>
      </c>
      <c r="N275" s="198" t="s">
        <v>251</v>
      </c>
      <c r="O275" s="152" t="s">
        <v>207</v>
      </c>
      <c r="P275" s="280"/>
      <c r="Q275" s="140" t="s">
        <v>207</v>
      </c>
      <c r="R275" s="280"/>
      <c r="S275" s="140" t="s">
        <v>207</v>
      </c>
      <c r="T275" s="280"/>
      <c r="U275" s="140" t="s">
        <v>207</v>
      </c>
      <c r="V275" s="280"/>
      <c r="W275" s="140" t="s">
        <v>207</v>
      </c>
      <c r="X275" s="280"/>
      <c r="Y275" s="140" t="s">
        <v>77</v>
      </c>
      <c r="Z275" s="280"/>
      <c r="AA275" s="140" t="s">
        <v>207</v>
      </c>
      <c r="AB275" s="280"/>
      <c r="AC275" s="140" t="s">
        <v>207</v>
      </c>
      <c r="AD275" s="280"/>
      <c r="AE275" s="140" t="s">
        <v>207</v>
      </c>
      <c r="AF275" s="178" t="str">
        <f t="shared" si="12"/>
        <v>C</v>
      </c>
      <c r="AG275" s="52" t="str">
        <f t="shared" si="13"/>
        <v>UTILIZOU O PDA CORRETAMENTE</v>
      </c>
      <c r="AH275" s="287" t="s">
        <v>207</v>
      </c>
      <c r="AI275" s="182" t="s">
        <v>36</v>
      </c>
      <c r="AJ275" s="93" t="str">
        <f t="shared" si="14"/>
        <v>SÃO PAULO</v>
      </c>
      <c r="AK275" s="183" t="s">
        <v>54</v>
      </c>
    </row>
    <row r="276" spans="1:37" ht="30" customHeight="1">
      <c r="A276" s="198" t="s">
        <v>198</v>
      </c>
      <c r="B276" s="198">
        <v>2692793183</v>
      </c>
      <c r="C276" s="198" t="s">
        <v>118</v>
      </c>
      <c r="D276" s="198" t="s">
        <v>96</v>
      </c>
      <c r="E276" s="198" t="s">
        <v>35</v>
      </c>
      <c r="F276" s="198" t="s">
        <v>640</v>
      </c>
      <c r="G276" s="198">
        <v>85</v>
      </c>
      <c r="H276" s="198" t="s">
        <v>208</v>
      </c>
      <c r="I276" s="198" t="s">
        <v>525</v>
      </c>
      <c r="J276" s="198" t="s">
        <v>267</v>
      </c>
      <c r="K276" s="198"/>
      <c r="L276" s="199">
        <v>46151.040277777778</v>
      </c>
      <c r="M276" s="199">
        <v>46151.068055555559</v>
      </c>
      <c r="N276" s="198" t="s">
        <v>235</v>
      </c>
      <c r="O276" s="152" t="s">
        <v>207</v>
      </c>
      <c r="P276" s="280"/>
      <c r="Q276" s="140" t="s">
        <v>207</v>
      </c>
      <c r="R276" s="280"/>
      <c r="S276" s="140" t="s">
        <v>207</v>
      </c>
      <c r="T276" s="280"/>
      <c r="U276" s="140" t="s">
        <v>207</v>
      </c>
      <c r="V276" s="280"/>
      <c r="W276" s="140" t="s">
        <v>207</v>
      </c>
      <c r="X276" s="280"/>
      <c r="Y276" s="140" t="s">
        <v>77</v>
      </c>
      <c r="Z276" s="280"/>
      <c r="AA276" s="140" t="s">
        <v>207</v>
      </c>
      <c r="AB276" s="280"/>
      <c r="AC276" s="140" t="s">
        <v>207</v>
      </c>
      <c r="AD276" s="280"/>
      <c r="AE276" s="140" t="s">
        <v>207</v>
      </c>
      <c r="AF276" s="178" t="str">
        <f t="shared" si="12"/>
        <v>C</v>
      </c>
      <c r="AG276" s="52" t="str">
        <f t="shared" si="13"/>
        <v>UTILIZOU O PDA CORRETAMENTE</v>
      </c>
      <c r="AH276" s="287" t="s">
        <v>207</v>
      </c>
      <c r="AI276" s="182" t="s">
        <v>36</v>
      </c>
      <c r="AJ276" s="93" t="str">
        <f t="shared" si="14"/>
        <v>SÃO PAULO</v>
      </c>
      <c r="AK276" s="183" t="s">
        <v>54</v>
      </c>
    </row>
    <row r="277" spans="1:37" ht="30" customHeight="1">
      <c r="A277" s="198" t="s">
        <v>198</v>
      </c>
      <c r="B277" s="198">
        <v>2619345988</v>
      </c>
      <c r="C277" s="198" t="s">
        <v>121</v>
      </c>
      <c r="D277" s="198" t="s">
        <v>96</v>
      </c>
      <c r="E277" s="198" t="s">
        <v>35</v>
      </c>
      <c r="F277" s="198" t="s">
        <v>592</v>
      </c>
      <c r="G277" s="198">
        <v>0</v>
      </c>
      <c r="H277" s="198" t="s">
        <v>200</v>
      </c>
      <c r="I277" s="198" t="s">
        <v>290</v>
      </c>
      <c r="J277" s="198" t="s">
        <v>336</v>
      </c>
      <c r="K277" s="198" t="s">
        <v>200</v>
      </c>
      <c r="L277" s="199">
        <v>46151.152083333334</v>
      </c>
      <c r="M277" s="199">
        <v>46151.181944444441</v>
      </c>
      <c r="N277" s="198" t="s">
        <v>235</v>
      </c>
      <c r="O277" s="152" t="s">
        <v>207</v>
      </c>
      <c r="P277" s="280"/>
      <c r="Q277" s="140" t="s">
        <v>207</v>
      </c>
      <c r="R277" s="280"/>
      <c r="S277" s="140" t="s">
        <v>207</v>
      </c>
      <c r="T277" s="280"/>
      <c r="U277" s="140" t="s">
        <v>207</v>
      </c>
      <c r="V277" s="280"/>
      <c r="W277" s="140" t="s">
        <v>207</v>
      </c>
      <c r="X277" s="280"/>
      <c r="Y277" s="140" t="s">
        <v>77</v>
      </c>
      <c r="Z277" s="280"/>
      <c r="AA277" s="140" t="s">
        <v>207</v>
      </c>
      <c r="AB277" s="280"/>
      <c r="AC277" s="140" t="s">
        <v>207</v>
      </c>
      <c r="AD277" s="280"/>
      <c r="AE277" s="140" t="s">
        <v>207</v>
      </c>
      <c r="AF277" s="178" t="str">
        <f t="shared" si="12"/>
        <v>C</v>
      </c>
      <c r="AG277" s="52" t="str">
        <f t="shared" si="13"/>
        <v>UTILIZOU O PDA CORRETAMENTE</v>
      </c>
      <c r="AH277" s="287" t="s">
        <v>207</v>
      </c>
      <c r="AI277" s="182" t="s">
        <v>36</v>
      </c>
      <c r="AJ277" s="93" t="str">
        <f t="shared" si="14"/>
        <v>SÃO PAULO</v>
      </c>
      <c r="AK277" s="183" t="s">
        <v>54</v>
      </c>
    </row>
    <row r="278" spans="1:37" ht="30" customHeight="1">
      <c r="A278" s="198" t="s">
        <v>198</v>
      </c>
      <c r="B278" s="198">
        <v>2619359872</v>
      </c>
      <c r="C278" s="198" t="s">
        <v>118</v>
      </c>
      <c r="D278" s="198" t="s">
        <v>96</v>
      </c>
      <c r="E278" s="198" t="s">
        <v>35</v>
      </c>
      <c r="F278" s="198" t="s">
        <v>641</v>
      </c>
      <c r="G278" s="198">
        <v>542</v>
      </c>
      <c r="H278" s="198"/>
      <c r="I278" s="198" t="s">
        <v>642</v>
      </c>
      <c r="J278" s="198" t="s">
        <v>267</v>
      </c>
      <c r="K278" s="198"/>
      <c r="L278" s="199">
        <v>46151.335416666669</v>
      </c>
      <c r="M278" s="199">
        <v>46151.336805555555</v>
      </c>
      <c r="N278" s="198" t="s">
        <v>345</v>
      </c>
      <c r="O278" s="152" t="s">
        <v>207</v>
      </c>
      <c r="P278" s="280"/>
      <c r="Q278" s="140" t="s">
        <v>207</v>
      </c>
      <c r="R278" s="280"/>
      <c r="S278" s="140" t="s">
        <v>207</v>
      </c>
      <c r="T278" s="280"/>
      <c r="U278" s="140" t="s">
        <v>207</v>
      </c>
      <c r="V278" s="280"/>
      <c r="W278" s="140" t="s">
        <v>207</v>
      </c>
      <c r="X278" s="280"/>
      <c r="Y278" s="140" t="s">
        <v>77</v>
      </c>
      <c r="Z278" s="280"/>
      <c r="AA278" s="140" t="s">
        <v>207</v>
      </c>
      <c r="AB278" s="280"/>
      <c r="AC278" s="140" t="s">
        <v>207</v>
      </c>
      <c r="AD278" s="280"/>
      <c r="AE278" s="140" t="s">
        <v>207</v>
      </c>
      <c r="AF278" s="178" t="str">
        <f t="shared" si="12"/>
        <v>C</v>
      </c>
      <c r="AG278" s="52" t="str">
        <f t="shared" si="13"/>
        <v>UTILIZOU O PDA CORRETAMENTE</v>
      </c>
      <c r="AH278" s="287" t="s">
        <v>207</v>
      </c>
      <c r="AI278" s="182" t="s">
        <v>36</v>
      </c>
      <c r="AJ278" s="93" t="str">
        <f t="shared" si="14"/>
        <v>SÃO PAULO</v>
      </c>
      <c r="AK278" s="183" t="s">
        <v>54</v>
      </c>
    </row>
    <row r="279" spans="1:37" ht="30" customHeight="1">
      <c r="A279" s="198" t="s">
        <v>198</v>
      </c>
      <c r="B279" s="198">
        <v>2619462966</v>
      </c>
      <c r="C279" s="198" t="s">
        <v>118</v>
      </c>
      <c r="D279" s="198" t="s">
        <v>96</v>
      </c>
      <c r="E279" s="198" t="s">
        <v>35</v>
      </c>
      <c r="F279" s="198" t="s">
        <v>286</v>
      </c>
      <c r="G279" s="198">
        <v>2849</v>
      </c>
      <c r="H279" s="198" t="s">
        <v>200</v>
      </c>
      <c r="I279" s="198" t="s">
        <v>643</v>
      </c>
      <c r="J279" s="198" t="s">
        <v>301</v>
      </c>
      <c r="K279" s="198" t="s">
        <v>644</v>
      </c>
      <c r="L279" s="199">
        <v>46151.238888888889</v>
      </c>
      <c r="M279" s="199">
        <v>46151.242361111108</v>
      </c>
      <c r="N279" s="198" t="s">
        <v>364</v>
      </c>
      <c r="O279" s="152" t="s">
        <v>207</v>
      </c>
      <c r="P279" s="280"/>
      <c r="Q279" s="140" t="s">
        <v>207</v>
      </c>
      <c r="R279" s="280"/>
      <c r="S279" s="140" t="s">
        <v>207</v>
      </c>
      <c r="T279" s="280"/>
      <c r="U279" s="140" t="s">
        <v>207</v>
      </c>
      <c r="V279" s="280"/>
      <c r="W279" s="140" t="s">
        <v>207</v>
      </c>
      <c r="X279" s="280"/>
      <c r="Y279" s="140" t="s">
        <v>77</v>
      </c>
      <c r="Z279" s="280"/>
      <c r="AA279" s="140" t="s">
        <v>207</v>
      </c>
      <c r="AB279" s="280"/>
      <c r="AC279" s="140" t="s">
        <v>207</v>
      </c>
      <c r="AD279" s="280"/>
      <c r="AE279" s="140" t="s">
        <v>207</v>
      </c>
      <c r="AF279" s="178" t="str">
        <f t="shared" si="12"/>
        <v>C</v>
      </c>
      <c r="AG279" s="52" t="str">
        <f t="shared" si="13"/>
        <v>UTILIZOU O PDA CORRETAMENTE</v>
      </c>
      <c r="AH279" s="287" t="s">
        <v>207</v>
      </c>
      <c r="AI279" s="182" t="s">
        <v>36</v>
      </c>
      <c r="AJ279" s="93" t="str">
        <f t="shared" si="14"/>
        <v>SÃO PAULO</v>
      </c>
      <c r="AK279" s="183" t="s">
        <v>54</v>
      </c>
    </row>
    <row r="280" spans="1:37" ht="30" customHeight="1">
      <c r="A280" s="198" t="s">
        <v>198</v>
      </c>
      <c r="B280" s="198">
        <v>2619354094</v>
      </c>
      <c r="C280" s="198" t="s">
        <v>114</v>
      </c>
      <c r="D280" s="198" t="s">
        <v>96</v>
      </c>
      <c r="E280" s="198" t="s">
        <v>35</v>
      </c>
      <c r="F280" s="198" t="s">
        <v>645</v>
      </c>
      <c r="G280" s="198">
        <v>372</v>
      </c>
      <c r="H280" s="198" t="s">
        <v>208</v>
      </c>
      <c r="I280" s="198" t="s">
        <v>475</v>
      </c>
      <c r="J280" s="198" t="s">
        <v>260</v>
      </c>
      <c r="K280" s="198" t="s">
        <v>646</v>
      </c>
      <c r="L280" s="199">
        <v>46151.131249999999</v>
      </c>
      <c r="M280" s="199">
        <v>46151.134722222225</v>
      </c>
      <c r="N280" s="198" t="s">
        <v>222</v>
      </c>
      <c r="O280" s="152" t="s">
        <v>207</v>
      </c>
      <c r="P280" s="280"/>
      <c r="Q280" s="140" t="s">
        <v>207</v>
      </c>
      <c r="R280" s="280"/>
      <c r="S280" s="140" t="s">
        <v>207</v>
      </c>
      <c r="T280" s="280"/>
      <c r="U280" s="140" t="s">
        <v>207</v>
      </c>
      <c r="V280" s="280"/>
      <c r="W280" s="140" t="s">
        <v>207</v>
      </c>
      <c r="X280" s="280"/>
      <c r="Y280" s="140" t="s">
        <v>207</v>
      </c>
      <c r="Z280" s="280"/>
      <c r="AA280" s="140" t="s">
        <v>207</v>
      </c>
      <c r="AB280" s="280"/>
      <c r="AC280" s="140" t="s">
        <v>207</v>
      </c>
      <c r="AD280" s="280"/>
      <c r="AE280" s="140" t="s">
        <v>207</v>
      </c>
      <c r="AF280" s="178" t="str">
        <f t="shared" si="12"/>
        <v>C</v>
      </c>
      <c r="AG280" s="52" t="str">
        <f t="shared" si="13"/>
        <v>UTILIZOU O PDA CORRETAMENTE</v>
      </c>
      <c r="AH280" s="287" t="s">
        <v>207</v>
      </c>
      <c r="AI280" s="182" t="s">
        <v>36</v>
      </c>
      <c r="AJ280" s="93" t="str">
        <f t="shared" si="14"/>
        <v>SÃO PAULO</v>
      </c>
      <c r="AK280" s="183" t="s">
        <v>54</v>
      </c>
    </row>
    <row r="281" spans="1:37" ht="30" customHeight="1">
      <c r="A281" s="198" t="s">
        <v>198</v>
      </c>
      <c r="B281" s="198">
        <v>2619377820</v>
      </c>
      <c r="C281" s="198" t="s">
        <v>115</v>
      </c>
      <c r="D281" s="198" t="s">
        <v>96</v>
      </c>
      <c r="E281" s="198" t="s">
        <v>35</v>
      </c>
      <c r="F281" s="198" t="s">
        <v>647</v>
      </c>
      <c r="G281" s="198">
        <v>72</v>
      </c>
      <c r="H281" s="198" t="s">
        <v>208</v>
      </c>
      <c r="I281" s="198" t="s">
        <v>259</v>
      </c>
      <c r="J281" s="198" t="s">
        <v>268</v>
      </c>
      <c r="K281" s="198" t="s">
        <v>200</v>
      </c>
      <c r="L281" s="199">
        <v>46151.20416666667</v>
      </c>
      <c r="M281" s="199">
        <v>46151.206944444442</v>
      </c>
      <c r="N281" s="198" t="s">
        <v>222</v>
      </c>
      <c r="O281" s="152" t="s">
        <v>207</v>
      </c>
      <c r="P281" s="280"/>
      <c r="Q281" s="140" t="s">
        <v>207</v>
      </c>
      <c r="R281" s="280"/>
      <c r="S281" s="140" t="s">
        <v>207</v>
      </c>
      <c r="T281" s="280"/>
      <c r="U281" s="140" t="s">
        <v>207</v>
      </c>
      <c r="V281" s="280"/>
      <c r="W281" s="140" t="s">
        <v>207</v>
      </c>
      <c r="X281" s="280"/>
      <c r="Y281" s="140" t="s">
        <v>207</v>
      </c>
      <c r="Z281" s="280"/>
      <c r="AA281" s="140" t="s">
        <v>207</v>
      </c>
      <c r="AB281" s="280"/>
      <c r="AC281" s="140" t="s">
        <v>207</v>
      </c>
      <c r="AD281" s="280"/>
      <c r="AE281" s="140" t="s">
        <v>207</v>
      </c>
      <c r="AF281" s="178" t="str">
        <f t="shared" si="12"/>
        <v>C</v>
      </c>
      <c r="AG281" s="52" t="str">
        <f t="shared" si="13"/>
        <v>UTILIZOU O PDA CORRETAMENTE</v>
      </c>
      <c r="AH281" s="140" t="s">
        <v>207</v>
      </c>
      <c r="AI281" s="182" t="s">
        <v>36</v>
      </c>
      <c r="AJ281" s="93" t="str">
        <f t="shared" si="14"/>
        <v>SÃO PAULO</v>
      </c>
      <c r="AK281" s="183" t="s">
        <v>54</v>
      </c>
    </row>
    <row r="282" spans="1:37" ht="30" customHeight="1">
      <c r="A282" s="198" t="s">
        <v>198</v>
      </c>
      <c r="B282" s="198">
        <v>2692897340</v>
      </c>
      <c r="C282" s="198" t="s">
        <v>118</v>
      </c>
      <c r="D282" s="198" t="s">
        <v>96</v>
      </c>
      <c r="E282" s="198" t="s">
        <v>35</v>
      </c>
      <c r="F282" s="198" t="s">
        <v>648</v>
      </c>
      <c r="G282" s="198">
        <v>257</v>
      </c>
      <c r="H282" s="198" t="s">
        <v>208</v>
      </c>
      <c r="I282" s="198" t="s">
        <v>649</v>
      </c>
      <c r="J282" s="198" t="s">
        <v>267</v>
      </c>
      <c r="K282" s="198" t="s">
        <v>610</v>
      </c>
      <c r="L282" s="199">
        <v>46151.334027777775</v>
      </c>
      <c r="M282" s="199">
        <v>46151.379166666666</v>
      </c>
      <c r="N282" s="198" t="s">
        <v>364</v>
      </c>
      <c r="O282" s="152" t="s">
        <v>207</v>
      </c>
      <c r="P282" s="280"/>
      <c r="Q282" s="140" t="s">
        <v>207</v>
      </c>
      <c r="R282" s="280"/>
      <c r="S282" s="140" t="s">
        <v>207</v>
      </c>
      <c r="T282" s="280"/>
      <c r="U282" s="140" t="s">
        <v>207</v>
      </c>
      <c r="V282" s="280"/>
      <c r="W282" s="140" t="s">
        <v>207</v>
      </c>
      <c r="X282" s="280"/>
      <c r="Y282" s="140" t="s">
        <v>77</v>
      </c>
      <c r="Z282" s="280"/>
      <c r="AA282" s="140" t="s">
        <v>207</v>
      </c>
      <c r="AB282" s="280"/>
      <c r="AC282" s="140" t="s">
        <v>207</v>
      </c>
      <c r="AD282" s="280"/>
      <c r="AE282" s="140" t="s">
        <v>207</v>
      </c>
      <c r="AF282" s="178" t="str">
        <f t="shared" si="12"/>
        <v>C</v>
      </c>
      <c r="AG282" s="52" t="str">
        <f t="shared" si="13"/>
        <v>UTILIZOU O PDA CORRETAMENTE</v>
      </c>
      <c r="AH282" s="140" t="s">
        <v>207</v>
      </c>
      <c r="AI282" s="182" t="s">
        <v>36</v>
      </c>
      <c r="AJ282" s="93" t="str">
        <f t="shared" si="14"/>
        <v>SÃO PAULO</v>
      </c>
      <c r="AK282" s="183" t="s">
        <v>54</v>
      </c>
    </row>
    <row r="283" spans="1:37" ht="30" customHeight="1">
      <c r="A283" s="198" t="s">
        <v>198</v>
      </c>
      <c r="B283" s="198">
        <v>2619364649</v>
      </c>
      <c r="C283" s="198" t="s">
        <v>115</v>
      </c>
      <c r="D283" s="198" t="s">
        <v>96</v>
      </c>
      <c r="E283" s="198" t="s">
        <v>35</v>
      </c>
      <c r="F283" s="198" t="s">
        <v>602</v>
      </c>
      <c r="G283" s="198">
        <v>1241</v>
      </c>
      <c r="H283" s="198"/>
      <c r="I283" s="198" t="s">
        <v>649</v>
      </c>
      <c r="J283" s="198" t="s">
        <v>268</v>
      </c>
      <c r="K283" s="198"/>
      <c r="L283" s="199">
        <v>46151.293055555558</v>
      </c>
      <c r="M283" s="199">
        <v>46151.295138888891</v>
      </c>
      <c r="N283" s="198" t="s">
        <v>288</v>
      </c>
      <c r="O283" s="256" t="s">
        <v>207</v>
      </c>
      <c r="P283" s="280"/>
      <c r="Q283" s="287" t="s">
        <v>207</v>
      </c>
      <c r="R283" s="280"/>
      <c r="S283" s="287" t="s">
        <v>207</v>
      </c>
      <c r="T283" s="280"/>
      <c r="U283" s="287" t="s">
        <v>207</v>
      </c>
      <c r="V283" s="280"/>
      <c r="W283" s="287" t="s">
        <v>207</v>
      </c>
      <c r="X283" s="280"/>
      <c r="Y283" s="287" t="s">
        <v>207</v>
      </c>
      <c r="Z283" s="280"/>
      <c r="AA283" s="287" t="s">
        <v>207</v>
      </c>
      <c r="AB283" s="280"/>
      <c r="AC283" s="287" t="s">
        <v>207</v>
      </c>
      <c r="AD283" s="90"/>
      <c r="AE283" s="287" t="s">
        <v>207</v>
      </c>
      <c r="AF283" s="178" t="str">
        <f t="shared" si="12"/>
        <v>C</v>
      </c>
      <c r="AG283" s="52" t="str">
        <f t="shared" si="13"/>
        <v>UTILIZOU O PDA CORRETAMENTE</v>
      </c>
      <c r="AH283" s="287" t="s">
        <v>207</v>
      </c>
      <c r="AI283" s="182" t="s">
        <v>36</v>
      </c>
      <c r="AJ283" s="93" t="str">
        <f t="shared" si="14"/>
        <v>SÃO PAULO</v>
      </c>
      <c r="AK283" s="183" t="s">
        <v>54</v>
      </c>
    </row>
    <row r="284" spans="1:37" ht="30" customHeight="1">
      <c r="A284" s="198" t="s">
        <v>198</v>
      </c>
      <c r="B284" s="198">
        <v>2692799936</v>
      </c>
      <c r="C284" s="198" t="s">
        <v>117</v>
      </c>
      <c r="D284" s="198" t="s">
        <v>96</v>
      </c>
      <c r="E284" s="198" t="s">
        <v>35</v>
      </c>
      <c r="F284" s="198" t="s">
        <v>650</v>
      </c>
      <c r="G284" s="198">
        <v>1150</v>
      </c>
      <c r="H284" s="198" t="s">
        <v>205</v>
      </c>
      <c r="I284" s="198" t="s">
        <v>408</v>
      </c>
      <c r="J284" s="198" t="s">
        <v>267</v>
      </c>
      <c r="K284" s="198" t="s">
        <v>200</v>
      </c>
      <c r="L284" s="199">
        <v>46151.180555555555</v>
      </c>
      <c r="M284" s="199">
        <v>46151.181250000001</v>
      </c>
      <c r="N284" s="198" t="s">
        <v>295</v>
      </c>
      <c r="O284" s="152" t="s">
        <v>207</v>
      </c>
      <c r="P284" s="90"/>
      <c r="Q284" s="140" t="s">
        <v>207</v>
      </c>
      <c r="R284" s="90"/>
      <c r="S284" s="140" t="s">
        <v>207</v>
      </c>
      <c r="T284" s="90"/>
      <c r="U284" s="140" t="s">
        <v>207</v>
      </c>
      <c r="V284" s="90"/>
      <c r="W284" s="140" t="s">
        <v>207</v>
      </c>
      <c r="X284" s="90"/>
      <c r="Y284" s="140" t="s">
        <v>77</v>
      </c>
      <c r="Z284" s="90"/>
      <c r="AA284" s="140" t="s">
        <v>207</v>
      </c>
      <c r="AB284" s="90"/>
      <c r="AC284" s="140" t="s">
        <v>207</v>
      </c>
      <c r="AD284" s="90"/>
      <c r="AE284" s="140" t="s">
        <v>207</v>
      </c>
      <c r="AF284" s="178" t="str">
        <f t="shared" si="12"/>
        <v>C</v>
      </c>
      <c r="AG284" s="52" t="str">
        <f t="shared" si="13"/>
        <v>UTILIZOU O PDA CORRETAMENTE</v>
      </c>
      <c r="AH284" s="140" t="s">
        <v>207</v>
      </c>
      <c r="AI284" s="182" t="s">
        <v>36</v>
      </c>
      <c r="AJ284" s="93" t="str">
        <f t="shared" si="14"/>
        <v>SÃO PAULO</v>
      </c>
      <c r="AK284" s="183" t="s">
        <v>54</v>
      </c>
    </row>
    <row r="285" spans="1:37" ht="30" customHeight="1">
      <c r="A285" s="198" t="s">
        <v>198</v>
      </c>
      <c r="B285" s="198">
        <v>2619400751</v>
      </c>
      <c r="C285" s="198" t="s">
        <v>104</v>
      </c>
      <c r="D285" s="198" t="s">
        <v>93</v>
      </c>
      <c r="E285" s="198" t="s">
        <v>35</v>
      </c>
      <c r="F285" s="198" t="s">
        <v>651</v>
      </c>
      <c r="G285" s="198">
        <v>50</v>
      </c>
      <c r="H285" s="198"/>
      <c r="I285" s="198" t="s">
        <v>652</v>
      </c>
      <c r="J285" s="198" t="s">
        <v>249</v>
      </c>
      <c r="K285" s="200" t="s">
        <v>653</v>
      </c>
      <c r="L285" s="199">
        <v>46151.277777777781</v>
      </c>
      <c r="M285" s="199">
        <v>46151.279166666667</v>
      </c>
      <c r="N285" s="198" t="s">
        <v>235</v>
      </c>
      <c r="O285" s="152" t="s">
        <v>207</v>
      </c>
      <c r="P285" s="90"/>
      <c r="Q285" s="140" t="s">
        <v>207</v>
      </c>
      <c r="R285" s="90"/>
      <c r="S285" s="140" t="s">
        <v>207</v>
      </c>
      <c r="T285" s="90"/>
      <c r="U285" s="140" t="s">
        <v>207</v>
      </c>
      <c r="V285" s="90"/>
      <c r="W285" s="140" t="s">
        <v>207</v>
      </c>
      <c r="X285" s="90"/>
      <c r="Y285" s="140" t="s">
        <v>77</v>
      </c>
      <c r="Z285" s="90"/>
      <c r="AA285" s="140" t="s">
        <v>207</v>
      </c>
      <c r="AB285" s="90"/>
      <c r="AC285" s="140" t="s">
        <v>207</v>
      </c>
      <c r="AD285" s="90"/>
      <c r="AE285" s="140" t="s">
        <v>207</v>
      </c>
      <c r="AF285" s="178" t="str">
        <f t="shared" si="12"/>
        <v>C</v>
      </c>
      <c r="AG285" s="52" t="str">
        <f t="shared" si="13"/>
        <v>UTILIZOU O PDA CORRETAMENTE</v>
      </c>
      <c r="AH285" s="140" t="s">
        <v>207</v>
      </c>
      <c r="AI285" s="182" t="s">
        <v>36</v>
      </c>
      <c r="AJ285" s="93" t="str">
        <f t="shared" si="14"/>
        <v>SÃO PAULO</v>
      </c>
      <c r="AK285" s="183" t="s">
        <v>54</v>
      </c>
    </row>
    <row r="286" spans="1:37" ht="30" customHeight="1">
      <c r="A286" s="198" t="s">
        <v>198</v>
      </c>
      <c r="B286" s="198">
        <v>2692899113</v>
      </c>
      <c r="C286" s="198" t="s">
        <v>118</v>
      </c>
      <c r="D286" s="198" t="s">
        <v>96</v>
      </c>
      <c r="E286" s="198" t="s">
        <v>35</v>
      </c>
      <c r="F286" s="198" t="s">
        <v>316</v>
      </c>
      <c r="G286" s="198">
        <v>314</v>
      </c>
      <c r="H286" s="198" t="s">
        <v>208</v>
      </c>
      <c r="I286" s="198" t="s">
        <v>281</v>
      </c>
      <c r="J286" s="198" t="s">
        <v>301</v>
      </c>
      <c r="K286" s="198" t="s">
        <v>200</v>
      </c>
      <c r="L286" s="199">
        <v>46152.393055555556</v>
      </c>
      <c r="M286" s="199">
        <v>46152.616666666669</v>
      </c>
      <c r="N286" s="198" t="s">
        <v>295</v>
      </c>
      <c r="O286" s="152" t="s">
        <v>207</v>
      </c>
      <c r="P286" s="90"/>
      <c r="Q286" s="140" t="s">
        <v>207</v>
      </c>
      <c r="R286" s="90"/>
      <c r="S286" s="140" t="s">
        <v>207</v>
      </c>
      <c r="T286" s="90"/>
      <c r="U286" s="140" t="s">
        <v>207</v>
      </c>
      <c r="V286" s="90"/>
      <c r="W286" s="140" t="s">
        <v>207</v>
      </c>
      <c r="X286" s="90"/>
      <c r="Y286" s="140" t="s">
        <v>77</v>
      </c>
      <c r="Z286" s="90"/>
      <c r="AA286" s="140" t="s">
        <v>207</v>
      </c>
      <c r="AB286" s="90"/>
      <c r="AC286" s="140" t="s">
        <v>207</v>
      </c>
      <c r="AD286" s="90"/>
      <c r="AE286" s="140" t="s">
        <v>207</v>
      </c>
      <c r="AF286" s="178" t="str">
        <f t="shared" si="12"/>
        <v>C</v>
      </c>
      <c r="AG286" s="52" t="str">
        <f t="shared" si="13"/>
        <v>UTILIZOU O PDA CORRETAMENTE</v>
      </c>
      <c r="AH286" s="140" t="s">
        <v>207</v>
      </c>
      <c r="AI286" s="182" t="s">
        <v>36</v>
      </c>
      <c r="AJ286" s="93" t="str">
        <f t="shared" si="14"/>
        <v>SÃO PAULO</v>
      </c>
      <c r="AK286" s="183" t="s">
        <v>54</v>
      </c>
    </row>
    <row r="287" spans="1:37" ht="30" customHeight="1">
      <c r="A287" s="198" t="s">
        <v>198</v>
      </c>
      <c r="B287" s="198">
        <v>2692922894</v>
      </c>
      <c r="C287" s="198" t="s">
        <v>117</v>
      </c>
      <c r="D287" s="198" t="s">
        <v>96</v>
      </c>
      <c r="E287" s="198" t="s">
        <v>35</v>
      </c>
      <c r="F287" s="198" t="s">
        <v>316</v>
      </c>
      <c r="G287" s="198">
        <v>29</v>
      </c>
      <c r="H287" s="198"/>
      <c r="I287" s="198" t="s">
        <v>281</v>
      </c>
      <c r="J287" s="198" t="s">
        <v>301</v>
      </c>
      <c r="K287" s="198"/>
      <c r="L287" s="199">
        <v>46152.643750000003</v>
      </c>
      <c r="M287" s="199">
        <v>46152.666666666664</v>
      </c>
      <c r="N287" s="198" t="s">
        <v>295</v>
      </c>
      <c r="O287" s="152" t="s">
        <v>207</v>
      </c>
      <c r="P287" s="90"/>
      <c r="Q287" s="140" t="s">
        <v>207</v>
      </c>
      <c r="R287" s="90"/>
      <c r="S287" s="140" t="s">
        <v>207</v>
      </c>
      <c r="T287" s="90"/>
      <c r="U287" s="140" t="s">
        <v>207</v>
      </c>
      <c r="V287" s="90"/>
      <c r="W287" s="140" t="s">
        <v>207</v>
      </c>
      <c r="X287" s="90"/>
      <c r="Y287" s="140" t="s">
        <v>77</v>
      </c>
      <c r="Z287" s="90"/>
      <c r="AA287" s="140" t="s">
        <v>207</v>
      </c>
      <c r="AB287" s="90"/>
      <c r="AC287" s="140" t="s">
        <v>207</v>
      </c>
      <c r="AD287" s="90"/>
      <c r="AE287" s="140" t="s">
        <v>207</v>
      </c>
      <c r="AF287" s="178" t="str">
        <f t="shared" si="12"/>
        <v>C</v>
      </c>
      <c r="AG287" s="52" t="str">
        <f t="shared" si="13"/>
        <v>UTILIZOU O PDA CORRETAMENTE</v>
      </c>
      <c r="AH287" s="140" t="s">
        <v>207</v>
      </c>
      <c r="AI287" s="182" t="s">
        <v>36</v>
      </c>
      <c r="AJ287" s="93" t="str">
        <f t="shared" si="14"/>
        <v>SÃO PAULO</v>
      </c>
      <c r="AK287" s="183" t="s">
        <v>54</v>
      </c>
    </row>
    <row r="288" spans="1:37" ht="30" customHeight="1">
      <c r="A288" s="198" t="s">
        <v>198</v>
      </c>
      <c r="B288" s="198">
        <v>2692910668</v>
      </c>
      <c r="C288" s="198" t="s">
        <v>122</v>
      </c>
      <c r="D288" s="198" t="s">
        <v>96</v>
      </c>
      <c r="E288" s="198" t="s">
        <v>35</v>
      </c>
      <c r="F288" s="198" t="s">
        <v>292</v>
      </c>
      <c r="G288" s="198">
        <v>55</v>
      </c>
      <c r="H288" s="198" t="s">
        <v>347</v>
      </c>
      <c r="I288" s="198" t="s">
        <v>293</v>
      </c>
      <c r="J288" s="198" t="s">
        <v>267</v>
      </c>
      <c r="K288" s="198" t="s">
        <v>586</v>
      </c>
      <c r="L288" s="199">
        <v>46152.088194444441</v>
      </c>
      <c r="M288" s="199">
        <v>46152.113888888889</v>
      </c>
      <c r="N288" s="198" t="s">
        <v>331</v>
      </c>
      <c r="O288" s="152" t="s">
        <v>207</v>
      </c>
      <c r="P288" s="90"/>
      <c r="Q288" s="287" t="s">
        <v>207</v>
      </c>
      <c r="R288" s="90"/>
      <c r="S288" s="287" t="s">
        <v>207</v>
      </c>
      <c r="T288" s="90"/>
      <c r="U288" s="287" t="s">
        <v>207</v>
      </c>
      <c r="V288" s="90"/>
      <c r="W288" s="287" t="s">
        <v>207</v>
      </c>
      <c r="X288" s="90"/>
      <c r="Y288" s="287" t="s">
        <v>77</v>
      </c>
      <c r="Z288" s="90"/>
      <c r="AA288" s="287" t="s">
        <v>207</v>
      </c>
      <c r="AB288" s="90"/>
      <c r="AC288" s="287" t="s">
        <v>207</v>
      </c>
      <c r="AD288" s="90"/>
      <c r="AE288" s="287" t="s">
        <v>207</v>
      </c>
      <c r="AF288" s="178" t="str">
        <f t="shared" si="12"/>
        <v>C</v>
      </c>
      <c r="AG288" s="52" t="str">
        <f t="shared" si="13"/>
        <v>UTILIZOU O PDA CORRETAMENTE</v>
      </c>
      <c r="AH288" s="287" t="s">
        <v>207</v>
      </c>
      <c r="AI288" s="182" t="s">
        <v>36</v>
      </c>
      <c r="AJ288" s="93" t="str">
        <f t="shared" si="14"/>
        <v>SÃO PAULO</v>
      </c>
      <c r="AK288" s="183" t="s">
        <v>54</v>
      </c>
    </row>
    <row r="289" spans="1:37" ht="30" customHeight="1">
      <c r="A289" s="198" t="s">
        <v>198</v>
      </c>
      <c r="B289" s="198">
        <v>2692924764</v>
      </c>
      <c r="C289" s="198" t="s">
        <v>117</v>
      </c>
      <c r="D289" s="198" t="s">
        <v>96</v>
      </c>
      <c r="E289" s="198" t="s">
        <v>35</v>
      </c>
      <c r="F289" s="198" t="s">
        <v>654</v>
      </c>
      <c r="G289" s="198">
        <v>11</v>
      </c>
      <c r="H289" s="198"/>
      <c r="I289" s="198" t="s">
        <v>225</v>
      </c>
      <c r="J289" s="198" t="s">
        <v>301</v>
      </c>
      <c r="K289" s="198"/>
      <c r="L289" s="199">
        <v>46152.291666666664</v>
      </c>
      <c r="M289" s="199">
        <v>46152.292361111111</v>
      </c>
      <c r="N289" s="198" t="s">
        <v>323</v>
      </c>
      <c r="O289" s="152" t="s">
        <v>207</v>
      </c>
      <c r="P289" s="90"/>
      <c r="Q289" s="140" t="s">
        <v>207</v>
      </c>
      <c r="R289" s="90"/>
      <c r="S289" s="140" t="s">
        <v>207</v>
      </c>
      <c r="T289" s="90"/>
      <c r="U289" s="140" t="s">
        <v>207</v>
      </c>
      <c r="V289" s="90"/>
      <c r="W289" s="140" t="s">
        <v>207</v>
      </c>
      <c r="X289" s="90"/>
      <c r="Y289" s="140" t="s">
        <v>77</v>
      </c>
      <c r="Z289" s="90"/>
      <c r="AA289" s="140" t="s">
        <v>207</v>
      </c>
      <c r="AB289" s="90"/>
      <c r="AC289" s="140" t="s">
        <v>207</v>
      </c>
      <c r="AD289" s="90"/>
      <c r="AE289" s="140" t="s">
        <v>207</v>
      </c>
      <c r="AF289" s="178" t="str">
        <f t="shared" si="12"/>
        <v>C</v>
      </c>
      <c r="AG289" s="52" t="str">
        <f t="shared" si="13"/>
        <v>UTILIZOU O PDA CORRETAMENTE</v>
      </c>
      <c r="AH289" s="140" t="s">
        <v>207</v>
      </c>
      <c r="AI289" s="182" t="s">
        <v>36</v>
      </c>
      <c r="AJ289" s="93" t="str">
        <f t="shared" si="14"/>
        <v>SÃO PAULO</v>
      </c>
      <c r="AK289" s="183" t="s">
        <v>54</v>
      </c>
    </row>
    <row r="290" spans="1:37" ht="30" customHeight="1">
      <c r="A290" s="198" t="s">
        <v>198</v>
      </c>
      <c r="B290" s="198">
        <v>2619467094</v>
      </c>
      <c r="C290" s="198" t="s">
        <v>118</v>
      </c>
      <c r="D290" s="198" t="s">
        <v>96</v>
      </c>
      <c r="E290" s="198" t="s">
        <v>35</v>
      </c>
      <c r="F290" s="198" t="s">
        <v>655</v>
      </c>
      <c r="G290" s="198">
        <v>24</v>
      </c>
      <c r="H290" s="198" t="s">
        <v>200</v>
      </c>
      <c r="I290" s="198" t="s">
        <v>359</v>
      </c>
      <c r="J290" s="198" t="s">
        <v>315</v>
      </c>
      <c r="K290" s="198" t="s">
        <v>200</v>
      </c>
      <c r="L290" s="199">
        <v>46152.131249999999</v>
      </c>
      <c r="M290" s="199">
        <v>46152.309027777781</v>
      </c>
      <c r="N290" s="198" t="s">
        <v>403</v>
      </c>
      <c r="O290" s="152" t="s">
        <v>207</v>
      </c>
      <c r="P290" s="90"/>
      <c r="Q290" s="140" t="s">
        <v>207</v>
      </c>
      <c r="R290" s="90"/>
      <c r="S290" s="140" t="s">
        <v>207</v>
      </c>
      <c r="T290" s="90"/>
      <c r="U290" s="140" t="s">
        <v>207</v>
      </c>
      <c r="V290" s="90"/>
      <c r="W290" s="140" t="s">
        <v>207</v>
      </c>
      <c r="X290" s="90"/>
      <c r="Y290" s="140" t="s">
        <v>77</v>
      </c>
      <c r="Z290" s="90"/>
      <c r="AA290" s="140" t="s">
        <v>207</v>
      </c>
      <c r="AB290" s="90"/>
      <c r="AC290" s="140" t="s">
        <v>207</v>
      </c>
      <c r="AD290" s="90"/>
      <c r="AE290" s="140" t="s">
        <v>207</v>
      </c>
      <c r="AF290" s="178" t="str">
        <f t="shared" si="12"/>
        <v>C</v>
      </c>
      <c r="AG290" s="52" t="str">
        <f t="shared" si="13"/>
        <v>UTILIZOU O PDA CORRETAMENTE</v>
      </c>
      <c r="AH290" s="140" t="s">
        <v>207</v>
      </c>
      <c r="AI290" s="182" t="s">
        <v>36</v>
      </c>
      <c r="AJ290" s="93" t="str">
        <f t="shared" si="14"/>
        <v>SÃO PAULO</v>
      </c>
      <c r="AK290" s="183" t="s">
        <v>54</v>
      </c>
    </row>
    <row r="291" spans="1:37" ht="30" customHeight="1">
      <c r="A291" s="198" t="s">
        <v>198</v>
      </c>
      <c r="B291" s="198">
        <v>2692911827</v>
      </c>
      <c r="C291" s="198" t="s">
        <v>122</v>
      </c>
      <c r="D291" s="198" t="s">
        <v>96</v>
      </c>
      <c r="E291" s="198" t="s">
        <v>35</v>
      </c>
      <c r="F291" s="198" t="s">
        <v>564</v>
      </c>
      <c r="G291" s="198">
        <v>264</v>
      </c>
      <c r="H291" s="198"/>
      <c r="I291" s="198" t="s">
        <v>293</v>
      </c>
      <c r="J291" s="198" t="s">
        <v>260</v>
      </c>
      <c r="K291" s="198" t="s">
        <v>656</v>
      </c>
      <c r="L291" s="199">
        <v>46152.128472222219</v>
      </c>
      <c r="M291" s="199">
        <v>46152.154861111114</v>
      </c>
      <c r="N291" s="198" t="s">
        <v>331</v>
      </c>
      <c r="O291" s="152" t="s">
        <v>207</v>
      </c>
      <c r="P291" s="90"/>
      <c r="Q291" s="140" t="s">
        <v>207</v>
      </c>
      <c r="R291" s="90"/>
      <c r="S291" s="140" t="s">
        <v>207</v>
      </c>
      <c r="T291" s="90"/>
      <c r="U291" s="140" t="s">
        <v>207</v>
      </c>
      <c r="V291" s="90"/>
      <c r="W291" s="140" t="s">
        <v>207</v>
      </c>
      <c r="X291" s="90"/>
      <c r="Y291" s="140" t="s">
        <v>77</v>
      </c>
      <c r="Z291" s="90"/>
      <c r="AA291" s="140" t="s">
        <v>207</v>
      </c>
      <c r="AB291" s="90"/>
      <c r="AC291" s="140" t="s">
        <v>207</v>
      </c>
      <c r="AD291" s="90"/>
      <c r="AE291" s="140" t="s">
        <v>207</v>
      </c>
      <c r="AF291" s="178" t="str">
        <f t="shared" si="12"/>
        <v>C</v>
      </c>
      <c r="AG291" s="52" t="str">
        <f t="shared" si="13"/>
        <v>UTILIZOU O PDA CORRETAMENTE</v>
      </c>
      <c r="AH291" s="140" t="s">
        <v>207</v>
      </c>
      <c r="AI291" s="182" t="s">
        <v>36</v>
      </c>
      <c r="AJ291" s="93" t="str">
        <f t="shared" si="14"/>
        <v>SÃO PAULO</v>
      </c>
      <c r="AK291" s="183" t="s">
        <v>54</v>
      </c>
    </row>
    <row r="292" spans="1:37" ht="30" customHeight="1">
      <c r="A292" s="198" t="s">
        <v>198</v>
      </c>
      <c r="B292" s="198">
        <v>2619780057</v>
      </c>
      <c r="C292" s="198" t="s">
        <v>116</v>
      </c>
      <c r="D292" s="198" t="s">
        <v>94</v>
      </c>
      <c r="E292" s="198" t="s">
        <v>35</v>
      </c>
      <c r="F292" s="198" t="s">
        <v>655</v>
      </c>
      <c r="G292" s="198">
        <v>24</v>
      </c>
      <c r="H292" s="198" t="s">
        <v>200</v>
      </c>
      <c r="I292" s="198" t="s">
        <v>359</v>
      </c>
      <c r="J292" s="198" t="s">
        <v>221</v>
      </c>
      <c r="K292" s="198" t="s">
        <v>200</v>
      </c>
      <c r="L292" s="199">
        <v>46152.384722222225</v>
      </c>
      <c r="M292" s="199">
        <v>46152.390277777777</v>
      </c>
      <c r="N292" s="198" t="s">
        <v>403</v>
      </c>
      <c r="O292" s="152" t="s">
        <v>207</v>
      </c>
      <c r="P292" s="90"/>
      <c r="Q292" s="140" t="s">
        <v>207</v>
      </c>
      <c r="R292" s="90"/>
      <c r="S292" s="140" t="s">
        <v>207</v>
      </c>
      <c r="T292" s="90"/>
      <c r="U292" s="140" t="s">
        <v>207</v>
      </c>
      <c r="V292" s="90"/>
      <c r="W292" s="140" t="s">
        <v>207</v>
      </c>
      <c r="X292" s="90"/>
      <c r="Y292" s="140" t="s">
        <v>207</v>
      </c>
      <c r="Z292" s="90"/>
      <c r="AA292" s="140" t="s">
        <v>207</v>
      </c>
      <c r="AB292" s="90"/>
      <c r="AC292" s="140" t="s">
        <v>207</v>
      </c>
      <c r="AD292" s="90"/>
      <c r="AE292" s="140" t="s">
        <v>207</v>
      </c>
      <c r="AF292" s="178" t="str">
        <f t="shared" si="12"/>
        <v>C</v>
      </c>
      <c r="AG292" s="52" t="str">
        <f t="shared" si="13"/>
        <v>UTILIZOU O PDA CORRETAMENTE</v>
      </c>
      <c r="AH292" s="140" t="s">
        <v>207</v>
      </c>
      <c r="AI292" s="182" t="s">
        <v>36</v>
      </c>
      <c r="AJ292" s="93" t="str">
        <f t="shared" si="14"/>
        <v>SÃO PAULO</v>
      </c>
      <c r="AK292" s="183" t="s">
        <v>54</v>
      </c>
    </row>
    <row r="293" spans="1:37" ht="30" customHeight="1">
      <c r="A293" s="198" t="s">
        <v>198</v>
      </c>
      <c r="B293" s="198">
        <v>2619780610</v>
      </c>
      <c r="C293" s="198" t="s">
        <v>120</v>
      </c>
      <c r="D293" s="198" t="s">
        <v>96</v>
      </c>
      <c r="E293" s="198" t="s">
        <v>35</v>
      </c>
      <c r="F293" s="198" t="s">
        <v>657</v>
      </c>
      <c r="G293" s="198">
        <v>304</v>
      </c>
      <c r="H293" s="198" t="s">
        <v>208</v>
      </c>
      <c r="I293" s="198" t="s">
        <v>658</v>
      </c>
      <c r="J293" s="198" t="s">
        <v>202</v>
      </c>
      <c r="K293" s="198"/>
      <c r="L293" s="199">
        <v>46153.40625</v>
      </c>
      <c r="M293" s="199">
        <v>46153.434027777781</v>
      </c>
      <c r="N293" s="198" t="s">
        <v>295</v>
      </c>
      <c r="O293" s="152" t="s">
        <v>207</v>
      </c>
      <c r="P293" s="90"/>
      <c r="Q293" s="140" t="s">
        <v>207</v>
      </c>
      <c r="R293" s="90"/>
      <c r="S293" s="140" t="s">
        <v>207</v>
      </c>
      <c r="T293" s="90"/>
      <c r="U293" s="140" t="s">
        <v>207</v>
      </c>
      <c r="V293" s="90"/>
      <c r="W293" s="140" t="s">
        <v>207</v>
      </c>
      <c r="X293" s="90"/>
      <c r="Y293" s="140" t="s">
        <v>77</v>
      </c>
      <c r="Z293" s="90"/>
      <c r="AA293" s="140" t="s">
        <v>207</v>
      </c>
      <c r="AB293" s="90"/>
      <c r="AC293" s="140" t="s">
        <v>207</v>
      </c>
      <c r="AD293" s="90"/>
      <c r="AE293" s="140" t="s">
        <v>207</v>
      </c>
      <c r="AF293" s="178" t="str">
        <f t="shared" si="12"/>
        <v>C</v>
      </c>
      <c r="AG293" s="52" t="str">
        <f t="shared" si="13"/>
        <v>UTILIZOU O PDA CORRETAMENTE</v>
      </c>
      <c r="AH293" s="140" t="s">
        <v>207</v>
      </c>
      <c r="AI293" s="182" t="s">
        <v>36</v>
      </c>
      <c r="AJ293" s="93" t="str">
        <f t="shared" si="14"/>
        <v>SÃO PAULO</v>
      </c>
      <c r="AK293" s="183" t="s">
        <v>54</v>
      </c>
    </row>
    <row r="294" spans="1:37" ht="30" customHeight="1">
      <c r="A294" s="198" t="s">
        <v>198</v>
      </c>
      <c r="B294" s="198">
        <v>2619780650</v>
      </c>
      <c r="C294" s="198" t="s">
        <v>120</v>
      </c>
      <c r="D294" s="198" t="s">
        <v>96</v>
      </c>
      <c r="E294" s="198" t="s">
        <v>35</v>
      </c>
      <c r="F294" s="198" t="s">
        <v>659</v>
      </c>
      <c r="G294" s="198">
        <v>450</v>
      </c>
      <c r="H294" s="198" t="s">
        <v>200</v>
      </c>
      <c r="I294" s="198" t="s">
        <v>536</v>
      </c>
      <c r="J294" s="198" t="s">
        <v>202</v>
      </c>
      <c r="K294" s="198" t="s">
        <v>200</v>
      </c>
      <c r="L294" s="199">
        <v>46153.51458333333</v>
      </c>
      <c r="M294" s="199">
        <v>46153.517361111109</v>
      </c>
      <c r="N294" s="198" t="s">
        <v>323</v>
      </c>
      <c r="O294" s="152" t="s">
        <v>207</v>
      </c>
      <c r="P294" s="90"/>
      <c r="Q294" s="140" t="s">
        <v>207</v>
      </c>
      <c r="R294" s="90"/>
      <c r="S294" s="140" t="s">
        <v>207</v>
      </c>
      <c r="T294" s="90"/>
      <c r="U294" s="140" t="s">
        <v>207</v>
      </c>
      <c r="V294" s="90"/>
      <c r="W294" s="140" t="s">
        <v>207</v>
      </c>
      <c r="X294" s="90"/>
      <c r="Y294" s="140" t="s">
        <v>77</v>
      </c>
      <c r="Z294" s="90"/>
      <c r="AA294" s="140" t="s">
        <v>207</v>
      </c>
      <c r="AB294" s="90"/>
      <c r="AC294" s="140" t="s">
        <v>207</v>
      </c>
      <c r="AD294" s="90"/>
      <c r="AE294" s="140" t="s">
        <v>207</v>
      </c>
      <c r="AF294" s="178" t="str">
        <f t="shared" si="12"/>
        <v>C</v>
      </c>
      <c r="AG294" s="52" t="str">
        <f t="shared" si="13"/>
        <v>UTILIZOU O PDA CORRETAMENTE</v>
      </c>
      <c r="AH294" s="140" t="s">
        <v>207</v>
      </c>
      <c r="AI294" s="182" t="s">
        <v>36</v>
      </c>
      <c r="AJ294" s="93" t="str">
        <f t="shared" si="14"/>
        <v>SÃO PAULO</v>
      </c>
      <c r="AK294" s="183" t="s">
        <v>54</v>
      </c>
    </row>
    <row r="295" spans="1:37" ht="30" customHeight="1">
      <c r="A295" s="198" t="s">
        <v>198</v>
      </c>
      <c r="B295" s="198">
        <v>2619780665</v>
      </c>
      <c r="C295" s="198" t="s">
        <v>120</v>
      </c>
      <c r="D295" s="198" t="s">
        <v>96</v>
      </c>
      <c r="E295" s="198" t="s">
        <v>35</v>
      </c>
      <c r="F295" s="198" t="s">
        <v>660</v>
      </c>
      <c r="G295" s="198">
        <v>120</v>
      </c>
      <c r="H295" s="198" t="s">
        <v>401</v>
      </c>
      <c r="I295" s="198" t="s">
        <v>661</v>
      </c>
      <c r="J295" s="198" t="s">
        <v>202</v>
      </c>
      <c r="K295" s="198"/>
      <c r="L295" s="199">
        <v>46153.085416666669</v>
      </c>
      <c r="M295" s="199">
        <v>46153.262499999997</v>
      </c>
      <c r="N295" s="198" t="s">
        <v>251</v>
      </c>
      <c r="O295" s="152" t="s">
        <v>207</v>
      </c>
      <c r="P295" s="90"/>
      <c r="Q295" s="140" t="s">
        <v>207</v>
      </c>
      <c r="R295" s="90"/>
      <c r="S295" s="140" t="s">
        <v>207</v>
      </c>
      <c r="T295" s="90"/>
      <c r="U295" s="140" t="s">
        <v>207</v>
      </c>
      <c r="V295" s="90"/>
      <c r="W295" s="140" t="s">
        <v>207</v>
      </c>
      <c r="X295" s="90"/>
      <c r="Y295" s="140" t="s">
        <v>77</v>
      </c>
      <c r="Z295" s="90"/>
      <c r="AA295" s="140" t="s">
        <v>207</v>
      </c>
      <c r="AB295" s="90"/>
      <c r="AC295" s="140" t="s">
        <v>207</v>
      </c>
      <c r="AD295" s="90"/>
      <c r="AE295" s="140" t="s">
        <v>207</v>
      </c>
      <c r="AF295" s="178" t="str">
        <f t="shared" si="12"/>
        <v>C</v>
      </c>
      <c r="AG295" s="52" t="str">
        <f t="shared" si="13"/>
        <v>UTILIZOU O PDA CORRETAMENTE</v>
      </c>
      <c r="AH295" s="140" t="s">
        <v>207</v>
      </c>
      <c r="AI295" s="182" t="s">
        <v>36</v>
      </c>
      <c r="AJ295" s="93" t="str">
        <f t="shared" si="14"/>
        <v>SÃO PAULO</v>
      </c>
      <c r="AK295" s="183" t="s">
        <v>54</v>
      </c>
    </row>
    <row r="296" spans="1:37" ht="30" customHeight="1">
      <c r="A296" s="198" t="s">
        <v>198</v>
      </c>
      <c r="B296" s="198">
        <v>2619788752</v>
      </c>
      <c r="C296" s="198" t="s">
        <v>120</v>
      </c>
      <c r="D296" s="198" t="s">
        <v>96</v>
      </c>
      <c r="E296" s="198" t="s">
        <v>35</v>
      </c>
      <c r="F296" s="198" t="s">
        <v>662</v>
      </c>
      <c r="G296" s="198">
        <v>8</v>
      </c>
      <c r="H296" s="198" t="s">
        <v>347</v>
      </c>
      <c r="I296" s="198" t="s">
        <v>355</v>
      </c>
      <c r="J296" s="198" t="s">
        <v>574</v>
      </c>
      <c r="K296" s="198" t="s">
        <v>200</v>
      </c>
      <c r="L296" s="199">
        <v>46153.581250000003</v>
      </c>
      <c r="M296" s="199">
        <v>46153.606944444444</v>
      </c>
      <c r="N296" s="198" t="s">
        <v>274</v>
      </c>
      <c r="O296" s="152" t="s">
        <v>207</v>
      </c>
      <c r="P296" s="90"/>
      <c r="Q296" s="140" t="s">
        <v>207</v>
      </c>
      <c r="R296" s="90"/>
      <c r="S296" s="140" t="s">
        <v>207</v>
      </c>
      <c r="T296" s="90"/>
      <c r="U296" s="140" t="s">
        <v>207</v>
      </c>
      <c r="V296" s="90"/>
      <c r="W296" s="140" t="s">
        <v>207</v>
      </c>
      <c r="X296" s="90"/>
      <c r="Y296" s="140" t="s">
        <v>77</v>
      </c>
      <c r="Z296" s="90"/>
      <c r="AA296" s="140" t="s">
        <v>207</v>
      </c>
      <c r="AB296" s="90"/>
      <c r="AC296" s="140" t="s">
        <v>207</v>
      </c>
      <c r="AD296" s="90"/>
      <c r="AE296" s="140" t="s">
        <v>207</v>
      </c>
      <c r="AF296" s="178" t="str">
        <f t="shared" si="12"/>
        <v>C</v>
      </c>
      <c r="AG296" s="52" t="str">
        <f t="shared" si="13"/>
        <v>UTILIZOU O PDA CORRETAMENTE</v>
      </c>
      <c r="AH296" s="140" t="s">
        <v>207</v>
      </c>
      <c r="AI296" s="182" t="s">
        <v>36</v>
      </c>
      <c r="AJ296" s="93" t="str">
        <f t="shared" si="14"/>
        <v>SÃO PAULO</v>
      </c>
      <c r="AK296" s="183" t="s">
        <v>54</v>
      </c>
    </row>
    <row r="297" spans="1:37" ht="30" customHeight="1">
      <c r="A297" s="198" t="s">
        <v>198</v>
      </c>
      <c r="B297" s="198">
        <v>2619364443</v>
      </c>
      <c r="C297" s="198" t="s">
        <v>101</v>
      </c>
      <c r="D297" s="198" t="s">
        <v>92</v>
      </c>
      <c r="E297" s="198" t="s">
        <v>35</v>
      </c>
      <c r="F297" s="198" t="s">
        <v>663</v>
      </c>
      <c r="G297" s="198">
        <v>205</v>
      </c>
      <c r="H297" s="198" t="s">
        <v>664</v>
      </c>
      <c r="I297" s="198" t="s">
        <v>665</v>
      </c>
      <c r="J297" s="198" t="s">
        <v>101</v>
      </c>
      <c r="K297" s="198"/>
      <c r="L297" s="199">
        <v>46153.0625</v>
      </c>
      <c r="M297" s="199">
        <v>46153.135416666664</v>
      </c>
      <c r="N297" s="198" t="s">
        <v>213</v>
      </c>
      <c r="O297" s="152" t="s">
        <v>207</v>
      </c>
      <c r="P297" s="90"/>
      <c r="Q297" s="140" t="s">
        <v>207</v>
      </c>
      <c r="R297" s="90"/>
      <c r="S297" s="140" t="s">
        <v>77</v>
      </c>
      <c r="T297" s="90"/>
      <c r="U297" s="140" t="s">
        <v>77</v>
      </c>
      <c r="V297" s="90"/>
      <c r="W297" s="140" t="s">
        <v>77</v>
      </c>
      <c r="X297" s="90"/>
      <c r="Y297" s="140" t="s">
        <v>77</v>
      </c>
      <c r="Z297" s="90"/>
      <c r="AA297" s="140" t="s">
        <v>77</v>
      </c>
      <c r="AB297" s="90"/>
      <c r="AC297" s="140" t="s">
        <v>207</v>
      </c>
      <c r="AD297" s="90"/>
      <c r="AE297" s="140" t="s">
        <v>207</v>
      </c>
      <c r="AF297" s="178" t="str">
        <f t="shared" si="12"/>
        <v>C</v>
      </c>
      <c r="AG297" s="52" t="str">
        <f t="shared" si="13"/>
        <v>UTILIZOU O PDA CORRETAMENTE</v>
      </c>
      <c r="AH297" s="140" t="s">
        <v>207</v>
      </c>
      <c r="AI297" s="182" t="s">
        <v>36</v>
      </c>
      <c r="AJ297" s="93" t="str">
        <f t="shared" si="14"/>
        <v>SÃO PAULO</v>
      </c>
      <c r="AK297" s="183" t="s">
        <v>54</v>
      </c>
    </row>
    <row r="298" spans="1:37" ht="30" customHeight="1">
      <c r="A298" s="198" t="s">
        <v>198</v>
      </c>
      <c r="B298" s="198">
        <v>2619795233</v>
      </c>
      <c r="C298" s="198" t="s">
        <v>116</v>
      </c>
      <c r="D298" s="198" t="s">
        <v>94</v>
      </c>
      <c r="E298" s="198" t="s">
        <v>35</v>
      </c>
      <c r="F298" s="198" t="s">
        <v>530</v>
      </c>
      <c r="G298" s="198">
        <v>203</v>
      </c>
      <c r="H298" s="198" t="s">
        <v>200</v>
      </c>
      <c r="I298" s="198" t="s">
        <v>241</v>
      </c>
      <c r="J298" s="198" t="s">
        <v>221</v>
      </c>
      <c r="K298" s="198" t="s">
        <v>200</v>
      </c>
      <c r="L298" s="199">
        <v>46153.376388888886</v>
      </c>
      <c r="M298" s="199">
        <v>46153.377083333333</v>
      </c>
      <c r="N298" s="198" t="s">
        <v>232</v>
      </c>
      <c r="O298" s="152" t="s">
        <v>207</v>
      </c>
      <c r="P298" s="90"/>
      <c r="Q298" s="140" t="s">
        <v>207</v>
      </c>
      <c r="R298" s="90"/>
      <c r="S298" s="140" t="s">
        <v>207</v>
      </c>
      <c r="T298" s="90"/>
      <c r="U298" s="140" t="s">
        <v>207</v>
      </c>
      <c r="V298" s="90"/>
      <c r="W298" s="140" t="s">
        <v>207</v>
      </c>
      <c r="X298" s="90"/>
      <c r="Y298" s="140" t="s">
        <v>207</v>
      </c>
      <c r="Z298" s="90"/>
      <c r="AA298" s="140" t="s">
        <v>207</v>
      </c>
      <c r="AB298" s="90"/>
      <c r="AC298" s="140" t="s">
        <v>207</v>
      </c>
      <c r="AD298" s="90"/>
      <c r="AE298" s="140" t="s">
        <v>207</v>
      </c>
      <c r="AF298" s="178" t="str">
        <f t="shared" si="12"/>
        <v>C</v>
      </c>
      <c r="AG298" s="52" t="str">
        <f t="shared" si="13"/>
        <v>UTILIZOU O PDA CORRETAMENTE</v>
      </c>
      <c r="AH298" s="140" t="s">
        <v>207</v>
      </c>
      <c r="AI298" s="182" t="s">
        <v>36</v>
      </c>
      <c r="AJ298" s="93" t="str">
        <f t="shared" si="14"/>
        <v>SÃO PAULO</v>
      </c>
      <c r="AK298" s="183" t="s">
        <v>54</v>
      </c>
    </row>
    <row r="299" spans="1:37" ht="30" customHeight="1">
      <c r="A299" s="198" t="s">
        <v>198</v>
      </c>
      <c r="B299" s="198">
        <v>2619795448</v>
      </c>
      <c r="C299" s="198" t="s">
        <v>116</v>
      </c>
      <c r="D299" s="198" t="s">
        <v>94</v>
      </c>
      <c r="E299" s="198" t="s">
        <v>35</v>
      </c>
      <c r="F299" s="198" t="s">
        <v>627</v>
      </c>
      <c r="G299" s="198">
        <v>136</v>
      </c>
      <c r="H299" s="198" t="s">
        <v>208</v>
      </c>
      <c r="I299" s="198" t="s">
        <v>271</v>
      </c>
      <c r="J299" s="198" t="s">
        <v>221</v>
      </c>
      <c r="K299" s="198" t="s">
        <v>656</v>
      </c>
      <c r="L299" s="199">
        <v>46153.522222222222</v>
      </c>
      <c r="M299" s="199">
        <v>46153.525000000001</v>
      </c>
      <c r="N299" s="198" t="s">
        <v>331</v>
      </c>
      <c r="O299" s="152" t="s">
        <v>207</v>
      </c>
      <c r="P299" s="90"/>
      <c r="Q299" s="140" t="s">
        <v>207</v>
      </c>
      <c r="R299" s="90"/>
      <c r="S299" s="140" t="s">
        <v>207</v>
      </c>
      <c r="T299" s="90"/>
      <c r="U299" s="140" t="s">
        <v>207</v>
      </c>
      <c r="V299" s="90"/>
      <c r="W299" s="140" t="s">
        <v>207</v>
      </c>
      <c r="X299" s="90"/>
      <c r="Y299" s="140" t="s">
        <v>207</v>
      </c>
      <c r="Z299" s="90"/>
      <c r="AA299" s="140" t="s">
        <v>207</v>
      </c>
      <c r="AB299" s="90"/>
      <c r="AC299" s="140" t="s">
        <v>207</v>
      </c>
      <c r="AD299" s="90"/>
      <c r="AE299" s="140" t="s">
        <v>207</v>
      </c>
      <c r="AF299" s="178" t="str">
        <f t="shared" si="12"/>
        <v>C</v>
      </c>
      <c r="AG299" s="52" t="str">
        <f t="shared" si="13"/>
        <v>UTILIZOU O PDA CORRETAMENTE</v>
      </c>
      <c r="AH299" s="140" t="s">
        <v>207</v>
      </c>
      <c r="AI299" s="182" t="s">
        <v>36</v>
      </c>
      <c r="AJ299" s="93" t="str">
        <f t="shared" si="14"/>
        <v>SÃO PAULO</v>
      </c>
      <c r="AK299" s="183" t="s">
        <v>54</v>
      </c>
    </row>
    <row r="300" spans="1:37" ht="30" customHeight="1">
      <c r="A300" s="198" t="s">
        <v>198</v>
      </c>
      <c r="B300" s="198">
        <v>2619795980</v>
      </c>
      <c r="C300" s="198" t="s">
        <v>116</v>
      </c>
      <c r="D300" s="198" t="s">
        <v>94</v>
      </c>
      <c r="E300" s="198" t="s">
        <v>35</v>
      </c>
      <c r="F300" s="198" t="s">
        <v>627</v>
      </c>
      <c r="G300" s="198">
        <v>150</v>
      </c>
      <c r="H300" s="198" t="s">
        <v>200</v>
      </c>
      <c r="I300" s="198" t="s">
        <v>271</v>
      </c>
      <c r="J300" s="198" t="s">
        <v>221</v>
      </c>
      <c r="K300" s="198" t="s">
        <v>666</v>
      </c>
      <c r="L300" s="199">
        <v>46153.518750000003</v>
      </c>
      <c r="M300" s="199">
        <v>46153.521527777775</v>
      </c>
      <c r="N300" s="198" t="s">
        <v>331</v>
      </c>
      <c r="O300" s="152" t="s">
        <v>207</v>
      </c>
      <c r="P300" s="90"/>
      <c r="Q300" s="140" t="s">
        <v>207</v>
      </c>
      <c r="R300" s="90"/>
      <c r="S300" s="140" t="s">
        <v>207</v>
      </c>
      <c r="T300" s="90"/>
      <c r="U300" s="140" t="s">
        <v>207</v>
      </c>
      <c r="V300" s="90"/>
      <c r="W300" s="140" t="s">
        <v>207</v>
      </c>
      <c r="X300" s="90"/>
      <c r="Y300" s="140" t="s">
        <v>207</v>
      </c>
      <c r="Z300" s="90"/>
      <c r="AA300" s="140" t="s">
        <v>207</v>
      </c>
      <c r="AB300" s="90"/>
      <c r="AC300" s="140" t="s">
        <v>207</v>
      </c>
      <c r="AD300" s="90"/>
      <c r="AE300" s="140" t="s">
        <v>207</v>
      </c>
      <c r="AF300" s="178" t="str">
        <f t="shared" si="12"/>
        <v>C</v>
      </c>
      <c r="AG300" s="52" t="str">
        <f t="shared" si="13"/>
        <v>UTILIZOU O PDA CORRETAMENTE</v>
      </c>
      <c r="AH300" s="140" t="s">
        <v>207</v>
      </c>
      <c r="AI300" s="182" t="s">
        <v>36</v>
      </c>
      <c r="AJ300" s="93" t="str">
        <f t="shared" si="14"/>
        <v>SÃO PAULO</v>
      </c>
      <c r="AK300" s="183" t="s">
        <v>54</v>
      </c>
    </row>
    <row r="301" spans="1:37" ht="30" customHeight="1">
      <c r="A301" s="198" t="s">
        <v>198</v>
      </c>
      <c r="B301" s="198">
        <v>2692973953</v>
      </c>
      <c r="C301" s="198" t="s">
        <v>122</v>
      </c>
      <c r="D301" s="198" t="s">
        <v>96</v>
      </c>
      <c r="E301" s="198" t="s">
        <v>35</v>
      </c>
      <c r="F301" s="198" t="s">
        <v>667</v>
      </c>
      <c r="G301" s="198">
        <v>30</v>
      </c>
      <c r="H301" s="198" t="s">
        <v>205</v>
      </c>
      <c r="I301" s="198" t="s">
        <v>293</v>
      </c>
      <c r="J301" s="198" t="s">
        <v>260</v>
      </c>
      <c r="K301" s="198"/>
      <c r="L301" s="199">
        <v>46153.504166666666</v>
      </c>
      <c r="M301" s="199">
        <v>46153.505555555559</v>
      </c>
      <c r="N301" s="198" t="s">
        <v>517</v>
      </c>
      <c r="O301" s="152" t="s">
        <v>207</v>
      </c>
      <c r="P301" s="90"/>
      <c r="Q301" s="140" t="s">
        <v>207</v>
      </c>
      <c r="R301" s="90"/>
      <c r="S301" s="140" t="s">
        <v>207</v>
      </c>
      <c r="T301" s="90"/>
      <c r="U301" s="140" t="s">
        <v>207</v>
      </c>
      <c r="V301" s="90"/>
      <c r="W301" s="140" t="s">
        <v>207</v>
      </c>
      <c r="X301" s="90"/>
      <c r="Y301" s="140" t="s">
        <v>77</v>
      </c>
      <c r="Z301" s="90"/>
      <c r="AA301" s="140" t="s">
        <v>207</v>
      </c>
      <c r="AB301" s="90"/>
      <c r="AC301" s="140" t="s">
        <v>207</v>
      </c>
      <c r="AD301" s="90"/>
      <c r="AE301" s="140" t="s">
        <v>207</v>
      </c>
      <c r="AF301" s="178" t="str">
        <f t="shared" si="12"/>
        <v>C</v>
      </c>
      <c r="AG301" s="52" t="str">
        <f t="shared" si="13"/>
        <v>UTILIZOU O PDA CORRETAMENTE</v>
      </c>
      <c r="AH301" s="140" t="s">
        <v>207</v>
      </c>
      <c r="AI301" s="182" t="s">
        <v>36</v>
      </c>
      <c r="AJ301" s="93" t="str">
        <f t="shared" si="14"/>
        <v>SÃO PAULO</v>
      </c>
      <c r="AK301" s="183" t="s">
        <v>54</v>
      </c>
    </row>
    <row r="302" spans="1:37" ht="30" customHeight="1">
      <c r="A302" s="198" t="s">
        <v>198</v>
      </c>
      <c r="B302" s="198">
        <v>2692966883</v>
      </c>
      <c r="C302" s="198" t="s">
        <v>122</v>
      </c>
      <c r="D302" s="198" t="s">
        <v>96</v>
      </c>
      <c r="E302" s="198" t="s">
        <v>35</v>
      </c>
      <c r="F302" s="198" t="s">
        <v>668</v>
      </c>
      <c r="G302" s="198">
        <v>32</v>
      </c>
      <c r="H302" s="198" t="s">
        <v>200</v>
      </c>
      <c r="I302" s="198" t="s">
        <v>355</v>
      </c>
      <c r="J302" s="198" t="s">
        <v>260</v>
      </c>
      <c r="K302" s="198" t="s">
        <v>200</v>
      </c>
      <c r="L302" s="199">
        <v>46153.431944444441</v>
      </c>
      <c r="M302" s="199">
        <v>46153.440972222219</v>
      </c>
      <c r="N302" s="198" t="s">
        <v>517</v>
      </c>
      <c r="O302" s="152" t="s">
        <v>207</v>
      </c>
      <c r="P302" s="90"/>
      <c r="Q302" s="140" t="s">
        <v>207</v>
      </c>
      <c r="R302" s="90"/>
      <c r="S302" s="140" t="s">
        <v>207</v>
      </c>
      <c r="T302" s="90"/>
      <c r="U302" s="140" t="s">
        <v>207</v>
      </c>
      <c r="V302" s="90"/>
      <c r="W302" s="140" t="s">
        <v>207</v>
      </c>
      <c r="X302" s="90"/>
      <c r="Y302" s="140" t="s">
        <v>77</v>
      </c>
      <c r="Z302" s="90"/>
      <c r="AA302" s="140" t="s">
        <v>207</v>
      </c>
      <c r="AB302" s="90"/>
      <c r="AC302" s="140" t="s">
        <v>207</v>
      </c>
      <c r="AD302" s="90"/>
      <c r="AE302" s="140" t="s">
        <v>207</v>
      </c>
      <c r="AF302" s="178" t="str">
        <f t="shared" si="12"/>
        <v>C</v>
      </c>
      <c r="AG302" s="52" t="str">
        <f t="shared" si="13"/>
        <v>UTILIZOU O PDA CORRETAMENTE</v>
      </c>
      <c r="AH302" s="140" t="s">
        <v>207</v>
      </c>
      <c r="AI302" s="182" t="s">
        <v>36</v>
      </c>
      <c r="AJ302" s="93" t="str">
        <f t="shared" si="14"/>
        <v>SÃO PAULO</v>
      </c>
      <c r="AK302" s="183" t="s">
        <v>54</v>
      </c>
    </row>
    <row r="303" spans="1:37" ht="30" customHeight="1">
      <c r="A303" s="198" t="s">
        <v>198</v>
      </c>
      <c r="B303" s="198">
        <v>2619797697</v>
      </c>
      <c r="C303" s="198" t="s">
        <v>122</v>
      </c>
      <c r="D303" s="198" t="s">
        <v>96</v>
      </c>
      <c r="E303" s="198" t="s">
        <v>35</v>
      </c>
      <c r="F303" s="198" t="s">
        <v>669</v>
      </c>
      <c r="G303" s="198">
        <v>254</v>
      </c>
      <c r="H303" s="198"/>
      <c r="I303" s="198" t="s">
        <v>652</v>
      </c>
      <c r="J303" s="198" t="s">
        <v>267</v>
      </c>
      <c r="K303" s="198" t="s">
        <v>588</v>
      </c>
      <c r="L303" s="199">
        <v>46153.460416666669</v>
      </c>
      <c r="M303" s="199">
        <v>46153.50277777778</v>
      </c>
      <c r="N303" s="198" t="s">
        <v>331</v>
      </c>
      <c r="O303" s="152" t="s">
        <v>207</v>
      </c>
      <c r="P303" s="90"/>
      <c r="Q303" s="140" t="s">
        <v>207</v>
      </c>
      <c r="R303" s="90"/>
      <c r="S303" s="140" t="s">
        <v>207</v>
      </c>
      <c r="T303" s="90"/>
      <c r="U303" s="140" t="s">
        <v>207</v>
      </c>
      <c r="V303" s="90"/>
      <c r="W303" s="140" t="s">
        <v>207</v>
      </c>
      <c r="X303" s="90"/>
      <c r="Y303" s="140" t="s">
        <v>77</v>
      </c>
      <c r="Z303" s="90"/>
      <c r="AA303" s="140" t="s">
        <v>207</v>
      </c>
      <c r="AB303" s="90"/>
      <c r="AC303" s="140" t="s">
        <v>207</v>
      </c>
      <c r="AD303" s="90"/>
      <c r="AE303" s="140" t="s">
        <v>207</v>
      </c>
      <c r="AF303" s="178" t="str">
        <f t="shared" si="12"/>
        <v>C</v>
      </c>
      <c r="AG303" s="52" t="str">
        <f t="shared" si="13"/>
        <v>UTILIZOU O PDA CORRETAMENTE</v>
      </c>
      <c r="AH303" s="140" t="s">
        <v>207</v>
      </c>
      <c r="AI303" s="182" t="s">
        <v>36</v>
      </c>
      <c r="AJ303" s="93" t="str">
        <f t="shared" si="14"/>
        <v>SÃO PAULO</v>
      </c>
      <c r="AK303" s="183" t="s">
        <v>54</v>
      </c>
    </row>
    <row r="304" spans="1:37" ht="30" customHeight="1">
      <c r="A304" s="198" t="s">
        <v>198</v>
      </c>
      <c r="B304" s="198">
        <v>2619780691</v>
      </c>
      <c r="C304" s="198" t="s">
        <v>120</v>
      </c>
      <c r="D304" s="198" t="s">
        <v>96</v>
      </c>
      <c r="E304" s="198" t="s">
        <v>35</v>
      </c>
      <c r="F304" s="198" t="s">
        <v>670</v>
      </c>
      <c r="G304" s="198">
        <v>270</v>
      </c>
      <c r="H304" s="198" t="s">
        <v>200</v>
      </c>
      <c r="I304" s="198" t="s">
        <v>308</v>
      </c>
      <c r="J304" s="198" t="s">
        <v>397</v>
      </c>
      <c r="K304" s="198" t="s">
        <v>200</v>
      </c>
      <c r="L304" s="199">
        <v>46153.425000000003</v>
      </c>
      <c r="M304" s="199">
        <v>46153.484027777777</v>
      </c>
      <c r="N304" s="198" t="s">
        <v>235</v>
      </c>
      <c r="O304" s="152" t="s">
        <v>207</v>
      </c>
      <c r="P304" s="90"/>
      <c r="Q304" s="140" t="s">
        <v>207</v>
      </c>
      <c r="R304" s="90"/>
      <c r="S304" s="140" t="s">
        <v>207</v>
      </c>
      <c r="T304" s="90"/>
      <c r="U304" s="140" t="s">
        <v>207</v>
      </c>
      <c r="V304" s="90"/>
      <c r="W304" s="140" t="s">
        <v>207</v>
      </c>
      <c r="X304" s="90"/>
      <c r="Y304" s="140" t="s">
        <v>77</v>
      </c>
      <c r="Z304" s="90"/>
      <c r="AA304" s="140" t="s">
        <v>207</v>
      </c>
      <c r="AB304" s="90"/>
      <c r="AC304" s="140" t="s">
        <v>207</v>
      </c>
      <c r="AD304" s="90"/>
      <c r="AE304" s="140" t="s">
        <v>207</v>
      </c>
      <c r="AF304" s="178" t="str">
        <f t="shared" si="12"/>
        <v>C</v>
      </c>
      <c r="AG304" s="52" t="str">
        <f t="shared" si="13"/>
        <v>UTILIZOU O PDA CORRETAMENTE</v>
      </c>
      <c r="AH304" s="140" t="s">
        <v>207</v>
      </c>
      <c r="AI304" s="182" t="s">
        <v>36</v>
      </c>
      <c r="AJ304" s="93" t="str">
        <f t="shared" si="14"/>
        <v>SÃO PAULO</v>
      </c>
      <c r="AK304" s="183" t="s">
        <v>54</v>
      </c>
    </row>
    <row r="305" spans="1:37" ht="30" customHeight="1">
      <c r="A305" s="198" t="s">
        <v>198</v>
      </c>
      <c r="B305" s="198">
        <v>2619813984</v>
      </c>
      <c r="C305" s="198" t="s">
        <v>116</v>
      </c>
      <c r="D305" s="198" t="s">
        <v>94</v>
      </c>
      <c r="E305" s="198" t="s">
        <v>35</v>
      </c>
      <c r="F305" s="198" t="s">
        <v>616</v>
      </c>
      <c r="G305" s="198">
        <v>33</v>
      </c>
      <c r="H305" s="198"/>
      <c r="I305" s="198" t="s">
        <v>359</v>
      </c>
      <c r="J305" s="198" t="s">
        <v>221</v>
      </c>
      <c r="K305" s="198"/>
      <c r="L305" s="199">
        <v>46153.468055555553</v>
      </c>
      <c r="M305" s="199">
        <v>46153.629166666666</v>
      </c>
      <c r="N305" s="198" t="s">
        <v>403</v>
      </c>
      <c r="O305" s="152" t="s">
        <v>207</v>
      </c>
      <c r="P305" s="90"/>
      <c r="Q305" s="140" t="s">
        <v>207</v>
      </c>
      <c r="R305" s="90"/>
      <c r="S305" s="140" t="s">
        <v>207</v>
      </c>
      <c r="T305" s="90"/>
      <c r="U305" s="140" t="s">
        <v>207</v>
      </c>
      <c r="V305" s="90"/>
      <c r="W305" s="140" t="s">
        <v>207</v>
      </c>
      <c r="X305" s="90"/>
      <c r="Y305" s="140" t="s">
        <v>207</v>
      </c>
      <c r="Z305" s="90"/>
      <c r="AA305" s="140" t="s">
        <v>207</v>
      </c>
      <c r="AB305" s="90"/>
      <c r="AC305" s="140" t="s">
        <v>207</v>
      </c>
      <c r="AD305" s="90"/>
      <c r="AE305" s="140" t="s">
        <v>207</v>
      </c>
      <c r="AF305" s="178" t="str">
        <f t="shared" si="12"/>
        <v>C</v>
      </c>
      <c r="AG305" s="52" t="str">
        <f t="shared" si="13"/>
        <v>UTILIZOU O PDA CORRETAMENTE</v>
      </c>
      <c r="AH305" s="140" t="s">
        <v>207</v>
      </c>
      <c r="AI305" s="182" t="s">
        <v>36</v>
      </c>
      <c r="AJ305" s="93" t="str">
        <f t="shared" si="14"/>
        <v>SÃO PAULO</v>
      </c>
      <c r="AK305" s="183" t="s">
        <v>54</v>
      </c>
    </row>
    <row r="306" spans="1:37" ht="30" customHeight="1">
      <c r="A306" s="198" t="s">
        <v>198</v>
      </c>
      <c r="B306" s="198">
        <v>2619806966</v>
      </c>
      <c r="C306" s="198" t="s">
        <v>120</v>
      </c>
      <c r="D306" s="198" t="s">
        <v>96</v>
      </c>
      <c r="E306" s="198" t="s">
        <v>35</v>
      </c>
      <c r="F306" s="198" t="s">
        <v>671</v>
      </c>
      <c r="G306" s="198">
        <v>17</v>
      </c>
      <c r="H306" s="198" t="s">
        <v>672</v>
      </c>
      <c r="I306" s="198" t="s">
        <v>433</v>
      </c>
      <c r="J306" s="198" t="s">
        <v>336</v>
      </c>
      <c r="K306" s="198"/>
      <c r="L306" s="199">
        <v>46153.473611111112</v>
      </c>
      <c r="M306" s="199">
        <v>46153.55972222222</v>
      </c>
      <c r="N306" s="198" t="s">
        <v>295</v>
      </c>
      <c r="O306" s="152" t="s">
        <v>207</v>
      </c>
      <c r="P306" s="90"/>
      <c r="Q306" s="140" t="s">
        <v>207</v>
      </c>
      <c r="R306" s="90"/>
      <c r="S306" s="140" t="s">
        <v>207</v>
      </c>
      <c r="T306" s="90"/>
      <c r="U306" s="140" t="s">
        <v>207</v>
      </c>
      <c r="V306" s="90"/>
      <c r="W306" s="140" t="s">
        <v>207</v>
      </c>
      <c r="X306" s="90"/>
      <c r="Y306" s="140" t="s">
        <v>77</v>
      </c>
      <c r="Z306" s="90"/>
      <c r="AA306" s="140" t="s">
        <v>207</v>
      </c>
      <c r="AB306" s="90"/>
      <c r="AC306" s="140" t="s">
        <v>207</v>
      </c>
      <c r="AD306" s="90"/>
      <c r="AE306" s="140" t="s">
        <v>207</v>
      </c>
      <c r="AF306" s="178" t="str">
        <f t="shared" si="12"/>
        <v>C</v>
      </c>
      <c r="AG306" s="52" t="str">
        <f t="shared" si="13"/>
        <v>UTILIZOU O PDA CORRETAMENTE</v>
      </c>
      <c r="AH306" s="140" t="s">
        <v>207</v>
      </c>
      <c r="AI306" s="182" t="s">
        <v>36</v>
      </c>
      <c r="AJ306" s="93" t="str">
        <f t="shared" si="14"/>
        <v>SÃO PAULO</v>
      </c>
      <c r="AK306" s="183" t="s">
        <v>54</v>
      </c>
    </row>
    <row r="307" spans="1:37" ht="30" customHeight="1">
      <c r="A307" s="198" t="s">
        <v>198</v>
      </c>
      <c r="B307" s="198">
        <v>2619814955</v>
      </c>
      <c r="C307" s="198" t="s">
        <v>121</v>
      </c>
      <c r="D307" s="198" t="s">
        <v>96</v>
      </c>
      <c r="E307" s="198" t="s">
        <v>35</v>
      </c>
      <c r="F307" s="198" t="s">
        <v>673</v>
      </c>
      <c r="G307" s="198">
        <v>253</v>
      </c>
      <c r="H307" s="198" t="s">
        <v>200</v>
      </c>
      <c r="I307" s="198" t="s">
        <v>308</v>
      </c>
      <c r="J307" s="198" t="s">
        <v>336</v>
      </c>
      <c r="K307" s="198" t="s">
        <v>200</v>
      </c>
      <c r="L307" s="199">
        <v>46153.571527777778</v>
      </c>
      <c r="M307" s="199">
        <v>46153.572916666664</v>
      </c>
      <c r="N307" s="198" t="s">
        <v>364</v>
      </c>
      <c r="O307" s="152" t="s">
        <v>207</v>
      </c>
      <c r="P307" s="90"/>
      <c r="Q307" s="140" t="s">
        <v>207</v>
      </c>
      <c r="R307" s="90"/>
      <c r="S307" s="140" t="s">
        <v>207</v>
      </c>
      <c r="T307" s="90"/>
      <c r="U307" s="140" t="s">
        <v>207</v>
      </c>
      <c r="V307" s="90"/>
      <c r="W307" s="140" t="s">
        <v>207</v>
      </c>
      <c r="X307" s="90"/>
      <c r="Y307" s="140" t="s">
        <v>77</v>
      </c>
      <c r="Z307" s="90"/>
      <c r="AA307" s="140" t="s">
        <v>207</v>
      </c>
      <c r="AB307" s="90"/>
      <c r="AC307" s="140" t="s">
        <v>207</v>
      </c>
      <c r="AD307" s="90"/>
      <c r="AE307" s="140" t="s">
        <v>207</v>
      </c>
      <c r="AF307" s="178" t="str">
        <f t="shared" si="12"/>
        <v>C</v>
      </c>
      <c r="AG307" s="52" t="str">
        <f t="shared" si="13"/>
        <v>UTILIZOU O PDA CORRETAMENTE</v>
      </c>
      <c r="AH307" s="140" t="s">
        <v>207</v>
      </c>
      <c r="AI307" s="182" t="s">
        <v>36</v>
      </c>
      <c r="AJ307" s="93" t="str">
        <f t="shared" si="14"/>
        <v>SÃO PAULO</v>
      </c>
      <c r="AK307" s="183" t="s">
        <v>54</v>
      </c>
    </row>
    <row r="308" spans="1:37" ht="30" customHeight="1">
      <c r="A308" s="198" t="s">
        <v>198</v>
      </c>
      <c r="B308" s="198">
        <v>2619815710</v>
      </c>
      <c r="C308" s="198" t="s">
        <v>121</v>
      </c>
      <c r="D308" s="198" t="s">
        <v>96</v>
      </c>
      <c r="E308" s="198" t="s">
        <v>35</v>
      </c>
      <c r="F308" s="198" t="s">
        <v>674</v>
      </c>
      <c r="G308" s="198">
        <v>125</v>
      </c>
      <c r="H308" s="198"/>
      <c r="I308" s="198" t="s">
        <v>675</v>
      </c>
      <c r="J308" s="198" t="s">
        <v>202</v>
      </c>
      <c r="K308" s="198"/>
      <c r="L308" s="199">
        <v>46153.366666666669</v>
      </c>
      <c r="M308" s="199">
        <v>46153.386111111111</v>
      </c>
      <c r="N308" s="198" t="s">
        <v>327</v>
      </c>
      <c r="O308" s="152" t="s">
        <v>207</v>
      </c>
      <c r="P308" s="90"/>
      <c r="Q308" s="140" t="s">
        <v>207</v>
      </c>
      <c r="R308" s="90"/>
      <c r="S308" s="140" t="s">
        <v>207</v>
      </c>
      <c r="T308" s="90"/>
      <c r="U308" s="140" t="s">
        <v>207</v>
      </c>
      <c r="V308" s="90"/>
      <c r="W308" s="140" t="s">
        <v>207</v>
      </c>
      <c r="X308" s="90"/>
      <c r="Y308" s="140" t="s">
        <v>77</v>
      </c>
      <c r="Z308" s="90"/>
      <c r="AA308" s="140" t="s">
        <v>207</v>
      </c>
      <c r="AB308" s="90"/>
      <c r="AC308" s="140" t="s">
        <v>207</v>
      </c>
      <c r="AD308" s="90"/>
      <c r="AE308" s="140" t="s">
        <v>207</v>
      </c>
      <c r="AF308" s="178" t="str">
        <f t="shared" si="12"/>
        <v>C</v>
      </c>
      <c r="AG308" s="52" t="str">
        <f t="shared" si="13"/>
        <v>UTILIZOU O PDA CORRETAMENTE</v>
      </c>
      <c r="AH308" s="140" t="s">
        <v>207</v>
      </c>
      <c r="AI308" s="182" t="s">
        <v>36</v>
      </c>
      <c r="AJ308" s="93" t="str">
        <f t="shared" si="14"/>
        <v>SÃO PAULO</v>
      </c>
      <c r="AK308" s="183" t="s">
        <v>54</v>
      </c>
    </row>
    <row r="309" spans="1:37" ht="30" customHeight="1">
      <c r="A309" s="198" t="s">
        <v>198</v>
      </c>
      <c r="B309" s="198">
        <v>2619359296</v>
      </c>
      <c r="C309" s="198" t="s">
        <v>115</v>
      </c>
      <c r="D309" s="198" t="s">
        <v>96</v>
      </c>
      <c r="E309" s="198" t="s">
        <v>35</v>
      </c>
      <c r="F309" s="198" t="s">
        <v>676</v>
      </c>
      <c r="G309" s="198">
        <v>21</v>
      </c>
      <c r="H309" s="198" t="s">
        <v>380</v>
      </c>
      <c r="I309" s="198" t="s">
        <v>471</v>
      </c>
      <c r="J309" s="198" t="s">
        <v>268</v>
      </c>
      <c r="K309" s="198"/>
      <c r="L309" s="199">
        <v>46153.472916666666</v>
      </c>
      <c r="M309" s="199">
        <v>46153.475694444445</v>
      </c>
      <c r="N309" s="198" t="s">
        <v>222</v>
      </c>
      <c r="O309" s="152" t="s">
        <v>207</v>
      </c>
      <c r="P309" s="90"/>
      <c r="Q309" s="140" t="s">
        <v>207</v>
      </c>
      <c r="R309" s="90"/>
      <c r="S309" s="140" t="s">
        <v>207</v>
      </c>
      <c r="T309" s="90"/>
      <c r="U309" s="140" t="s">
        <v>207</v>
      </c>
      <c r="V309" s="90"/>
      <c r="W309" s="140" t="s">
        <v>207</v>
      </c>
      <c r="X309" s="90"/>
      <c r="Y309" s="140" t="s">
        <v>207</v>
      </c>
      <c r="Z309" s="90"/>
      <c r="AA309" s="140" t="s">
        <v>207</v>
      </c>
      <c r="AB309" s="90"/>
      <c r="AC309" s="140" t="s">
        <v>207</v>
      </c>
      <c r="AD309" s="90"/>
      <c r="AE309" s="140" t="s">
        <v>207</v>
      </c>
      <c r="AF309" s="178" t="str">
        <f t="shared" si="12"/>
        <v>C</v>
      </c>
      <c r="AG309" s="52" t="str">
        <f t="shared" si="13"/>
        <v>UTILIZOU O PDA CORRETAMENTE</v>
      </c>
      <c r="AH309" s="140" t="s">
        <v>207</v>
      </c>
      <c r="AI309" s="182" t="s">
        <v>36</v>
      </c>
      <c r="AJ309" s="93" t="str">
        <f t="shared" si="14"/>
        <v>SÃO PAULO</v>
      </c>
      <c r="AK309" s="183" t="s">
        <v>54</v>
      </c>
    </row>
    <row r="310" spans="1:37" ht="30" customHeight="1">
      <c r="A310" s="198" t="s">
        <v>198</v>
      </c>
      <c r="B310" s="198">
        <v>2619780637</v>
      </c>
      <c r="C310" s="198" t="s">
        <v>115</v>
      </c>
      <c r="D310" s="198" t="s">
        <v>96</v>
      </c>
      <c r="E310" s="198" t="s">
        <v>35</v>
      </c>
      <c r="F310" s="198" t="s">
        <v>677</v>
      </c>
      <c r="G310" s="198">
        <v>22</v>
      </c>
      <c r="H310" s="198"/>
      <c r="I310" s="198" t="s">
        <v>603</v>
      </c>
      <c r="J310" s="198" t="s">
        <v>268</v>
      </c>
      <c r="K310" s="198"/>
      <c r="L310" s="199">
        <v>46153.480555555558</v>
      </c>
      <c r="M310" s="199">
        <v>46153.482638888891</v>
      </c>
      <c r="N310" s="198" t="s">
        <v>345</v>
      </c>
      <c r="O310" s="152" t="s">
        <v>207</v>
      </c>
      <c r="P310" s="90"/>
      <c r="Q310" s="140" t="s">
        <v>207</v>
      </c>
      <c r="R310" s="90"/>
      <c r="S310" s="140" t="s">
        <v>207</v>
      </c>
      <c r="T310" s="90"/>
      <c r="U310" s="140" t="s">
        <v>207</v>
      </c>
      <c r="V310" s="90"/>
      <c r="W310" s="140" t="s">
        <v>207</v>
      </c>
      <c r="X310" s="90"/>
      <c r="Y310" s="140" t="s">
        <v>207</v>
      </c>
      <c r="Z310" s="90"/>
      <c r="AA310" s="140" t="s">
        <v>207</v>
      </c>
      <c r="AB310" s="90"/>
      <c r="AC310" s="140" t="s">
        <v>207</v>
      </c>
      <c r="AD310" s="90"/>
      <c r="AE310" s="140" t="s">
        <v>207</v>
      </c>
      <c r="AF310" s="178" t="str">
        <f t="shared" si="12"/>
        <v>C</v>
      </c>
      <c r="AG310" s="52" t="str">
        <f t="shared" si="13"/>
        <v>UTILIZOU O PDA CORRETAMENTE</v>
      </c>
      <c r="AH310" s="140" t="s">
        <v>207</v>
      </c>
      <c r="AI310" s="182" t="s">
        <v>36</v>
      </c>
      <c r="AJ310" s="93" t="str">
        <f t="shared" si="14"/>
        <v>SÃO PAULO</v>
      </c>
      <c r="AK310" s="183" t="s">
        <v>54</v>
      </c>
    </row>
    <row r="311" spans="1:37" ht="30" customHeight="1">
      <c r="A311" s="198" t="s">
        <v>198</v>
      </c>
      <c r="B311" s="198">
        <v>2619826113</v>
      </c>
      <c r="C311" s="198" t="s">
        <v>120</v>
      </c>
      <c r="D311" s="198" t="s">
        <v>96</v>
      </c>
      <c r="E311" s="198" t="s">
        <v>35</v>
      </c>
      <c r="F311" s="198" t="s">
        <v>670</v>
      </c>
      <c r="G311" s="198">
        <v>196</v>
      </c>
      <c r="H311" s="198" t="s">
        <v>200</v>
      </c>
      <c r="I311" s="198" t="s">
        <v>308</v>
      </c>
      <c r="J311" s="198" t="s">
        <v>202</v>
      </c>
      <c r="K311" s="198" t="s">
        <v>200</v>
      </c>
      <c r="L311" s="199">
        <v>46153.494444444441</v>
      </c>
      <c r="M311" s="199">
        <v>46153.496527777781</v>
      </c>
      <c r="N311" s="198" t="s">
        <v>235</v>
      </c>
      <c r="O311" s="152" t="s">
        <v>207</v>
      </c>
      <c r="P311" s="90"/>
      <c r="Q311" s="140" t="s">
        <v>207</v>
      </c>
      <c r="R311" s="90"/>
      <c r="S311" s="140" t="s">
        <v>207</v>
      </c>
      <c r="T311" s="90"/>
      <c r="U311" s="140" t="s">
        <v>207</v>
      </c>
      <c r="V311" s="90"/>
      <c r="W311" s="140" t="s">
        <v>207</v>
      </c>
      <c r="X311" s="90"/>
      <c r="Y311" s="140" t="s">
        <v>77</v>
      </c>
      <c r="Z311" s="90"/>
      <c r="AA311" s="140" t="s">
        <v>207</v>
      </c>
      <c r="AB311" s="90"/>
      <c r="AC311" s="140" t="s">
        <v>207</v>
      </c>
      <c r="AD311" s="90"/>
      <c r="AE311" s="140" t="s">
        <v>207</v>
      </c>
      <c r="AF311" s="178" t="str">
        <f t="shared" si="12"/>
        <v>C</v>
      </c>
      <c r="AG311" s="52" t="str">
        <f t="shared" si="13"/>
        <v>UTILIZOU O PDA CORRETAMENTE</v>
      </c>
      <c r="AH311" s="140" t="s">
        <v>207</v>
      </c>
      <c r="AI311" s="182" t="s">
        <v>36</v>
      </c>
      <c r="AJ311" s="93" t="str">
        <f t="shared" si="14"/>
        <v>SÃO PAULO</v>
      </c>
      <c r="AK311" s="183" t="s">
        <v>54</v>
      </c>
    </row>
    <row r="312" spans="1:37" ht="30" customHeight="1">
      <c r="A312" s="198" t="s">
        <v>198</v>
      </c>
      <c r="B312" s="198">
        <v>2619826797</v>
      </c>
      <c r="C312" s="198" t="s">
        <v>104</v>
      </c>
      <c r="D312" s="198" t="s">
        <v>93</v>
      </c>
      <c r="E312" s="198" t="s">
        <v>35</v>
      </c>
      <c r="F312" s="198" t="s">
        <v>678</v>
      </c>
      <c r="G312" s="198">
        <v>567</v>
      </c>
      <c r="H312" s="198"/>
      <c r="I312" s="198" t="s">
        <v>679</v>
      </c>
      <c r="J312" s="198" t="s">
        <v>249</v>
      </c>
      <c r="K312" s="198"/>
      <c r="L312" s="199">
        <v>46153.697916666664</v>
      </c>
      <c r="M312" s="199">
        <v>46153.697916666664</v>
      </c>
      <c r="N312" s="198" t="s">
        <v>320</v>
      </c>
      <c r="O312" s="152" t="s">
        <v>207</v>
      </c>
      <c r="P312" s="90"/>
      <c r="Q312" s="140" t="s">
        <v>207</v>
      </c>
      <c r="R312" s="90"/>
      <c r="S312" s="140" t="s">
        <v>207</v>
      </c>
      <c r="T312" s="90"/>
      <c r="U312" s="140" t="s">
        <v>207</v>
      </c>
      <c r="V312" s="90"/>
      <c r="W312" s="140" t="s">
        <v>207</v>
      </c>
      <c r="X312" s="90"/>
      <c r="Y312" s="140" t="s">
        <v>77</v>
      </c>
      <c r="Z312" s="90"/>
      <c r="AA312" s="140" t="s">
        <v>207</v>
      </c>
      <c r="AB312" s="90"/>
      <c r="AC312" s="140" t="s">
        <v>207</v>
      </c>
      <c r="AD312" s="90"/>
      <c r="AE312" s="140" t="s">
        <v>207</v>
      </c>
      <c r="AF312" s="178" t="str">
        <f t="shared" si="12"/>
        <v>C</v>
      </c>
      <c r="AG312" s="52" t="str">
        <f t="shared" si="13"/>
        <v>UTILIZOU O PDA CORRETAMENTE</v>
      </c>
      <c r="AH312" s="140" t="s">
        <v>207</v>
      </c>
      <c r="AI312" s="182" t="s">
        <v>36</v>
      </c>
      <c r="AJ312" s="93" t="str">
        <f t="shared" si="14"/>
        <v>SÃO PAULO</v>
      </c>
      <c r="AK312" s="183" t="s">
        <v>54</v>
      </c>
    </row>
    <row r="313" spans="1:37" ht="30" customHeight="1">
      <c r="A313" s="198" t="s">
        <v>198</v>
      </c>
      <c r="B313" s="198">
        <v>2619780606</v>
      </c>
      <c r="C313" s="198" t="s">
        <v>115</v>
      </c>
      <c r="D313" s="198" t="s">
        <v>96</v>
      </c>
      <c r="E313" s="198" t="s">
        <v>35</v>
      </c>
      <c r="F313" s="198" t="s">
        <v>680</v>
      </c>
      <c r="G313" s="198">
        <v>47</v>
      </c>
      <c r="H313" s="198" t="s">
        <v>205</v>
      </c>
      <c r="I313" s="198" t="s">
        <v>319</v>
      </c>
      <c r="J313" s="198" t="s">
        <v>268</v>
      </c>
      <c r="K313" s="198"/>
      <c r="L313" s="199">
        <v>46153.491666666669</v>
      </c>
      <c r="M313" s="199">
        <v>46153.534722222219</v>
      </c>
      <c r="N313" s="198" t="s">
        <v>232</v>
      </c>
      <c r="O313" s="152" t="s">
        <v>207</v>
      </c>
      <c r="P313" s="90"/>
      <c r="Q313" s="140" t="s">
        <v>207</v>
      </c>
      <c r="R313" s="90"/>
      <c r="S313" s="140" t="s">
        <v>207</v>
      </c>
      <c r="T313" s="90"/>
      <c r="U313" s="140" t="s">
        <v>207</v>
      </c>
      <c r="V313" s="90"/>
      <c r="W313" s="140" t="s">
        <v>207</v>
      </c>
      <c r="X313" s="90"/>
      <c r="Y313" s="140" t="s">
        <v>207</v>
      </c>
      <c r="Z313" s="90"/>
      <c r="AA313" s="140" t="s">
        <v>207</v>
      </c>
      <c r="AB313" s="90"/>
      <c r="AC313" s="140" t="s">
        <v>207</v>
      </c>
      <c r="AD313" s="90"/>
      <c r="AE313" s="140" t="s">
        <v>207</v>
      </c>
      <c r="AF313" s="178" t="str">
        <f t="shared" si="12"/>
        <v>C</v>
      </c>
      <c r="AG313" s="52" t="str">
        <f t="shared" si="13"/>
        <v>UTILIZOU O PDA CORRETAMENTE</v>
      </c>
      <c r="AH313" s="140" t="s">
        <v>207</v>
      </c>
      <c r="AI313" s="182" t="s">
        <v>36</v>
      </c>
      <c r="AJ313" s="93" t="str">
        <f t="shared" si="14"/>
        <v>SÃO PAULO</v>
      </c>
      <c r="AK313" s="183" t="s">
        <v>54</v>
      </c>
    </row>
    <row r="314" spans="1:37" ht="30" customHeight="1">
      <c r="A314" s="198" t="s">
        <v>198</v>
      </c>
      <c r="B314" s="198">
        <v>2619824338</v>
      </c>
      <c r="C314" s="198" t="s">
        <v>223</v>
      </c>
      <c r="D314" s="198" t="s">
        <v>96</v>
      </c>
      <c r="E314" s="198" t="s">
        <v>35</v>
      </c>
      <c r="F314" s="198" t="s">
        <v>681</v>
      </c>
      <c r="G314" s="198">
        <v>180</v>
      </c>
      <c r="H314" s="198" t="s">
        <v>200</v>
      </c>
      <c r="I314" s="198" t="s">
        <v>303</v>
      </c>
      <c r="J314" s="198" t="s">
        <v>226</v>
      </c>
      <c r="K314" s="198" t="s">
        <v>200</v>
      </c>
      <c r="L314" s="199">
        <v>46153.214583333334</v>
      </c>
      <c r="M314" s="199">
        <v>46153.21875</v>
      </c>
      <c r="N314" s="198" t="s">
        <v>262</v>
      </c>
      <c r="O314" s="152" t="s">
        <v>207</v>
      </c>
      <c r="P314" s="90"/>
      <c r="Q314" s="140" t="s">
        <v>207</v>
      </c>
      <c r="R314" s="90"/>
      <c r="S314" s="140" t="s">
        <v>207</v>
      </c>
      <c r="T314" s="90"/>
      <c r="U314" s="140" t="s">
        <v>207</v>
      </c>
      <c r="V314" s="90"/>
      <c r="W314" s="140" t="s">
        <v>207</v>
      </c>
      <c r="X314" s="90"/>
      <c r="Y314" s="140" t="s">
        <v>77</v>
      </c>
      <c r="Z314" s="90"/>
      <c r="AA314" s="140" t="s">
        <v>207</v>
      </c>
      <c r="AB314" s="90"/>
      <c r="AC314" s="140" t="s">
        <v>207</v>
      </c>
      <c r="AD314" s="90"/>
      <c r="AE314" s="140" t="s">
        <v>207</v>
      </c>
      <c r="AF314" s="178" t="str">
        <f t="shared" si="12"/>
        <v>C</v>
      </c>
      <c r="AG314" s="52" t="str">
        <f t="shared" si="13"/>
        <v>UTILIZOU O PDA CORRETAMENTE</v>
      </c>
      <c r="AH314" s="140" t="s">
        <v>207</v>
      </c>
      <c r="AI314" s="182" t="s">
        <v>36</v>
      </c>
      <c r="AJ314" s="93" t="str">
        <f t="shared" si="14"/>
        <v>SÃO PAULO</v>
      </c>
      <c r="AK314" s="183" t="s">
        <v>54</v>
      </c>
    </row>
    <row r="315" spans="1:37" ht="30" customHeight="1">
      <c r="A315" s="198" t="s">
        <v>198</v>
      </c>
      <c r="B315" s="198">
        <v>2619813409</v>
      </c>
      <c r="C315" s="198" t="s">
        <v>115</v>
      </c>
      <c r="D315" s="198" t="s">
        <v>96</v>
      </c>
      <c r="E315" s="198" t="s">
        <v>35</v>
      </c>
      <c r="F315" s="198" t="s">
        <v>316</v>
      </c>
      <c r="G315" s="198">
        <v>314</v>
      </c>
      <c r="H315" s="198" t="s">
        <v>208</v>
      </c>
      <c r="I315" s="198" t="s">
        <v>281</v>
      </c>
      <c r="J315" s="198" t="s">
        <v>268</v>
      </c>
      <c r="K315" s="198"/>
      <c r="L315" s="199">
        <v>46153.565972222219</v>
      </c>
      <c r="M315" s="199">
        <v>46153.569444444445</v>
      </c>
      <c r="N315" s="198" t="s">
        <v>295</v>
      </c>
      <c r="O315" s="152" t="s">
        <v>207</v>
      </c>
      <c r="P315" s="90"/>
      <c r="Q315" s="140" t="s">
        <v>207</v>
      </c>
      <c r="R315" s="90"/>
      <c r="S315" s="140" t="s">
        <v>207</v>
      </c>
      <c r="T315" s="90"/>
      <c r="U315" s="140" t="s">
        <v>207</v>
      </c>
      <c r="V315" s="90"/>
      <c r="W315" s="140" t="s">
        <v>207</v>
      </c>
      <c r="X315" s="90"/>
      <c r="Y315" s="140" t="s">
        <v>207</v>
      </c>
      <c r="Z315" s="90"/>
      <c r="AA315" s="140" t="s">
        <v>207</v>
      </c>
      <c r="AB315" s="90"/>
      <c r="AC315" s="140" t="s">
        <v>207</v>
      </c>
      <c r="AD315" s="90"/>
      <c r="AE315" s="140" t="s">
        <v>207</v>
      </c>
      <c r="AF315" s="178" t="str">
        <f t="shared" si="12"/>
        <v>C</v>
      </c>
      <c r="AG315" s="52" t="str">
        <f t="shared" si="13"/>
        <v>UTILIZOU O PDA CORRETAMENTE</v>
      </c>
      <c r="AH315" s="140" t="s">
        <v>207</v>
      </c>
      <c r="AI315" s="182" t="s">
        <v>36</v>
      </c>
      <c r="AJ315" s="93" t="str">
        <f t="shared" si="14"/>
        <v>SÃO PAULO</v>
      </c>
      <c r="AK315" s="183" t="s">
        <v>54</v>
      </c>
    </row>
    <row r="316" spans="1:37" ht="30" customHeight="1">
      <c r="A316" s="198" t="s">
        <v>198</v>
      </c>
      <c r="B316" s="198">
        <v>2619819663</v>
      </c>
      <c r="C316" s="198" t="s">
        <v>121</v>
      </c>
      <c r="D316" s="198" t="s">
        <v>96</v>
      </c>
      <c r="E316" s="198" t="s">
        <v>35</v>
      </c>
      <c r="F316" s="198" t="s">
        <v>682</v>
      </c>
      <c r="G316" s="198">
        <v>93</v>
      </c>
      <c r="H316" s="198" t="s">
        <v>208</v>
      </c>
      <c r="I316" s="198" t="s">
        <v>490</v>
      </c>
      <c r="J316" s="198" t="s">
        <v>336</v>
      </c>
      <c r="K316" s="198" t="s">
        <v>531</v>
      </c>
      <c r="L316" s="199">
        <v>46153.501388888886</v>
      </c>
      <c r="M316" s="199">
        <v>46153.503472222219</v>
      </c>
      <c r="N316" s="198" t="s">
        <v>206</v>
      </c>
      <c r="O316" s="152" t="s">
        <v>207</v>
      </c>
      <c r="P316" s="90"/>
      <c r="Q316" s="140" t="s">
        <v>207</v>
      </c>
      <c r="R316" s="90"/>
      <c r="S316" s="140" t="s">
        <v>207</v>
      </c>
      <c r="T316" s="90"/>
      <c r="U316" s="140" t="s">
        <v>207</v>
      </c>
      <c r="V316" s="90"/>
      <c r="W316" s="140" t="s">
        <v>207</v>
      </c>
      <c r="X316" s="90"/>
      <c r="Y316" s="140" t="s">
        <v>77</v>
      </c>
      <c r="Z316" s="90"/>
      <c r="AA316" s="140" t="s">
        <v>207</v>
      </c>
      <c r="AB316" s="90"/>
      <c r="AC316" s="140" t="s">
        <v>207</v>
      </c>
      <c r="AD316" s="90"/>
      <c r="AE316" s="140" t="s">
        <v>207</v>
      </c>
      <c r="AF316" s="178" t="str">
        <f t="shared" si="12"/>
        <v>C</v>
      </c>
      <c r="AG316" s="52" t="str">
        <f t="shared" si="13"/>
        <v>UTILIZOU O PDA CORRETAMENTE</v>
      </c>
      <c r="AH316" s="140" t="s">
        <v>207</v>
      </c>
      <c r="AI316" s="182" t="s">
        <v>36</v>
      </c>
      <c r="AJ316" s="93" t="str">
        <f t="shared" si="14"/>
        <v>SÃO PAULO</v>
      </c>
      <c r="AK316" s="183" t="s">
        <v>54</v>
      </c>
    </row>
    <row r="317" spans="1:37" ht="30" customHeight="1">
      <c r="A317" s="198" t="s">
        <v>198</v>
      </c>
      <c r="B317" s="198">
        <v>2693010763</v>
      </c>
      <c r="C317" s="198" t="s">
        <v>118</v>
      </c>
      <c r="D317" s="198" t="s">
        <v>96</v>
      </c>
      <c r="E317" s="198" t="s">
        <v>35</v>
      </c>
      <c r="F317" s="198" t="s">
        <v>683</v>
      </c>
      <c r="G317" s="198">
        <v>14</v>
      </c>
      <c r="H317" s="198" t="s">
        <v>347</v>
      </c>
      <c r="I317" s="198" t="s">
        <v>293</v>
      </c>
      <c r="J317" s="198" t="s">
        <v>267</v>
      </c>
      <c r="K317" s="198"/>
      <c r="L317" s="199">
        <v>46153.299305555556</v>
      </c>
      <c r="M317" s="199">
        <v>46153.339583333334</v>
      </c>
      <c r="N317" s="198" t="s">
        <v>262</v>
      </c>
      <c r="O317" s="152" t="s">
        <v>207</v>
      </c>
      <c r="P317" s="90"/>
      <c r="Q317" s="140" t="s">
        <v>207</v>
      </c>
      <c r="R317" s="90"/>
      <c r="S317" s="140" t="s">
        <v>207</v>
      </c>
      <c r="T317" s="90"/>
      <c r="U317" s="140" t="s">
        <v>207</v>
      </c>
      <c r="V317" s="90"/>
      <c r="W317" s="140" t="s">
        <v>207</v>
      </c>
      <c r="X317" s="90"/>
      <c r="Y317" s="140" t="s">
        <v>77</v>
      </c>
      <c r="Z317" s="90"/>
      <c r="AA317" s="140" t="s">
        <v>207</v>
      </c>
      <c r="AB317" s="90"/>
      <c r="AC317" s="140" t="s">
        <v>207</v>
      </c>
      <c r="AD317" s="90"/>
      <c r="AE317" s="140" t="s">
        <v>207</v>
      </c>
      <c r="AF317" s="178" t="str">
        <f t="shared" si="12"/>
        <v>C</v>
      </c>
      <c r="AG317" s="52" t="str">
        <f t="shared" si="13"/>
        <v>UTILIZOU O PDA CORRETAMENTE</v>
      </c>
      <c r="AH317" s="140" t="s">
        <v>207</v>
      </c>
      <c r="AI317" s="182" t="s">
        <v>36</v>
      </c>
      <c r="AJ317" s="93" t="str">
        <f t="shared" si="14"/>
        <v>SÃO PAULO</v>
      </c>
      <c r="AK317" s="183" t="s">
        <v>54</v>
      </c>
    </row>
    <row r="318" spans="1:37" ht="30" customHeight="1">
      <c r="A318" s="198" t="s">
        <v>198</v>
      </c>
      <c r="B318" s="198">
        <v>2619780665</v>
      </c>
      <c r="C318" s="198" t="s">
        <v>104</v>
      </c>
      <c r="D318" s="198" t="s">
        <v>93</v>
      </c>
      <c r="E318" s="198" t="s">
        <v>35</v>
      </c>
      <c r="F318" s="198" t="s">
        <v>660</v>
      </c>
      <c r="G318" s="198">
        <v>120</v>
      </c>
      <c r="H318" s="198" t="s">
        <v>401</v>
      </c>
      <c r="I318" s="198" t="s">
        <v>661</v>
      </c>
      <c r="J318" s="198" t="s">
        <v>249</v>
      </c>
      <c r="K318" s="198" t="s">
        <v>200</v>
      </c>
      <c r="L318" s="199">
        <v>46153.263194444444</v>
      </c>
      <c r="M318" s="199">
        <v>46153.306250000001</v>
      </c>
      <c r="N318" s="198" t="s">
        <v>251</v>
      </c>
      <c r="O318" s="152" t="s">
        <v>207</v>
      </c>
      <c r="P318" s="90"/>
      <c r="Q318" s="140" t="s">
        <v>207</v>
      </c>
      <c r="R318" s="90"/>
      <c r="S318" s="140" t="s">
        <v>207</v>
      </c>
      <c r="T318" s="90"/>
      <c r="U318" s="140" t="s">
        <v>207</v>
      </c>
      <c r="V318" s="90"/>
      <c r="W318" s="140" t="s">
        <v>207</v>
      </c>
      <c r="X318" s="90"/>
      <c r="Y318" s="140" t="s">
        <v>77</v>
      </c>
      <c r="Z318" s="90"/>
      <c r="AA318" s="140" t="s">
        <v>207</v>
      </c>
      <c r="AB318" s="90"/>
      <c r="AC318" s="140" t="s">
        <v>207</v>
      </c>
      <c r="AD318" s="90"/>
      <c r="AE318" s="140" t="s">
        <v>207</v>
      </c>
      <c r="AF318" s="178" t="str">
        <f t="shared" si="12"/>
        <v>C</v>
      </c>
      <c r="AG318" s="52" t="str">
        <f t="shared" si="13"/>
        <v>UTILIZOU O PDA CORRETAMENTE</v>
      </c>
      <c r="AH318" s="140" t="s">
        <v>207</v>
      </c>
      <c r="AI318" s="182" t="s">
        <v>36</v>
      </c>
      <c r="AJ318" s="93" t="str">
        <f t="shared" si="14"/>
        <v>SÃO PAULO</v>
      </c>
      <c r="AK318" s="183" t="s">
        <v>54</v>
      </c>
    </row>
    <row r="319" spans="1:37" ht="30" customHeight="1">
      <c r="A319" s="198" t="s">
        <v>198</v>
      </c>
      <c r="B319" s="198">
        <v>2619780683</v>
      </c>
      <c r="C319" s="198" t="s">
        <v>114</v>
      </c>
      <c r="D319" s="198" t="s">
        <v>96</v>
      </c>
      <c r="E319" s="198" t="s">
        <v>35</v>
      </c>
      <c r="F319" s="198" t="s">
        <v>673</v>
      </c>
      <c r="G319" s="198">
        <v>255</v>
      </c>
      <c r="H319" s="198"/>
      <c r="I319" s="198" t="s">
        <v>308</v>
      </c>
      <c r="J319" s="198" t="s">
        <v>260</v>
      </c>
      <c r="K319" s="198"/>
      <c r="L319" s="199">
        <v>46153.576388888891</v>
      </c>
      <c r="M319" s="199">
        <v>46153.57916666667</v>
      </c>
      <c r="N319" s="198" t="s">
        <v>364</v>
      </c>
      <c r="O319" s="152" t="s">
        <v>207</v>
      </c>
      <c r="P319" s="90"/>
      <c r="Q319" s="140" t="s">
        <v>207</v>
      </c>
      <c r="R319" s="90"/>
      <c r="S319" s="140" t="s">
        <v>207</v>
      </c>
      <c r="T319" s="90"/>
      <c r="U319" s="140" t="s">
        <v>207</v>
      </c>
      <c r="V319" s="90"/>
      <c r="W319" s="140" t="s">
        <v>207</v>
      </c>
      <c r="X319" s="90"/>
      <c r="Y319" s="140" t="s">
        <v>207</v>
      </c>
      <c r="Z319" s="90"/>
      <c r="AA319" s="140" t="s">
        <v>207</v>
      </c>
      <c r="AB319" s="90"/>
      <c r="AC319" s="140" t="s">
        <v>207</v>
      </c>
      <c r="AD319" s="90"/>
      <c r="AE319" s="140" t="s">
        <v>207</v>
      </c>
      <c r="AF319" s="178" t="str">
        <f t="shared" si="12"/>
        <v>C</v>
      </c>
      <c r="AG319" s="52" t="str">
        <f t="shared" si="13"/>
        <v>UTILIZOU O PDA CORRETAMENTE</v>
      </c>
      <c r="AH319" s="140" t="s">
        <v>207</v>
      </c>
      <c r="AI319" s="182" t="s">
        <v>36</v>
      </c>
      <c r="AJ319" s="93" t="str">
        <f t="shared" si="14"/>
        <v>SÃO PAULO</v>
      </c>
      <c r="AK319" s="183" t="s">
        <v>54</v>
      </c>
    </row>
    <row r="320" spans="1:37" ht="30" customHeight="1">
      <c r="A320" s="198" t="s">
        <v>198</v>
      </c>
      <c r="B320" s="198">
        <v>2693048063</v>
      </c>
      <c r="C320" s="198" t="s">
        <v>118</v>
      </c>
      <c r="D320" s="198" t="s">
        <v>96</v>
      </c>
      <c r="E320" s="198" t="s">
        <v>35</v>
      </c>
      <c r="F320" s="198" t="s">
        <v>478</v>
      </c>
      <c r="G320" s="198">
        <v>94</v>
      </c>
      <c r="H320" s="198" t="s">
        <v>208</v>
      </c>
      <c r="I320" s="198" t="s">
        <v>479</v>
      </c>
      <c r="J320" s="198" t="s">
        <v>267</v>
      </c>
      <c r="K320" s="198" t="s">
        <v>200</v>
      </c>
      <c r="L320" s="199">
        <v>46153.306944444441</v>
      </c>
      <c r="M320" s="199">
        <v>46153.329861111109</v>
      </c>
      <c r="N320" s="198" t="s">
        <v>251</v>
      </c>
      <c r="O320" s="152" t="s">
        <v>207</v>
      </c>
      <c r="P320" s="90"/>
      <c r="Q320" s="140" t="s">
        <v>207</v>
      </c>
      <c r="R320" s="90"/>
      <c r="S320" s="140" t="s">
        <v>207</v>
      </c>
      <c r="T320" s="90"/>
      <c r="U320" s="140" t="s">
        <v>207</v>
      </c>
      <c r="V320" s="90"/>
      <c r="W320" s="140" t="s">
        <v>207</v>
      </c>
      <c r="X320" s="90"/>
      <c r="Y320" s="140" t="s">
        <v>77</v>
      </c>
      <c r="Z320" s="90"/>
      <c r="AA320" s="140" t="s">
        <v>207</v>
      </c>
      <c r="AB320" s="90"/>
      <c r="AC320" s="140" t="s">
        <v>207</v>
      </c>
      <c r="AD320" s="90"/>
      <c r="AE320" s="140" t="s">
        <v>207</v>
      </c>
      <c r="AF320" s="178" t="str">
        <f t="shared" si="12"/>
        <v>C</v>
      </c>
      <c r="AG320" s="52" t="str">
        <f t="shared" si="13"/>
        <v>UTILIZOU O PDA CORRETAMENTE</v>
      </c>
      <c r="AH320" s="140" t="s">
        <v>207</v>
      </c>
      <c r="AI320" s="182" t="s">
        <v>36</v>
      </c>
      <c r="AJ320" s="93" t="str">
        <f t="shared" si="14"/>
        <v>SÃO PAULO</v>
      </c>
      <c r="AK320" s="183" t="s">
        <v>54</v>
      </c>
    </row>
    <row r="321" spans="1:37" ht="30" customHeight="1">
      <c r="A321" s="198" t="s">
        <v>198</v>
      </c>
      <c r="B321" s="198">
        <v>2619848028</v>
      </c>
      <c r="C321" s="198" t="s">
        <v>122</v>
      </c>
      <c r="D321" s="198" t="s">
        <v>96</v>
      </c>
      <c r="E321" s="198" t="s">
        <v>35</v>
      </c>
      <c r="F321" s="198" t="s">
        <v>311</v>
      </c>
      <c r="G321" s="198">
        <v>5</v>
      </c>
      <c r="H321" s="198" t="s">
        <v>684</v>
      </c>
      <c r="I321" s="198" t="s">
        <v>355</v>
      </c>
      <c r="J321" s="198" t="s">
        <v>301</v>
      </c>
      <c r="K321" s="198" t="s">
        <v>200</v>
      </c>
      <c r="L321" s="199">
        <v>46153.660416666666</v>
      </c>
      <c r="M321" s="199">
        <v>46153.664583333331</v>
      </c>
      <c r="N321" s="198" t="s">
        <v>517</v>
      </c>
      <c r="O321" s="152" t="s">
        <v>207</v>
      </c>
      <c r="P321" s="90"/>
      <c r="Q321" s="140" t="s">
        <v>207</v>
      </c>
      <c r="R321" s="90"/>
      <c r="S321" s="140" t="s">
        <v>207</v>
      </c>
      <c r="T321" s="90"/>
      <c r="U321" s="140" t="s">
        <v>207</v>
      </c>
      <c r="V321" s="90"/>
      <c r="W321" s="140" t="s">
        <v>207</v>
      </c>
      <c r="X321" s="90"/>
      <c r="Y321" s="140" t="s">
        <v>77</v>
      </c>
      <c r="Z321" s="90"/>
      <c r="AA321" s="140" t="s">
        <v>207</v>
      </c>
      <c r="AB321" s="90"/>
      <c r="AC321" s="140" t="s">
        <v>207</v>
      </c>
      <c r="AD321" s="90"/>
      <c r="AE321" s="140" t="s">
        <v>207</v>
      </c>
      <c r="AF321" s="178" t="str">
        <f t="shared" si="12"/>
        <v>C</v>
      </c>
      <c r="AG321" s="52" t="str">
        <f t="shared" si="13"/>
        <v>UTILIZOU O PDA CORRETAMENTE</v>
      </c>
      <c r="AH321" s="140" t="s">
        <v>207</v>
      </c>
      <c r="AI321" s="182" t="s">
        <v>36</v>
      </c>
      <c r="AJ321" s="93" t="str">
        <f t="shared" si="14"/>
        <v>SÃO PAULO</v>
      </c>
      <c r="AK321" s="183" t="s">
        <v>54</v>
      </c>
    </row>
    <row r="322" spans="1:37" ht="30" customHeight="1">
      <c r="A322" s="198" t="s">
        <v>198</v>
      </c>
      <c r="B322" s="198">
        <v>2619822678</v>
      </c>
      <c r="C322" s="198" t="s">
        <v>114</v>
      </c>
      <c r="D322" s="198" t="s">
        <v>96</v>
      </c>
      <c r="E322" s="198" t="s">
        <v>35</v>
      </c>
      <c r="F322" s="198" t="s">
        <v>360</v>
      </c>
      <c r="G322" s="198">
        <v>54</v>
      </c>
      <c r="H322" s="198" t="s">
        <v>205</v>
      </c>
      <c r="I322" s="198" t="s">
        <v>685</v>
      </c>
      <c r="J322" s="198" t="s">
        <v>260</v>
      </c>
      <c r="K322" s="198"/>
      <c r="L322" s="199">
        <v>46154.431250000001</v>
      </c>
      <c r="M322" s="199">
        <v>46154.509722222225</v>
      </c>
      <c r="N322" s="198" t="s">
        <v>274</v>
      </c>
      <c r="O322" s="152" t="s">
        <v>207</v>
      </c>
      <c r="P322" s="90"/>
      <c r="Q322" s="140" t="s">
        <v>207</v>
      </c>
      <c r="R322" s="90"/>
      <c r="S322" s="140" t="s">
        <v>207</v>
      </c>
      <c r="T322" s="90"/>
      <c r="U322" s="140" t="s">
        <v>207</v>
      </c>
      <c r="V322" s="90"/>
      <c r="W322" s="140" t="s">
        <v>207</v>
      </c>
      <c r="X322" s="90"/>
      <c r="Y322" s="140" t="s">
        <v>207</v>
      </c>
      <c r="Z322" s="90"/>
      <c r="AA322" s="140" t="s">
        <v>207</v>
      </c>
      <c r="AB322" s="90"/>
      <c r="AC322" s="140" t="s">
        <v>207</v>
      </c>
      <c r="AD322" s="90"/>
      <c r="AE322" s="140" t="s">
        <v>207</v>
      </c>
      <c r="AF322" s="178" t="str">
        <f t="shared" si="12"/>
        <v>C</v>
      </c>
      <c r="AG322" s="52" t="str">
        <f t="shared" si="13"/>
        <v>UTILIZOU O PDA CORRETAMENTE</v>
      </c>
      <c r="AH322" s="140" t="s">
        <v>207</v>
      </c>
      <c r="AI322" s="182" t="s">
        <v>36</v>
      </c>
      <c r="AJ322" s="93" t="str">
        <f t="shared" si="14"/>
        <v>SÃO PAULO</v>
      </c>
      <c r="AK322" s="183" t="s">
        <v>54</v>
      </c>
    </row>
    <row r="323" spans="1:37" ht="30" customHeight="1">
      <c r="A323" s="198" t="s">
        <v>198</v>
      </c>
      <c r="B323" s="198">
        <v>2693059374</v>
      </c>
      <c r="C323" s="198" t="s">
        <v>122</v>
      </c>
      <c r="D323" s="198" t="s">
        <v>96</v>
      </c>
      <c r="E323" s="198" t="s">
        <v>35</v>
      </c>
      <c r="F323" s="198" t="s">
        <v>296</v>
      </c>
      <c r="G323" s="198">
        <v>836</v>
      </c>
      <c r="H323" s="198" t="s">
        <v>208</v>
      </c>
      <c r="I323" s="198" t="s">
        <v>297</v>
      </c>
      <c r="J323" s="198" t="s">
        <v>267</v>
      </c>
      <c r="K323" s="198" t="s">
        <v>686</v>
      </c>
      <c r="L323" s="199">
        <v>46154.334722222222</v>
      </c>
      <c r="M323" s="199">
        <v>46154.335416666669</v>
      </c>
      <c r="N323" s="198" t="s">
        <v>323</v>
      </c>
      <c r="O323" s="152" t="s">
        <v>207</v>
      </c>
      <c r="P323" s="90"/>
      <c r="Q323" s="140" t="s">
        <v>207</v>
      </c>
      <c r="R323" s="90"/>
      <c r="S323" s="140" t="s">
        <v>207</v>
      </c>
      <c r="T323" s="90"/>
      <c r="U323" s="140" t="s">
        <v>207</v>
      </c>
      <c r="V323" s="90"/>
      <c r="W323" s="140" t="s">
        <v>207</v>
      </c>
      <c r="X323" s="90"/>
      <c r="Y323" s="140" t="s">
        <v>77</v>
      </c>
      <c r="Z323" s="90"/>
      <c r="AA323" s="140" t="s">
        <v>207</v>
      </c>
      <c r="AB323" s="90"/>
      <c r="AC323" s="140" t="s">
        <v>207</v>
      </c>
      <c r="AD323" s="90"/>
      <c r="AE323" s="140" t="s">
        <v>207</v>
      </c>
      <c r="AF323" s="178" t="str">
        <f t="shared" ref="AF323:AF386" si="15">IF(AND(O323="",Q323="",S323="",U323="",W323="",Y323="",AA323="",AC323=""),"",IF(OR(AND(O323&lt;&gt;"NA",O323&lt;&gt;"C",O323&lt;&gt;"NC",O323&lt;&gt;"SF",O323&lt;&gt;""),AND(Q323&lt;&gt;"NA",Q323&lt;&gt;"C",Q323&lt;&gt;"NC",Q323&lt;&gt;"SF",Q323&lt;&gt;""),AND(S323&lt;&gt;"NA",S323&lt;&gt;"C",S323&lt;&gt;"NC",S323&lt;&gt;"SF",S323&lt;&gt;""),AND(U323&lt;&gt;"NA",U323&lt;&gt;"C",U323&lt;&gt;"NC",U323&lt;&gt;"SF",U323&lt;&gt;""),AND(W323&lt;&gt;"NA",W323&lt;&gt;"C",W323&lt;&gt;"NC",W323&lt;&gt;"SF",W323&lt;&gt;""),AND(Y323&lt;&gt;"NA",Y323&lt;&gt;"C",Y323&lt;&gt;"NC",Y323&lt;&gt;"SF",Y323&lt;&gt;""),AND(AA323&lt;&gt;"NA",AA323&lt;&gt;"C",AA323&lt;&gt;"NC",AA323&lt;&gt;"SF",AA323&lt;&gt;""),AND(AC323&lt;&gt;"NA",AC323&lt;&gt;"C",AC323&lt;&gt;"NC",AC323&lt;&gt;"SF",AC323&lt;&gt;"")),"FALSO",IF(AND(O323="NA",Q323="NA",S323="NA",U323="NA",W323="NA",Y323="NA",AA323="NA",AC323="NA"),"NA",IF(OR(O323="NC",Q323="NC",S323="NC",U323="NC",W323="NC",Y323="NC",AA323="NC",AC323="NC",O323="SF",Q323="SF",S323="SF",U323="SF",W323="SF",Y323="SF",AA323="SF",AC323="SF"),"NC",IF(OR(O323="C",Q323="C",S323="C",U323="C",W323="C",Y323="C",AA323="C",AC323="C"),"C","")))))</f>
        <v>C</v>
      </c>
      <c r="AG323" s="52" t="str">
        <f t="shared" ref="AG323:AG386" si="16">IF(AND(AE323="C",AF323="C"),"UTILIZOU O PDA CORRETAMENTE",IF(AND(AE323="C",AF323="NC"),"UTILIZOU O PDA CORRETAMENTE. NÃO HÁ FOTOS DE TODAS AS ETAPAS",IF(AND(AE323="NC",AF323="NC"),"NÃO UTILIZOU O PDA",IF(AND(AE323="NA",AF323="NA"),"NÃO AVALIADO POR FALHA DE SINCRONISMO"))))</f>
        <v>UTILIZOU O PDA CORRETAMENTE</v>
      </c>
      <c r="AH323" s="140" t="s">
        <v>207</v>
      </c>
      <c r="AI323" s="182" t="s">
        <v>36</v>
      </c>
      <c r="AJ323" s="93" t="str">
        <f t="shared" ref="AJ323:AJ386" si="17">E323</f>
        <v>SÃO PAULO</v>
      </c>
      <c r="AK323" s="183" t="s">
        <v>54</v>
      </c>
    </row>
    <row r="324" spans="1:37" ht="30" customHeight="1">
      <c r="A324" s="198" t="s">
        <v>198</v>
      </c>
      <c r="B324" s="198">
        <v>2619333648</v>
      </c>
      <c r="C324" s="198" t="s">
        <v>114</v>
      </c>
      <c r="D324" s="198" t="s">
        <v>96</v>
      </c>
      <c r="E324" s="198" t="s">
        <v>35</v>
      </c>
      <c r="F324" s="198" t="s">
        <v>678</v>
      </c>
      <c r="G324" s="198">
        <v>561</v>
      </c>
      <c r="H324" s="198" t="s">
        <v>205</v>
      </c>
      <c r="I324" s="198" t="s">
        <v>679</v>
      </c>
      <c r="J324" s="198" t="s">
        <v>260</v>
      </c>
      <c r="K324" s="198" t="s">
        <v>200</v>
      </c>
      <c r="L324" s="199">
        <v>46153.418055555558</v>
      </c>
      <c r="M324" s="199">
        <v>46153.695138888892</v>
      </c>
      <c r="N324" s="198" t="s">
        <v>320</v>
      </c>
      <c r="O324" s="152" t="s">
        <v>207</v>
      </c>
      <c r="P324" s="90"/>
      <c r="Q324" s="140" t="s">
        <v>207</v>
      </c>
      <c r="R324" s="90"/>
      <c r="S324" s="140" t="s">
        <v>207</v>
      </c>
      <c r="T324" s="90"/>
      <c r="U324" s="140" t="s">
        <v>207</v>
      </c>
      <c r="V324" s="90"/>
      <c r="W324" s="140" t="s">
        <v>207</v>
      </c>
      <c r="X324" s="90"/>
      <c r="Y324" s="140" t="s">
        <v>207</v>
      </c>
      <c r="Z324" s="90"/>
      <c r="AA324" s="140" t="s">
        <v>207</v>
      </c>
      <c r="AB324" s="90"/>
      <c r="AC324" s="140" t="s">
        <v>207</v>
      </c>
      <c r="AD324" s="90"/>
      <c r="AE324" s="140" t="s">
        <v>207</v>
      </c>
      <c r="AF324" s="178" t="str">
        <f t="shared" si="15"/>
        <v>C</v>
      </c>
      <c r="AG324" s="52" t="str">
        <f t="shared" si="16"/>
        <v>UTILIZOU O PDA CORRETAMENTE</v>
      </c>
      <c r="AH324" s="140" t="s">
        <v>207</v>
      </c>
      <c r="AI324" s="182" t="s">
        <v>36</v>
      </c>
      <c r="AJ324" s="93" t="str">
        <f t="shared" si="17"/>
        <v>SÃO PAULO</v>
      </c>
      <c r="AK324" s="183" t="s">
        <v>54</v>
      </c>
    </row>
    <row r="325" spans="1:37" ht="30" customHeight="1">
      <c r="A325" s="198" t="s">
        <v>198</v>
      </c>
      <c r="B325" s="198">
        <v>2619780633</v>
      </c>
      <c r="C325" s="198" t="s">
        <v>114</v>
      </c>
      <c r="D325" s="198" t="s">
        <v>96</v>
      </c>
      <c r="E325" s="198" t="s">
        <v>35</v>
      </c>
      <c r="F325" s="198" t="s">
        <v>270</v>
      </c>
      <c r="G325" s="198">
        <v>13</v>
      </c>
      <c r="H325" s="198" t="s">
        <v>487</v>
      </c>
      <c r="I325" s="198" t="s">
        <v>297</v>
      </c>
      <c r="J325" s="198" t="s">
        <v>260</v>
      </c>
      <c r="K325" s="198" t="s">
        <v>200</v>
      </c>
      <c r="L325" s="199">
        <v>46153.697916666664</v>
      </c>
      <c r="M325" s="199">
        <v>46153.7</v>
      </c>
      <c r="N325" s="198" t="s">
        <v>349</v>
      </c>
      <c r="O325" s="152" t="s">
        <v>207</v>
      </c>
      <c r="P325" s="90"/>
      <c r="Q325" s="140" t="s">
        <v>207</v>
      </c>
      <c r="R325" s="90"/>
      <c r="S325" s="140" t="s">
        <v>207</v>
      </c>
      <c r="T325" s="90"/>
      <c r="U325" s="140" t="s">
        <v>207</v>
      </c>
      <c r="V325" s="90"/>
      <c r="W325" s="140" t="s">
        <v>207</v>
      </c>
      <c r="X325" s="90"/>
      <c r="Y325" s="140" t="s">
        <v>207</v>
      </c>
      <c r="Z325" s="90"/>
      <c r="AA325" s="140" t="s">
        <v>207</v>
      </c>
      <c r="AB325" s="90"/>
      <c r="AC325" s="140" t="s">
        <v>207</v>
      </c>
      <c r="AD325" s="90"/>
      <c r="AE325" s="140" t="s">
        <v>207</v>
      </c>
      <c r="AF325" s="178" t="str">
        <f t="shared" si="15"/>
        <v>C</v>
      </c>
      <c r="AG325" s="52" t="str">
        <f t="shared" si="16"/>
        <v>UTILIZOU O PDA CORRETAMENTE</v>
      </c>
      <c r="AH325" s="140" t="s">
        <v>207</v>
      </c>
      <c r="AI325" s="182" t="s">
        <v>36</v>
      </c>
      <c r="AJ325" s="93" t="str">
        <f t="shared" si="17"/>
        <v>SÃO PAULO</v>
      </c>
      <c r="AK325" s="183" t="s">
        <v>54</v>
      </c>
    </row>
    <row r="326" spans="1:37" ht="30" customHeight="1">
      <c r="A326" s="198" t="s">
        <v>198</v>
      </c>
      <c r="B326" s="198">
        <v>2619856178</v>
      </c>
      <c r="C326" s="198" t="s">
        <v>114</v>
      </c>
      <c r="D326" s="198" t="s">
        <v>96</v>
      </c>
      <c r="E326" s="198" t="s">
        <v>35</v>
      </c>
      <c r="F326" s="198" t="s">
        <v>662</v>
      </c>
      <c r="G326" s="198">
        <v>28</v>
      </c>
      <c r="H326" s="198" t="s">
        <v>401</v>
      </c>
      <c r="I326" s="198" t="s">
        <v>355</v>
      </c>
      <c r="J326" s="198" t="s">
        <v>260</v>
      </c>
      <c r="K326" s="198"/>
      <c r="L326" s="199">
        <v>46153.640277777777</v>
      </c>
      <c r="M326" s="199">
        <v>46153.643750000003</v>
      </c>
      <c r="N326" s="198" t="s">
        <v>274</v>
      </c>
      <c r="O326" s="152" t="s">
        <v>207</v>
      </c>
      <c r="P326" s="90"/>
      <c r="Q326" s="140" t="s">
        <v>207</v>
      </c>
      <c r="R326" s="90"/>
      <c r="S326" s="140" t="s">
        <v>207</v>
      </c>
      <c r="T326" s="90"/>
      <c r="U326" s="140" t="s">
        <v>207</v>
      </c>
      <c r="V326" s="90"/>
      <c r="W326" s="140" t="s">
        <v>207</v>
      </c>
      <c r="X326" s="90"/>
      <c r="Y326" s="140" t="s">
        <v>207</v>
      </c>
      <c r="Z326" s="90"/>
      <c r="AA326" s="140" t="s">
        <v>207</v>
      </c>
      <c r="AB326" s="90"/>
      <c r="AC326" s="140" t="s">
        <v>207</v>
      </c>
      <c r="AD326" s="90"/>
      <c r="AE326" s="140" t="s">
        <v>207</v>
      </c>
      <c r="AF326" s="178" t="str">
        <f t="shared" si="15"/>
        <v>C</v>
      </c>
      <c r="AG326" s="52" t="str">
        <f t="shared" si="16"/>
        <v>UTILIZOU O PDA CORRETAMENTE</v>
      </c>
      <c r="AH326" s="140" t="s">
        <v>207</v>
      </c>
      <c r="AI326" s="182" t="s">
        <v>36</v>
      </c>
      <c r="AJ326" s="93" t="str">
        <f t="shared" si="17"/>
        <v>SÃO PAULO</v>
      </c>
      <c r="AK326" s="183" t="s">
        <v>54</v>
      </c>
    </row>
    <row r="327" spans="1:37" ht="30" customHeight="1">
      <c r="A327" s="198" t="s">
        <v>198</v>
      </c>
      <c r="B327" s="198">
        <v>2619855625</v>
      </c>
      <c r="C327" s="198" t="s">
        <v>114</v>
      </c>
      <c r="D327" s="198" t="s">
        <v>96</v>
      </c>
      <c r="E327" s="198" t="s">
        <v>35</v>
      </c>
      <c r="F327" s="198" t="s">
        <v>662</v>
      </c>
      <c r="G327" s="198">
        <v>31</v>
      </c>
      <c r="H327" s="198" t="s">
        <v>200</v>
      </c>
      <c r="I327" s="198" t="s">
        <v>355</v>
      </c>
      <c r="J327" s="198" t="s">
        <v>260</v>
      </c>
      <c r="K327" s="198" t="s">
        <v>200</v>
      </c>
      <c r="L327" s="199">
        <v>46153.649305555555</v>
      </c>
      <c r="M327" s="199">
        <v>46153.693055555559</v>
      </c>
      <c r="N327" s="198" t="s">
        <v>274</v>
      </c>
      <c r="O327" s="152" t="s">
        <v>207</v>
      </c>
      <c r="P327" s="90"/>
      <c r="Q327" s="140" t="s">
        <v>207</v>
      </c>
      <c r="R327" s="90"/>
      <c r="S327" s="140" t="s">
        <v>207</v>
      </c>
      <c r="T327" s="90"/>
      <c r="U327" s="140" t="s">
        <v>207</v>
      </c>
      <c r="V327" s="90"/>
      <c r="W327" s="140" t="s">
        <v>207</v>
      </c>
      <c r="X327" s="90"/>
      <c r="Y327" s="140" t="s">
        <v>207</v>
      </c>
      <c r="Z327" s="90"/>
      <c r="AA327" s="140" t="s">
        <v>207</v>
      </c>
      <c r="AB327" s="90"/>
      <c r="AC327" s="140" t="s">
        <v>207</v>
      </c>
      <c r="AD327" s="90"/>
      <c r="AE327" s="140" t="s">
        <v>207</v>
      </c>
      <c r="AF327" s="178" t="str">
        <f t="shared" si="15"/>
        <v>C</v>
      </c>
      <c r="AG327" s="52" t="str">
        <f t="shared" si="16"/>
        <v>UTILIZOU O PDA CORRETAMENTE</v>
      </c>
      <c r="AH327" s="140" t="s">
        <v>207</v>
      </c>
      <c r="AI327" s="182" t="s">
        <v>36</v>
      </c>
      <c r="AJ327" s="93" t="str">
        <f t="shared" si="17"/>
        <v>SÃO PAULO</v>
      </c>
      <c r="AK327" s="183" t="s">
        <v>54</v>
      </c>
    </row>
    <row r="328" spans="1:37" ht="30" customHeight="1">
      <c r="A328" s="198" t="s">
        <v>198</v>
      </c>
      <c r="B328" s="198">
        <v>2619825494</v>
      </c>
      <c r="C328" s="198" t="s">
        <v>120</v>
      </c>
      <c r="D328" s="198" t="s">
        <v>96</v>
      </c>
      <c r="E328" s="198" t="s">
        <v>35</v>
      </c>
      <c r="F328" s="198" t="s">
        <v>687</v>
      </c>
      <c r="G328" s="198">
        <v>22</v>
      </c>
      <c r="H328" s="198"/>
      <c r="I328" s="198" t="s">
        <v>373</v>
      </c>
      <c r="J328" s="198" t="s">
        <v>336</v>
      </c>
      <c r="K328" s="198"/>
      <c r="L328" s="199">
        <v>46154.20416666667</v>
      </c>
      <c r="M328" s="199">
        <v>46154.22152777778</v>
      </c>
      <c r="N328" s="198" t="s">
        <v>320</v>
      </c>
      <c r="O328" s="152" t="s">
        <v>207</v>
      </c>
      <c r="P328" s="90"/>
      <c r="Q328" s="140" t="s">
        <v>207</v>
      </c>
      <c r="R328" s="90"/>
      <c r="S328" s="140" t="s">
        <v>207</v>
      </c>
      <c r="T328" s="90"/>
      <c r="U328" s="140" t="s">
        <v>207</v>
      </c>
      <c r="V328" s="90"/>
      <c r="W328" s="140" t="s">
        <v>207</v>
      </c>
      <c r="X328" s="90"/>
      <c r="Y328" s="140" t="s">
        <v>77</v>
      </c>
      <c r="Z328" s="90"/>
      <c r="AA328" s="140" t="s">
        <v>207</v>
      </c>
      <c r="AB328" s="90"/>
      <c r="AC328" s="140" t="s">
        <v>207</v>
      </c>
      <c r="AD328" s="90"/>
      <c r="AE328" s="140" t="s">
        <v>207</v>
      </c>
      <c r="AF328" s="178" t="str">
        <f t="shared" si="15"/>
        <v>C</v>
      </c>
      <c r="AG328" s="52" t="str">
        <f t="shared" si="16"/>
        <v>UTILIZOU O PDA CORRETAMENTE</v>
      </c>
      <c r="AH328" s="140" t="s">
        <v>207</v>
      </c>
      <c r="AI328" s="182" t="s">
        <v>36</v>
      </c>
      <c r="AJ328" s="93" t="str">
        <f t="shared" si="17"/>
        <v>SÃO PAULO</v>
      </c>
      <c r="AK328" s="183" t="s">
        <v>54</v>
      </c>
    </row>
    <row r="329" spans="1:37" ht="30" customHeight="1">
      <c r="A329" s="198" t="s">
        <v>198</v>
      </c>
      <c r="B329" s="198">
        <v>2619866569</v>
      </c>
      <c r="C329" s="198" t="s">
        <v>120</v>
      </c>
      <c r="D329" s="198" t="s">
        <v>96</v>
      </c>
      <c r="E329" s="198" t="s">
        <v>35</v>
      </c>
      <c r="F329" s="198" t="s">
        <v>688</v>
      </c>
      <c r="G329" s="198">
        <v>1052</v>
      </c>
      <c r="H329" s="198" t="s">
        <v>200</v>
      </c>
      <c r="I329" s="198" t="s">
        <v>689</v>
      </c>
      <c r="J329" s="198" t="s">
        <v>336</v>
      </c>
      <c r="K329" s="200" t="s">
        <v>690</v>
      </c>
      <c r="L329" s="199">
        <v>46154.118750000001</v>
      </c>
      <c r="M329" s="199">
        <v>46154.228472222225</v>
      </c>
      <c r="N329" s="198" t="s">
        <v>235</v>
      </c>
      <c r="O329" s="152" t="s">
        <v>207</v>
      </c>
      <c r="P329" s="90"/>
      <c r="Q329" s="140" t="s">
        <v>207</v>
      </c>
      <c r="R329" s="90"/>
      <c r="S329" s="140" t="s">
        <v>207</v>
      </c>
      <c r="T329" s="90"/>
      <c r="U329" s="140" t="s">
        <v>207</v>
      </c>
      <c r="V329" s="90"/>
      <c r="W329" s="140" t="s">
        <v>207</v>
      </c>
      <c r="X329" s="90"/>
      <c r="Y329" s="140" t="s">
        <v>77</v>
      </c>
      <c r="Z329" s="90"/>
      <c r="AA329" s="140" t="s">
        <v>207</v>
      </c>
      <c r="AB329" s="90"/>
      <c r="AC329" s="140" t="s">
        <v>207</v>
      </c>
      <c r="AD329" s="90"/>
      <c r="AE329" s="140" t="s">
        <v>207</v>
      </c>
      <c r="AF329" s="178" t="str">
        <f t="shared" si="15"/>
        <v>C</v>
      </c>
      <c r="AG329" s="52" t="str">
        <f t="shared" si="16"/>
        <v>UTILIZOU O PDA CORRETAMENTE</v>
      </c>
      <c r="AH329" s="140" t="s">
        <v>207</v>
      </c>
      <c r="AI329" s="182" t="s">
        <v>36</v>
      </c>
      <c r="AJ329" s="93" t="str">
        <f t="shared" si="17"/>
        <v>SÃO PAULO</v>
      </c>
      <c r="AK329" s="183" t="s">
        <v>54</v>
      </c>
    </row>
    <row r="330" spans="1:37" ht="30" customHeight="1">
      <c r="A330" s="198" t="s">
        <v>198</v>
      </c>
      <c r="B330" s="198">
        <v>2619780632</v>
      </c>
      <c r="C330" s="198" t="s">
        <v>120</v>
      </c>
      <c r="D330" s="198" t="s">
        <v>96</v>
      </c>
      <c r="E330" s="198" t="s">
        <v>35</v>
      </c>
      <c r="F330" s="198" t="s">
        <v>405</v>
      </c>
      <c r="G330" s="198">
        <v>829</v>
      </c>
      <c r="H330" s="198" t="s">
        <v>208</v>
      </c>
      <c r="I330" s="198" t="s">
        <v>211</v>
      </c>
      <c r="J330" s="198" t="s">
        <v>202</v>
      </c>
      <c r="K330" s="198"/>
      <c r="L330" s="199">
        <v>46154.298611111109</v>
      </c>
      <c r="M330" s="199">
        <v>46154.365972222222</v>
      </c>
      <c r="N330" s="198" t="s">
        <v>235</v>
      </c>
      <c r="O330" s="152" t="s">
        <v>207</v>
      </c>
      <c r="P330" s="90"/>
      <c r="Q330" s="140" t="s">
        <v>207</v>
      </c>
      <c r="R330" s="90"/>
      <c r="S330" s="140" t="s">
        <v>207</v>
      </c>
      <c r="T330" s="90"/>
      <c r="U330" s="140" t="s">
        <v>207</v>
      </c>
      <c r="V330" s="90"/>
      <c r="W330" s="140" t="s">
        <v>207</v>
      </c>
      <c r="X330" s="90"/>
      <c r="Y330" s="140" t="s">
        <v>77</v>
      </c>
      <c r="Z330" s="90"/>
      <c r="AA330" s="140" t="s">
        <v>207</v>
      </c>
      <c r="AB330" s="90"/>
      <c r="AC330" s="140" t="s">
        <v>207</v>
      </c>
      <c r="AD330" s="90"/>
      <c r="AE330" s="140" t="s">
        <v>207</v>
      </c>
      <c r="AF330" s="178" t="str">
        <f t="shared" si="15"/>
        <v>C</v>
      </c>
      <c r="AG330" s="52" t="str">
        <f t="shared" si="16"/>
        <v>UTILIZOU O PDA CORRETAMENTE</v>
      </c>
      <c r="AH330" s="140" t="s">
        <v>207</v>
      </c>
      <c r="AI330" s="182" t="s">
        <v>36</v>
      </c>
      <c r="AJ330" s="93" t="str">
        <f t="shared" si="17"/>
        <v>SÃO PAULO</v>
      </c>
      <c r="AK330" s="183" t="s">
        <v>54</v>
      </c>
    </row>
    <row r="331" spans="1:37" ht="30" customHeight="1">
      <c r="A331" s="198" t="s">
        <v>198</v>
      </c>
      <c r="B331" s="198">
        <v>2693076450</v>
      </c>
      <c r="C331" s="198" t="s">
        <v>122</v>
      </c>
      <c r="D331" s="198" t="s">
        <v>96</v>
      </c>
      <c r="E331" s="198" t="s">
        <v>35</v>
      </c>
      <c r="F331" s="198" t="s">
        <v>691</v>
      </c>
      <c r="G331" s="198">
        <v>897</v>
      </c>
      <c r="H331" s="198" t="s">
        <v>200</v>
      </c>
      <c r="I331" s="198" t="s">
        <v>357</v>
      </c>
      <c r="J331" s="198" t="s">
        <v>301</v>
      </c>
      <c r="K331" s="198" t="s">
        <v>692</v>
      </c>
      <c r="L331" s="199">
        <v>46154.352777777778</v>
      </c>
      <c r="M331" s="199">
        <v>46154.36041666667</v>
      </c>
      <c r="N331" s="198" t="s">
        <v>323</v>
      </c>
      <c r="O331" s="152" t="s">
        <v>207</v>
      </c>
      <c r="P331" s="90"/>
      <c r="Q331" s="140" t="s">
        <v>207</v>
      </c>
      <c r="R331" s="90"/>
      <c r="S331" s="140" t="s">
        <v>207</v>
      </c>
      <c r="T331" s="90"/>
      <c r="U331" s="140" t="s">
        <v>207</v>
      </c>
      <c r="V331" s="90"/>
      <c r="W331" s="140" t="s">
        <v>207</v>
      </c>
      <c r="X331" s="90"/>
      <c r="Y331" s="140" t="s">
        <v>77</v>
      </c>
      <c r="Z331" s="90"/>
      <c r="AA331" s="140" t="s">
        <v>207</v>
      </c>
      <c r="AB331" s="90"/>
      <c r="AC331" s="140" t="s">
        <v>207</v>
      </c>
      <c r="AD331" s="90"/>
      <c r="AE331" s="140" t="s">
        <v>207</v>
      </c>
      <c r="AF331" s="178" t="str">
        <f t="shared" si="15"/>
        <v>C</v>
      </c>
      <c r="AG331" s="52" t="str">
        <f t="shared" si="16"/>
        <v>UTILIZOU O PDA CORRETAMENTE</v>
      </c>
      <c r="AH331" s="140" t="s">
        <v>207</v>
      </c>
      <c r="AI331" s="182" t="s">
        <v>36</v>
      </c>
      <c r="AJ331" s="93" t="str">
        <f t="shared" si="17"/>
        <v>SÃO PAULO</v>
      </c>
      <c r="AK331" s="183" t="s">
        <v>54</v>
      </c>
    </row>
    <row r="332" spans="1:37" ht="30" customHeight="1">
      <c r="A332" s="198" t="s">
        <v>198</v>
      </c>
      <c r="B332" s="198">
        <v>2619820683</v>
      </c>
      <c r="C332" s="198" t="s">
        <v>122</v>
      </c>
      <c r="D332" s="198" t="s">
        <v>96</v>
      </c>
      <c r="E332" s="198" t="s">
        <v>35</v>
      </c>
      <c r="F332" s="198" t="s">
        <v>466</v>
      </c>
      <c r="G332" s="198">
        <v>310</v>
      </c>
      <c r="H332" s="198" t="s">
        <v>257</v>
      </c>
      <c r="I332" s="198" t="s">
        <v>467</v>
      </c>
      <c r="J332" s="198" t="s">
        <v>260</v>
      </c>
      <c r="K332" s="198" t="s">
        <v>693</v>
      </c>
      <c r="L332" s="199">
        <v>46154.128472222219</v>
      </c>
      <c r="M332" s="199">
        <v>46154.165277777778</v>
      </c>
      <c r="N332" s="198" t="s">
        <v>331</v>
      </c>
      <c r="O332" s="152" t="s">
        <v>207</v>
      </c>
      <c r="P332" s="90"/>
      <c r="Q332" s="140" t="s">
        <v>207</v>
      </c>
      <c r="R332" s="90"/>
      <c r="S332" s="140" t="s">
        <v>207</v>
      </c>
      <c r="T332" s="90"/>
      <c r="U332" s="140" t="s">
        <v>207</v>
      </c>
      <c r="V332" s="90"/>
      <c r="W332" s="140" t="s">
        <v>207</v>
      </c>
      <c r="X332" s="90"/>
      <c r="Y332" s="140" t="s">
        <v>77</v>
      </c>
      <c r="Z332" s="90"/>
      <c r="AA332" s="140" t="s">
        <v>207</v>
      </c>
      <c r="AB332" s="90"/>
      <c r="AC332" s="140" t="s">
        <v>207</v>
      </c>
      <c r="AD332" s="90"/>
      <c r="AE332" s="140" t="s">
        <v>207</v>
      </c>
      <c r="AF332" s="178" t="str">
        <f t="shared" si="15"/>
        <v>C</v>
      </c>
      <c r="AG332" s="52" t="str">
        <f t="shared" si="16"/>
        <v>UTILIZOU O PDA CORRETAMENTE</v>
      </c>
      <c r="AH332" s="140" t="s">
        <v>207</v>
      </c>
      <c r="AI332" s="182" t="s">
        <v>36</v>
      </c>
      <c r="AJ332" s="93" t="str">
        <f t="shared" si="17"/>
        <v>SÃO PAULO</v>
      </c>
      <c r="AK332" s="183" t="s">
        <v>54</v>
      </c>
    </row>
    <row r="333" spans="1:37" ht="30" customHeight="1">
      <c r="A333" s="198" t="s">
        <v>198</v>
      </c>
      <c r="B333" s="198">
        <v>2619811090</v>
      </c>
      <c r="C333" s="198" t="s">
        <v>109</v>
      </c>
      <c r="D333" s="198" t="s">
        <v>92</v>
      </c>
      <c r="E333" s="198" t="s">
        <v>35</v>
      </c>
      <c r="F333" s="198" t="s">
        <v>694</v>
      </c>
      <c r="G333" s="198">
        <v>1620</v>
      </c>
      <c r="H333" s="198" t="s">
        <v>329</v>
      </c>
      <c r="I333" s="198" t="s">
        <v>293</v>
      </c>
      <c r="J333" s="198" t="s">
        <v>109</v>
      </c>
      <c r="K333" s="198" t="s">
        <v>200</v>
      </c>
      <c r="L333" s="199">
        <v>46154.106944444444</v>
      </c>
      <c r="M333" s="199">
        <v>46154.117361111108</v>
      </c>
      <c r="N333" s="198" t="s">
        <v>206</v>
      </c>
      <c r="O333" s="152" t="s">
        <v>207</v>
      </c>
      <c r="P333" s="90"/>
      <c r="Q333" s="140" t="s">
        <v>77</v>
      </c>
      <c r="R333" s="90"/>
      <c r="S333" s="140" t="s">
        <v>77</v>
      </c>
      <c r="T333" s="90"/>
      <c r="U333" s="140" t="s">
        <v>77</v>
      </c>
      <c r="V333" s="90"/>
      <c r="W333" s="140" t="s">
        <v>77</v>
      </c>
      <c r="X333" s="90"/>
      <c r="Y333" s="140" t="s">
        <v>77</v>
      </c>
      <c r="Z333" s="90"/>
      <c r="AA333" s="140" t="s">
        <v>77</v>
      </c>
      <c r="AB333" s="90"/>
      <c r="AC333" s="140" t="s">
        <v>207</v>
      </c>
      <c r="AD333" s="90"/>
      <c r="AE333" s="140" t="s">
        <v>207</v>
      </c>
      <c r="AF333" s="178" t="str">
        <f t="shared" si="15"/>
        <v>C</v>
      </c>
      <c r="AG333" s="52" t="str">
        <f t="shared" si="16"/>
        <v>UTILIZOU O PDA CORRETAMENTE</v>
      </c>
      <c r="AH333" s="140"/>
      <c r="AI333" s="182" t="s">
        <v>36</v>
      </c>
      <c r="AJ333" s="93" t="str">
        <f t="shared" si="17"/>
        <v>SÃO PAULO</v>
      </c>
      <c r="AK333" s="183" t="s">
        <v>54</v>
      </c>
    </row>
    <row r="334" spans="1:37" ht="30" customHeight="1">
      <c r="A334" s="198" t="s">
        <v>198</v>
      </c>
      <c r="B334" s="198">
        <v>2619811092</v>
      </c>
      <c r="C334" s="198" t="s">
        <v>111</v>
      </c>
      <c r="D334" s="198" t="s">
        <v>92</v>
      </c>
      <c r="E334" s="198" t="s">
        <v>35</v>
      </c>
      <c r="F334" s="198" t="s">
        <v>694</v>
      </c>
      <c r="G334" s="198">
        <v>1620</v>
      </c>
      <c r="H334" s="198" t="s">
        <v>325</v>
      </c>
      <c r="I334" s="198" t="s">
        <v>293</v>
      </c>
      <c r="J334" s="198" t="s">
        <v>111</v>
      </c>
      <c r="K334" s="198"/>
      <c r="L334" s="199">
        <v>46154.117361111108</v>
      </c>
      <c r="M334" s="199">
        <v>46154.118750000001</v>
      </c>
      <c r="N334" s="198" t="s">
        <v>206</v>
      </c>
      <c r="O334" s="152" t="s">
        <v>207</v>
      </c>
      <c r="P334" s="90"/>
      <c r="Q334" s="140" t="s">
        <v>77</v>
      </c>
      <c r="R334" s="90"/>
      <c r="S334" s="140" t="s">
        <v>77</v>
      </c>
      <c r="T334" s="90"/>
      <c r="U334" s="140" t="s">
        <v>77</v>
      </c>
      <c r="V334" s="90"/>
      <c r="W334" s="140" t="s">
        <v>77</v>
      </c>
      <c r="X334" s="90"/>
      <c r="Y334" s="140" t="s">
        <v>77</v>
      </c>
      <c r="Z334" s="90"/>
      <c r="AA334" s="140" t="s">
        <v>77</v>
      </c>
      <c r="AB334" s="90"/>
      <c r="AC334" s="140" t="s">
        <v>207</v>
      </c>
      <c r="AD334" s="90"/>
      <c r="AE334" s="140" t="s">
        <v>207</v>
      </c>
      <c r="AF334" s="178" t="str">
        <f t="shared" si="15"/>
        <v>C</v>
      </c>
      <c r="AG334" s="52" t="str">
        <f t="shared" si="16"/>
        <v>UTILIZOU O PDA CORRETAMENTE</v>
      </c>
      <c r="AH334" s="140"/>
      <c r="AI334" s="182" t="s">
        <v>36</v>
      </c>
      <c r="AJ334" s="93" t="str">
        <f t="shared" si="17"/>
        <v>SÃO PAULO</v>
      </c>
      <c r="AK334" s="183" t="s">
        <v>54</v>
      </c>
    </row>
    <row r="335" spans="1:37" ht="30" customHeight="1">
      <c r="A335" s="198" t="s">
        <v>198</v>
      </c>
      <c r="B335" s="198">
        <v>2619820143</v>
      </c>
      <c r="C335" s="198" t="s">
        <v>109</v>
      </c>
      <c r="D335" s="198" t="s">
        <v>92</v>
      </c>
      <c r="E335" s="198" t="s">
        <v>35</v>
      </c>
      <c r="F335" s="198" t="s">
        <v>695</v>
      </c>
      <c r="G335" s="198">
        <v>54</v>
      </c>
      <c r="H335" s="198" t="s">
        <v>208</v>
      </c>
      <c r="I335" s="198" t="s">
        <v>429</v>
      </c>
      <c r="J335" s="198" t="s">
        <v>109</v>
      </c>
      <c r="K335" s="198" t="s">
        <v>200</v>
      </c>
      <c r="L335" s="199">
        <v>46154.340277777781</v>
      </c>
      <c r="M335" s="199">
        <v>46154.350694444445</v>
      </c>
      <c r="N335" s="198" t="s">
        <v>206</v>
      </c>
      <c r="O335" s="152" t="s">
        <v>207</v>
      </c>
      <c r="P335" s="90"/>
      <c r="Q335" s="140" t="s">
        <v>77</v>
      </c>
      <c r="R335" s="90"/>
      <c r="S335" s="140" t="s">
        <v>77</v>
      </c>
      <c r="T335" s="90"/>
      <c r="U335" s="140" t="s">
        <v>77</v>
      </c>
      <c r="V335" s="90"/>
      <c r="W335" s="140" t="s">
        <v>77</v>
      </c>
      <c r="X335" s="90"/>
      <c r="Y335" s="140" t="s">
        <v>77</v>
      </c>
      <c r="Z335" s="90"/>
      <c r="AA335" s="140" t="s">
        <v>207</v>
      </c>
      <c r="AB335" s="90"/>
      <c r="AC335" s="140" t="s">
        <v>207</v>
      </c>
      <c r="AD335" s="90"/>
      <c r="AE335" s="140" t="s">
        <v>207</v>
      </c>
      <c r="AF335" s="178" t="str">
        <f t="shared" si="15"/>
        <v>C</v>
      </c>
      <c r="AG335" s="52" t="str">
        <f t="shared" si="16"/>
        <v>UTILIZOU O PDA CORRETAMENTE</v>
      </c>
      <c r="AH335" s="140"/>
      <c r="AI335" s="182" t="s">
        <v>36</v>
      </c>
      <c r="AJ335" s="93" t="str">
        <f t="shared" si="17"/>
        <v>SÃO PAULO</v>
      </c>
      <c r="AK335" s="183" t="s">
        <v>54</v>
      </c>
    </row>
    <row r="336" spans="1:37" ht="30" customHeight="1">
      <c r="A336" s="198" t="s">
        <v>198</v>
      </c>
      <c r="B336" s="198">
        <v>2619820165</v>
      </c>
      <c r="C336" s="198" t="s">
        <v>111</v>
      </c>
      <c r="D336" s="198" t="s">
        <v>92</v>
      </c>
      <c r="E336" s="198" t="s">
        <v>35</v>
      </c>
      <c r="F336" s="198" t="s">
        <v>695</v>
      </c>
      <c r="G336" s="198">
        <v>54</v>
      </c>
      <c r="H336" s="198" t="s">
        <v>205</v>
      </c>
      <c r="I336" s="198" t="s">
        <v>429</v>
      </c>
      <c r="J336" s="198" t="s">
        <v>111</v>
      </c>
      <c r="K336" s="198"/>
      <c r="L336" s="199">
        <v>46154.351388888892</v>
      </c>
      <c r="M336" s="199">
        <v>46154.352083333331</v>
      </c>
      <c r="N336" s="198" t="s">
        <v>206</v>
      </c>
      <c r="O336" s="152" t="s">
        <v>207</v>
      </c>
      <c r="P336" s="90"/>
      <c r="Q336" s="140" t="s">
        <v>77</v>
      </c>
      <c r="R336" s="90"/>
      <c r="S336" s="140" t="s">
        <v>77</v>
      </c>
      <c r="T336" s="90"/>
      <c r="U336" s="140" t="s">
        <v>77</v>
      </c>
      <c r="V336" s="90"/>
      <c r="W336" s="140" t="s">
        <v>77</v>
      </c>
      <c r="X336" s="90"/>
      <c r="Y336" s="140" t="s">
        <v>77</v>
      </c>
      <c r="Z336" s="90"/>
      <c r="AA336" s="140" t="s">
        <v>207</v>
      </c>
      <c r="AB336" s="90"/>
      <c r="AC336" s="140" t="s">
        <v>207</v>
      </c>
      <c r="AD336" s="90"/>
      <c r="AE336" s="140" t="s">
        <v>207</v>
      </c>
      <c r="AF336" s="178" t="str">
        <f t="shared" si="15"/>
        <v>C</v>
      </c>
      <c r="AG336" s="52" t="str">
        <f t="shared" si="16"/>
        <v>UTILIZOU O PDA CORRETAMENTE</v>
      </c>
      <c r="AH336" s="140"/>
      <c r="AI336" s="182" t="s">
        <v>36</v>
      </c>
      <c r="AJ336" s="93" t="str">
        <f t="shared" si="17"/>
        <v>SÃO PAULO</v>
      </c>
      <c r="AK336" s="183" t="s">
        <v>54</v>
      </c>
    </row>
    <row r="337" spans="1:37" ht="30" customHeight="1">
      <c r="A337" s="198" t="s">
        <v>198</v>
      </c>
      <c r="B337" s="198">
        <v>2619820167</v>
      </c>
      <c r="C337" s="198" t="s">
        <v>111</v>
      </c>
      <c r="D337" s="198" t="s">
        <v>92</v>
      </c>
      <c r="E337" s="198" t="s">
        <v>35</v>
      </c>
      <c r="F337" s="198" t="s">
        <v>695</v>
      </c>
      <c r="G337" s="198">
        <v>54</v>
      </c>
      <c r="H337" s="198" t="s">
        <v>257</v>
      </c>
      <c r="I337" s="198" t="s">
        <v>429</v>
      </c>
      <c r="J337" s="198" t="s">
        <v>111</v>
      </c>
      <c r="K337" s="198" t="s">
        <v>200</v>
      </c>
      <c r="L337" s="199">
        <v>46154.352083333331</v>
      </c>
      <c r="M337" s="199">
        <v>46154.352777777778</v>
      </c>
      <c r="N337" s="198" t="s">
        <v>206</v>
      </c>
      <c r="O337" s="152" t="s">
        <v>207</v>
      </c>
      <c r="P337" s="90"/>
      <c r="Q337" s="140" t="s">
        <v>77</v>
      </c>
      <c r="R337" s="90"/>
      <c r="S337" s="140" t="s">
        <v>77</v>
      </c>
      <c r="T337" s="90"/>
      <c r="U337" s="140" t="s">
        <v>77</v>
      </c>
      <c r="V337" s="90"/>
      <c r="W337" s="140" t="s">
        <v>77</v>
      </c>
      <c r="X337" s="90"/>
      <c r="Y337" s="140" t="s">
        <v>77</v>
      </c>
      <c r="Z337" s="90"/>
      <c r="AA337" s="140" t="s">
        <v>207</v>
      </c>
      <c r="AB337" s="90"/>
      <c r="AC337" s="140" t="s">
        <v>207</v>
      </c>
      <c r="AD337" s="90"/>
      <c r="AE337" s="140" t="s">
        <v>207</v>
      </c>
      <c r="AF337" s="178" t="str">
        <f t="shared" si="15"/>
        <v>C</v>
      </c>
      <c r="AG337" s="52" t="str">
        <f t="shared" si="16"/>
        <v>UTILIZOU O PDA CORRETAMENTE</v>
      </c>
      <c r="AH337" s="140"/>
      <c r="AI337" s="182" t="s">
        <v>36</v>
      </c>
      <c r="AJ337" s="93" t="str">
        <f t="shared" si="17"/>
        <v>SÃO PAULO</v>
      </c>
      <c r="AK337" s="183" t="s">
        <v>54</v>
      </c>
    </row>
    <row r="338" spans="1:37" ht="30" customHeight="1">
      <c r="A338" s="198" t="s">
        <v>198</v>
      </c>
      <c r="B338" s="198">
        <v>2619824047</v>
      </c>
      <c r="C338" s="198" t="s">
        <v>109</v>
      </c>
      <c r="D338" s="198" t="s">
        <v>92</v>
      </c>
      <c r="E338" s="198" t="s">
        <v>35</v>
      </c>
      <c r="F338" s="198" t="s">
        <v>696</v>
      </c>
      <c r="G338" s="198">
        <v>650</v>
      </c>
      <c r="H338" s="198" t="s">
        <v>208</v>
      </c>
      <c r="I338" s="198" t="s">
        <v>281</v>
      </c>
      <c r="J338" s="198" t="s">
        <v>109</v>
      </c>
      <c r="K338" s="198"/>
      <c r="L338" s="199">
        <v>46154.325694444444</v>
      </c>
      <c r="M338" s="199">
        <v>46154.331944444442</v>
      </c>
      <c r="N338" s="198" t="s">
        <v>206</v>
      </c>
      <c r="O338" s="152" t="s">
        <v>207</v>
      </c>
      <c r="P338" s="90"/>
      <c r="Q338" s="140" t="s">
        <v>77</v>
      </c>
      <c r="R338" s="90"/>
      <c r="S338" s="140" t="s">
        <v>77</v>
      </c>
      <c r="T338" s="90"/>
      <c r="U338" s="140" t="s">
        <v>77</v>
      </c>
      <c r="V338" s="90"/>
      <c r="W338" s="140" t="s">
        <v>77</v>
      </c>
      <c r="X338" s="90"/>
      <c r="Y338" s="140" t="s">
        <v>77</v>
      </c>
      <c r="Z338" s="90"/>
      <c r="AA338" s="140" t="s">
        <v>77</v>
      </c>
      <c r="AB338" s="90"/>
      <c r="AC338" s="140" t="s">
        <v>207</v>
      </c>
      <c r="AD338" s="90"/>
      <c r="AE338" s="140" t="s">
        <v>207</v>
      </c>
      <c r="AF338" s="178" t="str">
        <f t="shared" si="15"/>
        <v>C</v>
      </c>
      <c r="AG338" s="52" t="str">
        <f t="shared" si="16"/>
        <v>UTILIZOU O PDA CORRETAMENTE</v>
      </c>
      <c r="AH338" s="140"/>
      <c r="AI338" s="182" t="s">
        <v>36</v>
      </c>
      <c r="AJ338" s="93" t="str">
        <f t="shared" si="17"/>
        <v>SÃO PAULO</v>
      </c>
      <c r="AK338" s="183" t="s">
        <v>54</v>
      </c>
    </row>
    <row r="339" spans="1:37" ht="30" customHeight="1">
      <c r="A339" s="198" t="s">
        <v>198</v>
      </c>
      <c r="B339" s="198">
        <v>2619824112</v>
      </c>
      <c r="C339" s="198" t="s">
        <v>111</v>
      </c>
      <c r="D339" s="198" t="s">
        <v>92</v>
      </c>
      <c r="E339" s="198" t="s">
        <v>35</v>
      </c>
      <c r="F339" s="198" t="s">
        <v>696</v>
      </c>
      <c r="G339" s="198">
        <v>650</v>
      </c>
      <c r="H339" s="198" t="s">
        <v>205</v>
      </c>
      <c r="I339" s="198" t="s">
        <v>281</v>
      </c>
      <c r="J339" s="198" t="s">
        <v>111</v>
      </c>
      <c r="K339" s="198" t="s">
        <v>200</v>
      </c>
      <c r="L339" s="199">
        <v>46154.332638888889</v>
      </c>
      <c r="M339" s="199">
        <v>46154.333333333336</v>
      </c>
      <c r="N339" s="198" t="s">
        <v>206</v>
      </c>
      <c r="O339" s="152" t="s">
        <v>207</v>
      </c>
      <c r="P339" s="90"/>
      <c r="Q339" s="140" t="s">
        <v>77</v>
      </c>
      <c r="R339" s="90"/>
      <c r="S339" s="140" t="s">
        <v>77</v>
      </c>
      <c r="T339" s="90"/>
      <c r="U339" s="140" t="s">
        <v>77</v>
      </c>
      <c r="V339" s="90"/>
      <c r="W339" s="140" t="s">
        <v>77</v>
      </c>
      <c r="X339" s="90"/>
      <c r="Y339" s="140" t="s">
        <v>77</v>
      </c>
      <c r="Z339" s="90"/>
      <c r="AA339" s="140" t="s">
        <v>77</v>
      </c>
      <c r="AB339" s="90"/>
      <c r="AC339" s="140" t="s">
        <v>207</v>
      </c>
      <c r="AD339" s="90"/>
      <c r="AE339" s="140" t="s">
        <v>207</v>
      </c>
      <c r="AF339" s="178" t="str">
        <f t="shared" si="15"/>
        <v>C</v>
      </c>
      <c r="AG339" s="52" t="str">
        <f t="shared" si="16"/>
        <v>UTILIZOU O PDA CORRETAMENTE</v>
      </c>
      <c r="AH339" s="140"/>
      <c r="AI339" s="182" t="s">
        <v>36</v>
      </c>
      <c r="AJ339" s="93" t="str">
        <f t="shared" si="17"/>
        <v>SÃO PAULO</v>
      </c>
      <c r="AK339" s="183" t="s">
        <v>54</v>
      </c>
    </row>
    <row r="340" spans="1:37" ht="30" customHeight="1">
      <c r="A340" s="198" t="s">
        <v>198</v>
      </c>
      <c r="B340" s="198">
        <v>2693023675</v>
      </c>
      <c r="C340" s="198" t="s">
        <v>118</v>
      </c>
      <c r="D340" s="198" t="s">
        <v>96</v>
      </c>
      <c r="E340" s="198" t="s">
        <v>35</v>
      </c>
      <c r="F340" s="198" t="s">
        <v>448</v>
      </c>
      <c r="G340" s="198">
        <v>861</v>
      </c>
      <c r="H340" s="198" t="s">
        <v>380</v>
      </c>
      <c r="I340" s="198" t="s">
        <v>314</v>
      </c>
      <c r="J340" s="198" t="s">
        <v>267</v>
      </c>
      <c r="K340" s="198"/>
      <c r="L340" s="199">
        <v>46154.142361111109</v>
      </c>
      <c r="M340" s="199">
        <v>46154.176388888889</v>
      </c>
      <c r="N340" s="198" t="s">
        <v>262</v>
      </c>
      <c r="O340" s="152" t="s">
        <v>207</v>
      </c>
      <c r="P340" s="90"/>
      <c r="Q340" s="140" t="s">
        <v>207</v>
      </c>
      <c r="R340" s="90"/>
      <c r="S340" s="140" t="s">
        <v>207</v>
      </c>
      <c r="T340" s="90"/>
      <c r="U340" s="140" t="s">
        <v>207</v>
      </c>
      <c r="V340" s="90"/>
      <c r="W340" s="140" t="s">
        <v>207</v>
      </c>
      <c r="X340" s="90"/>
      <c r="Y340" s="140" t="s">
        <v>77</v>
      </c>
      <c r="Z340" s="90"/>
      <c r="AA340" s="140" t="s">
        <v>207</v>
      </c>
      <c r="AB340" s="90"/>
      <c r="AC340" s="140" t="s">
        <v>207</v>
      </c>
      <c r="AD340" s="90"/>
      <c r="AE340" s="140" t="s">
        <v>207</v>
      </c>
      <c r="AF340" s="178" t="str">
        <f t="shared" si="15"/>
        <v>C</v>
      </c>
      <c r="AG340" s="52" t="str">
        <f t="shared" si="16"/>
        <v>UTILIZOU O PDA CORRETAMENTE</v>
      </c>
      <c r="AH340" s="140" t="s">
        <v>207</v>
      </c>
      <c r="AI340" s="182" t="s">
        <v>36</v>
      </c>
      <c r="AJ340" s="93" t="str">
        <f t="shared" si="17"/>
        <v>SÃO PAULO</v>
      </c>
      <c r="AK340" s="183" t="s">
        <v>54</v>
      </c>
    </row>
    <row r="341" spans="1:37" ht="30" customHeight="1">
      <c r="A341" s="198" t="s">
        <v>198</v>
      </c>
      <c r="B341" s="198">
        <v>2619835226</v>
      </c>
      <c r="C341" s="198" t="s">
        <v>109</v>
      </c>
      <c r="D341" s="198" t="s">
        <v>92</v>
      </c>
      <c r="E341" s="198" t="s">
        <v>35</v>
      </c>
      <c r="F341" s="198" t="s">
        <v>697</v>
      </c>
      <c r="G341" s="198">
        <v>20</v>
      </c>
      <c r="H341" s="198" t="s">
        <v>208</v>
      </c>
      <c r="I341" s="198" t="s">
        <v>319</v>
      </c>
      <c r="J341" s="198" t="s">
        <v>109</v>
      </c>
      <c r="K341" s="198" t="s">
        <v>200</v>
      </c>
      <c r="L341" s="199">
        <v>46154.214583333334</v>
      </c>
      <c r="M341" s="199">
        <v>46154.216666666667</v>
      </c>
      <c r="N341" s="198" t="s">
        <v>206</v>
      </c>
      <c r="O341" s="152" t="s">
        <v>207</v>
      </c>
      <c r="P341" s="90"/>
      <c r="Q341" s="140" t="s">
        <v>77</v>
      </c>
      <c r="R341" s="90"/>
      <c r="S341" s="140" t="s">
        <v>77</v>
      </c>
      <c r="T341" s="90"/>
      <c r="U341" s="140" t="s">
        <v>77</v>
      </c>
      <c r="V341" s="90"/>
      <c r="W341" s="140" t="s">
        <v>77</v>
      </c>
      <c r="X341" s="90"/>
      <c r="Y341" s="140" t="s">
        <v>77</v>
      </c>
      <c r="Z341" s="90"/>
      <c r="AA341" s="140" t="s">
        <v>207</v>
      </c>
      <c r="AB341" s="90"/>
      <c r="AC341" s="140" t="s">
        <v>207</v>
      </c>
      <c r="AD341" s="90"/>
      <c r="AE341" s="140" t="s">
        <v>207</v>
      </c>
      <c r="AF341" s="178" t="str">
        <f t="shared" si="15"/>
        <v>C</v>
      </c>
      <c r="AG341" s="52" t="str">
        <f t="shared" si="16"/>
        <v>UTILIZOU O PDA CORRETAMENTE</v>
      </c>
      <c r="AH341" s="140"/>
      <c r="AI341" s="182" t="s">
        <v>36</v>
      </c>
      <c r="AJ341" s="93" t="str">
        <f t="shared" si="17"/>
        <v>SÃO PAULO</v>
      </c>
      <c r="AK341" s="183" t="s">
        <v>54</v>
      </c>
    </row>
    <row r="342" spans="1:37" ht="30" customHeight="1">
      <c r="A342" s="198" t="s">
        <v>198</v>
      </c>
      <c r="B342" s="198">
        <v>2619835249</v>
      </c>
      <c r="C342" s="198" t="s">
        <v>111</v>
      </c>
      <c r="D342" s="198" t="s">
        <v>92</v>
      </c>
      <c r="E342" s="198" t="s">
        <v>35</v>
      </c>
      <c r="F342" s="198" t="s">
        <v>697</v>
      </c>
      <c r="G342" s="198">
        <v>20</v>
      </c>
      <c r="H342" s="198" t="s">
        <v>205</v>
      </c>
      <c r="I342" s="198" t="s">
        <v>319</v>
      </c>
      <c r="J342" s="198" t="s">
        <v>111</v>
      </c>
      <c r="K342" s="198"/>
      <c r="L342" s="199">
        <v>46154.211111111108</v>
      </c>
      <c r="M342" s="199">
        <v>46154.214583333334</v>
      </c>
      <c r="N342" s="198" t="s">
        <v>206</v>
      </c>
      <c r="O342" s="152" t="s">
        <v>207</v>
      </c>
      <c r="P342" s="90"/>
      <c r="Q342" s="140" t="s">
        <v>77</v>
      </c>
      <c r="R342" s="90"/>
      <c r="S342" s="140" t="s">
        <v>77</v>
      </c>
      <c r="T342" s="90"/>
      <c r="U342" s="140" t="s">
        <v>77</v>
      </c>
      <c r="V342" s="90"/>
      <c r="W342" s="140" t="s">
        <v>77</v>
      </c>
      <c r="X342" s="90"/>
      <c r="Y342" s="140" t="s">
        <v>77</v>
      </c>
      <c r="Z342" s="90"/>
      <c r="AA342" s="140" t="s">
        <v>207</v>
      </c>
      <c r="AB342" s="90"/>
      <c r="AC342" s="140" t="s">
        <v>207</v>
      </c>
      <c r="AD342" s="90"/>
      <c r="AE342" s="140" t="s">
        <v>207</v>
      </c>
      <c r="AF342" s="178" t="str">
        <f t="shared" si="15"/>
        <v>C</v>
      </c>
      <c r="AG342" s="52" t="str">
        <f t="shared" si="16"/>
        <v>UTILIZOU O PDA CORRETAMENTE</v>
      </c>
      <c r="AH342" s="140"/>
      <c r="AI342" s="182" t="s">
        <v>36</v>
      </c>
      <c r="AJ342" s="93" t="str">
        <f t="shared" si="17"/>
        <v>SÃO PAULO</v>
      </c>
      <c r="AK342" s="183" t="s">
        <v>54</v>
      </c>
    </row>
    <row r="343" spans="1:37" ht="30" customHeight="1">
      <c r="A343" s="198" t="s">
        <v>198</v>
      </c>
      <c r="B343" s="198">
        <v>2619838347</v>
      </c>
      <c r="C343" s="198" t="s">
        <v>109</v>
      </c>
      <c r="D343" s="198" t="s">
        <v>92</v>
      </c>
      <c r="E343" s="198" t="s">
        <v>35</v>
      </c>
      <c r="F343" s="198" t="s">
        <v>698</v>
      </c>
      <c r="G343" s="198">
        <v>289</v>
      </c>
      <c r="H343" s="198" t="s">
        <v>329</v>
      </c>
      <c r="I343" s="198" t="s">
        <v>284</v>
      </c>
      <c r="J343" s="198" t="s">
        <v>109</v>
      </c>
      <c r="K343" s="198" t="s">
        <v>200</v>
      </c>
      <c r="L343" s="199">
        <v>46154.40625</v>
      </c>
      <c r="M343" s="199">
        <v>46154.422222222223</v>
      </c>
      <c r="N343" s="198" t="s">
        <v>206</v>
      </c>
      <c r="O343" s="152" t="s">
        <v>207</v>
      </c>
      <c r="P343" s="90"/>
      <c r="Q343" s="140" t="s">
        <v>77</v>
      </c>
      <c r="R343" s="90"/>
      <c r="S343" s="140" t="s">
        <v>77</v>
      </c>
      <c r="T343" s="90"/>
      <c r="U343" s="140" t="s">
        <v>77</v>
      </c>
      <c r="V343" s="90"/>
      <c r="W343" s="140" t="s">
        <v>77</v>
      </c>
      <c r="X343" s="90"/>
      <c r="Y343" s="140" t="s">
        <v>77</v>
      </c>
      <c r="Z343" s="90"/>
      <c r="AA343" s="140" t="s">
        <v>207</v>
      </c>
      <c r="AB343" s="90"/>
      <c r="AC343" s="140" t="s">
        <v>207</v>
      </c>
      <c r="AD343" s="90"/>
      <c r="AE343" s="140" t="s">
        <v>207</v>
      </c>
      <c r="AF343" s="178" t="str">
        <f t="shared" si="15"/>
        <v>C</v>
      </c>
      <c r="AG343" s="52" t="str">
        <f t="shared" si="16"/>
        <v>UTILIZOU O PDA CORRETAMENTE</v>
      </c>
      <c r="AH343" s="140"/>
      <c r="AI343" s="182" t="s">
        <v>36</v>
      </c>
      <c r="AJ343" s="93" t="str">
        <f t="shared" si="17"/>
        <v>SÃO PAULO</v>
      </c>
      <c r="AK343" s="183" t="s">
        <v>54</v>
      </c>
    </row>
    <row r="344" spans="1:37" ht="30" customHeight="1">
      <c r="A344" s="198" t="s">
        <v>198</v>
      </c>
      <c r="B344" s="198">
        <v>2619838358</v>
      </c>
      <c r="C344" s="198" t="s">
        <v>111</v>
      </c>
      <c r="D344" s="198" t="s">
        <v>92</v>
      </c>
      <c r="E344" s="198" t="s">
        <v>35</v>
      </c>
      <c r="F344" s="198" t="s">
        <v>698</v>
      </c>
      <c r="G344" s="198">
        <v>289</v>
      </c>
      <c r="H344" s="198" t="s">
        <v>325</v>
      </c>
      <c r="I344" s="198" t="s">
        <v>284</v>
      </c>
      <c r="J344" s="198" t="s">
        <v>111</v>
      </c>
      <c r="K344" s="198"/>
      <c r="L344" s="199">
        <v>46154.42291666667</v>
      </c>
      <c r="M344" s="199">
        <v>46154.424305555556</v>
      </c>
      <c r="N344" s="198" t="s">
        <v>206</v>
      </c>
      <c r="O344" s="152" t="s">
        <v>207</v>
      </c>
      <c r="P344" s="90"/>
      <c r="Q344" s="140" t="s">
        <v>77</v>
      </c>
      <c r="R344" s="90"/>
      <c r="S344" s="140" t="s">
        <v>77</v>
      </c>
      <c r="T344" s="90"/>
      <c r="U344" s="140" t="s">
        <v>77</v>
      </c>
      <c r="V344" s="90"/>
      <c r="W344" s="140" t="s">
        <v>77</v>
      </c>
      <c r="X344" s="90"/>
      <c r="Y344" s="140" t="s">
        <v>77</v>
      </c>
      <c r="Z344" s="90"/>
      <c r="AA344" s="140" t="s">
        <v>207</v>
      </c>
      <c r="AB344" s="90"/>
      <c r="AC344" s="140" t="s">
        <v>207</v>
      </c>
      <c r="AD344" s="90"/>
      <c r="AE344" s="140" t="s">
        <v>207</v>
      </c>
      <c r="AF344" s="178" t="str">
        <f t="shared" si="15"/>
        <v>C</v>
      </c>
      <c r="AG344" s="52" t="str">
        <f t="shared" si="16"/>
        <v>UTILIZOU O PDA CORRETAMENTE</v>
      </c>
      <c r="AH344" s="140"/>
      <c r="AI344" s="182" t="s">
        <v>36</v>
      </c>
      <c r="AJ344" s="93" t="str">
        <f t="shared" si="17"/>
        <v>SÃO PAULO</v>
      </c>
      <c r="AK344" s="183" t="s">
        <v>54</v>
      </c>
    </row>
    <row r="345" spans="1:37" ht="30" customHeight="1">
      <c r="A345" s="198" t="s">
        <v>198</v>
      </c>
      <c r="B345" s="198">
        <v>2619840462</v>
      </c>
      <c r="C345" s="198" t="s">
        <v>111</v>
      </c>
      <c r="D345" s="198" t="s">
        <v>92</v>
      </c>
      <c r="E345" s="198" t="s">
        <v>35</v>
      </c>
      <c r="F345" s="198" t="s">
        <v>699</v>
      </c>
      <c r="G345" s="198">
        <v>43</v>
      </c>
      <c r="H345" s="198" t="s">
        <v>205</v>
      </c>
      <c r="I345" s="198" t="s">
        <v>433</v>
      </c>
      <c r="J345" s="198" t="s">
        <v>111</v>
      </c>
      <c r="K345" s="198" t="s">
        <v>200</v>
      </c>
      <c r="L345" s="199">
        <v>46154.145138888889</v>
      </c>
      <c r="M345" s="199">
        <v>46154.147222222222</v>
      </c>
      <c r="N345" s="198" t="s">
        <v>206</v>
      </c>
      <c r="O345" s="152" t="s">
        <v>207</v>
      </c>
      <c r="P345" s="90"/>
      <c r="Q345" s="140" t="s">
        <v>77</v>
      </c>
      <c r="R345" s="90"/>
      <c r="S345" s="140" t="s">
        <v>77</v>
      </c>
      <c r="T345" s="90"/>
      <c r="U345" s="140" t="s">
        <v>77</v>
      </c>
      <c r="V345" s="90"/>
      <c r="W345" s="140" t="s">
        <v>77</v>
      </c>
      <c r="X345" s="90"/>
      <c r="Y345" s="140" t="s">
        <v>77</v>
      </c>
      <c r="Z345" s="90"/>
      <c r="AA345" s="140" t="s">
        <v>207</v>
      </c>
      <c r="AB345" s="90"/>
      <c r="AC345" s="140" t="s">
        <v>207</v>
      </c>
      <c r="AD345" s="90"/>
      <c r="AE345" s="140" t="s">
        <v>207</v>
      </c>
      <c r="AF345" s="178" t="str">
        <f t="shared" si="15"/>
        <v>C</v>
      </c>
      <c r="AG345" s="52" t="str">
        <f t="shared" si="16"/>
        <v>UTILIZOU O PDA CORRETAMENTE</v>
      </c>
      <c r="AH345" s="140"/>
      <c r="AI345" s="182" t="s">
        <v>36</v>
      </c>
      <c r="AJ345" s="93" t="str">
        <f t="shared" si="17"/>
        <v>SÃO PAULO</v>
      </c>
      <c r="AK345" s="183" t="s">
        <v>54</v>
      </c>
    </row>
    <row r="346" spans="1:37" ht="30" customHeight="1">
      <c r="A346" s="198" t="s">
        <v>198</v>
      </c>
      <c r="B346" s="198">
        <v>2619887774</v>
      </c>
      <c r="C346" s="198" t="s">
        <v>119</v>
      </c>
      <c r="D346" s="198" t="s">
        <v>96</v>
      </c>
      <c r="E346" s="198" t="s">
        <v>35</v>
      </c>
      <c r="F346" s="198" t="s">
        <v>700</v>
      </c>
      <c r="G346" s="198">
        <v>228</v>
      </c>
      <c r="H346" s="198"/>
      <c r="I346" s="198" t="s">
        <v>230</v>
      </c>
      <c r="J346" s="198" t="s">
        <v>267</v>
      </c>
      <c r="K346" s="198"/>
      <c r="L346" s="199">
        <v>46154.535416666666</v>
      </c>
      <c r="M346" s="199">
        <v>46154.538194444445</v>
      </c>
      <c r="N346" s="198" t="s">
        <v>327</v>
      </c>
      <c r="O346" s="152" t="s">
        <v>207</v>
      </c>
      <c r="P346" s="90"/>
      <c r="Q346" s="140" t="s">
        <v>207</v>
      </c>
      <c r="R346" s="90"/>
      <c r="S346" s="140" t="s">
        <v>207</v>
      </c>
      <c r="T346" s="90"/>
      <c r="U346" s="140" t="s">
        <v>207</v>
      </c>
      <c r="V346" s="90"/>
      <c r="W346" s="140" t="s">
        <v>207</v>
      </c>
      <c r="X346" s="90"/>
      <c r="Y346" s="140" t="s">
        <v>77</v>
      </c>
      <c r="Z346" s="90"/>
      <c r="AA346" s="140" t="s">
        <v>207</v>
      </c>
      <c r="AB346" s="90"/>
      <c r="AC346" s="140" t="s">
        <v>207</v>
      </c>
      <c r="AD346" s="90"/>
      <c r="AE346" s="140" t="s">
        <v>207</v>
      </c>
      <c r="AF346" s="178" t="str">
        <f t="shared" si="15"/>
        <v>C</v>
      </c>
      <c r="AG346" s="52" t="str">
        <f t="shared" si="16"/>
        <v>UTILIZOU O PDA CORRETAMENTE</v>
      </c>
      <c r="AH346" s="140" t="s">
        <v>207</v>
      </c>
      <c r="AI346" s="182" t="s">
        <v>36</v>
      </c>
      <c r="AJ346" s="93" t="str">
        <f t="shared" si="17"/>
        <v>SÃO PAULO</v>
      </c>
      <c r="AK346" s="183" t="s">
        <v>54</v>
      </c>
    </row>
    <row r="347" spans="1:37" ht="30" customHeight="1">
      <c r="A347" s="198" t="s">
        <v>198</v>
      </c>
      <c r="B347" s="198">
        <v>2619842348</v>
      </c>
      <c r="C347" s="198" t="s">
        <v>111</v>
      </c>
      <c r="D347" s="198" t="s">
        <v>92</v>
      </c>
      <c r="E347" s="198" t="s">
        <v>35</v>
      </c>
      <c r="F347" s="198" t="s">
        <v>498</v>
      </c>
      <c r="G347" s="198">
        <v>4831</v>
      </c>
      <c r="H347" s="198" t="s">
        <v>325</v>
      </c>
      <c r="I347" s="198" t="s">
        <v>701</v>
      </c>
      <c r="J347" s="198" t="s">
        <v>111</v>
      </c>
      <c r="K347" s="198" t="s">
        <v>200</v>
      </c>
      <c r="L347" s="199">
        <v>46154.169444444444</v>
      </c>
      <c r="M347" s="199">
        <v>46154.17083333333</v>
      </c>
      <c r="N347" s="198" t="s">
        <v>206</v>
      </c>
      <c r="O347" s="152" t="s">
        <v>207</v>
      </c>
      <c r="P347" s="90"/>
      <c r="Q347" s="140" t="s">
        <v>77</v>
      </c>
      <c r="R347" s="90"/>
      <c r="S347" s="140" t="s">
        <v>77</v>
      </c>
      <c r="T347" s="90"/>
      <c r="U347" s="140" t="s">
        <v>77</v>
      </c>
      <c r="V347" s="90"/>
      <c r="W347" s="140" t="s">
        <v>77</v>
      </c>
      <c r="X347" s="90"/>
      <c r="Y347" s="140" t="s">
        <v>77</v>
      </c>
      <c r="Z347" s="90"/>
      <c r="AA347" s="140" t="s">
        <v>77</v>
      </c>
      <c r="AB347" s="90"/>
      <c r="AC347" s="140" t="s">
        <v>207</v>
      </c>
      <c r="AD347" s="90"/>
      <c r="AE347" s="140" t="s">
        <v>207</v>
      </c>
      <c r="AF347" s="178" t="str">
        <f t="shared" si="15"/>
        <v>C</v>
      </c>
      <c r="AG347" s="52" t="str">
        <f t="shared" si="16"/>
        <v>UTILIZOU O PDA CORRETAMENTE</v>
      </c>
      <c r="AH347" s="140"/>
      <c r="AI347" s="182" t="s">
        <v>36</v>
      </c>
      <c r="AJ347" s="93" t="str">
        <f t="shared" si="17"/>
        <v>SÃO PAULO</v>
      </c>
      <c r="AK347" s="183" t="s">
        <v>54</v>
      </c>
    </row>
    <row r="348" spans="1:37" ht="30" customHeight="1">
      <c r="A348" s="198" t="s">
        <v>198</v>
      </c>
      <c r="B348" s="198">
        <v>2619840460</v>
      </c>
      <c r="C348" s="198" t="s">
        <v>109</v>
      </c>
      <c r="D348" s="198" t="s">
        <v>92</v>
      </c>
      <c r="E348" s="198" t="s">
        <v>35</v>
      </c>
      <c r="F348" s="198" t="s">
        <v>699</v>
      </c>
      <c r="G348" s="198">
        <v>43</v>
      </c>
      <c r="H348" s="198" t="s">
        <v>208</v>
      </c>
      <c r="I348" s="198" t="s">
        <v>433</v>
      </c>
      <c r="J348" s="198" t="s">
        <v>109</v>
      </c>
      <c r="K348" s="198"/>
      <c r="L348" s="199">
        <v>46154.134027777778</v>
      </c>
      <c r="M348" s="199">
        <v>46154.144444444442</v>
      </c>
      <c r="N348" s="198" t="s">
        <v>206</v>
      </c>
      <c r="O348" s="152" t="s">
        <v>207</v>
      </c>
      <c r="P348" s="90"/>
      <c r="Q348" s="140" t="s">
        <v>77</v>
      </c>
      <c r="R348" s="90"/>
      <c r="S348" s="140" t="s">
        <v>77</v>
      </c>
      <c r="T348" s="90"/>
      <c r="U348" s="140" t="s">
        <v>77</v>
      </c>
      <c r="V348" s="90"/>
      <c r="W348" s="140" t="s">
        <v>77</v>
      </c>
      <c r="X348" s="90"/>
      <c r="Y348" s="140" t="s">
        <v>77</v>
      </c>
      <c r="Z348" s="90"/>
      <c r="AA348" s="140" t="s">
        <v>207</v>
      </c>
      <c r="AB348" s="90"/>
      <c r="AC348" s="140" t="s">
        <v>207</v>
      </c>
      <c r="AD348" s="90"/>
      <c r="AE348" s="140" t="s">
        <v>207</v>
      </c>
      <c r="AF348" s="178" t="str">
        <f t="shared" si="15"/>
        <v>C</v>
      </c>
      <c r="AG348" s="52" t="str">
        <f t="shared" si="16"/>
        <v>UTILIZOU O PDA CORRETAMENTE</v>
      </c>
      <c r="AH348" s="140"/>
      <c r="AI348" s="182" t="s">
        <v>36</v>
      </c>
      <c r="AJ348" s="93" t="str">
        <f t="shared" si="17"/>
        <v>SÃO PAULO</v>
      </c>
      <c r="AK348" s="183" t="s">
        <v>54</v>
      </c>
    </row>
    <row r="349" spans="1:37" ht="30" customHeight="1">
      <c r="A349" s="198" t="s">
        <v>198</v>
      </c>
      <c r="B349" s="198">
        <v>2619842346</v>
      </c>
      <c r="C349" s="198" t="s">
        <v>109</v>
      </c>
      <c r="D349" s="198" t="s">
        <v>92</v>
      </c>
      <c r="E349" s="198" t="s">
        <v>35</v>
      </c>
      <c r="F349" s="198" t="s">
        <v>498</v>
      </c>
      <c r="G349" s="198">
        <v>4831</v>
      </c>
      <c r="H349" s="198" t="s">
        <v>329</v>
      </c>
      <c r="I349" s="198" t="s">
        <v>701</v>
      </c>
      <c r="J349" s="198" t="s">
        <v>109</v>
      </c>
      <c r="K349" s="198" t="s">
        <v>200</v>
      </c>
      <c r="L349" s="199">
        <v>46154.173611111109</v>
      </c>
      <c r="M349" s="199">
        <v>46154.176388888889</v>
      </c>
      <c r="N349" s="198" t="s">
        <v>206</v>
      </c>
      <c r="O349" s="152" t="s">
        <v>207</v>
      </c>
      <c r="P349" s="90"/>
      <c r="Q349" s="140" t="s">
        <v>77</v>
      </c>
      <c r="R349" s="90"/>
      <c r="S349" s="140" t="s">
        <v>77</v>
      </c>
      <c r="T349" s="90"/>
      <c r="U349" s="140" t="s">
        <v>77</v>
      </c>
      <c r="V349" s="90"/>
      <c r="W349" s="140" t="s">
        <v>77</v>
      </c>
      <c r="X349" s="90"/>
      <c r="Y349" s="140" t="s">
        <v>77</v>
      </c>
      <c r="Z349" s="90"/>
      <c r="AA349" s="140" t="s">
        <v>77</v>
      </c>
      <c r="AB349" s="90"/>
      <c r="AC349" s="140" t="s">
        <v>207</v>
      </c>
      <c r="AD349" s="90"/>
      <c r="AE349" s="140" t="s">
        <v>207</v>
      </c>
      <c r="AF349" s="178" t="str">
        <f t="shared" si="15"/>
        <v>C</v>
      </c>
      <c r="AG349" s="52" t="str">
        <f t="shared" si="16"/>
        <v>UTILIZOU O PDA CORRETAMENTE</v>
      </c>
      <c r="AH349" s="140"/>
      <c r="AI349" s="182" t="s">
        <v>36</v>
      </c>
      <c r="AJ349" s="93" t="str">
        <f t="shared" si="17"/>
        <v>SÃO PAULO</v>
      </c>
      <c r="AK349" s="183" t="s">
        <v>54</v>
      </c>
    </row>
    <row r="350" spans="1:37" ht="30" customHeight="1">
      <c r="A350" s="198" t="s">
        <v>198</v>
      </c>
      <c r="B350" s="198">
        <v>2619865947</v>
      </c>
      <c r="C350" s="198" t="s">
        <v>121</v>
      </c>
      <c r="D350" s="198" t="s">
        <v>96</v>
      </c>
      <c r="E350" s="198" t="s">
        <v>35</v>
      </c>
      <c r="F350" s="198" t="s">
        <v>702</v>
      </c>
      <c r="G350" s="198">
        <v>43</v>
      </c>
      <c r="H350" s="198"/>
      <c r="I350" s="198" t="s">
        <v>281</v>
      </c>
      <c r="J350" s="198" t="s">
        <v>202</v>
      </c>
      <c r="K350" s="198"/>
      <c r="L350" s="199">
        <v>46154.15625</v>
      </c>
      <c r="M350" s="199">
        <v>46154.21875</v>
      </c>
      <c r="N350" s="198" t="s">
        <v>222</v>
      </c>
      <c r="O350" s="152" t="s">
        <v>207</v>
      </c>
      <c r="P350" s="90"/>
      <c r="Q350" s="140" t="s">
        <v>207</v>
      </c>
      <c r="R350" s="90"/>
      <c r="S350" s="140" t="s">
        <v>207</v>
      </c>
      <c r="T350" s="90"/>
      <c r="U350" s="140" t="s">
        <v>207</v>
      </c>
      <c r="V350" s="90"/>
      <c r="W350" s="140" t="s">
        <v>207</v>
      </c>
      <c r="X350" s="90"/>
      <c r="Y350" s="140" t="s">
        <v>77</v>
      </c>
      <c r="Z350" s="90"/>
      <c r="AA350" s="140" t="s">
        <v>207</v>
      </c>
      <c r="AB350" s="90"/>
      <c r="AC350" s="140" t="s">
        <v>207</v>
      </c>
      <c r="AD350" s="90"/>
      <c r="AE350" s="140" t="s">
        <v>207</v>
      </c>
      <c r="AF350" s="178" t="str">
        <f t="shared" si="15"/>
        <v>C</v>
      </c>
      <c r="AG350" s="52" t="str">
        <f t="shared" si="16"/>
        <v>UTILIZOU O PDA CORRETAMENTE</v>
      </c>
      <c r="AH350" s="140" t="s">
        <v>207</v>
      </c>
      <c r="AI350" s="182" t="s">
        <v>36</v>
      </c>
      <c r="AJ350" s="93" t="str">
        <f t="shared" si="17"/>
        <v>SÃO PAULO</v>
      </c>
      <c r="AK350" s="183" t="s">
        <v>54</v>
      </c>
    </row>
    <row r="351" spans="1:37" ht="30" customHeight="1">
      <c r="A351" s="198" t="s">
        <v>198</v>
      </c>
      <c r="B351" s="198">
        <v>2619834554</v>
      </c>
      <c r="C351" s="198" t="s">
        <v>102</v>
      </c>
      <c r="D351" s="198" t="s">
        <v>95</v>
      </c>
      <c r="E351" s="198" t="s">
        <v>35</v>
      </c>
      <c r="F351" s="198" t="s">
        <v>703</v>
      </c>
      <c r="G351" s="198">
        <v>1068</v>
      </c>
      <c r="H351" s="198" t="s">
        <v>200</v>
      </c>
      <c r="I351" s="198" t="s">
        <v>704</v>
      </c>
      <c r="J351" s="198" t="s">
        <v>427</v>
      </c>
      <c r="K351" s="198" t="s">
        <v>705</v>
      </c>
      <c r="L351" s="199">
        <v>46154.267361111109</v>
      </c>
      <c r="M351" s="199">
        <v>46154.314583333333</v>
      </c>
      <c r="N351" s="198" t="s">
        <v>706</v>
      </c>
      <c r="O351" s="152" t="s">
        <v>77</v>
      </c>
      <c r="P351" s="90"/>
      <c r="Q351" s="140" t="s">
        <v>77</v>
      </c>
      <c r="R351" s="90"/>
      <c r="S351" s="140" t="s">
        <v>77</v>
      </c>
      <c r="T351" s="90"/>
      <c r="U351" s="140" t="s">
        <v>77</v>
      </c>
      <c r="V351" s="90"/>
      <c r="W351" s="140" t="s">
        <v>77</v>
      </c>
      <c r="X351" s="90"/>
      <c r="Y351" s="140" t="s">
        <v>77</v>
      </c>
      <c r="Z351" s="90"/>
      <c r="AA351" s="140" t="s">
        <v>77</v>
      </c>
      <c r="AB351" s="90"/>
      <c r="AC351" s="140" t="s">
        <v>77</v>
      </c>
      <c r="AD351" s="90"/>
      <c r="AE351" s="140" t="s">
        <v>77</v>
      </c>
      <c r="AF351" s="178" t="str">
        <f t="shared" si="15"/>
        <v>NA</v>
      </c>
      <c r="AG351" s="52" t="str">
        <f t="shared" si="16"/>
        <v>NÃO AVALIADO POR FALHA DE SINCRONISMO</v>
      </c>
      <c r="AH351" s="140" t="s">
        <v>207</v>
      </c>
      <c r="AI351" s="182" t="s">
        <v>36</v>
      </c>
      <c r="AJ351" s="93" t="str">
        <f t="shared" si="17"/>
        <v>SÃO PAULO</v>
      </c>
      <c r="AK351" s="183" t="s">
        <v>54</v>
      </c>
    </row>
    <row r="352" spans="1:37" ht="30" customHeight="1">
      <c r="A352" s="198" t="s">
        <v>198</v>
      </c>
      <c r="B352" s="198">
        <v>2619193357</v>
      </c>
      <c r="C352" s="198" t="s">
        <v>101</v>
      </c>
      <c r="D352" s="198" t="s">
        <v>92</v>
      </c>
      <c r="E352" s="198" t="s">
        <v>35</v>
      </c>
      <c r="F352" s="198" t="s">
        <v>691</v>
      </c>
      <c r="G352" s="198">
        <v>658</v>
      </c>
      <c r="H352" s="198" t="s">
        <v>205</v>
      </c>
      <c r="I352" s="198" t="s">
        <v>357</v>
      </c>
      <c r="J352" s="198" t="s">
        <v>101</v>
      </c>
      <c r="K352" s="198"/>
      <c r="L352" s="199">
        <v>46154.112500000003</v>
      </c>
      <c r="M352" s="199">
        <v>46154.26666666667</v>
      </c>
      <c r="N352" s="198" t="s">
        <v>213</v>
      </c>
      <c r="O352" s="152" t="s">
        <v>207</v>
      </c>
      <c r="P352" s="90"/>
      <c r="Q352" s="140" t="s">
        <v>207</v>
      </c>
      <c r="R352" s="90"/>
      <c r="S352" s="140" t="s">
        <v>77</v>
      </c>
      <c r="T352" s="90"/>
      <c r="U352" s="140" t="s">
        <v>77</v>
      </c>
      <c r="V352" s="90"/>
      <c r="W352" s="140" t="s">
        <v>77</v>
      </c>
      <c r="X352" s="90"/>
      <c r="Y352" s="140" t="s">
        <v>77</v>
      </c>
      <c r="Z352" s="90"/>
      <c r="AA352" s="140" t="s">
        <v>77</v>
      </c>
      <c r="AB352" s="90"/>
      <c r="AC352" s="140" t="s">
        <v>207</v>
      </c>
      <c r="AD352" s="90"/>
      <c r="AE352" s="140" t="s">
        <v>207</v>
      </c>
      <c r="AF352" s="178" t="str">
        <f t="shared" si="15"/>
        <v>C</v>
      </c>
      <c r="AG352" s="52" t="str">
        <f t="shared" si="16"/>
        <v>UTILIZOU O PDA CORRETAMENTE</v>
      </c>
      <c r="AH352" s="140" t="s">
        <v>207</v>
      </c>
      <c r="AI352" s="182" t="s">
        <v>36</v>
      </c>
      <c r="AJ352" s="93" t="str">
        <f t="shared" si="17"/>
        <v>SÃO PAULO</v>
      </c>
      <c r="AK352" s="183" t="s">
        <v>54</v>
      </c>
    </row>
    <row r="353" spans="1:37" ht="30" customHeight="1">
      <c r="A353" s="198" t="s">
        <v>198</v>
      </c>
      <c r="B353" s="198">
        <v>2619850448</v>
      </c>
      <c r="C353" s="198" t="s">
        <v>109</v>
      </c>
      <c r="D353" s="198" t="s">
        <v>92</v>
      </c>
      <c r="E353" s="198" t="s">
        <v>35</v>
      </c>
      <c r="F353" s="198" t="s">
        <v>707</v>
      </c>
      <c r="G353" s="198">
        <v>357</v>
      </c>
      <c r="H353" s="198" t="s">
        <v>491</v>
      </c>
      <c r="I353" s="198" t="s">
        <v>708</v>
      </c>
      <c r="J353" s="198" t="s">
        <v>109</v>
      </c>
      <c r="K353" s="198" t="s">
        <v>200</v>
      </c>
      <c r="L353" s="199">
        <v>46154.318749999999</v>
      </c>
      <c r="M353" s="199">
        <v>46154.320138888892</v>
      </c>
      <c r="N353" s="198" t="s">
        <v>213</v>
      </c>
      <c r="O353" s="152" t="s">
        <v>207</v>
      </c>
      <c r="P353" s="90"/>
      <c r="Q353" s="140" t="s">
        <v>77</v>
      </c>
      <c r="R353" s="90"/>
      <c r="S353" s="140" t="s">
        <v>77</v>
      </c>
      <c r="T353" s="90"/>
      <c r="U353" s="140" t="s">
        <v>77</v>
      </c>
      <c r="V353" s="90"/>
      <c r="W353" s="140" t="s">
        <v>77</v>
      </c>
      <c r="X353" s="90"/>
      <c r="Y353" s="140" t="s">
        <v>77</v>
      </c>
      <c r="Z353" s="90"/>
      <c r="AA353" s="140" t="s">
        <v>207</v>
      </c>
      <c r="AB353" s="90"/>
      <c r="AC353" s="140" t="s">
        <v>207</v>
      </c>
      <c r="AD353" s="90"/>
      <c r="AE353" s="140" t="s">
        <v>207</v>
      </c>
      <c r="AF353" s="178" t="str">
        <f t="shared" si="15"/>
        <v>C</v>
      </c>
      <c r="AG353" s="52" t="str">
        <f t="shared" si="16"/>
        <v>UTILIZOU O PDA CORRETAMENTE</v>
      </c>
      <c r="AH353" s="140"/>
      <c r="AI353" s="182" t="s">
        <v>36</v>
      </c>
      <c r="AJ353" s="93" t="str">
        <f t="shared" si="17"/>
        <v>SÃO PAULO</v>
      </c>
      <c r="AK353" s="183" t="s">
        <v>54</v>
      </c>
    </row>
    <row r="354" spans="1:37" ht="30" customHeight="1">
      <c r="A354" s="198" t="s">
        <v>198</v>
      </c>
      <c r="B354" s="198">
        <v>2619850451</v>
      </c>
      <c r="C354" s="198" t="s">
        <v>111</v>
      </c>
      <c r="D354" s="198" t="s">
        <v>92</v>
      </c>
      <c r="E354" s="198" t="s">
        <v>35</v>
      </c>
      <c r="F354" s="198" t="s">
        <v>707</v>
      </c>
      <c r="G354" s="198">
        <v>357</v>
      </c>
      <c r="H354" s="198" t="s">
        <v>487</v>
      </c>
      <c r="I354" s="198" t="s">
        <v>708</v>
      </c>
      <c r="J354" s="198" t="s">
        <v>111</v>
      </c>
      <c r="K354" s="198"/>
      <c r="L354" s="199">
        <v>46154.314583333333</v>
      </c>
      <c r="M354" s="199">
        <v>46154.318749999999</v>
      </c>
      <c r="N354" s="198" t="s">
        <v>213</v>
      </c>
      <c r="O354" s="152" t="s">
        <v>207</v>
      </c>
      <c r="P354" s="90"/>
      <c r="Q354" s="140" t="s">
        <v>77</v>
      </c>
      <c r="R354" s="90"/>
      <c r="S354" s="140" t="s">
        <v>77</v>
      </c>
      <c r="T354" s="90"/>
      <c r="U354" s="140" t="s">
        <v>77</v>
      </c>
      <c r="V354" s="90"/>
      <c r="W354" s="140" t="s">
        <v>77</v>
      </c>
      <c r="X354" s="90"/>
      <c r="Y354" s="140" t="s">
        <v>77</v>
      </c>
      <c r="Z354" s="90"/>
      <c r="AA354" s="140" t="s">
        <v>207</v>
      </c>
      <c r="AB354" s="90"/>
      <c r="AC354" s="140" t="s">
        <v>207</v>
      </c>
      <c r="AD354" s="90"/>
      <c r="AE354" s="140" t="s">
        <v>207</v>
      </c>
      <c r="AF354" s="178" t="str">
        <f t="shared" si="15"/>
        <v>C</v>
      </c>
      <c r="AG354" s="52" t="str">
        <f t="shared" si="16"/>
        <v>UTILIZOU O PDA CORRETAMENTE</v>
      </c>
      <c r="AH354" s="140"/>
      <c r="AI354" s="182" t="s">
        <v>36</v>
      </c>
      <c r="AJ354" s="93" t="str">
        <f t="shared" si="17"/>
        <v>SÃO PAULO</v>
      </c>
      <c r="AK354" s="183" t="s">
        <v>54</v>
      </c>
    </row>
    <row r="355" spans="1:37" ht="30" customHeight="1">
      <c r="A355" s="198" t="s">
        <v>198</v>
      </c>
      <c r="B355" s="198">
        <v>2619852790</v>
      </c>
      <c r="C355" s="198" t="s">
        <v>101</v>
      </c>
      <c r="D355" s="198" t="s">
        <v>92</v>
      </c>
      <c r="E355" s="198" t="s">
        <v>35</v>
      </c>
      <c r="F355" s="198" t="s">
        <v>552</v>
      </c>
      <c r="G355" s="198">
        <v>25</v>
      </c>
      <c r="H355" s="198" t="s">
        <v>200</v>
      </c>
      <c r="I355" s="198" t="s">
        <v>256</v>
      </c>
      <c r="J355" s="198" t="s">
        <v>101</v>
      </c>
      <c r="K355" s="198" t="s">
        <v>709</v>
      </c>
      <c r="L355" s="199">
        <v>46154.665277777778</v>
      </c>
      <c r="M355" s="199">
        <v>46154.67291666667</v>
      </c>
      <c r="N355" s="198" t="s">
        <v>364</v>
      </c>
      <c r="O355" s="152" t="s">
        <v>207</v>
      </c>
      <c r="P355" s="90"/>
      <c r="Q355" s="140" t="s">
        <v>77</v>
      </c>
      <c r="R355" s="90"/>
      <c r="S355" s="140" t="s">
        <v>77</v>
      </c>
      <c r="T355" s="90"/>
      <c r="U355" s="140" t="s">
        <v>77</v>
      </c>
      <c r="V355" s="90"/>
      <c r="W355" s="140" t="s">
        <v>77</v>
      </c>
      <c r="X355" s="90"/>
      <c r="Y355" s="140" t="s">
        <v>77</v>
      </c>
      <c r="Z355" s="90"/>
      <c r="AA355" s="140" t="s">
        <v>77</v>
      </c>
      <c r="AB355" s="90"/>
      <c r="AC355" s="140" t="s">
        <v>207</v>
      </c>
      <c r="AD355" s="90"/>
      <c r="AE355" s="140" t="s">
        <v>207</v>
      </c>
      <c r="AF355" s="178" t="str">
        <f t="shared" si="15"/>
        <v>C</v>
      </c>
      <c r="AG355" s="52" t="str">
        <f t="shared" si="16"/>
        <v>UTILIZOU O PDA CORRETAMENTE</v>
      </c>
      <c r="AH355" s="140" t="s">
        <v>207</v>
      </c>
      <c r="AI355" s="182" t="s">
        <v>36</v>
      </c>
      <c r="AJ355" s="93" t="str">
        <f t="shared" si="17"/>
        <v>SÃO PAULO</v>
      </c>
      <c r="AK355" s="183" t="s">
        <v>54</v>
      </c>
    </row>
    <row r="356" spans="1:37" ht="30" customHeight="1">
      <c r="A356" s="198" t="s">
        <v>198</v>
      </c>
      <c r="B356" s="198">
        <v>2619842862</v>
      </c>
      <c r="C356" s="198" t="s">
        <v>101</v>
      </c>
      <c r="D356" s="198" t="s">
        <v>92</v>
      </c>
      <c r="E356" s="198" t="s">
        <v>35</v>
      </c>
      <c r="F356" s="198" t="s">
        <v>597</v>
      </c>
      <c r="G356" s="198">
        <v>900</v>
      </c>
      <c r="H356" s="198"/>
      <c r="I356" s="198" t="s">
        <v>201</v>
      </c>
      <c r="J356" s="198" t="s">
        <v>101</v>
      </c>
      <c r="K356" s="198" t="s">
        <v>710</v>
      </c>
      <c r="L356" s="199">
        <v>46154.50277777778</v>
      </c>
      <c r="M356" s="199">
        <v>46154.509027777778</v>
      </c>
      <c r="N356" s="198" t="s">
        <v>364</v>
      </c>
      <c r="O356" s="152" t="s">
        <v>207</v>
      </c>
      <c r="P356" s="90"/>
      <c r="Q356" s="140" t="s">
        <v>207</v>
      </c>
      <c r="R356" s="90"/>
      <c r="S356" s="140" t="s">
        <v>77</v>
      </c>
      <c r="T356" s="90"/>
      <c r="U356" s="140" t="s">
        <v>77</v>
      </c>
      <c r="V356" s="90"/>
      <c r="W356" s="140" t="s">
        <v>77</v>
      </c>
      <c r="X356" s="90"/>
      <c r="Y356" s="140" t="s">
        <v>77</v>
      </c>
      <c r="Z356" s="90"/>
      <c r="AA356" s="140" t="s">
        <v>77</v>
      </c>
      <c r="AB356" s="90"/>
      <c r="AC356" s="140" t="s">
        <v>207</v>
      </c>
      <c r="AD356" s="90"/>
      <c r="AE356" s="140" t="s">
        <v>207</v>
      </c>
      <c r="AF356" s="178" t="str">
        <f t="shared" si="15"/>
        <v>C</v>
      </c>
      <c r="AG356" s="52" t="str">
        <f t="shared" si="16"/>
        <v>UTILIZOU O PDA CORRETAMENTE</v>
      </c>
      <c r="AH356" s="140" t="s">
        <v>207</v>
      </c>
      <c r="AI356" s="182" t="s">
        <v>36</v>
      </c>
      <c r="AJ356" s="93" t="str">
        <f t="shared" si="17"/>
        <v>SÃO PAULO</v>
      </c>
      <c r="AK356" s="183" t="s">
        <v>54</v>
      </c>
    </row>
    <row r="357" spans="1:37" ht="30" customHeight="1">
      <c r="A357" s="198" t="s">
        <v>198</v>
      </c>
      <c r="B357" s="198">
        <v>2618088418</v>
      </c>
      <c r="C357" s="198" t="s">
        <v>107</v>
      </c>
      <c r="D357" s="198" t="s">
        <v>92</v>
      </c>
      <c r="E357" s="198" t="s">
        <v>35</v>
      </c>
      <c r="F357" s="198" t="s">
        <v>711</v>
      </c>
      <c r="G357" s="198">
        <v>242</v>
      </c>
      <c r="H357" s="198" t="s">
        <v>200</v>
      </c>
      <c r="I357" s="198" t="s">
        <v>548</v>
      </c>
      <c r="J357" s="198" t="s">
        <v>212</v>
      </c>
      <c r="K357" s="198" t="s">
        <v>200</v>
      </c>
      <c r="L357" s="199">
        <v>46154.40902777778</v>
      </c>
      <c r="M357" s="199">
        <v>46154.501388888886</v>
      </c>
      <c r="N357" s="198" t="s">
        <v>295</v>
      </c>
      <c r="O357" s="152" t="s">
        <v>207</v>
      </c>
      <c r="P357" s="90"/>
      <c r="Q357" s="140" t="s">
        <v>207</v>
      </c>
      <c r="R357" s="90"/>
      <c r="S357" s="140" t="s">
        <v>214</v>
      </c>
      <c r="T357" s="90"/>
      <c r="U357" s="140" t="s">
        <v>207</v>
      </c>
      <c r="V357" s="90"/>
      <c r="W357" s="140" t="s">
        <v>214</v>
      </c>
      <c r="X357" s="90"/>
      <c r="Y357" s="140" t="s">
        <v>77</v>
      </c>
      <c r="Z357" s="90"/>
      <c r="AA357" s="140" t="s">
        <v>214</v>
      </c>
      <c r="AB357" s="90"/>
      <c r="AC357" s="140" t="s">
        <v>207</v>
      </c>
      <c r="AD357" s="90"/>
      <c r="AE357" s="140" t="s">
        <v>207</v>
      </c>
      <c r="AF357" s="178" t="str">
        <f t="shared" si="15"/>
        <v>NC</v>
      </c>
      <c r="AG357" s="52" t="str">
        <f t="shared" si="16"/>
        <v>UTILIZOU O PDA CORRETAMENTE. NÃO HÁ FOTOS DE TODAS AS ETAPAS</v>
      </c>
      <c r="AH357" s="140" t="s">
        <v>207</v>
      </c>
      <c r="AI357" s="182" t="s">
        <v>36</v>
      </c>
      <c r="AJ357" s="93" t="str">
        <f t="shared" si="17"/>
        <v>SÃO PAULO</v>
      </c>
      <c r="AK357" s="183" t="s">
        <v>54</v>
      </c>
    </row>
    <row r="358" spans="1:37" ht="30" customHeight="1">
      <c r="A358" s="198" t="s">
        <v>198</v>
      </c>
      <c r="B358" s="198">
        <v>2619163738</v>
      </c>
      <c r="C358" s="198" t="s">
        <v>102</v>
      </c>
      <c r="D358" s="198" t="s">
        <v>95</v>
      </c>
      <c r="E358" s="198" t="s">
        <v>35</v>
      </c>
      <c r="F358" s="198" t="s">
        <v>694</v>
      </c>
      <c r="G358" s="198">
        <v>1162</v>
      </c>
      <c r="H358" s="198" t="s">
        <v>208</v>
      </c>
      <c r="I358" s="198" t="s">
        <v>293</v>
      </c>
      <c r="J358" s="198" t="s">
        <v>712</v>
      </c>
      <c r="K358" s="198"/>
      <c r="L358" s="199">
        <v>46154.578472222223</v>
      </c>
      <c r="M358" s="199">
        <v>46154.580555555556</v>
      </c>
      <c r="N358" s="198" t="s">
        <v>309</v>
      </c>
      <c r="O358" s="152" t="s">
        <v>207</v>
      </c>
      <c r="P358" s="90"/>
      <c r="Q358" s="140" t="s">
        <v>207</v>
      </c>
      <c r="R358" s="90"/>
      <c r="S358" s="140" t="s">
        <v>77</v>
      </c>
      <c r="T358" s="90"/>
      <c r="U358" s="140" t="s">
        <v>77</v>
      </c>
      <c r="V358" s="90"/>
      <c r="W358" s="140" t="s">
        <v>77</v>
      </c>
      <c r="X358" s="90"/>
      <c r="Y358" s="140" t="s">
        <v>77</v>
      </c>
      <c r="Z358" s="90"/>
      <c r="AA358" s="140" t="s">
        <v>77</v>
      </c>
      <c r="AB358" s="90"/>
      <c r="AC358" s="140" t="s">
        <v>207</v>
      </c>
      <c r="AD358" s="90"/>
      <c r="AE358" s="140" t="s">
        <v>207</v>
      </c>
      <c r="AF358" s="178" t="str">
        <f t="shared" si="15"/>
        <v>C</v>
      </c>
      <c r="AG358" s="52" t="str">
        <f t="shared" si="16"/>
        <v>UTILIZOU O PDA CORRETAMENTE</v>
      </c>
      <c r="AH358" s="140" t="s">
        <v>207</v>
      </c>
      <c r="AI358" s="182" t="s">
        <v>36</v>
      </c>
      <c r="AJ358" s="93" t="str">
        <f t="shared" si="17"/>
        <v>SÃO PAULO</v>
      </c>
      <c r="AK358" s="183" t="s">
        <v>54</v>
      </c>
    </row>
    <row r="359" spans="1:37" ht="30" customHeight="1">
      <c r="A359" s="198" t="s">
        <v>198</v>
      </c>
      <c r="B359" s="198">
        <v>2618898271</v>
      </c>
      <c r="C359" s="198" t="s">
        <v>102</v>
      </c>
      <c r="D359" s="198" t="s">
        <v>95</v>
      </c>
      <c r="E359" s="198" t="s">
        <v>35</v>
      </c>
      <c r="F359" s="198" t="s">
        <v>713</v>
      </c>
      <c r="G359" s="198">
        <v>36</v>
      </c>
      <c r="H359" s="198" t="s">
        <v>205</v>
      </c>
      <c r="I359" s="198" t="s">
        <v>634</v>
      </c>
      <c r="J359" s="198" t="s">
        <v>427</v>
      </c>
      <c r="K359" s="198" t="s">
        <v>200</v>
      </c>
      <c r="L359" s="199">
        <v>46154.537499999999</v>
      </c>
      <c r="M359" s="199">
        <v>46154.559027777781</v>
      </c>
      <c r="N359" s="198" t="s">
        <v>203</v>
      </c>
      <c r="O359" s="152" t="s">
        <v>207</v>
      </c>
      <c r="P359" s="90"/>
      <c r="Q359" s="140" t="s">
        <v>207</v>
      </c>
      <c r="R359" s="90"/>
      <c r="S359" s="140" t="s">
        <v>77</v>
      </c>
      <c r="T359" s="90"/>
      <c r="U359" s="140" t="s">
        <v>77</v>
      </c>
      <c r="V359" s="90"/>
      <c r="W359" s="140" t="s">
        <v>77</v>
      </c>
      <c r="X359" s="90"/>
      <c r="Y359" s="140" t="s">
        <v>77</v>
      </c>
      <c r="Z359" s="90"/>
      <c r="AA359" s="140" t="s">
        <v>77</v>
      </c>
      <c r="AB359" s="90"/>
      <c r="AC359" s="140" t="s">
        <v>207</v>
      </c>
      <c r="AD359" s="90"/>
      <c r="AE359" s="140" t="s">
        <v>207</v>
      </c>
      <c r="AF359" s="178" t="str">
        <f t="shared" si="15"/>
        <v>C</v>
      </c>
      <c r="AG359" s="52" t="str">
        <f t="shared" si="16"/>
        <v>UTILIZOU O PDA CORRETAMENTE</v>
      </c>
      <c r="AH359" s="140" t="s">
        <v>207</v>
      </c>
      <c r="AI359" s="182" t="s">
        <v>36</v>
      </c>
      <c r="AJ359" s="93" t="str">
        <f t="shared" si="17"/>
        <v>SÃO PAULO</v>
      </c>
      <c r="AK359" s="183" t="s">
        <v>54</v>
      </c>
    </row>
    <row r="360" spans="1:37" ht="30" customHeight="1">
      <c r="A360" s="198" t="s">
        <v>198</v>
      </c>
      <c r="B360" s="198">
        <v>2619874595</v>
      </c>
      <c r="C360" s="198" t="s">
        <v>111</v>
      </c>
      <c r="D360" s="198" t="s">
        <v>92</v>
      </c>
      <c r="E360" s="198" t="s">
        <v>35</v>
      </c>
      <c r="F360" s="198" t="s">
        <v>714</v>
      </c>
      <c r="G360" s="198">
        <v>226</v>
      </c>
      <c r="H360" s="198" t="s">
        <v>205</v>
      </c>
      <c r="I360" s="198" t="s">
        <v>392</v>
      </c>
      <c r="J360" s="198" t="s">
        <v>111</v>
      </c>
      <c r="K360" s="198"/>
      <c r="L360" s="199">
        <v>46154.140972222223</v>
      </c>
      <c r="M360" s="199">
        <v>46154.143750000003</v>
      </c>
      <c r="N360" s="198" t="s">
        <v>390</v>
      </c>
      <c r="O360" s="152" t="s">
        <v>207</v>
      </c>
      <c r="P360" s="90"/>
      <c r="Q360" s="140" t="s">
        <v>77</v>
      </c>
      <c r="R360" s="90"/>
      <c r="S360" s="140" t="s">
        <v>77</v>
      </c>
      <c r="T360" s="90"/>
      <c r="U360" s="140" t="s">
        <v>77</v>
      </c>
      <c r="V360" s="90"/>
      <c r="W360" s="140" t="s">
        <v>77</v>
      </c>
      <c r="X360" s="90"/>
      <c r="Y360" s="140" t="s">
        <v>77</v>
      </c>
      <c r="Z360" s="90"/>
      <c r="AA360" s="140" t="s">
        <v>207</v>
      </c>
      <c r="AB360" s="90"/>
      <c r="AC360" s="140" t="s">
        <v>207</v>
      </c>
      <c r="AD360" s="90"/>
      <c r="AE360" s="140" t="s">
        <v>207</v>
      </c>
      <c r="AF360" s="178" t="str">
        <f t="shared" si="15"/>
        <v>C</v>
      </c>
      <c r="AG360" s="52" t="str">
        <f t="shared" si="16"/>
        <v>UTILIZOU O PDA CORRETAMENTE</v>
      </c>
      <c r="AH360" s="140"/>
      <c r="AI360" s="182" t="s">
        <v>36</v>
      </c>
      <c r="AJ360" s="93" t="str">
        <f t="shared" si="17"/>
        <v>SÃO PAULO</v>
      </c>
      <c r="AK360" s="183" t="s">
        <v>54</v>
      </c>
    </row>
    <row r="361" spans="1:37" ht="30" customHeight="1">
      <c r="A361" s="198" t="s">
        <v>198</v>
      </c>
      <c r="B361" s="198">
        <v>2619874474</v>
      </c>
      <c r="C361" s="198" t="s">
        <v>109</v>
      </c>
      <c r="D361" s="198" t="s">
        <v>92</v>
      </c>
      <c r="E361" s="198" t="s">
        <v>35</v>
      </c>
      <c r="F361" s="198" t="s">
        <v>714</v>
      </c>
      <c r="G361" s="198">
        <v>226</v>
      </c>
      <c r="H361" s="198" t="s">
        <v>208</v>
      </c>
      <c r="I361" s="198" t="s">
        <v>392</v>
      </c>
      <c r="J361" s="198" t="s">
        <v>109</v>
      </c>
      <c r="K361" s="198" t="s">
        <v>200</v>
      </c>
      <c r="L361" s="199">
        <v>46154.138194444444</v>
      </c>
      <c r="M361" s="199">
        <v>46154.140277777777</v>
      </c>
      <c r="N361" s="198" t="s">
        <v>390</v>
      </c>
      <c r="O361" s="152" t="s">
        <v>207</v>
      </c>
      <c r="P361" s="90"/>
      <c r="Q361" s="140" t="s">
        <v>77</v>
      </c>
      <c r="R361" s="90"/>
      <c r="S361" s="140" t="s">
        <v>77</v>
      </c>
      <c r="T361" s="90"/>
      <c r="U361" s="140" t="s">
        <v>77</v>
      </c>
      <c r="V361" s="90"/>
      <c r="W361" s="140" t="s">
        <v>77</v>
      </c>
      <c r="X361" s="90"/>
      <c r="Y361" s="140" t="s">
        <v>77</v>
      </c>
      <c r="Z361" s="90"/>
      <c r="AA361" s="140" t="s">
        <v>207</v>
      </c>
      <c r="AB361" s="90"/>
      <c r="AC361" s="140" t="s">
        <v>207</v>
      </c>
      <c r="AD361" s="90"/>
      <c r="AE361" s="140" t="s">
        <v>207</v>
      </c>
      <c r="AF361" s="178" t="str">
        <f t="shared" si="15"/>
        <v>C</v>
      </c>
      <c r="AG361" s="52" t="str">
        <f t="shared" si="16"/>
        <v>UTILIZOU O PDA CORRETAMENTE</v>
      </c>
      <c r="AH361" s="140"/>
      <c r="AI361" s="182" t="s">
        <v>36</v>
      </c>
      <c r="AJ361" s="93" t="str">
        <f t="shared" si="17"/>
        <v>SÃO PAULO</v>
      </c>
      <c r="AK361" s="183" t="s">
        <v>54</v>
      </c>
    </row>
    <row r="362" spans="1:37" ht="30" customHeight="1">
      <c r="A362" s="198" t="s">
        <v>198</v>
      </c>
      <c r="B362" s="198">
        <v>2693040325</v>
      </c>
      <c r="C362" s="198" t="s">
        <v>118</v>
      </c>
      <c r="D362" s="198" t="s">
        <v>96</v>
      </c>
      <c r="E362" s="198" t="s">
        <v>35</v>
      </c>
      <c r="F362" s="198" t="s">
        <v>715</v>
      </c>
      <c r="G362" s="198">
        <v>129</v>
      </c>
      <c r="H362" s="198" t="s">
        <v>208</v>
      </c>
      <c r="I362" s="198" t="s">
        <v>386</v>
      </c>
      <c r="J362" s="198" t="s">
        <v>301</v>
      </c>
      <c r="K362" s="198"/>
      <c r="L362" s="199">
        <v>46154.336805555555</v>
      </c>
      <c r="M362" s="199">
        <v>46154.337500000001</v>
      </c>
      <c r="N362" s="198" t="s">
        <v>295</v>
      </c>
      <c r="O362" s="152" t="s">
        <v>207</v>
      </c>
      <c r="P362" s="90"/>
      <c r="Q362" s="140" t="s">
        <v>207</v>
      </c>
      <c r="R362" s="90"/>
      <c r="S362" s="140" t="s">
        <v>207</v>
      </c>
      <c r="T362" s="90"/>
      <c r="U362" s="140" t="s">
        <v>207</v>
      </c>
      <c r="V362" s="90"/>
      <c r="W362" s="140" t="s">
        <v>207</v>
      </c>
      <c r="X362" s="90"/>
      <c r="Y362" s="140" t="s">
        <v>77</v>
      </c>
      <c r="Z362" s="90"/>
      <c r="AA362" s="140" t="s">
        <v>207</v>
      </c>
      <c r="AB362" s="90"/>
      <c r="AC362" s="140" t="s">
        <v>207</v>
      </c>
      <c r="AD362" s="90"/>
      <c r="AE362" s="140" t="s">
        <v>207</v>
      </c>
      <c r="AF362" s="178" t="str">
        <f t="shared" si="15"/>
        <v>C</v>
      </c>
      <c r="AG362" s="52" t="str">
        <f t="shared" si="16"/>
        <v>UTILIZOU O PDA CORRETAMENTE</v>
      </c>
      <c r="AH362" s="140" t="s">
        <v>207</v>
      </c>
      <c r="AI362" s="182" t="s">
        <v>36</v>
      </c>
      <c r="AJ362" s="93" t="str">
        <f t="shared" si="17"/>
        <v>SÃO PAULO</v>
      </c>
      <c r="AK362" s="183" t="s">
        <v>54</v>
      </c>
    </row>
    <row r="363" spans="1:37" ht="30" customHeight="1">
      <c r="A363" s="198" t="s">
        <v>198</v>
      </c>
      <c r="B363" s="198">
        <v>2619939917</v>
      </c>
      <c r="C363" s="198" t="s">
        <v>116</v>
      </c>
      <c r="D363" s="198" t="s">
        <v>94</v>
      </c>
      <c r="E363" s="198" t="s">
        <v>35</v>
      </c>
      <c r="F363" s="198" t="s">
        <v>716</v>
      </c>
      <c r="G363" s="198">
        <v>21</v>
      </c>
      <c r="H363" s="198" t="s">
        <v>200</v>
      </c>
      <c r="I363" s="198" t="s">
        <v>717</v>
      </c>
      <c r="J363" s="198" t="s">
        <v>221</v>
      </c>
      <c r="K363" s="198" t="s">
        <v>200</v>
      </c>
      <c r="L363" s="199">
        <v>46154.258333333331</v>
      </c>
      <c r="M363" s="199">
        <v>46154.261111111111</v>
      </c>
      <c r="N363" s="198" t="s">
        <v>222</v>
      </c>
      <c r="O363" s="152" t="s">
        <v>207</v>
      </c>
      <c r="P363" s="90"/>
      <c r="Q363" s="140" t="s">
        <v>207</v>
      </c>
      <c r="R363" s="90"/>
      <c r="S363" s="140" t="s">
        <v>207</v>
      </c>
      <c r="T363" s="90"/>
      <c r="U363" s="140" t="s">
        <v>207</v>
      </c>
      <c r="V363" s="90"/>
      <c r="W363" s="140" t="s">
        <v>207</v>
      </c>
      <c r="X363" s="90"/>
      <c r="Y363" s="140" t="s">
        <v>207</v>
      </c>
      <c r="Z363" s="90"/>
      <c r="AA363" s="140" t="s">
        <v>207</v>
      </c>
      <c r="AB363" s="90"/>
      <c r="AC363" s="140" t="s">
        <v>207</v>
      </c>
      <c r="AD363" s="90"/>
      <c r="AE363" s="140" t="s">
        <v>207</v>
      </c>
      <c r="AF363" s="178" t="str">
        <f t="shared" si="15"/>
        <v>C</v>
      </c>
      <c r="AG363" s="52" t="str">
        <f t="shared" si="16"/>
        <v>UTILIZOU O PDA CORRETAMENTE</v>
      </c>
      <c r="AH363" s="140" t="s">
        <v>207</v>
      </c>
      <c r="AI363" s="182" t="s">
        <v>36</v>
      </c>
      <c r="AJ363" s="93" t="str">
        <f t="shared" si="17"/>
        <v>SÃO PAULO</v>
      </c>
      <c r="AK363" s="183" t="s">
        <v>54</v>
      </c>
    </row>
    <row r="364" spans="1:37" ht="30" customHeight="1">
      <c r="A364" s="198" t="s">
        <v>198</v>
      </c>
      <c r="B364" s="198">
        <v>2693129701</v>
      </c>
      <c r="C364" s="198" t="s">
        <v>122</v>
      </c>
      <c r="D364" s="198" t="s">
        <v>96</v>
      </c>
      <c r="E364" s="198" t="s">
        <v>35</v>
      </c>
      <c r="F364" s="198" t="s">
        <v>718</v>
      </c>
      <c r="G364" s="198">
        <v>551</v>
      </c>
      <c r="H364" s="198" t="s">
        <v>205</v>
      </c>
      <c r="I364" s="198" t="s">
        <v>357</v>
      </c>
      <c r="J364" s="198" t="s">
        <v>267</v>
      </c>
      <c r="K364" s="198" t="s">
        <v>719</v>
      </c>
      <c r="L364" s="199">
        <v>46154.183333333334</v>
      </c>
      <c r="M364" s="199">
        <v>46154.192361111112</v>
      </c>
      <c r="N364" s="198" t="s">
        <v>251</v>
      </c>
      <c r="O364" s="152" t="s">
        <v>207</v>
      </c>
      <c r="P364" s="90"/>
      <c r="Q364" s="140" t="s">
        <v>207</v>
      </c>
      <c r="R364" s="90"/>
      <c r="S364" s="140" t="s">
        <v>207</v>
      </c>
      <c r="T364" s="90"/>
      <c r="U364" s="140" t="s">
        <v>207</v>
      </c>
      <c r="V364" s="90"/>
      <c r="W364" s="140" t="s">
        <v>207</v>
      </c>
      <c r="X364" s="90"/>
      <c r="Y364" s="140" t="s">
        <v>77</v>
      </c>
      <c r="Z364" s="90"/>
      <c r="AA364" s="140" t="s">
        <v>207</v>
      </c>
      <c r="AB364" s="90"/>
      <c r="AC364" s="140" t="s">
        <v>207</v>
      </c>
      <c r="AD364" s="90"/>
      <c r="AE364" s="140" t="s">
        <v>207</v>
      </c>
      <c r="AF364" s="178" t="str">
        <f t="shared" si="15"/>
        <v>C</v>
      </c>
      <c r="AG364" s="52" t="str">
        <f t="shared" si="16"/>
        <v>UTILIZOU O PDA CORRETAMENTE</v>
      </c>
      <c r="AH364" s="140" t="s">
        <v>207</v>
      </c>
      <c r="AI364" s="182" t="s">
        <v>36</v>
      </c>
      <c r="AJ364" s="93" t="str">
        <f t="shared" si="17"/>
        <v>SÃO PAULO</v>
      </c>
      <c r="AK364" s="183" t="s">
        <v>54</v>
      </c>
    </row>
    <row r="365" spans="1:37" ht="30" customHeight="1">
      <c r="A365" s="198" t="s">
        <v>198</v>
      </c>
      <c r="B365" s="198">
        <v>2619941643</v>
      </c>
      <c r="C365" s="198" t="s">
        <v>122</v>
      </c>
      <c r="D365" s="198" t="s">
        <v>96</v>
      </c>
      <c r="E365" s="198" t="s">
        <v>35</v>
      </c>
      <c r="F365" s="198" t="s">
        <v>296</v>
      </c>
      <c r="G365" s="198">
        <v>63</v>
      </c>
      <c r="H365" s="198"/>
      <c r="I365" s="198" t="s">
        <v>297</v>
      </c>
      <c r="J365" s="198" t="s">
        <v>267</v>
      </c>
      <c r="K365" s="198"/>
      <c r="L365" s="199">
        <v>46154.293749999997</v>
      </c>
      <c r="M365" s="199">
        <v>46154.296527777777</v>
      </c>
      <c r="N365" s="198" t="s">
        <v>517</v>
      </c>
      <c r="O365" s="152" t="s">
        <v>207</v>
      </c>
      <c r="P365" s="90"/>
      <c r="Q365" s="140" t="s">
        <v>207</v>
      </c>
      <c r="R365" s="90"/>
      <c r="S365" s="140" t="s">
        <v>207</v>
      </c>
      <c r="T365" s="90"/>
      <c r="U365" s="140" t="s">
        <v>207</v>
      </c>
      <c r="V365" s="90"/>
      <c r="W365" s="140" t="s">
        <v>207</v>
      </c>
      <c r="X365" s="90"/>
      <c r="Y365" s="140" t="s">
        <v>77</v>
      </c>
      <c r="Z365" s="90"/>
      <c r="AA365" s="140" t="s">
        <v>207</v>
      </c>
      <c r="AB365" s="90"/>
      <c r="AC365" s="140" t="s">
        <v>207</v>
      </c>
      <c r="AD365" s="90"/>
      <c r="AE365" s="140" t="s">
        <v>207</v>
      </c>
      <c r="AF365" s="178" t="str">
        <f t="shared" si="15"/>
        <v>C</v>
      </c>
      <c r="AG365" s="52" t="str">
        <f t="shared" si="16"/>
        <v>UTILIZOU O PDA CORRETAMENTE</v>
      </c>
      <c r="AH365" s="140" t="s">
        <v>207</v>
      </c>
      <c r="AI365" s="182" t="s">
        <v>36</v>
      </c>
      <c r="AJ365" s="93" t="str">
        <f t="shared" si="17"/>
        <v>SÃO PAULO</v>
      </c>
      <c r="AK365" s="183" t="s">
        <v>54</v>
      </c>
    </row>
    <row r="366" spans="1:37" ht="30" customHeight="1">
      <c r="A366" s="198" t="s">
        <v>198</v>
      </c>
      <c r="B366" s="198">
        <v>2693131192</v>
      </c>
      <c r="C366" s="198" t="s">
        <v>122</v>
      </c>
      <c r="D366" s="198" t="s">
        <v>96</v>
      </c>
      <c r="E366" s="198" t="s">
        <v>35</v>
      </c>
      <c r="F366" s="198" t="s">
        <v>720</v>
      </c>
      <c r="G366" s="198">
        <v>21</v>
      </c>
      <c r="H366" s="198" t="s">
        <v>329</v>
      </c>
      <c r="I366" s="198" t="s">
        <v>314</v>
      </c>
      <c r="J366" s="198" t="s">
        <v>267</v>
      </c>
      <c r="K366" s="198" t="s">
        <v>200</v>
      </c>
      <c r="L366" s="199">
        <v>46154.19027777778</v>
      </c>
      <c r="M366" s="199">
        <v>46154.190972222219</v>
      </c>
      <c r="N366" s="198" t="s">
        <v>517</v>
      </c>
      <c r="O366" s="152" t="s">
        <v>207</v>
      </c>
      <c r="P366" s="90"/>
      <c r="Q366" s="140" t="s">
        <v>207</v>
      </c>
      <c r="R366" s="90"/>
      <c r="S366" s="140" t="s">
        <v>207</v>
      </c>
      <c r="T366" s="90"/>
      <c r="U366" s="140" t="s">
        <v>207</v>
      </c>
      <c r="V366" s="90"/>
      <c r="W366" s="140" t="s">
        <v>207</v>
      </c>
      <c r="X366" s="90"/>
      <c r="Y366" s="140" t="s">
        <v>77</v>
      </c>
      <c r="Z366" s="90"/>
      <c r="AA366" s="140" t="s">
        <v>207</v>
      </c>
      <c r="AB366" s="90"/>
      <c r="AC366" s="140" t="s">
        <v>207</v>
      </c>
      <c r="AD366" s="90"/>
      <c r="AE366" s="140" t="s">
        <v>207</v>
      </c>
      <c r="AF366" s="178" t="str">
        <f t="shared" si="15"/>
        <v>C</v>
      </c>
      <c r="AG366" s="52" t="str">
        <f t="shared" si="16"/>
        <v>UTILIZOU O PDA CORRETAMENTE</v>
      </c>
      <c r="AH366" s="140" t="s">
        <v>207</v>
      </c>
      <c r="AI366" s="182" t="s">
        <v>36</v>
      </c>
      <c r="AJ366" s="93" t="str">
        <f t="shared" si="17"/>
        <v>SÃO PAULO</v>
      </c>
      <c r="AK366" s="183" t="s">
        <v>54</v>
      </c>
    </row>
    <row r="367" spans="1:37" ht="30" customHeight="1">
      <c r="A367" s="198" t="s">
        <v>198</v>
      </c>
      <c r="B367" s="198">
        <v>2619957167</v>
      </c>
      <c r="C367" s="198" t="s">
        <v>119</v>
      </c>
      <c r="D367" s="198" t="s">
        <v>96</v>
      </c>
      <c r="E367" s="198" t="s">
        <v>35</v>
      </c>
      <c r="F367" s="198" t="s">
        <v>721</v>
      </c>
      <c r="G367" s="198">
        <v>687</v>
      </c>
      <c r="H367" s="198"/>
      <c r="I367" s="198" t="s">
        <v>722</v>
      </c>
      <c r="J367" s="198" t="s">
        <v>267</v>
      </c>
      <c r="K367" s="198"/>
      <c r="L367" s="199">
        <v>46154.320833333331</v>
      </c>
      <c r="M367" s="199">
        <v>46154.32708333333</v>
      </c>
      <c r="N367" s="198" t="s">
        <v>251</v>
      </c>
      <c r="O367" s="152" t="s">
        <v>207</v>
      </c>
      <c r="P367" s="90"/>
      <c r="Q367" s="140" t="s">
        <v>207</v>
      </c>
      <c r="R367" s="90"/>
      <c r="S367" s="140" t="s">
        <v>207</v>
      </c>
      <c r="T367" s="90"/>
      <c r="U367" s="140" t="s">
        <v>207</v>
      </c>
      <c r="V367" s="90"/>
      <c r="W367" s="140" t="s">
        <v>207</v>
      </c>
      <c r="X367" s="90"/>
      <c r="Y367" s="140" t="s">
        <v>77</v>
      </c>
      <c r="Z367" s="90"/>
      <c r="AA367" s="140" t="s">
        <v>207</v>
      </c>
      <c r="AB367" s="90"/>
      <c r="AC367" s="140" t="s">
        <v>207</v>
      </c>
      <c r="AD367" s="90"/>
      <c r="AE367" s="140" t="s">
        <v>207</v>
      </c>
      <c r="AF367" s="178" t="str">
        <f t="shared" si="15"/>
        <v>C</v>
      </c>
      <c r="AG367" s="52" t="str">
        <f t="shared" si="16"/>
        <v>UTILIZOU O PDA CORRETAMENTE</v>
      </c>
      <c r="AH367" s="140" t="s">
        <v>207</v>
      </c>
      <c r="AI367" s="182" t="s">
        <v>36</v>
      </c>
      <c r="AJ367" s="93" t="str">
        <f t="shared" si="17"/>
        <v>SÃO PAULO</v>
      </c>
      <c r="AK367" s="183" t="s">
        <v>54</v>
      </c>
    </row>
    <row r="368" spans="1:37" ht="30" customHeight="1">
      <c r="A368" s="198" t="s">
        <v>198</v>
      </c>
      <c r="B368" s="198">
        <v>2619970278</v>
      </c>
      <c r="C368" s="198" t="s">
        <v>116</v>
      </c>
      <c r="D368" s="198" t="s">
        <v>94</v>
      </c>
      <c r="E368" s="198" t="s">
        <v>35</v>
      </c>
      <c r="F368" s="198" t="s">
        <v>270</v>
      </c>
      <c r="G368" s="198">
        <v>90</v>
      </c>
      <c r="H368" s="198" t="s">
        <v>205</v>
      </c>
      <c r="I368" s="198" t="s">
        <v>271</v>
      </c>
      <c r="J368" s="198" t="s">
        <v>221</v>
      </c>
      <c r="K368" s="198" t="s">
        <v>200</v>
      </c>
      <c r="L368" s="199">
        <v>46154.6</v>
      </c>
      <c r="M368" s="199">
        <v>46154.691666666666</v>
      </c>
      <c r="N368" s="198" t="s">
        <v>349</v>
      </c>
      <c r="O368" s="152" t="s">
        <v>207</v>
      </c>
      <c r="P368" s="90"/>
      <c r="Q368" s="140" t="s">
        <v>207</v>
      </c>
      <c r="R368" s="90"/>
      <c r="S368" s="140" t="s">
        <v>207</v>
      </c>
      <c r="T368" s="90"/>
      <c r="U368" s="140" t="s">
        <v>207</v>
      </c>
      <c r="V368" s="90"/>
      <c r="W368" s="140" t="s">
        <v>207</v>
      </c>
      <c r="X368" s="90"/>
      <c r="Y368" s="140" t="s">
        <v>207</v>
      </c>
      <c r="Z368" s="90"/>
      <c r="AA368" s="140" t="s">
        <v>207</v>
      </c>
      <c r="AB368" s="90"/>
      <c r="AC368" s="140" t="s">
        <v>207</v>
      </c>
      <c r="AD368" s="90"/>
      <c r="AE368" s="140" t="s">
        <v>207</v>
      </c>
      <c r="AF368" s="178" t="str">
        <f t="shared" si="15"/>
        <v>C</v>
      </c>
      <c r="AG368" s="52" t="str">
        <f t="shared" si="16"/>
        <v>UTILIZOU O PDA CORRETAMENTE</v>
      </c>
      <c r="AH368" s="140" t="s">
        <v>207</v>
      </c>
      <c r="AI368" s="182" t="s">
        <v>36</v>
      </c>
      <c r="AJ368" s="93" t="str">
        <f t="shared" si="17"/>
        <v>SÃO PAULO</v>
      </c>
      <c r="AK368" s="183" t="s">
        <v>54</v>
      </c>
    </row>
    <row r="369" spans="1:37" ht="30" customHeight="1">
      <c r="A369" s="198" t="s">
        <v>198</v>
      </c>
      <c r="B369" s="198">
        <v>2619966484</v>
      </c>
      <c r="C369" s="198" t="s">
        <v>122</v>
      </c>
      <c r="D369" s="198" t="s">
        <v>96</v>
      </c>
      <c r="E369" s="198" t="s">
        <v>35</v>
      </c>
      <c r="F369" s="198" t="s">
        <v>723</v>
      </c>
      <c r="G369" s="198">
        <v>34</v>
      </c>
      <c r="H369" s="198" t="s">
        <v>208</v>
      </c>
      <c r="I369" s="198" t="s">
        <v>271</v>
      </c>
      <c r="J369" s="198" t="s">
        <v>260</v>
      </c>
      <c r="K369" s="198" t="s">
        <v>656</v>
      </c>
      <c r="L369" s="199">
        <v>46154.49722222222</v>
      </c>
      <c r="M369" s="199">
        <v>46154.526388888888</v>
      </c>
      <c r="N369" s="198" t="s">
        <v>331</v>
      </c>
      <c r="O369" s="152" t="s">
        <v>207</v>
      </c>
      <c r="P369" s="90"/>
      <c r="Q369" s="140" t="s">
        <v>207</v>
      </c>
      <c r="R369" s="90"/>
      <c r="S369" s="140" t="s">
        <v>207</v>
      </c>
      <c r="T369" s="90"/>
      <c r="U369" s="140" t="s">
        <v>207</v>
      </c>
      <c r="V369" s="90"/>
      <c r="W369" s="140" t="s">
        <v>207</v>
      </c>
      <c r="X369" s="90"/>
      <c r="Y369" s="140" t="s">
        <v>77</v>
      </c>
      <c r="Z369" s="90"/>
      <c r="AA369" s="140" t="s">
        <v>207</v>
      </c>
      <c r="AB369" s="90"/>
      <c r="AC369" s="140" t="s">
        <v>207</v>
      </c>
      <c r="AD369" s="90"/>
      <c r="AE369" s="140" t="s">
        <v>207</v>
      </c>
      <c r="AF369" s="178" t="str">
        <f t="shared" si="15"/>
        <v>C</v>
      </c>
      <c r="AG369" s="52" t="str">
        <f t="shared" si="16"/>
        <v>UTILIZOU O PDA CORRETAMENTE</v>
      </c>
      <c r="AH369" s="140" t="s">
        <v>207</v>
      </c>
      <c r="AI369" s="182" t="s">
        <v>36</v>
      </c>
      <c r="AJ369" s="93" t="str">
        <f t="shared" si="17"/>
        <v>SÃO PAULO</v>
      </c>
      <c r="AK369" s="183" t="s">
        <v>54</v>
      </c>
    </row>
    <row r="370" spans="1:37" ht="30" customHeight="1">
      <c r="A370" s="198" t="s">
        <v>198</v>
      </c>
      <c r="B370" s="198">
        <v>2619827383</v>
      </c>
      <c r="C370" s="198" t="s">
        <v>115</v>
      </c>
      <c r="D370" s="198" t="s">
        <v>96</v>
      </c>
      <c r="E370" s="198" t="s">
        <v>35</v>
      </c>
      <c r="F370" s="198" t="s">
        <v>724</v>
      </c>
      <c r="G370" s="198">
        <v>72</v>
      </c>
      <c r="H370" s="198" t="s">
        <v>200</v>
      </c>
      <c r="I370" s="198" t="s">
        <v>725</v>
      </c>
      <c r="J370" s="198" t="s">
        <v>268</v>
      </c>
      <c r="K370" s="198" t="s">
        <v>588</v>
      </c>
      <c r="L370" s="199">
        <v>46154.237500000003</v>
      </c>
      <c r="M370" s="199">
        <v>46154.245138888888</v>
      </c>
      <c r="N370" s="198" t="s">
        <v>331</v>
      </c>
      <c r="O370" s="152" t="s">
        <v>207</v>
      </c>
      <c r="P370" s="90"/>
      <c r="Q370" s="140" t="s">
        <v>207</v>
      </c>
      <c r="R370" s="90"/>
      <c r="S370" s="140" t="s">
        <v>207</v>
      </c>
      <c r="T370" s="90"/>
      <c r="U370" s="140" t="s">
        <v>207</v>
      </c>
      <c r="V370" s="90"/>
      <c r="W370" s="140" t="s">
        <v>207</v>
      </c>
      <c r="X370" s="90"/>
      <c r="Y370" s="140" t="s">
        <v>207</v>
      </c>
      <c r="Z370" s="90"/>
      <c r="AA370" s="140" t="s">
        <v>207</v>
      </c>
      <c r="AB370" s="90"/>
      <c r="AC370" s="140" t="s">
        <v>207</v>
      </c>
      <c r="AD370" s="90"/>
      <c r="AE370" s="140" t="s">
        <v>207</v>
      </c>
      <c r="AF370" s="178" t="str">
        <f t="shared" si="15"/>
        <v>C</v>
      </c>
      <c r="AG370" s="52" t="str">
        <f t="shared" si="16"/>
        <v>UTILIZOU O PDA CORRETAMENTE</v>
      </c>
      <c r="AH370" s="140" t="s">
        <v>207</v>
      </c>
      <c r="AI370" s="182" t="s">
        <v>36</v>
      </c>
      <c r="AJ370" s="93" t="str">
        <f t="shared" si="17"/>
        <v>SÃO PAULO</v>
      </c>
      <c r="AK370" s="183" t="s">
        <v>54</v>
      </c>
    </row>
    <row r="371" spans="1:37" ht="30" customHeight="1">
      <c r="A371" s="198" t="s">
        <v>198</v>
      </c>
      <c r="B371" s="198">
        <v>2693142560</v>
      </c>
      <c r="C371" s="198" t="s">
        <v>118</v>
      </c>
      <c r="D371" s="198" t="s">
        <v>96</v>
      </c>
      <c r="E371" s="198" t="s">
        <v>35</v>
      </c>
      <c r="F371" s="198" t="s">
        <v>420</v>
      </c>
      <c r="G371" s="198">
        <v>225</v>
      </c>
      <c r="H371" s="198" t="s">
        <v>208</v>
      </c>
      <c r="I371" s="198" t="s">
        <v>421</v>
      </c>
      <c r="J371" s="198" t="s">
        <v>301</v>
      </c>
      <c r="K371" s="198"/>
      <c r="L371" s="199">
        <v>46154.318055555559</v>
      </c>
      <c r="M371" s="199">
        <v>46154.336111111108</v>
      </c>
      <c r="N371" s="198" t="s">
        <v>262</v>
      </c>
      <c r="O371" s="152" t="s">
        <v>207</v>
      </c>
      <c r="P371" s="90"/>
      <c r="Q371" s="140" t="s">
        <v>207</v>
      </c>
      <c r="R371" s="90"/>
      <c r="S371" s="140" t="s">
        <v>207</v>
      </c>
      <c r="T371" s="90"/>
      <c r="U371" s="140" t="s">
        <v>207</v>
      </c>
      <c r="V371" s="90"/>
      <c r="W371" s="140" t="s">
        <v>207</v>
      </c>
      <c r="X371" s="90"/>
      <c r="Y371" s="140" t="s">
        <v>77</v>
      </c>
      <c r="Z371" s="90"/>
      <c r="AA371" s="140" t="s">
        <v>207</v>
      </c>
      <c r="AB371" s="90"/>
      <c r="AC371" s="140" t="s">
        <v>207</v>
      </c>
      <c r="AD371" s="90"/>
      <c r="AE371" s="140" t="s">
        <v>207</v>
      </c>
      <c r="AF371" s="178" t="str">
        <f t="shared" si="15"/>
        <v>C</v>
      </c>
      <c r="AG371" s="52" t="str">
        <f t="shared" si="16"/>
        <v>UTILIZOU O PDA CORRETAMENTE</v>
      </c>
      <c r="AH371" s="140" t="s">
        <v>207</v>
      </c>
      <c r="AI371" s="182" t="s">
        <v>36</v>
      </c>
      <c r="AJ371" s="93" t="str">
        <f t="shared" si="17"/>
        <v>SÃO PAULO</v>
      </c>
      <c r="AK371" s="183" t="s">
        <v>54</v>
      </c>
    </row>
    <row r="372" spans="1:37" ht="30" customHeight="1">
      <c r="A372" s="198" t="s">
        <v>198</v>
      </c>
      <c r="B372" s="198">
        <v>2693135874</v>
      </c>
      <c r="C372" s="198" t="s">
        <v>117</v>
      </c>
      <c r="D372" s="198" t="s">
        <v>96</v>
      </c>
      <c r="E372" s="198" t="s">
        <v>35</v>
      </c>
      <c r="F372" s="198" t="s">
        <v>726</v>
      </c>
      <c r="G372" s="198">
        <v>266</v>
      </c>
      <c r="H372" s="198" t="s">
        <v>205</v>
      </c>
      <c r="I372" s="198" t="s">
        <v>679</v>
      </c>
      <c r="J372" s="198" t="s">
        <v>267</v>
      </c>
      <c r="K372" s="198" t="s">
        <v>200</v>
      </c>
      <c r="L372" s="199">
        <v>46154.362500000003</v>
      </c>
      <c r="M372" s="199">
        <v>46154.37222222222</v>
      </c>
      <c r="N372" s="198" t="s">
        <v>320</v>
      </c>
      <c r="O372" s="152" t="s">
        <v>207</v>
      </c>
      <c r="P372" s="90"/>
      <c r="Q372" s="140" t="s">
        <v>207</v>
      </c>
      <c r="R372" s="90"/>
      <c r="S372" s="140" t="s">
        <v>207</v>
      </c>
      <c r="T372" s="90"/>
      <c r="U372" s="140" t="s">
        <v>207</v>
      </c>
      <c r="V372" s="90"/>
      <c r="W372" s="140" t="s">
        <v>207</v>
      </c>
      <c r="X372" s="90"/>
      <c r="Y372" s="140" t="s">
        <v>77</v>
      </c>
      <c r="Z372" s="90"/>
      <c r="AA372" s="140" t="s">
        <v>207</v>
      </c>
      <c r="AB372" s="90"/>
      <c r="AC372" s="140" t="s">
        <v>207</v>
      </c>
      <c r="AD372" s="90"/>
      <c r="AE372" s="140" t="s">
        <v>207</v>
      </c>
      <c r="AF372" s="178" t="str">
        <f t="shared" si="15"/>
        <v>C</v>
      </c>
      <c r="AG372" s="52" t="str">
        <f t="shared" si="16"/>
        <v>UTILIZOU O PDA CORRETAMENTE</v>
      </c>
      <c r="AH372" s="140" t="s">
        <v>207</v>
      </c>
      <c r="AI372" s="182" t="s">
        <v>36</v>
      </c>
      <c r="AJ372" s="93" t="str">
        <f t="shared" si="17"/>
        <v>SÃO PAULO</v>
      </c>
      <c r="AK372" s="183" t="s">
        <v>54</v>
      </c>
    </row>
    <row r="373" spans="1:37" ht="30" customHeight="1">
      <c r="A373" s="198" t="s">
        <v>198</v>
      </c>
      <c r="B373" s="198">
        <v>2619985936</v>
      </c>
      <c r="C373" s="198" t="s">
        <v>122</v>
      </c>
      <c r="D373" s="198" t="s">
        <v>96</v>
      </c>
      <c r="E373" s="198" t="s">
        <v>35</v>
      </c>
      <c r="F373" s="198" t="s">
        <v>678</v>
      </c>
      <c r="G373" s="198">
        <v>883</v>
      </c>
      <c r="H373" s="198" t="s">
        <v>208</v>
      </c>
      <c r="I373" s="198" t="s">
        <v>679</v>
      </c>
      <c r="J373" s="198" t="s">
        <v>260</v>
      </c>
      <c r="K373" s="198"/>
      <c r="L373" s="199">
        <v>46154.412499999999</v>
      </c>
      <c r="M373" s="199">
        <v>46154.42291666667</v>
      </c>
      <c r="N373" s="198" t="s">
        <v>320</v>
      </c>
      <c r="O373" s="152" t="s">
        <v>207</v>
      </c>
      <c r="P373" s="90"/>
      <c r="Q373" s="140" t="s">
        <v>207</v>
      </c>
      <c r="R373" s="90"/>
      <c r="S373" s="140" t="s">
        <v>207</v>
      </c>
      <c r="T373" s="90"/>
      <c r="U373" s="140" t="s">
        <v>207</v>
      </c>
      <c r="V373" s="90"/>
      <c r="W373" s="140" t="s">
        <v>207</v>
      </c>
      <c r="X373" s="90"/>
      <c r="Y373" s="140" t="s">
        <v>77</v>
      </c>
      <c r="Z373" s="90"/>
      <c r="AA373" s="140" t="s">
        <v>207</v>
      </c>
      <c r="AB373" s="90"/>
      <c r="AC373" s="140" t="s">
        <v>207</v>
      </c>
      <c r="AD373" s="90"/>
      <c r="AE373" s="140" t="s">
        <v>207</v>
      </c>
      <c r="AF373" s="178" t="str">
        <f t="shared" si="15"/>
        <v>C</v>
      </c>
      <c r="AG373" s="52" t="str">
        <f t="shared" si="16"/>
        <v>UTILIZOU O PDA CORRETAMENTE</v>
      </c>
      <c r="AH373" s="140" t="s">
        <v>207</v>
      </c>
      <c r="AI373" s="182" t="s">
        <v>36</v>
      </c>
      <c r="AJ373" s="93" t="str">
        <f t="shared" si="17"/>
        <v>SÃO PAULO</v>
      </c>
      <c r="AK373" s="183" t="s">
        <v>54</v>
      </c>
    </row>
    <row r="374" spans="1:37" ht="30" customHeight="1">
      <c r="A374" s="198" t="s">
        <v>198</v>
      </c>
      <c r="B374" s="198">
        <v>2693089795</v>
      </c>
      <c r="C374" s="198" t="s">
        <v>122</v>
      </c>
      <c r="D374" s="198" t="s">
        <v>96</v>
      </c>
      <c r="E374" s="198" t="s">
        <v>35</v>
      </c>
      <c r="F374" s="198" t="s">
        <v>204</v>
      </c>
      <c r="G374" s="198">
        <v>8796</v>
      </c>
      <c r="H374" s="198" t="s">
        <v>200</v>
      </c>
      <c r="I374" s="198" t="s">
        <v>36</v>
      </c>
      <c r="J374" s="198" t="s">
        <v>301</v>
      </c>
      <c r="K374" s="198" t="s">
        <v>727</v>
      </c>
      <c r="L374" s="199">
        <v>46154.661111111112</v>
      </c>
      <c r="M374" s="199">
        <v>46154.714583333334</v>
      </c>
      <c r="N374" s="198" t="s">
        <v>327</v>
      </c>
      <c r="O374" s="152" t="s">
        <v>207</v>
      </c>
      <c r="P374" s="90"/>
      <c r="Q374" s="140" t="s">
        <v>207</v>
      </c>
      <c r="R374" s="90"/>
      <c r="S374" s="140" t="s">
        <v>207</v>
      </c>
      <c r="T374" s="90"/>
      <c r="U374" s="140" t="s">
        <v>207</v>
      </c>
      <c r="V374" s="90"/>
      <c r="W374" s="140" t="s">
        <v>207</v>
      </c>
      <c r="X374" s="90"/>
      <c r="Y374" s="140" t="s">
        <v>77</v>
      </c>
      <c r="Z374" s="90"/>
      <c r="AA374" s="140" t="s">
        <v>207</v>
      </c>
      <c r="AB374" s="90"/>
      <c r="AC374" s="140" t="s">
        <v>207</v>
      </c>
      <c r="AD374" s="90"/>
      <c r="AE374" s="140" t="s">
        <v>207</v>
      </c>
      <c r="AF374" s="178" t="str">
        <f t="shared" si="15"/>
        <v>C</v>
      </c>
      <c r="AG374" s="52" t="str">
        <f t="shared" si="16"/>
        <v>UTILIZOU O PDA CORRETAMENTE</v>
      </c>
      <c r="AH374" s="140" t="s">
        <v>207</v>
      </c>
      <c r="AI374" s="182" t="s">
        <v>36</v>
      </c>
      <c r="AJ374" s="93" t="str">
        <f t="shared" si="17"/>
        <v>SÃO PAULO</v>
      </c>
      <c r="AK374" s="183" t="s">
        <v>54</v>
      </c>
    </row>
    <row r="375" spans="1:37" ht="30" customHeight="1">
      <c r="A375" s="198" t="s">
        <v>198</v>
      </c>
      <c r="B375" s="198">
        <v>2693138209</v>
      </c>
      <c r="C375" s="198" t="s">
        <v>114</v>
      </c>
      <c r="D375" s="198" t="s">
        <v>96</v>
      </c>
      <c r="E375" s="198" t="s">
        <v>35</v>
      </c>
      <c r="F375" s="198" t="s">
        <v>728</v>
      </c>
      <c r="G375" s="198">
        <v>48</v>
      </c>
      <c r="H375" s="198"/>
      <c r="I375" s="198" t="s">
        <v>201</v>
      </c>
      <c r="J375" s="198" t="s">
        <v>260</v>
      </c>
      <c r="K375" s="198"/>
      <c r="L375" s="199">
        <v>46154.268750000003</v>
      </c>
      <c r="M375" s="199">
        <v>46154.299305555556</v>
      </c>
      <c r="N375" s="198" t="s">
        <v>251</v>
      </c>
      <c r="O375" s="152" t="s">
        <v>207</v>
      </c>
      <c r="P375" s="90"/>
      <c r="Q375" s="140" t="s">
        <v>207</v>
      </c>
      <c r="R375" s="90"/>
      <c r="S375" s="140" t="s">
        <v>207</v>
      </c>
      <c r="T375" s="90"/>
      <c r="U375" s="140" t="s">
        <v>207</v>
      </c>
      <c r="V375" s="90"/>
      <c r="W375" s="140" t="s">
        <v>207</v>
      </c>
      <c r="X375" s="90"/>
      <c r="Y375" s="140" t="s">
        <v>207</v>
      </c>
      <c r="Z375" s="90"/>
      <c r="AA375" s="140" t="s">
        <v>207</v>
      </c>
      <c r="AB375" s="90"/>
      <c r="AC375" s="140" t="s">
        <v>207</v>
      </c>
      <c r="AD375" s="90"/>
      <c r="AE375" s="140" t="s">
        <v>207</v>
      </c>
      <c r="AF375" s="178" t="str">
        <f t="shared" si="15"/>
        <v>C</v>
      </c>
      <c r="AG375" s="52" t="str">
        <f t="shared" si="16"/>
        <v>UTILIZOU O PDA CORRETAMENTE</v>
      </c>
      <c r="AH375" s="140" t="s">
        <v>207</v>
      </c>
      <c r="AI375" s="182" t="s">
        <v>36</v>
      </c>
      <c r="AJ375" s="93" t="str">
        <f t="shared" si="17"/>
        <v>SÃO PAULO</v>
      </c>
      <c r="AK375" s="183" t="s">
        <v>54</v>
      </c>
    </row>
    <row r="376" spans="1:37" ht="30" customHeight="1">
      <c r="A376" s="198" t="s">
        <v>198</v>
      </c>
      <c r="B376" s="198">
        <v>2620037682</v>
      </c>
      <c r="C376" s="198" t="s">
        <v>116</v>
      </c>
      <c r="D376" s="198" t="s">
        <v>94</v>
      </c>
      <c r="E376" s="198" t="s">
        <v>35</v>
      </c>
      <c r="F376" s="198" t="s">
        <v>662</v>
      </c>
      <c r="G376" s="198">
        <v>42</v>
      </c>
      <c r="H376" s="198" t="s">
        <v>200</v>
      </c>
      <c r="I376" s="198" t="s">
        <v>355</v>
      </c>
      <c r="J376" s="198" t="s">
        <v>221</v>
      </c>
      <c r="K376" s="198" t="s">
        <v>200</v>
      </c>
      <c r="L376" s="199">
        <v>46154.734027777777</v>
      </c>
      <c r="M376" s="199">
        <v>46154.749305555553</v>
      </c>
      <c r="N376" s="198" t="s">
        <v>274</v>
      </c>
      <c r="O376" s="152" t="s">
        <v>207</v>
      </c>
      <c r="P376" s="90"/>
      <c r="Q376" s="140" t="s">
        <v>207</v>
      </c>
      <c r="R376" s="90"/>
      <c r="S376" s="140" t="s">
        <v>207</v>
      </c>
      <c r="T376" s="90"/>
      <c r="U376" s="140" t="s">
        <v>207</v>
      </c>
      <c r="V376" s="90"/>
      <c r="W376" s="140" t="s">
        <v>207</v>
      </c>
      <c r="X376" s="90"/>
      <c r="Y376" s="140" t="s">
        <v>207</v>
      </c>
      <c r="Z376" s="90"/>
      <c r="AA376" s="140" t="s">
        <v>207</v>
      </c>
      <c r="AB376" s="90"/>
      <c r="AC376" s="140" t="s">
        <v>207</v>
      </c>
      <c r="AD376" s="90"/>
      <c r="AE376" s="140" t="s">
        <v>207</v>
      </c>
      <c r="AF376" s="178" t="str">
        <f t="shared" si="15"/>
        <v>C</v>
      </c>
      <c r="AG376" s="52" t="str">
        <f t="shared" si="16"/>
        <v>UTILIZOU O PDA CORRETAMENTE</v>
      </c>
      <c r="AH376" s="140" t="s">
        <v>207</v>
      </c>
      <c r="AI376" s="182" t="s">
        <v>36</v>
      </c>
      <c r="AJ376" s="93" t="str">
        <f t="shared" si="17"/>
        <v>SÃO PAULO</v>
      </c>
      <c r="AK376" s="183" t="s">
        <v>54</v>
      </c>
    </row>
    <row r="377" spans="1:37" ht="30" customHeight="1">
      <c r="A377" s="198" t="s">
        <v>198</v>
      </c>
      <c r="B377" s="198">
        <v>2620051903</v>
      </c>
      <c r="C377" s="198" t="s">
        <v>116</v>
      </c>
      <c r="D377" s="198" t="s">
        <v>94</v>
      </c>
      <c r="E377" s="198" t="s">
        <v>35</v>
      </c>
      <c r="F377" s="198" t="s">
        <v>724</v>
      </c>
      <c r="G377" s="198">
        <v>95</v>
      </c>
      <c r="H377" s="198"/>
      <c r="I377" s="198" t="s">
        <v>725</v>
      </c>
      <c r="J377" s="198" t="s">
        <v>221</v>
      </c>
      <c r="K377" s="198" t="s">
        <v>588</v>
      </c>
      <c r="L377" s="199">
        <v>46154.413194444445</v>
      </c>
      <c r="M377" s="199">
        <v>46154.415972222225</v>
      </c>
      <c r="N377" s="198" t="s">
        <v>331</v>
      </c>
      <c r="O377" s="152" t="s">
        <v>207</v>
      </c>
      <c r="P377" s="90"/>
      <c r="Q377" s="140" t="s">
        <v>207</v>
      </c>
      <c r="R377" s="90"/>
      <c r="S377" s="140" t="s">
        <v>207</v>
      </c>
      <c r="T377" s="90"/>
      <c r="U377" s="140" t="s">
        <v>207</v>
      </c>
      <c r="V377" s="90"/>
      <c r="W377" s="140" t="s">
        <v>207</v>
      </c>
      <c r="X377" s="90"/>
      <c r="Y377" s="140" t="s">
        <v>207</v>
      </c>
      <c r="Z377" s="90"/>
      <c r="AA377" s="140" t="s">
        <v>207</v>
      </c>
      <c r="AB377" s="90"/>
      <c r="AC377" s="140" t="s">
        <v>207</v>
      </c>
      <c r="AD377" s="90"/>
      <c r="AE377" s="140" t="s">
        <v>207</v>
      </c>
      <c r="AF377" s="178" t="str">
        <f t="shared" si="15"/>
        <v>C</v>
      </c>
      <c r="AG377" s="52" t="str">
        <f t="shared" si="16"/>
        <v>UTILIZOU O PDA CORRETAMENTE</v>
      </c>
      <c r="AH377" s="140" t="s">
        <v>207</v>
      </c>
      <c r="AI377" s="182" t="s">
        <v>36</v>
      </c>
      <c r="AJ377" s="93" t="str">
        <f t="shared" si="17"/>
        <v>SÃO PAULO</v>
      </c>
      <c r="AK377" s="183" t="s">
        <v>54</v>
      </c>
    </row>
    <row r="378" spans="1:37" ht="30" customHeight="1">
      <c r="A378" s="198" t="s">
        <v>198</v>
      </c>
      <c r="B378" s="198">
        <v>2620064210</v>
      </c>
      <c r="C378" s="198" t="s">
        <v>116</v>
      </c>
      <c r="D378" s="198" t="s">
        <v>94</v>
      </c>
      <c r="E378" s="198" t="s">
        <v>35</v>
      </c>
      <c r="F378" s="198" t="s">
        <v>729</v>
      </c>
      <c r="G378" s="198">
        <v>67</v>
      </c>
      <c r="H378" s="198" t="s">
        <v>208</v>
      </c>
      <c r="I378" s="198" t="s">
        <v>515</v>
      </c>
      <c r="J378" s="198" t="s">
        <v>221</v>
      </c>
      <c r="K378" s="198" t="s">
        <v>200</v>
      </c>
      <c r="L378" s="199">
        <v>46154.211805555555</v>
      </c>
      <c r="M378" s="199">
        <v>46154.212500000001</v>
      </c>
      <c r="N378" s="198" t="s">
        <v>403</v>
      </c>
      <c r="O378" s="152" t="s">
        <v>207</v>
      </c>
      <c r="P378" s="90"/>
      <c r="Q378" s="140" t="s">
        <v>207</v>
      </c>
      <c r="R378" s="90"/>
      <c r="S378" s="140" t="s">
        <v>207</v>
      </c>
      <c r="T378" s="90"/>
      <c r="U378" s="140" t="s">
        <v>207</v>
      </c>
      <c r="V378" s="90"/>
      <c r="W378" s="140" t="s">
        <v>207</v>
      </c>
      <c r="X378" s="90"/>
      <c r="Y378" s="140" t="s">
        <v>207</v>
      </c>
      <c r="Z378" s="90"/>
      <c r="AA378" s="140" t="s">
        <v>207</v>
      </c>
      <c r="AB378" s="90"/>
      <c r="AC378" s="140" t="s">
        <v>207</v>
      </c>
      <c r="AD378" s="90"/>
      <c r="AE378" s="140" t="s">
        <v>207</v>
      </c>
      <c r="AF378" s="178" t="str">
        <f t="shared" si="15"/>
        <v>C</v>
      </c>
      <c r="AG378" s="52" t="str">
        <f t="shared" si="16"/>
        <v>UTILIZOU O PDA CORRETAMENTE</v>
      </c>
      <c r="AH378" s="140" t="s">
        <v>207</v>
      </c>
      <c r="AI378" s="182" t="s">
        <v>36</v>
      </c>
      <c r="AJ378" s="93" t="str">
        <f t="shared" si="17"/>
        <v>SÃO PAULO</v>
      </c>
      <c r="AK378" s="183" t="s">
        <v>54</v>
      </c>
    </row>
    <row r="379" spans="1:37" ht="30" customHeight="1">
      <c r="A379" s="198" t="s">
        <v>198</v>
      </c>
      <c r="B379" s="198">
        <v>2620061128</v>
      </c>
      <c r="C379" s="198" t="s">
        <v>122</v>
      </c>
      <c r="D379" s="198" t="s">
        <v>96</v>
      </c>
      <c r="E379" s="198" t="s">
        <v>35</v>
      </c>
      <c r="F379" s="198" t="s">
        <v>730</v>
      </c>
      <c r="G379" s="198">
        <v>238</v>
      </c>
      <c r="H379" s="198" t="s">
        <v>257</v>
      </c>
      <c r="I379" s="198" t="s">
        <v>271</v>
      </c>
      <c r="J379" s="198" t="s">
        <v>267</v>
      </c>
      <c r="K379" s="198"/>
      <c r="L379" s="199">
        <v>46154.421527777777</v>
      </c>
      <c r="M379" s="199">
        <v>46154.425694444442</v>
      </c>
      <c r="N379" s="198" t="s">
        <v>323</v>
      </c>
      <c r="O379" s="152" t="s">
        <v>207</v>
      </c>
      <c r="P379" s="90"/>
      <c r="Q379" s="140" t="s">
        <v>207</v>
      </c>
      <c r="R379" s="90"/>
      <c r="S379" s="140" t="s">
        <v>207</v>
      </c>
      <c r="T379" s="90"/>
      <c r="U379" s="140" t="s">
        <v>207</v>
      </c>
      <c r="V379" s="90"/>
      <c r="W379" s="140" t="s">
        <v>207</v>
      </c>
      <c r="X379" s="90"/>
      <c r="Y379" s="140" t="s">
        <v>77</v>
      </c>
      <c r="Z379" s="90"/>
      <c r="AA379" s="140" t="s">
        <v>207</v>
      </c>
      <c r="AB379" s="90"/>
      <c r="AC379" s="140" t="s">
        <v>207</v>
      </c>
      <c r="AD379" s="90"/>
      <c r="AE379" s="140" t="s">
        <v>207</v>
      </c>
      <c r="AF379" s="178" t="str">
        <f t="shared" si="15"/>
        <v>C</v>
      </c>
      <c r="AG379" s="52" t="str">
        <f t="shared" si="16"/>
        <v>UTILIZOU O PDA CORRETAMENTE</v>
      </c>
      <c r="AH379" s="140" t="s">
        <v>207</v>
      </c>
      <c r="AI379" s="182" t="s">
        <v>36</v>
      </c>
      <c r="AJ379" s="93" t="str">
        <f t="shared" si="17"/>
        <v>SÃO PAULO</v>
      </c>
      <c r="AK379" s="183" t="s">
        <v>54</v>
      </c>
    </row>
    <row r="380" spans="1:37" ht="30" customHeight="1">
      <c r="A380" s="198" t="s">
        <v>198</v>
      </c>
      <c r="B380" s="198">
        <v>2620054289</v>
      </c>
      <c r="C380" s="198" t="s">
        <v>102</v>
      </c>
      <c r="D380" s="198" t="s">
        <v>95</v>
      </c>
      <c r="E380" s="198" t="s">
        <v>35</v>
      </c>
      <c r="F380" s="198" t="s">
        <v>731</v>
      </c>
      <c r="G380" s="198">
        <v>206</v>
      </c>
      <c r="H380" s="198" t="s">
        <v>200</v>
      </c>
      <c r="I380" s="198" t="s">
        <v>548</v>
      </c>
      <c r="J380" s="198" t="s">
        <v>427</v>
      </c>
      <c r="K380" s="198" t="s">
        <v>200</v>
      </c>
      <c r="L380" s="199">
        <v>46154.666666666664</v>
      </c>
      <c r="M380" s="199">
        <v>46154.667361111111</v>
      </c>
      <c r="N380" s="198" t="s">
        <v>309</v>
      </c>
      <c r="O380" s="152" t="s">
        <v>77</v>
      </c>
      <c r="P380" s="90"/>
      <c r="Q380" s="140" t="s">
        <v>77</v>
      </c>
      <c r="R380" s="90"/>
      <c r="S380" s="140" t="s">
        <v>77</v>
      </c>
      <c r="T380" s="90"/>
      <c r="U380" s="140" t="s">
        <v>77</v>
      </c>
      <c r="V380" s="90"/>
      <c r="W380" s="140" t="s">
        <v>77</v>
      </c>
      <c r="X380" s="90"/>
      <c r="Y380" s="140" t="s">
        <v>77</v>
      </c>
      <c r="Z380" s="90"/>
      <c r="AA380" s="140" t="s">
        <v>77</v>
      </c>
      <c r="AB380" s="90"/>
      <c r="AC380" s="140" t="s">
        <v>77</v>
      </c>
      <c r="AD380" s="90"/>
      <c r="AE380" s="140" t="s">
        <v>77</v>
      </c>
      <c r="AF380" s="178" t="str">
        <f t="shared" si="15"/>
        <v>NA</v>
      </c>
      <c r="AG380" s="52" t="str">
        <f t="shared" si="16"/>
        <v>NÃO AVALIADO POR FALHA DE SINCRONISMO</v>
      </c>
      <c r="AH380" s="140" t="s">
        <v>207</v>
      </c>
      <c r="AI380" s="182" t="s">
        <v>36</v>
      </c>
      <c r="AJ380" s="93" t="str">
        <f t="shared" si="17"/>
        <v>SÃO PAULO</v>
      </c>
      <c r="AK380" s="183" t="s">
        <v>54</v>
      </c>
    </row>
    <row r="381" spans="1:37" ht="30" customHeight="1">
      <c r="A381" s="198" t="s">
        <v>198</v>
      </c>
      <c r="B381" s="198">
        <v>2619866191</v>
      </c>
      <c r="C381" s="198" t="s">
        <v>115</v>
      </c>
      <c r="D381" s="198" t="s">
        <v>96</v>
      </c>
      <c r="E381" s="198" t="s">
        <v>35</v>
      </c>
      <c r="F381" s="198" t="s">
        <v>729</v>
      </c>
      <c r="G381" s="198">
        <v>61</v>
      </c>
      <c r="H381" s="198" t="s">
        <v>208</v>
      </c>
      <c r="I381" s="198" t="s">
        <v>515</v>
      </c>
      <c r="J381" s="198" t="s">
        <v>268</v>
      </c>
      <c r="K381" s="198"/>
      <c r="L381" s="199">
        <v>46154.1875</v>
      </c>
      <c r="M381" s="199">
        <v>46154.199305555558</v>
      </c>
      <c r="N381" s="198" t="s">
        <v>403</v>
      </c>
      <c r="O381" s="152" t="s">
        <v>207</v>
      </c>
      <c r="P381" s="90"/>
      <c r="Q381" s="140" t="s">
        <v>207</v>
      </c>
      <c r="R381" s="90"/>
      <c r="S381" s="140" t="s">
        <v>207</v>
      </c>
      <c r="T381" s="90"/>
      <c r="U381" s="140" t="s">
        <v>207</v>
      </c>
      <c r="V381" s="90"/>
      <c r="W381" s="140" t="s">
        <v>207</v>
      </c>
      <c r="X381" s="90"/>
      <c r="Y381" s="140" t="s">
        <v>207</v>
      </c>
      <c r="Z381" s="90"/>
      <c r="AA381" s="140" t="s">
        <v>207</v>
      </c>
      <c r="AB381" s="90"/>
      <c r="AC381" s="140" t="s">
        <v>207</v>
      </c>
      <c r="AD381" s="90"/>
      <c r="AE381" s="140" t="s">
        <v>207</v>
      </c>
      <c r="AF381" s="178" t="str">
        <f t="shared" si="15"/>
        <v>C</v>
      </c>
      <c r="AG381" s="52" t="str">
        <f t="shared" si="16"/>
        <v>UTILIZOU O PDA CORRETAMENTE</v>
      </c>
      <c r="AH381" s="140" t="s">
        <v>207</v>
      </c>
      <c r="AI381" s="182" t="s">
        <v>36</v>
      </c>
      <c r="AJ381" s="93" t="str">
        <f t="shared" si="17"/>
        <v>SÃO PAULO</v>
      </c>
      <c r="AK381" s="183" t="s">
        <v>54</v>
      </c>
    </row>
    <row r="382" spans="1:37" ht="30" customHeight="1">
      <c r="A382" s="176" t="s">
        <v>198</v>
      </c>
      <c r="B382" s="154">
        <v>2620104024</v>
      </c>
      <c r="C382" s="154" t="s">
        <v>118</v>
      </c>
      <c r="D382" s="154" t="s">
        <v>96</v>
      </c>
      <c r="E382" s="154" t="s">
        <v>35</v>
      </c>
      <c r="F382" s="154" t="s">
        <v>732</v>
      </c>
      <c r="G382" s="154">
        <v>28</v>
      </c>
      <c r="H382" s="154" t="s">
        <v>200</v>
      </c>
      <c r="I382" s="154" t="s">
        <v>471</v>
      </c>
      <c r="J382" s="154" t="s">
        <v>267</v>
      </c>
      <c r="K382" s="154" t="s">
        <v>733</v>
      </c>
      <c r="L382" s="154" t="s">
        <v>734</v>
      </c>
      <c r="M382" s="154" t="s">
        <v>735</v>
      </c>
      <c r="N382" s="154" t="s">
        <v>320</v>
      </c>
      <c r="O382" s="256" t="s">
        <v>207</v>
      </c>
      <c r="P382" s="90"/>
      <c r="Q382" s="140" t="s">
        <v>207</v>
      </c>
      <c r="R382" s="90"/>
      <c r="S382" s="140" t="s">
        <v>207</v>
      </c>
      <c r="T382" s="90"/>
      <c r="U382" s="140" t="s">
        <v>207</v>
      </c>
      <c r="V382" s="90"/>
      <c r="W382" s="140" t="s">
        <v>207</v>
      </c>
      <c r="X382" s="90"/>
      <c r="Y382" s="140" t="s">
        <v>77</v>
      </c>
      <c r="Z382" s="90"/>
      <c r="AA382" s="140" t="s">
        <v>207</v>
      </c>
      <c r="AB382" s="90"/>
      <c r="AC382" s="140" t="s">
        <v>207</v>
      </c>
      <c r="AD382" s="90"/>
      <c r="AE382" s="140" t="s">
        <v>207</v>
      </c>
      <c r="AF382" s="178" t="str">
        <f t="shared" si="15"/>
        <v>C</v>
      </c>
      <c r="AG382" s="52" t="str">
        <f t="shared" si="16"/>
        <v>UTILIZOU O PDA CORRETAMENTE</v>
      </c>
      <c r="AH382" s="140" t="s">
        <v>207</v>
      </c>
      <c r="AI382" s="182" t="s">
        <v>36</v>
      </c>
      <c r="AJ382" s="93" t="str">
        <f t="shared" si="17"/>
        <v>SÃO PAULO</v>
      </c>
      <c r="AK382" s="183" t="s">
        <v>54</v>
      </c>
    </row>
    <row r="383" spans="1:37" ht="30" customHeight="1">
      <c r="A383" s="161" t="s">
        <v>198</v>
      </c>
      <c r="B383" s="155">
        <v>2619965882</v>
      </c>
      <c r="C383" s="155" t="s">
        <v>122</v>
      </c>
      <c r="D383" s="155" t="s">
        <v>96</v>
      </c>
      <c r="E383" s="155" t="s">
        <v>35</v>
      </c>
      <c r="F383" s="155" t="s">
        <v>736</v>
      </c>
      <c r="G383" s="155">
        <v>50</v>
      </c>
      <c r="H383" s="155" t="s">
        <v>347</v>
      </c>
      <c r="I383" s="155" t="s">
        <v>634</v>
      </c>
      <c r="J383" s="155" t="s">
        <v>267</v>
      </c>
      <c r="K383" s="155" t="s">
        <v>200</v>
      </c>
      <c r="L383" s="155" t="s">
        <v>737</v>
      </c>
      <c r="M383" s="155" t="s">
        <v>738</v>
      </c>
      <c r="N383" s="155" t="s">
        <v>235</v>
      </c>
      <c r="O383" s="256" t="s">
        <v>207</v>
      </c>
      <c r="P383" s="90"/>
      <c r="Q383" s="140" t="s">
        <v>207</v>
      </c>
      <c r="R383" s="90"/>
      <c r="S383" s="140" t="s">
        <v>207</v>
      </c>
      <c r="T383" s="90"/>
      <c r="U383" s="140" t="s">
        <v>207</v>
      </c>
      <c r="V383" s="90"/>
      <c r="W383" s="140" t="s">
        <v>207</v>
      </c>
      <c r="X383" s="90"/>
      <c r="Y383" s="140" t="s">
        <v>77</v>
      </c>
      <c r="Z383" s="90"/>
      <c r="AA383" s="140" t="s">
        <v>207</v>
      </c>
      <c r="AB383" s="90"/>
      <c r="AC383" s="140" t="s">
        <v>207</v>
      </c>
      <c r="AD383" s="90"/>
      <c r="AE383" s="140" t="s">
        <v>207</v>
      </c>
      <c r="AF383" s="178" t="str">
        <f t="shared" si="15"/>
        <v>C</v>
      </c>
      <c r="AG383" s="52" t="str">
        <f t="shared" si="16"/>
        <v>UTILIZOU O PDA CORRETAMENTE</v>
      </c>
      <c r="AH383" s="140" t="s">
        <v>207</v>
      </c>
      <c r="AI383" s="182" t="s">
        <v>36</v>
      </c>
      <c r="AJ383" s="93" t="str">
        <f t="shared" si="17"/>
        <v>SÃO PAULO</v>
      </c>
      <c r="AK383" s="183" t="s">
        <v>54</v>
      </c>
    </row>
    <row r="384" spans="1:37" ht="30" customHeight="1">
      <c r="A384" s="161" t="s">
        <v>198</v>
      </c>
      <c r="B384" s="155">
        <v>2620041122</v>
      </c>
      <c r="C384" s="155" t="s">
        <v>118</v>
      </c>
      <c r="D384" s="155" t="s">
        <v>96</v>
      </c>
      <c r="E384" s="155" t="s">
        <v>35</v>
      </c>
      <c r="F384" s="155" t="s">
        <v>739</v>
      </c>
      <c r="G384" s="155">
        <v>7</v>
      </c>
      <c r="H384" s="155" t="s">
        <v>200</v>
      </c>
      <c r="I384" s="155" t="s">
        <v>290</v>
      </c>
      <c r="J384" s="155" t="s">
        <v>267</v>
      </c>
      <c r="K384" s="155" t="s">
        <v>200</v>
      </c>
      <c r="L384" s="155" t="s">
        <v>740</v>
      </c>
      <c r="M384" s="155" t="s">
        <v>741</v>
      </c>
      <c r="N384" s="155" t="s">
        <v>235</v>
      </c>
      <c r="O384" s="256" t="s">
        <v>207</v>
      </c>
      <c r="P384" s="90"/>
      <c r="Q384" s="140" t="s">
        <v>207</v>
      </c>
      <c r="R384" s="90"/>
      <c r="S384" s="140" t="s">
        <v>207</v>
      </c>
      <c r="T384" s="90"/>
      <c r="U384" s="140" t="s">
        <v>207</v>
      </c>
      <c r="V384" s="90"/>
      <c r="W384" s="140" t="s">
        <v>207</v>
      </c>
      <c r="X384" s="90"/>
      <c r="Y384" s="140" t="s">
        <v>77</v>
      </c>
      <c r="Z384" s="90"/>
      <c r="AA384" s="140" t="s">
        <v>207</v>
      </c>
      <c r="AB384" s="90"/>
      <c r="AC384" s="140" t="s">
        <v>207</v>
      </c>
      <c r="AD384" s="90"/>
      <c r="AE384" s="140" t="s">
        <v>207</v>
      </c>
      <c r="AF384" s="178" t="str">
        <f t="shared" si="15"/>
        <v>C</v>
      </c>
      <c r="AG384" s="52" t="str">
        <f t="shared" si="16"/>
        <v>UTILIZOU O PDA CORRETAMENTE</v>
      </c>
      <c r="AH384" s="140" t="s">
        <v>207</v>
      </c>
      <c r="AI384" s="182" t="s">
        <v>36</v>
      </c>
      <c r="AJ384" s="93" t="str">
        <f t="shared" si="17"/>
        <v>SÃO PAULO</v>
      </c>
      <c r="AK384" s="183" t="s">
        <v>54</v>
      </c>
    </row>
    <row r="385" spans="1:37" ht="30" customHeight="1">
      <c r="A385" s="161" t="s">
        <v>198</v>
      </c>
      <c r="B385" s="155">
        <v>2693200533</v>
      </c>
      <c r="C385" s="155" t="s">
        <v>118</v>
      </c>
      <c r="D385" s="155" t="s">
        <v>96</v>
      </c>
      <c r="E385" s="155" t="s">
        <v>35</v>
      </c>
      <c r="F385" s="155" t="s">
        <v>742</v>
      </c>
      <c r="G385" s="155">
        <v>15</v>
      </c>
      <c r="H385" s="155" t="s">
        <v>508</v>
      </c>
      <c r="I385" s="155" t="s">
        <v>649</v>
      </c>
      <c r="J385" s="155" t="s">
        <v>267</v>
      </c>
      <c r="K385" s="155" t="s">
        <v>743</v>
      </c>
      <c r="L385" s="155" t="s">
        <v>744</v>
      </c>
      <c r="M385" s="155" t="s">
        <v>745</v>
      </c>
      <c r="N385" s="155" t="s">
        <v>323</v>
      </c>
      <c r="O385" s="256" t="s">
        <v>207</v>
      </c>
      <c r="P385" s="90"/>
      <c r="Q385" s="140" t="s">
        <v>207</v>
      </c>
      <c r="R385" s="90"/>
      <c r="S385" s="140" t="s">
        <v>207</v>
      </c>
      <c r="T385" s="90"/>
      <c r="U385" s="140" t="s">
        <v>207</v>
      </c>
      <c r="V385" s="90"/>
      <c r="W385" s="140" t="s">
        <v>207</v>
      </c>
      <c r="X385" s="90"/>
      <c r="Y385" s="140" t="s">
        <v>77</v>
      </c>
      <c r="Z385" s="90"/>
      <c r="AA385" s="140" t="s">
        <v>207</v>
      </c>
      <c r="AB385" s="90"/>
      <c r="AC385" s="140" t="s">
        <v>207</v>
      </c>
      <c r="AD385" s="90"/>
      <c r="AE385" s="140" t="s">
        <v>207</v>
      </c>
      <c r="AF385" s="178" t="str">
        <f t="shared" si="15"/>
        <v>C</v>
      </c>
      <c r="AG385" s="52" t="str">
        <f t="shared" si="16"/>
        <v>UTILIZOU O PDA CORRETAMENTE</v>
      </c>
      <c r="AH385" s="140" t="s">
        <v>207</v>
      </c>
      <c r="AI385" s="182" t="s">
        <v>36</v>
      </c>
      <c r="AJ385" s="93" t="str">
        <f t="shared" si="17"/>
        <v>SÃO PAULO</v>
      </c>
      <c r="AK385" s="183" t="s">
        <v>54</v>
      </c>
    </row>
    <row r="386" spans="1:37" ht="30" customHeight="1">
      <c r="A386" s="161" t="s">
        <v>198</v>
      </c>
      <c r="B386" s="155">
        <v>2693178694</v>
      </c>
      <c r="C386" s="155" t="s">
        <v>117</v>
      </c>
      <c r="D386" s="155" t="s">
        <v>96</v>
      </c>
      <c r="E386" s="155" t="s">
        <v>35</v>
      </c>
      <c r="F386" s="155" t="s">
        <v>746</v>
      </c>
      <c r="G386" s="155">
        <v>249</v>
      </c>
      <c r="H386" s="155" t="s">
        <v>200</v>
      </c>
      <c r="I386" s="155" t="s">
        <v>411</v>
      </c>
      <c r="J386" s="155" t="s">
        <v>260</v>
      </c>
      <c r="K386" s="155" t="s">
        <v>200</v>
      </c>
      <c r="L386" s="155" t="s">
        <v>747</v>
      </c>
      <c r="M386" s="155" t="s">
        <v>748</v>
      </c>
      <c r="N386" s="155" t="s">
        <v>517</v>
      </c>
      <c r="O386" s="256" t="s">
        <v>207</v>
      </c>
      <c r="P386" s="90"/>
      <c r="Q386" s="140" t="s">
        <v>207</v>
      </c>
      <c r="R386" s="90"/>
      <c r="S386" s="140" t="s">
        <v>207</v>
      </c>
      <c r="T386" s="90"/>
      <c r="U386" s="140" t="s">
        <v>207</v>
      </c>
      <c r="V386" s="90"/>
      <c r="W386" s="140" t="s">
        <v>207</v>
      </c>
      <c r="X386" s="90"/>
      <c r="Y386" s="140" t="s">
        <v>77</v>
      </c>
      <c r="Z386" s="90"/>
      <c r="AA386" s="140" t="s">
        <v>207</v>
      </c>
      <c r="AB386" s="90"/>
      <c r="AC386" s="140" t="s">
        <v>207</v>
      </c>
      <c r="AD386" s="90"/>
      <c r="AE386" s="140" t="s">
        <v>207</v>
      </c>
      <c r="AF386" s="178" t="str">
        <f t="shared" si="15"/>
        <v>C</v>
      </c>
      <c r="AG386" s="52" t="str">
        <f t="shared" si="16"/>
        <v>UTILIZOU O PDA CORRETAMENTE</v>
      </c>
      <c r="AH386" s="140" t="s">
        <v>207</v>
      </c>
      <c r="AI386" s="182" t="s">
        <v>36</v>
      </c>
      <c r="AJ386" s="93" t="str">
        <f t="shared" si="17"/>
        <v>SÃO PAULO</v>
      </c>
      <c r="AK386" s="183" t="s">
        <v>54</v>
      </c>
    </row>
    <row r="387" spans="1:37" ht="30" customHeight="1">
      <c r="A387" s="161" t="s">
        <v>198</v>
      </c>
      <c r="B387" s="155">
        <v>2620096870</v>
      </c>
      <c r="C387" s="155" t="s">
        <v>122</v>
      </c>
      <c r="D387" s="155" t="s">
        <v>96</v>
      </c>
      <c r="E387" s="155" t="s">
        <v>35</v>
      </c>
      <c r="F387" s="155" t="s">
        <v>749</v>
      </c>
      <c r="G387" s="155">
        <v>67</v>
      </c>
      <c r="H387" s="155" t="s">
        <v>200</v>
      </c>
      <c r="I387" s="155" t="s">
        <v>386</v>
      </c>
      <c r="J387" s="155" t="s">
        <v>260</v>
      </c>
      <c r="K387" s="155" t="s">
        <v>588</v>
      </c>
      <c r="L387" s="155" t="s">
        <v>750</v>
      </c>
      <c r="M387" s="155" t="s">
        <v>751</v>
      </c>
      <c r="N387" s="155" t="s">
        <v>331</v>
      </c>
      <c r="O387" s="256" t="s">
        <v>207</v>
      </c>
      <c r="P387" s="90"/>
      <c r="Q387" s="140" t="s">
        <v>207</v>
      </c>
      <c r="R387" s="90"/>
      <c r="S387" s="140" t="s">
        <v>207</v>
      </c>
      <c r="T387" s="90"/>
      <c r="U387" s="140" t="s">
        <v>207</v>
      </c>
      <c r="V387" s="90"/>
      <c r="W387" s="140" t="s">
        <v>207</v>
      </c>
      <c r="X387" s="90"/>
      <c r="Y387" s="140" t="s">
        <v>77</v>
      </c>
      <c r="Z387" s="90"/>
      <c r="AA387" s="140" t="s">
        <v>207</v>
      </c>
      <c r="AB387" s="90"/>
      <c r="AC387" s="140" t="s">
        <v>207</v>
      </c>
      <c r="AD387" s="90"/>
      <c r="AE387" s="140" t="s">
        <v>207</v>
      </c>
      <c r="AF387" s="178" t="str">
        <f t="shared" ref="AF387:AF450" si="18">IF(AND(O387="",Q387="",S387="",U387="",W387="",Y387="",AA387="",AC387=""),"",IF(OR(AND(O387&lt;&gt;"NA",O387&lt;&gt;"C",O387&lt;&gt;"NC",O387&lt;&gt;"SF",O387&lt;&gt;""),AND(Q387&lt;&gt;"NA",Q387&lt;&gt;"C",Q387&lt;&gt;"NC",Q387&lt;&gt;"SF",Q387&lt;&gt;""),AND(S387&lt;&gt;"NA",S387&lt;&gt;"C",S387&lt;&gt;"NC",S387&lt;&gt;"SF",S387&lt;&gt;""),AND(U387&lt;&gt;"NA",U387&lt;&gt;"C",U387&lt;&gt;"NC",U387&lt;&gt;"SF",U387&lt;&gt;""),AND(W387&lt;&gt;"NA",W387&lt;&gt;"C",W387&lt;&gt;"NC",W387&lt;&gt;"SF",W387&lt;&gt;""),AND(Y387&lt;&gt;"NA",Y387&lt;&gt;"C",Y387&lt;&gt;"NC",Y387&lt;&gt;"SF",Y387&lt;&gt;""),AND(AA387&lt;&gt;"NA",AA387&lt;&gt;"C",AA387&lt;&gt;"NC",AA387&lt;&gt;"SF",AA387&lt;&gt;""),AND(AC387&lt;&gt;"NA",AC387&lt;&gt;"C",AC387&lt;&gt;"NC",AC387&lt;&gt;"SF",AC387&lt;&gt;"")),"FALSO",IF(AND(O387="NA",Q387="NA",S387="NA",U387="NA",W387="NA",Y387="NA",AA387="NA",AC387="NA"),"NA",IF(OR(O387="NC",Q387="NC",S387="NC",U387="NC",W387="NC",Y387="NC",AA387="NC",AC387="NC",O387="SF",Q387="SF",S387="SF",U387="SF",W387="SF",Y387="SF",AA387="SF",AC387="SF"),"NC",IF(OR(O387="C",Q387="C",S387="C",U387="C",W387="C",Y387="C",AA387="C",AC387="C"),"C","")))))</f>
        <v>C</v>
      </c>
      <c r="AG387" s="52" t="str">
        <f t="shared" ref="AG387:AG450" si="19">IF(AND(AE387="C",AF387="C"),"UTILIZOU O PDA CORRETAMENTE",IF(AND(AE387="C",AF387="NC"),"UTILIZOU O PDA CORRETAMENTE. NÃO HÁ FOTOS DE TODAS AS ETAPAS",IF(AND(AE387="NC",AF387="NC"),"NÃO UTILIZOU O PDA",IF(AND(AE387="NA",AF387="NA"),"NÃO AVALIADO POR FALHA DE SINCRONISMO"))))</f>
        <v>UTILIZOU O PDA CORRETAMENTE</v>
      </c>
      <c r="AH387" s="140" t="s">
        <v>207</v>
      </c>
      <c r="AI387" s="182" t="s">
        <v>36</v>
      </c>
      <c r="AJ387" s="93" t="str">
        <f t="shared" ref="AJ387:AJ450" si="20">E387</f>
        <v>SÃO PAULO</v>
      </c>
      <c r="AK387" s="183" t="s">
        <v>54</v>
      </c>
    </row>
    <row r="388" spans="1:37" ht="30" customHeight="1">
      <c r="A388" s="161" t="s">
        <v>198</v>
      </c>
      <c r="B388" s="155">
        <v>2693171092</v>
      </c>
      <c r="C388" s="155" t="s">
        <v>118</v>
      </c>
      <c r="D388" s="155" t="s">
        <v>96</v>
      </c>
      <c r="E388" s="155" t="s">
        <v>35</v>
      </c>
      <c r="F388" s="155" t="s">
        <v>752</v>
      </c>
      <c r="G388" s="155">
        <v>418</v>
      </c>
      <c r="H388" s="155" t="s">
        <v>200</v>
      </c>
      <c r="I388" s="155" t="s">
        <v>399</v>
      </c>
      <c r="J388" s="155" t="s">
        <v>301</v>
      </c>
      <c r="K388" s="155" t="s">
        <v>200</v>
      </c>
      <c r="L388" s="155" t="s">
        <v>753</v>
      </c>
      <c r="M388" s="155" t="s">
        <v>754</v>
      </c>
      <c r="N388" s="155" t="s">
        <v>364</v>
      </c>
      <c r="O388" s="256" t="s">
        <v>207</v>
      </c>
      <c r="P388" s="90"/>
      <c r="Q388" s="140" t="s">
        <v>207</v>
      </c>
      <c r="R388" s="90"/>
      <c r="S388" s="140" t="s">
        <v>207</v>
      </c>
      <c r="T388" s="90"/>
      <c r="U388" s="140" t="s">
        <v>207</v>
      </c>
      <c r="V388" s="90"/>
      <c r="W388" s="140" t="s">
        <v>207</v>
      </c>
      <c r="X388" s="90"/>
      <c r="Y388" s="140" t="s">
        <v>77</v>
      </c>
      <c r="Z388" s="90"/>
      <c r="AA388" s="140" t="s">
        <v>207</v>
      </c>
      <c r="AB388" s="90"/>
      <c r="AC388" s="140" t="s">
        <v>207</v>
      </c>
      <c r="AD388" s="90"/>
      <c r="AE388" s="140" t="s">
        <v>207</v>
      </c>
      <c r="AF388" s="178" t="str">
        <f t="shared" si="18"/>
        <v>C</v>
      </c>
      <c r="AG388" s="52" t="str">
        <f t="shared" si="19"/>
        <v>UTILIZOU O PDA CORRETAMENTE</v>
      </c>
      <c r="AH388" s="140" t="s">
        <v>207</v>
      </c>
      <c r="AI388" s="182" t="s">
        <v>36</v>
      </c>
      <c r="AJ388" s="93" t="str">
        <f t="shared" si="20"/>
        <v>SÃO PAULO</v>
      </c>
      <c r="AK388" s="183" t="s">
        <v>54</v>
      </c>
    </row>
    <row r="389" spans="1:37" ht="30" customHeight="1">
      <c r="A389" s="161" t="s">
        <v>198</v>
      </c>
      <c r="B389" s="155">
        <v>2620068341</v>
      </c>
      <c r="C389" s="155" t="s">
        <v>121</v>
      </c>
      <c r="D389" s="155" t="s">
        <v>96</v>
      </c>
      <c r="E389" s="155" t="s">
        <v>35</v>
      </c>
      <c r="F389" s="155" t="s">
        <v>755</v>
      </c>
      <c r="G389" s="155">
        <v>405</v>
      </c>
      <c r="H389" s="155" t="s">
        <v>208</v>
      </c>
      <c r="I389" s="155" t="s">
        <v>300</v>
      </c>
      <c r="J389" s="155" t="s">
        <v>336</v>
      </c>
      <c r="K389" s="155" t="s">
        <v>200</v>
      </c>
      <c r="L389" s="155" t="s">
        <v>756</v>
      </c>
      <c r="M389" s="155" t="s">
        <v>757</v>
      </c>
      <c r="N389" s="155" t="s">
        <v>251</v>
      </c>
      <c r="O389" s="256" t="s">
        <v>207</v>
      </c>
      <c r="P389" s="90"/>
      <c r="Q389" s="140" t="s">
        <v>207</v>
      </c>
      <c r="R389" s="90"/>
      <c r="S389" s="140" t="s">
        <v>207</v>
      </c>
      <c r="T389" s="90"/>
      <c r="U389" s="140" t="s">
        <v>207</v>
      </c>
      <c r="V389" s="90"/>
      <c r="W389" s="140" t="s">
        <v>207</v>
      </c>
      <c r="X389" s="90"/>
      <c r="Y389" s="140" t="s">
        <v>77</v>
      </c>
      <c r="Z389" s="90"/>
      <c r="AA389" s="140" t="s">
        <v>207</v>
      </c>
      <c r="AB389" s="90"/>
      <c r="AC389" s="140" t="s">
        <v>207</v>
      </c>
      <c r="AD389" s="90"/>
      <c r="AE389" s="140" t="s">
        <v>207</v>
      </c>
      <c r="AF389" s="178" t="str">
        <f t="shared" si="18"/>
        <v>C</v>
      </c>
      <c r="AG389" s="52" t="str">
        <f t="shared" si="19"/>
        <v>UTILIZOU O PDA CORRETAMENTE</v>
      </c>
      <c r="AH389" s="140" t="s">
        <v>207</v>
      </c>
      <c r="AI389" s="182" t="s">
        <v>36</v>
      </c>
      <c r="AJ389" s="93" t="str">
        <f t="shared" si="20"/>
        <v>SÃO PAULO</v>
      </c>
      <c r="AK389" s="183" t="s">
        <v>54</v>
      </c>
    </row>
    <row r="390" spans="1:37" ht="30" customHeight="1">
      <c r="A390" s="161" t="s">
        <v>198</v>
      </c>
      <c r="B390" s="155">
        <v>2693204484</v>
      </c>
      <c r="C390" s="155" t="s">
        <v>122</v>
      </c>
      <c r="D390" s="155" t="s">
        <v>96</v>
      </c>
      <c r="E390" s="155" t="s">
        <v>35</v>
      </c>
      <c r="F390" s="155" t="s">
        <v>758</v>
      </c>
      <c r="G390" s="155">
        <v>66</v>
      </c>
      <c r="H390" s="155" t="s">
        <v>208</v>
      </c>
      <c r="I390" s="155" t="s">
        <v>300</v>
      </c>
      <c r="J390" s="155" t="s">
        <v>267</v>
      </c>
      <c r="K390" s="155" t="s">
        <v>200</v>
      </c>
      <c r="L390" s="155" t="s">
        <v>756</v>
      </c>
      <c r="M390" s="155" t="s">
        <v>759</v>
      </c>
      <c r="N390" s="155" t="s">
        <v>251</v>
      </c>
      <c r="O390" s="256" t="s">
        <v>207</v>
      </c>
      <c r="P390" s="90"/>
      <c r="Q390" s="140" t="s">
        <v>207</v>
      </c>
      <c r="R390" s="90"/>
      <c r="S390" s="140" t="s">
        <v>207</v>
      </c>
      <c r="T390" s="90"/>
      <c r="U390" s="140" t="s">
        <v>207</v>
      </c>
      <c r="V390" s="90"/>
      <c r="W390" s="140" t="s">
        <v>207</v>
      </c>
      <c r="X390" s="90"/>
      <c r="Y390" s="140" t="s">
        <v>77</v>
      </c>
      <c r="Z390" s="90"/>
      <c r="AA390" s="140" t="s">
        <v>207</v>
      </c>
      <c r="AB390" s="90"/>
      <c r="AC390" s="140" t="s">
        <v>207</v>
      </c>
      <c r="AD390" s="90"/>
      <c r="AE390" s="140" t="s">
        <v>207</v>
      </c>
      <c r="AF390" s="178" t="str">
        <f t="shared" si="18"/>
        <v>C</v>
      </c>
      <c r="AG390" s="52" t="str">
        <f t="shared" si="19"/>
        <v>UTILIZOU O PDA CORRETAMENTE</v>
      </c>
      <c r="AH390" s="140" t="s">
        <v>207</v>
      </c>
      <c r="AI390" s="182" t="s">
        <v>36</v>
      </c>
      <c r="AJ390" s="93" t="str">
        <f t="shared" si="20"/>
        <v>SÃO PAULO</v>
      </c>
      <c r="AK390" s="183" t="s">
        <v>54</v>
      </c>
    </row>
    <row r="391" spans="1:37" ht="30" customHeight="1">
      <c r="A391" s="161" t="s">
        <v>198</v>
      </c>
      <c r="B391" s="155">
        <v>2620066068</v>
      </c>
      <c r="C391" s="155" t="s">
        <v>120</v>
      </c>
      <c r="D391" s="155" t="s">
        <v>96</v>
      </c>
      <c r="E391" s="155" t="s">
        <v>35</v>
      </c>
      <c r="F391" s="155" t="s">
        <v>654</v>
      </c>
      <c r="G391" s="155">
        <v>11</v>
      </c>
      <c r="H391" s="155" t="s">
        <v>200</v>
      </c>
      <c r="I391" s="155" t="s">
        <v>225</v>
      </c>
      <c r="J391" s="155" t="s">
        <v>202</v>
      </c>
      <c r="K391" s="155" t="s">
        <v>200</v>
      </c>
      <c r="L391" s="155" t="s">
        <v>760</v>
      </c>
      <c r="M391" s="155" t="s">
        <v>761</v>
      </c>
      <c r="N391" s="155" t="s">
        <v>517</v>
      </c>
      <c r="O391" s="256" t="s">
        <v>207</v>
      </c>
      <c r="P391" s="90"/>
      <c r="Q391" s="140" t="s">
        <v>207</v>
      </c>
      <c r="R391" s="90"/>
      <c r="S391" s="140" t="s">
        <v>207</v>
      </c>
      <c r="T391" s="90"/>
      <c r="U391" s="140" t="s">
        <v>207</v>
      </c>
      <c r="V391" s="90"/>
      <c r="W391" s="140" t="s">
        <v>207</v>
      </c>
      <c r="X391" s="90"/>
      <c r="Y391" s="140" t="s">
        <v>77</v>
      </c>
      <c r="Z391" s="90"/>
      <c r="AA391" s="140" t="s">
        <v>207</v>
      </c>
      <c r="AB391" s="90"/>
      <c r="AC391" s="140" t="s">
        <v>207</v>
      </c>
      <c r="AD391" s="90"/>
      <c r="AE391" s="140" t="s">
        <v>207</v>
      </c>
      <c r="AF391" s="178" t="str">
        <f t="shared" si="18"/>
        <v>C</v>
      </c>
      <c r="AG391" s="52" t="str">
        <f t="shared" si="19"/>
        <v>UTILIZOU O PDA CORRETAMENTE</v>
      </c>
      <c r="AH391" s="140" t="s">
        <v>207</v>
      </c>
      <c r="AI391" s="182" t="s">
        <v>36</v>
      </c>
      <c r="AJ391" s="93" t="str">
        <f t="shared" si="20"/>
        <v>SÃO PAULO</v>
      </c>
      <c r="AK391" s="183" t="s">
        <v>54</v>
      </c>
    </row>
    <row r="392" spans="1:37" ht="30" customHeight="1">
      <c r="A392" s="161" t="s">
        <v>198</v>
      </c>
      <c r="B392" s="155">
        <v>2620113976</v>
      </c>
      <c r="C392" s="155" t="s">
        <v>116</v>
      </c>
      <c r="D392" s="155" t="s">
        <v>94</v>
      </c>
      <c r="E392" s="155" t="s">
        <v>35</v>
      </c>
      <c r="F392" s="155" t="s">
        <v>762</v>
      </c>
      <c r="G392" s="155">
        <v>26</v>
      </c>
      <c r="H392" s="155" t="s">
        <v>208</v>
      </c>
      <c r="I392" s="155" t="s">
        <v>763</v>
      </c>
      <c r="J392" s="155" t="s">
        <v>221</v>
      </c>
      <c r="K392" s="155" t="s">
        <v>200</v>
      </c>
      <c r="L392" s="155" t="s">
        <v>764</v>
      </c>
      <c r="M392" s="155" t="s">
        <v>765</v>
      </c>
      <c r="N392" s="155" t="s">
        <v>232</v>
      </c>
      <c r="O392" s="256" t="s">
        <v>207</v>
      </c>
      <c r="P392" s="90"/>
      <c r="Q392" s="140" t="s">
        <v>207</v>
      </c>
      <c r="R392" s="90"/>
      <c r="S392" s="140" t="s">
        <v>207</v>
      </c>
      <c r="T392" s="90"/>
      <c r="U392" s="140" t="s">
        <v>207</v>
      </c>
      <c r="V392" s="90"/>
      <c r="W392" s="140" t="s">
        <v>207</v>
      </c>
      <c r="X392" s="90"/>
      <c r="Y392" s="140" t="s">
        <v>207</v>
      </c>
      <c r="Z392" s="90"/>
      <c r="AA392" s="140" t="s">
        <v>207</v>
      </c>
      <c r="AB392" s="90"/>
      <c r="AC392" s="140" t="s">
        <v>207</v>
      </c>
      <c r="AD392" s="90"/>
      <c r="AE392" s="140" t="s">
        <v>207</v>
      </c>
      <c r="AF392" s="178" t="str">
        <f t="shared" si="18"/>
        <v>C</v>
      </c>
      <c r="AG392" s="52" t="str">
        <f t="shared" si="19"/>
        <v>UTILIZOU O PDA CORRETAMENTE</v>
      </c>
      <c r="AH392" s="140" t="s">
        <v>207</v>
      </c>
      <c r="AI392" s="182" t="s">
        <v>36</v>
      </c>
      <c r="AJ392" s="93" t="str">
        <f t="shared" si="20"/>
        <v>SÃO PAULO</v>
      </c>
      <c r="AK392" s="183" t="s">
        <v>54</v>
      </c>
    </row>
    <row r="393" spans="1:37" ht="30" customHeight="1">
      <c r="A393" s="161" t="s">
        <v>198</v>
      </c>
      <c r="B393" s="155">
        <v>2619970803</v>
      </c>
      <c r="C393" s="155" t="s">
        <v>116</v>
      </c>
      <c r="D393" s="155" t="s">
        <v>94</v>
      </c>
      <c r="E393" s="155" t="s">
        <v>35</v>
      </c>
      <c r="F393" s="155" t="s">
        <v>762</v>
      </c>
      <c r="G393" s="155">
        <v>23</v>
      </c>
      <c r="H393" s="155" t="s">
        <v>200</v>
      </c>
      <c r="I393" s="155" t="s">
        <v>763</v>
      </c>
      <c r="J393" s="155" t="s">
        <v>221</v>
      </c>
      <c r="K393" s="155" t="s">
        <v>200</v>
      </c>
      <c r="L393" s="155" t="s">
        <v>766</v>
      </c>
      <c r="M393" s="155" t="s">
        <v>767</v>
      </c>
      <c r="N393" s="155" t="s">
        <v>232</v>
      </c>
      <c r="O393" s="256" t="s">
        <v>207</v>
      </c>
      <c r="P393" s="90"/>
      <c r="Q393" s="140" t="s">
        <v>207</v>
      </c>
      <c r="R393" s="90"/>
      <c r="S393" s="140" t="s">
        <v>207</v>
      </c>
      <c r="T393" s="90"/>
      <c r="U393" s="140" t="s">
        <v>207</v>
      </c>
      <c r="V393" s="90"/>
      <c r="W393" s="140" t="s">
        <v>207</v>
      </c>
      <c r="X393" s="90"/>
      <c r="Y393" s="140" t="s">
        <v>207</v>
      </c>
      <c r="Z393" s="90"/>
      <c r="AA393" s="140" t="s">
        <v>207</v>
      </c>
      <c r="AB393" s="90"/>
      <c r="AC393" s="140" t="s">
        <v>207</v>
      </c>
      <c r="AD393" s="90"/>
      <c r="AE393" s="140" t="s">
        <v>207</v>
      </c>
      <c r="AF393" s="178" t="str">
        <f t="shared" si="18"/>
        <v>C</v>
      </c>
      <c r="AG393" s="52" t="str">
        <f t="shared" si="19"/>
        <v>UTILIZOU O PDA CORRETAMENTE</v>
      </c>
      <c r="AH393" s="140" t="s">
        <v>207</v>
      </c>
      <c r="AI393" s="182" t="s">
        <v>36</v>
      </c>
      <c r="AJ393" s="93" t="str">
        <f t="shared" si="20"/>
        <v>SÃO PAULO</v>
      </c>
      <c r="AK393" s="183" t="s">
        <v>54</v>
      </c>
    </row>
    <row r="394" spans="1:37" ht="30" customHeight="1">
      <c r="A394" s="161" t="s">
        <v>198</v>
      </c>
      <c r="B394" s="155">
        <v>2619970549</v>
      </c>
      <c r="C394" s="155" t="s">
        <v>116</v>
      </c>
      <c r="D394" s="155" t="s">
        <v>94</v>
      </c>
      <c r="E394" s="155" t="s">
        <v>35</v>
      </c>
      <c r="F394" s="155" t="s">
        <v>762</v>
      </c>
      <c r="G394" s="155">
        <v>25</v>
      </c>
      <c r="H394" s="155" t="s">
        <v>200</v>
      </c>
      <c r="I394" s="155" t="s">
        <v>763</v>
      </c>
      <c r="J394" s="155" t="s">
        <v>221</v>
      </c>
      <c r="K394" s="155" t="s">
        <v>200</v>
      </c>
      <c r="L394" s="155" t="s">
        <v>768</v>
      </c>
      <c r="M394" s="155" t="s">
        <v>769</v>
      </c>
      <c r="N394" s="155" t="s">
        <v>232</v>
      </c>
      <c r="O394" s="256" t="s">
        <v>207</v>
      </c>
      <c r="P394" s="90"/>
      <c r="Q394" s="140" t="s">
        <v>207</v>
      </c>
      <c r="R394" s="90"/>
      <c r="S394" s="140" t="s">
        <v>207</v>
      </c>
      <c r="T394" s="90"/>
      <c r="U394" s="140" t="s">
        <v>207</v>
      </c>
      <c r="V394" s="90"/>
      <c r="W394" s="140" t="s">
        <v>207</v>
      </c>
      <c r="X394" s="90"/>
      <c r="Y394" s="140" t="s">
        <v>207</v>
      </c>
      <c r="Z394" s="90"/>
      <c r="AA394" s="140" t="s">
        <v>207</v>
      </c>
      <c r="AB394" s="90"/>
      <c r="AC394" s="140" t="s">
        <v>207</v>
      </c>
      <c r="AD394" s="90"/>
      <c r="AE394" s="140" t="s">
        <v>207</v>
      </c>
      <c r="AF394" s="178" t="str">
        <f t="shared" si="18"/>
        <v>C</v>
      </c>
      <c r="AG394" s="52" t="str">
        <f t="shared" si="19"/>
        <v>UTILIZOU O PDA CORRETAMENTE</v>
      </c>
      <c r="AH394" s="140" t="s">
        <v>207</v>
      </c>
      <c r="AI394" s="182" t="s">
        <v>36</v>
      </c>
      <c r="AJ394" s="93" t="str">
        <f t="shared" si="20"/>
        <v>SÃO PAULO</v>
      </c>
      <c r="AK394" s="183" t="s">
        <v>54</v>
      </c>
    </row>
    <row r="395" spans="1:37" ht="30" customHeight="1">
      <c r="A395" s="161" t="s">
        <v>198</v>
      </c>
      <c r="B395" s="155">
        <v>2620185212</v>
      </c>
      <c r="C395" s="155" t="s">
        <v>120</v>
      </c>
      <c r="D395" s="155" t="s">
        <v>96</v>
      </c>
      <c r="E395" s="155" t="s">
        <v>35</v>
      </c>
      <c r="F395" s="155" t="s">
        <v>602</v>
      </c>
      <c r="G395" s="155">
        <v>1325</v>
      </c>
      <c r="H395" s="155" t="s">
        <v>200</v>
      </c>
      <c r="I395" s="155" t="s">
        <v>603</v>
      </c>
      <c r="J395" s="155" t="s">
        <v>202</v>
      </c>
      <c r="K395" s="155" t="s">
        <v>200</v>
      </c>
      <c r="L395" s="155" t="s">
        <v>756</v>
      </c>
      <c r="M395" s="155" t="s">
        <v>759</v>
      </c>
      <c r="N395" s="155" t="s">
        <v>288</v>
      </c>
      <c r="O395" s="256" t="s">
        <v>207</v>
      </c>
      <c r="P395" s="90"/>
      <c r="Q395" s="140" t="s">
        <v>207</v>
      </c>
      <c r="R395" s="90"/>
      <c r="S395" s="140" t="s">
        <v>207</v>
      </c>
      <c r="T395" s="90"/>
      <c r="U395" s="140" t="s">
        <v>207</v>
      </c>
      <c r="V395" s="90"/>
      <c r="W395" s="140" t="s">
        <v>207</v>
      </c>
      <c r="X395" s="90"/>
      <c r="Y395" s="140" t="s">
        <v>77</v>
      </c>
      <c r="Z395" s="90"/>
      <c r="AA395" s="140" t="s">
        <v>207</v>
      </c>
      <c r="AB395" s="90"/>
      <c r="AC395" s="140" t="s">
        <v>207</v>
      </c>
      <c r="AD395" s="90"/>
      <c r="AE395" s="140" t="s">
        <v>207</v>
      </c>
      <c r="AF395" s="178" t="str">
        <f t="shared" si="18"/>
        <v>C</v>
      </c>
      <c r="AG395" s="52" t="str">
        <f t="shared" si="19"/>
        <v>UTILIZOU O PDA CORRETAMENTE</v>
      </c>
      <c r="AH395" s="140" t="s">
        <v>207</v>
      </c>
      <c r="AI395" s="182" t="s">
        <v>36</v>
      </c>
      <c r="AJ395" s="93" t="str">
        <f t="shared" si="20"/>
        <v>SÃO PAULO</v>
      </c>
      <c r="AK395" s="183" t="s">
        <v>54</v>
      </c>
    </row>
    <row r="396" spans="1:37" ht="30" customHeight="1">
      <c r="A396" s="161" t="s">
        <v>198</v>
      </c>
      <c r="B396" s="155">
        <v>2619964969</v>
      </c>
      <c r="C396" s="155" t="s">
        <v>121</v>
      </c>
      <c r="D396" s="155" t="s">
        <v>96</v>
      </c>
      <c r="E396" s="155" t="s">
        <v>35</v>
      </c>
      <c r="F396" s="155" t="s">
        <v>688</v>
      </c>
      <c r="G396" s="155">
        <v>1052</v>
      </c>
      <c r="H396" s="155" t="s">
        <v>200</v>
      </c>
      <c r="I396" s="155" t="s">
        <v>689</v>
      </c>
      <c r="J396" s="155" t="s">
        <v>336</v>
      </c>
      <c r="K396" s="155" t="s">
        <v>770</v>
      </c>
      <c r="L396" s="155" t="s">
        <v>771</v>
      </c>
      <c r="M396" s="155" t="s">
        <v>772</v>
      </c>
      <c r="N396" s="155" t="s">
        <v>235</v>
      </c>
      <c r="O396" s="256" t="s">
        <v>207</v>
      </c>
      <c r="P396" s="90"/>
      <c r="Q396" s="140" t="s">
        <v>207</v>
      </c>
      <c r="R396" s="90"/>
      <c r="S396" s="140" t="s">
        <v>207</v>
      </c>
      <c r="T396" s="90"/>
      <c r="U396" s="140" t="s">
        <v>207</v>
      </c>
      <c r="V396" s="90"/>
      <c r="W396" s="140" t="s">
        <v>207</v>
      </c>
      <c r="X396" s="90"/>
      <c r="Y396" s="140" t="s">
        <v>77</v>
      </c>
      <c r="Z396" s="90"/>
      <c r="AA396" s="140" t="s">
        <v>207</v>
      </c>
      <c r="AB396" s="90"/>
      <c r="AC396" s="140" t="s">
        <v>207</v>
      </c>
      <c r="AD396" s="90"/>
      <c r="AE396" s="140" t="s">
        <v>207</v>
      </c>
      <c r="AF396" s="178" t="str">
        <f t="shared" si="18"/>
        <v>C</v>
      </c>
      <c r="AG396" s="52" t="str">
        <f t="shared" si="19"/>
        <v>UTILIZOU O PDA CORRETAMENTE</v>
      </c>
      <c r="AH396" s="140" t="s">
        <v>207</v>
      </c>
      <c r="AI396" s="182" t="s">
        <v>36</v>
      </c>
      <c r="AJ396" s="93" t="str">
        <f t="shared" si="20"/>
        <v>SÃO PAULO</v>
      </c>
      <c r="AK396" s="183" t="s">
        <v>54</v>
      </c>
    </row>
    <row r="397" spans="1:37" ht="30" customHeight="1">
      <c r="A397" s="161" t="s">
        <v>198</v>
      </c>
      <c r="B397" s="155">
        <v>2619844385</v>
      </c>
      <c r="C397" s="155" t="s">
        <v>121</v>
      </c>
      <c r="D397" s="155" t="s">
        <v>96</v>
      </c>
      <c r="E397" s="155" t="s">
        <v>35</v>
      </c>
      <c r="F397" s="155" t="s">
        <v>622</v>
      </c>
      <c r="G397" s="155">
        <v>185</v>
      </c>
      <c r="H397" s="155" t="s">
        <v>208</v>
      </c>
      <c r="I397" s="155" t="s">
        <v>433</v>
      </c>
      <c r="J397" s="155" t="s">
        <v>336</v>
      </c>
      <c r="K397" s="155" t="s">
        <v>773</v>
      </c>
      <c r="L397" s="155" t="s">
        <v>771</v>
      </c>
      <c r="M397" s="155" t="s">
        <v>774</v>
      </c>
      <c r="N397" s="155" t="s">
        <v>345</v>
      </c>
      <c r="O397" s="256" t="s">
        <v>207</v>
      </c>
      <c r="P397" s="90"/>
      <c r="Q397" s="140" t="s">
        <v>207</v>
      </c>
      <c r="R397" s="90"/>
      <c r="S397" s="140" t="s">
        <v>207</v>
      </c>
      <c r="T397" s="90"/>
      <c r="U397" s="140" t="s">
        <v>207</v>
      </c>
      <c r="V397" s="90"/>
      <c r="W397" s="140" t="s">
        <v>207</v>
      </c>
      <c r="X397" s="90"/>
      <c r="Y397" s="140" t="s">
        <v>77</v>
      </c>
      <c r="Z397" s="90"/>
      <c r="AA397" s="140" t="s">
        <v>207</v>
      </c>
      <c r="AB397" s="90"/>
      <c r="AC397" s="140" t="s">
        <v>207</v>
      </c>
      <c r="AD397" s="90"/>
      <c r="AE397" s="140" t="s">
        <v>207</v>
      </c>
      <c r="AF397" s="178" t="str">
        <f t="shared" si="18"/>
        <v>C</v>
      </c>
      <c r="AG397" s="52" t="str">
        <f t="shared" si="19"/>
        <v>UTILIZOU O PDA CORRETAMENTE</v>
      </c>
      <c r="AH397" s="140" t="s">
        <v>207</v>
      </c>
      <c r="AI397" s="182" t="s">
        <v>36</v>
      </c>
      <c r="AJ397" s="93" t="str">
        <f t="shared" si="20"/>
        <v>SÃO PAULO</v>
      </c>
      <c r="AK397" s="183" t="s">
        <v>54</v>
      </c>
    </row>
    <row r="398" spans="1:37" ht="30" customHeight="1">
      <c r="A398" s="161" t="s">
        <v>198</v>
      </c>
      <c r="B398" s="155">
        <v>2620092833</v>
      </c>
      <c r="C398" s="155" t="s">
        <v>120</v>
      </c>
      <c r="D398" s="155" t="s">
        <v>96</v>
      </c>
      <c r="E398" s="155" t="s">
        <v>35</v>
      </c>
      <c r="F398" s="155" t="s">
        <v>726</v>
      </c>
      <c r="G398" s="155">
        <v>252</v>
      </c>
      <c r="H398" s="155" t="s">
        <v>200</v>
      </c>
      <c r="I398" s="155" t="s">
        <v>679</v>
      </c>
      <c r="J398" s="155" t="s">
        <v>202</v>
      </c>
      <c r="K398" s="155" t="s">
        <v>775</v>
      </c>
      <c r="L398" s="155" t="s">
        <v>771</v>
      </c>
      <c r="M398" s="155" t="s">
        <v>774</v>
      </c>
      <c r="N398" s="155" t="s">
        <v>320</v>
      </c>
      <c r="O398" s="256" t="s">
        <v>207</v>
      </c>
      <c r="P398" s="90"/>
      <c r="Q398" s="140" t="s">
        <v>207</v>
      </c>
      <c r="R398" s="90"/>
      <c r="S398" s="140" t="s">
        <v>207</v>
      </c>
      <c r="T398" s="90"/>
      <c r="U398" s="140" t="s">
        <v>207</v>
      </c>
      <c r="V398" s="90"/>
      <c r="W398" s="140" t="s">
        <v>207</v>
      </c>
      <c r="X398" s="90"/>
      <c r="Y398" s="140" t="s">
        <v>77</v>
      </c>
      <c r="Z398" s="90"/>
      <c r="AA398" s="140" t="s">
        <v>207</v>
      </c>
      <c r="AB398" s="90"/>
      <c r="AC398" s="140" t="s">
        <v>207</v>
      </c>
      <c r="AD398" s="90"/>
      <c r="AE398" s="140" t="s">
        <v>207</v>
      </c>
      <c r="AF398" s="178" t="str">
        <f t="shared" si="18"/>
        <v>C</v>
      </c>
      <c r="AG398" s="52" t="str">
        <f t="shared" si="19"/>
        <v>UTILIZOU O PDA CORRETAMENTE</v>
      </c>
      <c r="AH398" s="140" t="s">
        <v>207</v>
      </c>
      <c r="AI398" s="182" t="s">
        <v>36</v>
      </c>
      <c r="AJ398" s="93" t="str">
        <f t="shared" si="20"/>
        <v>SÃO PAULO</v>
      </c>
      <c r="AK398" s="183" t="s">
        <v>54</v>
      </c>
    </row>
    <row r="399" spans="1:37" ht="30" customHeight="1">
      <c r="A399" s="161" t="s">
        <v>198</v>
      </c>
      <c r="B399" s="155">
        <v>2619966226</v>
      </c>
      <c r="C399" s="155" t="s">
        <v>238</v>
      </c>
      <c r="D399" s="155" t="s">
        <v>92</v>
      </c>
      <c r="E399" s="155" t="s">
        <v>35</v>
      </c>
      <c r="F399" s="155" t="s">
        <v>752</v>
      </c>
      <c r="G399" s="155">
        <v>1663</v>
      </c>
      <c r="H399" s="155" t="s">
        <v>325</v>
      </c>
      <c r="I399" s="155" t="s">
        <v>411</v>
      </c>
      <c r="J399" s="155" t="s">
        <v>242</v>
      </c>
      <c r="K399" s="155" t="s">
        <v>200</v>
      </c>
      <c r="L399" s="155" t="s">
        <v>776</v>
      </c>
      <c r="M399" s="155" t="s">
        <v>777</v>
      </c>
      <c r="N399" s="155" t="s">
        <v>213</v>
      </c>
      <c r="O399" s="140" t="s">
        <v>207</v>
      </c>
      <c r="P399" s="90"/>
      <c r="Q399" s="140" t="s">
        <v>77</v>
      </c>
      <c r="R399" s="90"/>
      <c r="S399" s="140" t="s">
        <v>77</v>
      </c>
      <c r="T399" s="90"/>
      <c r="U399" s="140" t="s">
        <v>77</v>
      </c>
      <c r="V399" s="90"/>
      <c r="W399" s="140" t="s">
        <v>77</v>
      </c>
      <c r="X399" s="90"/>
      <c r="Y399" s="140" t="s">
        <v>77</v>
      </c>
      <c r="Z399" s="90"/>
      <c r="AA399" s="140" t="s">
        <v>77</v>
      </c>
      <c r="AB399" s="90"/>
      <c r="AC399" s="140" t="s">
        <v>215</v>
      </c>
      <c r="AD399" s="90" t="s">
        <v>492</v>
      </c>
      <c r="AE399" s="140" t="s">
        <v>207</v>
      </c>
      <c r="AF399" s="178" t="str">
        <f t="shared" si="18"/>
        <v>NC</v>
      </c>
      <c r="AG399" s="52" t="str">
        <f t="shared" si="19"/>
        <v>UTILIZOU O PDA CORRETAMENTE. NÃO HÁ FOTOS DE TODAS AS ETAPAS</v>
      </c>
      <c r="AH399" s="140" t="s">
        <v>207</v>
      </c>
      <c r="AI399" s="182" t="s">
        <v>36</v>
      </c>
      <c r="AJ399" s="93" t="str">
        <f t="shared" si="20"/>
        <v>SÃO PAULO</v>
      </c>
      <c r="AK399" s="183" t="s">
        <v>54</v>
      </c>
    </row>
    <row r="400" spans="1:37" ht="30" customHeight="1">
      <c r="A400" s="161" t="s">
        <v>198</v>
      </c>
      <c r="B400" s="155">
        <v>2619966224</v>
      </c>
      <c r="C400" s="155" t="s">
        <v>238</v>
      </c>
      <c r="D400" s="155" t="s">
        <v>92</v>
      </c>
      <c r="E400" s="155" t="s">
        <v>35</v>
      </c>
      <c r="F400" s="155" t="s">
        <v>752</v>
      </c>
      <c r="G400" s="155">
        <v>1663</v>
      </c>
      <c r="H400" s="155" t="s">
        <v>329</v>
      </c>
      <c r="I400" s="155" t="s">
        <v>411</v>
      </c>
      <c r="J400" s="155" t="s">
        <v>242</v>
      </c>
      <c r="K400" s="155" t="s">
        <v>200</v>
      </c>
      <c r="L400" s="155" t="s">
        <v>778</v>
      </c>
      <c r="M400" s="155" t="s">
        <v>776</v>
      </c>
      <c r="N400" s="155" t="s">
        <v>213</v>
      </c>
      <c r="O400" s="140" t="s">
        <v>207</v>
      </c>
      <c r="P400" s="90"/>
      <c r="Q400" s="140" t="s">
        <v>77</v>
      </c>
      <c r="R400" s="90"/>
      <c r="S400" s="140" t="s">
        <v>77</v>
      </c>
      <c r="T400" s="90"/>
      <c r="U400" s="140" t="s">
        <v>77</v>
      </c>
      <c r="V400" s="90"/>
      <c r="W400" s="140" t="s">
        <v>77</v>
      </c>
      <c r="X400" s="90"/>
      <c r="Y400" s="140" t="s">
        <v>77</v>
      </c>
      <c r="Z400" s="90"/>
      <c r="AA400" s="140" t="s">
        <v>77</v>
      </c>
      <c r="AB400" s="90"/>
      <c r="AC400" s="140" t="s">
        <v>215</v>
      </c>
      <c r="AD400" s="90" t="s">
        <v>492</v>
      </c>
      <c r="AE400" s="140" t="s">
        <v>207</v>
      </c>
      <c r="AF400" s="178" t="str">
        <f t="shared" si="18"/>
        <v>NC</v>
      </c>
      <c r="AG400" s="52" t="str">
        <f t="shared" si="19"/>
        <v>UTILIZOU O PDA CORRETAMENTE. NÃO HÁ FOTOS DE TODAS AS ETAPAS</v>
      </c>
      <c r="AH400" s="140"/>
      <c r="AI400" s="182" t="s">
        <v>36</v>
      </c>
      <c r="AJ400" s="93" t="str">
        <f t="shared" si="20"/>
        <v>SÃO PAULO</v>
      </c>
      <c r="AK400" s="183" t="s">
        <v>54</v>
      </c>
    </row>
    <row r="401" spans="1:37" ht="30" customHeight="1">
      <c r="A401" s="161" t="s">
        <v>198</v>
      </c>
      <c r="B401" s="155">
        <v>2619966229</v>
      </c>
      <c r="C401" s="155" t="s">
        <v>238</v>
      </c>
      <c r="D401" s="155" t="s">
        <v>92</v>
      </c>
      <c r="E401" s="155" t="s">
        <v>35</v>
      </c>
      <c r="F401" s="155" t="s">
        <v>752</v>
      </c>
      <c r="G401" s="155">
        <v>1663</v>
      </c>
      <c r="H401" s="155" t="s">
        <v>595</v>
      </c>
      <c r="I401" s="155" t="s">
        <v>411</v>
      </c>
      <c r="J401" s="155" t="s">
        <v>242</v>
      </c>
      <c r="K401" s="155" t="s">
        <v>200</v>
      </c>
      <c r="L401" s="155" t="s">
        <v>779</v>
      </c>
      <c r="M401" s="155" t="s">
        <v>780</v>
      </c>
      <c r="N401" s="155" t="s">
        <v>213</v>
      </c>
      <c r="O401" s="140" t="s">
        <v>207</v>
      </c>
      <c r="P401" s="90"/>
      <c r="Q401" s="140" t="s">
        <v>77</v>
      </c>
      <c r="R401" s="90"/>
      <c r="S401" s="140" t="s">
        <v>77</v>
      </c>
      <c r="T401" s="90"/>
      <c r="U401" s="140" t="s">
        <v>77</v>
      </c>
      <c r="V401" s="90"/>
      <c r="W401" s="140" t="s">
        <v>77</v>
      </c>
      <c r="X401" s="90"/>
      <c r="Y401" s="140" t="s">
        <v>77</v>
      </c>
      <c r="Z401" s="90"/>
      <c r="AA401" s="140" t="s">
        <v>77</v>
      </c>
      <c r="AB401" s="90"/>
      <c r="AC401" s="140" t="s">
        <v>215</v>
      </c>
      <c r="AD401" s="90" t="s">
        <v>492</v>
      </c>
      <c r="AE401" s="140" t="s">
        <v>207</v>
      </c>
      <c r="AF401" s="178" t="str">
        <f t="shared" si="18"/>
        <v>NC</v>
      </c>
      <c r="AG401" s="52" t="str">
        <f t="shared" si="19"/>
        <v>UTILIZOU O PDA CORRETAMENTE. NÃO HÁ FOTOS DE TODAS AS ETAPAS</v>
      </c>
      <c r="AH401" s="140"/>
      <c r="AI401" s="182" t="s">
        <v>36</v>
      </c>
      <c r="AJ401" s="93" t="str">
        <f t="shared" si="20"/>
        <v>SÃO PAULO</v>
      </c>
      <c r="AK401" s="183" t="s">
        <v>54</v>
      </c>
    </row>
    <row r="402" spans="1:37" ht="30" customHeight="1">
      <c r="A402" s="161" t="s">
        <v>198</v>
      </c>
      <c r="B402" s="155">
        <v>2619966228</v>
      </c>
      <c r="C402" s="155" t="s">
        <v>238</v>
      </c>
      <c r="D402" s="155" t="s">
        <v>92</v>
      </c>
      <c r="E402" s="155" t="s">
        <v>35</v>
      </c>
      <c r="F402" s="155" t="s">
        <v>752</v>
      </c>
      <c r="G402" s="155">
        <v>1663</v>
      </c>
      <c r="H402" s="155" t="s">
        <v>620</v>
      </c>
      <c r="I402" s="155" t="s">
        <v>411</v>
      </c>
      <c r="J402" s="155" t="s">
        <v>242</v>
      </c>
      <c r="K402" s="155" t="s">
        <v>200</v>
      </c>
      <c r="L402" s="155" t="s">
        <v>781</v>
      </c>
      <c r="M402" s="155" t="s">
        <v>782</v>
      </c>
      <c r="N402" s="155" t="s">
        <v>213</v>
      </c>
      <c r="O402" s="140" t="s">
        <v>207</v>
      </c>
      <c r="P402" s="90"/>
      <c r="Q402" s="140" t="s">
        <v>77</v>
      </c>
      <c r="R402" s="90"/>
      <c r="S402" s="140" t="s">
        <v>77</v>
      </c>
      <c r="T402" s="90"/>
      <c r="U402" s="140" t="s">
        <v>77</v>
      </c>
      <c r="V402" s="90"/>
      <c r="W402" s="140" t="s">
        <v>77</v>
      </c>
      <c r="X402" s="90"/>
      <c r="Y402" s="140" t="s">
        <v>77</v>
      </c>
      <c r="Z402" s="90"/>
      <c r="AA402" s="140" t="s">
        <v>77</v>
      </c>
      <c r="AB402" s="90"/>
      <c r="AC402" s="140" t="s">
        <v>215</v>
      </c>
      <c r="AD402" s="90" t="s">
        <v>492</v>
      </c>
      <c r="AE402" s="140" t="s">
        <v>207</v>
      </c>
      <c r="AF402" s="178" t="str">
        <f t="shared" si="18"/>
        <v>NC</v>
      </c>
      <c r="AG402" s="52" t="str">
        <f t="shared" si="19"/>
        <v>UTILIZOU O PDA CORRETAMENTE. NÃO HÁ FOTOS DE TODAS AS ETAPAS</v>
      </c>
      <c r="AH402" s="140"/>
      <c r="AI402" s="182" t="s">
        <v>36</v>
      </c>
      <c r="AJ402" s="93" t="str">
        <f t="shared" si="20"/>
        <v>SÃO PAULO</v>
      </c>
      <c r="AK402" s="183" t="s">
        <v>54</v>
      </c>
    </row>
    <row r="403" spans="1:37" ht="30" customHeight="1">
      <c r="A403" s="161" t="s">
        <v>198</v>
      </c>
      <c r="B403" s="155">
        <v>2619966232</v>
      </c>
      <c r="C403" s="155" t="s">
        <v>238</v>
      </c>
      <c r="D403" s="155" t="s">
        <v>92</v>
      </c>
      <c r="E403" s="155" t="s">
        <v>35</v>
      </c>
      <c r="F403" s="155" t="s">
        <v>752</v>
      </c>
      <c r="G403" s="155">
        <v>1663</v>
      </c>
      <c r="H403" s="155" t="s">
        <v>783</v>
      </c>
      <c r="I403" s="155" t="s">
        <v>411</v>
      </c>
      <c r="J403" s="155" t="s">
        <v>242</v>
      </c>
      <c r="K403" s="155" t="s">
        <v>200</v>
      </c>
      <c r="L403" s="155" t="s">
        <v>780</v>
      </c>
      <c r="M403" s="155" t="s">
        <v>784</v>
      </c>
      <c r="N403" s="155" t="s">
        <v>213</v>
      </c>
      <c r="O403" s="140" t="s">
        <v>207</v>
      </c>
      <c r="P403" s="90"/>
      <c r="Q403" s="140" t="s">
        <v>77</v>
      </c>
      <c r="R403" s="90"/>
      <c r="S403" s="140" t="s">
        <v>77</v>
      </c>
      <c r="T403" s="90"/>
      <c r="U403" s="140" t="s">
        <v>77</v>
      </c>
      <c r="V403" s="90"/>
      <c r="W403" s="140" t="s">
        <v>77</v>
      </c>
      <c r="X403" s="90"/>
      <c r="Y403" s="140" t="s">
        <v>77</v>
      </c>
      <c r="Z403" s="90"/>
      <c r="AA403" s="140" t="s">
        <v>77</v>
      </c>
      <c r="AB403" s="90"/>
      <c r="AC403" s="140" t="s">
        <v>215</v>
      </c>
      <c r="AD403" s="90" t="s">
        <v>492</v>
      </c>
      <c r="AE403" s="140" t="s">
        <v>207</v>
      </c>
      <c r="AF403" s="178" t="str">
        <f t="shared" si="18"/>
        <v>NC</v>
      </c>
      <c r="AG403" s="52" t="str">
        <f t="shared" si="19"/>
        <v>UTILIZOU O PDA CORRETAMENTE. NÃO HÁ FOTOS DE TODAS AS ETAPAS</v>
      </c>
      <c r="AH403" s="140"/>
      <c r="AI403" s="182" t="s">
        <v>36</v>
      </c>
      <c r="AJ403" s="93" t="str">
        <f t="shared" si="20"/>
        <v>SÃO PAULO</v>
      </c>
      <c r="AK403" s="183" t="s">
        <v>54</v>
      </c>
    </row>
    <row r="404" spans="1:37" ht="30" customHeight="1">
      <c r="A404" s="161" t="s">
        <v>198</v>
      </c>
      <c r="B404" s="155">
        <v>2619966273</v>
      </c>
      <c r="C404" s="155" t="s">
        <v>238</v>
      </c>
      <c r="D404" s="155" t="s">
        <v>92</v>
      </c>
      <c r="E404" s="155" t="s">
        <v>35</v>
      </c>
      <c r="F404" s="155" t="s">
        <v>752</v>
      </c>
      <c r="G404" s="155">
        <v>1663</v>
      </c>
      <c r="H404" s="155" t="s">
        <v>785</v>
      </c>
      <c r="I404" s="155" t="s">
        <v>411</v>
      </c>
      <c r="J404" s="155" t="s">
        <v>242</v>
      </c>
      <c r="K404" s="155" t="s">
        <v>200</v>
      </c>
      <c r="L404" s="155" t="s">
        <v>786</v>
      </c>
      <c r="M404" s="155" t="s">
        <v>787</v>
      </c>
      <c r="N404" s="155" t="s">
        <v>213</v>
      </c>
      <c r="O404" s="140" t="s">
        <v>207</v>
      </c>
      <c r="P404" s="90"/>
      <c r="Q404" s="140" t="s">
        <v>77</v>
      </c>
      <c r="R404" s="90"/>
      <c r="S404" s="140" t="s">
        <v>77</v>
      </c>
      <c r="T404" s="90"/>
      <c r="U404" s="140" t="s">
        <v>77</v>
      </c>
      <c r="V404" s="90"/>
      <c r="W404" s="140" t="s">
        <v>77</v>
      </c>
      <c r="X404" s="90"/>
      <c r="Y404" s="140" t="s">
        <v>77</v>
      </c>
      <c r="Z404" s="90"/>
      <c r="AA404" s="140" t="s">
        <v>77</v>
      </c>
      <c r="AB404" s="90"/>
      <c r="AC404" s="140" t="s">
        <v>215</v>
      </c>
      <c r="AD404" s="90" t="s">
        <v>492</v>
      </c>
      <c r="AE404" s="140" t="s">
        <v>207</v>
      </c>
      <c r="AF404" s="178" t="str">
        <f t="shared" si="18"/>
        <v>NC</v>
      </c>
      <c r="AG404" s="52" t="str">
        <f t="shared" si="19"/>
        <v>UTILIZOU O PDA CORRETAMENTE. NÃO HÁ FOTOS DE TODAS AS ETAPAS</v>
      </c>
      <c r="AH404" s="140"/>
      <c r="AI404" s="182" t="s">
        <v>36</v>
      </c>
      <c r="AJ404" s="93" t="str">
        <f t="shared" si="20"/>
        <v>SÃO PAULO</v>
      </c>
      <c r="AK404" s="183" t="s">
        <v>54</v>
      </c>
    </row>
    <row r="405" spans="1:37" ht="30" customHeight="1">
      <c r="A405" s="161" t="s">
        <v>198</v>
      </c>
      <c r="B405" s="155">
        <v>2619966276</v>
      </c>
      <c r="C405" s="155" t="s">
        <v>238</v>
      </c>
      <c r="D405" s="155" t="s">
        <v>92</v>
      </c>
      <c r="E405" s="155" t="s">
        <v>35</v>
      </c>
      <c r="F405" s="155" t="s">
        <v>752</v>
      </c>
      <c r="G405" s="155">
        <v>1663</v>
      </c>
      <c r="H405" s="155" t="s">
        <v>788</v>
      </c>
      <c r="I405" s="155" t="s">
        <v>411</v>
      </c>
      <c r="J405" s="155" t="s">
        <v>242</v>
      </c>
      <c r="K405" s="155" t="s">
        <v>200</v>
      </c>
      <c r="L405" s="155" t="s">
        <v>789</v>
      </c>
      <c r="M405" s="155" t="s">
        <v>790</v>
      </c>
      <c r="N405" s="155" t="s">
        <v>213</v>
      </c>
      <c r="O405" s="140" t="s">
        <v>207</v>
      </c>
      <c r="P405" s="90"/>
      <c r="Q405" s="140" t="s">
        <v>77</v>
      </c>
      <c r="R405" s="90"/>
      <c r="S405" s="140" t="s">
        <v>77</v>
      </c>
      <c r="T405" s="90"/>
      <c r="U405" s="140" t="s">
        <v>77</v>
      </c>
      <c r="V405" s="90"/>
      <c r="W405" s="140" t="s">
        <v>77</v>
      </c>
      <c r="X405" s="90"/>
      <c r="Y405" s="140" t="s">
        <v>77</v>
      </c>
      <c r="Z405" s="90"/>
      <c r="AA405" s="140" t="s">
        <v>77</v>
      </c>
      <c r="AB405" s="90"/>
      <c r="AC405" s="140" t="s">
        <v>215</v>
      </c>
      <c r="AD405" s="90" t="s">
        <v>492</v>
      </c>
      <c r="AE405" s="140" t="s">
        <v>207</v>
      </c>
      <c r="AF405" s="178" t="str">
        <f t="shared" si="18"/>
        <v>NC</v>
      </c>
      <c r="AG405" s="52" t="str">
        <f t="shared" si="19"/>
        <v>UTILIZOU O PDA CORRETAMENTE. NÃO HÁ FOTOS DE TODAS AS ETAPAS</v>
      </c>
      <c r="AH405" s="140"/>
      <c r="AI405" s="182" t="s">
        <v>36</v>
      </c>
      <c r="AJ405" s="93" t="str">
        <f t="shared" si="20"/>
        <v>SÃO PAULO</v>
      </c>
      <c r="AK405" s="183" t="s">
        <v>54</v>
      </c>
    </row>
    <row r="406" spans="1:37" ht="30" customHeight="1">
      <c r="A406" s="161" t="s">
        <v>198</v>
      </c>
      <c r="B406" s="155">
        <v>2619966277</v>
      </c>
      <c r="C406" s="155" t="s">
        <v>238</v>
      </c>
      <c r="D406" s="155" t="s">
        <v>92</v>
      </c>
      <c r="E406" s="155" t="s">
        <v>35</v>
      </c>
      <c r="F406" s="155" t="s">
        <v>752</v>
      </c>
      <c r="G406" s="155">
        <v>1663</v>
      </c>
      <c r="H406" s="155" t="s">
        <v>791</v>
      </c>
      <c r="I406" s="155" t="s">
        <v>411</v>
      </c>
      <c r="J406" s="155" t="s">
        <v>242</v>
      </c>
      <c r="K406" s="155" t="s">
        <v>200</v>
      </c>
      <c r="L406" s="155" t="s">
        <v>790</v>
      </c>
      <c r="M406" s="155" t="s">
        <v>792</v>
      </c>
      <c r="N406" s="155" t="s">
        <v>213</v>
      </c>
      <c r="O406" s="140" t="s">
        <v>207</v>
      </c>
      <c r="P406" s="90"/>
      <c r="Q406" s="140" t="s">
        <v>77</v>
      </c>
      <c r="R406" s="90"/>
      <c r="S406" s="140" t="s">
        <v>77</v>
      </c>
      <c r="T406" s="90"/>
      <c r="U406" s="140" t="s">
        <v>77</v>
      </c>
      <c r="V406" s="90"/>
      <c r="W406" s="140" t="s">
        <v>77</v>
      </c>
      <c r="X406" s="90"/>
      <c r="Y406" s="140" t="s">
        <v>77</v>
      </c>
      <c r="Z406" s="90"/>
      <c r="AA406" s="140" t="s">
        <v>77</v>
      </c>
      <c r="AB406" s="90"/>
      <c r="AC406" s="140" t="s">
        <v>215</v>
      </c>
      <c r="AD406" s="90" t="s">
        <v>492</v>
      </c>
      <c r="AE406" s="140" t="s">
        <v>207</v>
      </c>
      <c r="AF406" s="178" t="str">
        <f t="shared" si="18"/>
        <v>NC</v>
      </c>
      <c r="AG406" s="52" t="str">
        <f t="shared" si="19"/>
        <v>UTILIZOU O PDA CORRETAMENTE. NÃO HÁ FOTOS DE TODAS AS ETAPAS</v>
      </c>
      <c r="AH406" s="140"/>
      <c r="AI406" s="182" t="s">
        <v>36</v>
      </c>
      <c r="AJ406" s="93" t="str">
        <f t="shared" si="20"/>
        <v>SÃO PAULO</v>
      </c>
      <c r="AK406" s="183" t="s">
        <v>54</v>
      </c>
    </row>
    <row r="407" spans="1:37" ht="30" customHeight="1">
      <c r="A407" s="161" t="s">
        <v>198</v>
      </c>
      <c r="B407" s="155">
        <v>2619940189</v>
      </c>
      <c r="C407" s="155" t="s">
        <v>102</v>
      </c>
      <c r="D407" s="155" t="s">
        <v>95</v>
      </c>
      <c r="E407" s="155" t="s">
        <v>35</v>
      </c>
      <c r="F407" s="155" t="s">
        <v>793</v>
      </c>
      <c r="G407" s="155">
        <v>196</v>
      </c>
      <c r="H407" s="155" t="s">
        <v>200</v>
      </c>
      <c r="I407" s="155" t="s">
        <v>615</v>
      </c>
      <c r="J407" s="155" t="s">
        <v>427</v>
      </c>
      <c r="K407" s="155" t="s">
        <v>200</v>
      </c>
      <c r="L407" s="155" t="s">
        <v>794</v>
      </c>
      <c r="M407" s="155" t="s">
        <v>795</v>
      </c>
      <c r="N407" s="155" t="s">
        <v>309</v>
      </c>
      <c r="O407" s="140" t="s">
        <v>77</v>
      </c>
      <c r="P407" s="90"/>
      <c r="Q407" s="140" t="s">
        <v>77</v>
      </c>
      <c r="R407" s="90"/>
      <c r="S407" s="140" t="s">
        <v>77</v>
      </c>
      <c r="T407" s="90"/>
      <c r="U407" s="140" t="s">
        <v>77</v>
      </c>
      <c r="V407" s="90"/>
      <c r="W407" s="140" t="s">
        <v>77</v>
      </c>
      <c r="X407" s="90"/>
      <c r="Y407" s="140" t="s">
        <v>77</v>
      </c>
      <c r="Z407" s="90"/>
      <c r="AA407" s="140" t="s">
        <v>77</v>
      </c>
      <c r="AB407" s="90"/>
      <c r="AC407" s="140" t="s">
        <v>77</v>
      </c>
      <c r="AD407" s="90"/>
      <c r="AE407" s="140" t="s">
        <v>77</v>
      </c>
      <c r="AF407" s="178" t="str">
        <f t="shared" si="18"/>
        <v>NA</v>
      </c>
      <c r="AG407" s="52" t="str">
        <f t="shared" si="19"/>
        <v>NÃO AVALIADO POR FALHA DE SINCRONISMO</v>
      </c>
      <c r="AH407" s="140" t="s">
        <v>207</v>
      </c>
      <c r="AI407" s="182" t="s">
        <v>36</v>
      </c>
      <c r="AJ407" s="93" t="str">
        <f t="shared" si="20"/>
        <v>SÃO PAULO</v>
      </c>
      <c r="AK407" s="183" t="s">
        <v>54</v>
      </c>
    </row>
    <row r="408" spans="1:37" ht="30" customHeight="1">
      <c r="A408" s="161" t="s">
        <v>198</v>
      </c>
      <c r="B408" s="155">
        <v>2619855362</v>
      </c>
      <c r="C408" s="155" t="s">
        <v>99</v>
      </c>
      <c r="D408" s="155" t="s">
        <v>92</v>
      </c>
      <c r="E408" s="155" t="s">
        <v>35</v>
      </c>
      <c r="F408" s="155" t="s">
        <v>796</v>
      </c>
      <c r="G408" s="155">
        <v>1174</v>
      </c>
      <c r="H408" s="155" t="s">
        <v>255</v>
      </c>
      <c r="I408" s="155" t="s">
        <v>433</v>
      </c>
      <c r="J408" s="155" t="s">
        <v>374</v>
      </c>
      <c r="K408" s="155" t="s">
        <v>200</v>
      </c>
      <c r="L408" s="155" t="s">
        <v>797</v>
      </c>
      <c r="M408" s="155" t="s">
        <v>798</v>
      </c>
      <c r="N408" s="155" t="s">
        <v>206</v>
      </c>
      <c r="O408" s="256" t="s">
        <v>207</v>
      </c>
      <c r="P408" s="90"/>
      <c r="Q408" s="140" t="s">
        <v>77</v>
      </c>
      <c r="R408" s="90"/>
      <c r="S408" s="140" t="s">
        <v>77</v>
      </c>
      <c r="T408" s="90"/>
      <c r="U408" s="140" t="s">
        <v>77</v>
      </c>
      <c r="V408" s="90"/>
      <c r="W408" s="140" t="s">
        <v>77</v>
      </c>
      <c r="X408" s="90"/>
      <c r="Y408" s="140" t="s">
        <v>77</v>
      </c>
      <c r="Z408" s="90"/>
      <c r="AA408" s="140" t="s">
        <v>77</v>
      </c>
      <c r="AB408" s="90"/>
      <c r="AC408" s="140" t="s">
        <v>207</v>
      </c>
      <c r="AD408" s="90"/>
      <c r="AE408" s="140" t="s">
        <v>207</v>
      </c>
      <c r="AF408" s="178" t="str">
        <f t="shared" si="18"/>
        <v>C</v>
      </c>
      <c r="AG408" s="52" t="str">
        <f t="shared" si="19"/>
        <v>UTILIZOU O PDA CORRETAMENTE</v>
      </c>
      <c r="AH408" s="140"/>
      <c r="AI408" s="182" t="s">
        <v>36</v>
      </c>
      <c r="AJ408" s="93" t="str">
        <f t="shared" si="20"/>
        <v>SÃO PAULO</v>
      </c>
      <c r="AK408" s="183" t="s">
        <v>54</v>
      </c>
    </row>
    <row r="409" spans="1:37" ht="30" customHeight="1">
      <c r="A409" s="161" t="s">
        <v>198</v>
      </c>
      <c r="B409" s="155">
        <v>2619870149</v>
      </c>
      <c r="C409" s="155" t="s">
        <v>109</v>
      </c>
      <c r="D409" s="155" t="s">
        <v>92</v>
      </c>
      <c r="E409" s="155" t="s">
        <v>35</v>
      </c>
      <c r="F409" s="155" t="s">
        <v>799</v>
      </c>
      <c r="G409" s="155">
        <v>188</v>
      </c>
      <c r="H409" s="155" t="s">
        <v>208</v>
      </c>
      <c r="I409" s="155" t="s">
        <v>314</v>
      </c>
      <c r="J409" s="155" t="s">
        <v>109</v>
      </c>
      <c r="K409" s="155" t="s">
        <v>200</v>
      </c>
      <c r="L409" s="155" t="s">
        <v>800</v>
      </c>
      <c r="M409" s="155" t="s">
        <v>801</v>
      </c>
      <c r="N409" s="155" t="s">
        <v>206</v>
      </c>
      <c r="O409" s="152" t="s">
        <v>207</v>
      </c>
      <c r="P409" s="90"/>
      <c r="Q409" s="140" t="s">
        <v>77</v>
      </c>
      <c r="R409" s="90"/>
      <c r="S409" s="140" t="s">
        <v>77</v>
      </c>
      <c r="T409" s="90"/>
      <c r="U409" s="140" t="s">
        <v>77</v>
      </c>
      <c r="V409" s="90"/>
      <c r="W409" s="140" t="s">
        <v>77</v>
      </c>
      <c r="X409" s="90"/>
      <c r="Y409" s="140" t="s">
        <v>77</v>
      </c>
      <c r="Z409" s="90"/>
      <c r="AA409" s="140" t="s">
        <v>207</v>
      </c>
      <c r="AB409" s="90"/>
      <c r="AC409" s="140" t="s">
        <v>207</v>
      </c>
      <c r="AD409" s="90"/>
      <c r="AE409" s="140" t="s">
        <v>207</v>
      </c>
      <c r="AF409" s="178" t="str">
        <f t="shared" si="18"/>
        <v>C</v>
      </c>
      <c r="AG409" s="52" t="str">
        <f t="shared" si="19"/>
        <v>UTILIZOU O PDA CORRETAMENTE</v>
      </c>
      <c r="AH409" s="140"/>
      <c r="AI409" s="182" t="s">
        <v>36</v>
      </c>
      <c r="AJ409" s="93" t="str">
        <f t="shared" si="20"/>
        <v>SÃO PAULO</v>
      </c>
      <c r="AK409" s="183" t="s">
        <v>54</v>
      </c>
    </row>
    <row r="410" spans="1:37" ht="30" customHeight="1">
      <c r="A410" s="161" t="s">
        <v>198</v>
      </c>
      <c r="B410" s="155">
        <v>2620197375</v>
      </c>
      <c r="C410" s="155" t="s">
        <v>120</v>
      </c>
      <c r="D410" s="155" t="s">
        <v>96</v>
      </c>
      <c r="E410" s="155" t="s">
        <v>35</v>
      </c>
      <c r="F410" s="155" t="s">
        <v>802</v>
      </c>
      <c r="G410" s="155">
        <v>98</v>
      </c>
      <c r="H410" s="155" t="s">
        <v>200</v>
      </c>
      <c r="I410" s="155" t="s">
        <v>230</v>
      </c>
      <c r="J410" s="155" t="s">
        <v>202</v>
      </c>
      <c r="K410" s="155" t="s">
        <v>200</v>
      </c>
      <c r="L410" s="155" t="s">
        <v>803</v>
      </c>
      <c r="M410" s="155" t="s">
        <v>804</v>
      </c>
      <c r="N410" s="155" t="s">
        <v>345</v>
      </c>
      <c r="O410" s="256" t="s">
        <v>207</v>
      </c>
      <c r="P410" s="90"/>
      <c r="Q410" s="140" t="s">
        <v>207</v>
      </c>
      <c r="R410" s="90"/>
      <c r="S410" s="140" t="s">
        <v>207</v>
      </c>
      <c r="T410" s="90"/>
      <c r="U410" s="140" t="s">
        <v>207</v>
      </c>
      <c r="V410" s="90"/>
      <c r="W410" s="140" t="s">
        <v>207</v>
      </c>
      <c r="X410" s="90"/>
      <c r="Y410" s="140" t="s">
        <v>77</v>
      </c>
      <c r="Z410" s="90"/>
      <c r="AA410" s="140" t="s">
        <v>207</v>
      </c>
      <c r="AB410" s="90"/>
      <c r="AC410" s="140" t="s">
        <v>207</v>
      </c>
      <c r="AD410" s="90"/>
      <c r="AE410" s="140" t="s">
        <v>207</v>
      </c>
      <c r="AF410" s="178" t="str">
        <f t="shared" si="18"/>
        <v>C</v>
      </c>
      <c r="AG410" s="52" t="str">
        <f t="shared" si="19"/>
        <v>UTILIZOU O PDA CORRETAMENTE</v>
      </c>
      <c r="AH410" s="140" t="s">
        <v>207</v>
      </c>
      <c r="AI410" s="182" t="s">
        <v>36</v>
      </c>
      <c r="AJ410" s="93" t="str">
        <f t="shared" si="20"/>
        <v>SÃO PAULO</v>
      </c>
      <c r="AK410" s="183" t="s">
        <v>54</v>
      </c>
    </row>
    <row r="411" spans="1:37" ht="30" customHeight="1">
      <c r="A411" s="161" t="s">
        <v>198</v>
      </c>
      <c r="B411" s="155">
        <v>2619869554</v>
      </c>
      <c r="C411" s="155" t="s">
        <v>109</v>
      </c>
      <c r="D411" s="155" t="s">
        <v>92</v>
      </c>
      <c r="E411" s="155" t="s">
        <v>35</v>
      </c>
      <c r="F411" s="155" t="s">
        <v>805</v>
      </c>
      <c r="G411" s="155">
        <v>66</v>
      </c>
      <c r="H411" s="155" t="s">
        <v>208</v>
      </c>
      <c r="I411" s="155" t="s">
        <v>806</v>
      </c>
      <c r="J411" s="155" t="s">
        <v>109</v>
      </c>
      <c r="K411" s="155" t="s">
        <v>200</v>
      </c>
      <c r="L411" s="155" t="s">
        <v>807</v>
      </c>
      <c r="M411" s="155" t="s">
        <v>808</v>
      </c>
      <c r="N411" s="155" t="s">
        <v>206</v>
      </c>
      <c r="O411" s="152" t="s">
        <v>207</v>
      </c>
      <c r="P411" s="90"/>
      <c r="Q411" s="140" t="s">
        <v>77</v>
      </c>
      <c r="R411" s="90"/>
      <c r="S411" s="140" t="s">
        <v>77</v>
      </c>
      <c r="T411" s="90"/>
      <c r="U411" s="140" t="s">
        <v>77</v>
      </c>
      <c r="V411" s="90"/>
      <c r="W411" s="140" t="s">
        <v>77</v>
      </c>
      <c r="X411" s="90"/>
      <c r="Y411" s="140" t="s">
        <v>77</v>
      </c>
      <c r="Z411" s="90"/>
      <c r="AA411" s="140" t="s">
        <v>207</v>
      </c>
      <c r="AB411" s="90"/>
      <c r="AC411" s="140" t="s">
        <v>207</v>
      </c>
      <c r="AD411" s="90"/>
      <c r="AE411" s="140" t="s">
        <v>207</v>
      </c>
      <c r="AF411" s="178" t="str">
        <f t="shared" si="18"/>
        <v>C</v>
      </c>
      <c r="AG411" s="52" t="str">
        <f t="shared" si="19"/>
        <v>UTILIZOU O PDA CORRETAMENTE</v>
      </c>
      <c r="AH411" s="140"/>
      <c r="AI411" s="182" t="s">
        <v>36</v>
      </c>
      <c r="AJ411" s="93" t="str">
        <f t="shared" si="20"/>
        <v>SÃO PAULO</v>
      </c>
      <c r="AK411" s="183" t="s">
        <v>54</v>
      </c>
    </row>
    <row r="412" spans="1:37" ht="30" customHeight="1">
      <c r="A412" s="161" t="s">
        <v>198</v>
      </c>
      <c r="B412" s="155">
        <v>2619867915</v>
      </c>
      <c r="C412" s="155" t="s">
        <v>99</v>
      </c>
      <c r="D412" s="155" t="s">
        <v>92</v>
      </c>
      <c r="E412" s="155" t="s">
        <v>35</v>
      </c>
      <c r="F412" s="155" t="s">
        <v>809</v>
      </c>
      <c r="G412" s="155">
        <v>203</v>
      </c>
      <c r="H412" s="155" t="s">
        <v>810</v>
      </c>
      <c r="I412" s="155" t="s">
        <v>811</v>
      </c>
      <c r="J412" s="155" t="s">
        <v>374</v>
      </c>
      <c r="K412" s="155" t="s">
        <v>200</v>
      </c>
      <c r="L412" s="155" t="s">
        <v>812</v>
      </c>
      <c r="M412" s="155" t="s">
        <v>800</v>
      </c>
      <c r="N412" s="155" t="s">
        <v>206</v>
      </c>
      <c r="O412" s="256" t="s">
        <v>207</v>
      </c>
      <c r="P412" s="90"/>
      <c r="Q412" s="140" t="s">
        <v>77</v>
      </c>
      <c r="R412" s="90"/>
      <c r="S412" s="140" t="s">
        <v>77</v>
      </c>
      <c r="T412" s="90"/>
      <c r="U412" s="140" t="s">
        <v>77</v>
      </c>
      <c r="V412" s="90"/>
      <c r="W412" s="140" t="s">
        <v>77</v>
      </c>
      <c r="X412" s="90"/>
      <c r="Y412" s="140" t="s">
        <v>77</v>
      </c>
      <c r="Z412" s="90"/>
      <c r="AA412" s="140" t="s">
        <v>77</v>
      </c>
      <c r="AB412" s="90"/>
      <c r="AC412" s="140" t="s">
        <v>207</v>
      </c>
      <c r="AD412" s="90"/>
      <c r="AE412" s="140" t="s">
        <v>207</v>
      </c>
      <c r="AF412" s="178" t="str">
        <f t="shared" si="18"/>
        <v>C</v>
      </c>
      <c r="AG412" s="52" t="str">
        <f t="shared" si="19"/>
        <v>UTILIZOU O PDA CORRETAMENTE</v>
      </c>
      <c r="AH412" s="140"/>
      <c r="AI412" s="182" t="s">
        <v>36</v>
      </c>
      <c r="AJ412" s="93" t="str">
        <f t="shared" si="20"/>
        <v>SÃO PAULO</v>
      </c>
      <c r="AK412" s="183" t="s">
        <v>54</v>
      </c>
    </row>
    <row r="413" spans="1:37" ht="30" customHeight="1">
      <c r="A413" s="161" t="s">
        <v>198</v>
      </c>
      <c r="B413" s="155">
        <v>2619870157</v>
      </c>
      <c r="C413" s="155" t="s">
        <v>111</v>
      </c>
      <c r="D413" s="155" t="s">
        <v>92</v>
      </c>
      <c r="E413" s="155" t="s">
        <v>35</v>
      </c>
      <c r="F413" s="155" t="s">
        <v>799</v>
      </c>
      <c r="G413" s="155">
        <v>188</v>
      </c>
      <c r="H413" s="155" t="s">
        <v>205</v>
      </c>
      <c r="I413" s="155" t="s">
        <v>314</v>
      </c>
      <c r="J413" s="155" t="s">
        <v>111</v>
      </c>
      <c r="K413" s="155" t="s">
        <v>200</v>
      </c>
      <c r="L413" s="155" t="s">
        <v>813</v>
      </c>
      <c r="M413" s="155" t="s">
        <v>764</v>
      </c>
      <c r="N413" s="155" t="s">
        <v>206</v>
      </c>
      <c r="O413" s="152" t="s">
        <v>207</v>
      </c>
      <c r="P413" s="90"/>
      <c r="Q413" s="140" t="s">
        <v>77</v>
      </c>
      <c r="R413" s="90"/>
      <c r="S413" s="140" t="s">
        <v>77</v>
      </c>
      <c r="T413" s="90"/>
      <c r="U413" s="140" t="s">
        <v>77</v>
      </c>
      <c r="V413" s="90"/>
      <c r="W413" s="140" t="s">
        <v>77</v>
      </c>
      <c r="X413" s="90"/>
      <c r="Y413" s="140" t="s">
        <v>77</v>
      </c>
      <c r="Z413" s="90"/>
      <c r="AA413" s="140" t="s">
        <v>207</v>
      </c>
      <c r="AB413" s="90"/>
      <c r="AC413" s="140" t="s">
        <v>207</v>
      </c>
      <c r="AD413" s="90"/>
      <c r="AE413" s="140" t="s">
        <v>207</v>
      </c>
      <c r="AF413" s="178" t="str">
        <f t="shared" si="18"/>
        <v>C</v>
      </c>
      <c r="AG413" s="52" t="str">
        <f t="shared" si="19"/>
        <v>UTILIZOU O PDA CORRETAMENTE</v>
      </c>
      <c r="AH413" s="140"/>
      <c r="AI413" s="182" t="s">
        <v>36</v>
      </c>
      <c r="AJ413" s="93" t="str">
        <f t="shared" si="20"/>
        <v>SÃO PAULO</v>
      </c>
      <c r="AK413" s="183" t="s">
        <v>54</v>
      </c>
    </row>
    <row r="414" spans="1:37" ht="30" customHeight="1">
      <c r="A414" s="161" t="s">
        <v>198</v>
      </c>
      <c r="B414" s="155">
        <v>2619869567</v>
      </c>
      <c r="C414" s="155" t="s">
        <v>111</v>
      </c>
      <c r="D414" s="155" t="s">
        <v>92</v>
      </c>
      <c r="E414" s="155" t="s">
        <v>35</v>
      </c>
      <c r="F414" s="155" t="s">
        <v>805</v>
      </c>
      <c r="G414" s="155">
        <v>66</v>
      </c>
      <c r="H414" s="155" t="s">
        <v>205</v>
      </c>
      <c r="I414" s="155" t="s">
        <v>806</v>
      </c>
      <c r="J414" s="155" t="s">
        <v>111</v>
      </c>
      <c r="K414" s="155" t="s">
        <v>200</v>
      </c>
      <c r="L414" s="155" t="s">
        <v>814</v>
      </c>
      <c r="M414" s="155" t="s">
        <v>815</v>
      </c>
      <c r="N414" s="155" t="s">
        <v>206</v>
      </c>
      <c r="O414" s="152" t="s">
        <v>207</v>
      </c>
      <c r="P414" s="90"/>
      <c r="Q414" s="140" t="s">
        <v>77</v>
      </c>
      <c r="R414" s="90"/>
      <c r="S414" s="140" t="s">
        <v>77</v>
      </c>
      <c r="T414" s="90"/>
      <c r="U414" s="140" t="s">
        <v>77</v>
      </c>
      <c r="V414" s="90"/>
      <c r="W414" s="140" t="s">
        <v>77</v>
      </c>
      <c r="X414" s="90"/>
      <c r="Y414" s="140" t="s">
        <v>77</v>
      </c>
      <c r="Z414" s="90"/>
      <c r="AA414" s="140" t="s">
        <v>207</v>
      </c>
      <c r="AB414" s="90"/>
      <c r="AC414" s="140" t="s">
        <v>207</v>
      </c>
      <c r="AD414" s="90"/>
      <c r="AE414" s="140" t="s">
        <v>207</v>
      </c>
      <c r="AF414" s="178" t="str">
        <f t="shared" si="18"/>
        <v>C</v>
      </c>
      <c r="AG414" s="52" t="str">
        <f t="shared" si="19"/>
        <v>UTILIZOU O PDA CORRETAMENTE</v>
      </c>
      <c r="AH414" s="140"/>
      <c r="AI414" s="182" t="s">
        <v>36</v>
      </c>
      <c r="AJ414" s="93" t="str">
        <f t="shared" si="20"/>
        <v>SÃO PAULO</v>
      </c>
      <c r="AK414" s="183" t="s">
        <v>54</v>
      </c>
    </row>
    <row r="415" spans="1:37" ht="30" customHeight="1">
      <c r="A415" s="161" t="s">
        <v>198</v>
      </c>
      <c r="B415" s="155">
        <v>2619965882</v>
      </c>
      <c r="C415" s="155" t="s">
        <v>114</v>
      </c>
      <c r="D415" s="155" t="s">
        <v>96</v>
      </c>
      <c r="E415" s="155" t="s">
        <v>35</v>
      </c>
      <c r="F415" s="155" t="s">
        <v>736</v>
      </c>
      <c r="G415" s="155">
        <v>50</v>
      </c>
      <c r="H415" s="155" t="s">
        <v>347</v>
      </c>
      <c r="I415" s="155" t="s">
        <v>634</v>
      </c>
      <c r="J415" s="155" t="s">
        <v>260</v>
      </c>
      <c r="K415" s="155" t="s">
        <v>200</v>
      </c>
      <c r="L415" s="155" t="s">
        <v>750</v>
      </c>
      <c r="M415" s="155" t="s">
        <v>816</v>
      </c>
      <c r="N415" s="155" t="s">
        <v>235</v>
      </c>
      <c r="O415" s="256" t="s">
        <v>207</v>
      </c>
      <c r="P415" s="90"/>
      <c r="Q415" s="140" t="s">
        <v>207</v>
      </c>
      <c r="R415" s="90"/>
      <c r="S415" s="140" t="s">
        <v>207</v>
      </c>
      <c r="T415" s="90"/>
      <c r="U415" s="140" t="s">
        <v>207</v>
      </c>
      <c r="V415" s="90"/>
      <c r="W415" s="140" t="s">
        <v>207</v>
      </c>
      <c r="X415" s="90"/>
      <c r="Y415" s="140" t="s">
        <v>207</v>
      </c>
      <c r="Z415" s="90"/>
      <c r="AA415" s="140" t="s">
        <v>207</v>
      </c>
      <c r="AB415" s="90"/>
      <c r="AC415" s="140" t="s">
        <v>207</v>
      </c>
      <c r="AD415" s="90"/>
      <c r="AE415" s="140" t="s">
        <v>207</v>
      </c>
      <c r="AF415" s="178" t="str">
        <f t="shared" si="18"/>
        <v>C</v>
      </c>
      <c r="AG415" s="52" t="str">
        <f t="shared" si="19"/>
        <v>UTILIZOU O PDA CORRETAMENTE</v>
      </c>
      <c r="AH415" s="140" t="s">
        <v>207</v>
      </c>
      <c r="AI415" s="182" t="s">
        <v>36</v>
      </c>
      <c r="AJ415" s="93" t="str">
        <f t="shared" si="20"/>
        <v>SÃO PAULO</v>
      </c>
      <c r="AK415" s="183" t="s">
        <v>54</v>
      </c>
    </row>
    <row r="416" spans="1:37" ht="30" customHeight="1">
      <c r="A416" s="161" t="s">
        <v>198</v>
      </c>
      <c r="B416" s="155">
        <v>2619963306</v>
      </c>
      <c r="C416" s="155" t="s">
        <v>109</v>
      </c>
      <c r="D416" s="155" t="s">
        <v>92</v>
      </c>
      <c r="E416" s="155" t="s">
        <v>35</v>
      </c>
      <c r="F416" s="155" t="s">
        <v>752</v>
      </c>
      <c r="G416" s="155">
        <v>1663</v>
      </c>
      <c r="H416" s="155" t="s">
        <v>208</v>
      </c>
      <c r="I416" s="155" t="s">
        <v>411</v>
      </c>
      <c r="J416" s="155" t="s">
        <v>109</v>
      </c>
      <c r="K416" s="155" t="s">
        <v>200</v>
      </c>
      <c r="L416" s="155" t="s">
        <v>817</v>
      </c>
      <c r="M416" s="155" t="s">
        <v>818</v>
      </c>
      <c r="N416" s="155" t="s">
        <v>213</v>
      </c>
      <c r="O416" s="140" t="s">
        <v>207</v>
      </c>
      <c r="P416" s="90"/>
      <c r="Q416" s="140" t="s">
        <v>77</v>
      </c>
      <c r="R416" s="90"/>
      <c r="S416" s="140" t="s">
        <v>77</v>
      </c>
      <c r="T416" s="90"/>
      <c r="U416" s="140" t="s">
        <v>77</v>
      </c>
      <c r="V416" s="90"/>
      <c r="W416" s="140" t="s">
        <v>77</v>
      </c>
      <c r="X416" s="90"/>
      <c r="Y416" s="140" t="s">
        <v>77</v>
      </c>
      <c r="Z416" s="90"/>
      <c r="AA416" s="140" t="s">
        <v>77</v>
      </c>
      <c r="AB416" s="90"/>
      <c r="AC416" s="140" t="s">
        <v>207</v>
      </c>
      <c r="AD416" s="90"/>
      <c r="AE416" s="140" t="s">
        <v>207</v>
      </c>
      <c r="AF416" s="178" t="str">
        <f t="shared" si="18"/>
        <v>C</v>
      </c>
      <c r="AG416" s="52" t="str">
        <f t="shared" si="19"/>
        <v>UTILIZOU O PDA CORRETAMENTE</v>
      </c>
      <c r="AH416" s="140"/>
      <c r="AI416" s="182" t="s">
        <v>36</v>
      </c>
      <c r="AJ416" s="93" t="str">
        <f t="shared" si="20"/>
        <v>SÃO PAULO</v>
      </c>
      <c r="AK416" s="183" t="s">
        <v>54</v>
      </c>
    </row>
    <row r="417" spans="1:37" ht="30" customHeight="1">
      <c r="A417" s="161" t="s">
        <v>198</v>
      </c>
      <c r="B417" s="155">
        <v>2619963321</v>
      </c>
      <c r="C417" s="155" t="s">
        <v>111</v>
      </c>
      <c r="D417" s="155" t="s">
        <v>92</v>
      </c>
      <c r="E417" s="155" t="s">
        <v>35</v>
      </c>
      <c r="F417" s="155" t="s">
        <v>752</v>
      </c>
      <c r="G417" s="155">
        <v>1663</v>
      </c>
      <c r="H417" s="155" t="s">
        <v>205</v>
      </c>
      <c r="I417" s="155" t="s">
        <v>411</v>
      </c>
      <c r="J417" s="155" t="s">
        <v>111</v>
      </c>
      <c r="K417" s="155" t="s">
        <v>200</v>
      </c>
      <c r="L417" s="155" t="s">
        <v>819</v>
      </c>
      <c r="M417" s="155" t="s">
        <v>820</v>
      </c>
      <c r="N417" s="155" t="s">
        <v>213</v>
      </c>
      <c r="O417" s="140" t="s">
        <v>207</v>
      </c>
      <c r="P417" s="90"/>
      <c r="Q417" s="140" t="s">
        <v>77</v>
      </c>
      <c r="R417" s="90"/>
      <c r="S417" s="140" t="s">
        <v>77</v>
      </c>
      <c r="T417" s="90"/>
      <c r="U417" s="140" t="s">
        <v>77</v>
      </c>
      <c r="V417" s="90"/>
      <c r="W417" s="140" t="s">
        <v>77</v>
      </c>
      <c r="X417" s="90"/>
      <c r="Y417" s="140" t="s">
        <v>77</v>
      </c>
      <c r="Z417" s="90"/>
      <c r="AA417" s="140" t="s">
        <v>77</v>
      </c>
      <c r="AB417" s="90"/>
      <c r="AC417" s="140" t="s">
        <v>207</v>
      </c>
      <c r="AD417" s="90"/>
      <c r="AE417" s="140" t="s">
        <v>207</v>
      </c>
      <c r="AF417" s="178" t="str">
        <f t="shared" si="18"/>
        <v>C</v>
      </c>
      <c r="AG417" s="52" t="str">
        <f t="shared" si="19"/>
        <v>UTILIZOU O PDA CORRETAMENTE</v>
      </c>
      <c r="AH417" s="140"/>
      <c r="AI417" s="182" t="s">
        <v>36</v>
      </c>
      <c r="AJ417" s="93" t="str">
        <f t="shared" si="20"/>
        <v>SÃO PAULO</v>
      </c>
      <c r="AK417" s="183" t="s">
        <v>54</v>
      </c>
    </row>
    <row r="418" spans="1:37" ht="30" customHeight="1">
      <c r="A418" s="161" t="s">
        <v>198</v>
      </c>
      <c r="B418" s="155">
        <v>2619984805</v>
      </c>
      <c r="C418" s="155" t="s">
        <v>121</v>
      </c>
      <c r="D418" s="155" t="s">
        <v>96</v>
      </c>
      <c r="E418" s="155" t="s">
        <v>35</v>
      </c>
      <c r="F418" s="155" t="s">
        <v>611</v>
      </c>
      <c r="G418" s="155">
        <v>200</v>
      </c>
      <c r="H418" s="155" t="s">
        <v>200</v>
      </c>
      <c r="I418" s="155" t="s">
        <v>612</v>
      </c>
      <c r="J418" s="155" t="s">
        <v>336</v>
      </c>
      <c r="K418" s="155" t="s">
        <v>486</v>
      </c>
      <c r="L418" s="155" t="s">
        <v>821</v>
      </c>
      <c r="M418" s="155" t="s">
        <v>822</v>
      </c>
      <c r="N418" s="155" t="s">
        <v>262</v>
      </c>
      <c r="O418" s="256" t="s">
        <v>207</v>
      </c>
      <c r="P418" s="90"/>
      <c r="Q418" s="140" t="s">
        <v>207</v>
      </c>
      <c r="R418" s="90"/>
      <c r="S418" s="140" t="s">
        <v>207</v>
      </c>
      <c r="T418" s="90"/>
      <c r="U418" s="140" t="s">
        <v>207</v>
      </c>
      <c r="V418" s="90"/>
      <c r="W418" s="140" t="s">
        <v>207</v>
      </c>
      <c r="X418" s="90"/>
      <c r="Y418" s="140" t="s">
        <v>77</v>
      </c>
      <c r="Z418" s="90"/>
      <c r="AA418" s="140" t="s">
        <v>207</v>
      </c>
      <c r="AB418" s="90"/>
      <c r="AC418" s="140" t="s">
        <v>207</v>
      </c>
      <c r="AD418" s="90"/>
      <c r="AE418" s="140" t="s">
        <v>207</v>
      </c>
      <c r="AF418" s="178" t="str">
        <f t="shared" si="18"/>
        <v>C</v>
      </c>
      <c r="AG418" s="52" t="str">
        <f t="shared" si="19"/>
        <v>UTILIZOU O PDA CORRETAMENTE</v>
      </c>
      <c r="AH418" s="140" t="s">
        <v>207</v>
      </c>
      <c r="AI418" s="182" t="s">
        <v>36</v>
      </c>
      <c r="AJ418" s="93" t="str">
        <f t="shared" si="20"/>
        <v>SÃO PAULO</v>
      </c>
      <c r="AK418" s="183" t="s">
        <v>54</v>
      </c>
    </row>
    <row r="419" spans="1:37" ht="30" customHeight="1">
      <c r="A419" s="161" t="s">
        <v>198</v>
      </c>
      <c r="B419" s="155">
        <v>2620068264</v>
      </c>
      <c r="C419" s="155" t="s">
        <v>223</v>
      </c>
      <c r="D419" s="155" t="s">
        <v>96</v>
      </c>
      <c r="E419" s="155" t="s">
        <v>35</v>
      </c>
      <c r="F419" s="155" t="s">
        <v>823</v>
      </c>
      <c r="G419" s="155">
        <v>57</v>
      </c>
      <c r="H419" s="155" t="s">
        <v>200</v>
      </c>
      <c r="I419" s="155" t="s">
        <v>293</v>
      </c>
      <c r="J419" s="155" t="s">
        <v>226</v>
      </c>
      <c r="K419" s="155" t="s">
        <v>200</v>
      </c>
      <c r="L419" s="155" t="s">
        <v>824</v>
      </c>
      <c r="M419" s="155" t="s">
        <v>825</v>
      </c>
      <c r="N419" s="155" t="s">
        <v>262</v>
      </c>
      <c r="O419" s="256" t="s">
        <v>207</v>
      </c>
      <c r="P419" s="90"/>
      <c r="Q419" s="140" t="s">
        <v>207</v>
      </c>
      <c r="R419" s="90"/>
      <c r="S419" s="140" t="s">
        <v>207</v>
      </c>
      <c r="T419" s="90"/>
      <c r="U419" s="140" t="s">
        <v>207</v>
      </c>
      <c r="V419" s="90"/>
      <c r="W419" s="140" t="s">
        <v>207</v>
      </c>
      <c r="X419" s="90"/>
      <c r="Y419" s="140" t="s">
        <v>77</v>
      </c>
      <c r="Z419" s="90"/>
      <c r="AA419" s="140" t="s">
        <v>207</v>
      </c>
      <c r="AB419" s="90"/>
      <c r="AC419" s="140" t="s">
        <v>207</v>
      </c>
      <c r="AD419" s="90"/>
      <c r="AE419" s="140" t="s">
        <v>207</v>
      </c>
      <c r="AF419" s="178" t="str">
        <f t="shared" si="18"/>
        <v>C</v>
      </c>
      <c r="AG419" s="52" t="str">
        <f t="shared" si="19"/>
        <v>UTILIZOU O PDA CORRETAMENTE</v>
      </c>
      <c r="AH419" s="140" t="s">
        <v>207</v>
      </c>
      <c r="AI419" s="182" t="s">
        <v>36</v>
      </c>
      <c r="AJ419" s="93" t="str">
        <f t="shared" si="20"/>
        <v>SÃO PAULO</v>
      </c>
      <c r="AK419" s="183" t="s">
        <v>54</v>
      </c>
    </row>
    <row r="420" spans="1:37" ht="30" customHeight="1">
      <c r="A420" s="161" t="s">
        <v>198</v>
      </c>
      <c r="B420" s="155">
        <v>2693228879</v>
      </c>
      <c r="C420" s="155" t="s">
        <v>118</v>
      </c>
      <c r="D420" s="155" t="s">
        <v>96</v>
      </c>
      <c r="E420" s="155" t="s">
        <v>35</v>
      </c>
      <c r="F420" s="155" t="s">
        <v>826</v>
      </c>
      <c r="G420" s="155">
        <v>33</v>
      </c>
      <c r="H420" s="155" t="s">
        <v>200</v>
      </c>
      <c r="I420" s="155" t="s">
        <v>510</v>
      </c>
      <c r="J420" s="155" t="s">
        <v>260</v>
      </c>
      <c r="K420" s="155" t="s">
        <v>200</v>
      </c>
      <c r="L420" s="155" t="s">
        <v>771</v>
      </c>
      <c r="M420" s="155" t="s">
        <v>827</v>
      </c>
      <c r="N420" s="155" t="s">
        <v>320</v>
      </c>
      <c r="O420" s="256" t="s">
        <v>207</v>
      </c>
      <c r="P420" s="90"/>
      <c r="Q420" s="140" t="s">
        <v>207</v>
      </c>
      <c r="R420" s="90"/>
      <c r="S420" s="140" t="s">
        <v>207</v>
      </c>
      <c r="T420" s="90"/>
      <c r="U420" s="140" t="s">
        <v>207</v>
      </c>
      <c r="V420" s="90"/>
      <c r="W420" s="140" t="s">
        <v>207</v>
      </c>
      <c r="X420" s="90"/>
      <c r="Y420" s="140" t="s">
        <v>77</v>
      </c>
      <c r="Z420" s="90"/>
      <c r="AA420" s="140" t="s">
        <v>207</v>
      </c>
      <c r="AB420" s="90"/>
      <c r="AC420" s="140" t="s">
        <v>207</v>
      </c>
      <c r="AD420" s="90"/>
      <c r="AE420" s="140" t="s">
        <v>207</v>
      </c>
      <c r="AF420" s="178" t="str">
        <f t="shared" si="18"/>
        <v>C</v>
      </c>
      <c r="AG420" s="52" t="str">
        <f t="shared" si="19"/>
        <v>UTILIZOU O PDA CORRETAMENTE</v>
      </c>
      <c r="AH420" s="140" t="s">
        <v>207</v>
      </c>
      <c r="AI420" s="182" t="s">
        <v>36</v>
      </c>
      <c r="AJ420" s="93" t="str">
        <f t="shared" si="20"/>
        <v>SÃO PAULO</v>
      </c>
      <c r="AK420" s="183" t="s">
        <v>54</v>
      </c>
    </row>
    <row r="421" spans="1:37" ht="30" customHeight="1">
      <c r="A421" s="161" t="s">
        <v>198</v>
      </c>
      <c r="B421" s="155">
        <v>2619971668</v>
      </c>
      <c r="C421" s="155" t="s">
        <v>115</v>
      </c>
      <c r="D421" s="155" t="s">
        <v>96</v>
      </c>
      <c r="E421" s="155" t="s">
        <v>35</v>
      </c>
      <c r="F421" s="155" t="s">
        <v>828</v>
      </c>
      <c r="G421" s="155">
        <v>1</v>
      </c>
      <c r="H421" s="155" t="s">
        <v>347</v>
      </c>
      <c r="I421" s="155" t="s">
        <v>829</v>
      </c>
      <c r="J421" s="155" t="s">
        <v>268</v>
      </c>
      <c r="K421" s="155" t="s">
        <v>200</v>
      </c>
      <c r="L421" s="155" t="s">
        <v>830</v>
      </c>
      <c r="M421" s="155" t="s">
        <v>831</v>
      </c>
      <c r="N421" s="155" t="s">
        <v>222</v>
      </c>
      <c r="O421" s="256" t="s">
        <v>207</v>
      </c>
      <c r="P421" s="90"/>
      <c r="Q421" s="140" t="s">
        <v>207</v>
      </c>
      <c r="R421" s="90"/>
      <c r="S421" s="140" t="s">
        <v>207</v>
      </c>
      <c r="T421" s="90"/>
      <c r="U421" s="140" t="s">
        <v>207</v>
      </c>
      <c r="V421" s="90"/>
      <c r="W421" s="140" t="s">
        <v>207</v>
      </c>
      <c r="X421" s="90"/>
      <c r="Y421" s="140" t="s">
        <v>207</v>
      </c>
      <c r="Z421" s="90"/>
      <c r="AA421" s="140" t="s">
        <v>207</v>
      </c>
      <c r="AB421" s="90"/>
      <c r="AC421" s="140" t="s">
        <v>207</v>
      </c>
      <c r="AD421" s="90"/>
      <c r="AE421" s="140" t="s">
        <v>207</v>
      </c>
      <c r="AF421" s="178" t="str">
        <f t="shared" si="18"/>
        <v>C</v>
      </c>
      <c r="AG421" s="52" t="str">
        <f t="shared" si="19"/>
        <v>UTILIZOU O PDA CORRETAMENTE</v>
      </c>
      <c r="AH421" s="140" t="s">
        <v>207</v>
      </c>
      <c r="AI421" s="182" t="s">
        <v>36</v>
      </c>
      <c r="AJ421" s="93" t="str">
        <f t="shared" si="20"/>
        <v>SÃO PAULO</v>
      </c>
      <c r="AK421" s="183" t="s">
        <v>54</v>
      </c>
    </row>
    <row r="422" spans="1:37" ht="30" customHeight="1">
      <c r="A422" s="161" t="s">
        <v>198</v>
      </c>
      <c r="B422" s="155">
        <v>2693242074</v>
      </c>
      <c r="C422" s="155" t="s">
        <v>122</v>
      </c>
      <c r="D422" s="155" t="s">
        <v>96</v>
      </c>
      <c r="E422" s="155" t="s">
        <v>35</v>
      </c>
      <c r="F422" s="155" t="s">
        <v>832</v>
      </c>
      <c r="G422" s="155">
        <v>331</v>
      </c>
      <c r="H422" s="155" t="s">
        <v>200</v>
      </c>
      <c r="I422" s="155" t="s">
        <v>665</v>
      </c>
      <c r="J422" s="155" t="s">
        <v>267</v>
      </c>
      <c r="K422" s="155" t="s">
        <v>200</v>
      </c>
      <c r="L422" s="155" t="s">
        <v>833</v>
      </c>
      <c r="M422" s="155" t="s">
        <v>834</v>
      </c>
      <c r="N422" s="155" t="s">
        <v>235</v>
      </c>
      <c r="O422" s="256" t="s">
        <v>207</v>
      </c>
      <c r="P422" s="90"/>
      <c r="Q422" s="140" t="s">
        <v>207</v>
      </c>
      <c r="R422" s="90"/>
      <c r="S422" s="140" t="s">
        <v>207</v>
      </c>
      <c r="T422" s="90"/>
      <c r="U422" s="140" t="s">
        <v>207</v>
      </c>
      <c r="V422" s="90"/>
      <c r="W422" s="140" t="s">
        <v>207</v>
      </c>
      <c r="X422" s="90"/>
      <c r="Y422" s="140" t="s">
        <v>77</v>
      </c>
      <c r="Z422" s="90"/>
      <c r="AA422" s="140" t="s">
        <v>207</v>
      </c>
      <c r="AB422" s="90"/>
      <c r="AC422" s="140" t="s">
        <v>207</v>
      </c>
      <c r="AD422" s="90"/>
      <c r="AE422" s="140" t="s">
        <v>207</v>
      </c>
      <c r="AF422" s="178" t="str">
        <f t="shared" si="18"/>
        <v>C</v>
      </c>
      <c r="AG422" s="52" t="str">
        <f t="shared" si="19"/>
        <v>UTILIZOU O PDA CORRETAMENTE</v>
      </c>
      <c r="AH422" s="140" t="s">
        <v>207</v>
      </c>
      <c r="AI422" s="182" t="s">
        <v>36</v>
      </c>
      <c r="AJ422" s="93" t="str">
        <f t="shared" si="20"/>
        <v>SÃO PAULO</v>
      </c>
      <c r="AK422" s="183" t="s">
        <v>54</v>
      </c>
    </row>
    <row r="423" spans="1:37" ht="30" customHeight="1">
      <c r="A423" s="161" t="s">
        <v>198</v>
      </c>
      <c r="B423" s="155">
        <v>2619955423</v>
      </c>
      <c r="C423" s="155" t="s">
        <v>115</v>
      </c>
      <c r="D423" s="155" t="s">
        <v>96</v>
      </c>
      <c r="E423" s="155" t="s">
        <v>35</v>
      </c>
      <c r="F423" s="155" t="s">
        <v>602</v>
      </c>
      <c r="G423" s="155">
        <v>836</v>
      </c>
      <c r="H423" s="155" t="s">
        <v>200</v>
      </c>
      <c r="I423" s="155" t="s">
        <v>603</v>
      </c>
      <c r="J423" s="155" t="s">
        <v>268</v>
      </c>
      <c r="K423" s="155" t="s">
        <v>200</v>
      </c>
      <c r="L423" s="155" t="s">
        <v>835</v>
      </c>
      <c r="M423" s="155" t="s">
        <v>836</v>
      </c>
      <c r="N423" s="155" t="s">
        <v>288</v>
      </c>
      <c r="O423" s="256" t="s">
        <v>207</v>
      </c>
      <c r="P423" s="90"/>
      <c r="Q423" s="140" t="s">
        <v>207</v>
      </c>
      <c r="R423" s="90"/>
      <c r="S423" s="140" t="s">
        <v>207</v>
      </c>
      <c r="T423" s="90"/>
      <c r="U423" s="140" t="s">
        <v>207</v>
      </c>
      <c r="V423" s="90"/>
      <c r="W423" s="140" t="s">
        <v>207</v>
      </c>
      <c r="X423" s="90"/>
      <c r="Y423" s="140" t="s">
        <v>207</v>
      </c>
      <c r="Z423" s="90"/>
      <c r="AA423" s="140" t="s">
        <v>207</v>
      </c>
      <c r="AB423" s="90"/>
      <c r="AC423" s="140" t="s">
        <v>207</v>
      </c>
      <c r="AD423" s="90"/>
      <c r="AE423" s="140" t="s">
        <v>207</v>
      </c>
      <c r="AF423" s="178" t="str">
        <f t="shared" si="18"/>
        <v>C</v>
      </c>
      <c r="AG423" s="52" t="str">
        <f t="shared" si="19"/>
        <v>UTILIZOU O PDA CORRETAMENTE</v>
      </c>
      <c r="AH423" s="140" t="s">
        <v>207</v>
      </c>
      <c r="AI423" s="182" t="s">
        <v>36</v>
      </c>
      <c r="AJ423" s="93" t="str">
        <f t="shared" si="20"/>
        <v>SÃO PAULO</v>
      </c>
      <c r="AK423" s="183" t="s">
        <v>54</v>
      </c>
    </row>
    <row r="424" spans="1:37" ht="30" customHeight="1">
      <c r="A424" s="161" t="s">
        <v>198</v>
      </c>
      <c r="B424" s="155">
        <v>2693241563</v>
      </c>
      <c r="C424" s="155" t="s">
        <v>118</v>
      </c>
      <c r="D424" s="155" t="s">
        <v>96</v>
      </c>
      <c r="E424" s="155" t="s">
        <v>35</v>
      </c>
      <c r="F424" s="155" t="s">
        <v>837</v>
      </c>
      <c r="G424" s="155">
        <v>196</v>
      </c>
      <c r="H424" s="155" t="s">
        <v>257</v>
      </c>
      <c r="I424" s="155" t="s">
        <v>499</v>
      </c>
      <c r="J424" s="155" t="s">
        <v>267</v>
      </c>
      <c r="K424" s="155" t="s">
        <v>200</v>
      </c>
      <c r="L424" s="155" t="s">
        <v>838</v>
      </c>
      <c r="M424" s="155" t="s">
        <v>839</v>
      </c>
      <c r="N424" s="155" t="s">
        <v>323</v>
      </c>
      <c r="O424" s="256" t="s">
        <v>207</v>
      </c>
      <c r="P424" s="90"/>
      <c r="Q424" s="140" t="s">
        <v>207</v>
      </c>
      <c r="R424" s="90"/>
      <c r="S424" s="140" t="s">
        <v>207</v>
      </c>
      <c r="T424" s="90"/>
      <c r="U424" s="140" t="s">
        <v>207</v>
      </c>
      <c r="V424" s="90"/>
      <c r="W424" s="140" t="s">
        <v>207</v>
      </c>
      <c r="X424" s="90"/>
      <c r="Y424" s="140" t="s">
        <v>77</v>
      </c>
      <c r="Z424" s="90"/>
      <c r="AA424" s="140" t="s">
        <v>207</v>
      </c>
      <c r="AB424" s="90"/>
      <c r="AC424" s="140" t="s">
        <v>207</v>
      </c>
      <c r="AD424" s="90"/>
      <c r="AE424" s="140" t="s">
        <v>207</v>
      </c>
      <c r="AF424" s="178" t="str">
        <f t="shared" si="18"/>
        <v>C</v>
      </c>
      <c r="AG424" s="52" t="str">
        <f t="shared" si="19"/>
        <v>UTILIZOU O PDA CORRETAMENTE</v>
      </c>
      <c r="AH424" s="140" t="s">
        <v>207</v>
      </c>
      <c r="AI424" s="182" t="s">
        <v>36</v>
      </c>
      <c r="AJ424" s="93" t="str">
        <f t="shared" si="20"/>
        <v>SÃO PAULO</v>
      </c>
      <c r="AK424" s="183" t="s">
        <v>54</v>
      </c>
    </row>
    <row r="425" spans="1:37" ht="30" customHeight="1">
      <c r="A425" s="161" t="s">
        <v>198</v>
      </c>
      <c r="B425" s="155">
        <v>2619788749</v>
      </c>
      <c r="C425" s="155" t="s">
        <v>115</v>
      </c>
      <c r="D425" s="155" t="s">
        <v>96</v>
      </c>
      <c r="E425" s="155" t="s">
        <v>35</v>
      </c>
      <c r="F425" s="155" t="s">
        <v>840</v>
      </c>
      <c r="G425" s="155">
        <v>23</v>
      </c>
      <c r="H425" s="155" t="s">
        <v>200</v>
      </c>
      <c r="I425" s="155" t="s">
        <v>371</v>
      </c>
      <c r="J425" s="155" t="s">
        <v>268</v>
      </c>
      <c r="K425" s="155" t="s">
        <v>200</v>
      </c>
      <c r="L425" s="155" t="s">
        <v>835</v>
      </c>
      <c r="M425" s="155" t="s">
        <v>836</v>
      </c>
      <c r="N425" s="155" t="s">
        <v>345</v>
      </c>
      <c r="O425" s="256" t="s">
        <v>207</v>
      </c>
      <c r="P425" s="90"/>
      <c r="Q425" s="140" t="s">
        <v>207</v>
      </c>
      <c r="R425" s="90"/>
      <c r="S425" s="140" t="s">
        <v>207</v>
      </c>
      <c r="T425" s="90"/>
      <c r="U425" s="140" t="s">
        <v>207</v>
      </c>
      <c r="V425" s="90"/>
      <c r="W425" s="140" t="s">
        <v>207</v>
      </c>
      <c r="X425" s="90"/>
      <c r="Y425" s="140" t="s">
        <v>207</v>
      </c>
      <c r="Z425" s="90"/>
      <c r="AA425" s="140" t="s">
        <v>207</v>
      </c>
      <c r="AB425" s="90"/>
      <c r="AC425" s="140" t="s">
        <v>207</v>
      </c>
      <c r="AD425" s="90"/>
      <c r="AE425" s="140" t="s">
        <v>207</v>
      </c>
      <c r="AF425" s="178" t="str">
        <f t="shared" si="18"/>
        <v>C</v>
      </c>
      <c r="AG425" s="52" t="str">
        <f t="shared" si="19"/>
        <v>UTILIZOU O PDA CORRETAMENTE</v>
      </c>
      <c r="AH425" s="140" t="s">
        <v>207</v>
      </c>
      <c r="AI425" s="182" t="s">
        <v>36</v>
      </c>
      <c r="AJ425" s="93" t="str">
        <f t="shared" si="20"/>
        <v>SÃO PAULO</v>
      </c>
      <c r="AK425" s="183" t="s">
        <v>54</v>
      </c>
    </row>
    <row r="426" spans="1:37" ht="30" customHeight="1">
      <c r="A426" s="161" t="s">
        <v>198</v>
      </c>
      <c r="B426" s="155">
        <v>2693228611</v>
      </c>
      <c r="C426" s="155" t="s">
        <v>122</v>
      </c>
      <c r="D426" s="155" t="s">
        <v>96</v>
      </c>
      <c r="E426" s="155" t="s">
        <v>35</v>
      </c>
      <c r="F426" s="155" t="s">
        <v>841</v>
      </c>
      <c r="G426" s="155">
        <v>40</v>
      </c>
      <c r="H426" s="155" t="s">
        <v>347</v>
      </c>
      <c r="I426" s="155" t="s">
        <v>701</v>
      </c>
      <c r="J426" s="155" t="s">
        <v>301</v>
      </c>
      <c r="K426" s="155" t="s">
        <v>200</v>
      </c>
      <c r="L426" s="155" t="s">
        <v>842</v>
      </c>
      <c r="M426" s="155" t="s">
        <v>843</v>
      </c>
      <c r="N426" s="155" t="s">
        <v>517</v>
      </c>
      <c r="O426" s="256" t="s">
        <v>207</v>
      </c>
      <c r="P426" s="90"/>
      <c r="Q426" s="140" t="s">
        <v>207</v>
      </c>
      <c r="R426" s="90"/>
      <c r="S426" s="140" t="s">
        <v>207</v>
      </c>
      <c r="T426" s="90"/>
      <c r="U426" s="140" t="s">
        <v>207</v>
      </c>
      <c r="V426" s="90"/>
      <c r="W426" s="140" t="s">
        <v>207</v>
      </c>
      <c r="X426" s="90"/>
      <c r="Y426" s="140" t="s">
        <v>77</v>
      </c>
      <c r="Z426" s="90"/>
      <c r="AA426" s="140" t="s">
        <v>207</v>
      </c>
      <c r="AB426" s="90"/>
      <c r="AC426" s="140" t="s">
        <v>207</v>
      </c>
      <c r="AD426" s="90"/>
      <c r="AE426" s="140" t="s">
        <v>207</v>
      </c>
      <c r="AF426" s="178" t="str">
        <f t="shared" si="18"/>
        <v>C</v>
      </c>
      <c r="AG426" s="52" t="str">
        <f t="shared" si="19"/>
        <v>UTILIZOU O PDA CORRETAMENTE</v>
      </c>
      <c r="AH426" s="140" t="s">
        <v>207</v>
      </c>
      <c r="AI426" s="182" t="s">
        <v>36</v>
      </c>
      <c r="AJ426" s="93" t="str">
        <f t="shared" si="20"/>
        <v>SÃO PAULO</v>
      </c>
      <c r="AK426" s="183" t="s">
        <v>54</v>
      </c>
    </row>
    <row r="427" spans="1:37" ht="30" customHeight="1">
      <c r="A427" s="161" t="s">
        <v>198</v>
      </c>
      <c r="B427" s="155">
        <v>2693255936</v>
      </c>
      <c r="C427" s="155" t="s">
        <v>122</v>
      </c>
      <c r="D427" s="155" t="s">
        <v>96</v>
      </c>
      <c r="E427" s="155" t="s">
        <v>35</v>
      </c>
      <c r="F427" s="155" t="s">
        <v>844</v>
      </c>
      <c r="G427" s="155">
        <v>6</v>
      </c>
      <c r="H427" s="155" t="s">
        <v>200</v>
      </c>
      <c r="I427" s="155" t="s">
        <v>271</v>
      </c>
      <c r="J427" s="155" t="s">
        <v>267</v>
      </c>
      <c r="K427" s="155" t="s">
        <v>200</v>
      </c>
      <c r="L427" s="155" t="s">
        <v>845</v>
      </c>
      <c r="M427" s="155" t="s">
        <v>846</v>
      </c>
      <c r="N427" s="155" t="s">
        <v>517</v>
      </c>
      <c r="O427" s="256" t="s">
        <v>207</v>
      </c>
      <c r="P427" s="90"/>
      <c r="Q427" s="140" t="s">
        <v>207</v>
      </c>
      <c r="R427" s="90"/>
      <c r="S427" s="140" t="s">
        <v>207</v>
      </c>
      <c r="T427" s="90"/>
      <c r="U427" s="140" t="s">
        <v>207</v>
      </c>
      <c r="V427" s="90"/>
      <c r="W427" s="140" t="s">
        <v>207</v>
      </c>
      <c r="X427" s="90"/>
      <c r="Y427" s="140" t="s">
        <v>77</v>
      </c>
      <c r="Z427" s="90"/>
      <c r="AA427" s="140" t="s">
        <v>207</v>
      </c>
      <c r="AB427" s="90"/>
      <c r="AC427" s="140" t="s">
        <v>207</v>
      </c>
      <c r="AD427" s="90"/>
      <c r="AE427" s="140" t="s">
        <v>207</v>
      </c>
      <c r="AF427" s="178" t="str">
        <f t="shared" si="18"/>
        <v>C</v>
      </c>
      <c r="AG427" s="52" t="str">
        <f t="shared" si="19"/>
        <v>UTILIZOU O PDA CORRETAMENTE</v>
      </c>
      <c r="AH427" s="140" t="s">
        <v>207</v>
      </c>
      <c r="AI427" s="182" t="s">
        <v>36</v>
      </c>
      <c r="AJ427" s="93" t="str">
        <f t="shared" si="20"/>
        <v>SÃO PAULO</v>
      </c>
      <c r="AK427" s="183" t="s">
        <v>54</v>
      </c>
    </row>
    <row r="428" spans="1:37" ht="30" customHeight="1">
      <c r="A428" s="161" t="s">
        <v>198</v>
      </c>
      <c r="B428" s="155">
        <v>2619861874</v>
      </c>
      <c r="C428" s="155" t="s">
        <v>115</v>
      </c>
      <c r="D428" s="155" t="s">
        <v>96</v>
      </c>
      <c r="E428" s="155" t="s">
        <v>35</v>
      </c>
      <c r="F428" s="155" t="s">
        <v>581</v>
      </c>
      <c r="G428" s="155">
        <v>306</v>
      </c>
      <c r="H428" s="155" t="s">
        <v>208</v>
      </c>
      <c r="I428" s="155" t="s">
        <v>338</v>
      </c>
      <c r="J428" s="155" t="s">
        <v>268</v>
      </c>
      <c r="K428" s="155" t="s">
        <v>200</v>
      </c>
      <c r="L428" s="155" t="s">
        <v>847</v>
      </c>
      <c r="M428" s="155" t="s">
        <v>848</v>
      </c>
      <c r="N428" s="155" t="s">
        <v>232</v>
      </c>
      <c r="O428" s="256" t="s">
        <v>207</v>
      </c>
      <c r="P428" s="90"/>
      <c r="Q428" s="140" t="s">
        <v>207</v>
      </c>
      <c r="R428" s="90"/>
      <c r="S428" s="140" t="s">
        <v>207</v>
      </c>
      <c r="T428" s="90"/>
      <c r="U428" s="140" t="s">
        <v>207</v>
      </c>
      <c r="V428" s="90"/>
      <c r="W428" s="140" t="s">
        <v>207</v>
      </c>
      <c r="X428" s="90"/>
      <c r="Y428" s="140" t="s">
        <v>207</v>
      </c>
      <c r="Z428" s="90"/>
      <c r="AA428" s="140" t="s">
        <v>207</v>
      </c>
      <c r="AB428" s="90"/>
      <c r="AC428" s="140" t="s">
        <v>207</v>
      </c>
      <c r="AD428" s="90"/>
      <c r="AE428" s="140" t="s">
        <v>207</v>
      </c>
      <c r="AF428" s="178" t="str">
        <f t="shared" si="18"/>
        <v>C</v>
      </c>
      <c r="AG428" s="52" t="str">
        <f t="shared" si="19"/>
        <v>UTILIZOU O PDA CORRETAMENTE</v>
      </c>
      <c r="AH428" s="140" t="s">
        <v>207</v>
      </c>
      <c r="AI428" s="182" t="s">
        <v>36</v>
      </c>
      <c r="AJ428" s="93" t="str">
        <f t="shared" si="20"/>
        <v>SÃO PAULO</v>
      </c>
      <c r="AK428" s="183" t="s">
        <v>54</v>
      </c>
    </row>
    <row r="429" spans="1:37" ht="30" customHeight="1">
      <c r="A429" s="161" t="s">
        <v>198</v>
      </c>
      <c r="B429" s="155">
        <v>2620185561</v>
      </c>
      <c r="C429" s="155" t="s">
        <v>114</v>
      </c>
      <c r="D429" s="155" t="s">
        <v>96</v>
      </c>
      <c r="E429" s="155" t="s">
        <v>35</v>
      </c>
      <c r="F429" s="155" t="s">
        <v>849</v>
      </c>
      <c r="G429" s="155">
        <v>41</v>
      </c>
      <c r="H429" s="155" t="s">
        <v>200</v>
      </c>
      <c r="I429" s="155" t="s">
        <v>355</v>
      </c>
      <c r="J429" s="155" t="s">
        <v>260</v>
      </c>
      <c r="K429" s="155" t="s">
        <v>200</v>
      </c>
      <c r="L429" s="155" t="s">
        <v>850</v>
      </c>
      <c r="M429" s="155" t="s">
        <v>851</v>
      </c>
      <c r="N429" s="155" t="s">
        <v>274</v>
      </c>
      <c r="O429" s="256" t="s">
        <v>207</v>
      </c>
      <c r="P429" s="90"/>
      <c r="Q429" s="140" t="s">
        <v>207</v>
      </c>
      <c r="R429" s="90"/>
      <c r="S429" s="140" t="s">
        <v>207</v>
      </c>
      <c r="T429" s="90"/>
      <c r="U429" s="140" t="s">
        <v>207</v>
      </c>
      <c r="V429" s="90"/>
      <c r="W429" s="140" t="s">
        <v>207</v>
      </c>
      <c r="X429" s="90"/>
      <c r="Y429" s="140" t="s">
        <v>207</v>
      </c>
      <c r="Z429" s="90"/>
      <c r="AA429" s="140" t="s">
        <v>207</v>
      </c>
      <c r="AB429" s="90"/>
      <c r="AC429" s="140" t="s">
        <v>207</v>
      </c>
      <c r="AD429" s="90"/>
      <c r="AE429" s="140" t="s">
        <v>207</v>
      </c>
      <c r="AF429" s="178" t="str">
        <f t="shared" si="18"/>
        <v>C</v>
      </c>
      <c r="AG429" s="52" t="str">
        <f t="shared" si="19"/>
        <v>UTILIZOU O PDA CORRETAMENTE</v>
      </c>
      <c r="AH429" s="140" t="s">
        <v>207</v>
      </c>
      <c r="AI429" s="182" t="s">
        <v>36</v>
      </c>
      <c r="AJ429" s="93" t="str">
        <f t="shared" si="20"/>
        <v>SÃO PAULO</v>
      </c>
      <c r="AK429" s="183" t="s">
        <v>54</v>
      </c>
    </row>
    <row r="430" spans="1:37" ht="30" customHeight="1">
      <c r="A430" s="176" t="s">
        <v>198</v>
      </c>
      <c r="B430" s="154">
        <v>2619859889</v>
      </c>
      <c r="C430" s="154" t="s">
        <v>101</v>
      </c>
      <c r="D430" s="154" t="s">
        <v>92</v>
      </c>
      <c r="E430" s="154" t="s">
        <v>35</v>
      </c>
      <c r="F430" s="154" t="s">
        <v>852</v>
      </c>
      <c r="G430" s="154">
        <v>5</v>
      </c>
      <c r="H430" s="154" t="s">
        <v>200</v>
      </c>
      <c r="I430" s="154" t="s">
        <v>853</v>
      </c>
      <c r="J430" s="154" t="s">
        <v>101</v>
      </c>
      <c r="K430" s="154" t="s">
        <v>200</v>
      </c>
      <c r="L430" s="154" t="s">
        <v>854</v>
      </c>
      <c r="M430" s="154" t="s">
        <v>855</v>
      </c>
      <c r="N430" s="154" t="s">
        <v>206</v>
      </c>
      <c r="O430" s="140" t="s">
        <v>207</v>
      </c>
      <c r="P430" s="90"/>
      <c r="Q430" s="140" t="s">
        <v>77</v>
      </c>
      <c r="R430" s="90"/>
      <c r="S430" s="140" t="s">
        <v>77</v>
      </c>
      <c r="T430" s="90"/>
      <c r="U430" s="140" t="s">
        <v>77</v>
      </c>
      <c r="V430" s="90"/>
      <c r="W430" s="140" t="s">
        <v>77</v>
      </c>
      <c r="X430" s="90"/>
      <c r="Y430" s="140" t="s">
        <v>77</v>
      </c>
      <c r="Z430" s="90"/>
      <c r="AA430" s="140" t="s">
        <v>77</v>
      </c>
      <c r="AB430" s="90"/>
      <c r="AC430" s="140" t="s">
        <v>207</v>
      </c>
      <c r="AD430" s="90"/>
      <c r="AE430" s="140" t="s">
        <v>207</v>
      </c>
      <c r="AF430" s="178" t="str">
        <f t="shared" si="18"/>
        <v>C</v>
      </c>
      <c r="AG430" s="52" t="str">
        <f t="shared" si="19"/>
        <v>UTILIZOU O PDA CORRETAMENTE</v>
      </c>
      <c r="AH430" s="140" t="s">
        <v>207</v>
      </c>
      <c r="AI430" s="182" t="s">
        <v>36</v>
      </c>
      <c r="AJ430" s="93" t="str">
        <f t="shared" si="20"/>
        <v>SÃO PAULO</v>
      </c>
      <c r="AK430" s="183" t="s">
        <v>54</v>
      </c>
    </row>
    <row r="431" spans="1:37" ht="30" customHeight="1">
      <c r="A431" s="161" t="s">
        <v>198</v>
      </c>
      <c r="B431" s="155">
        <v>2619871280</v>
      </c>
      <c r="C431" s="155" t="s">
        <v>109</v>
      </c>
      <c r="D431" s="155" t="s">
        <v>92</v>
      </c>
      <c r="E431" s="155" t="s">
        <v>35</v>
      </c>
      <c r="F431" s="155" t="s">
        <v>570</v>
      </c>
      <c r="G431" s="155">
        <v>387</v>
      </c>
      <c r="H431" s="155" t="s">
        <v>208</v>
      </c>
      <c r="I431" s="155" t="s">
        <v>571</v>
      </c>
      <c r="J431" s="155" t="s">
        <v>109</v>
      </c>
      <c r="K431" s="155" t="s">
        <v>200</v>
      </c>
      <c r="L431" s="155" t="s">
        <v>856</v>
      </c>
      <c r="M431" s="155" t="s">
        <v>857</v>
      </c>
      <c r="N431" s="155" t="s">
        <v>206</v>
      </c>
      <c r="O431" s="152" t="s">
        <v>207</v>
      </c>
      <c r="P431" s="90"/>
      <c r="Q431" s="140" t="s">
        <v>77</v>
      </c>
      <c r="R431" s="90"/>
      <c r="S431" s="140" t="s">
        <v>77</v>
      </c>
      <c r="T431" s="90"/>
      <c r="U431" s="140" t="s">
        <v>77</v>
      </c>
      <c r="V431" s="90"/>
      <c r="W431" s="140" t="s">
        <v>77</v>
      </c>
      <c r="X431" s="90"/>
      <c r="Y431" s="140" t="s">
        <v>77</v>
      </c>
      <c r="Z431" s="90"/>
      <c r="AA431" s="140" t="s">
        <v>207</v>
      </c>
      <c r="AB431" s="90"/>
      <c r="AC431" s="140" t="s">
        <v>207</v>
      </c>
      <c r="AD431" s="90"/>
      <c r="AE431" s="140" t="s">
        <v>207</v>
      </c>
      <c r="AF431" s="178" t="str">
        <f t="shared" si="18"/>
        <v>C</v>
      </c>
      <c r="AG431" s="52" t="str">
        <f t="shared" si="19"/>
        <v>UTILIZOU O PDA CORRETAMENTE</v>
      </c>
      <c r="AH431" s="140"/>
      <c r="AI431" s="182" t="s">
        <v>36</v>
      </c>
      <c r="AJ431" s="93" t="str">
        <f t="shared" si="20"/>
        <v>SÃO PAULO</v>
      </c>
      <c r="AK431" s="183" t="s">
        <v>54</v>
      </c>
    </row>
    <row r="432" spans="1:37" ht="30" customHeight="1">
      <c r="A432" s="161" t="s">
        <v>198</v>
      </c>
      <c r="B432" s="155">
        <v>2619862228</v>
      </c>
      <c r="C432" s="155" t="s">
        <v>101</v>
      </c>
      <c r="D432" s="155" t="s">
        <v>92</v>
      </c>
      <c r="E432" s="155" t="s">
        <v>35</v>
      </c>
      <c r="F432" s="155" t="s">
        <v>858</v>
      </c>
      <c r="G432" s="155">
        <v>29</v>
      </c>
      <c r="H432" s="155" t="s">
        <v>200</v>
      </c>
      <c r="I432" s="155" t="s">
        <v>853</v>
      </c>
      <c r="J432" s="155" t="s">
        <v>101</v>
      </c>
      <c r="K432" s="155" t="s">
        <v>200</v>
      </c>
      <c r="L432" s="155" t="s">
        <v>859</v>
      </c>
      <c r="M432" s="155" t="s">
        <v>860</v>
      </c>
      <c r="N432" s="155" t="s">
        <v>206</v>
      </c>
      <c r="O432" s="140" t="s">
        <v>207</v>
      </c>
      <c r="P432" s="90"/>
      <c r="Q432" s="140" t="s">
        <v>77</v>
      </c>
      <c r="R432" s="90"/>
      <c r="S432" s="140" t="s">
        <v>77</v>
      </c>
      <c r="T432" s="90"/>
      <c r="U432" s="140" t="s">
        <v>77</v>
      </c>
      <c r="V432" s="90"/>
      <c r="W432" s="140" t="s">
        <v>77</v>
      </c>
      <c r="X432" s="90"/>
      <c r="Y432" s="140" t="s">
        <v>77</v>
      </c>
      <c r="Z432" s="90"/>
      <c r="AA432" s="140" t="s">
        <v>77</v>
      </c>
      <c r="AB432" s="90"/>
      <c r="AC432" s="140" t="s">
        <v>207</v>
      </c>
      <c r="AD432" s="90"/>
      <c r="AE432" s="140" t="s">
        <v>207</v>
      </c>
      <c r="AF432" s="178" t="str">
        <f t="shared" si="18"/>
        <v>C</v>
      </c>
      <c r="AG432" s="52" t="str">
        <f t="shared" si="19"/>
        <v>UTILIZOU O PDA CORRETAMENTE</v>
      </c>
      <c r="AH432" s="140" t="s">
        <v>207</v>
      </c>
      <c r="AI432" s="182" t="s">
        <v>36</v>
      </c>
      <c r="AJ432" s="93" t="str">
        <f t="shared" si="20"/>
        <v>SÃO PAULO</v>
      </c>
      <c r="AK432" s="183" t="s">
        <v>54</v>
      </c>
    </row>
    <row r="433" spans="1:37" ht="30" customHeight="1">
      <c r="A433" s="161" t="s">
        <v>198</v>
      </c>
      <c r="B433" s="155">
        <v>2619871282</v>
      </c>
      <c r="C433" s="155" t="s">
        <v>111</v>
      </c>
      <c r="D433" s="155" t="s">
        <v>92</v>
      </c>
      <c r="E433" s="155" t="s">
        <v>35</v>
      </c>
      <c r="F433" s="155" t="s">
        <v>570</v>
      </c>
      <c r="G433" s="155">
        <v>387</v>
      </c>
      <c r="H433" s="155" t="s">
        <v>205</v>
      </c>
      <c r="I433" s="155" t="s">
        <v>571</v>
      </c>
      <c r="J433" s="155" t="s">
        <v>111</v>
      </c>
      <c r="K433" s="155" t="s">
        <v>200</v>
      </c>
      <c r="L433" s="155" t="s">
        <v>861</v>
      </c>
      <c r="M433" s="155" t="s">
        <v>862</v>
      </c>
      <c r="N433" s="155" t="s">
        <v>206</v>
      </c>
      <c r="O433" s="152" t="s">
        <v>207</v>
      </c>
      <c r="P433" s="90"/>
      <c r="Q433" s="140" t="s">
        <v>77</v>
      </c>
      <c r="R433" s="90"/>
      <c r="S433" s="140" t="s">
        <v>77</v>
      </c>
      <c r="T433" s="90"/>
      <c r="U433" s="140" t="s">
        <v>77</v>
      </c>
      <c r="V433" s="90"/>
      <c r="W433" s="140" t="s">
        <v>77</v>
      </c>
      <c r="X433" s="90"/>
      <c r="Y433" s="140" t="s">
        <v>77</v>
      </c>
      <c r="Z433" s="90"/>
      <c r="AA433" s="140" t="s">
        <v>207</v>
      </c>
      <c r="AB433" s="90"/>
      <c r="AC433" s="140" t="s">
        <v>207</v>
      </c>
      <c r="AD433" s="90"/>
      <c r="AE433" s="140" t="s">
        <v>207</v>
      </c>
      <c r="AF433" s="178" t="str">
        <f t="shared" si="18"/>
        <v>C</v>
      </c>
      <c r="AG433" s="52" t="str">
        <f t="shared" si="19"/>
        <v>UTILIZOU O PDA CORRETAMENTE</v>
      </c>
      <c r="AH433" s="140"/>
      <c r="AI433" s="182" t="s">
        <v>36</v>
      </c>
      <c r="AJ433" s="93" t="str">
        <f t="shared" si="20"/>
        <v>SÃO PAULO</v>
      </c>
      <c r="AK433" s="183" t="s">
        <v>54</v>
      </c>
    </row>
    <row r="434" spans="1:37" ht="30" customHeight="1">
      <c r="A434" s="161" t="s">
        <v>198</v>
      </c>
      <c r="B434" s="155">
        <v>2619871281</v>
      </c>
      <c r="C434" s="155" t="s">
        <v>109</v>
      </c>
      <c r="D434" s="155" t="s">
        <v>92</v>
      </c>
      <c r="E434" s="155" t="s">
        <v>35</v>
      </c>
      <c r="F434" s="155" t="s">
        <v>863</v>
      </c>
      <c r="G434" s="155">
        <v>17</v>
      </c>
      <c r="H434" s="155" t="s">
        <v>208</v>
      </c>
      <c r="I434" s="155" t="s">
        <v>373</v>
      </c>
      <c r="J434" s="155" t="s">
        <v>109</v>
      </c>
      <c r="K434" s="155" t="s">
        <v>200</v>
      </c>
      <c r="L434" s="155" t="s">
        <v>864</v>
      </c>
      <c r="M434" s="155" t="s">
        <v>865</v>
      </c>
      <c r="N434" s="155" t="s">
        <v>206</v>
      </c>
      <c r="O434" s="152" t="s">
        <v>207</v>
      </c>
      <c r="P434" s="90"/>
      <c r="Q434" s="140" t="s">
        <v>77</v>
      </c>
      <c r="R434" s="90"/>
      <c r="S434" s="140" t="s">
        <v>77</v>
      </c>
      <c r="T434" s="90"/>
      <c r="U434" s="140" t="s">
        <v>77</v>
      </c>
      <c r="V434" s="90"/>
      <c r="W434" s="140" t="s">
        <v>77</v>
      </c>
      <c r="X434" s="90"/>
      <c r="Y434" s="140" t="s">
        <v>77</v>
      </c>
      <c r="Z434" s="90"/>
      <c r="AA434" s="140" t="s">
        <v>207</v>
      </c>
      <c r="AB434" s="90"/>
      <c r="AC434" s="140" t="s">
        <v>207</v>
      </c>
      <c r="AD434" s="90"/>
      <c r="AE434" s="140" t="s">
        <v>207</v>
      </c>
      <c r="AF434" s="178" t="str">
        <f t="shared" si="18"/>
        <v>C</v>
      </c>
      <c r="AG434" s="52" t="str">
        <f t="shared" si="19"/>
        <v>UTILIZOU O PDA CORRETAMENTE</v>
      </c>
      <c r="AH434" s="140"/>
      <c r="AI434" s="182" t="s">
        <v>36</v>
      </c>
      <c r="AJ434" s="93" t="str">
        <f t="shared" si="20"/>
        <v>SÃO PAULO</v>
      </c>
      <c r="AK434" s="183" t="s">
        <v>54</v>
      </c>
    </row>
    <row r="435" spans="1:37" ht="30" customHeight="1">
      <c r="A435" s="161" t="s">
        <v>198</v>
      </c>
      <c r="B435" s="155">
        <v>2619871283</v>
      </c>
      <c r="C435" s="155" t="s">
        <v>111</v>
      </c>
      <c r="D435" s="155" t="s">
        <v>92</v>
      </c>
      <c r="E435" s="155" t="s">
        <v>35</v>
      </c>
      <c r="F435" s="155" t="s">
        <v>863</v>
      </c>
      <c r="G435" s="155">
        <v>17</v>
      </c>
      <c r="H435" s="155" t="s">
        <v>205</v>
      </c>
      <c r="I435" s="155" t="s">
        <v>373</v>
      </c>
      <c r="J435" s="155" t="s">
        <v>111</v>
      </c>
      <c r="K435" s="155" t="s">
        <v>200</v>
      </c>
      <c r="L435" s="155" t="s">
        <v>866</v>
      </c>
      <c r="M435" s="155" t="s">
        <v>867</v>
      </c>
      <c r="N435" s="155" t="s">
        <v>206</v>
      </c>
      <c r="O435" s="152" t="s">
        <v>207</v>
      </c>
      <c r="P435" s="90"/>
      <c r="Q435" s="140" t="s">
        <v>77</v>
      </c>
      <c r="R435" s="90"/>
      <c r="S435" s="140" t="s">
        <v>77</v>
      </c>
      <c r="T435" s="90"/>
      <c r="U435" s="140" t="s">
        <v>77</v>
      </c>
      <c r="V435" s="90"/>
      <c r="W435" s="140" t="s">
        <v>77</v>
      </c>
      <c r="X435" s="90"/>
      <c r="Y435" s="140" t="s">
        <v>77</v>
      </c>
      <c r="Z435" s="90"/>
      <c r="AA435" s="140" t="s">
        <v>207</v>
      </c>
      <c r="AB435" s="90"/>
      <c r="AC435" s="140" t="s">
        <v>207</v>
      </c>
      <c r="AD435" s="90"/>
      <c r="AE435" s="140" t="s">
        <v>207</v>
      </c>
      <c r="AF435" s="178" t="str">
        <f t="shared" si="18"/>
        <v>C</v>
      </c>
      <c r="AG435" s="52" t="str">
        <f t="shared" si="19"/>
        <v>UTILIZOU O PDA CORRETAMENTE</v>
      </c>
      <c r="AH435" s="140"/>
      <c r="AI435" s="182" t="s">
        <v>36</v>
      </c>
      <c r="AJ435" s="93" t="str">
        <f t="shared" si="20"/>
        <v>SÃO PAULO</v>
      </c>
      <c r="AK435" s="183" t="s">
        <v>54</v>
      </c>
    </row>
    <row r="436" spans="1:37" ht="30" customHeight="1">
      <c r="A436" s="161" t="s">
        <v>198</v>
      </c>
      <c r="B436" s="155">
        <v>2619879037</v>
      </c>
      <c r="C436" s="155" t="s">
        <v>101</v>
      </c>
      <c r="D436" s="155" t="s">
        <v>92</v>
      </c>
      <c r="E436" s="155" t="s">
        <v>35</v>
      </c>
      <c r="F436" s="155" t="s">
        <v>868</v>
      </c>
      <c r="G436" s="155">
        <v>249</v>
      </c>
      <c r="H436" s="155" t="s">
        <v>200</v>
      </c>
      <c r="I436" s="155" t="s">
        <v>392</v>
      </c>
      <c r="J436" s="155" t="s">
        <v>101</v>
      </c>
      <c r="K436" s="155" t="s">
        <v>200</v>
      </c>
      <c r="L436" s="155" t="s">
        <v>869</v>
      </c>
      <c r="M436" s="155" t="s">
        <v>870</v>
      </c>
      <c r="N436" s="155" t="s">
        <v>295</v>
      </c>
      <c r="O436" s="140" t="s">
        <v>207</v>
      </c>
      <c r="P436" s="90"/>
      <c r="Q436" s="140" t="s">
        <v>207</v>
      </c>
      <c r="R436" s="90"/>
      <c r="S436" s="140" t="s">
        <v>77</v>
      </c>
      <c r="T436" s="90"/>
      <c r="U436" s="140" t="s">
        <v>77</v>
      </c>
      <c r="V436" s="90"/>
      <c r="W436" s="140" t="s">
        <v>77</v>
      </c>
      <c r="X436" s="90"/>
      <c r="Y436" s="140" t="s">
        <v>77</v>
      </c>
      <c r="Z436" s="90"/>
      <c r="AA436" s="140" t="s">
        <v>77</v>
      </c>
      <c r="AB436" s="90"/>
      <c r="AC436" s="140" t="s">
        <v>207</v>
      </c>
      <c r="AD436" s="90"/>
      <c r="AE436" s="140" t="s">
        <v>207</v>
      </c>
      <c r="AF436" s="178" t="str">
        <f t="shared" si="18"/>
        <v>C</v>
      </c>
      <c r="AG436" s="52" t="str">
        <f t="shared" si="19"/>
        <v>UTILIZOU O PDA CORRETAMENTE</v>
      </c>
      <c r="AH436" s="140" t="s">
        <v>207</v>
      </c>
      <c r="AI436" s="182" t="s">
        <v>36</v>
      </c>
      <c r="AJ436" s="93" t="str">
        <f t="shared" si="20"/>
        <v>SÃO PAULO</v>
      </c>
      <c r="AK436" s="183" t="s">
        <v>54</v>
      </c>
    </row>
    <row r="437" spans="1:37" ht="30" customHeight="1">
      <c r="A437" s="161" t="s">
        <v>198</v>
      </c>
      <c r="B437" s="155">
        <v>2619954610</v>
      </c>
      <c r="C437" s="155" t="s">
        <v>238</v>
      </c>
      <c r="D437" s="155" t="s">
        <v>92</v>
      </c>
      <c r="E437" s="155" t="s">
        <v>35</v>
      </c>
      <c r="F437" s="155" t="s">
        <v>871</v>
      </c>
      <c r="G437" s="155">
        <v>2</v>
      </c>
      <c r="H437" s="155" t="s">
        <v>872</v>
      </c>
      <c r="I437" s="155" t="s">
        <v>873</v>
      </c>
      <c r="J437" s="155" t="s">
        <v>242</v>
      </c>
      <c r="K437" s="155" t="s">
        <v>200</v>
      </c>
      <c r="L437" s="155" t="s">
        <v>874</v>
      </c>
      <c r="M437" s="155" t="s">
        <v>875</v>
      </c>
      <c r="N437" s="155" t="s">
        <v>213</v>
      </c>
      <c r="O437" s="140" t="s">
        <v>207</v>
      </c>
      <c r="P437" s="90"/>
      <c r="Q437" s="140" t="s">
        <v>77</v>
      </c>
      <c r="R437" s="90"/>
      <c r="S437" s="140" t="s">
        <v>77</v>
      </c>
      <c r="T437" s="90"/>
      <c r="U437" s="140" t="s">
        <v>77</v>
      </c>
      <c r="V437" s="90"/>
      <c r="W437" s="140" t="s">
        <v>77</v>
      </c>
      <c r="X437" s="90"/>
      <c r="Y437" s="140" t="s">
        <v>77</v>
      </c>
      <c r="Z437" s="90"/>
      <c r="AA437" s="140" t="s">
        <v>77</v>
      </c>
      <c r="AB437" s="90"/>
      <c r="AC437" s="140" t="s">
        <v>215</v>
      </c>
      <c r="AD437" s="90" t="s">
        <v>492</v>
      </c>
      <c r="AE437" s="140" t="s">
        <v>207</v>
      </c>
      <c r="AF437" s="178" t="str">
        <f t="shared" si="18"/>
        <v>NC</v>
      </c>
      <c r="AG437" s="52" t="str">
        <f t="shared" si="19"/>
        <v>UTILIZOU O PDA CORRETAMENTE. NÃO HÁ FOTOS DE TODAS AS ETAPAS</v>
      </c>
      <c r="AH437" s="140" t="s">
        <v>207</v>
      </c>
      <c r="AI437" s="182" t="s">
        <v>36</v>
      </c>
      <c r="AJ437" s="93" t="str">
        <f t="shared" si="20"/>
        <v>SÃO PAULO</v>
      </c>
      <c r="AK437" s="183" t="s">
        <v>54</v>
      </c>
    </row>
    <row r="438" spans="1:37" ht="30" customHeight="1">
      <c r="A438" s="161" t="s">
        <v>198</v>
      </c>
      <c r="B438" s="155">
        <v>2619954655</v>
      </c>
      <c r="C438" s="155" t="s">
        <v>238</v>
      </c>
      <c r="D438" s="155" t="s">
        <v>92</v>
      </c>
      <c r="E438" s="155" t="s">
        <v>35</v>
      </c>
      <c r="F438" s="155" t="s">
        <v>871</v>
      </c>
      <c r="G438" s="155">
        <v>2</v>
      </c>
      <c r="H438" s="155" t="s">
        <v>876</v>
      </c>
      <c r="I438" s="155" t="s">
        <v>873</v>
      </c>
      <c r="J438" s="155" t="s">
        <v>242</v>
      </c>
      <c r="K438" s="155" t="s">
        <v>200</v>
      </c>
      <c r="L438" s="155" t="s">
        <v>877</v>
      </c>
      <c r="M438" s="155" t="s">
        <v>878</v>
      </c>
      <c r="N438" s="155" t="s">
        <v>213</v>
      </c>
      <c r="O438" s="140" t="s">
        <v>207</v>
      </c>
      <c r="P438" s="90"/>
      <c r="Q438" s="140" t="s">
        <v>77</v>
      </c>
      <c r="R438" s="90"/>
      <c r="S438" s="140" t="s">
        <v>77</v>
      </c>
      <c r="T438" s="90"/>
      <c r="U438" s="140" t="s">
        <v>77</v>
      </c>
      <c r="V438" s="90"/>
      <c r="W438" s="140" t="s">
        <v>77</v>
      </c>
      <c r="X438" s="90"/>
      <c r="Y438" s="140" t="s">
        <v>77</v>
      </c>
      <c r="Z438" s="90"/>
      <c r="AA438" s="140" t="s">
        <v>77</v>
      </c>
      <c r="AB438" s="90"/>
      <c r="AC438" s="140" t="s">
        <v>215</v>
      </c>
      <c r="AD438" s="90" t="s">
        <v>492</v>
      </c>
      <c r="AE438" s="140" t="s">
        <v>207</v>
      </c>
      <c r="AF438" s="178" t="str">
        <f t="shared" si="18"/>
        <v>NC</v>
      </c>
      <c r="AG438" s="52" t="str">
        <f t="shared" si="19"/>
        <v>UTILIZOU O PDA CORRETAMENTE. NÃO HÁ FOTOS DE TODAS AS ETAPAS</v>
      </c>
      <c r="AH438" s="140" t="s">
        <v>207</v>
      </c>
      <c r="AI438" s="182" t="s">
        <v>36</v>
      </c>
      <c r="AJ438" s="93" t="str">
        <f t="shared" si="20"/>
        <v>SÃO PAULO</v>
      </c>
      <c r="AK438" s="183" t="s">
        <v>54</v>
      </c>
    </row>
    <row r="439" spans="1:37" ht="30" customHeight="1">
      <c r="A439" s="161" t="s">
        <v>198</v>
      </c>
      <c r="B439" s="155">
        <v>2617973506</v>
      </c>
      <c r="C439" s="155" t="s">
        <v>107</v>
      </c>
      <c r="D439" s="155" t="s">
        <v>92</v>
      </c>
      <c r="E439" s="155" t="s">
        <v>35</v>
      </c>
      <c r="F439" s="155" t="s">
        <v>879</v>
      </c>
      <c r="G439" s="155">
        <v>58</v>
      </c>
      <c r="H439" s="155" t="s">
        <v>200</v>
      </c>
      <c r="I439" s="155" t="s">
        <v>253</v>
      </c>
      <c r="J439" s="155" t="s">
        <v>212</v>
      </c>
      <c r="K439" s="155" t="s">
        <v>200</v>
      </c>
      <c r="L439" s="155" t="s">
        <v>880</v>
      </c>
      <c r="M439" s="155" t="s">
        <v>881</v>
      </c>
      <c r="N439" s="155" t="s">
        <v>213</v>
      </c>
      <c r="O439" s="140" t="s">
        <v>207</v>
      </c>
      <c r="P439" s="90"/>
      <c r="Q439" s="140" t="s">
        <v>215</v>
      </c>
      <c r="R439" s="90" t="s">
        <v>310</v>
      </c>
      <c r="S439" s="140" t="s">
        <v>214</v>
      </c>
      <c r="T439" s="90"/>
      <c r="U439" s="140" t="s">
        <v>207</v>
      </c>
      <c r="V439" s="90"/>
      <c r="W439" s="140" t="s">
        <v>214</v>
      </c>
      <c r="X439" s="90"/>
      <c r="Y439" s="140" t="s">
        <v>77</v>
      </c>
      <c r="Z439" s="90"/>
      <c r="AA439" s="140" t="s">
        <v>214</v>
      </c>
      <c r="AB439" s="90"/>
      <c r="AC439" s="140" t="s">
        <v>215</v>
      </c>
      <c r="AD439" s="90" t="s">
        <v>882</v>
      </c>
      <c r="AE439" s="140" t="s">
        <v>207</v>
      </c>
      <c r="AF439" s="178" t="str">
        <f t="shared" si="18"/>
        <v>NC</v>
      </c>
      <c r="AG439" s="52" t="str">
        <f t="shared" si="19"/>
        <v>UTILIZOU O PDA CORRETAMENTE. NÃO HÁ FOTOS DE TODAS AS ETAPAS</v>
      </c>
      <c r="AH439" s="140" t="s">
        <v>207</v>
      </c>
      <c r="AI439" s="182" t="s">
        <v>36</v>
      </c>
      <c r="AJ439" s="93" t="str">
        <f t="shared" si="20"/>
        <v>SÃO PAULO</v>
      </c>
      <c r="AK439" s="183" t="s">
        <v>54</v>
      </c>
    </row>
    <row r="440" spans="1:37" ht="30" customHeight="1">
      <c r="A440" s="161" t="s">
        <v>198</v>
      </c>
      <c r="B440" s="155">
        <v>2620242032</v>
      </c>
      <c r="C440" s="155" t="s">
        <v>116</v>
      </c>
      <c r="D440" s="155" t="s">
        <v>94</v>
      </c>
      <c r="E440" s="155" t="s">
        <v>35</v>
      </c>
      <c r="F440" s="155" t="s">
        <v>883</v>
      </c>
      <c r="G440" s="155">
        <v>233</v>
      </c>
      <c r="H440" s="155" t="s">
        <v>200</v>
      </c>
      <c r="I440" s="155" t="s">
        <v>297</v>
      </c>
      <c r="J440" s="155" t="s">
        <v>221</v>
      </c>
      <c r="K440" s="155" t="s">
        <v>200</v>
      </c>
      <c r="L440" s="155" t="s">
        <v>884</v>
      </c>
      <c r="M440" s="155" t="s">
        <v>885</v>
      </c>
      <c r="N440" s="155" t="s">
        <v>349</v>
      </c>
      <c r="O440" s="256" t="s">
        <v>207</v>
      </c>
      <c r="P440" s="90"/>
      <c r="Q440" s="140" t="s">
        <v>207</v>
      </c>
      <c r="R440" s="90"/>
      <c r="S440" s="140" t="s">
        <v>207</v>
      </c>
      <c r="T440" s="90"/>
      <c r="U440" s="140" t="s">
        <v>207</v>
      </c>
      <c r="V440" s="90"/>
      <c r="W440" s="140" t="s">
        <v>207</v>
      </c>
      <c r="X440" s="90"/>
      <c r="Y440" s="140" t="s">
        <v>207</v>
      </c>
      <c r="Z440" s="90"/>
      <c r="AA440" s="140" t="s">
        <v>207</v>
      </c>
      <c r="AB440" s="90"/>
      <c r="AC440" s="140" t="s">
        <v>207</v>
      </c>
      <c r="AD440" s="90"/>
      <c r="AE440" s="140" t="s">
        <v>207</v>
      </c>
      <c r="AF440" s="178" t="str">
        <f t="shared" si="18"/>
        <v>C</v>
      </c>
      <c r="AG440" s="52" t="str">
        <f t="shared" si="19"/>
        <v>UTILIZOU O PDA CORRETAMENTE</v>
      </c>
      <c r="AH440" s="140" t="s">
        <v>207</v>
      </c>
      <c r="AI440" s="182" t="s">
        <v>36</v>
      </c>
      <c r="AJ440" s="93" t="str">
        <f t="shared" si="20"/>
        <v>SÃO PAULO</v>
      </c>
      <c r="AK440" s="183" t="s">
        <v>54</v>
      </c>
    </row>
    <row r="441" spans="1:37" ht="30" customHeight="1">
      <c r="A441" s="161" t="s">
        <v>198</v>
      </c>
      <c r="B441" s="155">
        <v>2620232917</v>
      </c>
      <c r="C441" s="155" t="s">
        <v>116</v>
      </c>
      <c r="D441" s="155" t="s">
        <v>94</v>
      </c>
      <c r="E441" s="155" t="s">
        <v>35</v>
      </c>
      <c r="F441" s="155" t="s">
        <v>886</v>
      </c>
      <c r="G441" s="155">
        <v>36</v>
      </c>
      <c r="H441" s="155" t="s">
        <v>200</v>
      </c>
      <c r="I441" s="155" t="s">
        <v>515</v>
      </c>
      <c r="J441" s="155" t="s">
        <v>221</v>
      </c>
      <c r="K441" s="155" t="s">
        <v>200</v>
      </c>
      <c r="L441" s="155" t="s">
        <v>887</v>
      </c>
      <c r="M441" s="155" t="s">
        <v>888</v>
      </c>
      <c r="N441" s="155" t="s">
        <v>235</v>
      </c>
      <c r="O441" s="256" t="s">
        <v>207</v>
      </c>
      <c r="P441" s="90"/>
      <c r="Q441" s="140" t="s">
        <v>207</v>
      </c>
      <c r="R441" s="90"/>
      <c r="S441" s="140" t="s">
        <v>207</v>
      </c>
      <c r="T441" s="90"/>
      <c r="U441" s="140" t="s">
        <v>207</v>
      </c>
      <c r="V441" s="90"/>
      <c r="W441" s="140" t="s">
        <v>207</v>
      </c>
      <c r="X441" s="90"/>
      <c r="Y441" s="140" t="s">
        <v>207</v>
      </c>
      <c r="Z441" s="90"/>
      <c r="AA441" s="140" t="s">
        <v>207</v>
      </c>
      <c r="AB441" s="90"/>
      <c r="AC441" s="140" t="s">
        <v>207</v>
      </c>
      <c r="AD441" s="90"/>
      <c r="AE441" s="140" t="s">
        <v>207</v>
      </c>
      <c r="AF441" s="178" t="str">
        <f t="shared" si="18"/>
        <v>C</v>
      </c>
      <c r="AG441" s="52" t="str">
        <f t="shared" si="19"/>
        <v>UTILIZOU O PDA CORRETAMENTE</v>
      </c>
      <c r="AH441" s="140" t="s">
        <v>207</v>
      </c>
      <c r="AI441" s="182" t="s">
        <v>36</v>
      </c>
      <c r="AJ441" s="93" t="str">
        <f t="shared" si="20"/>
        <v>SÃO PAULO</v>
      </c>
      <c r="AK441" s="183" t="s">
        <v>54</v>
      </c>
    </row>
    <row r="442" spans="1:37" ht="30" customHeight="1">
      <c r="A442" s="161" t="s">
        <v>198</v>
      </c>
      <c r="B442" s="155">
        <v>2693265527</v>
      </c>
      <c r="C442" s="155" t="s">
        <v>117</v>
      </c>
      <c r="D442" s="155" t="s">
        <v>96</v>
      </c>
      <c r="E442" s="155" t="s">
        <v>35</v>
      </c>
      <c r="F442" s="155" t="s">
        <v>889</v>
      </c>
      <c r="G442" s="155">
        <v>111</v>
      </c>
      <c r="H442" s="155" t="s">
        <v>205</v>
      </c>
      <c r="I442" s="155" t="s">
        <v>515</v>
      </c>
      <c r="J442" s="155" t="s">
        <v>267</v>
      </c>
      <c r="K442" s="155" t="s">
        <v>890</v>
      </c>
      <c r="L442" s="155" t="s">
        <v>891</v>
      </c>
      <c r="M442" s="155" t="s">
        <v>892</v>
      </c>
      <c r="N442" s="155" t="s">
        <v>323</v>
      </c>
      <c r="O442" s="256" t="s">
        <v>207</v>
      </c>
      <c r="P442" s="90"/>
      <c r="Q442" s="140" t="s">
        <v>207</v>
      </c>
      <c r="R442" s="90"/>
      <c r="S442" s="140" t="s">
        <v>207</v>
      </c>
      <c r="T442" s="90"/>
      <c r="U442" s="140" t="s">
        <v>207</v>
      </c>
      <c r="V442" s="90"/>
      <c r="W442" s="140" t="s">
        <v>207</v>
      </c>
      <c r="X442" s="90"/>
      <c r="Y442" s="140" t="s">
        <v>77</v>
      </c>
      <c r="Z442" s="90"/>
      <c r="AA442" s="140" t="s">
        <v>207</v>
      </c>
      <c r="AB442" s="90"/>
      <c r="AC442" s="140" t="s">
        <v>207</v>
      </c>
      <c r="AD442" s="90"/>
      <c r="AE442" s="140" t="s">
        <v>207</v>
      </c>
      <c r="AF442" s="178" t="str">
        <f t="shared" si="18"/>
        <v>C</v>
      </c>
      <c r="AG442" s="52" t="str">
        <f t="shared" si="19"/>
        <v>UTILIZOU O PDA CORRETAMENTE</v>
      </c>
      <c r="AH442" s="140" t="s">
        <v>207</v>
      </c>
      <c r="AI442" s="182" t="s">
        <v>36</v>
      </c>
      <c r="AJ442" s="93" t="str">
        <f t="shared" si="20"/>
        <v>SÃO PAULO</v>
      </c>
      <c r="AK442" s="183" t="s">
        <v>54</v>
      </c>
    </row>
    <row r="443" spans="1:37" ht="30" customHeight="1">
      <c r="A443" s="161" t="s">
        <v>198</v>
      </c>
      <c r="B443" s="155">
        <v>2693258143</v>
      </c>
      <c r="C443" s="155" t="s">
        <v>122</v>
      </c>
      <c r="D443" s="155" t="s">
        <v>96</v>
      </c>
      <c r="E443" s="155" t="s">
        <v>35</v>
      </c>
      <c r="F443" s="155" t="s">
        <v>530</v>
      </c>
      <c r="G443" s="155">
        <v>218</v>
      </c>
      <c r="H443" s="155" t="s">
        <v>200</v>
      </c>
      <c r="I443" s="155" t="s">
        <v>241</v>
      </c>
      <c r="J443" s="155" t="s">
        <v>893</v>
      </c>
      <c r="K443" s="155" t="s">
        <v>200</v>
      </c>
      <c r="L443" s="155" t="s">
        <v>894</v>
      </c>
      <c r="M443" s="155" t="s">
        <v>895</v>
      </c>
      <c r="N443" s="155" t="s">
        <v>517</v>
      </c>
      <c r="O443" s="256" t="s">
        <v>207</v>
      </c>
      <c r="P443" s="90"/>
      <c r="Q443" s="140" t="s">
        <v>207</v>
      </c>
      <c r="R443" s="90"/>
      <c r="S443" s="140" t="s">
        <v>207</v>
      </c>
      <c r="T443" s="90"/>
      <c r="U443" s="140" t="s">
        <v>207</v>
      </c>
      <c r="V443" s="90"/>
      <c r="W443" s="140" t="s">
        <v>207</v>
      </c>
      <c r="X443" s="90"/>
      <c r="Y443" s="140" t="s">
        <v>77</v>
      </c>
      <c r="Z443" s="90"/>
      <c r="AA443" s="140" t="s">
        <v>207</v>
      </c>
      <c r="AB443" s="90"/>
      <c r="AC443" s="140" t="s">
        <v>207</v>
      </c>
      <c r="AD443" s="90"/>
      <c r="AE443" s="140" t="s">
        <v>207</v>
      </c>
      <c r="AF443" s="178" t="str">
        <f t="shared" si="18"/>
        <v>C</v>
      </c>
      <c r="AG443" s="52" t="str">
        <f t="shared" si="19"/>
        <v>UTILIZOU O PDA CORRETAMENTE</v>
      </c>
      <c r="AH443" s="140" t="s">
        <v>207</v>
      </c>
      <c r="AI443" s="182" t="s">
        <v>36</v>
      </c>
      <c r="AJ443" s="93" t="str">
        <f t="shared" si="20"/>
        <v>SÃO PAULO</v>
      </c>
      <c r="AK443" s="183" t="s">
        <v>54</v>
      </c>
    </row>
    <row r="444" spans="1:37" ht="30" customHeight="1">
      <c r="A444" s="161" t="s">
        <v>198</v>
      </c>
      <c r="B444" s="155">
        <v>2620117983</v>
      </c>
      <c r="C444" s="155" t="s">
        <v>120</v>
      </c>
      <c r="D444" s="155" t="s">
        <v>96</v>
      </c>
      <c r="E444" s="155" t="s">
        <v>35</v>
      </c>
      <c r="F444" s="155" t="s">
        <v>662</v>
      </c>
      <c r="G444" s="155">
        <v>7</v>
      </c>
      <c r="H444" s="155" t="s">
        <v>205</v>
      </c>
      <c r="I444" s="155" t="s">
        <v>355</v>
      </c>
      <c r="J444" s="155" t="s">
        <v>202</v>
      </c>
      <c r="K444" s="155" t="s">
        <v>200</v>
      </c>
      <c r="L444" s="155" t="s">
        <v>896</v>
      </c>
      <c r="M444" s="155" t="s">
        <v>897</v>
      </c>
      <c r="N444" s="155" t="s">
        <v>274</v>
      </c>
      <c r="O444" s="256" t="s">
        <v>207</v>
      </c>
      <c r="P444" s="90"/>
      <c r="Q444" s="140" t="s">
        <v>207</v>
      </c>
      <c r="R444" s="90"/>
      <c r="S444" s="140" t="s">
        <v>207</v>
      </c>
      <c r="T444" s="90"/>
      <c r="U444" s="140" t="s">
        <v>207</v>
      </c>
      <c r="V444" s="90"/>
      <c r="W444" s="140" t="s">
        <v>207</v>
      </c>
      <c r="X444" s="90"/>
      <c r="Y444" s="140" t="s">
        <v>77</v>
      </c>
      <c r="Z444" s="90"/>
      <c r="AA444" s="140" t="s">
        <v>207</v>
      </c>
      <c r="AB444" s="90"/>
      <c r="AC444" s="140" t="s">
        <v>207</v>
      </c>
      <c r="AD444" s="90"/>
      <c r="AE444" s="140" t="s">
        <v>207</v>
      </c>
      <c r="AF444" s="178" t="str">
        <f t="shared" si="18"/>
        <v>C</v>
      </c>
      <c r="AG444" s="52" t="str">
        <f t="shared" si="19"/>
        <v>UTILIZOU O PDA CORRETAMENTE</v>
      </c>
      <c r="AH444" s="140" t="s">
        <v>207</v>
      </c>
      <c r="AI444" s="182" t="s">
        <v>36</v>
      </c>
      <c r="AJ444" s="93" t="str">
        <f t="shared" si="20"/>
        <v>SÃO PAULO</v>
      </c>
      <c r="AK444" s="183" t="s">
        <v>54</v>
      </c>
    </row>
    <row r="445" spans="1:37" ht="30" customHeight="1">
      <c r="A445" s="161" t="s">
        <v>198</v>
      </c>
      <c r="B445" s="155">
        <v>2693273258</v>
      </c>
      <c r="C445" s="155" t="s">
        <v>117</v>
      </c>
      <c r="D445" s="155" t="s">
        <v>96</v>
      </c>
      <c r="E445" s="155" t="s">
        <v>35</v>
      </c>
      <c r="F445" s="155" t="s">
        <v>286</v>
      </c>
      <c r="G445" s="155">
        <v>4040</v>
      </c>
      <c r="H445" s="155" t="s">
        <v>200</v>
      </c>
      <c r="I445" s="155" t="s">
        <v>402</v>
      </c>
      <c r="J445" s="155" t="s">
        <v>301</v>
      </c>
      <c r="K445" s="155" t="s">
        <v>200</v>
      </c>
      <c r="L445" s="155" t="s">
        <v>898</v>
      </c>
      <c r="M445" s="155" t="s">
        <v>899</v>
      </c>
      <c r="N445" s="155" t="s">
        <v>262</v>
      </c>
      <c r="O445" s="256" t="s">
        <v>207</v>
      </c>
      <c r="P445" s="90"/>
      <c r="Q445" s="140" t="s">
        <v>207</v>
      </c>
      <c r="R445" s="90"/>
      <c r="S445" s="140" t="s">
        <v>207</v>
      </c>
      <c r="T445" s="90"/>
      <c r="U445" s="140" t="s">
        <v>207</v>
      </c>
      <c r="V445" s="90"/>
      <c r="W445" s="140" t="s">
        <v>207</v>
      </c>
      <c r="X445" s="90"/>
      <c r="Y445" s="140" t="s">
        <v>77</v>
      </c>
      <c r="Z445" s="90"/>
      <c r="AA445" s="140" t="s">
        <v>207</v>
      </c>
      <c r="AB445" s="90"/>
      <c r="AC445" s="140" t="s">
        <v>207</v>
      </c>
      <c r="AD445" s="90"/>
      <c r="AE445" s="140" t="s">
        <v>207</v>
      </c>
      <c r="AF445" s="178" t="str">
        <f t="shared" si="18"/>
        <v>C</v>
      </c>
      <c r="AG445" s="52" t="str">
        <f t="shared" si="19"/>
        <v>UTILIZOU O PDA CORRETAMENTE</v>
      </c>
      <c r="AH445" s="140" t="s">
        <v>207</v>
      </c>
      <c r="AI445" s="182" t="s">
        <v>36</v>
      </c>
      <c r="AJ445" s="93" t="str">
        <f t="shared" si="20"/>
        <v>SÃO PAULO</v>
      </c>
      <c r="AK445" s="183" t="s">
        <v>54</v>
      </c>
    </row>
    <row r="446" spans="1:37" ht="30" customHeight="1">
      <c r="A446" s="161" t="s">
        <v>198</v>
      </c>
      <c r="B446" s="155">
        <v>2620221703</v>
      </c>
      <c r="C446" s="155" t="s">
        <v>121</v>
      </c>
      <c r="D446" s="155" t="s">
        <v>96</v>
      </c>
      <c r="E446" s="155" t="s">
        <v>35</v>
      </c>
      <c r="F446" s="155" t="s">
        <v>900</v>
      </c>
      <c r="G446" s="155">
        <v>1031</v>
      </c>
      <c r="H446" s="155" t="s">
        <v>200</v>
      </c>
      <c r="I446" s="155" t="s">
        <v>675</v>
      </c>
      <c r="J446" s="155" t="s">
        <v>202</v>
      </c>
      <c r="K446" s="155" t="s">
        <v>200</v>
      </c>
      <c r="L446" s="155" t="s">
        <v>901</v>
      </c>
      <c r="M446" s="155" t="s">
        <v>902</v>
      </c>
      <c r="N446" s="155" t="s">
        <v>222</v>
      </c>
      <c r="O446" s="256" t="s">
        <v>207</v>
      </c>
      <c r="P446" s="90"/>
      <c r="Q446" s="140" t="s">
        <v>207</v>
      </c>
      <c r="R446" s="90"/>
      <c r="S446" s="140" t="s">
        <v>207</v>
      </c>
      <c r="T446" s="90"/>
      <c r="U446" s="140" t="s">
        <v>207</v>
      </c>
      <c r="V446" s="90"/>
      <c r="W446" s="140" t="s">
        <v>207</v>
      </c>
      <c r="X446" s="90"/>
      <c r="Y446" s="140" t="s">
        <v>77</v>
      </c>
      <c r="Z446" s="90"/>
      <c r="AA446" s="140" t="s">
        <v>207</v>
      </c>
      <c r="AB446" s="90"/>
      <c r="AC446" s="140" t="s">
        <v>207</v>
      </c>
      <c r="AD446" s="90"/>
      <c r="AE446" s="140" t="s">
        <v>207</v>
      </c>
      <c r="AF446" s="178" t="str">
        <f t="shared" si="18"/>
        <v>C</v>
      </c>
      <c r="AG446" s="52" t="str">
        <f t="shared" si="19"/>
        <v>UTILIZOU O PDA CORRETAMENTE</v>
      </c>
      <c r="AH446" s="140" t="s">
        <v>207</v>
      </c>
      <c r="AI446" s="182" t="s">
        <v>36</v>
      </c>
      <c r="AJ446" s="93" t="str">
        <f t="shared" si="20"/>
        <v>SÃO PAULO</v>
      </c>
      <c r="AK446" s="183" t="s">
        <v>54</v>
      </c>
    </row>
    <row r="447" spans="1:37" ht="30" customHeight="1">
      <c r="A447" s="161" t="s">
        <v>198</v>
      </c>
      <c r="B447" s="155">
        <v>2620322846</v>
      </c>
      <c r="C447" s="155" t="s">
        <v>116</v>
      </c>
      <c r="D447" s="155" t="s">
        <v>94</v>
      </c>
      <c r="E447" s="155" t="s">
        <v>35</v>
      </c>
      <c r="F447" s="155" t="s">
        <v>903</v>
      </c>
      <c r="G447" s="155">
        <v>38</v>
      </c>
      <c r="H447" s="155" t="s">
        <v>208</v>
      </c>
      <c r="I447" s="155" t="s">
        <v>371</v>
      </c>
      <c r="J447" s="155" t="s">
        <v>221</v>
      </c>
      <c r="K447" s="155" t="s">
        <v>200</v>
      </c>
      <c r="L447" s="155" t="s">
        <v>904</v>
      </c>
      <c r="M447" s="155" t="s">
        <v>905</v>
      </c>
      <c r="N447" s="155" t="s">
        <v>345</v>
      </c>
      <c r="O447" s="256" t="s">
        <v>207</v>
      </c>
      <c r="P447" s="90"/>
      <c r="Q447" s="140" t="s">
        <v>207</v>
      </c>
      <c r="R447" s="90"/>
      <c r="S447" s="140" t="s">
        <v>207</v>
      </c>
      <c r="T447" s="90"/>
      <c r="U447" s="140" t="s">
        <v>207</v>
      </c>
      <c r="V447" s="90"/>
      <c r="W447" s="140" t="s">
        <v>207</v>
      </c>
      <c r="X447" s="90"/>
      <c r="Y447" s="140" t="s">
        <v>207</v>
      </c>
      <c r="Z447" s="90"/>
      <c r="AA447" s="140" t="s">
        <v>207</v>
      </c>
      <c r="AB447" s="90"/>
      <c r="AC447" s="140" t="s">
        <v>207</v>
      </c>
      <c r="AD447" s="90"/>
      <c r="AE447" s="140" t="s">
        <v>207</v>
      </c>
      <c r="AF447" s="178" t="str">
        <f t="shared" si="18"/>
        <v>C</v>
      </c>
      <c r="AG447" s="52" t="str">
        <f t="shared" si="19"/>
        <v>UTILIZOU O PDA CORRETAMENTE</v>
      </c>
      <c r="AH447" s="140" t="s">
        <v>207</v>
      </c>
      <c r="AI447" s="182" t="s">
        <v>36</v>
      </c>
      <c r="AJ447" s="93" t="str">
        <f t="shared" si="20"/>
        <v>SÃO PAULO</v>
      </c>
      <c r="AK447" s="183" t="s">
        <v>54</v>
      </c>
    </row>
    <row r="448" spans="1:37" ht="30" customHeight="1">
      <c r="A448" s="161" t="s">
        <v>198</v>
      </c>
      <c r="B448" s="155">
        <v>2619969571</v>
      </c>
      <c r="C448" s="155" t="s">
        <v>120</v>
      </c>
      <c r="D448" s="155" t="s">
        <v>96</v>
      </c>
      <c r="E448" s="155" t="s">
        <v>35</v>
      </c>
      <c r="F448" s="155" t="s">
        <v>906</v>
      </c>
      <c r="G448" s="155">
        <v>335</v>
      </c>
      <c r="H448" s="155" t="s">
        <v>200</v>
      </c>
      <c r="I448" s="155" t="s">
        <v>338</v>
      </c>
      <c r="J448" s="155" t="s">
        <v>202</v>
      </c>
      <c r="K448" s="155" t="s">
        <v>200</v>
      </c>
      <c r="L448" s="155" t="s">
        <v>907</v>
      </c>
      <c r="M448" s="155" t="s">
        <v>908</v>
      </c>
      <c r="N448" s="155" t="s">
        <v>203</v>
      </c>
      <c r="O448" s="256" t="s">
        <v>207</v>
      </c>
      <c r="P448" s="90"/>
      <c r="Q448" s="140" t="s">
        <v>207</v>
      </c>
      <c r="R448" s="90"/>
      <c r="S448" s="140" t="s">
        <v>207</v>
      </c>
      <c r="T448" s="90"/>
      <c r="U448" s="140" t="s">
        <v>207</v>
      </c>
      <c r="V448" s="90"/>
      <c r="W448" s="140" t="s">
        <v>207</v>
      </c>
      <c r="X448" s="90"/>
      <c r="Y448" s="140" t="s">
        <v>77</v>
      </c>
      <c r="Z448" s="90"/>
      <c r="AA448" s="140" t="s">
        <v>207</v>
      </c>
      <c r="AB448" s="90"/>
      <c r="AC448" s="140" t="s">
        <v>207</v>
      </c>
      <c r="AD448" s="90"/>
      <c r="AE448" s="140" t="s">
        <v>207</v>
      </c>
      <c r="AF448" s="178" t="str">
        <f t="shared" si="18"/>
        <v>C</v>
      </c>
      <c r="AG448" s="52" t="str">
        <f t="shared" si="19"/>
        <v>UTILIZOU O PDA CORRETAMENTE</v>
      </c>
      <c r="AH448" s="140" t="s">
        <v>207</v>
      </c>
      <c r="AI448" s="182" t="s">
        <v>36</v>
      </c>
      <c r="AJ448" s="93" t="str">
        <f t="shared" si="20"/>
        <v>SÃO PAULO</v>
      </c>
      <c r="AK448" s="183" t="s">
        <v>54</v>
      </c>
    </row>
    <row r="449" spans="1:37" ht="30" customHeight="1">
      <c r="A449" s="161" t="s">
        <v>198</v>
      </c>
      <c r="B449" s="155">
        <v>2620347950</v>
      </c>
      <c r="C449" s="155" t="s">
        <v>116</v>
      </c>
      <c r="D449" s="155" t="s">
        <v>94</v>
      </c>
      <c r="E449" s="155" t="s">
        <v>35</v>
      </c>
      <c r="F449" s="155" t="s">
        <v>909</v>
      </c>
      <c r="G449" s="155">
        <v>134</v>
      </c>
      <c r="H449" s="155" t="s">
        <v>208</v>
      </c>
      <c r="I449" s="155" t="s">
        <v>675</v>
      </c>
      <c r="J449" s="155" t="s">
        <v>221</v>
      </c>
      <c r="K449" s="155" t="s">
        <v>200</v>
      </c>
      <c r="L449" s="155" t="s">
        <v>910</v>
      </c>
      <c r="M449" s="155" t="s">
        <v>911</v>
      </c>
      <c r="N449" s="155" t="s">
        <v>364</v>
      </c>
      <c r="O449" s="256" t="s">
        <v>207</v>
      </c>
      <c r="P449" s="90"/>
      <c r="Q449" s="140" t="s">
        <v>207</v>
      </c>
      <c r="R449" s="90"/>
      <c r="S449" s="140" t="s">
        <v>207</v>
      </c>
      <c r="T449" s="90"/>
      <c r="U449" s="140" t="s">
        <v>207</v>
      </c>
      <c r="V449" s="90"/>
      <c r="W449" s="140" t="s">
        <v>207</v>
      </c>
      <c r="X449" s="90"/>
      <c r="Y449" s="140" t="s">
        <v>207</v>
      </c>
      <c r="Z449" s="90"/>
      <c r="AA449" s="140" t="s">
        <v>207</v>
      </c>
      <c r="AB449" s="90"/>
      <c r="AC449" s="140" t="s">
        <v>207</v>
      </c>
      <c r="AD449" s="90"/>
      <c r="AE449" s="140" t="s">
        <v>207</v>
      </c>
      <c r="AF449" s="178" t="str">
        <f t="shared" si="18"/>
        <v>C</v>
      </c>
      <c r="AG449" s="52" t="str">
        <f t="shared" si="19"/>
        <v>UTILIZOU O PDA CORRETAMENTE</v>
      </c>
      <c r="AH449" s="140" t="s">
        <v>207</v>
      </c>
      <c r="AI449" s="182" t="s">
        <v>36</v>
      </c>
      <c r="AJ449" s="93" t="str">
        <f t="shared" si="20"/>
        <v>SÃO PAULO</v>
      </c>
      <c r="AK449" s="183" t="s">
        <v>54</v>
      </c>
    </row>
    <row r="450" spans="1:37" ht="30" customHeight="1">
      <c r="A450" s="161" t="s">
        <v>198</v>
      </c>
      <c r="B450" s="155">
        <v>2620346898</v>
      </c>
      <c r="C450" s="155" t="s">
        <v>120</v>
      </c>
      <c r="D450" s="155" t="s">
        <v>96</v>
      </c>
      <c r="E450" s="155" t="s">
        <v>35</v>
      </c>
      <c r="F450" s="155" t="s">
        <v>909</v>
      </c>
      <c r="G450" s="155">
        <v>129</v>
      </c>
      <c r="H450" s="155" t="s">
        <v>205</v>
      </c>
      <c r="I450" s="155" t="s">
        <v>675</v>
      </c>
      <c r="J450" s="155" t="s">
        <v>336</v>
      </c>
      <c r="K450" s="155" t="s">
        <v>200</v>
      </c>
      <c r="L450" s="155" t="s">
        <v>912</v>
      </c>
      <c r="M450" s="155" t="s">
        <v>913</v>
      </c>
      <c r="N450" s="155" t="s">
        <v>364</v>
      </c>
      <c r="O450" s="256" t="s">
        <v>207</v>
      </c>
      <c r="P450" s="90"/>
      <c r="Q450" s="140" t="s">
        <v>207</v>
      </c>
      <c r="R450" s="90"/>
      <c r="S450" s="140" t="s">
        <v>207</v>
      </c>
      <c r="T450" s="90"/>
      <c r="U450" s="140" t="s">
        <v>207</v>
      </c>
      <c r="V450" s="90"/>
      <c r="W450" s="140" t="s">
        <v>207</v>
      </c>
      <c r="X450" s="90"/>
      <c r="Y450" s="140" t="s">
        <v>77</v>
      </c>
      <c r="Z450" s="90"/>
      <c r="AA450" s="140" t="s">
        <v>207</v>
      </c>
      <c r="AB450" s="90"/>
      <c r="AC450" s="140" t="s">
        <v>207</v>
      </c>
      <c r="AD450" s="90"/>
      <c r="AE450" s="140" t="s">
        <v>207</v>
      </c>
      <c r="AF450" s="178" t="str">
        <f t="shared" si="18"/>
        <v>C</v>
      </c>
      <c r="AG450" s="52" t="str">
        <f t="shared" si="19"/>
        <v>UTILIZOU O PDA CORRETAMENTE</v>
      </c>
      <c r="AH450" s="140" t="s">
        <v>207</v>
      </c>
      <c r="AI450" s="182" t="s">
        <v>36</v>
      </c>
      <c r="AJ450" s="93" t="str">
        <f t="shared" si="20"/>
        <v>SÃO PAULO</v>
      </c>
      <c r="AK450" s="183" t="s">
        <v>54</v>
      </c>
    </row>
    <row r="451" spans="1:37" ht="30" customHeight="1">
      <c r="A451" s="161" t="s">
        <v>198</v>
      </c>
      <c r="B451" s="155">
        <v>2620338097</v>
      </c>
      <c r="C451" s="155" t="s">
        <v>121</v>
      </c>
      <c r="D451" s="155" t="s">
        <v>96</v>
      </c>
      <c r="E451" s="155" t="s">
        <v>35</v>
      </c>
      <c r="F451" s="155" t="s">
        <v>683</v>
      </c>
      <c r="G451" s="155">
        <v>261</v>
      </c>
      <c r="H451" s="155" t="s">
        <v>200</v>
      </c>
      <c r="I451" s="155" t="s">
        <v>513</v>
      </c>
      <c r="J451" s="155" t="s">
        <v>336</v>
      </c>
      <c r="K451" s="155" t="s">
        <v>200</v>
      </c>
      <c r="L451" s="155" t="s">
        <v>914</v>
      </c>
      <c r="M451" s="155" t="s">
        <v>915</v>
      </c>
      <c r="N451" s="155" t="s">
        <v>262</v>
      </c>
      <c r="O451" s="256" t="s">
        <v>207</v>
      </c>
      <c r="P451" s="90"/>
      <c r="Q451" s="140" t="s">
        <v>207</v>
      </c>
      <c r="R451" s="90"/>
      <c r="S451" s="140" t="s">
        <v>207</v>
      </c>
      <c r="T451" s="90"/>
      <c r="U451" s="140" t="s">
        <v>207</v>
      </c>
      <c r="V451" s="90"/>
      <c r="W451" s="140" t="s">
        <v>207</v>
      </c>
      <c r="X451" s="90"/>
      <c r="Y451" s="140" t="s">
        <v>77</v>
      </c>
      <c r="Z451" s="90"/>
      <c r="AA451" s="140" t="s">
        <v>207</v>
      </c>
      <c r="AB451" s="90"/>
      <c r="AC451" s="140" t="s">
        <v>207</v>
      </c>
      <c r="AD451" s="90"/>
      <c r="AE451" s="140" t="s">
        <v>207</v>
      </c>
      <c r="AF451" s="178" t="str">
        <f t="shared" ref="AF451:AF514" si="21">IF(AND(O451="",Q451="",S451="",U451="",W451="",Y451="",AA451="",AC451=""),"",IF(OR(AND(O451&lt;&gt;"NA",O451&lt;&gt;"C",O451&lt;&gt;"NC",O451&lt;&gt;"SF",O451&lt;&gt;""),AND(Q451&lt;&gt;"NA",Q451&lt;&gt;"C",Q451&lt;&gt;"NC",Q451&lt;&gt;"SF",Q451&lt;&gt;""),AND(S451&lt;&gt;"NA",S451&lt;&gt;"C",S451&lt;&gt;"NC",S451&lt;&gt;"SF",S451&lt;&gt;""),AND(U451&lt;&gt;"NA",U451&lt;&gt;"C",U451&lt;&gt;"NC",U451&lt;&gt;"SF",U451&lt;&gt;""),AND(W451&lt;&gt;"NA",W451&lt;&gt;"C",W451&lt;&gt;"NC",W451&lt;&gt;"SF",W451&lt;&gt;""),AND(Y451&lt;&gt;"NA",Y451&lt;&gt;"C",Y451&lt;&gt;"NC",Y451&lt;&gt;"SF",Y451&lt;&gt;""),AND(AA451&lt;&gt;"NA",AA451&lt;&gt;"C",AA451&lt;&gt;"NC",AA451&lt;&gt;"SF",AA451&lt;&gt;""),AND(AC451&lt;&gt;"NA",AC451&lt;&gt;"C",AC451&lt;&gt;"NC",AC451&lt;&gt;"SF",AC451&lt;&gt;"")),"FALSO",IF(AND(O451="NA",Q451="NA",S451="NA",U451="NA",W451="NA",Y451="NA",AA451="NA",AC451="NA"),"NA",IF(OR(O451="NC",Q451="NC",S451="NC",U451="NC",W451="NC",Y451="NC",AA451="NC",AC451="NC",O451="SF",Q451="SF",S451="SF",U451="SF",W451="SF",Y451="SF",AA451="SF",AC451="SF"),"NC",IF(OR(O451="C",Q451="C",S451="C",U451="C",W451="C",Y451="C",AA451="C",AC451="C"),"C","")))))</f>
        <v>C</v>
      </c>
      <c r="AG451" s="52" t="str">
        <f t="shared" ref="AG451:AG514" si="22">IF(AND(AE451="C",AF451="C"),"UTILIZOU O PDA CORRETAMENTE",IF(AND(AE451="C",AF451="NC"),"UTILIZOU O PDA CORRETAMENTE. NÃO HÁ FOTOS DE TODAS AS ETAPAS",IF(AND(AE451="NC",AF451="NC"),"NÃO UTILIZOU O PDA",IF(AND(AE451="NA",AF451="NA"),"NÃO AVALIADO POR FALHA DE SINCRONISMO"))))</f>
        <v>UTILIZOU O PDA CORRETAMENTE</v>
      </c>
      <c r="AH451" s="140" t="s">
        <v>207</v>
      </c>
      <c r="AI451" s="182" t="s">
        <v>36</v>
      </c>
      <c r="AJ451" s="93" t="str">
        <f t="shared" ref="AJ451:AJ514" si="23">E451</f>
        <v>SÃO PAULO</v>
      </c>
      <c r="AK451" s="183" t="s">
        <v>54</v>
      </c>
    </row>
    <row r="452" spans="1:37" ht="30" customHeight="1">
      <c r="A452" s="161" t="s">
        <v>198</v>
      </c>
      <c r="B452" s="155">
        <v>2620351463</v>
      </c>
      <c r="C452" s="155" t="s">
        <v>120</v>
      </c>
      <c r="D452" s="155" t="s">
        <v>96</v>
      </c>
      <c r="E452" s="155" t="s">
        <v>35</v>
      </c>
      <c r="F452" s="155" t="s">
        <v>916</v>
      </c>
      <c r="G452" s="155">
        <v>84</v>
      </c>
      <c r="H452" s="155" t="s">
        <v>200</v>
      </c>
      <c r="I452" s="155" t="s">
        <v>917</v>
      </c>
      <c r="J452" s="155" t="s">
        <v>202</v>
      </c>
      <c r="K452" s="155" t="s">
        <v>200</v>
      </c>
      <c r="L452" s="155" t="s">
        <v>918</v>
      </c>
      <c r="M452" s="155" t="s">
        <v>919</v>
      </c>
      <c r="N452" s="155" t="s">
        <v>403</v>
      </c>
      <c r="O452" s="256" t="s">
        <v>207</v>
      </c>
      <c r="P452" s="90"/>
      <c r="Q452" s="140" t="s">
        <v>207</v>
      </c>
      <c r="R452" s="90"/>
      <c r="S452" s="140" t="s">
        <v>207</v>
      </c>
      <c r="T452" s="90"/>
      <c r="U452" s="140" t="s">
        <v>207</v>
      </c>
      <c r="V452" s="90"/>
      <c r="W452" s="140" t="s">
        <v>207</v>
      </c>
      <c r="X452" s="90"/>
      <c r="Y452" s="140" t="s">
        <v>77</v>
      </c>
      <c r="Z452" s="90"/>
      <c r="AA452" s="140" t="s">
        <v>207</v>
      </c>
      <c r="AB452" s="90"/>
      <c r="AC452" s="140" t="s">
        <v>207</v>
      </c>
      <c r="AD452" s="90"/>
      <c r="AE452" s="140" t="s">
        <v>207</v>
      </c>
      <c r="AF452" s="178" t="str">
        <f t="shared" si="21"/>
        <v>C</v>
      </c>
      <c r="AG452" s="52" t="str">
        <f t="shared" si="22"/>
        <v>UTILIZOU O PDA CORRETAMENTE</v>
      </c>
      <c r="AH452" s="140" t="s">
        <v>207</v>
      </c>
      <c r="AI452" s="182" t="s">
        <v>36</v>
      </c>
      <c r="AJ452" s="93" t="str">
        <f t="shared" si="23"/>
        <v>SÃO PAULO</v>
      </c>
      <c r="AK452" s="183" t="s">
        <v>54</v>
      </c>
    </row>
    <row r="453" spans="1:37" ht="30" customHeight="1">
      <c r="A453" s="161" t="s">
        <v>198</v>
      </c>
      <c r="B453" s="155">
        <v>2620264002</v>
      </c>
      <c r="C453" s="155" t="s">
        <v>105</v>
      </c>
      <c r="D453" s="155" t="s">
        <v>93</v>
      </c>
      <c r="E453" s="155" t="s">
        <v>35</v>
      </c>
      <c r="F453" s="155" t="s">
        <v>916</v>
      </c>
      <c r="G453" s="155">
        <v>111</v>
      </c>
      <c r="H453" s="155" t="s">
        <v>205</v>
      </c>
      <c r="I453" s="155" t="s">
        <v>917</v>
      </c>
      <c r="J453" s="155" t="s">
        <v>272</v>
      </c>
      <c r="K453" s="155" t="s">
        <v>920</v>
      </c>
      <c r="L453" s="155" t="s">
        <v>921</v>
      </c>
      <c r="M453" s="155" t="s">
        <v>922</v>
      </c>
      <c r="N453" s="155" t="s">
        <v>403</v>
      </c>
      <c r="O453" s="256" t="s">
        <v>207</v>
      </c>
      <c r="P453" s="90"/>
      <c r="Q453" s="140" t="s">
        <v>207</v>
      </c>
      <c r="R453" s="90"/>
      <c r="S453" s="140" t="s">
        <v>207</v>
      </c>
      <c r="T453" s="90"/>
      <c r="U453" s="140" t="s">
        <v>207</v>
      </c>
      <c r="V453" s="90"/>
      <c r="W453" s="140" t="s">
        <v>207</v>
      </c>
      <c r="X453" s="90"/>
      <c r="Y453" s="140" t="s">
        <v>77</v>
      </c>
      <c r="Z453" s="90"/>
      <c r="AA453" s="140" t="s">
        <v>207</v>
      </c>
      <c r="AB453" s="90"/>
      <c r="AC453" s="140" t="s">
        <v>207</v>
      </c>
      <c r="AD453" s="90"/>
      <c r="AE453" s="140" t="s">
        <v>207</v>
      </c>
      <c r="AF453" s="178" t="str">
        <f t="shared" si="21"/>
        <v>C</v>
      </c>
      <c r="AG453" s="52" t="str">
        <f t="shared" si="22"/>
        <v>UTILIZOU O PDA CORRETAMENTE</v>
      </c>
      <c r="AH453" s="140" t="s">
        <v>207</v>
      </c>
      <c r="AI453" s="182" t="s">
        <v>36</v>
      </c>
      <c r="AJ453" s="93" t="str">
        <f t="shared" si="23"/>
        <v>SÃO PAULO</v>
      </c>
      <c r="AK453" s="183" t="s">
        <v>54</v>
      </c>
    </row>
    <row r="454" spans="1:37" ht="30" customHeight="1">
      <c r="A454" s="161" t="s">
        <v>198</v>
      </c>
      <c r="B454" s="155">
        <v>2620246436</v>
      </c>
      <c r="C454" s="155" t="s">
        <v>122</v>
      </c>
      <c r="D454" s="155" t="s">
        <v>96</v>
      </c>
      <c r="E454" s="155" t="s">
        <v>35</v>
      </c>
      <c r="F454" s="155" t="s">
        <v>923</v>
      </c>
      <c r="G454" s="155">
        <v>37</v>
      </c>
      <c r="H454" s="155" t="s">
        <v>200</v>
      </c>
      <c r="I454" s="155" t="s">
        <v>319</v>
      </c>
      <c r="J454" s="155" t="s">
        <v>267</v>
      </c>
      <c r="K454" s="155" t="s">
        <v>200</v>
      </c>
      <c r="L454" s="155" t="s">
        <v>924</v>
      </c>
      <c r="M454" s="155" t="s">
        <v>925</v>
      </c>
      <c r="N454" s="155" t="s">
        <v>517</v>
      </c>
      <c r="O454" s="256" t="s">
        <v>207</v>
      </c>
      <c r="P454" s="90"/>
      <c r="Q454" s="140" t="s">
        <v>207</v>
      </c>
      <c r="R454" s="90"/>
      <c r="S454" s="140" t="s">
        <v>207</v>
      </c>
      <c r="T454" s="90"/>
      <c r="U454" s="140" t="s">
        <v>207</v>
      </c>
      <c r="V454" s="90"/>
      <c r="W454" s="140" t="s">
        <v>207</v>
      </c>
      <c r="X454" s="90"/>
      <c r="Y454" s="140" t="s">
        <v>77</v>
      </c>
      <c r="Z454" s="90"/>
      <c r="AA454" s="140" t="s">
        <v>207</v>
      </c>
      <c r="AB454" s="90"/>
      <c r="AC454" s="140" t="s">
        <v>207</v>
      </c>
      <c r="AD454" s="90"/>
      <c r="AE454" s="140" t="s">
        <v>207</v>
      </c>
      <c r="AF454" s="178" t="str">
        <f t="shared" si="21"/>
        <v>C</v>
      </c>
      <c r="AG454" s="52" t="str">
        <f t="shared" si="22"/>
        <v>UTILIZOU O PDA CORRETAMENTE</v>
      </c>
      <c r="AH454" s="140" t="s">
        <v>207</v>
      </c>
      <c r="AI454" s="182" t="s">
        <v>36</v>
      </c>
      <c r="AJ454" s="93" t="str">
        <f t="shared" si="23"/>
        <v>SÃO PAULO</v>
      </c>
      <c r="AK454" s="183" t="s">
        <v>54</v>
      </c>
    </row>
    <row r="455" spans="1:37" ht="30" customHeight="1">
      <c r="A455" s="161" t="s">
        <v>198</v>
      </c>
      <c r="B455" s="155">
        <v>2620361227</v>
      </c>
      <c r="C455" s="155" t="s">
        <v>118</v>
      </c>
      <c r="D455" s="155" t="s">
        <v>96</v>
      </c>
      <c r="E455" s="155" t="s">
        <v>35</v>
      </c>
      <c r="F455" s="155" t="s">
        <v>926</v>
      </c>
      <c r="G455" s="155">
        <v>42</v>
      </c>
      <c r="H455" s="155" t="s">
        <v>200</v>
      </c>
      <c r="I455" s="155" t="s">
        <v>675</v>
      </c>
      <c r="J455" s="155" t="s">
        <v>267</v>
      </c>
      <c r="K455" s="155" t="s">
        <v>200</v>
      </c>
      <c r="L455" s="155" t="s">
        <v>927</v>
      </c>
      <c r="M455" s="155" t="s">
        <v>928</v>
      </c>
      <c r="N455" s="155" t="s">
        <v>323</v>
      </c>
      <c r="O455" s="256" t="s">
        <v>207</v>
      </c>
      <c r="P455" s="90"/>
      <c r="Q455" s="140" t="s">
        <v>207</v>
      </c>
      <c r="R455" s="90"/>
      <c r="S455" s="140" t="s">
        <v>207</v>
      </c>
      <c r="T455" s="90"/>
      <c r="U455" s="140" t="s">
        <v>207</v>
      </c>
      <c r="V455" s="90"/>
      <c r="W455" s="140" t="s">
        <v>207</v>
      </c>
      <c r="X455" s="90"/>
      <c r="Y455" s="140" t="s">
        <v>77</v>
      </c>
      <c r="Z455" s="90"/>
      <c r="AA455" s="140" t="s">
        <v>207</v>
      </c>
      <c r="AB455" s="90"/>
      <c r="AC455" s="140" t="s">
        <v>207</v>
      </c>
      <c r="AD455" s="90"/>
      <c r="AE455" s="140" t="s">
        <v>207</v>
      </c>
      <c r="AF455" s="178" t="str">
        <f t="shared" si="21"/>
        <v>C</v>
      </c>
      <c r="AG455" s="52" t="str">
        <f t="shared" si="22"/>
        <v>UTILIZOU O PDA CORRETAMENTE</v>
      </c>
      <c r="AH455" s="140" t="s">
        <v>207</v>
      </c>
      <c r="AI455" s="182" t="s">
        <v>36</v>
      </c>
      <c r="AJ455" s="93" t="str">
        <f t="shared" si="23"/>
        <v>SÃO PAULO</v>
      </c>
      <c r="AK455" s="183" t="s">
        <v>54</v>
      </c>
    </row>
    <row r="456" spans="1:37" ht="30" customHeight="1">
      <c r="A456" s="161" t="s">
        <v>198</v>
      </c>
      <c r="B456" s="155">
        <v>2693320302</v>
      </c>
      <c r="C456" s="155" t="s">
        <v>122</v>
      </c>
      <c r="D456" s="155" t="s">
        <v>96</v>
      </c>
      <c r="E456" s="155" t="s">
        <v>35</v>
      </c>
      <c r="F456" s="155" t="s">
        <v>929</v>
      </c>
      <c r="G456" s="155">
        <v>71</v>
      </c>
      <c r="H456" s="155" t="s">
        <v>200</v>
      </c>
      <c r="I456" s="155" t="s">
        <v>675</v>
      </c>
      <c r="J456" s="155" t="s">
        <v>267</v>
      </c>
      <c r="K456" s="155" t="s">
        <v>200</v>
      </c>
      <c r="L456" s="155" t="s">
        <v>930</v>
      </c>
      <c r="M456" s="155" t="s">
        <v>931</v>
      </c>
      <c r="N456" s="155" t="s">
        <v>235</v>
      </c>
      <c r="O456" s="256" t="s">
        <v>207</v>
      </c>
      <c r="P456" s="90"/>
      <c r="Q456" s="140" t="s">
        <v>207</v>
      </c>
      <c r="R456" s="90"/>
      <c r="S456" s="140" t="s">
        <v>207</v>
      </c>
      <c r="T456" s="90"/>
      <c r="U456" s="140" t="s">
        <v>207</v>
      </c>
      <c r="V456" s="90"/>
      <c r="W456" s="140" t="s">
        <v>207</v>
      </c>
      <c r="X456" s="90"/>
      <c r="Y456" s="140" t="s">
        <v>77</v>
      </c>
      <c r="Z456" s="90"/>
      <c r="AA456" s="140" t="s">
        <v>207</v>
      </c>
      <c r="AB456" s="90"/>
      <c r="AC456" s="140" t="s">
        <v>207</v>
      </c>
      <c r="AD456" s="90"/>
      <c r="AE456" s="140" t="s">
        <v>207</v>
      </c>
      <c r="AF456" s="178" t="str">
        <f t="shared" si="21"/>
        <v>C</v>
      </c>
      <c r="AG456" s="52" t="str">
        <f t="shared" si="22"/>
        <v>UTILIZOU O PDA CORRETAMENTE</v>
      </c>
      <c r="AH456" s="140" t="s">
        <v>207</v>
      </c>
      <c r="AI456" s="182" t="s">
        <v>36</v>
      </c>
      <c r="AJ456" s="93" t="str">
        <f t="shared" si="23"/>
        <v>SÃO PAULO</v>
      </c>
      <c r="AK456" s="183" t="s">
        <v>54</v>
      </c>
    </row>
    <row r="457" spans="1:37" ht="30" customHeight="1">
      <c r="A457" s="161" t="s">
        <v>198</v>
      </c>
      <c r="B457" s="155">
        <v>2620374270</v>
      </c>
      <c r="C457" s="155" t="s">
        <v>120</v>
      </c>
      <c r="D457" s="155" t="s">
        <v>96</v>
      </c>
      <c r="E457" s="155" t="s">
        <v>35</v>
      </c>
      <c r="F457" s="155" t="s">
        <v>932</v>
      </c>
      <c r="G457" s="155">
        <v>100</v>
      </c>
      <c r="H457" s="155" t="s">
        <v>872</v>
      </c>
      <c r="I457" s="155" t="s">
        <v>501</v>
      </c>
      <c r="J457" s="155" t="s">
        <v>336</v>
      </c>
      <c r="K457" s="155" t="s">
        <v>200</v>
      </c>
      <c r="L457" s="155" t="s">
        <v>933</v>
      </c>
      <c r="M457" s="155" t="s">
        <v>934</v>
      </c>
      <c r="N457" s="155" t="s">
        <v>251</v>
      </c>
      <c r="O457" s="256" t="s">
        <v>207</v>
      </c>
      <c r="P457" s="90"/>
      <c r="Q457" s="140" t="s">
        <v>207</v>
      </c>
      <c r="R457" s="90"/>
      <c r="S457" s="140" t="s">
        <v>207</v>
      </c>
      <c r="T457" s="90"/>
      <c r="U457" s="140" t="s">
        <v>207</v>
      </c>
      <c r="V457" s="90"/>
      <c r="W457" s="140" t="s">
        <v>207</v>
      </c>
      <c r="X457" s="90"/>
      <c r="Y457" s="140" t="s">
        <v>77</v>
      </c>
      <c r="Z457" s="90"/>
      <c r="AA457" s="140" t="s">
        <v>207</v>
      </c>
      <c r="AB457" s="90"/>
      <c r="AC457" s="140" t="s">
        <v>207</v>
      </c>
      <c r="AD457" s="90"/>
      <c r="AE457" s="140" t="s">
        <v>207</v>
      </c>
      <c r="AF457" s="178" t="str">
        <f t="shared" si="21"/>
        <v>C</v>
      </c>
      <c r="AG457" s="52" t="str">
        <f t="shared" si="22"/>
        <v>UTILIZOU O PDA CORRETAMENTE</v>
      </c>
      <c r="AH457" s="140" t="s">
        <v>207</v>
      </c>
      <c r="AI457" s="182" t="s">
        <v>36</v>
      </c>
      <c r="AJ457" s="93" t="str">
        <f t="shared" si="23"/>
        <v>SÃO PAULO</v>
      </c>
      <c r="AK457" s="183" t="s">
        <v>54</v>
      </c>
    </row>
    <row r="458" spans="1:37" ht="30" customHeight="1">
      <c r="A458" s="161" t="s">
        <v>198</v>
      </c>
      <c r="B458" s="155">
        <v>2693277227</v>
      </c>
      <c r="C458" s="155" t="s">
        <v>114</v>
      </c>
      <c r="D458" s="155" t="s">
        <v>96</v>
      </c>
      <c r="E458" s="155" t="s">
        <v>35</v>
      </c>
      <c r="F458" s="155" t="s">
        <v>935</v>
      </c>
      <c r="G458" s="155">
        <v>55</v>
      </c>
      <c r="H458" s="155" t="s">
        <v>208</v>
      </c>
      <c r="I458" s="155" t="s">
        <v>482</v>
      </c>
      <c r="J458" s="155" t="s">
        <v>260</v>
      </c>
      <c r="K458" s="155" t="s">
        <v>936</v>
      </c>
      <c r="L458" s="155" t="s">
        <v>937</v>
      </c>
      <c r="M458" s="155" t="s">
        <v>938</v>
      </c>
      <c r="N458" s="155" t="s">
        <v>222</v>
      </c>
      <c r="O458" s="256" t="s">
        <v>207</v>
      </c>
      <c r="P458" s="90"/>
      <c r="Q458" s="140" t="s">
        <v>207</v>
      </c>
      <c r="R458" s="90"/>
      <c r="S458" s="140" t="s">
        <v>207</v>
      </c>
      <c r="T458" s="90"/>
      <c r="U458" s="140" t="s">
        <v>207</v>
      </c>
      <c r="V458" s="90"/>
      <c r="W458" s="140" t="s">
        <v>207</v>
      </c>
      <c r="X458" s="90"/>
      <c r="Y458" s="140" t="s">
        <v>207</v>
      </c>
      <c r="Z458" s="90"/>
      <c r="AA458" s="140" t="s">
        <v>207</v>
      </c>
      <c r="AB458" s="90"/>
      <c r="AC458" s="140" t="s">
        <v>207</v>
      </c>
      <c r="AD458" s="90"/>
      <c r="AE458" s="140" t="s">
        <v>207</v>
      </c>
      <c r="AF458" s="178" t="str">
        <f t="shared" si="21"/>
        <v>C</v>
      </c>
      <c r="AG458" s="52" t="str">
        <f t="shared" si="22"/>
        <v>UTILIZOU O PDA CORRETAMENTE</v>
      </c>
      <c r="AH458" s="140" t="s">
        <v>207</v>
      </c>
      <c r="AI458" s="182" t="s">
        <v>36</v>
      </c>
      <c r="AJ458" s="93" t="str">
        <f t="shared" si="23"/>
        <v>SÃO PAULO</v>
      </c>
      <c r="AK458" s="183" t="s">
        <v>54</v>
      </c>
    </row>
    <row r="459" spans="1:37" ht="30" customHeight="1">
      <c r="A459" s="161" t="s">
        <v>198</v>
      </c>
      <c r="B459" s="155">
        <v>2693306424</v>
      </c>
      <c r="C459" s="155" t="s">
        <v>114</v>
      </c>
      <c r="D459" s="155" t="s">
        <v>96</v>
      </c>
      <c r="E459" s="155" t="s">
        <v>35</v>
      </c>
      <c r="F459" s="155" t="s">
        <v>683</v>
      </c>
      <c r="G459" s="155">
        <v>76</v>
      </c>
      <c r="H459" s="155" t="s">
        <v>208</v>
      </c>
      <c r="I459" s="155" t="s">
        <v>293</v>
      </c>
      <c r="J459" s="155" t="s">
        <v>260</v>
      </c>
      <c r="K459" s="155" t="s">
        <v>200</v>
      </c>
      <c r="L459" s="155" t="s">
        <v>939</v>
      </c>
      <c r="M459" s="155" t="s">
        <v>940</v>
      </c>
      <c r="N459" s="155" t="s">
        <v>262</v>
      </c>
      <c r="O459" s="256" t="s">
        <v>207</v>
      </c>
      <c r="P459" s="90"/>
      <c r="Q459" s="140" t="s">
        <v>207</v>
      </c>
      <c r="R459" s="90"/>
      <c r="S459" s="140" t="s">
        <v>207</v>
      </c>
      <c r="T459" s="90"/>
      <c r="U459" s="140" t="s">
        <v>207</v>
      </c>
      <c r="V459" s="90"/>
      <c r="W459" s="140" t="s">
        <v>207</v>
      </c>
      <c r="X459" s="90"/>
      <c r="Y459" s="140" t="s">
        <v>207</v>
      </c>
      <c r="Z459" s="90"/>
      <c r="AA459" s="140" t="s">
        <v>207</v>
      </c>
      <c r="AB459" s="90"/>
      <c r="AC459" s="140" t="s">
        <v>207</v>
      </c>
      <c r="AD459" s="90"/>
      <c r="AE459" s="140" t="s">
        <v>207</v>
      </c>
      <c r="AF459" s="178" t="str">
        <f t="shared" si="21"/>
        <v>C</v>
      </c>
      <c r="AG459" s="52" t="str">
        <f t="shared" si="22"/>
        <v>UTILIZOU O PDA CORRETAMENTE</v>
      </c>
      <c r="AH459" s="140" t="s">
        <v>207</v>
      </c>
      <c r="AI459" s="182" t="s">
        <v>36</v>
      </c>
      <c r="AJ459" s="93" t="str">
        <f t="shared" si="23"/>
        <v>SÃO PAULO</v>
      </c>
      <c r="AK459" s="183" t="s">
        <v>54</v>
      </c>
    </row>
    <row r="460" spans="1:37" ht="30" customHeight="1">
      <c r="A460" s="161" t="s">
        <v>198</v>
      </c>
      <c r="B460" s="155">
        <v>2620206121</v>
      </c>
      <c r="C460" s="155" t="s">
        <v>115</v>
      </c>
      <c r="D460" s="155" t="s">
        <v>96</v>
      </c>
      <c r="E460" s="155" t="s">
        <v>35</v>
      </c>
      <c r="F460" s="155" t="s">
        <v>941</v>
      </c>
      <c r="G460" s="155">
        <v>237</v>
      </c>
      <c r="H460" s="155" t="s">
        <v>208</v>
      </c>
      <c r="I460" s="155" t="s">
        <v>256</v>
      </c>
      <c r="J460" s="155" t="s">
        <v>268</v>
      </c>
      <c r="K460" s="155" t="s">
        <v>890</v>
      </c>
      <c r="L460" s="155" t="s">
        <v>891</v>
      </c>
      <c r="M460" s="155" t="s">
        <v>892</v>
      </c>
      <c r="N460" s="155" t="s">
        <v>320</v>
      </c>
      <c r="O460" s="256" t="s">
        <v>207</v>
      </c>
      <c r="P460" s="90"/>
      <c r="Q460" s="140" t="s">
        <v>207</v>
      </c>
      <c r="R460" s="90"/>
      <c r="S460" s="140" t="s">
        <v>207</v>
      </c>
      <c r="T460" s="90"/>
      <c r="U460" s="140" t="s">
        <v>207</v>
      </c>
      <c r="V460" s="90"/>
      <c r="W460" s="140" t="s">
        <v>207</v>
      </c>
      <c r="X460" s="90"/>
      <c r="Y460" s="140" t="s">
        <v>207</v>
      </c>
      <c r="Z460" s="90"/>
      <c r="AA460" s="140" t="s">
        <v>207</v>
      </c>
      <c r="AB460" s="90"/>
      <c r="AC460" s="140" t="s">
        <v>207</v>
      </c>
      <c r="AD460" s="90"/>
      <c r="AE460" s="140" t="s">
        <v>207</v>
      </c>
      <c r="AF460" s="178" t="str">
        <f t="shared" si="21"/>
        <v>C</v>
      </c>
      <c r="AG460" s="52" t="str">
        <f t="shared" si="22"/>
        <v>UTILIZOU O PDA CORRETAMENTE</v>
      </c>
      <c r="AH460" s="140" t="s">
        <v>207</v>
      </c>
      <c r="AI460" s="182" t="s">
        <v>36</v>
      </c>
      <c r="AJ460" s="93" t="str">
        <f t="shared" si="23"/>
        <v>SÃO PAULO</v>
      </c>
      <c r="AK460" s="183" t="s">
        <v>54</v>
      </c>
    </row>
    <row r="461" spans="1:37" ht="30" customHeight="1">
      <c r="A461" s="161" t="s">
        <v>198</v>
      </c>
      <c r="B461" s="155">
        <v>2620350887</v>
      </c>
      <c r="C461" s="155" t="s">
        <v>114</v>
      </c>
      <c r="D461" s="155" t="s">
        <v>96</v>
      </c>
      <c r="E461" s="155" t="s">
        <v>35</v>
      </c>
      <c r="F461" s="155" t="s">
        <v>909</v>
      </c>
      <c r="G461" s="155">
        <v>128</v>
      </c>
      <c r="H461" s="155" t="s">
        <v>200</v>
      </c>
      <c r="I461" s="155" t="s">
        <v>675</v>
      </c>
      <c r="J461" s="155" t="s">
        <v>260</v>
      </c>
      <c r="K461" s="155" t="s">
        <v>200</v>
      </c>
      <c r="L461" s="155" t="s">
        <v>942</v>
      </c>
      <c r="M461" s="155" t="s">
        <v>943</v>
      </c>
      <c r="N461" s="155" t="s">
        <v>364</v>
      </c>
      <c r="O461" s="256" t="s">
        <v>207</v>
      </c>
      <c r="P461" s="90"/>
      <c r="Q461" s="140" t="s">
        <v>207</v>
      </c>
      <c r="R461" s="90"/>
      <c r="S461" s="140" t="s">
        <v>207</v>
      </c>
      <c r="T461" s="90"/>
      <c r="U461" s="140" t="s">
        <v>207</v>
      </c>
      <c r="V461" s="90"/>
      <c r="W461" s="140" t="s">
        <v>207</v>
      </c>
      <c r="X461" s="90"/>
      <c r="Y461" s="140" t="s">
        <v>207</v>
      </c>
      <c r="Z461" s="90"/>
      <c r="AA461" s="140" t="s">
        <v>207</v>
      </c>
      <c r="AB461" s="90"/>
      <c r="AC461" s="140" t="s">
        <v>207</v>
      </c>
      <c r="AD461" s="90"/>
      <c r="AE461" s="140" t="s">
        <v>207</v>
      </c>
      <c r="AF461" s="178" t="str">
        <f t="shared" si="21"/>
        <v>C</v>
      </c>
      <c r="AG461" s="52" t="str">
        <f t="shared" si="22"/>
        <v>UTILIZOU O PDA CORRETAMENTE</v>
      </c>
      <c r="AH461" s="140" t="s">
        <v>207</v>
      </c>
      <c r="AI461" s="182" t="s">
        <v>36</v>
      </c>
      <c r="AJ461" s="93" t="str">
        <f t="shared" si="23"/>
        <v>SÃO PAULO</v>
      </c>
      <c r="AK461" s="183" t="s">
        <v>54</v>
      </c>
    </row>
    <row r="462" spans="1:37" ht="30" customHeight="1">
      <c r="A462" s="161" t="s">
        <v>198</v>
      </c>
      <c r="B462" s="155">
        <v>2620361064</v>
      </c>
      <c r="C462" s="155" t="s">
        <v>223</v>
      </c>
      <c r="D462" s="155" t="s">
        <v>96</v>
      </c>
      <c r="E462" s="155" t="s">
        <v>35</v>
      </c>
      <c r="F462" s="155" t="s">
        <v>587</v>
      </c>
      <c r="G462" s="155">
        <v>622</v>
      </c>
      <c r="H462" s="155" t="s">
        <v>200</v>
      </c>
      <c r="I462" s="155" t="s">
        <v>479</v>
      </c>
      <c r="J462" s="155" t="s">
        <v>226</v>
      </c>
      <c r="K462" s="155" t="s">
        <v>200</v>
      </c>
      <c r="L462" s="155" t="s">
        <v>944</v>
      </c>
      <c r="M462" s="155" t="s">
        <v>945</v>
      </c>
      <c r="N462" s="155" t="s">
        <v>251</v>
      </c>
      <c r="O462" s="256" t="s">
        <v>207</v>
      </c>
      <c r="P462" s="90"/>
      <c r="Q462" s="140" t="s">
        <v>207</v>
      </c>
      <c r="R462" s="90"/>
      <c r="S462" s="140" t="s">
        <v>207</v>
      </c>
      <c r="T462" s="90"/>
      <c r="U462" s="140" t="s">
        <v>207</v>
      </c>
      <c r="V462" s="90"/>
      <c r="W462" s="140" t="s">
        <v>207</v>
      </c>
      <c r="X462" s="90"/>
      <c r="Y462" s="140" t="s">
        <v>77</v>
      </c>
      <c r="Z462" s="90"/>
      <c r="AA462" s="140" t="s">
        <v>207</v>
      </c>
      <c r="AB462" s="90"/>
      <c r="AC462" s="140" t="s">
        <v>207</v>
      </c>
      <c r="AD462" s="90"/>
      <c r="AE462" s="140" t="s">
        <v>207</v>
      </c>
      <c r="AF462" s="178" t="str">
        <f t="shared" si="21"/>
        <v>C</v>
      </c>
      <c r="AG462" s="52" t="str">
        <f t="shared" si="22"/>
        <v>UTILIZOU O PDA CORRETAMENTE</v>
      </c>
      <c r="AH462" s="140" t="s">
        <v>207</v>
      </c>
      <c r="AI462" s="182" t="s">
        <v>36</v>
      </c>
      <c r="AJ462" s="93" t="str">
        <f t="shared" si="23"/>
        <v>SÃO PAULO</v>
      </c>
      <c r="AK462" s="183" t="s">
        <v>54</v>
      </c>
    </row>
    <row r="463" spans="1:37" ht="30" customHeight="1">
      <c r="A463" s="161" t="s">
        <v>198</v>
      </c>
      <c r="B463" s="155">
        <v>2620337566</v>
      </c>
      <c r="C463" s="155" t="s">
        <v>115</v>
      </c>
      <c r="D463" s="155" t="s">
        <v>96</v>
      </c>
      <c r="E463" s="155" t="s">
        <v>35</v>
      </c>
      <c r="F463" s="155" t="s">
        <v>946</v>
      </c>
      <c r="G463" s="155">
        <v>142</v>
      </c>
      <c r="H463" s="155" t="s">
        <v>200</v>
      </c>
      <c r="I463" s="155" t="s">
        <v>917</v>
      </c>
      <c r="J463" s="155" t="s">
        <v>268</v>
      </c>
      <c r="K463" s="155" t="s">
        <v>200</v>
      </c>
      <c r="L463" s="155" t="s">
        <v>947</v>
      </c>
      <c r="M463" s="155" t="s">
        <v>948</v>
      </c>
      <c r="N463" s="155" t="s">
        <v>403</v>
      </c>
      <c r="O463" s="256" t="s">
        <v>207</v>
      </c>
      <c r="P463" s="90"/>
      <c r="Q463" s="140" t="s">
        <v>207</v>
      </c>
      <c r="R463" s="90"/>
      <c r="S463" s="140" t="s">
        <v>207</v>
      </c>
      <c r="T463" s="90"/>
      <c r="U463" s="140" t="s">
        <v>207</v>
      </c>
      <c r="V463" s="90"/>
      <c r="W463" s="140" t="s">
        <v>207</v>
      </c>
      <c r="X463" s="90"/>
      <c r="Y463" s="140" t="s">
        <v>207</v>
      </c>
      <c r="Z463" s="90"/>
      <c r="AA463" s="140" t="s">
        <v>207</v>
      </c>
      <c r="AB463" s="90"/>
      <c r="AC463" s="140" t="s">
        <v>207</v>
      </c>
      <c r="AD463" s="90"/>
      <c r="AE463" s="140" t="s">
        <v>207</v>
      </c>
      <c r="AF463" s="178" t="str">
        <f t="shared" si="21"/>
        <v>C</v>
      </c>
      <c r="AG463" s="52" t="str">
        <f t="shared" si="22"/>
        <v>UTILIZOU O PDA CORRETAMENTE</v>
      </c>
      <c r="AH463" s="140" t="s">
        <v>207</v>
      </c>
      <c r="AI463" s="182" t="s">
        <v>36</v>
      </c>
      <c r="AJ463" s="93" t="str">
        <f t="shared" si="23"/>
        <v>SÃO PAULO</v>
      </c>
      <c r="AK463" s="183" t="s">
        <v>54</v>
      </c>
    </row>
    <row r="464" spans="1:37" ht="30" customHeight="1">
      <c r="A464" s="161" t="s">
        <v>198</v>
      </c>
      <c r="B464" s="155">
        <v>2620235752</v>
      </c>
      <c r="C464" s="155" t="s">
        <v>114</v>
      </c>
      <c r="D464" s="155" t="s">
        <v>96</v>
      </c>
      <c r="E464" s="155" t="s">
        <v>35</v>
      </c>
      <c r="F464" s="155" t="s">
        <v>563</v>
      </c>
      <c r="G464" s="155">
        <v>2968</v>
      </c>
      <c r="H464" s="155" t="s">
        <v>208</v>
      </c>
      <c r="I464" s="155" t="s">
        <v>234</v>
      </c>
      <c r="J464" s="155" t="s">
        <v>315</v>
      </c>
      <c r="K464" s="155" t="s">
        <v>200</v>
      </c>
      <c r="L464" s="155" t="s">
        <v>949</v>
      </c>
      <c r="M464" s="155" t="s">
        <v>950</v>
      </c>
      <c r="N464" s="155" t="s">
        <v>232</v>
      </c>
      <c r="O464" s="256" t="s">
        <v>207</v>
      </c>
      <c r="P464" s="90"/>
      <c r="Q464" s="140" t="s">
        <v>207</v>
      </c>
      <c r="R464" s="90"/>
      <c r="S464" s="140" t="s">
        <v>207</v>
      </c>
      <c r="T464" s="90"/>
      <c r="U464" s="140" t="s">
        <v>207</v>
      </c>
      <c r="V464" s="90"/>
      <c r="W464" s="140" t="s">
        <v>207</v>
      </c>
      <c r="X464" s="90"/>
      <c r="Y464" s="140" t="s">
        <v>207</v>
      </c>
      <c r="Z464" s="90"/>
      <c r="AA464" s="140" t="s">
        <v>207</v>
      </c>
      <c r="AB464" s="90"/>
      <c r="AC464" s="140" t="s">
        <v>207</v>
      </c>
      <c r="AD464" s="90"/>
      <c r="AE464" s="140" t="s">
        <v>207</v>
      </c>
      <c r="AF464" s="178" t="str">
        <f t="shared" si="21"/>
        <v>C</v>
      </c>
      <c r="AG464" s="52" t="str">
        <f t="shared" si="22"/>
        <v>UTILIZOU O PDA CORRETAMENTE</v>
      </c>
      <c r="AH464" s="140" t="s">
        <v>207</v>
      </c>
      <c r="AI464" s="182" t="s">
        <v>36</v>
      </c>
      <c r="AJ464" s="93" t="str">
        <f t="shared" si="23"/>
        <v>SÃO PAULO</v>
      </c>
      <c r="AK464" s="183" t="s">
        <v>54</v>
      </c>
    </row>
    <row r="465" spans="1:37" ht="30" customHeight="1">
      <c r="A465" s="176" t="s">
        <v>198</v>
      </c>
      <c r="B465" s="154">
        <v>2619877523</v>
      </c>
      <c r="C465" s="154" t="s">
        <v>101</v>
      </c>
      <c r="D465" s="154" t="s">
        <v>92</v>
      </c>
      <c r="E465" s="154" t="s">
        <v>35</v>
      </c>
      <c r="F465" s="154" t="s">
        <v>951</v>
      </c>
      <c r="G465" s="154">
        <v>69</v>
      </c>
      <c r="H465" s="154" t="s">
        <v>200</v>
      </c>
      <c r="I465" s="154" t="s">
        <v>853</v>
      </c>
      <c r="J465" s="154" t="s">
        <v>101</v>
      </c>
      <c r="K465" s="154" t="s">
        <v>200</v>
      </c>
      <c r="L465" s="154" t="s">
        <v>952</v>
      </c>
      <c r="M465" s="154" t="s">
        <v>953</v>
      </c>
      <c r="N465" s="154" t="s">
        <v>206</v>
      </c>
      <c r="O465" s="140" t="s">
        <v>207</v>
      </c>
      <c r="P465" s="90"/>
      <c r="Q465" s="140" t="s">
        <v>77</v>
      </c>
      <c r="R465" s="90"/>
      <c r="S465" s="140" t="s">
        <v>77</v>
      </c>
      <c r="T465" s="90"/>
      <c r="U465" s="140" t="s">
        <v>77</v>
      </c>
      <c r="V465" s="90"/>
      <c r="W465" s="140" t="s">
        <v>77</v>
      </c>
      <c r="X465" s="90"/>
      <c r="Y465" s="140" t="s">
        <v>77</v>
      </c>
      <c r="Z465" s="90"/>
      <c r="AA465" s="140" t="s">
        <v>77</v>
      </c>
      <c r="AB465" s="90"/>
      <c r="AC465" s="140" t="s">
        <v>207</v>
      </c>
      <c r="AD465" s="90"/>
      <c r="AE465" s="140" t="s">
        <v>207</v>
      </c>
      <c r="AF465" s="178" t="str">
        <f t="shared" si="21"/>
        <v>C</v>
      </c>
      <c r="AG465" s="52" t="str">
        <f t="shared" si="22"/>
        <v>UTILIZOU O PDA CORRETAMENTE</v>
      </c>
      <c r="AH465" s="140" t="s">
        <v>207</v>
      </c>
      <c r="AI465" s="182" t="s">
        <v>36</v>
      </c>
      <c r="AJ465" s="93" t="str">
        <f t="shared" si="23"/>
        <v>SÃO PAULO</v>
      </c>
      <c r="AK465" s="183" t="s">
        <v>54</v>
      </c>
    </row>
    <row r="466" spans="1:37" ht="30" customHeight="1">
      <c r="A466" s="161" t="s">
        <v>198</v>
      </c>
      <c r="B466" s="155">
        <v>2619940101</v>
      </c>
      <c r="C466" s="155" t="s">
        <v>111</v>
      </c>
      <c r="D466" s="155" t="s">
        <v>92</v>
      </c>
      <c r="E466" s="155" t="s">
        <v>35</v>
      </c>
      <c r="F466" s="155" t="s">
        <v>954</v>
      </c>
      <c r="G466" s="155">
        <v>512</v>
      </c>
      <c r="H466" s="155" t="s">
        <v>487</v>
      </c>
      <c r="I466" s="155" t="s">
        <v>225</v>
      </c>
      <c r="J466" s="155" t="s">
        <v>111</v>
      </c>
      <c r="K466" s="155" t="s">
        <v>200</v>
      </c>
      <c r="L466" s="155" t="s">
        <v>955</v>
      </c>
      <c r="M466" s="155" t="s">
        <v>956</v>
      </c>
      <c r="N466" s="155" t="s">
        <v>206</v>
      </c>
      <c r="O466" s="152" t="s">
        <v>207</v>
      </c>
      <c r="P466" s="90"/>
      <c r="Q466" s="140" t="s">
        <v>77</v>
      </c>
      <c r="R466" s="90"/>
      <c r="S466" s="140" t="s">
        <v>77</v>
      </c>
      <c r="T466" s="90"/>
      <c r="U466" s="140" t="s">
        <v>77</v>
      </c>
      <c r="V466" s="90"/>
      <c r="W466" s="140" t="s">
        <v>77</v>
      </c>
      <c r="X466" s="90"/>
      <c r="Y466" s="140" t="s">
        <v>77</v>
      </c>
      <c r="Z466" s="90"/>
      <c r="AA466" s="140" t="s">
        <v>207</v>
      </c>
      <c r="AB466" s="90"/>
      <c r="AC466" s="140" t="s">
        <v>207</v>
      </c>
      <c r="AD466" s="90"/>
      <c r="AE466" s="140" t="s">
        <v>207</v>
      </c>
      <c r="AF466" s="178" t="str">
        <f t="shared" si="21"/>
        <v>C</v>
      </c>
      <c r="AG466" s="52" t="str">
        <f t="shared" si="22"/>
        <v>UTILIZOU O PDA CORRETAMENTE</v>
      </c>
      <c r="AH466" s="140"/>
      <c r="AI466" s="182" t="s">
        <v>36</v>
      </c>
      <c r="AJ466" s="93" t="str">
        <f t="shared" si="23"/>
        <v>SÃO PAULO</v>
      </c>
      <c r="AK466" s="183" t="s">
        <v>54</v>
      </c>
    </row>
    <row r="467" spans="1:37" ht="30" customHeight="1">
      <c r="A467" s="161" t="s">
        <v>198</v>
      </c>
      <c r="B467" s="155">
        <v>2619940100</v>
      </c>
      <c r="C467" s="155" t="s">
        <v>109</v>
      </c>
      <c r="D467" s="155" t="s">
        <v>92</v>
      </c>
      <c r="E467" s="155" t="s">
        <v>35</v>
      </c>
      <c r="F467" s="155" t="s">
        <v>954</v>
      </c>
      <c r="G467" s="155">
        <v>512</v>
      </c>
      <c r="H467" s="155" t="s">
        <v>491</v>
      </c>
      <c r="I467" s="155" t="s">
        <v>225</v>
      </c>
      <c r="J467" s="155" t="s">
        <v>109</v>
      </c>
      <c r="K467" s="155" t="s">
        <v>200</v>
      </c>
      <c r="L467" s="155" t="s">
        <v>957</v>
      </c>
      <c r="M467" s="155" t="s">
        <v>958</v>
      </c>
      <c r="N467" s="155" t="s">
        <v>206</v>
      </c>
      <c r="O467" s="152" t="s">
        <v>207</v>
      </c>
      <c r="P467" s="90"/>
      <c r="Q467" s="140" t="s">
        <v>77</v>
      </c>
      <c r="R467" s="90"/>
      <c r="S467" s="140" t="s">
        <v>77</v>
      </c>
      <c r="T467" s="90"/>
      <c r="U467" s="140" t="s">
        <v>77</v>
      </c>
      <c r="V467" s="90"/>
      <c r="W467" s="140" t="s">
        <v>77</v>
      </c>
      <c r="X467" s="90"/>
      <c r="Y467" s="140" t="s">
        <v>77</v>
      </c>
      <c r="Z467" s="90"/>
      <c r="AA467" s="140" t="s">
        <v>207</v>
      </c>
      <c r="AB467" s="90"/>
      <c r="AC467" s="140" t="s">
        <v>207</v>
      </c>
      <c r="AD467" s="90"/>
      <c r="AE467" s="140" t="s">
        <v>207</v>
      </c>
      <c r="AF467" s="178" t="str">
        <f t="shared" si="21"/>
        <v>C</v>
      </c>
      <c r="AG467" s="52" t="str">
        <f t="shared" si="22"/>
        <v>UTILIZOU O PDA CORRETAMENTE</v>
      </c>
      <c r="AH467" s="140"/>
      <c r="AI467" s="182" t="s">
        <v>36</v>
      </c>
      <c r="AJ467" s="93" t="str">
        <f t="shared" si="23"/>
        <v>SÃO PAULO</v>
      </c>
      <c r="AK467" s="183" t="s">
        <v>54</v>
      </c>
    </row>
    <row r="468" spans="1:37" ht="30" customHeight="1">
      <c r="A468" s="161" t="s">
        <v>198</v>
      </c>
      <c r="B468" s="155">
        <v>2620241836</v>
      </c>
      <c r="C468" s="155" t="s">
        <v>111</v>
      </c>
      <c r="D468" s="155" t="s">
        <v>92</v>
      </c>
      <c r="E468" s="155" t="s">
        <v>35</v>
      </c>
      <c r="F468" s="155" t="s">
        <v>292</v>
      </c>
      <c r="G468" s="155">
        <v>229</v>
      </c>
      <c r="H468" s="155" t="s">
        <v>205</v>
      </c>
      <c r="I468" s="155" t="s">
        <v>293</v>
      </c>
      <c r="J468" s="155" t="s">
        <v>111</v>
      </c>
      <c r="K468" s="155" t="s">
        <v>200</v>
      </c>
      <c r="L468" s="155" t="s">
        <v>959</v>
      </c>
      <c r="M468" s="155" t="s">
        <v>960</v>
      </c>
      <c r="N468" s="155" t="s">
        <v>251</v>
      </c>
      <c r="O468" s="152" t="s">
        <v>207</v>
      </c>
      <c r="P468" s="90"/>
      <c r="Q468" s="140" t="s">
        <v>77</v>
      </c>
      <c r="R468" s="90"/>
      <c r="S468" s="140" t="s">
        <v>77</v>
      </c>
      <c r="T468" s="90"/>
      <c r="U468" s="140" t="s">
        <v>77</v>
      </c>
      <c r="V468" s="90"/>
      <c r="W468" s="140" t="s">
        <v>77</v>
      </c>
      <c r="X468" s="90"/>
      <c r="Y468" s="140" t="s">
        <v>77</v>
      </c>
      <c r="Z468" s="90"/>
      <c r="AA468" s="140" t="s">
        <v>207</v>
      </c>
      <c r="AB468" s="90"/>
      <c r="AC468" s="140" t="s">
        <v>207</v>
      </c>
      <c r="AD468" s="90"/>
      <c r="AE468" s="140" t="s">
        <v>207</v>
      </c>
      <c r="AF468" s="178" t="str">
        <f t="shared" si="21"/>
        <v>C</v>
      </c>
      <c r="AG468" s="52" t="str">
        <f t="shared" si="22"/>
        <v>UTILIZOU O PDA CORRETAMENTE</v>
      </c>
      <c r="AH468" s="140"/>
      <c r="AI468" s="182" t="s">
        <v>36</v>
      </c>
      <c r="AJ468" s="93" t="str">
        <f t="shared" si="23"/>
        <v>SÃO PAULO</v>
      </c>
      <c r="AK468" s="183" t="s">
        <v>54</v>
      </c>
    </row>
    <row r="469" spans="1:37" ht="30" customHeight="1">
      <c r="A469" s="161" t="s">
        <v>198</v>
      </c>
      <c r="B469" s="155">
        <v>2619964242</v>
      </c>
      <c r="C469" s="155" t="s">
        <v>99</v>
      </c>
      <c r="D469" s="155" t="s">
        <v>92</v>
      </c>
      <c r="E469" s="155" t="s">
        <v>35</v>
      </c>
      <c r="F469" s="155" t="s">
        <v>961</v>
      </c>
      <c r="G469" s="155">
        <v>182</v>
      </c>
      <c r="H469" s="155" t="s">
        <v>380</v>
      </c>
      <c r="I469" s="155" t="s">
        <v>201</v>
      </c>
      <c r="J469" s="155" t="s">
        <v>374</v>
      </c>
      <c r="K469" s="155" t="s">
        <v>200</v>
      </c>
      <c r="L469" s="155" t="s">
        <v>962</v>
      </c>
      <c r="M469" s="155" t="s">
        <v>963</v>
      </c>
      <c r="N469" s="155" t="s">
        <v>206</v>
      </c>
      <c r="O469" s="256" t="s">
        <v>207</v>
      </c>
      <c r="P469" s="90"/>
      <c r="Q469" s="140" t="s">
        <v>77</v>
      </c>
      <c r="R469" s="90"/>
      <c r="S469" s="140" t="s">
        <v>77</v>
      </c>
      <c r="T469" s="90"/>
      <c r="U469" s="140" t="s">
        <v>77</v>
      </c>
      <c r="V469" s="90"/>
      <c r="W469" s="140" t="s">
        <v>77</v>
      </c>
      <c r="X469" s="90"/>
      <c r="Y469" s="140" t="s">
        <v>77</v>
      </c>
      <c r="Z469" s="90"/>
      <c r="AA469" s="140" t="s">
        <v>77</v>
      </c>
      <c r="AB469" s="90"/>
      <c r="AC469" s="140" t="s">
        <v>207</v>
      </c>
      <c r="AD469" s="90"/>
      <c r="AE469" s="140" t="s">
        <v>207</v>
      </c>
      <c r="AF469" s="178" t="str">
        <f t="shared" si="21"/>
        <v>C</v>
      </c>
      <c r="AG469" s="52" t="str">
        <f t="shared" si="22"/>
        <v>UTILIZOU O PDA CORRETAMENTE</v>
      </c>
      <c r="AH469" s="140"/>
      <c r="AI469" s="182" t="s">
        <v>36</v>
      </c>
      <c r="AJ469" s="93" t="str">
        <f t="shared" si="23"/>
        <v>SÃO PAULO</v>
      </c>
      <c r="AK469" s="183" t="s">
        <v>54</v>
      </c>
    </row>
    <row r="470" spans="1:37" ht="30" customHeight="1">
      <c r="A470" s="161" t="s">
        <v>198</v>
      </c>
      <c r="B470" s="155">
        <v>2620380969</v>
      </c>
      <c r="C470" s="155" t="s">
        <v>116</v>
      </c>
      <c r="D470" s="155" t="s">
        <v>94</v>
      </c>
      <c r="E470" s="155" t="s">
        <v>35</v>
      </c>
      <c r="F470" s="155" t="s">
        <v>964</v>
      </c>
      <c r="G470" s="155">
        <v>81</v>
      </c>
      <c r="H470" s="155" t="s">
        <v>200</v>
      </c>
      <c r="I470" s="155" t="s">
        <v>303</v>
      </c>
      <c r="J470" s="155" t="s">
        <v>221</v>
      </c>
      <c r="K470" s="155" t="s">
        <v>200</v>
      </c>
      <c r="L470" s="155" t="s">
        <v>965</v>
      </c>
      <c r="M470" s="155" t="s">
        <v>966</v>
      </c>
      <c r="N470" s="155" t="s">
        <v>349</v>
      </c>
      <c r="O470" s="256" t="s">
        <v>207</v>
      </c>
      <c r="P470" s="90"/>
      <c r="Q470" s="140" t="s">
        <v>207</v>
      </c>
      <c r="R470" s="90"/>
      <c r="S470" s="140" t="s">
        <v>207</v>
      </c>
      <c r="T470" s="90"/>
      <c r="U470" s="140" t="s">
        <v>207</v>
      </c>
      <c r="V470" s="90"/>
      <c r="W470" s="140" t="s">
        <v>207</v>
      </c>
      <c r="X470" s="90"/>
      <c r="Y470" s="140" t="s">
        <v>207</v>
      </c>
      <c r="Z470" s="90"/>
      <c r="AA470" s="140" t="s">
        <v>207</v>
      </c>
      <c r="AB470" s="90"/>
      <c r="AC470" s="140" t="s">
        <v>207</v>
      </c>
      <c r="AD470" s="90"/>
      <c r="AE470" s="140" t="s">
        <v>207</v>
      </c>
      <c r="AF470" s="178" t="str">
        <f t="shared" si="21"/>
        <v>C</v>
      </c>
      <c r="AG470" s="52" t="str">
        <f t="shared" si="22"/>
        <v>UTILIZOU O PDA CORRETAMENTE</v>
      </c>
      <c r="AH470" s="140" t="s">
        <v>207</v>
      </c>
      <c r="AI470" s="182" t="s">
        <v>36</v>
      </c>
      <c r="AJ470" s="93" t="str">
        <f t="shared" si="23"/>
        <v>SÃO PAULO</v>
      </c>
      <c r="AK470" s="183" t="s">
        <v>54</v>
      </c>
    </row>
    <row r="471" spans="1:37" ht="30" customHeight="1">
      <c r="A471" s="161" t="s">
        <v>198</v>
      </c>
      <c r="B471" s="155">
        <v>2620241833</v>
      </c>
      <c r="C471" s="155" t="s">
        <v>109</v>
      </c>
      <c r="D471" s="155" t="s">
        <v>92</v>
      </c>
      <c r="E471" s="155" t="s">
        <v>35</v>
      </c>
      <c r="F471" s="155" t="s">
        <v>292</v>
      </c>
      <c r="G471" s="155">
        <v>229</v>
      </c>
      <c r="H471" s="155" t="s">
        <v>208</v>
      </c>
      <c r="I471" s="155" t="s">
        <v>293</v>
      </c>
      <c r="J471" s="155" t="s">
        <v>109</v>
      </c>
      <c r="K471" s="155" t="s">
        <v>200</v>
      </c>
      <c r="L471" s="155" t="s">
        <v>967</v>
      </c>
      <c r="M471" s="155" t="s">
        <v>968</v>
      </c>
      <c r="N471" s="155" t="s">
        <v>251</v>
      </c>
      <c r="O471" s="152" t="s">
        <v>207</v>
      </c>
      <c r="P471" s="90"/>
      <c r="Q471" s="140" t="s">
        <v>77</v>
      </c>
      <c r="R471" s="90"/>
      <c r="S471" s="140" t="s">
        <v>77</v>
      </c>
      <c r="T471" s="90"/>
      <c r="U471" s="140" t="s">
        <v>77</v>
      </c>
      <c r="V471" s="90"/>
      <c r="W471" s="140" t="s">
        <v>77</v>
      </c>
      <c r="X471" s="90"/>
      <c r="Y471" s="140" t="s">
        <v>77</v>
      </c>
      <c r="Z471" s="90"/>
      <c r="AA471" s="140" t="s">
        <v>207</v>
      </c>
      <c r="AB471" s="90"/>
      <c r="AC471" s="140" t="s">
        <v>207</v>
      </c>
      <c r="AD471" s="90"/>
      <c r="AE471" s="140" t="s">
        <v>207</v>
      </c>
      <c r="AF471" s="178" t="str">
        <f t="shared" si="21"/>
        <v>C</v>
      </c>
      <c r="AG471" s="52" t="str">
        <f t="shared" si="22"/>
        <v>UTILIZOU O PDA CORRETAMENTE</v>
      </c>
      <c r="AH471" s="140"/>
      <c r="AI471" s="182" t="s">
        <v>36</v>
      </c>
      <c r="AJ471" s="93" t="str">
        <f t="shared" si="23"/>
        <v>SÃO PAULO</v>
      </c>
      <c r="AK471" s="183" t="s">
        <v>54</v>
      </c>
    </row>
    <row r="472" spans="1:37" ht="30" customHeight="1">
      <c r="A472" s="161" t="s">
        <v>198</v>
      </c>
      <c r="B472" s="155">
        <v>2619960764</v>
      </c>
      <c r="C472" s="155" t="s">
        <v>109</v>
      </c>
      <c r="D472" s="155" t="s">
        <v>92</v>
      </c>
      <c r="E472" s="155" t="s">
        <v>35</v>
      </c>
      <c r="F472" s="155" t="s">
        <v>969</v>
      </c>
      <c r="G472" s="155">
        <v>525</v>
      </c>
      <c r="H472" s="155" t="s">
        <v>208</v>
      </c>
      <c r="I472" s="155" t="s">
        <v>970</v>
      </c>
      <c r="J472" s="155" t="s">
        <v>109</v>
      </c>
      <c r="K472" s="155" t="s">
        <v>200</v>
      </c>
      <c r="L472" s="155" t="s">
        <v>971</v>
      </c>
      <c r="M472" s="155" t="s">
        <v>972</v>
      </c>
      <c r="N472" s="155" t="s">
        <v>251</v>
      </c>
      <c r="O472" s="152" t="s">
        <v>207</v>
      </c>
      <c r="P472" s="90"/>
      <c r="Q472" s="140" t="s">
        <v>77</v>
      </c>
      <c r="R472" s="90"/>
      <c r="S472" s="140" t="s">
        <v>77</v>
      </c>
      <c r="T472" s="90"/>
      <c r="U472" s="140" t="s">
        <v>77</v>
      </c>
      <c r="V472" s="90"/>
      <c r="W472" s="140" t="s">
        <v>77</v>
      </c>
      <c r="X472" s="90"/>
      <c r="Y472" s="140" t="s">
        <v>77</v>
      </c>
      <c r="Z472" s="90"/>
      <c r="AA472" s="140" t="s">
        <v>207</v>
      </c>
      <c r="AB472" s="90"/>
      <c r="AC472" s="140" t="s">
        <v>207</v>
      </c>
      <c r="AD472" s="90"/>
      <c r="AE472" s="140" t="s">
        <v>207</v>
      </c>
      <c r="AF472" s="178" t="str">
        <f t="shared" si="21"/>
        <v>C</v>
      </c>
      <c r="AG472" s="52" t="str">
        <f t="shared" si="22"/>
        <v>UTILIZOU O PDA CORRETAMENTE</v>
      </c>
      <c r="AH472" s="140"/>
      <c r="AI472" s="182" t="s">
        <v>36</v>
      </c>
      <c r="AJ472" s="93" t="str">
        <f t="shared" si="23"/>
        <v>SÃO PAULO</v>
      </c>
      <c r="AK472" s="183" t="s">
        <v>54</v>
      </c>
    </row>
    <row r="473" spans="1:37" ht="30" customHeight="1">
      <c r="A473" s="161" t="s">
        <v>198</v>
      </c>
      <c r="B473" s="155">
        <v>2620334080</v>
      </c>
      <c r="C473" s="155" t="s">
        <v>118</v>
      </c>
      <c r="D473" s="155" t="s">
        <v>96</v>
      </c>
      <c r="E473" s="155" t="s">
        <v>35</v>
      </c>
      <c r="F473" s="155" t="s">
        <v>973</v>
      </c>
      <c r="G473" s="155">
        <v>7</v>
      </c>
      <c r="H473" s="155" t="s">
        <v>200</v>
      </c>
      <c r="I473" s="155" t="s">
        <v>510</v>
      </c>
      <c r="J473" s="155" t="s">
        <v>301</v>
      </c>
      <c r="K473" s="206" t="s">
        <v>974</v>
      </c>
      <c r="L473" s="155" t="s">
        <v>975</v>
      </c>
      <c r="M473" s="155" t="s">
        <v>976</v>
      </c>
      <c r="N473" s="155" t="s">
        <v>235</v>
      </c>
      <c r="O473" s="256" t="s">
        <v>207</v>
      </c>
      <c r="P473" s="90"/>
      <c r="Q473" s="140" t="s">
        <v>207</v>
      </c>
      <c r="R473" s="90"/>
      <c r="S473" s="140" t="s">
        <v>207</v>
      </c>
      <c r="T473" s="90"/>
      <c r="U473" s="140" t="s">
        <v>207</v>
      </c>
      <c r="V473" s="90"/>
      <c r="W473" s="140" t="s">
        <v>207</v>
      </c>
      <c r="X473" s="90"/>
      <c r="Y473" s="140" t="s">
        <v>77</v>
      </c>
      <c r="Z473" s="90"/>
      <c r="AA473" s="140" t="s">
        <v>207</v>
      </c>
      <c r="AB473" s="90"/>
      <c r="AC473" s="140" t="s">
        <v>207</v>
      </c>
      <c r="AD473" s="90"/>
      <c r="AE473" s="140" t="s">
        <v>207</v>
      </c>
      <c r="AF473" s="178" t="str">
        <f t="shared" si="21"/>
        <v>C</v>
      </c>
      <c r="AG473" s="52" t="str">
        <f t="shared" si="22"/>
        <v>UTILIZOU O PDA CORRETAMENTE</v>
      </c>
      <c r="AH473" s="140" t="s">
        <v>207</v>
      </c>
      <c r="AI473" s="182" t="s">
        <v>36</v>
      </c>
      <c r="AJ473" s="93" t="str">
        <f t="shared" si="23"/>
        <v>SÃO PAULO</v>
      </c>
      <c r="AK473" s="183" t="s">
        <v>54</v>
      </c>
    </row>
    <row r="474" spans="1:37" ht="30" customHeight="1">
      <c r="A474" s="161" t="s">
        <v>198</v>
      </c>
      <c r="B474" s="155">
        <v>2619877832</v>
      </c>
      <c r="C474" s="155" t="s">
        <v>111</v>
      </c>
      <c r="D474" s="155" t="s">
        <v>92</v>
      </c>
      <c r="E474" s="155" t="s">
        <v>35</v>
      </c>
      <c r="F474" s="155" t="s">
        <v>977</v>
      </c>
      <c r="G474" s="155">
        <v>173</v>
      </c>
      <c r="H474" s="155" t="s">
        <v>205</v>
      </c>
      <c r="I474" s="155" t="s">
        <v>591</v>
      </c>
      <c r="J474" s="155" t="s">
        <v>111</v>
      </c>
      <c r="K474" s="155" t="s">
        <v>200</v>
      </c>
      <c r="L474" s="155" t="s">
        <v>978</v>
      </c>
      <c r="M474" s="155" t="s">
        <v>979</v>
      </c>
      <c r="N474" s="155" t="s">
        <v>251</v>
      </c>
      <c r="O474" s="152" t="s">
        <v>207</v>
      </c>
      <c r="P474" s="90"/>
      <c r="Q474" s="140" t="s">
        <v>77</v>
      </c>
      <c r="R474" s="90"/>
      <c r="S474" s="140" t="s">
        <v>77</v>
      </c>
      <c r="T474" s="90"/>
      <c r="U474" s="140" t="s">
        <v>77</v>
      </c>
      <c r="V474" s="90"/>
      <c r="W474" s="140" t="s">
        <v>77</v>
      </c>
      <c r="X474" s="90"/>
      <c r="Y474" s="140" t="s">
        <v>77</v>
      </c>
      <c r="Z474" s="90"/>
      <c r="AA474" s="140" t="s">
        <v>207</v>
      </c>
      <c r="AB474" s="90"/>
      <c r="AC474" s="140" t="s">
        <v>207</v>
      </c>
      <c r="AD474" s="90"/>
      <c r="AE474" s="140" t="s">
        <v>207</v>
      </c>
      <c r="AF474" s="178" t="str">
        <f t="shared" si="21"/>
        <v>C</v>
      </c>
      <c r="AG474" s="52" t="str">
        <f t="shared" si="22"/>
        <v>UTILIZOU O PDA CORRETAMENTE</v>
      </c>
      <c r="AH474" s="140"/>
      <c r="AI474" s="182" t="s">
        <v>36</v>
      </c>
      <c r="AJ474" s="93" t="str">
        <f t="shared" si="23"/>
        <v>SÃO PAULO</v>
      </c>
      <c r="AK474" s="183" t="s">
        <v>54</v>
      </c>
    </row>
    <row r="475" spans="1:37" ht="30" customHeight="1">
      <c r="A475" s="161" t="s">
        <v>198</v>
      </c>
      <c r="B475" s="155">
        <v>2619877830</v>
      </c>
      <c r="C475" s="155" t="s">
        <v>109</v>
      </c>
      <c r="D475" s="155" t="s">
        <v>92</v>
      </c>
      <c r="E475" s="155" t="s">
        <v>35</v>
      </c>
      <c r="F475" s="155" t="s">
        <v>977</v>
      </c>
      <c r="G475" s="155">
        <v>173</v>
      </c>
      <c r="H475" s="155" t="s">
        <v>208</v>
      </c>
      <c r="I475" s="155" t="s">
        <v>591</v>
      </c>
      <c r="J475" s="155" t="s">
        <v>109</v>
      </c>
      <c r="K475" s="155" t="s">
        <v>200</v>
      </c>
      <c r="L475" s="155" t="s">
        <v>980</v>
      </c>
      <c r="M475" s="155" t="s">
        <v>981</v>
      </c>
      <c r="N475" s="155" t="s">
        <v>251</v>
      </c>
      <c r="O475" s="152" t="s">
        <v>207</v>
      </c>
      <c r="P475" s="90"/>
      <c r="Q475" s="140" t="s">
        <v>77</v>
      </c>
      <c r="R475" s="90"/>
      <c r="S475" s="140" t="s">
        <v>77</v>
      </c>
      <c r="T475" s="90"/>
      <c r="U475" s="140" t="s">
        <v>77</v>
      </c>
      <c r="V475" s="90"/>
      <c r="W475" s="140" t="s">
        <v>77</v>
      </c>
      <c r="X475" s="90"/>
      <c r="Y475" s="140" t="s">
        <v>77</v>
      </c>
      <c r="Z475" s="90"/>
      <c r="AA475" s="140" t="s">
        <v>207</v>
      </c>
      <c r="AB475" s="90"/>
      <c r="AC475" s="140" t="s">
        <v>207</v>
      </c>
      <c r="AD475" s="90"/>
      <c r="AE475" s="140" t="s">
        <v>207</v>
      </c>
      <c r="AF475" s="178" t="str">
        <f t="shared" si="21"/>
        <v>C</v>
      </c>
      <c r="AG475" s="52" t="str">
        <f t="shared" si="22"/>
        <v>UTILIZOU O PDA CORRETAMENTE</v>
      </c>
      <c r="AH475" s="140"/>
      <c r="AI475" s="182" t="s">
        <v>36</v>
      </c>
      <c r="AJ475" s="93" t="str">
        <f t="shared" si="23"/>
        <v>SÃO PAULO</v>
      </c>
      <c r="AK475" s="183" t="s">
        <v>54</v>
      </c>
    </row>
    <row r="476" spans="1:37" ht="30" customHeight="1">
      <c r="A476" s="161" t="s">
        <v>198</v>
      </c>
      <c r="B476" s="155">
        <v>2619960804</v>
      </c>
      <c r="C476" s="155" t="s">
        <v>111</v>
      </c>
      <c r="D476" s="155" t="s">
        <v>92</v>
      </c>
      <c r="E476" s="155" t="s">
        <v>35</v>
      </c>
      <c r="F476" s="155" t="s">
        <v>969</v>
      </c>
      <c r="G476" s="155">
        <v>525</v>
      </c>
      <c r="H476" s="155" t="s">
        <v>205</v>
      </c>
      <c r="I476" s="155" t="s">
        <v>970</v>
      </c>
      <c r="J476" s="155" t="s">
        <v>111</v>
      </c>
      <c r="K476" s="155" t="s">
        <v>200</v>
      </c>
      <c r="L476" s="155" t="s">
        <v>982</v>
      </c>
      <c r="M476" s="155" t="s">
        <v>983</v>
      </c>
      <c r="N476" s="155" t="s">
        <v>251</v>
      </c>
      <c r="O476" s="152" t="s">
        <v>207</v>
      </c>
      <c r="P476" s="90"/>
      <c r="Q476" s="140" t="s">
        <v>77</v>
      </c>
      <c r="R476" s="90"/>
      <c r="S476" s="140" t="s">
        <v>77</v>
      </c>
      <c r="T476" s="90"/>
      <c r="U476" s="140" t="s">
        <v>77</v>
      </c>
      <c r="V476" s="90"/>
      <c r="W476" s="140" t="s">
        <v>77</v>
      </c>
      <c r="X476" s="90"/>
      <c r="Y476" s="140" t="s">
        <v>77</v>
      </c>
      <c r="Z476" s="90"/>
      <c r="AA476" s="140" t="s">
        <v>207</v>
      </c>
      <c r="AB476" s="90"/>
      <c r="AC476" s="140" t="s">
        <v>207</v>
      </c>
      <c r="AD476" s="90"/>
      <c r="AE476" s="140" t="s">
        <v>207</v>
      </c>
      <c r="AF476" s="178" t="str">
        <f t="shared" si="21"/>
        <v>C</v>
      </c>
      <c r="AG476" s="52" t="str">
        <f t="shared" si="22"/>
        <v>UTILIZOU O PDA CORRETAMENTE</v>
      </c>
      <c r="AH476" s="140"/>
      <c r="AI476" s="182" t="s">
        <v>36</v>
      </c>
      <c r="AJ476" s="93" t="str">
        <f t="shared" si="23"/>
        <v>SÃO PAULO</v>
      </c>
      <c r="AK476" s="183" t="s">
        <v>54</v>
      </c>
    </row>
    <row r="477" spans="1:37" ht="30" customHeight="1">
      <c r="A477" s="161" t="s">
        <v>198</v>
      </c>
      <c r="B477" s="155">
        <v>2619877836</v>
      </c>
      <c r="C477" s="155" t="s">
        <v>111</v>
      </c>
      <c r="D477" s="155" t="s">
        <v>92</v>
      </c>
      <c r="E477" s="155" t="s">
        <v>35</v>
      </c>
      <c r="F477" s="155" t="s">
        <v>977</v>
      </c>
      <c r="G477" s="155">
        <v>173</v>
      </c>
      <c r="H477" s="155" t="s">
        <v>255</v>
      </c>
      <c r="I477" s="155" t="s">
        <v>591</v>
      </c>
      <c r="J477" s="155" t="s">
        <v>111</v>
      </c>
      <c r="K477" s="155" t="s">
        <v>200</v>
      </c>
      <c r="L477" s="155" t="s">
        <v>984</v>
      </c>
      <c r="M477" s="155" t="s">
        <v>985</v>
      </c>
      <c r="N477" s="155" t="s">
        <v>251</v>
      </c>
      <c r="O477" s="152" t="s">
        <v>207</v>
      </c>
      <c r="P477" s="90"/>
      <c r="Q477" s="140" t="s">
        <v>77</v>
      </c>
      <c r="R477" s="90"/>
      <c r="S477" s="140" t="s">
        <v>77</v>
      </c>
      <c r="T477" s="90"/>
      <c r="U477" s="140" t="s">
        <v>77</v>
      </c>
      <c r="V477" s="90"/>
      <c r="W477" s="140" t="s">
        <v>77</v>
      </c>
      <c r="X477" s="90"/>
      <c r="Y477" s="140" t="s">
        <v>77</v>
      </c>
      <c r="Z477" s="90"/>
      <c r="AA477" s="140" t="s">
        <v>207</v>
      </c>
      <c r="AB477" s="90"/>
      <c r="AC477" s="140" t="s">
        <v>207</v>
      </c>
      <c r="AD477" s="90"/>
      <c r="AE477" s="140" t="s">
        <v>207</v>
      </c>
      <c r="AF477" s="178" t="str">
        <f t="shared" si="21"/>
        <v>C</v>
      </c>
      <c r="AG477" s="52" t="str">
        <f t="shared" si="22"/>
        <v>UTILIZOU O PDA CORRETAMENTE</v>
      </c>
      <c r="AH477" s="140"/>
      <c r="AI477" s="182" t="s">
        <v>36</v>
      </c>
      <c r="AJ477" s="93" t="str">
        <f t="shared" si="23"/>
        <v>SÃO PAULO</v>
      </c>
      <c r="AK477" s="183" t="s">
        <v>54</v>
      </c>
    </row>
    <row r="478" spans="1:37" ht="30" customHeight="1">
      <c r="A478" s="161" t="s">
        <v>198</v>
      </c>
      <c r="B478" s="155">
        <v>2619877834</v>
      </c>
      <c r="C478" s="155" t="s">
        <v>111</v>
      </c>
      <c r="D478" s="155" t="s">
        <v>92</v>
      </c>
      <c r="E478" s="155" t="s">
        <v>35</v>
      </c>
      <c r="F478" s="155" t="s">
        <v>977</v>
      </c>
      <c r="G478" s="155">
        <v>173</v>
      </c>
      <c r="H478" s="155" t="s">
        <v>257</v>
      </c>
      <c r="I478" s="155" t="s">
        <v>591</v>
      </c>
      <c r="J478" s="155" t="s">
        <v>111</v>
      </c>
      <c r="K478" s="155" t="s">
        <v>200</v>
      </c>
      <c r="L478" s="155" t="s">
        <v>979</v>
      </c>
      <c r="M478" s="155" t="s">
        <v>986</v>
      </c>
      <c r="N478" s="155" t="s">
        <v>251</v>
      </c>
      <c r="O478" s="152" t="s">
        <v>207</v>
      </c>
      <c r="P478" s="90"/>
      <c r="Q478" s="140" t="s">
        <v>77</v>
      </c>
      <c r="R478" s="90"/>
      <c r="S478" s="140" t="s">
        <v>77</v>
      </c>
      <c r="T478" s="90"/>
      <c r="U478" s="140" t="s">
        <v>77</v>
      </c>
      <c r="V478" s="90"/>
      <c r="W478" s="140" t="s">
        <v>77</v>
      </c>
      <c r="X478" s="90"/>
      <c r="Y478" s="140" t="s">
        <v>77</v>
      </c>
      <c r="Z478" s="90"/>
      <c r="AA478" s="140" t="s">
        <v>207</v>
      </c>
      <c r="AB478" s="90"/>
      <c r="AC478" s="140" t="s">
        <v>207</v>
      </c>
      <c r="AD478" s="90"/>
      <c r="AE478" s="140" t="s">
        <v>207</v>
      </c>
      <c r="AF478" s="178" t="str">
        <f t="shared" si="21"/>
        <v>C</v>
      </c>
      <c r="AG478" s="52" t="str">
        <f t="shared" si="22"/>
        <v>UTILIZOU O PDA CORRETAMENTE</v>
      </c>
      <c r="AH478" s="140"/>
      <c r="AI478" s="182" t="s">
        <v>36</v>
      </c>
      <c r="AJ478" s="93" t="str">
        <f t="shared" si="23"/>
        <v>SÃO PAULO</v>
      </c>
      <c r="AK478" s="183" t="s">
        <v>54</v>
      </c>
    </row>
    <row r="479" spans="1:37" ht="30" customHeight="1">
      <c r="A479" s="161" t="s">
        <v>198</v>
      </c>
      <c r="B479" s="155">
        <v>2619960810</v>
      </c>
      <c r="C479" s="155" t="s">
        <v>111</v>
      </c>
      <c r="D479" s="155" t="s">
        <v>92</v>
      </c>
      <c r="E479" s="155" t="s">
        <v>35</v>
      </c>
      <c r="F479" s="155" t="s">
        <v>969</v>
      </c>
      <c r="G479" s="155">
        <v>525</v>
      </c>
      <c r="H479" s="155" t="s">
        <v>257</v>
      </c>
      <c r="I479" s="155" t="s">
        <v>970</v>
      </c>
      <c r="J479" s="155" t="s">
        <v>111</v>
      </c>
      <c r="K479" s="155" t="s">
        <v>200</v>
      </c>
      <c r="L479" s="155" t="s">
        <v>987</v>
      </c>
      <c r="M479" s="155" t="s">
        <v>988</v>
      </c>
      <c r="N479" s="155" t="s">
        <v>251</v>
      </c>
      <c r="O479" s="152" t="s">
        <v>207</v>
      </c>
      <c r="P479" s="90"/>
      <c r="Q479" s="140" t="s">
        <v>77</v>
      </c>
      <c r="R479" s="90"/>
      <c r="S479" s="140" t="s">
        <v>77</v>
      </c>
      <c r="T479" s="90"/>
      <c r="U479" s="140" t="s">
        <v>77</v>
      </c>
      <c r="V479" s="90"/>
      <c r="W479" s="140" t="s">
        <v>77</v>
      </c>
      <c r="X479" s="90"/>
      <c r="Y479" s="140" t="s">
        <v>77</v>
      </c>
      <c r="Z479" s="90"/>
      <c r="AA479" s="140" t="s">
        <v>207</v>
      </c>
      <c r="AB479" s="90"/>
      <c r="AC479" s="140" t="s">
        <v>207</v>
      </c>
      <c r="AD479" s="90"/>
      <c r="AE479" s="140" t="s">
        <v>207</v>
      </c>
      <c r="AF479" s="178" t="str">
        <f t="shared" si="21"/>
        <v>C</v>
      </c>
      <c r="AG479" s="52" t="str">
        <f t="shared" si="22"/>
        <v>UTILIZOU O PDA CORRETAMENTE</v>
      </c>
      <c r="AH479" s="140"/>
      <c r="AI479" s="182" t="s">
        <v>36</v>
      </c>
      <c r="AJ479" s="93" t="str">
        <f t="shared" si="23"/>
        <v>SÃO PAULO</v>
      </c>
      <c r="AK479" s="183" t="s">
        <v>54</v>
      </c>
    </row>
    <row r="480" spans="1:37" ht="30" customHeight="1">
      <c r="A480" s="161" t="s">
        <v>198</v>
      </c>
      <c r="B480" s="155">
        <v>2619960811</v>
      </c>
      <c r="C480" s="155" t="s">
        <v>111</v>
      </c>
      <c r="D480" s="155" t="s">
        <v>92</v>
      </c>
      <c r="E480" s="155" t="s">
        <v>35</v>
      </c>
      <c r="F480" s="155" t="s">
        <v>969</v>
      </c>
      <c r="G480" s="155">
        <v>525</v>
      </c>
      <c r="H480" s="155" t="s">
        <v>255</v>
      </c>
      <c r="I480" s="155" t="s">
        <v>970</v>
      </c>
      <c r="J480" s="155" t="s">
        <v>111</v>
      </c>
      <c r="K480" s="155" t="s">
        <v>200</v>
      </c>
      <c r="L480" s="155" t="s">
        <v>989</v>
      </c>
      <c r="M480" s="155" t="s">
        <v>990</v>
      </c>
      <c r="N480" s="155" t="s">
        <v>251</v>
      </c>
      <c r="O480" s="152" t="s">
        <v>207</v>
      </c>
      <c r="P480" s="90"/>
      <c r="Q480" s="140" t="s">
        <v>77</v>
      </c>
      <c r="R480" s="90"/>
      <c r="S480" s="140" t="s">
        <v>77</v>
      </c>
      <c r="T480" s="90"/>
      <c r="U480" s="140" t="s">
        <v>77</v>
      </c>
      <c r="V480" s="90"/>
      <c r="W480" s="140" t="s">
        <v>77</v>
      </c>
      <c r="X480" s="90"/>
      <c r="Y480" s="140" t="s">
        <v>77</v>
      </c>
      <c r="Z480" s="90"/>
      <c r="AA480" s="140" t="s">
        <v>207</v>
      </c>
      <c r="AB480" s="90"/>
      <c r="AC480" s="140" t="s">
        <v>207</v>
      </c>
      <c r="AD480" s="90"/>
      <c r="AE480" s="140" t="s">
        <v>207</v>
      </c>
      <c r="AF480" s="178" t="str">
        <f t="shared" si="21"/>
        <v>C</v>
      </c>
      <c r="AG480" s="52" t="str">
        <f t="shared" si="22"/>
        <v>UTILIZOU O PDA CORRETAMENTE</v>
      </c>
      <c r="AH480" s="140"/>
      <c r="AI480" s="182" t="s">
        <v>36</v>
      </c>
      <c r="AJ480" s="93" t="str">
        <f t="shared" si="23"/>
        <v>SÃO PAULO</v>
      </c>
      <c r="AK480" s="183" t="s">
        <v>54</v>
      </c>
    </row>
    <row r="481" spans="1:37" ht="30" customHeight="1">
      <c r="A481" s="161" t="s">
        <v>198</v>
      </c>
      <c r="B481" s="155">
        <v>2619960813</v>
      </c>
      <c r="C481" s="155" t="s">
        <v>111</v>
      </c>
      <c r="D481" s="155" t="s">
        <v>92</v>
      </c>
      <c r="E481" s="155" t="s">
        <v>35</v>
      </c>
      <c r="F481" s="155" t="s">
        <v>969</v>
      </c>
      <c r="G481" s="155">
        <v>525</v>
      </c>
      <c r="H481" s="155" t="s">
        <v>380</v>
      </c>
      <c r="I481" s="155" t="s">
        <v>970</v>
      </c>
      <c r="J481" s="155" t="s">
        <v>111</v>
      </c>
      <c r="K481" s="155" t="s">
        <v>200</v>
      </c>
      <c r="L481" s="155" t="s">
        <v>991</v>
      </c>
      <c r="M481" s="155" t="s">
        <v>992</v>
      </c>
      <c r="N481" s="155" t="s">
        <v>251</v>
      </c>
      <c r="O481" s="152" t="s">
        <v>207</v>
      </c>
      <c r="P481" s="90"/>
      <c r="Q481" s="140" t="s">
        <v>77</v>
      </c>
      <c r="R481" s="90"/>
      <c r="S481" s="140" t="s">
        <v>77</v>
      </c>
      <c r="T481" s="90"/>
      <c r="U481" s="140" t="s">
        <v>77</v>
      </c>
      <c r="V481" s="90"/>
      <c r="W481" s="140" t="s">
        <v>77</v>
      </c>
      <c r="X481" s="90"/>
      <c r="Y481" s="140" t="s">
        <v>77</v>
      </c>
      <c r="Z481" s="90"/>
      <c r="AA481" s="140" t="s">
        <v>207</v>
      </c>
      <c r="AB481" s="90"/>
      <c r="AC481" s="140" t="s">
        <v>207</v>
      </c>
      <c r="AD481" s="90"/>
      <c r="AE481" s="140" t="s">
        <v>207</v>
      </c>
      <c r="AF481" s="178" t="str">
        <f t="shared" si="21"/>
        <v>C</v>
      </c>
      <c r="AG481" s="52" t="str">
        <f t="shared" si="22"/>
        <v>UTILIZOU O PDA CORRETAMENTE</v>
      </c>
      <c r="AH481" s="140"/>
      <c r="AI481" s="182" t="s">
        <v>36</v>
      </c>
      <c r="AJ481" s="93" t="str">
        <f t="shared" si="23"/>
        <v>SÃO PAULO</v>
      </c>
      <c r="AK481" s="183" t="s">
        <v>54</v>
      </c>
    </row>
    <row r="482" spans="1:37" ht="30" customHeight="1">
      <c r="A482" s="161" t="s">
        <v>198</v>
      </c>
      <c r="B482" s="155">
        <v>2693326901</v>
      </c>
      <c r="C482" s="155" t="s">
        <v>122</v>
      </c>
      <c r="D482" s="155" t="s">
        <v>96</v>
      </c>
      <c r="E482" s="155" t="s">
        <v>35</v>
      </c>
      <c r="F482" s="155" t="s">
        <v>555</v>
      </c>
      <c r="G482" s="155">
        <v>827</v>
      </c>
      <c r="H482" s="155" t="s">
        <v>208</v>
      </c>
      <c r="I482" s="155" t="s">
        <v>417</v>
      </c>
      <c r="J482" s="155" t="s">
        <v>267</v>
      </c>
      <c r="K482" s="155" t="s">
        <v>200</v>
      </c>
      <c r="L482" s="155" t="s">
        <v>993</v>
      </c>
      <c r="M482" s="155" t="s">
        <v>994</v>
      </c>
      <c r="N482" s="155" t="s">
        <v>517</v>
      </c>
      <c r="O482" s="256" t="s">
        <v>207</v>
      </c>
      <c r="P482" s="90"/>
      <c r="Q482" s="140" t="s">
        <v>207</v>
      </c>
      <c r="R482" s="90"/>
      <c r="S482" s="140" t="s">
        <v>207</v>
      </c>
      <c r="T482" s="90"/>
      <c r="U482" s="140" t="s">
        <v>207</v>
      </c>
      <c r="V482" s="90"/>
      <c r="W482" s="140" t="s">
        <v>207</v>
      </c>
      <c r="X482" s="90"/>
      <c r="Y482" s="140" t="s">
        <v>77</v>
      </c>
      <c r="Z482" s="90"/>
      <c r="AA482" s="140" t="s">
        <v>207</v>
      </c>
      <c r="AB482" s="90"/>
      <c r="AC482" s="140" t="s">
        <v>207</v>
      </c>
      <c r="AD482" s="90"/>
      <c r="AE482" s="140" t="s">
        <v>207</v>
      </c>
      <c r="AF482" s="178" t="str">
        <f t="shared" si="21"/>
        <v>C</v>
      </c>
      <c r="AG482" s="52" t="str">
        <f t="shared" si="22"/>
        <v>UTILIZOU O PDA CORRETAMENTE</v>
      </c>
      <c r="AH482" s="140" t="s">
        <v>207</v>
      </c>
      <c r="AI482" s="182" t="s">
        <v>36</v>
      </c>
      <c r="AJ482" s="93" t="str">
        <f t="shared" si="23"/>
        <v>SÃO PAULO</v>
      </c>
      <c r="AK482" s="183" t="s">
        <v>54</v>
      </c>
    </row>
    <row r="483" spans="1:37" ht="30" customHeight="1">
      <c r="A483" s="161" t="s">
        <v>198</v>
      </c>
      <c r="B483" s="155">
        <v>2693322262</v>
      </c>
      <c r="C483" s="155" t="s">
        <v>117</v>
      </c>
      <c r="D483" s="155" t="s">
        <v>96</v>
      </c>
      <c r="E483" s="155" t="s">
        <v>35</v>
      </c>
      <c r="F483" s="155" t="s">
        <v>995</v>
      </c>
      <c r="G483" s="155">
        <v>2</v>
      </c>
      <c r="H483" s="155" t="s">
        <v>200</v>
      </c>
      <c r="I483" s="155" t="s">
        <v>679</v>
      </c>
      <c r="J483" s="155" t="s">
        <v>267</v>
      </c>
      <c r="K483" s="155" t="s">
        <v>200</v>
      </c>
      <c r="L483" s="155" t="s">
        <v>996</v>
      </c>
      <c r="M483" s="155" t="s">
        <v>997</v>
      </c>
      <c r="N483" s="155" t="s">
        <v>364</v>
      </c>
      <c r="O483" s="256" t="s">
        <v>207</v>
      </c>
      <c r="P483" s="90"/>
      <c r="Q483" s="140" t="s">
        <v>207</v>
      </c>
      <c r="R483" s="90"/>
      <c r="S483" s="140" t="s">
        <v>207</v>
      </c>
      <c r="T483" s="90"/>
      <c r="U483" s="140" t="s">
        <v>207</v>
      </c>
      <c r="V483" s="90"/>
      <c r="W483" s="140" t="s">
        <v>207</v>
      </c>
      <c r="X483" s="90"/>
      <c r="Y483" s="140" t="s">
        <v>77</v>
      </c>
      <c r="Z483" s="90"/>
      <c r="AA483" s="140" t="s">
        <v>207</v>
      </c>
      <c r="AB483" s="90"/>
      <c r="AC483" s="140" t="s">
        <v>207</v>
      </c>
      <c r="AD483" s="90"/>
      <c r="AE483" s="140" t="s">
        <v>207</v>
      </c>
      <c r="AF483" s="178" t="str">
        <f t="shared" si="21"/>
        <v>C</v>
      </c>
      <c r="AG483" s="52" t="str">
        <f t="shared" si="22"/>
        <v>UTILIZOU O PDA CORRETAMENTE</v>
      </c>
      <c r="AH483" s="140" t="s">
        <v>207</v>
      </c>
      <c r="AI483" s="182" t="s">
        <v>36</v>
      </c>
      <c r="AJ483" s="93" t="str">
        <f t="shared" si="23"/>
        <v>SÃO PAULO</v>
      </c>
      <c r="AK483" s="183" t="s">
        <v>54</v>
      </c>
    </row>
    <row r="484" spans="1:37" ht="30" customHeight="1">
      <c r="A484" s="161" t="s">
        <v>198</v>
      </c>
      <c r="B484" s="155">
        <v>2619971285</v>
      </c>
      <c r="C484" s="155" t="s">
        <v>111</v>
      </c>
      <c r="D484" s="155" t="s">
        <v>92</v>
      </c>
      <c r="E484" s="155" t="s">
        <v>35</v>
      </c>
      <c r="F484" s="155" t="s">
        <v>998</v>
      </c>
      <c r="G484" s="155">
        <v>111</v>
      </c>
      <c r="H484" s="155" t="s">
        <v>205</v>
      </c>
      <c r="I484" s="155" t="s">
        <v>515</v>
      </c>
      <c r="J484" s="155" t="s">
        <v>111</v>
      </c>
      <c r="K484" s="155" t="s">
        <v>200</v>
      </c>
      <c r="L484" s="155" t="s">
        <v>999</v>
      </c>
      <c r="M484" s="155" t="s">
        <v>1000</v>
      </c>
      <c r="N484" s="155" t="s">
        <v>206</v>
      </c>
      <c r="O484" s="152" t="s">
        <v>207</v>
      </c>
      <c r="P484" s="90"/>
      <c r="Q484" s="140" t="s">
        <v>77</v>
      </c>
      <c r="R484" s="90"/>
      <c r="S484" s="140" t="s">
        <v>77</v>
      </c>
      <c r="T484" s="90"/>
      <c r="U484" s="140" t="s">
        <v>77</v>
      </c>
      <c r="V484" s="90"/>
      <c r="W484" s="140" t="s">
        <v>77</v>
      </c>
      <c r="X484" s="90"/>
      <c r="Y484" s="140" t="s">
        <v>77</v>
      </c>
      <c r="Z484" s="90"/>
      <c r="AA484" s="140" t="s">
        <v>207</v>
      </c>
      <c r="AB484" s="90"/>
      <c r="AC484" s="140" t="s">
        <v>207</v>
      </c>
      <c r="AD484" s="90"/>
      <c r="AE484" s="140" t="s">
        <v>207</v>
      </c>
      <c r="AF484" s="178" t="str">
        <f t="shared" si="21"/>
        <v>C</v>
      </c>
      <c r="AG484" s="52" t="str">
        <f t="shared" si="22"/>
        <v>UTILIZOU O PDA CORRETAMENTE</v>
      </c>
      <c r="AH484" s="140"/>
      <c r="AI484" s="182" t="s">
        <v>36</v>
      </c>
      <c r="AJ484" s="93" t="str">
        <f t="shared" si="23"/>
        <v>SÃO PAULO</v>
      </c>
      <c r="AK484" s="183" t="s">
        <v>54</v>
      </c>
    </row>
    <row r="485" spans="1:37" ht="30" customHeight="1">
      <c r="A485" s="161" t="s">
        <v>198</v>
      </c>
      <c r="B485" s="155">
        <v>2693349263</v>
      </c>
      <c r="C485" s="155" t="s">
        <v>118</v>
      </c>
      <c r="D485" s="155" t="s">
        <v>96</v>
      </c>
      <c r="E485" s="155" t="s">
        <v>35</v>
      </c>
      <c r="F485" s="155" t="s">
        <v>837</v>
      </c>
      <c r="G485" s="155">
        <v>192</v>
      </c>
      <c r="H485" s="155" t="s">
        <v>200</v>
      </c>
      <c r="I485" s="155" t="s">
        <v>499</v>
      </c>
      <c r="J485" s="155" t="s">
        <v>260</v>
      </c>
      <c r="K485" s="155" t="s">
        <v>200</v>
      </c>
      <c r="L485" s="155" t="s">
        <v>1001</v>
      </c>
      <c r="M485" s="155" t="s">
        <v>1002</v>
      </c>
      <c r="N485" s="155" t="s">
        <v>295</v>
      </c>
      <c r="O485" s="256" t="s">
        <v>207</v>
      </c>
      <c r="P485" s="90"/>
      <c r="Q485" s="140" t="s">
        <v>207</v>
      </c>
      <c r="R485" s="90"/>
      <c r="S485" s="140" t="s">
        <v>207</v>
      </c>
      <c r="T485" s="90"/>
      <c r="U485" s="140" t="s">
        <v>207</v>
      </c>
      <c r="V485" s="90"/>
      <c r="W485" s="140" t="s">
        <v>207</v>
      </c>
      <c r="X485" s="90"/>
      <c r="Y485" s="140" t="s">
        <v>77</v>
      </c>
      <c r="Z485" s="90"/>
      <c r="AA485" s="140" t="s">
        <v>207</v>
      </c>
      <c r="AB485" s="90"/>
      <c r="AC485" s="140" t="s">
        <v>207</v>
      </c>
      <c r="AD485" s="90"/>
      <c r="AE485" s="140" t="s">
        <v>207</v>
      </c>
      <c r="AF485" s="178" t="str">
        <f t="shared" si="21"/>
        <v>C</v>
      </c>
      <c r="AG485" s="52" t="str">
        <f t="shared" si="22"/>
        <v>UTILIZOU O PDA CORRETAMENTE</v>
      </c>
      <c r="AH485" s="140" t="s">
        <v>207</v>
      </c>
      <c r="AI485" s="182" t="s">
        <v>36</v>
      </c>
      <c r="AJ485" s="93" t="str">
        <f t="shared" si="23"/>
        <v>SÃO PAULO</v>
      </c>
      <c r="AK485" s="183" t="s">
        <v>54</v>
      </c>
    </row>
    <row r="486" spans="1:37" ht="30" customHeight="1">
      <c r="A486" s="161" t="s">
        <v>198</v>
      </c>
      <c r="B486" s="155">
        <v>2619971280</v>
      </c>
      <c r="C486" s="155" t="s">
        <v>109</v>
      </c>
      <c r="D486" s="155" t="s">
        <v>92</v>
      </c>
      <c r="E486" s="155" t="s">
        <v>35</v>
      </c>
      <c r="F486" s="155" t="s">
        <v>998</v>
      </c>
      <c r="G486" s="155">
        <v>111</v>
      </c>
      <c r="H486" s="155" t="s">
        <v>208</v>
      </c>
      <c r="I486" s="155" t="s">
        <v>515</v>
      </c>
      <c r="J486" s="155" t="s">
        <v>109</v>
      </c>
      <c r="K486" s="155" t="s">
        <v>200</v>
      </c>
      <c r="L486" s="155" t="s">
        <v>1000</v>
      </c>
      <c r="M486" s="155" t="s">
        <v>1003</v>
      </c>
      <c r="N486" s="155" t="s">
        <v>206</v>
      </c>
      <c r="O486" s="152" t="s">
        <v>207</v>
      </c>
      <c r="P486" s="90"/>
      <c r="Q486" s="140" t="s">
        <v>77</v>
      </c>
      <c r="R486" s="90"/>
      <c r="S486" s="140" t="s">
        <v>77</v>
      </c>
      <c r="T486" s="90"/>
      <c r="U486" s="140" t="s">
        <v>77</v>
      </c>
      <c r="V486" s="90"/>
      <c r="W486" s="140" t="s">
        <v>77</v>
      </c>
      <c r="X486" s="90"/>
      <c r="Y486" s="140" t="s">
        <v>77</v>
      </c>
      <c r="Z486" s="90"/>
      <c r="AA486" s="140" t="s">
        <v>207</v>
      </c>
      <c r="AB486" s="90"/>
      <c r="AC486" s="140" t="s">
        <v>207</v>
      </c>
      <c r="AD486" s="90"/>
      <c r="AE486" s="140" t="s">
        <v>207</v>
      </c>
      <c r="AF486" s="178" t="str">
        <f t="shared" si="21"/>
        <v>C</v>
      </c>
      <c r="AG486" s="52" t="str">
        <f t="shared" si="22"/>
        <v>UTILIZOU O PDA CORRETAMENTE</v>
      </c>
      <c r="AH486" s="140"/>
      <c r="AI486" s="182" t="s">
        <v>36</v>
      </c>
      <c r="AJ486" s="93" t="str">
        <f t="shared" si="23"/>
        <v>SÃO PAULO</v>
      </c>
      <c r="AK486" s="183" t="s">
        <v>54</v>
      </c>
    </row>
    <row r="487" spans="1:37" ht="30" customHeight="1">
      <c r="A487" s="161" t="s">
        <v>198</v>
      </c>
      <c r="B487" s="155">
        <v>2693352872</v>
      </c>
      <c r="C487" s="155" t="s">
        <v>122</v>
      </c>
      <c r="D487" s="155" t="s">
        <v>96</v>
      </c>
      <c r="E487" s="155" t="s">
        <v>35</v>
      </c>
      <c r="F487" s="155" t="s">
        <v>1004</v>
      </c>
      <c r="G487" s="155">
        <v>158</v>
      </c>
      <c r="H487" s="155" t="s">
        <v>200</v>
      </c>
      <c r="I487" s="155" t="s">
        <v>303</v>
      </c>
      <c r="J487" s="155" t="s">
        <v>267</v>
      </c>
      <c r="K487" s="155" t="s">
        <v>656</v>
      </c>
      <c r="L487" s="155" t="s">
        <v>1005</v>
      </c>
      <c r="M487" s="155" t="s">
        <v>1006</v>
      </c>
      <c r="N487" s="155" t="s">
        <v>331</v>
      </c>
      <c r="O487" s="256" t="s">
        <v>207</v>
      </c>
      <c r="P487" s="90"/>
      <c r="Q487" s="140" t="s">
        <v>207</v>
      </c>
      <c r="R487" s="90"/>
      <c r="S487" s="140" t="s">
        <v>207</v>
      </c>
      <c r="T487" s="90"/>
      <c r="U487" s="140" t="s">
        <v>207</v>
      </c>
      <c r="V487" s="90"/>
      <c r="W487" s="140" t="s">
        <v>207</v>
      </c>
      <c r="X487" s="90"/>
      <c r="Y487" s="140" t="s">
        <v>77</v>
      </c>
      <c r="Z487" s="90"/>
      <c r="AA487" s="140" t="s">
        <v>207</v>
      </c>
      <c r="AB487" s="90"/>
      <c r="AC487" s="140" t="s">
        <v>207</v>
      </c>
      <c r="AD487" s="90"/>
      <c r="AE487" s="140" t="s">
        <v>207</v>
      </c>
      <c r="AF487" s="178" t="str">
        <f t="shared" si="21"/>
        <v>C</v>
      </c>
      <c r="AG487" s="52" t="str">
        <f t="shared" si="22"/>
        <v>UTILIZOU O PDA CORRETAMENTE</v>
      </c>
      <c r="AH487" s="140" t="s">
        <v>207</v>
      </c>
      <c r="AI487" s="182" t="s">
        <v>36</v>
      </c>
      <c r="AJ487" s="93" t="str">
        <f t="shared" si="23"/>
        <v>SÃO PAULO</v>
      </c>
      <c r="AK487" s="183" t="s">
        <v>54</v>
      </c>
    </row>
    <row r="488" spans="1:37" ht="30" customHeight="1">
      <c r="A488" s="161" t="s">
        <v>198</v>
      </c>
      <c r="B488" s="155">
        <v>2619937823</v>
      </c>
      <c r="C488" s="155" t="s">
        <v>238</v>
      </c>
      <c r="D488" s="155" t="s">
        <v>92</v>
      </c>
      <c r="E488" s="155" t="s">
        <v>35</v>
      </c>
      <c r="F488" s="155" t="s">
        <v>1007</v>
      </c>
      <c r="G488" s="155">
        <v>128</v>
      </c>
      <c r="H488" s="155" t="s">
        <v>491</v>
      </c>
      <c r="I488" s="155" t="s">
        <v>417</v>
      </c>
      <c r="J488" s="155" t="s">
        <v>242</v>
      </c>
      <c r="K488" s="155" t="s">
        <v>200</v>
      </c>
      <c r="L488" s="155" t="s">
        <v>1008</v>
      </c>
      <c r="M488" s="155" t="s">
        <v>1009</v>
      </c>
      <c r="N488" s="155" t="s">
        <v>213</v>
      </c>
      <c r="O488" s="140" t="s">
        <v>207</v>
      </c>
      <c r="P488" s="90"/>
      <c r="Q488" s="140" t="s">
        <v>207</v>
      </c>
      <c r="R488" s="90"/>
      <c r="S488" s="140" t="s">
        <v>207</v>
      </c>
      <c r="T488" s="90"/>
      <c r="U488" s="140" t="s">
        <v>77</v>
      </c>
      <c r="V488" s="90"/>
      <c r="W488" s="140" t="s">
        <v>77</v>
      </c>
      <c r="X488" s="90"/>
      <c r="Y488" s="140" t="s">
        <v>77</v>
      </c>
      <c r="Z488" s="90"/>
      <c r="AA488" s="140" t="s">
        <v>77</v>
      </c>
      <c r="AB488" s="90"/>
      <c r="AC488" s="140" t="s">
        <v>207</v>
      </c>
      <c r="AD488" s="90"/>
      <c r="AE488" s="140" t="s">
        <v>207</v>
      </c>
      <c r="AF488" s="178" t="str">
        <f t="shared" si="21"/>
        <v>C</v>
      </c>
      <c r="AG488" s="52" t="str">
        <f t="shared" si="22"/>
        <v>UTILIZOU O PDA CORRETAMENTE</v>
      </c>
      <c r="AH488" s="140" t="s">
        <v>207</v>
      </c>
      <c r="AI488" s="182" t="s">
        <v>36</v>
      </c>
      <c r="AJ488" s="93" t="str">
        <f t="shared" si="23"/>
        <v>SÃO PAULO</v>
      </c>
      <c r="AK488" s="183" t="s">
        <v>54</v>
      </c>
    </row>
    <row r="489" spans="1:37" ht="30" customHeight="1">
      <c r="A489" s="161" t="s">
        <v>198</v>
      </c>
      <c r="B489" s="155">
        <v>2619937824</v>
      </c>
      <c r="C489" s="155" t="s">
        <v>238</v>
      </c>
      <c r="D489" s="155" t="s">
        <v>92</v>
      </c>
      <c r="E489" s="155" t="s">
        <v>35</v>
      </c>
      <c r="F489" s="155" t="s">
        <v>1007</v>
      </c>
      <c r="G489" s="155">
        <v>128</v>
      </c>
      <c r="H489" s="155" t="s">
        <v>487</v>
      </c>
      <c r="I489" s="155" t="s">
        <v>417</v>
      </c>
      <c r="J489" s="155" t="s">
        <v>242</v>
      </c>
      <c r="K489" s="155" t="s">
        <v>200</v>
      </c>
      <c r="L489" s="155" t="s">
        <v>1010</v>
      </c>
      <c r="M489" s="155" t="s">
        <v>1011</v>
      </c>
      <c r="N489" s="155" t="s">
        <v>213</v>
      </c>
      <c r="O489" s="140" t="s">
        <v>207</v>
      </c>
      <c r="P489" s="90"/>
      <c r="Q489" s="140" t="s">
        <v>207</v>
      </c>
      <c r="R489" s="90"/>
      <c r="S489" s="140" t="s">
        <v>207</v>
      </c>
      <c r="T489" s="90"/>
      <c r="U489" s="140" t="s">
        <v>77</v>
      </c>
      <c r="V489" s="90"/>
      <c r="W489" s="140" t="s">
        <v>77</v>
      </c>
      <c r="X489" s="90"/>
      <c r="Y489" s="140" t="s">
        <v>77</v>
      </c>
      <c r="Z489" s="90"/>
      <c r="AA489" s="140" t="s">
        <v>77</v>
      </c>
      <c r="AB489" s="90"/>
      <c r="AC489" s="140" t="s">
        <v>207</v>
      </c>
      <c r="AD489" s="90"/>
      <c r="AE489" s="140" t="s">
        <v>207</v>
      </c>
      <c r="AF489" s="178" t="str">
        <f t="shared" si="21"/>
        <v>C</v>
      </c>
      <c r="AG489" s="52" t="str">
        <f t="shared" si="22"/>
        <v>UTILIZOU O PDA CORRETAMENTE</v>
      </c>
      <c r="AH489" s="140" t="s">
        <v>207</v>
      </c>
      <c r="AI489" s="182" t="s">
        <v>36</v>
      </c>
      <c r="AJ489" s="93" t="str">
        <f t="shared" si="23"/>
        <v>SÃO PAULO</v>
      </c>
      <c r="AK489" s="183" t="s">
        <v>54</v>
      </c>
    </row>
    <row r="490" spans="1:37" ht="30" customHeight="1">
      <c r="A490" s="161" t="s">
        <v>198</v>
      </c>
      <c r="B490" s="155">
        <v>2620530005</v>
      </c>
      <c r="C490" s="155" t="s">
        <v>120</v>
      </c>
      <c r="D490" s="155" t="s">
        <v>96</v>
      </c>
      <c r="E490" s="155" t="s">
        <v>35</v>
      </c>
      <c r="F490" s="155" t="s">
        <v>1012</v>
      </c>
      <c r="G490" s="155">
        <v>0</v>
      </c>
      <c r="H490" s="155" t="s">
        <v>200</v>
      </c>
      <c r="I490" s="155" t="s">
        <v>293</v>
      </c>
      <c r="J490" s="155" t="s">
        <v>336</v>
      </c>
      <c r="K490" s="155">
        <v>123</v>
      </c>
      <c r="L490" s="155" t="s">
        <v>1013</v>
      </c>
      <c r="M490" s="155" t="s">
        <v>1014</v>
      </c>
      <c r="N490" s="155" t="s">
        <v>331</v>
      </c>
      <c r="O490" s="256" t="s">
        <v>207</v>
      </c>
      <c r="P490" s="90"/>
      <c r="Q490" s="140" t="s">
        <v>207</v>
      </c>
      <c r="R490" s="90"/>
      <c r="S490" s="140" t="s">
        <v>207</v>
      </c>
      <c r="T490" s="90"/>
      <c r="U490" s="140" t="s">
        <v>207</v>
      </c>
      <c r="V490" s="90"/>
      <c r="W490" s="140" t="s">
        <v>207</v>
      </c>
      <c r="X490" s="90"/>
      <c r="Y490" s="140" t="s">
        <v>77</v>
      </c>
      <c r="Z490" s="90"/>
      <c r="AA490" s="140" t="s">
        <v>207</v>
      </c>
      <c r="AB490" s="90"/>
      <c r="AC490" s="140" t="s">
        <v>207</v>
      </c>
      <c r="AD490" s="90"/>
      <c r="AE490" s="140" t="s">
        <v>207</v>
      </c>
      <c r="AF490" s="178" t="str">
        <f t="shared" si="21"/>
        <v>C</v>
      </c>
      <c r="AG490" s="52" t="str">
        <f t="shared" si="22"/>
        <v>UTILIZOU O PDA CORRETAMENTE</v>
      </c>
      <c r="AH490" s="140" t="s">
        <v>207</v>
      </c>
      <c r="AI490" s="182" t="s">
        <v>36</v>
      </c>
      <c r="AJ490" s="93" t="str">
        <f t="shared" si="23"/>
        <v>SÃO PAULO</v>
      </c>
      <c r="AK490" s="183" t="s">
        <v>54</v>
      </c>
    </row>
    <row r="491" spans="1:37" ht="30" customHeight="1">
      <c r="A491" s="161" t="s">
        <v>198</v>
      </c>
      <c r="B491" s="155">
        <v>2620529849</v>
      </c>
      <c r="C491" s="155" t="s">
        <v>116</v>
      </c>
      <c r="D491" s="155" t="s">
        <v>94</v>
      </c>
      <c r="E491" s="155" t="s">
        <v>35</v>
      </c>
      <c r="F491" s="155" t="s">
        <v>941</v>
      </c>
      <c r="G491" s="155">
        <v>8</v>
      </c>
      <c r="H491" s="155" t="s">
        <v>200</v>
      </c>
      <c r="I491" s="155" t="s">
        <v>256</v>
      </c>
      <c r="J491" s="155" t="s">
        <v>221</v>
      </c>
      <c r="K491" s="155" t="s">
        <v>770</v>
      </c>
      <c r="L491" s="155" t="s">
        <v>1015</v>
      </c>
      <c r="M491" s="155" t="s">
        <v>1016</v>
      </c>
      <c r="N491" s="155" t="s">
        <v>320</v>
      </c>
      <c r="O491" s="256" t="s">
        <v>207</v>
      </c>
      <c r="P491" s="90"/>
      <c r="Q491" s="140" t="s">
        <v>207</v>
      </c>
      <c r="R491" s="90"/>
      <c r="S491" s="140" t="s">
        <v>207</v>
      </c>
      <c r="T491" s="90"/>
      <c r="U491" s="140" t="s">
        <v>207</v>
      </c>
      <c r="V491" s="90"/>
      <c r="W491" s="140" t="s">
        <v>207</v>
      </c>
      <c r="X491" s="90"/>
      <c r="Y491" s="140" t="s">
        <v>207</v>
      </c>
      <c r="Z491" s="90"/>
      <c r="AA491" s="140" t="s">
        <v>207</v>
      </c>
      <c r="AB491" s="90"/>
      <c r="AC491" s="140" t="s">
        <v>207</v>
      </c>
      <c r="AD491" s="90"/>
      <c r="AE491" s="140" t="s">
        <v>207</v>
      </c>
      <c r="AF491" s="178" t="str">
        <f t="shared" si="21"/>
        <v>C</v>
      </c>
      <c r="AG491" s="52" t="str">
        <f t="shared" si="22"/>
        <v>UTILIZOU O PDA CORRETAMENTE</v>
      </c>
      <c r="AH491" s="140" t="s">
        <v>207</v>
      </c>
      <c r="AI491" s="182" t="s">
        <v>36</v>
      </c>
      <c r="AJ491" s="93" t="str">
        <f t="shared" si="23"/>
        <v>SÃO PAULO</v>
      </c>
      <c r="AK491" s="183" t="s">
        <v>54</v>
      </c>
    </row>
    <row r="492" spans="1:37" ht="30" customHeight="1">
      <c r="A492" s="161" t="s">
        <v>198</v>
      </c>
      <c r="B492" s="155">
        <v>2620530914</v>
      </c>
      <c r="C492" s="155" t="s">
        <v>120</v>
      </c>
      <c r="D492" s="155" t="s">
        <v>96</v>
      </c>
      <c r="E492" s="155" t="s">
        <v>35</v>
      </c>
      <c r="F492" s="155" t="s">
        <v>1017</v>
      </c>
      <c r="G492" s="155">
        <v>229</v>
      </c>
      <c r="H492" s="155" t="s">
        <v>200</v>
      </c>
      <c r="I492" s="155" t="s">
        <v>525</v>
      </c>
      <c r="J492" s="155" t="s">
        <v>336</v>
      </c>
      <c r="K492" s="155" t="s">
        <v>200</v>
      </c>
      <c r="L492" s="155" t="s">
        <v>1018</v>
      </c>
      <c r="M492" s="155" t="s">
        <v>1019</v>
      </c>
      <c r="N492" s="155" t="s">
        <v>235</v>
      </c>
      <c r="O492" s="256" t="s">
        <v>207</v>
      </c>
      <c r="P492" s="90"/>
      <c r="Q492" s="140" t="s">
        <v>207</v>
      </c>
      <c r="R492" s="90"/>
      <c r="S492" s="140" t="s">
        <v>207</v>
      </c>
      <c r="T492" s="90"/>
      <c r="U492" s="140" t="s">
        <v>207</v>
      </c>
      <c r="V492" s="90"/>
      <c r="W492" s="140" t="s">
        <v>207</v>
      </c>
      <c r="X492" s="90"/>
      <c r="Y492" s="140" t="s">
        <v>77</v>
      </c>
      <c r="Z492" s="90"/>
      <c r="AA492" s="140" t="s">
        <v>207</v>
      </c>
      <c r="AB492" s="90"/>
      <c r="AC492" s="140" t="s">
        <v>207</v>
      </c>
      <c r="AD492" s="90"/>
      <c r="AE492" s="140" t="s">
        <v>207</v>
      </c>
      <c r="AF492" s="178" t="str">
        <f t="shared" si="21"/>
        <v>C</v>
      </c>
      <c r="AG492" s="52" t="str">
        <f t="shared" si="22"/>
        <v>UTILIZOU O PDA CORRETAMENTE</v>
      </c>
      <c r="AH492" s="140" t="s">
        <v>207</v>
      </c>
      <c r="AI492" s="182" t="s">
        <v>36</v>
      </c>
      <c r="AJ492" s="93" t="str">
        <f t="shared" si="23"/>
        <v>SÃO PAULO</v>
      </c>
      <c r="AK492" s="183" t="s">
        <v>54</v>
      </c>
    </row>
    <row r="493" spans="1:37" ht="30" customHeight="1">
      <c r="A493" s="161" t="s">
        <v>198</v>
      </c>
      <c r="B493" s="155">
        <v>2620530330</v>
      </c>
      <c r="C493" s="155" t="s">
        <v>121</v>
      </c>
      <c r="D493" s="155" t="s">
        <v>96</v>
      </c>
      <c r="E493" s="155" t="s">
        <v>35</v>
      </c>
      <c r="F493" s="155" t="s">
        <v>1020</v>
      </c>
      <c r="G493" s="155">
        <v>121</v>
      </c>
      <c r="H493" s="155" t="s">
        <v>200</v>
      </c>
      <c r="I493" s="155" t="s">
        <v>631</v>
      </c>
      <c r="J493" s="155" t="s">
        <v>1021</v>
      </c>
      <c r="K493" s="155" t="s">
        <v>200</v>
      </c>
      <c r="L493" s="155" t="s">
        <v>1022</v>
      </c>
      <c r="M493" s="155" t="s">
        <v>1023</v>
      </c>
      <c r="N493" s="155" t="s">
        <v>327</v>
      </c>
      <c r="O493" s="256" t="s">
        <v>207</v>
      </c>
      <c r="P493" s="90"/>
      <c r="Q493" s="140" t="s">
        <v>207</v>
      </c>
      <c r="R493" s="90"/>
      <c r="S493" s="140" t="s">
        <v>207</v>
      </c>
      <c r="T493" s="90"/>
      <c r="U493" s="140" t="s">
        <v>207</v>
      </c>
      <c r="V493" s="90"/>
      <c r="W493" s="140" t="s">
        <v>207</v>
      </c>
      <c r="X493" s="90"/>
      <c r="Y493" s="140" t="s">
        <v>77</v>
      </c>
      <c r="Z493" s="90"/>
      <c r="AA493" s="140" t="s">
        <v>207</v>
      </c>
      <c r="AB493" s="90"/>
      <c r="AC493" s="140" t="s">
        <v>207</v>
      </c>
      <c r="AD493" s="90"/>
      <c r="AE493" s="140" t="s">
        <v>207</v>
      </c>
      <c r="AF493" s="178" t="str">
        <f t="shared" si="21"/>
        <v>C</v>
      </c>
      <c r="AG493" s="52" t="str">
        <f t="shared" si="22"/>
        <v>UTILIZOU O PDA CORRETAMENTE</v>
      </c>
      <c r="AH493" s="140" t="s">
        <v>207</v>
      </c>
      <c r="AI493" s="182" t="s">
        <v>36</v>
      </c>
      <c r="AJ493" s="93" t="str">
        <f t="shared" si="23"/>
        <v>SÃO PAULO</v>
      </c>
      <c r="AK493" s="183" t="s">
        <v>54</v>
      </c>
    </row>
    <row r="494" spans="1:37" ht="30" customHeight="1">
      <c r="A494" s="161" t="s">
        <v>198</v>
      </c>
      <c r="B494" s="155">
        <v>2619861600</v>
      </c>
      <c r="C494" s="155" t="s">
        <v>121</v>
      </c>
      <c r="D494" s="155" t="s">
        <v>96</v>
      </c>
      <c r="E494" s="155" t="s">
        <v>35</v>
      </c>
      <c r="F494" s="155" t="s">
        <v>1024</v>
      </c>
      <c r="G494" s="155">
        <v>2000</v>
      </c>
      <c r="H494" s="155" t="s">
        <v>200</v>
      </c>
      <c r="I494" s="155" t="s">
        <v>218</v>
      </c>
      <c r="J494" s="155" t="s">
        <v>336</v>
      </c>
      <c r="K494" s="155" t="s">
        <v>200</v>
      </c>
      <c r="L494" s="155" t="s">
        <v>1025</v>
      </c>
      <c r="M494" s="155" t="s">
        <v>1026</v>
      </c>
      <c r="N494" s="155" t="s">
        <v>349</v>
      </c>
      <c r="O494" s="256" t="s">
        <v>207</v>
      </c>
      <c r="P494" s="90"/>
      <c r="Q494" s="140" t="s">
        <v>207</v>
      </c>
      <c r="R494" s="90"/>
      <c r="S494" s="140" t="s">
        <v>207</v>
      </c>
      <c r="T494" s="90"/>
      <c r="U494" s="140" t="s">
        <v>207</v>
      </c>
      <c r="V494" s="90"/>
      <c r="W494" s="140" t="s">
        <v>207</v>
      </c>
      <c r="X494" s="90"/>
      <c r="Y494" s="140" t="s">
        <v>77</v>
      </c>
      <c r="Z494" s="90"/>
      <c r="AA494" s="140" t="s">
        <v>207</v>
      </c>
      <c r="AB494" s="90"/>
      <c r="AC494" s="140" t="s">
        <v>207</v>
      </c>
      <c r="AD494" s="90"/>
      <c r="AE494" s="140" t="s">
        <v>207</v>
      </c>
      <c r="AF494" s="178" t="str">
        <f t="shared" si="21"/>
        <v>C</v>
      </c>
      <c r="AG494" s="52" t="str">
        <f t="shared" si="22"/>
        <v>UTILIZOU O PDA CORRETAMENTE</v>
      </c>
      <c r="AH494" s="140" t="s">
        <v>207</v>
      </c>
      <c r="AI494" s="182" t="s">
        <v>36</v>
      </c>
      <c r="AJ494" s="93" t="str">
        <f t="shared" si="23"/>
        <v>SÃO PAULO</v>
      </c>
      <c r="AK494" s="183" t="s">
        <v>54</v>
      </c>
    </row>
    <row r="495" spans="1:37" ht="30" customHeight="1">
      <c r="A495" s="161" t="s">
        <v>198</v>
      </c>
      <c r="B495" s="155">
        <v>2620361962</v>
      </c>
      <c r="C495" s="155" t="s">
        <v>115</v>
      </c>
      <c r="D495" s="155" t="s">
        <v>96</v>
      </c>
      <c r="E495" s="155" t="s">
        <v>35</v>
      </c>
      <c r="F495" s="155" t="s">
        <v>1027</v>
      </c>
      <c r="G495" s="155">
        <v>510</v>
      </c>
      <c r="H495" s="155" t="s">
        <v>347</v>
      </c>
      <c r="I495" s="155" t="s">
        <v>355</v>
      </c>
      <c r="J495" s="155" t="s">
        <v>268</v>
      </c>
      <c r="K495" s="155" t="s">
        <v>200</v>
      </c>
      <c r="L495" s="155" t="s">
        <v>1028</v>
      </c>
      <c r="M495" s="155" t="s">
        <v>1029</v>
      </c>
      <c r="N495" s="155" t="s">
        <v>345</v>
      </c>
      <c r="O495" s="256" t="s">
        <v>207</v>
      </c>
      <c r="P495" s="90"/>
      <c r="Q495" s="140" t="s">
        <v>207</v>
      </c>
      <c r="R495" s="90"/>
      <c r="S495" s="140" t="s">
        <v>207</v>
      </c>
      <c r="T495" s="90"/>
      <c r="U495" s="140" t="s">
        <v>207</v>
      </c>
      <c r="V495" s="90"/>
      <c r="W495" s="140" t="s">
        <v>207</v>
      </c>
      <c r="X495" s="90"/>
      <c r="Y495" s="140" t="s">
        <v>207</v>
      </c>
      <c r="Z495" s="90"/>
      <c r="AA495" s="140" t="s">
        <v>207</v>
      </c>
      <c r="AB495" s="90"/>
      <c r="AC495" s="140" t="s">
        <v>207</v>
      </c>
      <c r="AD495" s="90"/>
      <c r="AE495" s="140" t="s">
        <v>207</v>
      </c>
      <c r="AF495" s="178" t="str">
        <f t="shared" si="21"/>
        <v>C</v>
      </c>
      <c r="AG495" s="52" t="str">
        <f t="shared" si="22"/>
        <v>UTILIZOU O PDA CORRETAMENTE</v>
      </c>
      <c r="AH495" s="140" t="s">
        <v>207</v>
      </c>
      <c r="AI495" s="182" t="s">
        <v>36</v>
      </c>
      <c r="AJ495" s="93" t="str">
        <f t="shared" si="23"/>
        <v>SÃO PAULO</v>
      </c>
      <c r="AK495" s="183" t="s">
        <v>54</v>
      </c>
    </row>
    <row r="496" spans="1:37" ht="30" customHeight="1">
      <c r="A496" s="161" t="s">
        <v>198</v>
      </c>
      <c r="B496" s="155">
        <v>2620545190</v>
      </c>
      <c r="C496" s="155" t="s">
        <v>1030</v>
      </c>
      <c r="D496" s="155" t="s">
        <v>96</v>
      </c>
      <c r="E496" s="155" t="s">
        <v>35</v>
      </c>
      <c r="F496" s="155" t="s">
        <v>530</v>
      </c>
      <c r="G496" s="155">
        <v>218</v>
      </c>
      <c r="H496" s="155" t="s">
        <v>200</v>
      </c>
      <c r="I496" s="155" t="s">
        <v>241</v>
      </c>
      <c r="J496" s="155" t="s">
        <v>1031</v>
      </c>
      <c r="K496" s="155" t="s">
        <v>200</v>
      </c>
      <c r="L496" s="155" t="s">
        <v>1032</v>
      </c>
      <c r="M496" s="155" t="s">
        <v>1033</v>
      </c>
      <c r="N496" s="155" t="s">
        <v>517</v>
      </c>
      <c r="O496" s="256" t="s">
        <v>207</v>
      </c>
      <c r="P496" s="90"/>
      <c r="Q496" s="140" t="s">
        <v>207</v>
      </c>
      <c r="R496" s="90"/>
      <c r="S496" s="140" t="s">
        <v>207</v>
      </c>
      <c r="T496" s="90"/>
      <c r="U496" s="140" t="s">
        <v>207</v>
      </c>
      <c r="V496" s="90"/>
      <c r="W496" s="140" t="s">
        <v>207</v>
      </c>
      <c r="X496" s="90"/>
      <c r="Y496" s="140" t="s">
        <v>77</v>
      </c>
      <c r="Z496" s="90"/>
      <c r="AA496" s="140" t="s">
        <v>207</v>
      </c>
      <c r="AB496" s="90"/>
      <c r="AC496" s="140" t="s">
        <v>207</v>
      </c>
      <c r="AD496" s="90"/>
      <c r="AE496" s="140" t="s">
        <v>207</v>
      </c>
      <c r="AF496" s="178" t="str">
        <f t="shared" si="21"/>
        <v>C</v>
      </c>
      <c r="AG496" s="52" t="str">
        <f t="shared" si="22"/>
        <v>UTILIZOU O PDA CORRETAMENTE</v>
      </c>
      <c r="AH496" s="140" t="s">
        <v>207</v>
      </c>
      <c r="AI496" s="182" t="s">
        <v>36</v>
      </c>
      <c r="AJ496" s="93" t="str">
        <f t="shared" si="23"/>
        <v>SÃO PAULO</v>
      </c>
      <c r="AK496" s="183" t="s">
        <v>54</v>
      </c>
    </row>
    <row r="497" spans="1:37" ht="30" customHeight="1">
      <c r="A497" s="161" t="s">
        <v>198</v>
      </c>
      <c r="B497" s="155">
        <v>2693396269</v>
      </c>
      <c r="C497" s="155" t="s">
        <v>122</v>
      </c>
      <c r="D497" s="155" t="s">
        <v>96</v>
      </c>
      <c r="E497" s="155" t="s">
        <v>35</v>
      </c>
      <c r="F497" s="155" t="s">
        <v>1034</v>
      </c>
      <c r="G497" s="155">
        <v>30</v>
      </c>
      <c r="H497" s="155" t="s">
        <v>200</v>
      </c>
      <c r="I497" s="155" t="s">
        <v>1035</v>
      </c>
      <c r="J497" s="155" t="s">
        <v>267</v>
      </c>
      <c r="K497" s="155" t="s">
        <v>1036</v>
      </c>
      <c r="L497" s="155" t="s">
        <v>1037</v>
      </c>
      <c r="M497" s="155" t="s">
        <v>1038</v>
      </c>
      <c r="N497" s="155" t="s">
        <v>364</v>
      </c>
      <c r="O497" s="256" t="s">
        <v>207</v>
      </c>
      <c r="P497" s="90"/>
      <c r="Q497" s="140" t="s">
        <v>207</v>
      </c>
      <c r="R497" s="90"/>
      <c r="S497" s="140" t="s">
        <v>207</v>
      </c>
      <c r="T497" s="90"/>
      <c r="U497" s="140" t="s">
        <v>207</v>
      </c>
      <c r="V497" s="90"/>
      <c r="W497" s="140" t="s">
        <v>207</v>
      </c>
      <c r="X497" s="90"/>
      <c r="Y497" s="140" t="s">
        <v>77</v>
      </c>
      <c r="Z497" s="90"/>
      <c r="AA497" s="140" t="s">
        <v>207</v>
      </c>
      <c r="AB497" s="90"/>
      <c r="AC497" s="140" t="s">
        <v>207</v>
      </c>
      <c r="AD497" s="90"/>
      <c r="AE497" s="140" t="s">
        <v>207</v>
      </c>
      <c r="AF497" s="178" t="str">
        <f t="shared" si="21"/>
        <v>C</v>
      </c>
      <c r="AG497" s="52" t="str">
        <f t="shared" si="22"/>
        <v>UTILIZOU O PDA CORRETAMENTE</v>
      </c>
      <c r="AH497" s="140" t="s">
        <v>207</v>
      </c>
      <c r="AI497" s="182" t="s">
        <v>36</v>
      </c>
      <c r="AJ497" s="93" t="str">
        <f t="shared" si="23"/>
        <v>SÃO PAULO</v>
      </c>
      <c r="AK497" s="183" t="s">
        <v>54</v>
      </c>
    </row>
    <row r="498" spans="1:37" ht="30" customHeight="1">
      <c r="A498" s="161" t="s">
        <v>198</v>
      </c>
      <c r="B498" s="155">
        <v>2620531559</v>
      </c>
      <c r="C498" s="155" t="s">
        <v>120</v>
      </c>
      <c r="D498" s="155" t="s">
        <v>96</v>
      </c>
      <c r="E498" s="155" t="s">
        <v>35</v>
      </c>
      <c r="F498" s="155" t="s">
        <v>528</v>
      </c>
      <c r="G498" s="155">
        <v>580</v>
      </c>
      <c r="H498" s="155" t="s">
        <v>200</v>
      </c>
      <c r="I498" s="155" t="s">
        <v>357</v>
      </c>
      <c r="J498" s="155" t="s">
        <v>202</v>
      </c>
      <c r="K498" s="155" t="s">
        <v>1039</v>
      </c>
      <c r="L498" s="155" t="s">
        <v>1040</v>
      </c>
      <c r="M498" s="155" t="s">
        <v>1041</v>
      </c>
      <c r="N498" s="155" t="s">
        <v>331</v>
      </c>
      <c r="O498" s="256" t="s">
        <v>207</v>
      </c>
      <c r="P498" s="90"/>
      <c r="Q498" s="140" t="s">
        <v>207</v>
      </c>
      <c r="R498" s="90"/>
      <c r="S498" s="140" t="s">
        <v>207</v>
      </c>
      <c r="T498" s="90"/>
      <c r="U498" s="140" t="s">
        <v>207</v>
      </c>
      <c r="V498" s="90"/>
      <c r="W498" s="140" t="s">
        <v>207</v>
      </c>
      <c r="X498" s="90"/>
      <c r="Y498" s="140" t="s">
        <v>77</v>
      </c>
      <c r="Z498" s="90"/>
      <c r="AA498" s="140" t="s">
        <v>207</v>
      </c>
      <c r="AB498" s="90"/>
      <c r="AC498" s="140" t="s">
        <v>207</v>
      </c>
      <c r="AD498" s="90"/>
      <c r="AE498" s="140" t="s">
        <v>207</v>
      </c>
      <c r="AF498" s="178" t="str">
        <f t="shared" si="21"/>
        <v>C</v>
      </c>
      <c r="AG498" s="52" t="str">
        <f t="shared" si="22"/>
        <v>UTILIZOU O PDA CORRETAMENTE</v>
      </c>
      <c r="AH498" s="140" t="s">
        <v>207</v>
      </c>
      <c r="AI498" s="182" t="s">
        <v>36</v>
      </c>
      <c r="AJ498" s="93" t="str">
        <f t="shared" si="23"/>
        <v>SÃO PAULO</v>
      </c>
      <c r="AK498" s="183" t="s">
        <v>54</v>
      </c>
    </row>
    <row r="499" spans="1:37" ht="30" customHeight="1">
      <c r="A499" s="161" t="s">
        <v>198</v>
      </c>
      <c r="B499" s="155">
        <v>2620322760</v>
      </c>
      <c r="C499" s="155" t="s">
        <v>115</v>
      </c>
      <c r="D499" s="155" t="s">
        <v>96</v>
      </c>
      <c r="E499" s="155" t="s">
        <v>35</v>
      </c>
      <c r="F499" s="155" t="s">
        <v>1042</v>
      </c>
      <c r="G499" s="155">
        <v>21</v>
      </c>
      <c r="H499" s="155" t="s">
        <v>347</v>
      </c>
      <c r="I499" s="155" t="s">
        <v>471</v>
      </c>
      <c r="J499" s="155" t="s">
        <v>268</v>
      </c>
      <c r="K499" s="155" t="s">
        <v>200</v>
      </c>
      <c r="L499" s="155" t="s">
        <v>1043</v>
      </c>
      <c r="M499" s="155" t="s">
        <v>1044</v>
      </c>
      <c r="N499" s="155" t="s">
        <v>345</v>
      </c>
      <c r="O499" s="256" t="s">
        <v>207</v>
      </c>
      <c r="P499" s="90"/>
      <c r="Q499" s="140" t="s">
        <v>207</v>
      </c>
      <c r="R499" s="90"/>
      <c r="S499" s="140" t="s">
        <v>207</v>
      </c>
      <c r="T499" s="90"/>
      <c r="U499" s="140" t="s">
        <v>207</v>
      </c>
      <c r="V499" s="90"/>
      <c r="W499" s="140" t="s">
        <v>207</v>
      </c>
      <c r="X499" s="90"/>
      <c r="Y499" s="140" t="s">
        <v>207</v>
      </c>
      <c r="Z499" s="90"/>
      <c r="AA499" s="140" t="s">
        <v>207</v>
      </c>
      <c r="AB499" s="90"/>
      <c r="AC499" s="140" t="s">
        <v>207</v>
      </c>
      <c r="AD499" s="90"/>
      <c r="AE499" s="140" t="s">
        <v>207</v>
      </c>
      <c r="AF499" s="178" t="str">
        <f t="shared" si="21"/>
        <v>C</v>
      </c>
      <c r="AG499" s="52" t="str">
        <f t="shared" si="22"/>
        <v>UTILIZOU O PDA CORRETAMENTE</v>
      </c>
      <c r="AH499" s="140" t="s">
        <v>207</v>
      </c>
      <c r="AI499" s="182" t="s">
        <v>36</v>
      </c>
      <c r="AJ499" s="93" t="str">
        <f t="shared" si="23"/>
        <v>SÃO PAULO</v>
      </c>
      <c r="AK499" s="183" t="s">
        <v>54</v>
      </c>
    </row>
    <row r="500" spans="1:37" ht="30" customHeight="1">
      <c r="A500" s="161" t="s">
        <v>198</v>
      </c>
      <c r="B500" s="155">
        <v>2693365171</v>
      </c>
      <c r="C500" s="155" t="s">
        <v>114</v>
      </c>
      <c r="D500" s="155" t="s">
        <v>96</v>
      </c>
      <c r="E500" s="155" t="s">
        <v>35</v>
      </c>
      <c r="F500" s="155" t="s">
        <v>1045</v>
      </c>
      <c r="G500" s="155">
        <v>90</v>
      </c>
      <c r="H500" s="155" t="s">
        <v>205</v>
      </c>
      <c r="I500" s="155" t="s">
        <v>536</v>
      </c>
      <c r="J500" s="155" t="s">
        <v>260</v>
      </c>
      <c r="K500" s="155" t="s">
        <v>200</v>
      </c>
      <c r="L500" s="155" t="s">
        <v>1046</v>
      </c>
      <c r="M500" s="155" t="s">
        <v>1047</v>
      </c>
      <c r="N500" s="155" t="s">
        <v>222</v>
      </c>
      <c r="O500" s="256" t="s">
        <v>207</v>
      </c>
      <c r="P500" s="90"/>
      <c r="Q500" s="140" t="s">
        <v>207</v>
      </c>
      <c r="R500" s="90"/>
      <c r="S500" s="140" t="s">
        <v>207</v>
      </c>
      <c r="T500" s="90"/>
      <c r="U500" s="140" t="s">
        <v>207</v>
      </c>
      <c r="V500" s="90"/>
      <c r="W500" s="140" t="s">
        <v>207</v>
      </c>
      <c r="X500" s="90"/>
      <c r="Y500" s="140" t="s">
        <v>207</v>
      </c>
      <c r="Z500" s="90"/>
      <c r="AA500" s="140" t="s">
        <v>207</v>
      </c>
      <c r="AB500" s="90"/>
      <c r="AC500" s="140" t="s">
        <v>207</v>
      </c>
      <c r="AD500" s="90"/>
      <c r="AE500" s="140" t="s">
        <v>207</v>
      </c>
      <c r="AF500" s="178" t="str">
        <f t="shared" si="21"/>
        <v>C</v>
      </c>
      <c r="AG500" s="52" t="str">
        <f t="shared" si="22"/>
        <v>UTILIZOU O PDA CORRETAMENTE</v>
      </c>
      <c r="AH500" s="140" t="s">
        <v>207</v>
      </c>
      <c r="AI500" s="182" t="s">
        <v>36</v>
      </c>
      <c r="AJ500" s="93" t="str">
        <f t="shared" si="23"/>
        <v>SÃO PAULO</v>
      </c>
      <c r="AK500" s="183" t="s">
        <v>54</v>
      </c>
    </row>
    <row r="501" spans="1:37" ht="30" customHeight="1">
      <c r="A501" s="161" t="s">
        <v>198</v>
      </c>
      <c r="B501" s="155">
        <v>2620336490</v>
      </c>
      <c r="C501" s="155" t="s">
        <v>115</v>
      </c>
      <c r="D501" s="155" t="s">
        <v>96</v>
      </c>
      <c r="E501" s="155" t="s">
        <v>35</v>
      </c>
      <c r="F501" s="155" t="s">
        <v>909</v>
      </c>
      <c r="G501" s="155">
        <v>134</v>
      </c>
      <c r="H501" s="155" t="s">
        <v>205</v>
      </c>
      <c r="I501" s="155" t="s">
        <v>675</v>
      </c>
      <c r="J501" s="155" t="s">
        <v>268</v>
      </c>
      <c r="K501" s="155" t="s">
        <v>200</v>
      </c>
      <c r="L501" s="155" t="s">
        <v>1048</v>
      </c>
      <c r="M501" s="155" t="s">
        <v>966</v>
      </c>
      <c r="N501" s="155" t="s">
        <v>232</v>
      </c>
      <c r="O501" s="256" t="s">
        <v>207</v>
      </c>
      <c r="P501" s="90"/>
      <c r="Q501" s="140" t="s">
        <v>207</v>
      </c>
      <c r="R501" s="90"/>
      <c r="S501" s="140" t="s">
        <v>207</v>
      </c>
      <c r="T501" s="90"/>
      <c r="U501" s="140" t="s">
        <v>207</v>
      </c>
      <c r="V501" s="90"/>
      <c r="W501" s="140" t="s">
        <v>207</v>
      </c>
      <c r="X501" s="90"/>
      <c r="Y501" s="140" t="s">
        <v>207</v>
      </c>
      <c r="Z501" s="90"/>
      <c r="AA501" s="140" t="s">
        <v>207</v>
      </c>
      <c r="AB501" s="90"/>
      <c r="AC501" s="140" t="s">
        <v>207</v>
      </c>
      <c r="AD501" s="90"/>
      <c r="AE501" s="140" t="s">
        <v>207</v>
      </c>
      <c r="AF501" s="178" t="str">
        <f t="shared" si="21"/>
        <v>C</v>
      </c>
      <c r="AG501" s="52" t="str">
        <f t="shared" si="22"/>
        <v>UTILIZOU O PDA CORRETAMENTE</v>
      </c>
      <c r="AH501" s="140" t="s">
        <v>207</v>
      </c>
      <c r="AI501" s="182" t="s">
        <v>36</v>
      </c>
      <c r="AJ501" s="93" t="str">
        <f t="shared" si="23"/>
        <v>SÃO PAULO</v>
      </c>
      <c r="AK501" s="183" t="s">
        <v>54</v>
      </c>
    </row>
    <row r="502" spans="1:37" ht="30" customHeight="1">
      <c r="A502" s="161" t="s">
        <v>198</v>
      </c>
      <c r="B502" s="155">
        <v>2620545235</v>
      </c>
      <c r="C502" s="155" t="s">
        <v>121</v>
      </c>
      <c r="D502" s="155" t="s">
        <v>96</v>
      </c>
      <c r="E502" s="155" t="s">
        <v>35</v>
      </c>
      <c r="F502" s="155" t="s">
        <v>439</v>
      </c>
      <c r="G502" s="155">
        <v>1480</v>
      </c>
      <c r="H502" s="155" t="s">
        <v>205</v>
      </c>
      <c r="I502" s="155" t="s">
        <v>408</v>
      </c>
      <c r="J502" s="155" t="s">
        <v>202</v>
      </c>
      <c r="K502" s="155" t="s">
        <v>200</v>
      </c>
      <c r="L502" s="155" t="s">
        <v>1049</v>
      </c>
      <c r="M502" s="155" t="s">
        <v>1050</v>
      </c>
      <c r="N502" s="155" t="s">
        <v>232</v>
      </c>
      <c r="O502" s="256" t="s">
        <v>207</v>
      </c>
      <c r="P502" s="90"/>
      <c r="Q502" s="140" t="s">
        <v>207</v>
      </c>
      <c r="R502" s="90"/>
      <c r="S502" s="140" t="s">
        <v>207</v>
      </c>
      <c r="T502" s="90"/>
      <c r="U502" s="140" t="s">
        <v>207</v>
      </c>
      <c r="V502" s="90"/>
      <c r="W502" s="140" t="s">
        <v>207</v>
      </c>
      <c r="X502" s="90"/>
      <c r="Y502" s="140" t="s">
        <v>77</v>
      </c>
      <c r="Z502" s="90"/>
      <c r="AA502" s="140" t="s">
        <v>207</v>
      </c>
      <c r="AB502" s="90"/>
      <c r="AC502" s="140" t="s">
        <v>207</v>
      </c>
      <c r="AD502" s="90"/>
      <c r="AE502" s="140" t="s">
        <v>207</v>
      </c>
      <c r="AF502" s="178" t="str">
        <f t="shared" si="21"/>
        <v>C</v>
      </c>
      <c r="AG502" s="52" t="str">
        <f t="shared" si="22"/>
        <v>UTILIZOU O PDA CORRETAMENTE</v>
      </c>
      <c r="AH502" s="140" t="s">
        <v>207</v>
      </c>
      <c r="AI502" s="182" t="s">
        <v>36</v>
      </c>
      <c r="AJ502" s="93" t="str">
        <f t="shared" si="23"/>
        <v>SÃO PAULO</v>
      </c>
      <c r="AK502" s="183" t="s">
        <v>54</v>
      </c>
    </row>
    <row r="503" spans="1:37" ht="30" customHeight="1">
      <c r="A503" s="161" t="s">
        <v>198</v>
      </c>
      <c r="B503" s="155">
        <v>2620347489</v>
      </c>
      <c r="C503" s="155" t="s">
        <v>115</v>
      </c>
      <c r="D503" s="155" t="s">
        <v>96</v>
      </c>
      <c r="E503" s="155" t="s">
        <v>35</v>
      </c>
      <c r="F503" s="155" t="s">
        <v>342</v>
      </c>
      <c r="G503" s="155">
        <v>15</v>
      </c>
      <c r="H503" s="155" t="s">
        <v>200</v>
      </c>
      <c r="I503" s="155" t="s">
        <v>259</v>
      </c>
      <c r="J503" s="155" t="s">
        <v>268</v>
      </c>
      <c r="K503" s="155" t="s">
        <v>200</v>
      </c>
      <c r="L503" s="155" t="s">
        <v>1051</v>
      </c>
      <c r="M503" s="155" t="s">
        <v>1052</v>
      </c>
      <c r="N503" s="155" t="s">
        <v>262</v>
      </c>
      <c r="O503" s="256" t="s">
        <v>207</v>
      </c>
      <c r="P503" s="90"/>
      <c r="Q503" s="140" t="s">
        <v>207</v>
      </c>
      <c r="R503" s="90"/>
      <c r="S503" s="140" t="s">
        <v>207</v>
      </c>
      <c r="T503" s="90"/>
      <c r="U503" s="140" t="s">
        <v>207</v>
      </c>
      <c r="V503" s="90"/>
      <c r="W503" s="140" t="s">
        <v>207</v>
      </c>
      <c r="X503" s="90"/>
      <c r="Y503" s="140" t="s">
        <v>207</v>
      </c>
      <c r="Z503" s="90"/>
      <c r="AA503" s="140" t="s">
        <v>207</v>
      </c>
      <c r="AB503" s="90"/>
      <c r="AC503" s="140" t="s">
        <v>207</v>
      </c>
      <c r="AD503" s="90"/>
      <c r="AE503" s="140" t="s">
        <v>207</v>
      </c>
      <c r="AF503" s="178" t="str">
        <f t="shared" si="21"/>
        <v>C</v>
      </c>
      <c r="AG503" s="52" t="str">
        <f t="shared" si="22"/>
        <v>UTILIZOU O PDA CORRETAMENTE</v>
      </c>
      <c r="AH503" s="140" t="s">
        <v>207</v>
      </c>
      <c r="AI503" s="182" t="s">
        <v>36</v>
      </c>
      <c r="AJ503" s="93" t="str">
        <f t="shared" si="23"/>
        <v>SÃO PAULO</v>
      </c>
      <c r="AK503" s="183" t="s">
        <v>54</v>
      </c>
    </row>
    <row r="504" spans="1:37" ht="30" customHeight="1">
      <c r="A504" s="161" t="s">
        <v>198</v>
      </c>
      <c r="B504" s="155">
        <v>2620567456</v>
      </c>
      <c r="C504" s="155" t="s">
        <v>120</v>
      </c>
      <c r="D504" s="155" t="s">
        <v>96</v>
      </c>
      <c r="E504" s="155" t="s">
        <v>35</v>
      </c>
      <c r="F504" s="155" t="s">
        <v>1053</v>
      </c>
      <c r="G504" s="155">
        <v>42</v>
      </c>
      <c r="H504" s="155" t="s">
        <v>200</v>
      </c>
      <c r="I504" s="155" t="s">
        <v>596</v>
      </c>
      <c r="J504" s="155" t="s">
        <v>1021</v>
      </c>
      <c r="K504" s="155" t="s">
        <v>200</v>
      </c>
      <c r="L504" s="155" t="s">
        <v>1054</v>
      </c>
      <c r="M504" s="155" t="s">
        <v>1055</v>
      </c>
      <c r="N504" s="155" t="s">
        <v>320</v>
      </c>
      <c r="O504" s="256" t="s">
        <v>207</v>
      </c>
      <c r="P504" s="90"/>
      <c r="Q504" s="140" t="s">
        <v>207</v>
      </c>
      <c r="R504" s="90"/>
      <c r="S504" s="140" t="s">
        <v>207</v>
      </c>
      <c r="T504" s="90"/>
      <c r="U504" s="140" t="s">
        <v>207</v>
      </c>
      <c r="V504" s="90"/>
      <c r="W504" s="140" t="s">
        <v>207</v>
      </c>
      <c r="X504" s="90"/>
      <c r="Y504" s="140" t="s">
        <v>77</v>
      </c>
      <c r="Z504" s="90"/>
      <c r="AA504" s="140" t="s">
        <v>207</v>
      </c>
      <c r="AB504" s="90"/>
      <c r="AC504" s="140" t="s">
        <v>207</v>
      </c>
      <c r="AD504" s="90"/>
      <c r="AE504" s="140" t="s">
        <v>207</v>
      </c>
      <c r="AF504" s="178" t="str">
        <f t="shared" si="21"/>
        <v>C</v>
      </c>
      <c r="AG504" s="52" t="str">
        <f t="shared" si="22"/>
        <v>UTILIZOU O PDA CORRETAMENTE</v>
      </c>
      <c r="AH504" s="140" t="s">
        <v>207</v>
      </c>
      <c r="AI504" s="182" t="s">
        <v>36</v>
      </c>
      <c r="AJ504" s="93" t="str">
        <f t="shared" si="23"/>
        <v>SÃO PAULO</v>
      </c>
      <c r="AK504" s="183" t="s">
        <v>54</v>
      </c>
    </row>
    <row r="505" spans="1:37" ht="30" customHeight="1">
      <c r="A505" s="161" t="s">
        <v>198</v>
      </c>
      <c r="B505" s="155">
        <v>2620567600</v>
      </c>
      <c r="C505" s="155" t="s">
        <v>120</v>
      </c>
      <c r="D505" s="155" t="s">
        <v>96</v>
      </c>
      <c r="E505" s="155" t="s">
        <v>35</v>
      </c>
      <c r="F505" s="155" t="s">
        <v>1053</v>
      </c>
      <c r="G505" s="155">
        <v>36</v>
      </c>
      <c r="H505" s="155" t="s">
        <v>200</v>
      </c>
      <c r="I505" s="155" t="s">
        <v>271</v>
      </c>
      <c r="J505" s="155" t="s">
        <v>1021</v>
      </c>
      <c r="K505" s="155" t="s">
        <v>200</v>
      </c>
      <c r="L505" s="155" t="s">
        <v>1056</v>
      </c>
      <c r="M505" s="155" t="s">
        <v>1049</v>
      </c>
      <c r="N505" s="155" t="s">
        <v>320</v>
      </c>
      <c r="O505" s="256" t="s">
        <v>207</v>
      </c>
      <c r="P505" s="90"/>
      <c r="Q505" s="140" t="s">
        <v>207</v>
      </c>
      <c r="R505" s="90"/>
      <c r="S505" s="140" t="s">
        <v>207</v>
      </c>
      <c r="T505" s="90"/>
      <c r="U505" s="140" t="s">
        <v>207</v>
      </c>
      <c r="V505" s="90"/>
      <c r="W505" s="140" t="s">
        <v>207</v>
      </c>
      <c r="X505" s="90"/>
      <c r="Y505" s="140" t="s">
        <v>77</v>
      </c>
      <c r="Z505" s="90"/>
      <c r="AA505" s="140" t="s">
        <v>207</v>
      </c>
      <c r="AB505" s="90"/>
      <c r="AC505" s="140" t="s">
        <v>207</v>
      </c>
      <c r="AD505" s="90"/>
      <c r="AE505" s="140" t="s">
        <v>207</v>
      </c>
      <c r="AF505" s="178" t="str">
        <f t="shared" si="21"/>
        <v>C</v>
      </c>
      <c r="AG505" s="52" t="str">
        <f t="shared" si="22"/>
        <v>UTILIZOU O PDA CORRETAMENTE</v>
      </c>
      <c r="AH505" s="140" t="s">
        <v>207</v>
      </c>
      <c r="AI505" s="182" t="s">
        <v>36</v>
      </c>
      <c r="AJ505" s="93" t="str">
        <f t="shared" si="23"/>
        <v>SÃO PAULO</v>
      </c>
      <c r="AK505" s="183" t="s">
        <v>54</v>
      </c>
    </row>
    <row r="506" spans="1:37" ht="30" customHeight="1">
      <c r="A506" s="161" t="s">
        <v>198</v>
      </c>
      <c r="B506" s="155">
        <v>2620373760</v>
      </c>
      <c r="C506" s="155" t="s">
        <v>115</v>
      </c>
      <c r="D506" s="155" t="s">
        <v>96</v>
      </c>
      <c r="E506" s="155" t="s">
        <v>35</v>
      </c>
      <c r="F506" s="155" t="s">
        <v>611</v>
      </c>
      <c r="G506" s="155">
        <v>186</v>
      </c>
      <c r="H506" s="155" t="s">
        <v>200</v>
      </c>
      <c r="I506" s="155" t="s">
        <v>612</v>
      </c>
      <c r="J506" s="155" t="s">
        <v>268</v>
      </c>
      <c r="K506" s="155" t="s">
        <v>1057</v>
      </c>
      <c r="L506" s="155" t="s">
        <v>1058</v>
      </c>
      <c r="M506" s="155" t="s">
        <v>1059</v>
      </c>
      <c r="N506" s="155" t="s">
        <v>323</v>
      </c>
      <c r="O506" s="256" t="s">
        <v>207</v>
      </c>
      <c r="P506" s="90"/>
      <c r="Q506" s="140" t="s">
        <v>207</v>
      </c>
      <c r="R506" s="90"/>
      <c r="S506" s="140" t="s">
        <v>207</v>
      </c>
      <c r="T506" s="90"/>
      <c r="U506" s="140" t="s">
        <v>207</v>
      </c>
      <c r="V506" s="90"/>
      <c r="W506" s="140" t="s">
        <v>207</v>
      </c>
      <c r="X506" s="90"/>
      <c r="Y506" s="140" t="s">
        <v>207</v>
      </c>
      <c r="Z506" s="90"/>
      <c r="AA506" s="140" t="s">
        <v>207</v>
      </c>
      <c r="AB506" s="90"/>
      <c r="AC506" s="140" t="s">
        <v>207</v>
      </c>
      <c r="AD506" s="90"/>
      <c r="AE506" s="140" t="s">
        <v>207</v>
      </c>
      <c r="AF506" s="178" t="str">
        <f t="shared" si="21"/>
        <v>C</v>
      </c>
      <c r="AG506" s="52" t="str">
        <f t="shared" si="22"/>
        <v>UTILIZOU O PDA CORRETAMENTE</v>
      </c>
      <c r="AH506" s="140" t="s">
        <v>207</v>
      </c>
      <c r="AI506" s="182" t="s">
        <v>36</v>
      </c>
      <c r="AJ506" s="93" t="str">
        <f t="shared" si="23"/>
        <v>SÃO PAULO</v>
      </c>
      <c r="AK506" s="183" t="s">
        <v>54</v>
      </c>
    </row>
    <row r="507" spans="1:37" ht="30" customHeight="1">
      <c r="A507" s="161" t="s">
        <v>198</v>
      </c>
      <c r="B507" s="155">
        <v>2620566518</v>
      </c>
      <c r="C507" s="155" t="s">
        <v>116</v>
      </c>
      <c r="D507" s="155" t="s">
        <v>94</v>
      </c>
      <c r="E507" s="155" t="s">
        <v>35</v>
      </c>
      <c r="F507" s="155" t="s">
        <v>342</v>
      </c>
      <c r="G507" s="155">
        <v>21</v>
      </c>
      <c r="H507" s="155" t="s">
        <v>200</v>
      </c>
      <c r="I507" s="155" t="s">
        <v>259</v>
      </c>
      <c r="J507" s="155" t="s">
        <v>221</v>
      </c>
      <c r="K507" s="155" t="s">
        <v>1060</v>
      </c>
      <c r="L507" s="155" t="s">
        <v>1061</v>
      </c>
      <c r="M507" s="155" t="s">
        <v>978</v>
      </c>
      <c r="N507" s="155" t="s">
        <v>262</v>
      </c>
      <c r="O507" s="256" t="s">
        <v>207</v>
      </c>
      <c r="P507" s="90"/>
      <c r="Q507" s="140" t="s">
        <v>207</v>
      </c>
      <c r="R507" s="90"/>
      <c r="S507" s="140" t="s">
        <v>207</v>
      </c>
      <c r="T507" s="90"/>
      <c r="U507" s="140" t="s">
        <v>207</v>
      </c>
      <c r="V507" s="90"/>
      <c r="W507" s="140" t="s">
        <v>207</v>
      </c>
      <c r="X507" s="90"/>
      <c r="Y507" s="140" t="s">
        <v>207</v>
      </c>
      <c r="Z507" s="90"/>
      <c r="AA507" s="140" t="s">
        <v>207</v>
      </c>
      <c r="AB507" s="90"/>
      <c r="AC507" s="140" t="s">
        <v>207</v>
      </c>
      <c r="AD507" s="90"/>
      <c r="AE507" s="140" t="s">
        <v>207</v>
      </c>
      <c r="AF507" s="178" t="str">
        <f t="shared" si="21"/>
        <v>C</v>
      </c>
      <c r="AG507" s="52" t="str">
        <f t="shared" si="22"/>
        <v>UTILIZOU O PDA CORRETAMENTE</v>
      </c>
      <c r="AH507" s="140" t="s">
        <v>207</v>
      </c>
      <c r="AI507" s="182" t="s">
        <v>36</v>
      </c>
      <c r="AJ507" s="93" t="str">
        <f t="shared" si="23"/>
        <v>SÃO PAULO</v>
      </c>
      <c r="AK507" s="183" t="s">
        <v>54</v>
      </c>
    </row>
    <row r="508" spans="1:37" ht="30" customHeight="1">
      <c r="A508" s="161" t="s">
        <v>198</v>
      </c>
      <c r="B508" s="155">
        <v>2693403020</v>
      </c>
      <c r="C508" s="155" t="s">
        <v>117</v>
      </c>
      <c r="D508" s="155" t="s">
        <v>96</v>
      </c>
      <c r="E508" s="155" t="s">
        <v>35</v>
      </c>
      <c r="F508" s="155" t="s">
        <v>1062</v>
      </c>
      <c r="G508" s="155">
        <v>4</v>
      </c>
      <c r="H508" s="155" t="s">
        <v>200</v>
      </c>
      <c r="I508" s="155" t="s">
        <v>256</v>
      </c>
      <c r="J508" s="155" t="s">
        <v>301</v>
      </c>
      <c r="K508" s="155" t="s">
        <v>770</v>
      </c>
      <c r="L508" s="155" t="s">
        <v>1063</v>
      </c>
      <c r="M508" s="155" t="s">
        <v>1064</v>
      </c>
      <c r="N508" s="155" t="s">
        <v>349</v>
      </c>
      <c r="O508" s="256" t="s">
        <v>207</v>
      </c>
      <c r="P508" s="90"/>
      <c r="Q508" s="140" t="s">
        <v>207</v>
      </c>
      <c r="R508" s="90"/>
      <c r="S508" s="140" t="s">
        <v>207</v>
      </c>
      <c r="T508" s="90"/>
      <c r="U508" s="140" t="s">
        <v>207</v>
      </c>
      <c r="V508" s="90"/>
      <c r="W508" s="140" t="s">
        <v>207</v>
      </c>
      <c r="X508" s="90"/>
      <c r="Y508" s="140" t="s">
        <v>77</v>
      </c>
      <c r="Z508" s="90"/>
      <c r="AA508" s="140" t="s">
        <v>207</v>
      </c>
      <c r="AB508" s="90"/>
      <c r="AC508" s="140" t="s">
        <v>207</v>
      </c>
      <c r="AD508" s="90"/>
      <c r="AE508" s="140" t="s">
        <v>207</v>
      </c>
      <c r="AF508" s="178" t="str">
        <f t="shared" si="21"/>
        <v>C</v>
      </c>
      <c r="AG508" s="52" t="str">
        <f t="shared" si="22"/>
        <v>UTILIZOU O PDA CORRETAMENTE</v>
      </c>
      <c r="AH508" s="140" t="s">
        <v>207</v>
      </c>
      <c r="AI508" s="182" t="s">
        <v>36</v>
      </c>
      <c r="AJ508" s="93" t="str">
        <f t="shared" si="23"/>
        <v>SÃO PAULO</v>
      </c>
      <c r="AK508" s="183" t="s">
        <v>54</v>
      </c>
    </row>
    <row r="509" spans="1:37" ht="30" customHeight="1">
      <c r="A509" s="161" t="s">
        <v>198</v>
      </c>
      <c r="B509" s="155">
        <v>2620322709</v>
      </c>
      <c r="C509" s="155" t="s">
        <v>114</v>
      </c>
      <c r="D509" s="155" t="s">
        <v>96</v>
      </c>
      <c r="E509" s="155" t="s">
        <v>35</v>
      </c>
      <c r="F509" s="155" t="s">
        <v>1053</v>
      </c>
      <c r="G509" s="155">
        <v>36</v>
      </c>
      <c r="H509" s="155" t="s">
        <v>200</v>
      </c>
      <c r="I509" s="155" t="s">
        <v>271</v>
      </c>
      <c r="J509" s="155" t="s">
        <v>260</v>
      </c>
      <c r="K509" s="155" t="s">
        <v>200</v>
      </c>
      <c r="L509" s="155" t="s">
        <v>1016</v>
      </c>
      <c r="M509" s="155" t="s">
        <v>1065</v>
      </c>
      <c r="N509" s="155" t="s">
        <v>320</v>
      </c>
      <c r="O509" s="256" t="s">
        <v>207</v>
      </c>
      <c r="P509" s="90"/>
      <c r="Q509" s="140" t="s">
        <v>207</v>
      </c>
      <c r="R509" s="90"/>
      <c r="S509" s="140" t="s">
        <v>207</v>
      </c>
      <c r="T509" s="90"/>
      <c r="U509" s="140" t="s">
        <v>207</v>
      </c>
      <c r="V509" s="90"/>
      <c r="W509" s="140" t="s">
        <v>207</v>
      </c>
      <c r="X509" s="90"/>
      <c r="Y509" s="140" t="s">
        <v>207</v>
      </c>
      <c r="Z509" s="90"/>
      <c r="AA509" s="140" t="s">
        <v>207</v>
      </c>
      <c r="AB509" s="90"/>
      <c r="AC509" s="140" t="s">
        <v>207</v>
      </c>
      <c r="AD509" s="90"/>
      <c r="AE509" s="140" t="s">
        <v>207</v>
      </c>
      <c r="AF509" s="178" t="str">
        <f t="shared" si="21"/>
        <v>C</v>
      </c>
      <c r="AG509" s="52" t="str">
        <f t="shared" si="22"/>
        <v>UTILIZOU O PDA CORRETAMENTE</v>
      </c>
      <c r="AH509" s="140" t="s">
        <v>207</v>
      </c>
      <c r="AI509" s="182" t="s">
        <v>36</v>
      </c>
      <c r="AJ509" s="93" t="str">
        <f t="shared" si="23"/>
        <v>SÃO PAULO</v>
      </c>
      <c r="AK509" s="183" t="s">
        <v>54</v>
      </c>
    </row>
    <row r="510" spans="1:37" ht="30" customHeight="1">
      <c r="A510" s="161" t="s">
        <v>198</v>
      </c>
      <c r="B510" s="155">
        <v>2620530914</v>
      </c>
      <c r="C510" s="155" t="s">
        <v>115</v>
      </c>
      <c r="D510" s="155" t="s">
        <v>96</v>
      </c>
      <c r="E510" s="155" t="s">
        <v>35</v>
      </c>
      <c r="F510" s="155" t="s">
        <v>1017</v>
      </c>
      <c r="G510" s="155">
        <v>229</v>
      </c>
      <c r="H510" s="155" t="s">
        <v>200</v>
      </c>
      <c r="I510" s="155" t="s">
        <v>525</v>
      </c>
      <c r="J510" s="155" t="s">
        <v>268</v>
      </c>
      <c r="K510" s="155" t="s">
        <v>200</v>
      </c>
      <c r="L510" s="155" t="s">
        <v>1066</v>
      </c>
      <c r="M510" s="155" t="s">
        <v>1067</v>
      </c>
      <c r="N510" s="155" t="s">
        <v>235</v>
      </c>
      <c r="O510" s="256" t="s">
        <v>207</v>
      </c>
      <c r="P510" s="90"/>
      <c r="Q510" s="140" t="s">
        <v>207</v>
      </c>
      <c r="R510" s="90"/>
      <c r="S510" s="140" t="s">
        <v>207</v>
      </c>
      <c r="T510" s="90"/>
      <c r="U510" s="140" t="s">
        <v>207</v>
      </c>
      <c r="V510" s="90"/>
      <c r="W510" s="140" t="s">
        <v>207</v>
      </c>
      <c r="X510" s="90"/>
      <c r="Y510" s="140" t="s">
        <v>207</v>
      </c>
      <c r="Z510" s="90"/>
      <c r="AA510" s="140" t="s">
        <v>207</v>
      </c>
      <c r="AB510" s="90"/>
      <c r="AC510" s="140" t="s">
        <v>207</v>
      </c>
      <c r="AD510" s="90"/>
      <c r="AE510" s="140" t="s">
        <v>207</v>
      </c>
      <c r="AF510" s="178" t="str">
        <f t="shared" si="21"/>
        <v>C</v>
      </c>
      <c r="AG510" s="52" t="str">
        <f t="shared" si="22"/>
        <v>UTILIZOU O PDA CORRETAMENTE</v>
      </c>
      <c r="AH510" s="140" t="s">
        <v>207</v>
      </c>
      <c r="AI510" s="182" t="s">
        <v>36</v>
      </c>
      <c r="AJ510" s="93" t="str">
        <f t="shared" si="23"/>
        <v>SÃO PAULO</v>
      </c>
      <c r="AK510" s="183" t="s">
        <v>54</v>
      </c>
    </row>
    <row r="511" spans="1:37" ht="30" customHeight="1">
      <c r="A511" s="161" t="s">
        <v>198</v>
      </c>
      <c r="B511" s="155">
        <v>2620531192</v>
      </c>
      <c r="C511" s="155" t="s">
        <v>115</v>
      </c>
      <c r="D511" s="155" t="s">
        <v>96</v>
      </c>
      <c r="E511" s="155" t="s">
        <v>35</v>
      </c>
      <c r="F511" s="155" t="s">
        <v>739</v>
      </c>
      <c r="G511" s="155">
        <v>183</v>
      </c>
      <c r="H511" s="155" t="s">
        <v>200</v>
      </c>
      <c r="I511" s="155" t="s">
        <v>290</v>
      </c>
      <c r="J511" s="155" t="s">
        <v>268</v>
      </c>
      <c r="K511" s="155" t="s">
        <v>200</v>
      </c>
      <c r="L511" s="155" t="s">
        <v>1068</v>
      </c>
      <c r="M511" s="155" t="s">
        <v>1069</v>
      </c>
      <c r="N511" s="155" t="s">
        <v>403</v>
      </c>
      <c r="O511" s="256" t="s">
        <v>207</v>
      </c>
      <c r="P511" s="90"/>
      <c r="Q511" s="140" t="s">
        <v>207</v>
      </c>
      <c r="R511" s="90"/>
      <c r="S511" s="140" t="s">
        <v>207</v>
      </c>
      <c r="T511" s="90"/>
      <c r="U511" s="140" t="s">
        <v>207</v>
      </c>
      <c r="V511" s="90"/>
      <c r="W511" s="140" t="s">
        <v>207</v>
      </c>
      <c r="X511" s="90"/>
      <c r="Y511" s="140" t="s">
        <v>207</v>
      </c>
      <c r="Z511" s="90"/>
      <c r="AA511" s="140" t="s">
        <v>207</v>
      </c>
      <c r="AB511" s="90"/>
      <c r="AC511" s="140" t="s">
        <v>207</v>
      </c>
      <c r="AD511" s="90"/>
      <c r="AE511" s="140" t="s">
        <v>207</v>
      </c>
      <c r="AF511" s="178" t="str">
        <f t="shared" si="21"/>
        <v>C</v>
      </c>
      <c r="AG511" s="52" t="str">
        <f t="shared" si="22"/>
        <v>UTILIZOU O PDA CORRETAMENTE</v>
      </c>
      <c r="AH511" s="140" t="s">
        <v>207</v>
      </c>
      <c r="AI511" s="182" t="s">
        <v>36</v>
      </c>
      <c r="AJ511" s="93" t="str">
        <f t="shared" si="23"/>
        <v>SÃO PAULO</v>
      </c>
      <c r="AK511" s="183" t="s">
        <v>54</v>
      </c>
    </row>
    <row r="512" spans="1:37" ht="30" customHeight="1">
      <c r="A512" s="161" t="s">
        <v>198</v>
      </c>
      <c r="B512" s="155">
        <v>2620588870</v>
      </c>
      <c r="C512" s="155" t="s">
        <v>120</v>
      </c>
      <c r="D512" s="155" t="s">
        <v>96</v>
      </c>
      <c r="E512" s="155" t="s">
        <v>35</v>
      </c>
      <c r="F512" s="155" t="s">
        <v>1070</v>
      </c>
      <c r="G512" s="155">
        <v>365</v>
      </c>
      <c r="H512" s="155" t="s">
        <v>205</v>
      </c>
      <c r="I512" s="155" t="s">
        <v>314</v>
      </c>
      <c r="J512" s="155" t="s">
        <v>202</v>
      </c>
      <c r="K512" s="155" t="s">
        <v>588</v>
      </c>
      <c r="L512" s="155" t="s">
        <v>1071</v>
      </c>
      <c r="M512" s="155" t="s">
        <v>1072</v>
      </c>
      <c r="N512" s="155" t="s">
        <v>331</v>
      </c>
      <c r="O512" s="256" t="s">
        <v>207</v>
      </c>
      <c r="P512" s="90"/>
      <c r="Q512" s="140" t="s">
        <v>207</v>
      </c>
      <c r="R512" s="90"/>
      <c r="S512" s="140" t="s">
        <v>207</v>
      </c>
      <c r="T512" s="90"/>
      <c r="U512" s="140" t="s">
        <v>207</v>
      </c>
      <c r="V512" s="90"/>
      <c r="W512" s="140" t="s">
        <v>207</v>
      </c>
      <c r="X512" s="90"/>
      <c r="Y512" s="140" t="s">
        <v>77</v>
      </c>
      <c r="Z512" s="90"/>
      <c r="AA512" s="140" t="s">
        <v>207</v>
      </c>
      <c r="AB512" s="90"/>
      <c r="AC512" s="140" t="s">
        <v>207</v>
      </c>
      <c r="AD512" s="90"/>
      <c r="AE512" s="140" t="s">
        <v>207</v>
      </c>
      <c r="AF512" s="178" t="str">
        <f t="shared" si="21"/>
        <v>C</v>
      </c>
      <c r="AG512" s="52" t="str">
        <f t="shared" si="22"/>
        <v>UTILIZOU O PDA CORRETAMENTE</v>
      </c>
      <c r="AH512" s="140" t="s">
        <v>207</v>
      </c>
      <c r="AI512" s="182" t="s">
        <v>36</v>
      </c>
      <c r="AJ512" s="93" t="str">
        <f t="shared" si="23"/>
        <v>SÃO PAULO</v>
      </c>
      <c r="AK512" s="183" t="s">
        <v>54</v>
      </c>
    </row>
    <row r="513" spans="1:37" ht="30" customHeight="1">
      <c r="A513" s="161" t="s">
        <v>198</v>
      </c>
      <c r="B513" s="155">
        <v>2620588670</v>
      </c>
      <c r="C513" s="155" t="s">
        <v>120</v>
      </c>
      <c r="D513" s="155" t="s">
        <v>96</v>
      </c>
      <c r="E513" s="155" t="s">
        <v>35</v>
      </c>
      <c r="F513" s="155" t="s">
        <v>1073</v>
      </c>
      <c r="G513" s="155">
        <v>52</v>
      </c>
      <c r="H513" s="155" t="s">
        <v>205</v>
      </c>
      <c r="I513" s="155" t="s">
        <v>314</v>
      </c>
      <c r="J513" s="155" t="s">
        <v>202</v>
      </c>
      <c r="K513" s="155" t="s">
        <v>200</v>
      </c>
      <c r="L513" s="155" t="s">
        <v>1074</v>
      </c>
      <c r="M513" s="155" t="s">
        <v>1075</v>
      </c>
      <c r="N513" s="155" t="s">
        <v>331</v>
      </c>
      <c r="O513" s="256" t="s">
        <v>207</v>
      </c>
      <c r="P513" s="90"/>
      <c r="Q513" s="140" t="s">
        <v>207</v>
      </c>
      <c r="R513" s="90"/>
      <c r="S513" s="140" t="s">
        <v>207</v>
      </c>
      <c r="T513" s="90"/>
      <c r="U513" s="140" t="s">
        <v>207</v>
      </c>
      <c r="V513" s="90"/>
      <c r="W513" s="140" t="s">
        <v>207</v>
      </c>
      <c r="X513" s="90"/>
      <c r="Y513" s="140" t="s">
        <v>77</v>
      </c>
      <c r="Z513" s="90"/>
      <c r="AA513" s="140" t="s">
        <v>207</v>
      </c>
      <c r="AB513" s="90"/>
      <c r="AC513" s="140" t="s">
        <v>207</v>
      </c>
      <c r="AD513" s="90"/>
      <c r="AE513" s="140" t="s">
        <v>207</v>
      </c>
      <c r="AF513" s="178" t="str">
        <f t="shared" si="21"/>
        <v>C</v>
      </c>
      <c r="AG513" s="52" t="str">
        <f t="shared" si="22"/>
        <v>UTILIZOU O PDA CORRETAMENTE</v>
      </c>
      <c r="AH513" s="140" t="s">
        <v>207</v>
      </c>
      <c r="AI513" s="182" t="s">
        <v>36</v>
      </c>
      <c r="AJ513" s="93" t="str">
        <f t="shared" si="23"/>
        <v>SÃO PAULO</v>
      </c>
      <c r="AK513" s="183" t="s">
        <v>54</v>
      </c>
    </row>
    <row r="514" spans="1:37" ht="30" customHeight="1">
      <c r="A514" s="161" t="s">
        <v>198</v>
      </c>
      <c r="B514" s="155">
        <v>2620563978</v>
      </c>
      <c r="C514" s="155" t="s">
        <v>122</v>
      </c>
      <c r="D514" s="155" t="s">
        <v>96</v>
      </c>
      <c r="E514" s="155" t="s">
        <v>35</v>
      </c>
      <c r="F514" s="155" t="s">
        <v>1076</v>
      </c>
      <c r="G514" s="155">
        <v>3</v>
      </c>
      <c r="H514" s="155" t="s">
        <v>401</v>
      </c>
      <c r="I514" s="155" t="s">
        <v>1077</v>
      </c>
      <c r="J514" s="155" t="s">
        <v>267</v>
      </c>
      <c r="K514" s="155" t="s">
        <v>200</v>
      </c>
      <c r="L514" s="155" t="s">
        <v>1078</v>
      </c>
      <c r="M514" s="155" t="s">
        <v>1079</v>
      </c>
      <c r="N514" s="155" t="s">
        <v>517</v>
      </c>
      <c r="O514" s="256" t="s">
        <v>207</v>
      </c>
      <c r="P514" s="90"/>
      <c r="Q514" s="140" t="s">
        <v>207</v>
      </c>
      <c r="R514" s="90"/>
      <c r="S514" s="140" t="s">
        <v>207</v>
      </c>
      <c r="T514" s="90"/>
      <c r="U514" s="140" t="s">
        <v>207</v>
      </c>
      <c r="V514" s="90"/>
      <c r="W514" s="140" t="s">
        <v>207</v>
      </c>
      <c r="X514" s="90"/>
      <c r="Y514" s="140" t="s">
        <v>77</v>
      </c>
      <c r="Z514" s="90"/>
      <c r="AA514" s="140" t="s">
        <v>207</v>
      </c>
      <c r="AB514" s="90"/>
      <c r="AC514" s="140" t="s">
        <v>207</v>
      </c>
      <c r="AD514" s="90"/>
      <c r="AE514" s="140" t="s">
        <v>207</v>
      </c>
      <c r="AF514" s="178" t="str">
        <f t="shared" si="21"/>
        <v>C</v>
      </c>
      <c r="AG514" s="52" t="str">
        <f t="shared" si="22"/>
        <v>UTILIZOU O PDA CORRETAMENTE</v>
      </c>
      <c r="AH514" s="140" t="s">
        <v>207</v>
      </c>
      <c r="AI514" s="182" t="s">
        <v>36</v>
      </c>
      <c r="AJ514" s="93" t="str">
        <f t="shared" si="23"/>
        <v>SÃO PAULO</v>
      </c>
      <c r="AK514" s="183" t="s">
        <v>54</v>
      </c>
    </row>
    <row r="515" spans="1:37" ht="30" customHeight="1">
      <c r="A515" s="161" t="s">
        <v>198</v>
      </c>
      <c r="B515" s="155">
        <v>2693395198</v>
      </c>
      <c r="C515" s="155" t="s">
        <v>118</v>
      </c>
      <c r="D515" s="155" t="s">
        <v>96</v>
      </c>
      <c r="E515" s="155" t="s">
        <v>35</v>
      </c>
      <c r="F515" s="155" t="s">
        <v>1080</v>
      </c>
      <c r="G515" s="155">
        <v>225</v>
      </c>
      <c r="H515" s="155" t="s">
        <v>1081</v>
      </c>
      <c r="I515" s="155" t="s">
        <v>271</v>
      </c>
      <c r="J515" s="155" t="s">
        <v>267</v>
      </c>
      <c r="K515" s="155" t="s">
        <v>200</v>
      </c>
      <c r="L515" s="155" t="s">
        <v>1082</v>
      </c>
      <c r="M515" s="155" t="s">
        <v>1083</v>
      </c>
      <c r="N515" s="155" t="s">
        <v>317</v>
      </c>
      <c r="O515" s="256" t="s">
        <v>207</v>
      </c>
      <c r="P515" s="90"/>
      <c r="Q515" s="140" t="s">
        <v>207</v>
      </c>
      <c r="R515" s="90"/>
      <c r="S515" s="140" t="s">
        <v>207</v>
      </c>
      <c r="T515" s="90"/>
      <c r="U515" s="140" t="s">
        <v>207</v>
      </c>
      <c r="V515" s="90"/>
      <c r="W515" s="140" t="s">
        <v>207</v>
      </c>
      <c r="X515" s="90"/>
      <c r="Y515" s="140" t="s">
        <v>77</v>
      </c>
      <c r="Z515" s="90"/>
      <c r="AA515" s="140" t="s">
        <v>207</v>
      </c>
      <c r="AB515" s="90"/>
      <c r="AC515" s="140" t="s">
        <v>207</v>
      </c>
      <c r="AD515" s="90"/>
      <c r="AE515" s="140" t="s">
        <v>207</v>
      </c>
      <c r="AF515" s="178" t="str">
        <f t="shared" ref="AF515:AF578" si="24">IF(AND(O515="",Q515="",S515="",U515="",W515="",Y515="",AA515="",AC515=""),"",IF(OR(AND(O515&lt;&gt;"NA",O515&lt;&gt;"C",O515&lt;&gt;"NC",O515&lt;&gt;"SF",O515&lt;&gt;""),AND(Q515&lt;&gt;"NA",Q515&lt;&gt;"C",Q515&lt;&gt;"NC",Q515&lt;&gt;"SF",Q515&lt;&gt;""),AND(S515&lt;&gt;"NA",S515&lt;&gt;"C",S515&lt;&gt;"NC",S515&lt;&gt;"SF",S515&lt;&gt;""),AND(U515&lt;&gt;"NA",U515&lt;&gt;"C",U515&lt;&gt;"NC",U515&lt;&gt;"SF",U515&lt;&gt;""),AND(W515&lt;&gt;"NA",W515&lt;&gt;"C",W515&lt;&gt;"NC",W515&lt;&gt;"SF",W515&lt;&gt;""),AND(Y515&lt;&gt;"NA",Y515&lt;&gt;"C",Y515&lt;&gt;"NC",Y515&lt;&gt;"SF",Y515&lt;&gt;""),AND(AA515&lt;&gt;"NA",AA515&lt;&gt;"C",AA515&lt;&gt;"NC",AA515&lt;&gt;"SF",AA515&lt;&gt;""),AND(AC515&lt;&gt;"NA",AC515&lt;&gt;"C",AC515&lt;&gt;"NC",AC515&lt;&gt;"SF",AC515&lt;&gt;"")),"FALSO",IF(AND(O515="NA",Q515="NA",S515="NA",U515="NA",W515="NA",Y515="NA",AA515="NA",AC515="NA"),"NA",IF(OR(O515="NC",Q515="NC",S515="NC",U515="NC",W515="NC",Y515="NC",AA515="NC",AC515="NC",O515="SF",Q515="SF",S515="SF",U515="SF",W515="SF",Y515="SF",AA515="SF",AC515="SF"),"NC",IF(OR(O515="C",Q515="C",S515="C",U515="C",W515="C",Y515="C",AA515="C",AC515="C"),"C","")))))</f>
        <v>C</v>
      </c>
      <c r="AG515" s="52" t="str">
        <f t="shared" ref="AG515:AG578" si="25">IF(AND(AE515="C",AF515="C"),"UTILIZOU O PDA CORRETAMENTE",IF(AND(AE515="C",AF515="NC"),"UTILIZOU O PDA CORRETAMENTE. NÃO HÁ FOTOS DE TODAS AS ETAPAS",IF(AND(AE515="NC",AF515="NC"),"NÃO UTILIZOU O PDA",IF(AND(AE515="NA",AF515="NA"),"NÃO AVALIADO POR FALHA DE SINCRONISMO"))))</f>
        <v>UTILIZOU O PDA CORRETAMENTE</v>
      </c>
      <c r="AH515" s="140" t="s">
        <v>207</v>
      </c>
      <c r="AI515" s="182" t="s">
        <v>36</v>
      </c>
      <c r="AJ515" s="93" t="str">
        <f t="shared" ref="AJ515:AJ578" si="26">E515</f>
        <v>SÃO PAULO</v>
      </c>
      <c r="AK515" s="183" t="s">
        <v>54</v>
      </c>
    </row>
    <row r="516" spans="1:37" ht="30" customHeight="1">
      <c r="A516" s="161" t="s">
        <v>198</v>
      </c>
      <c r="B516" s="155">
        <v>2693423675</v>
      </c>
      <c r="C516" s="155" t="s">
        <v>118</v>
      </c>
      <c r="D516" s="155" t="s">
        <v>96</v>
      </c>
      <c r="E516" s="155" t="s">
        <v>35</v>
      </c>
      <c r="F516" s="155" t="s">
        <v>673</v>
      </c>
      <c r="G516" s="155">
        <v>349</v>
      </c>
      <c r="H516" s="155" t="s">
        <v>200</v>
      </c>
      <c r="I516" s="155" t="s">
        <v>308</v>
      </c>
      <c r="J516" s="155" t="s">
        <v>267</v>
      </c>
      <c r="K516" s="155" t="s">
        <v>200</v>
      </c>
      <c r="L516" s="155" t="s">
        <v>1084</v>
      </c>
      <c r="M516" s="155" t="s">
        <v>1085</v>
      </c>
      <c r="N516" s="155" t="s">
        <v>317</v>
      </c>
      <c r="O516" s="256" t="s">
        <v>207</v>
      </c>
      <c r="P516" s="90"/>
      <c r="Q516" s="140" t="s">
        <v>207</v>
      </c>
      <c r="R516" s="90"/>
      <c r="S516" s="140" t="s">
        <v>207</v>
      </c>
      <c r="T516" s="90"/>
      <c r="U516" s="140" t="s">
        <v>207</v>
      </c>
      <c r="V516" s="90"/>
      <c r="W516" s="140" t="s">
        <v>207</v>
      </c>
      <c r="X516" s="90"/>
      <c r="Y516" s="140" t="s">
        <v>77</v>
      </c>
      <c r="Z516" s="90"/>
      <c r="AA516" s="140" t="s">
        <v>207</v>
      </c>
      <c r="AB516" s="90"/>
      <c r="AC516" s="140" t="s">
        <v>207</v>
      </c>
      <c r="AD516" s="90"/>
      <c r="AE516" s="140" t="s">
        <v>207</v>
      </c>
      <c r="AF516" s="178" t="str">
        <f t="shared" si="24"/>
        <v>C</v>
      </c>
      <c r="AG516" s="52" t="str">
        <f t="shared" si="25"/>
        <v>UTILIZOU O PDA CORRETAMENTE</v>
      </c>
      <c r="AH516" s="140" t="s">
        <v>207</v>
      </c>
      <c r="AI516" s="182" t="s">
        <v>36</v>
      </c>
      <c r="AJ516" s="93" t="str">
        <f t="shared" si="26"/>
        <v>SÃO PAULO</v>
      </c>
      <c r="AK516" s="183" t="s">
        <v>54</v>
      </c>
    </row>
    <row r="517" spans="1:37" ht="30" customHeight="1">
      <c r="A517" s="161" t="s">
        <v>198</v>
      </c>
      <c r="B517" s="155">
        <v>2620570991</v>
      </c>
      <c r="C517" s="155" t="s">
        <v>120</v>
      </c>
      <c r="D517" s="155" t="s">
        <v>96</v>
      </c>
      <c r="E517" s="155" t="s">
        <v>35</v>
      </c>
      <c r="F517" s="155" t="s">
        <v>1086</v>
      </c>
      <c r="G517" s="155">
        <v>165</v>
      </c>
      <c r="H517" s="155" t="s">
        <v>200</v>
      </c>
      <c r="I517" s="155" t="s">
        <v>256</v>
      </c>
      <c r="J517" s="155" t="s">
        <v>202</v>
      </c>
      <c r="K517" s="155" t="s">
        <v>1087</v>
      </c>
      <c r="L517" s="155" t="s">
        <v>1088</v>
      </c>
      <c r="M517" s="155" t="s">
        <v>1089</v>
      </c>
      <c r="N517" s="155" t="s">
        <v>317</v>
      </c>
      <c r="O517" s="256" t="s">
        <v>207</v>
      </c>
      <c r="P517" s="90"/>
      <c r="Q517" s="140" t="s">
        <v>207</v>
      </c>
      <c r="R517" s="90"/>
      <c r="S517" s="140" t="s">
        <v>207</v>
      </c>
      <c r="T517" s="90"/>
      <c r="U517" s="140" t="s">
        <v>207</v>
      </c>
      <c r="V517" s="90"/>
      <c r="W517" s="140" t="s">
        <v>207</v>
      </c>
      <c r="X517" s="90"/>
      <c r="Y517" s="140" t="s">
        <v>77</v>
      </c>
      <c r="Z517" s="90"/>
      <c r="AA517" s="140" t="s">
        <v>207</v>
      </c>
      <c r="AB517" s="90"/>
      <c r="AC517" s="140" t="s">
        <v>207</v>
      </c>
      <c r="AD517" s="90"/>
      <c r="AE517" s="140" t="s">
        <v>207</v>
      </c>
      <c r="AF517" s="178" t="str">
        <f t="shared" si="24"/>
        <v>C</v>
      </c>
      <c r="AG517" s="52" t="str">
        <f t="shared" si="25"/>
        <v>UTILIZOU O PDA CORRETAMENTE</v>
      </c>
      <c r="AH517" s="140" t="s">
        <v>207</v>
      </c>
      <c r="AI517" s="182" t="s">
        <v>36</v>
      </c>
      <c r="AJ517" s="93" t="str">
        <f t="shared" si="26"/>
        <v>SÃO PAULO</v>
      </c>
      <c r="AK517" s="183" t="s">
        <v>54</v>
      </c>
    </row>
    <row r="518" spans="1:37" ht="30" customHeight="1">
      <c r="A518" s="161" t="s">
        <v>198</v>
      </c>
      <c r="B518" s="155">
        <v>2620561647</v>
      </c>
      <c r="C518" s="155" t="s">
        <v>118</v>
      </c>
      <c r="D518" s="155" t="s">
        <v>96</v>
      </c>
      <c r="E518" s="155" t="s">
        <v>35</v>
      </c>
      <c r="F518" s="155" t="s">
        <v>316</v>
      </c>
      <c r="G518" s="155">
        <v>121</v>
      </c>
      <c r="H518" s="155" t="s">
        <v>208</v>
      </c>
      <c r="I518" s="155" t="s">
        <v>281</v>
      </c>
      <c r="J518" s="155" t="s">
        <v>260</v>
      </c>
      <c r="K518" s="155" t="s">
        <v>200</v>
      </c>
      <c r="L518" s="155" t="s">
        <v>1090</v>
      </c>
      <c r="M518" s="155" t="s">
        <v>1091</v>
      </c>
      <c r="N518" s="155" t="s">
        <v>309</v>
      </c>
      <c r="O518" s="256" t="s">
        <v>207</v>
      </c>
      <c r="P518" s="90"/>
      <c r="Q518" s="140" t="s">
        <v>207</v>
      </c>
      <c r="R518" s="90"/>
      <c r="S518" s="140" t="s">
        <v>207</v>
      </c>
      <c r="T518" s="90"/>
      <c r="U518" s="140" t="s">
        <v>207</v>
      </c>
      <c r="V518" s="90"/>
      <c r="W518" s="140" t="s">
        <v>207</v>
      </c>
      <c r="X518" s="90"/>
      <c r="Y518" s="140" t="s">
        <v>77</v>
      </c>
      <c r="Z518" s="90"/>
      <c r="AA518" s="140" t="s">
        <v>207</v>
      </c>
      <c r="AB518" s="90"/>
      <c r="AC518" s="140" t="s">
        <v>207</v>
      </c>
      <c r="AD518" s="90"/>
      <c r="AE518" s="140" t="s">
        <v>207</v>
      </c>
      <c r="AF518" s="178" t="str">
        <f t="shared" si="24"/>
        <v>C</v>
      </c>
      <c r="AG518" s="52" t="str">
        <f t="shared" si="25"/>
        <v>UTILIZOU O PDA CORRETAMENTE</v>
      </c>
      <c r="AH518" s="140" t="s">
        <v>207</v>
      </c>
      <c r="AI518" s="182" t="s">
        <v>36</v>
      </c>
      <c r="AJ518" s="93" t="str">
        <f t="shared" si="26"/>
        <v>SÃO PAULO</v>
      </c>
      <c r="AK518" s="183" t="s">
        <v>54</v>
      </c>
    </row>
    <row r="519" spans="1:37" ht="30" customHeight="1">
      <c r="A519" s="161" t="s">
        <v>198</v>
      </c>
      <c r="B519" s="155">
        <v>2620533268</v>
      </c>
      <c r="C519" s="155" t="s">
        <v>118</v>
      </c>
      <c r="D519" s="155" t="s">
        <v>96</v>
      </c>
      <c r="E519" s="155" t="s">
        <v>35</v>
      </c>
      <c r="F519" s="155" t="s">
        <v>1092</v>
      </c>
      <c r="G519" s="155">
        <v>228</v>
      </c>
      <c r="H519" s="155" t="s">
        <v>1093</v>
      </c>
      <c r="I519" s="155" t="s">
        <v>271</v>
      </c>
      <c r="J519" s="155" t="s">
        <v>267</v>
      </c>
      <c r="K519" s="155" t="s">
        <v>200</v>
      </c>
      <c r="L519" s="155" t="s">
        <v>1094</v>
      </c>
      <c r="M519" s="155" t="s">
        <v>1082</v>
      </c>
      <c r="N519" s="155" t="s">
        <v>213</v>
      </c>
      <c r="O519" s="256" t="s">
        <v>207</v>
      </c>
      <c r="P519" s="90"/>
      <c r="Q519" s="140" t="s">
        <v>207</v>
      </c>
      <c r="R519" s="90"/>
      <c r="S519" s="140" t="s">
        <v>207</v>
      </c>
      <c r="T519" s="90"/>
      <c r="U519" s="140" t="s">
        <v>207</v>
      </c>
      <c r="V519" s="90"/>
      <c r="W519" s="140" t="s">
        <v>207</v>
      </c>
      <c r="X519" s="90"/>
      <c r="Y519" s="140" t="s">
        <v>77</v>
      </c>
      <c r="Z519" s="90"/>
      <c r="AA519" s="140" t="s">
        <v>207</v>
      </c>
      <c r="AB519" s="90"/>
      <c r="AC519" s="140" t="s">
        <v>207</v>
      </c>
      <c r="AD519" s="90"/>
      <c r="AE519" s="140" t="s">
        <v>207</v>
      </c>
      <c r="AF519" s="178" t="str">
        <f t="shared" si="24"/>
        <v>C</v>
      </c>
      <c r="AG519" s="52" t="str">
        <f t="shared" si="25"/>
        <v>UTILIZOU O PDA CORRETAMENTE</v>
      </c>
      <c r="AH519" s="140" t="s">
        <v>207</v>
      </c>
      <c r="AI519" s="182" t="s">
        <v>36</v>
      </c>
      <c r="AJ519" s="93" t="str">
        <f t="shared" si="26"/>
        <v>SÃO PAULO</v>
      </c>
      <c r="AK519" s="183" t="s">
        <v>54</v>
      </c>
    </row>
    <row r="520" spans="1:37" ht="30" customHeight="1">
      <c r="A520" s="161" t="s">
        <v>198</v>
      </c>
      <c r="B520" s="155">
        <v>2620712741</v>
      </c>
      <c r="C520" s="155" t="s">
        <v>121</v>
      </c>
      <c r="D520" s="155" t="s">
        <v>96</v>
      </c>
      <c r="E520" s="155" t="s">
        <v>35</v>
      </c>
      <c r="F520" s="155" t="s">
        <v>1095</v>
      </c>
      <c r="G520" s="155">
        <v>320</v>
      </c>
      <c r="H520" s="155" t="s">
        <v>200</v>
      </c>
      <c r="I520" s="155" t="s">
        <v>433</v>
      </c>
      <c r="J520" s="155" t="s">
        <v>336</v>
      </c>
      <c r="K520" s="155" t="s">
        <v>200</v>
      </c>
      <c r="L520" s="155" t="s">
        <v>1096</v>
      </c>
      <c r="M520" s="155" t="s">
        <v>1097</v>
      </c>
      <c r="N520" s="155" t="s">
        <v>517</v>
      </c>
      <c r="O520" s="256" t="s">
        <v>207</v>
      </c>
      <c r="P520" s="90"/>
      <c r="Q520" s="140" t="s">
        <v>207</v>
      </c>
      <c r="R520" s="90"/>
      <c r="S520" s="140" t="s">
        <v>207</v>
      </c>
      <c r="T520" s="90"/>
      <c r="U520" s="140" t="s">
        <v>207</v>
      </c>
      <c r="V520" s="90"/>
      <c r="W520" s="140" t="s">
        <v>207</v>
      </c>
      <c r="X520" s="90"/>
      <c r="Y520" s="140" t="s">
        <v>77</v>
      </c>
      <c r="Z520" s="90"/>
      <c r="AA520" s="140" t="s">
        <v>207</v>
      </c>
      <c r="AB520" s="90"/>
      <c r="AC520" s="140" t="s">
        <v>207</v>
      </c>
      <c r="AD520" s="90"/>
      <c r="AE520" s="140" t="s">
        <v>207</v>
      </c>
      <c r="AF520" s="178" t="str">
        <f t="shared" si="24"/>
        <v>C</v>
      </c>
      <c r="AG520" s="52" t="str">
        <f t="shared" si="25"/>
        <v>UTILIZOU O PDA CORRETAMENTE</v>
      </c>
      <c r="AH520" s="140" t="s">
        <v>207</v>
      </c>
      <c r="AI520" s="182" t="s">
        <v>36</v>
      </c>
      <c r="AJ520" s="93" t="str">
        <f t="shared" si="26"/>
        <v>SÃO PAULO</v>
      </c>
      <c r="AK520" s="183" t="s">
        <v>54</v>
      </c>
    </row>
    <row r="521" spans="1:37" ht="30" customHeight="1">
      <c r="A521" s="161" t="s">
        <v>198</v>
      </c>
      <c r="B521" s="155">
        <v>2620537912</v>
      </c>
      <c r="C521" s="155" t="s">
        <v>115</v>
      </c>
      <c r="D521" s="155" t="s">
        <v>96</v>
      </c>
      <c r="E521" s="155" t="s">
        <v>35</v>
      </c>
      <c r="F521" s="155" t="s">
        <v>296</v>
      </c>
      <c r="G521" s="155">
        <v>836</v>
      </c>
      <c r="H521" s="155" t="s">
        <v>208</v>
      </c>
      <c r="I521" s="155" t="s">
        <v>297</v>
      </c>
      <c r="J521" s="155" t="s">
        <v>268</v>
      </c>
      <c r="K521" s="155" t="s">
        <v>1098</v>
      </c>
      <c r="L521" s="155" t="s">
        <v>1099</v>
      </c>
      <c r="M521" s="155" t="s">
        <v>1100</v>
      </c>
      <c r="N521" s="155" t="s">
        <v>213</v>
      </c>
      <c r="O521" s="256" t="s">
        <v>207</v>
      </c>
      <c r="P521" s="90"/>
      <c r="Q521" s="140" t="s">
        <v>207</v>
      </c>
      <c r="R521" s="90"/>
      <c r="S521" s="140" t="s">
        <v>207</v>
      </c>
      <c r="T521" s="90"/>
      <c r="U521" s="140" t="s">
        <v>207</v>
      </c>
      <c r="V521" s="90"/>
      <c r="W521" s="140" t="s">
        <v>207</v>
      </c>
      <c r="X521" s="90"/>
      <c r="Y521" s="140" t="s">
        <v>207</v>
      </c>
      <c r="Z521" s="90"/>
      <c r="AA521" s="140" t="s">
        <v>207</v>
      </c>
      <c r="AB521" s="90"/>
      <c r="AC521" s="140" t="s">
        <v>207</v>
      </c>
      <c r="AD521" s="90"/>
      <c r="AE521" s="140" t="s">
        <v>207</v>
      </c>
      <c r="AF521" s="178" t="str">
        <f t="shared" si="24"/>
        <v>C</v>
      </c>
      <c r="AG521" s="52" t="str">
        <f t="shared" si="25"/>
        <v>UTILIZOU O PDA CORRETAMENTE</v>
      </c>
      <c r="AH521" s="140" t="s">
        <v>207</v>
      </c>
      <c r="AI521" s="182" t="s">
        <v>36</v>
      </c>
      <c r="AJ521" s="93" t="str">
        <f t="shared" si="26"/>
        <v>SÃO PAULO</v>
      </c>
      <c r="AK521" s="183" t="s">
        <v>54</v>
      </c>
    </row>
    <row r="522" spans="1:37" ht="30" customHeight="1">
      <c r="A522" s="161" t="s">
        <v>198</v>
      </c>
      <c r="B522" s="155">
        <v>2620721710</v>
      </c>
      <c r="C522" s="155" t="s">
        <v>116</v>
      </c>
      <c r="D522" s="155" t="s">
        <v>94</v>
      </c>
      <c r="E522" s="155" t="s">
        <v>35</v>
      </c>
      <c r="F522" s="155" t="s">
        <v>1092</v>
      </c>
      <c r="G522" s="155">
        <v>222</v>
      </c>
      <c r="H522" s="155" t="s">
        <v>1093</v>
      </c>
      <c r="I522" s="155" t="s">
        <v>271</v>
      </c>
      <c r="J522" s="155" t="s">
        <v>221</v>
      </c>
      <c r="K522" s="155" t="s">
        <v>1101</v>
      </c>
      <c r="L522" s="155" t="s">
        <v>1102</v>
      </c>
      <c r="M522" s="155" t="s">
        <v>1103</v>
      </c>
      <c r="N522" s="155" t="s">
        <v>213</v>
      </c>
      <c r="O522" s="256" t="s">
        <v>207</v>
      </c>
      <c r="P522" s="90"/>
      <c r="Q522" s="140" t="s">
        <v>207</v>
      </c>
      <c r="R522" s="90"/>
      <c r="S522" s="140" t="s">
        <v>207</v>
      </c>
      <c r="T522" s="90"/>
      <c r="U522" s="140" t="s">
        <v>207</v>
      </c>
      <c r="V522" s="90"/>
      <c r="W522" s="140" t="s">
        <v>207</v>
      </c>
      <c r="X522" s="90"/>
      <c r="Y522" s="140" t="s">
        <v>207</v>
      </c>
      <c r="Z522" s="90"/>
      <c r="AA522" s="140" t="s">
        <v>207</v>
      </c>
      <c r="AB522" s="90"/>
      <c r="AC522" s="140" t="s">
        <v>207</v>
      </c>
      <c r="AD522" s="90"/>
      <c r="AE522" s="140" t="s">
        <v>207</v>
      </c>
      <c r="AF522" s="178" t="str">
        <f t="shared" si="24"/>
        <v>C</v>
      </c>
      <c r="AG522" s="52" t="str">
        <f t="shared" si="25"/>
        <v>UTILIZOU O PDA CORRETAMENTE</v>
      </c>
      <c r="AH522" s="140" t="s">
        <v>207</v>
      </c>
      <c r="AI522" s="182" t="s">
        <v>36</v>
      </c>
      <c r="AJ522" s="93" t="str">
        <f t="shared" si="26"/>
        <v>SÃO PAULO</v>
      </c>
      <c r="AK522" s="183" t="s">
        <v>54</v>
      </c>
    </row>
    <row r="523" spans="1:37" ht="30" customHeight="1">
      <c r="A523" s="161" t="s">
        <v>198</v>
      </c>
      <c r="B523" s="155">
        <v>2693495316</v>
      </c>
      <c r="C523" s="155" t="s">
        <v>117</v>
      </c>
      <c r="D523" s="155" t="s">
        <v>96</v>
      </c>
      <c r="E523" s="155" t="s">
        <v>35</v>
      </c>
      <c r="F523" s="155" t="s">
        <v>1104</v>
      </c>
      <c r="G523" s="155">
        <v>79</v>
      </c>
      <c r="H523" s="155" t="s">
        <v>200</v>
      </c>
      <c r="I523" s="155" t="s">
        <v>1105</v>
      </c>
      <c r="J523" s="155" t="s">
        <v>267</v>
      </c>
      <c r="K523" s="155" t="s">
        <v>200</v>
      </c>
      <c r="L523" s="155" t="s">
        <v>1106</v>
      </c>
      <c r="M523" s="155" t="s">
        <v>1107</v>
      </c>
      <c r="N523" s="155" t="s">
        <v>251</v>
      </c>
      <c r="O523" s="256" t="s">
        <v>207</v>
      </c>
      <c r="P523" s="90"/>
      <c r="Q523" s="140" t="s">
        <v>207</v>
      </c>
      <c r="R523" s="90"/>
      <c r="S523" s="140" t="s">
        <v>207</v>
      </c>
      <c r="T523" s="90"/>
      <c r="U523" s="140" t="s">
        <v>207</v>
      </c>
      <c r="V523" s="90"/>
      <c r="W523" s="140" t="s">
        <v>207</v>
      </c>
      <c r="X523" s="90"/>
      <c r="Y523" s="140" t="s">
        <v>77</v>
      </c>
      <c r="Z523" s="90"/>
      <c r="AA523" s="140" t="s">
        <v>207</v>
      </c>
      <c r="AB523" s="90"/>
      <c r="AC523" s="140" t="s">
        <v>207</v>
      </c>
      <c r="AD523" s="90"/>
      <c r="AE523" s="140" t="s">
        <v>207</v>
      </c>
      <c r="AF523" s="178" t="str">
        <f t="shared" si="24"/>
        <v>C</v>
      </c>
      <c r="AG523" s="52" t="str">
        <f t="shared" si="25"/>
        <v>UTILIZOU O PDA CORRETAMENTE</v>
      </c>
      <c r="AH523" s="140" t="s">
        <v>207</v>
      </c>
      <c r="AI523" s="182" t="s">
        <v>36</v>
      </c>
      <c r="AJ523" s="93" t="str">
        <f t="shared" si="26"/>
        <v>SÃO PAULO</v>
      </c>
      <c r="AK523" s="183" t="s">
        <v>54</v>
      </c>
    </row>
    <row r="524" spans="1:37" ht="30" customHeight="1">
      <c r="A524" s="161" t="s">
        <v>198</v>
      </c>
      <c r="B524" s="155">
        <v>2620721121</v>
      </c>
      <c r="C524" s="155" t="s">
        <v>115</v>
      </c>
      <c r="D524" s="155" t="s">
        <v>96</v>
      </c>
      <c r="E524" s="155" t="s">
        <v>35</v>
      </c>
      <c r="F524" s="155" t="s">
        <v>1108</v>
      </c>
      <c r="G524" s="155">
        <v>57</v>
      </c>
      <c r="H524" s="155" t="s">
        <v>200</v>
      </c>
      <c r="I524" s="155" t="s">
        <v>386</v>
      </c>
      <c r="J524" s="155" t="s">
        <v>268</v>
      </c>
      <c r="K524" s="155" t="s">
        <v>200</v>
      </c>
      <c r="L524" s="155" t="s">
        <v>1109</v>
      </c>
      <c r="M524" s="155" t="s">
        <v>1110</v>
      </c>
      <c r="N524" s="155" t="s">
        <v>222</v>
      </c>
      <c r="O524" s="256" t="s">
        <v>207</v>
      </c>
      <c r="P524" s="90"/>
      <c r="Q524" s="140" t="s">
        <v>207</v>
      </c>
      <c r="R524" s="90"/>
      <c r="S524" s="140" t="s">
        <v>207</v>
      </c>
      <c r="T524" s="90"/>
      <c r="U524" s="140" t="s">
        <v>207</v>
      </c>
      <c r="V524" s="90"/>
      <c r="W524" s="140" t="s">
        <v>207</v>
      </c>
      <c r="X524" s="90"/>
      <c r="Y524" s="140" t="s">
        <v>207</v>
      </c>
      <c r="Z524" s="90"/>
      <c r="AA524" s="140" t="s">
        <v>207</v>
      </c>
      <c r="AB524" s="90"/>
      <c r="AC524" s="140" t="s">
        <v>207</v>
      </c>
      <c r="AD524" s="90"/>
      <c r="AE524" s="140" t="s">
        <v>207</v>
      </c>
      <c r="AF524" s="178" t="str">
        <f t="shared" si="24"/>
        <v>C</v>
      </c>
      <c r="AG524" s="52" t="str">
        <f t="shared" si="25"/>
        <v>UTILIZOU O PDA CORRETAMENTE</v>
      </c>
      <c r="AH524" s="140" t="s">
        <v>207</v>
      </c>
      <c r="AI524" s="182" t="s">
        <v>36</v>
      </c>
      <c r="AJ524" s="93" t="str">
        <f t="shared" si="26"/>
        <v>SÃO PAULO</v>
      </c>
      <c r="AK524" s="183" t="s">
        <v>54</v>
      </c>
    </row>
    <row r="525" spans="1:37" ht="30" customHeight="1">
      <c r="A525" s="161" t="s">
        <v>198</v>
      </c>
      <c r="B525" s="155">
        <v>2620718681</v>
      </c>
      <c r="C525" s="155" t="s">
        <v>117</v>
      </c>
      <c r="D525" s="155" t="s">
        <v>96</v>
      </c>
      <c r="E525" s="155" t="s">
        <v>35</v>
      </c>
      <c r="F525" s="155" t="s">
        <v>1111</v>
      </c>
      <c r="G525" s="155">
        <v>282</v>
      </c>
      <c r="H525" s="155" t="s">
        <v>200</v>
      </c>
      <c r="I525" s="155" t="s">
        <v>36</v>
      </c>
      <c r="J525" s="155" t="s">
        <v>267</v>
      </c>
      <c r="K525" s="155" t="s">
        <v>200</v>
      </c>
      <c r="L525" s="155" t="s">
        <v>1112</v>
      </c>
      <c r="M525" s="155" t="s">
        <v>1113</v>
      </c>
      <c r="N525" s="155" t="s">
        <v>288</v>
      </c>
      <c r="O525" s="256" t="s">
        <v>207</v>
      </c>
      <c r="P525" s="90"/>
      <c r="Q525" s="140" t="s">
        <v>207</v>
      </c>
      <c r="R525" s="90"/>
      <c r="S525" s="140" t="s">
        <v>207</v>
      </c>
      <c r="T525" s="90"/>
      <c r="U525" s="140" t="s">
        <v>207</v>
      </c>
      <c r="V525" s="90"/>
      <c r="W525" s="140" t="s">
        <v>207</v>
      </c>
      <c r="X525" s="90"/>
      <c r="Y525" s="140" t="s">
        <v>77</v>
      </c>
      <c r="Z525" s="90"/>
      <c r="AA525" s="140" t="s">
        <v>207</v>
      </c>
      <c r="AB525" s="90"/>
      <c r="AC525" s="140" t="s">
        <v>207</v>
      </c>
      <c r="AD525" s="90"/>
      <c r="AE525" s="140" t="s">
        <v>207</v>
      </c>
      <c r="AF525" s="178" t="str">
        <f t="shared" si="24"/>
        <v>C</v>
      </c>
      <c r="AG525" s="52" t="str">
        <f t="shared" si="25"/>
        <v>UTILIZOU O PDA CORRETAMENTE</v>
      </c>
      <c r="AH525" s="140" t="s">
        <v>207</v>
      </c>
      <c r="AI525" s="182" t="s">
        <v>36</v>
      </c>
      <c r="AJ525" s="93" t="str">
        <f t="shared" si="26"/>
        <v>SÃO PAULO</v>
      </c>
      <c r="AK525" s="183" t="s">
        <v>54</v>
      </c>
    </row>
    <row r="526" spans="1:37" ht="30" customHeight="1">
      <c r="A526" s="161" t="s">
        <v>198</v>
      </c>
      <c r="B526" s="155">
        <v>2693486914</v>
      </c>
      <c r="C526" s="155" t="s">
        <v>118</v>
      </c>
      <c r="D526" s="155" t="s">
        <v>96</v>
      </c>
      <c r="E526" s="155" t="s">
        <v>35</v>
      </c>
      <c r="F526" s="155" t="s">
        <v>1114</v>
      </c>
      <c r="G526" s="155">
        <v>530</v>
      </c>
      <c r="H526" s="155" t="s">
        <v>200</v>
      </c>
      <c r="I526" s="155" t="s">
        <v>300</v>
      </c>
      <c r="J526" s="155" t="s">
        <v>267</v>
      </c>
      <c r="K526" s="155" t="s">
        <v>1115</v>
      </c>
      <c r="L526" s="155" t="s">
        <v>1116</v>
      </c>
      <c r="M526" s="155" t="s">
        <v>1117</v>
      </c>
      <c r="N526" s="155" t="s">
        <v>235</v>
      </c>
      <c r="O526" s="256" t="s">
        <v>207</v>
      </c>
      <c r="P526" s="90"/>
      <c r="Q526" s="140" t="s">
        <v>207</v>
      </c>
      <c r="R526" s="90"/>
      <c r="S526" s="140" t="s">
        <v>207</v>
      </c>
      <c r="T526" s="90"/>
      <c r="U526" s="140" t="s">
        <v>207</v>
      </c>
      <c r="V526" s="90"/>
      <c r="W526" s="140" t="s">
        <v>207</v>
      </c>
      <c r="X526" s="90"/>
      <c r="Y526" s="140" t="s">
        <v>77</v>
      </c>
      <c r="Z526" s="90"/>
      <c r="AA526" s="140" t="s">
        <v>207</v>
      </c>
      <c r="AB526" s="90"/>
      <c r="AC526" s="140" t="s">
        <v>207</v>
      </c>
      <c r="AD526" s="90"/>
      <c r="AE526" s="140" t="s">
        <v>207</v>
      </c>
      <c r="AF526" s="178" t="str">
        <f t="shared" si="24"/>
        <v>C</v>
      </c>
      <c r="AG526" s="52" t="str">
        <f t="shared" si="25"/>
        <v>UTILIZOU O PDA CORRETAMENTE</v>
      </c>
      <c r="AH526" s="140" t="s">
        <v>207</v>
      </c>
      <c r="AI526" s="182" t="s">
        <v>36</v>
      </c>
      <c r="AJ526" s="93" t="str">
        <f t="shared" si="26"/>
        <v>SÃO PAULO</v>
      </c>
      <c r="AK526" s="183" t="s">
        <v>54</v>
      </c>
    </row>
    <row r="527" spans="1:37" ht="30" customHeight="1">
      <c r="A527" s="161" t="s">
        <v>198</v>
      </c>
      <c r="B527" s="155">
        <v>2620051640</v>
      </c>
      <c r="C527" s="155" t="s">
        <v>109</v>
      </c>
      <c r="D527" s="155" t="s">
        <v>92</v>
      </c>
      <c r="E527" s="155" t="s">
        <v>35</v>
      </c>
      <c r="F527" s="155" t="s">
        <v>1118</v>
      </c>
      <c r="G527" s="155">
        <v>94</v>
      </c>
      <c r="H527" s="155" t="s">
        <v>208</v>
      </c>
      <c r="I527" s="155" t="s">
        <v>338</v>
      </c>
      <c r="J527" s="155" t="s">
        <v>109</v>
      </c>
      <c r="K527" s="155" t="s">
        <v>200</v>
      </c>
      <c r="L527" s="155" t="s">
        <v>1119</v>
      </c>
      <c r="M527" s="155" t="s">
        <v>1120</v>
      </c>
      <c r="N527" s="155" t="s">
        <v>251</v>
      </c>
      <c r="O527" s="152" t="s">
        <v>207</v>
      </c>
      <c r="P527" s="90"/>
      <c r="Q527" s="140" t="s">
        <v>77</v>
      </c>
      <c r="R527" s="90"/>
      <c r="S527" s="140" t="s">
        <v>77</v>
      </c>
      <c r="T527" s="90"/>
      <c r="U527" s="140" t="s">
        <v>77</v>
      </c>
      <c r="V527" s="90"/>
      <c r="W527" s="140" t="s">
        <v>77</v>
      </c>
      <c r="X527" s="90"/>
      <c r="Y527" s="140" t="s">
        <v>77</v>
      </c>
      <c r="Z527" s="90"/>
      <c r="AA527" s="140" t="s">
        <v>207</v>
      </c>
      <c r="AB527" s="90"/>
      <c r="AC527" s="140" t="s">
        <v>207</v>
      </c>
      <c r="AD527" s="90"/>
      <c r="AE527" s="140" t="s">
        <v>207</v>
      </c>
      <c r="AF527" s="178" t="str">
        <f t="shared" si="24"/>
        <v>C</v>
      </c>
      <c r="AG527" s="52" t="str">
        <f t="shared" si="25"/>
        <v>UTILIZOU O PDA CORRETAMENTE</v>
      </c>
      <c r="AH527" s="140"/>
      <c r="AI527" s="182" t="s">
        <v>36</v>
      </c>
      <c r="AJ527" s="93" t="str">
        <f t="shared" si="26"/>
        <v>SÃO PAULO</v>
      </c>
      <c r="AK527" s="183" t="s">
        <v>54</v>
      </c>
    </row>
    <row r="528" spans="1:37" ht="30" customHeight="1">
      <c r="A528" s="161" t="s">
        <v>198</v>
      </c>
      <c r="B528" s="155">
        <v>2620051673</v>
      </c>
      <c r="C528" s="155" t="s">
        <v>111</v>
      </c>
      <c r="D528" s="155" t="s">
        <v>92</v>
      </c>
      <c r="E528" s="155" t="s">
        <v>35</v>
      </c>
      <c r="F528" s="155" t="s">
        <v>1118</v>
      </c>
      <c r="G528" s="155">
        <v>94</v>
      </c>
      <c r="H528" s="155" t="s">
        <v>205</v>
      </c>
      <c r="I528" s="155" t="s">
        <v>338</v>
      </c>
      <c r="J528" s="155" t="s">
        <v>111</v>
      </c>
      <c r="K528" s="155" t="s">
        <v>200</v>
      </c>
      <c r="L528" s="155" t="s">
        <v>1121</v>
      </c>
      <c r="M528" s="155" t="s">
        <v>1122</v>
      </c>
      <c r="N528" s="155" t="s">
        <v>251</v>
      </c>
      <c r="O528" s="152" t="s">
        <v>207</v>
      </c>
      <c r="P528" s="90"/>
      <c r="Q528" s="140" t="s">
        <v>77</v>
      </c>
      <c r="R528" s="90"/>
      <c r="S528" s="140" t="s">
        <v>77</v>
      </c>
      <c r="T528" s="90"/>
      <c r="U528" s="140" t="s">
        <v>77</v>
      </c>
      <c r="V528" s="90"/>
      <c r="W528" s="140" t="s">
        <v>77</v>
      </c>
      <c r="X528" s="90"/>
      <c r="Y528" s="140" t="s">
        <v>77</v>
      </c>
      <c r="Z528" s="90"/>
      <c r="AA528" s="140" t="s">
        <v>207</v>
      </c>
      <c r="AB528" s="90"/>
      <c r="AC528" s="140" t="s">
        <v>207</v>
      </c>
      <c r="AD528" s="90"/>
      <c r="AE528" s="140" t="s">
        <v>207</v>
      </c>
      <c r="AF528" s="178" t="str">
        <f t="shared" si="24"/>
        <v>C</v>
      </c>
      <c r="AG528" s="52" t="str">
        <f t="shared" si="25"/>
        <v>UTILIZOU O PDA CORRETAMENTE</v>
      </c>
      <c r="AH528" s="140"/>
      <c r="AI528" s="182" t="s">
        <v>36</v>
      </c>
      <c r="AJ528" s="93" t="str">
        <f t="shared" si="26"/>
        <v>SÃO PAULO</v>
      </c>
      <c r="AK528" s="183" t="s">
        <v>54</v>
      </c>
    </row>
    <row r="529" spans="1:37" ht="30" customHeight="1">
      <c r="A529" s="161" t="s">
        <v>198</v>
      </c>
      <c r="B529" s="155">
        <v>2620791650</v>
      </c>
      <c r="C529" s="155" t="s">
        <v>121</v>
      </c>
      <c r="D529" s="155" t="s">
        <v>96</v>
      </c>
      <c r="E529" s="155" t="s">
        <v>35</v>
      </c>
      <c r="F529" s="155" t="s">
        <v>1123</v>
      </c>
      <c r="G529" s="155">
        <v>64</v>
      </c>
      <c r="H529" s="155" t="s">
        <v>208</v>
      </c>
      <c r="I529" s="155" t="s">
        <v>1124</v>
      </c>
      <c r="J529" s="155" t="s">
        <v>336</v>
      </c>
      <c r="K529" s="155" t="s">
        <v>200</v>
      </c>
      <c r="L529" s="155" t="s">
        <v>1125</v>
      </c>
      <c r="M529" s="155" t="s">
        <v>1126</v>
      </c>
      <c r="N529" s="155" t="s">
        <v>222</v>
      </c>
      <c r="O529" s="256" t="s">
        <v>207</v>
      </c>
      <c r="P529" s="90"/>
      <c r="Q529" s="140" t="s">
        <v>207</v>
      </c>
      <c r="R529" s="90"/>
      <c r="S529" s="140" t="s">
        <v>207</v>
      </c>
      <c r="T529" s="90"/>
      <c r="U529" s="140" t="s">
        <v>207</v>
      </c>
      <c r="V529" s="90"/>
      <c r="W529" s="140" t="s">
        <v>207</v>
      </c>
      <c r="X529" s="90"/>
      <c r="Y529" s="140" t="s">
        <v>77</v>
      </c>
      <c r="Z529" s="90"/>
      <c r="AA529" s="140" t="s">
        <v>207</v>
      </c>
      <c r="AB529" s="90"/>
      <c r="AC529" s="140" t="s">
        <v>207</v>
      </c>
      <c r="AD529" s="90"/>
      <c r="AE529" s="140" t="s">
        <v>207</v>
      </c>
      <c r="AF529" s="178" t="str">
        <f t="shared" si="24"/>
        <v>C</v>
      </c>
      <c r="AG529" s="52" t="str">
        <f t="shared" si="25"/>
        <v>UTILIZOU O PDA CORRETAMENTE</v>
      </c>
      <c r="AH529" s="140" t="s">
        <v>207</v>
      </c>
      <c r="AI529" s="182" t="s">
        <v>36</v>
      </c>
      <c r="AJ529" s="93" t="str">
        <f t="shared" si="26"/>
        <v>SÃO PAULO</v>
      </c>
      <c r="AK529" s="183" t="s">
        <v>54</v>
      </c>
    </row>
    <row r="530" spans="1:37" ht="30" customHeight="1">
      <c r="A530" s="161" t="s">
        <v>198</v>
      </c>
      <c r="B530" s="155">
        <v>2620721595</v>
      </c>
      <c r="C530" s="155" t="s">
        <v>223</v>
      </c>
      <c r="D530" s="155" t="s">
        <v>96</v>
      </c>
      <c r="E530" s="155" t="s">
        <v>35</v>
      </c>
      <c r="F530" s="155" t="s">
        <v>1042</v>
      </c>
      <c r="G530" s="155">
        <v>21</v>
      </c>
      <c r="H530" s="155" t="s">
        <v>347</v>
      </c>
      <c r="I530" s="155" t="s">
        <v>471</v>
      </c>
      <c r="J530" s="155" t="s">
        <v>226</v>
      </c>
      <c r="K530" s="155" t="s">
        <v>200</v>
      </c>
      <c r="L530" s="155" t="s">
        <v>1127</v>
      </c>
      <c r="M530" s="155" t="s">
        <v>1128</v>
      </c>
      <c r="N530" s="155" t="s">
        <v>251</v>
      </c>
      <c r="O530" s="256" t="s">
        <v>207</v>
      </c>
      <c r="P530" s="90"/>
      <c r="Q530" s="140" t="s">
        <v>207</v>
      </c>
      <c r="R530" s="90"/>
      <c r="S530" s="140" t="s">
        <v>207</v>
      </c>
      <c r="T530" s="90"/>
      <c r="U530" s="140" t="s">
        <v>207</v>
      </c>
      <c r="V530" s="90"/>
      <c r="W530" s="140" t="s">
        <v>207</v>
      </c>
      <c r="X530" s="90"/>
      <c r="Y530" s="140" t="s">
        <v>77</v>
      </c>
      <c r="Z530" s="90"/>
      <c r="AA530" s="140" t="s">
        <v>207</v>
      </c>
      <c r="AB530" s="90"/>
      <c r="AC530" s="140" t="s">
        <v>207</v>
      </c>
      <c r="AD530" s="90"/>
      <c r="AE530" s="140" t="s">
        <v>207</v>
      </c>
      <c r="AF530" s="178" t="str">
        <f t="shared" si="24"/>
        <v>C</v>
      </c>
      <c r="AG530" s="52" t="str">
        <f t="shared" si="25"/>
        <v>UTILIZOU O PDA CORRETAMENTE</v>
      </c>
      <c r="AH530" s="140" t="s">
        <v>207</v>
      </c>
      <c r="AI530" s="182" t="s">
        <v>36</v>
      </c>
      <c r="AJ530" s="93" t="str">
        <f t="shared" si="26"/>
        <v>SÃO PAULO</v>
      </c>
      <c r="AK530" s="183" t="s">
        <v>54</v>
      </c>
    </row>
    <row r="531" spans="1:37" ht="30" customHeight="1">
      <c r="A531" s="161" t="s">
        <v>198</v>
      </c>
      <c r="B531" s="155">
        <v>2620336156</v>
      </c>
      <c r="C531" s="155" t="s">
        <v>120</v>
      </c>
      <c r="D531" s="155" t="s">
        <v>96</v>
      </c>
      <c r="E531" s="155" t="s">
        <v>35</v>
      </c>
      <c r="F531" s="155" t="s">
        <v>628</v>
      </c>
      <c r="G531" s="155">
        <v>22</v>
      </c>
      <c r="H531" s="155" t="s">
        <v>208</v>
      </c>
      <c r="I531" s="155" t="s">
        <v>248</v>
      </c>
      <c r="J531" s="155" t="s">
        <v>202</v>
      </c>
      <c r="K531" s="155" t="s">
        <v>200</v>
      </c>
      <c r="L531" s="155" t="s">
        <v>1129</v>
      </c>
      <c r="M531" s="155" t="s">
        <v>1130</v>
      </c>
      <c r="N531" s="155" t="s">
        <v>288</v>
      </c>
      <c r="O531" s="256" t="s">
        <v>207</v>
      </c>
      <c r="P531" s="90"/>
      <c r="Q531" s="140" t="s">
        <v>207</v>
      </c>
      <c r="R531" s="90"/>
      <c r="S531" s="140" t="s">
        <v>207</v>
      </c>
      <c r="T531" s="90"/>
      <c r="U531" s="140" t="s">
        <v>207</v>
      </c>
      <c r="V531" s="90"/>
      <c r="W531" s="140" t="s">
        <v>207</v>
      </c>
      <c r="X531" s="90"/>
      <c r="Y531" s="140" t="s">
        <v>77</v>
      </c>
      <c r="Z531" s="90"/>
      <c r="AA531" s="140" t="s">
        <v>207</v>
      </c>
      <c r="AB531" s="90"/>
      <c r="AC531" s="140" t="s">
        <v>207</v>
      </c>
      <c r="AD531" s="90"/>
      <c r="AE531" s="140" t="s">
        <v>207</v>
      </c>
      <c r="AF531" s="178" t="str">
        <f t="shared" si="24"/>
        <v>C</v>
      </c>
      <c r="AG531" s="52" t="str">
        <f t="shared" si="25"/>
        <v>UTILIZOU O PDA CORRETAMENTE</v>
      </c>
      <c r="AH531" s="140" t="s">
        <v>207</v>
      </c>
      <c r="AI531" s="182" t="s">
        <v>36</v>
      </c>
      <c r="AJ531" s="93" t="str">
        <f t="shared" si="26"/>
        <v>SÃO PAULO</v>
      </c>
      <c r="AK531" s="183" t="s">
        <v>54</v>
      </c>
    </row>
    <row r="532" spans="1:37" ht="30" customHeight="1">
      <c r="A532" s="161" t="s">
        <v>198</v>
      </c>
      <c r="B532" s="155">
        <v>2693479559</v>
      </c>
      <c r="C532" s="155" t="s">
        <v>114</v>
      </c>
      <c r="D532" s="155" t="s">
        <v>96</v>
      </c>
      <c r="E532" s="155" t="s">
        <v>35</v>
      </c>
      <c r="F532" s="155" t="s">
        <v>1131</v>
      </c>
      <c r="G532" s="155">
        <v>459</v>
      </c>
      <c r="H532" s="155" t="s">
        <v>200</v>
      </c>
      <c r="I532" s="155" t="s">
        <v>417</v>
      </c>
      <c r="J532" s="155" t="s">
        <v>260</v>
      </c>
      <c r="K532" s="155" t="s">
        <v>200</v>
      </c>
      <c r="L532" s="155" t="s">
        <v>1132</v>
      </c>
      <c r="M532" s="155" t="s">
        <v>1133</v>
      </c>
      <c r="N532" s="155" t="s">
        <v>364</v>
      </c>
      <c r="O532" s="256" t="s">
        <v>207</v>
      </c>
      <c r="P532" s="90"/>
      <c r="Q532" s="140" t="s">
        <v>207</v>
      </c>
      <c r="R532" s="90"/>
      <c r="S532" s="140" t="s">
        <v>207</v>
      </c>
      <c r="T532" s="90"/>
      <c r="U532" s="140" t="s">
        <v>207</v>
      </c>
      <c r="V532" s="90"/>
      <c r="W532" s="140" t="s">
        <v>207</v>
      </c>
      <c r="X532" s="90"/>
      <c r="Y532" s="140" t="s">
        <v>207</v>
      </c>
      <c r="Z532" s="90"/>
      <c r="AA532" s="140" t="s">
        <v>207</v>
      </c>
      <c r="AB532" s="90"/>
      <c r="AC532" s="140" t="s">
        <v>207</v>
      </c>
      <c r="AD532" s="90"/>
      <c r="AE532" s="140" t="s">
        <v>207</v>
      </c>
      <c r="AF532" s="178" t="str">
        <f t="shared" si="24"/>
        <v>C</v>
      </c>
      <c r="AG532" s="52" t="str">
        <f t="shared" si="25"/>
        <v>UTILIZOU O PDA CORRETAMENTE</v>
      </c>
      <c r="AH532" s="140" t="s">
        <v>207</v>
      </c>
      <c r="AI532" s="182" t="s">
        <v>36</v>
      </c>
      <c r="AJ532" s="93" t="str">
        <f t="shared" si="26"/>
        <v>SÃO PAULO</v>
      </c>
      <c r="AK532" s="183" t="s">
        <v>54</v>
      </c>
    </row>
    <row r="533" spans="1:37" ht="30" customHeight="1">
      <c r="A533" s="176" t="s">
        <v>198</v>
      </c>
      <c r="B533" s="154">
        <v>2620531440</v>
      </c>
      <c r="C533" s="154" t="s">
        <v>120</v>
      </c>
      <c r="D533" s="154" t="s">
        <v>96</v>
      </c>
      <c r="E533" s="154" t="s">
        <v>35</v>
      </c>
      <c r="F533" s="154" t="s">
        <v>739</v>
      </c>
      <c r="G533" s="154">
        <v>353</v>
      </c>
      <c r="H533" s="154" t="s">
        <v>208</v>
      </c>
      <c r="I533" s="154" t="s">
        <v>290</v>
      </c>
      <c r="J533" s="154" t="s">
        <v>202</v>
      </c>
      <c r="K533" s="154" t="s">
        <v>200</v>
      </c>
      <c r="L533" s="154" t="s">
        <v>1134</v>
      </c>
      <c r="M533" s="154" t="s">
        <v>1135</v>
      </c>
      <c r="N533" s="154" t="s">
        <v>235</v>
      </c>
      <c r="O533" s="256" t="s">
        <v>207</v>
      </c>
      <c r="P533" s="90"/>
      <c r="Q533" s="140" t="s">
        <v>207</v>
      </c>
      <c r="R533" s="90"/>
      <c r="S533" s="140" t="s">
        <v>207</v>
      </c>
      <c r="T533" s="90"/>
      <c r="U533" s="140" t="s">
        <v>207</v>
      </c>
      <c r="V533" s="90"/>
      <c r="W533" s="140" t="s">
        <v>207</v>
      </c>
      <c r="X533" s="90"/>
      <c r="Y533" s="140" t="s">
        <v>77</v>
      </c>
      <c r="Z533" s="90"/>
      <c r="AA533" s="140" t="s">
        <v>207</v>
      </c>
      <c r="AB533" s="90"/>
      <c r="AC533" s="140" t="s">
        <v>207</v>
      </c>
      <c r="AD533" s="90"/>
      <c r="AE533" s="140" t="s">
        <v>207</v>
      </c>
      <c r="AF533" s="178" t="str">
        <f t="shared" si="24"/>
        <v>C</v>
      </c>
      <c r="AG533" s="52" t="str">
        <f t="shared" si="25"/>
        <v>UTILIZOU O PDA CORRETAMENTE</v>
      </c>
      <c r="AH533" s="140" t="s">
        <v>207</v>
      </c>
      <c r="AI533" s="182" t="s">
        <v>36</v>
      </c>
      <c r="AJ533" s="93" t="str">
        <f t="shared" si="26"/>
        <v>SÃO PAULO</v>
      </c>
      <c r="AK533" s="183" t="s">
        <v>54</v>
      </c>
    </row>
    <row r="534" spans="1:37" ht="30" customHeight="1">
      <c r="A534" s="161" t="s">
        <v>198</v>
      </c>
      <c r="B534" s="155">
        <v>2620548312</v>
      </c>
      <c r="C534" s="155" t="s">
        <v>120</v>
      </c>
      <c r="D534" s="155" t="s">
        <v>96</v>
      </c>
      <c r="E534" s="155" t="s">
        <v>35</v>
      </c>
      <c r="F534" s="155" t="s">
        <v>381</v>
      </c>
      <c r="G534" s="155">
        <v>1236</v>
      </c>
      <c r="H534" s="155" t="s">
        <v>200</v>
      </c>
      <c r="I534" s="155" t="s">
        <v>382</v>
      </c>
      <c r="J534" s="155" t="s">
        <v>202</v>
      </c>
      <c r="K534" s="155" t="s">
        <v>200</v>
      </c>
      <c r="L534" s="155" t="s">
        <v>1136</v>
      </c>
      <c r="M534" s="155" t="s">
        <v>1137</v>
      </c>
      <c r="N534" s="155" t="s">
        <v>349</v>
      </c>
      <c r="O534" s="256" t="s">
        <v>207</v>
      </c>
      <c r="P534" s="90"/>
      <c r="Q534" s="140" t="s">
        <v>207</v>
      </c>
      <c r="R534" s="90"/>
      <c r="S534" s="140" t="s">
        <v>207</v>
      </c>
      <c r="T534" s="90"/>
      <c r="U534" s="140" t="s">
        <v>207</v>
      </c>
      <c r="V534" s="90"/>
      <c r="W534" s="140" t="s">
        <v>207</v>
      </c>
      <c r="X534" s="90"/>
      <c r="Y534" s="140" t="s">
        <v>77</v>
      </c>
      <c r="Z534" s="90"/>
      <c r="AA534" s="140" t="s">
        <v>207</v>
      </c>
      <c r="AB534" s="90"/>
      <c r="AC534" s="140" t="s">
        <v>207</v>
      </c>
      <c r="AD534" s="90"/>
      <c r="AE534" s="140" t="s">
        <v>207</v>
      </c>
      <c r="AF534" s="178" t="str">
        <f t="shared" si="24"/>
        <v>C</v>
      </c>
      <c r="AG534" s="52" t="str">
        <f t="shared" si="25"/>
        <v>UTILIZOU O PDA CORRETAMENTE</v>
      </c>
      <c r="AH534" s="140" t="s">
        <v>207</v>
      </c>
      <c r="AI534" s="182" t="s">
        <v>36</v>
      </c>
      <c r="AJ534" s="93" t="str">
        <f t="shared" si="26"/>
        <v>SÃO PAULO</v>
      </c>
      <c r="AK534" s="183" t="s">
        <v>54</v>
      </c>
    </row>
    <row r="535" spans="1:37" ht="30" customHeight="1">
      <c r="A535" s="161" t="s">
        <v>198</v>
      </c>
      <c r="B535" s="155">
        <v>2620568841</v>
      </c>
      <c r="C535" s="155" t="s">
        <v>116</v>
      </c>
      <c r="D535" s="155" t="s">
        <v>94</v>
      </c>
      <c r="E535" s="155" t="s">
        <v>35</v>
      </c>
      <c r="F535" s="155" t="s">
        <v>1027</v>
      </c>
      <c r="G535" s="155">
        <v>510</v>
      </c>
      <c r="H535" s="155" t="s">
        <v>329</v>
      </c>
      <c r="I535" s="155" t="s">
        <v>355</v>
      </c>
      <c r="J535" s="155" t="s">
        <v>221</v>
      </c>
      <c r="K535" s="155" t="s">
        <v>200</v>
      </c>
      <c r="L535" s="155" t="s">
        <v>1138</v>
      </c>
      <c r="M535" s="155" t="s">
        <v>1139</v>
      </c>
      <c r="N535" s="155" t="s">
        <v>364</v>
      </c>
      <c r="O535" s="256" t="s">
        <v>207</v>
      </c>
      <c r="P535" s="90"/>
      <c r="Q535" s="140" t="s">
        <v>207</v>
      </c>
      <c r="R535" s="90"/>
      <c r="S535" s="140" t="s">
        <v>207</v>
      </c>
      <c r="T535" s="90"/>
      <c r="U535" s="140" t="s">
        <v>207</v>
      </c>
      <c r="V535" s="90"/>
      <c r="W535" s="140" t="s">
        <v>207</v>
      </c>
      <c r="X535" s="90"/>
      <c r="Y535" s="140" t="s">
        <v>207</v>
      </c>
      <c r="Z535" s="90"/>
      <c r="AA535" s="140" t="s">
        <v>207</v>
      </c>
      <c r="AB535" s="90"/>
      <c r="AC535" s="140" t="s">
        <v>207</v>
      </c>
      <c r="AD535" s="90"/>
      <c r="AE535" s="140" t="s">
        <v>207</v>
      </c>
      <c r="AF535" s="178" t="str">
        <f t="shared" si="24"/>
        <v>C</v>
      </c>
      <c r="AG535" s="52" t="str">
        <f t="shared" si="25"/>
        <v>UTILIZOU O PDA CORRETAMENTE</v>
      </c>
      <c r="AH535" s="140" t="s">
        <v>207</v>
      </c>
      <c r="AI535" s="182" t="s">
        <v>36</v>
      </c>
      <c r="AJ535" s="93" t="str">
        <f t="shared" si="26"/>
        <v>SÃO PAULO</v>
      </c>
      <c r="AK535" s="183" t="s">
        <v>54</v>
      </c>
    </row>
    <row r="536" spans="1:37" ht="30" customHeight="1">
      <c r="A536" s="161" t="s">
        <v>198</v>
      </c>
      <c r="B536" s="155">
        <v>2620569699</v>
      </c>
      <c r="C536" s="155" t="s">
        <v>116</v>
      </c>
      <c r="D536" s="155" t="s">
        <v>94</v>
      </c>
      <c r="E536" s="155" t="s">
        <v>35</v>
      </c>
      <c r="F536" s="155" t="s">
        <v>1027</v>
      </c>
      <c r="G536" s="155">
        <v>22</v>
      </c>
      <c r="H536" s="155" t="s">
        <v>207</v>
      </c>
      <c r="I536" s="155" t="s">
        <v>355</v>
      </c>
      <c r="J536" s="155" t="s">
        <v>221</v>
      </c>
      <c r="K536" s="155" t="s">
        <v>200</v>
      </c>
      <c r="L536" s="155" t="s">
        <v>1140</v>
      </c>
      <c r="M536" s="155" t="s">
        <v>1141</v>
      </c>
      <c r="N536" s="155" t="s">
        <v>364</v>
      </c>
      <c r="O536" s="256" t="s">
        <v>207</v>
      </c>
      <c r="P536" s="90"/>
      <c r="Q536" s="140" t="s">
        <v>207</v>
      </c>
      <c r="R536" s="90"/>
      <c r="S536" s="140" t="s">
        <v>207</v>
      </c>
      <c r="T536" s="90"/>
      <c r="U536" s="140" t="s">
        <v>207</v>
      </c>
      <c r="V536" s="90"/>
      <c r="W536" s="140" t="s">
        <v>207</v>
      </c>
      <c r="X536" s="90"/>
      <c r="Y536" s="140" t="s">
        <v>207</v>
      </c>
      <c r="Z536" s="90"/>
      <c r="AA536" s="140" t="s">
        <v>207</v>
      </c>
      <c r="AB536" s="90"/>
      <c r="AC536" s="140" t="s">
        <v>207</v>
      </c>
      <c r="AD536" s="90"/>
      <c r="AE536" s="140" t="s">
        <v>207</v>
      </c>
      <c r="AF536" s="178" t="str">
        <f t="shared" si="24"/>
        <v>C</v>
      </c>
      <c r="AG536" s="52" t="str">
        <f t="shared" si="25"/>
        <v>UTILIZOU O PDA CORRETAMENTE</v>
      </c>
      <c r="AH536" s="140" t="s">
        <v>207</v>
      </c>
      <c r="AI536" s="182" t="s">
        <v>36</v>
      </c>
      <c r="AJ536" s="93" t="str">
        <f t="shared" si="26"/>
        <v>SÃO PAULO</v>
      </c>
      <c r="AK536" s="183" t="s">
        <v>54</v>
      </c>
    </row>
    <row r="537" spans="1:37" ht="30" customHeight="1">
      <c r="A537" s="161" t="s">
        <v>198</v>
      </c>
      <c r="B537" s="155">
        <v>2620571519</v>
      </c>
      <c r="C537" s="155" t="s">
        <v>116</v>
      </c>
      <c r="D537" s="155" t="s">
        <v>94</v>
      </c>
      <c r="E537" s="155" t="s">
        <v>35</v>
      </c>
      <c r="F537" s="155" t="s">
        <v>1142</v>
      </c>
      <c r="G537" s="155">
        <v>3</v>
      </c>
      <c r="H537" s="155" t="s">
        <v>200</v>
      </c>
      <c r="I537" s="155" t="s">
        <v>355</v>
      </c>
      <c r="J537" s="155" t="s">
        <v>221</v>
      </c>
      <c r="K537" s="155" t="s">
        <v>200</v>
      </c>
      <c r="L537" s="155" t="s">
        <v>1143</v>
      </c>
      <c r="M537" s="155" t="s">
        <v>1144</v>
      </c>
      <c r="N537" s="155" t="s">
        <v>262</v>
      </c>
      <c r="O537" s="256" t="s">
        <v>207</v>
      </c>
      <c r="P537" s="90"/>
      <c r="Q537" s="140" t="s">
        <v>207</v>
      </c>
      <c r="R537" s="90"/>
      <c r="S537" s="140" t="s">
        <v>207</v>
      </c>
      <c r="T537" s="90"/>
      <c r="U537" s="140" t="s">
        <v>207</v>
      </c>
      <c r="V537" s="90"/>
      <c r="W537" s="140" t="s">
        <v>207</v>
      </c>
      <c r="X537" s="90"/>
      <c r="Y537" s="140" t="s">
        <v>207</v>
      </c>
      <c r="Z537" s="90"/>
      <c r="AA537" s="140" t="s">
        <v>207</v>
      </c>
      <c r="AB537" s="90"/>
      <c r="AC537" s="140" t="s">
        <v>207</v>
      </c>
      <c r="AD537" s="90"/>
      <c r="AE537" s="140" t="s">
        <v>207</v>
      </c>
      <c r="AF537" s="178" t="str">
        <f t="shared" si="24"/>
        <v>C</v>
      </c>
      <c r="AG537" s="52" t="str">
        <f t="shared" si="25"/>
        <v>UTILIZOU O PDA CORRETAMENTE</v>
      </c>
      <c r="AH537" s="140" t="s">
        <v>207</v>
      </c>
      <c r="AI537" s="182" t="s">
        <v>36</v>
      </c>
      <c r="AJ537" s="93" t="str">
        <f t="shared" si="26"/>
        <v>SÃO PAULO</v>
      </c>
      <c r="AK537" s="183" t="s">
        <v>54</v>
      </c>
    </row>
    <row r="538" spans="1:37" ht="30" customHeight="1">
      <c r="A538" s="161" t="s">
        <v>198</v>
      </c>
      <c r="B538" s="155">
        <v>2620207877</v>
      </c>
      <c r="C538" s="155" t="s">
        <v>101</v>
      </c>
      <c r="D538" s="155" t="s">
        <v>92</v>
      </c>
      <c r="E538" s="155" t="s">
        <v>35</v>
      </c>
      <c r="F538" s="155" t="s">
        <v>696</v>
      </c>
      <c r="G538" s="155">
        <v>225</v>
      </c>
      <c r="H538" s="155" t="s">
        <v>200</v>
      </c>
      <c r="I538" s="155" t="s">
        <v>614</v>
      </c>
      <c r="J538" s="155" t="s">
        <v>101</v>
      </c>
      <c r="K538" s="155" t="s">
        <v>200</v>
      </c>
      <c r="L538" s="155" t="s">
        <v>1145</v>
      </c>
      <c r="M538" s="155" t="s">
        <v>1146</v>
      </c>
      <c r="N538" s="155" t="s">
        <v>213</v>
      </c>
      <c r="O538" s="140" t="s">
        <v>207</v>
      </c>
      <c r="P538" s="90"/>
      <c r="Q538" s="140" t="s">
        <v>207</v>
      </c>
      <c r="R538" s="90"/>
      <c r="S538" s="140" t="s">
        <v>77</v>
      </c>
      <c r="T538" s="90"/>
      <c r="U538" s="140" t="s">
        <v>77</v>
      </c>
      <c r="V538" s="90"/>
      <c r="W538" s="140" t="s">
        <v>77</v>
      </c>
      <c r="X538" s="90"/>
      <c r="Y538" s="140" t="s">
        <v>77</v>
      </c>
      <c r="Z538" s="90"/>
      <c r="AA538" s="140" t="s">
        <v>77</v>
      </c>
      <c r="AB538" s="90"/>
      <c r="AC538" s="140" t="s">
        <v>207</v>
      </c>
      <c r="AD538" s="90"/>
      <c r="AE538" s="140" t="s">
        <v>207</v>
      </c>
      <c r="AF538" s="178" t="str">
        <f t="shared" si="24"/>
        <v>C</v>
      </c>
      <c r="AG538" s="52" t="str">
        <f t="shared" si="25"/>
        <v>UTILIZOU O PDA CORRETAMENTE</v>
      </c>
      <c r="AH538" s="140" t="s">
        <v>207</v>
      </c>
      <c r="AI538" s="182" t="s">
        <v>36</v>
      </c>
      <c r="AJ538" s="93" t="str">
        <f t="shared" si="26"/>
        <v>SÃO PAULO</v>
      </c>
      <c r="AK538" s="183" t="s">
        <v>54</v>
      </c>
    </row>
    <row r="539" spans="1:37" ht="30" customHeight="1">
      <c r="A539" s="161" t="s">
        <v>198</v>
      </c>
      <c r="B539" s="155">
        <v>2620237395</v>
      </c>
      <c r="C539" s="155" t="s">
        <v>109</v>
      </c>
      <c r="D539" s="155" t="s">
        <v>92</v>
      </c>
      <c r="E539" s="155" t="s">
        <v>35</v>
      </c>
      <c r="F539" s="155" t="s">
        <v>1147</v>
      </c>
      <c r="G539" s="155">
        <v>182</v>
      </c>
      <c r="H539" s="155" t="s">
        <v>208</v>
      </c>
      <c r="I539" s="155" t="s">
        <v>1148</v>
      </c>
      <c r="J539" s="155" t="s">
        <v>109</v>
      </c>
      <c r="K539" s="155" t="s">
        <v>200</v>
      </c>
      <c r="L539" s="155" t="s">
        <v>1149</v>
      </c>
      <c r="M539" s="155" t="s">
        <v>1145</v>
      </c>
      <c r="N539" s="155" t="s">
        <v>206</v>
      </c>
      <c r="O539" s="152" t="s">
        <v>207</v>
      </c>
      <c r="P539" s="90"/>
      <c r="Q539" s="140" t="s">
        <v>77</v>
      </c>
      <c r="R539" s="90"/>
      <c r="S539" s="140" t="s">
        <v>77</v>
      </c>
      <c r="T539" s="90"/>
      <c r="U539" s="140" t="s">
        <v>77</v>
      </c>
      <c r="V539" s="90"/>
      <c r="W539" s="140" t="s">
        <v>77</v>
      </c>
      <c r="X539" s="90"/>
      <c r="Y539" s="140" t="s">
        <v>77</v>
      </c>
      <c r="Z539" s="90"/>
      <c r="AA539" s="140" t="s">
        <v>207</v>
      </c>
      <c r="AB539" s="90"/>
      <c r="AC539" s="140" t="s">
        <v>207</v>
      </c>
      <c r="AD539" s="90"/>
      <c r="AE539" s="140" t="s">
        <v>207</v>
      </c>
      <c r="AF539" s="178" t="str">
        <f t="shared" si="24"/>
        <v>C</v>
      </c>
      <c r="AG539" s="52" t="str">
        <f t="shared" si="25"/>
        <v>UTILIZOU O PDA CORRETAMENTE</v>
      </c>
      <c r="AH539" s="140"/>
      <c r="AI539" s="182" t="s">
        <v>36</v>
      </c>
      <c r="AJ539" s="93" t="str">
        <f t="shared" si="26"/>
        <v>SÃO PAULO</v>
      </c>
      <c r="AK539" s="183" t="s">
        <v>54</v>
      </c>
    </row>
    <row r="540" spans="1:37" ht="30" customHeight="1">
      <c r="A540" s="161" t="s">
        <v>198</v>
      </c>
      <c r="B540" s="155">
        <v>2620237407</v>
      </c>
      <c r="C540" s="155" t="s">
        <v>111</v>
      </c>
      <c r="D540" s="155" t="s">
        <v>92</v>
      </c>
      <c r="E540" s="155" t="s">
        <v>35</v>
      </c>
      <c r="F540" s="155" t="s">
        <v>1147</v>
      </c>
      <c r="G540" s="155">
        <v>182</v>
      </c>
      <c r="H540" s="155" t="s">
        <v>205</v>
      </c>
      <c r="I540" s="155" t="s">
        <v>1148</v>
      </c>
      <c r="J540" s="155" t="s">
        <v>111</v>
      </c>
      <c r="K540" s="155" t="s">
        <v>200</v>
      </c>
      <c r="L540" s="155" t="s">
        <v>1150</v>
      </c>
      <c r="M540" s="155" t="s">
        <v>1151</v>
      </c>
      <c r="N540" s="155" t="s">
        <v>206</v>
      </c>
      <c r="O540" s="152" t="s">
        <v>207</v>
      </c>
      <c r="P540" s="90"/>
      <c r="Q540" s="140" t="s">
        <v>77</v>
      </c>
      <c r="R540" s="90"/>
      <c r="S540" s="140" t="s">
        <v>77</v>
      </c>
      <c r="T540" s="90"/>
      <c r="U540" s="140" t="s">
        <v>77</v>
      </c>
      <c r="V540" s="90"/>
      <c r="W540" s="140" t="s">
        <v>77</v>
      </c>
      <c r="X540" s="90"/>
      <c r="Y540" s="140" t="s">
        <v>77</v>
      </c>
      <c r="Z540" s="90"/>
      <c r="AA540" s="140" t="s">
        <v>207</v>
      </c>
      <c r="AB540" s="90"/>
      <c r="AC540" s="140" t="s">
        <v>207</v>
      </c>
      <c r="AD540" s="90"/>
      <c r="AE540" s="140" t="s">
        <v>207</v>
      </c>
      <c r="AF540" s="178" t="str">
        <f t="shared" si="24"/>
        <v>C</v>
      </c>
      <c r="AG540" s="52" t="str">
        <f t="shared" si="25"/>
        <v>UTILIZOU O PDA CORRETAMENTE</v>
      </c>
      <c r="AH540" s="140"/>
      <c r="AI540" s="182" t="s">
        <v>36</v>
      </c>
      <c r="AJ540" s="93" t="str">
        <f t="shared" si="26"/>
        <v>SÃO PAULO</v>
      </c>
      <c r="AK540" s="183" t="s">
        <v>54</v>
      </c>
    </row>
    <row r="541" spans="1:37" ht="30" customHeight="1">
      <c r="A541" s="161" t="s">
        <v>198</v>
      </c>
      <c r="B541" s="155">
        <v>2620791883</v>
      </c>
      <c r="C541" s="155" t="s">
        <v>115</v>
      </c>
      <c r="D541" s="155" t="s">
        <v>96</v>
      </c>
      <c r="E541" s="155" t="s">
        <v>35</v>
      </c>
      <c r="F541" s="155" t="s">
        <v>1152</v>
      </c>
      <c r="G541" s="155">
        <v>173</v>
      </c>
      <c r="H541" s="155" t="s">
        <v>200</v>
      </c>
      <c r="I541" s="155" t="s">
        <v>917</v>
      </c>
      <c r="J541" s="155" t="s">
        <v>268</v>
      </c>
      <c r="K541" s="155" t="s">
        <v>200</v>
      </c>
      <c r="L541" s="155" t="s">
        <v>1153</v>
      </c>
      <c r="M541" s="155" t="s">
        <v>1154</v>
      </c>
      <c r="N541" s="155" t="s">
        <v>222</v>
      </c>
      <c r="O541" s="256" t="s">
        <v>207</v>
      </c>
      <c r="P541" s="90"/>
      <c r="Q541" s="140" t="s">
        <v>207</v>
      </c>
      <c r="R541" s="90"/>
      <c r="S541" s="140" t="s">
        <v>207</v>
      </c>
      <c r="T541" s="90"/>
      <c r="U541" s="140" t="s">
        <v>207</v>
      </c>
      <c r="V541" s="90"/>
      <c r="W541" s="140" t="s">
        <v>207</v>
      </c>
      <c r="X541" s="90"/>
      <c r="Y541" s="140" t="s">
        <v>207</v>
      </c>
      <c r="Z541" s="90"/>
      <c r="AA541" s="140" t="s">
        <v>207</v>
      </c>
      <c r="AB541" s="90"/>
      <c r="AC541" s="140" t="s">
        <v>207</v>
      </c>
      <c r="AD541" s="90"/>
      <c r="AE541" s="140" t="s">
        <v>207</v>
      </c>
      <c r="AF541" s="178" t="str">
        <f t="shared" si="24"/>
        <v>C</v>
      </c>
      <c r="AG541" s="52" t="str">
        <f t="shared" si="25"/>
        <v>UTILIZOU O PDA CORRETAMENTE</v>
      </c>
      <c r="AH541" s="140" t="s">
        <v>207</v>
      </c>
      <c r="AI541" s="182" t="s">
        <v>36</v>
      </c>
      <c r="AJ541" s="93" t="str">
        <f t="shared" si="26"/>
        <v>SÃO PAULO</v>
      </c>
      <c r="AK541" s="183" t="s">
        <v>54</v>
      </c>
    </row>
    <row r="542" spans="1:37" ht="30" customHeight="1">
      <c r="A542" s="161" t="s">
        <v>198</v>
      </c>
      <c r="B542" s="155">
        <v>2693529095</v>
      </c>
      <c r="C542" s="155" t="s">
        <v>122</v>
      </c>
      <c r="D542" s="155" t="s">
        <v>96</v>
      </c>
      <c r="E542" s="155" t="s">
        <v>35</v>
      </c>
      <c r="F542" s="155" t="s">
        <v>1155</v>
      </c>
      <c r="G542" s="155">
        <v>750</v>
      </c>
      <c r="H542" s="155" t="s">
        <v>208</v>
      </c>
      <c r="I542" s="155" t="s">
        <v>395</v>
      </c>
      <c r="J542" s="155" t="s">
        <v>267</v>
      </c>
      <c r="K542" s="155" t="s">
        <v>200</v>
      </c>
      <c r="L542" s="155" t="s">
        <v>1156</v>
      </c>
      <c r="M542" s="155" t="s">
        <v>1157</v>
      </c>
      <c r="N542" s="155" t="s">
        <v>517</v>
      </c>
      <c r="O542" s="256" t="s">
        <v>207</v>
      </c>
      <c r="P542" s="90"/>
      <c r="Q542" s="140" t="s">
        <v>207</v>
      </c>
      <c r="R542" s="90"/>
      <c r="S542" s="140" t="s">
        <v>207</v>
      </c>
      <c r="T542" s="90"/>
      <c r="U542" s="140" t="s">
        <v>207</v>
      </c>
      <c r="V542" s="90"/>
      <c r="W542" s="140" t="s">
        <v>207</v>
      </c>
      <c r="X542" s="90"/>
      <c r="Y542" s="140" t="s">
        <v>77</v>
      </c>
      <c r="Z542" s="90"/>
      <c r="AA542" s="140" t="s">
        <v>207</v>
      </c>
      <c r="AB542" s="90"/>
      <c r="AC542" s="140" t="s">
        <v>207</v>
      </c>
      <c r="AD542" s="90"/>
      <c r="AE542" s="140" t="s">
        <v>207</v>
      </c>
      <c r="AF542" s="178" t="str">
        <f t="shared" si="24"/>
        <v>C</v>
      </c>
      <c r="AG542" s="52" t="str">
        <f t="shared" si="25"/>
        <v>UTILIZOU O PDA CORRETAMENTE</v>
      </c>
      <c r="AH542" s="140" t="s">
        <v>207</v>
      </c>
      <c r="AI542" s="182" t="s">
        <v>36</v>
      </c>
      <c r="AJ542" s="93" t="str">
        <f t="shared" si="26"/>
        <v>SÃO PAULO</v>
      </c>
      <c r="AK542" s="183" t="s">
        <v>54</v>
      </c>
    </row>
    <row r="543" spans="1:37" ht="30" customHeight="1">
      <c r="A543" s="161" t="s">
        <v>198</v>
      </c>
      <c r="B543" s="155">
        <v>2620794407</v>
      </c>
      <c r="C543" s="155" t="s">
        <v>122</v>
      </c>
      <c r="D543" s="155" t="s">
        <v>96</v>
      </c>
      <c r="E543" s="155" t="s">
        <v>35</v>
      </c>
      <c r="F543" s="155" t="s">
        <v>1158</v>
      </c>
      <c r="G543" s="155">
        <v>105</v>
      </c>
      <c r="H543" s="155" t="s">
        <v>487</v>
      </c>
      <c r="I543" s="155" t="s">
        <v>395</v>
      </c>
      <c r="J543" s="155" t="s">
        <v>267</v>
      </c>
      <c r="K543" s="155" t="s">
        <v>200</v>
      </c>
      <c r="L543" s="155" t="s">
        <v>1159</v>
      </c>
      <c r="M543" s="155" t="s">
        <v>1160</v>
      </c>
      <c r="N543" s="155" t="s">
        <v>517</v>
      </c>
      <c r="O543" s="256" t="s">
        <v>207</v>
      </c>
      <c r="P543" s="90"/>
      <c r="Q543" s="140" t="s">
        <v>207</v>
      </c>
      <c r="R543" s="90"/>
      <c r="S543" s="140" t="s">
        <v>207</v>
      </c>
      <c r="T543" s="90"/>
      <c r="U543" s="140" t="s">
        <v>207</v>
      </c>
      <c r="V543" s="90"/>
      <c r="W543" s="140" t="s">
        <v>207</v>
      </c>
      <c r="X543" s="90"/>
      <c r="Y543" s="140" t="s">
        <v>77</v>
      </c>
      <c r="Z543" s="90"/>
      <c r="AA543" s="140" t="s">
        <v>207</v>
      </c>
      <c r="AB543" s="90"/>
      <c r="AC543" s="140" t="s">
        <v>207</v>
      </c>
      <c r="AD543" s="90"/>
      <c r="AE543" s="140" t="s">
        <v>207</v>
      </c>
      <c r="AF543" s="178" t="str">
        <f t="shared" si="24"/>
        <v>C</v>
      </c>
      <c r="AG543" s="52" t="str">
        <f t="shared" si="25"/>
        <v>UTILIZOU O PDA CORRETAMENTE</v>
      </c>
      <c r="AH543" s="140" t="s">
        <v>207</v>
      </c>
      <c r="AI543" s="182" t="s">
        <v>36</v>
      </c>
      <c r="AJ543" s="93" t="str">
        <f t="shared" si="26"/>
        <v>SÃO PAULO</v>
      </c>
      <c r="AK543" s="183" t="s">
        <v>54</v>
      </c>
    </row>
    <row r="544" spans="1:37" ht="30" customHeight="1">
      <c r="A544" s="161" t="s">
        <v>198</v>
      </c>
      <c r="B544" s="155">
        <v>2693537100</v>
      </c>
      <c r="C544" s="155" t="s">
        <v>117</v>
      </c>
      <c r="D544" s="155" t="s">
        <v>96</v>
      </c>
      <c r="E544" s="155" t="s">
        <v>35</v>
      </c>
      <c r="F544" s="155" t="s">
        <v>1161</v>
      </c>
      <c r="G544" s="155">
        <v>1688</v>
      </c>
      <c r="H544" s="155" t="s">
        <v>620</v>
      </c>
      <c r="I544" s="155" t="s">
        <v>287</v>
      </c>
      <c r="J544" s="155" t="s">
        <v>260</v>
      </c>
      <c r="K544" s="155" t="s">
        <v>200</v>
      </c>
      <c r="L544" s="155" t="s">
        <v>1162</v>
      </c>
      <c r="M544" s="155" t="s">
        <v>1163</v>
      </c>
      <c r="N544" s="155" t="s">
        <v>295</v>
      </c>
      <c r="O544" s="256" t="s">
        <v>207</v>
      </c>
      <c r="P544" s="90"/>
      <c r="Q544" s="140" t="s">
        <v>207</v>
      </c>
      <c r="R544" s="90"/>
      <c r="S544" s="140" t="s">
        <v>207</v>
      </c>
      <c r="T544" s="90"/>
      <c r="U544" s="140" t="s">
        <v>207</v>
      </c>
      <c r="V544" s="90"/>
      <c r="W544" s="140" t="s">
        <v>207</v>
      </c>
      <c r="X544" s="90"/>
      <c r="Y544" s="140" t="s">
        <v>77</v>
      </c>
      <c r="Z544" s="90"/>
      <c r="AA544" s="140" t="s">
        <v>207</v>
      </c>
      <c r="AB544" s="90"/>
      <c r="AC544" s="140" t="s">
        <v>207</v>
      </c>
      <c r="AD544" s="90"/>
      <c r="AE544" s="140" t="s">
        <v>207</v>
      </c>
      <c r="AF544" s="178" t="str">
        <f t="shared" si="24"/>
        <v>C</v>
      </c>
      <c r="AG544" s="52" t="str">
        <f t="shared" si="25"/>
        <v>UTILIZOU O PDA CORRETAMENTE</v>
      </c>
      <c r="AH544" s="140" t="s">
        <v>207</v>
      </c>
      <c r="AI544" s="182" t="s">
        <v>36</v>
      </c>
      <c r="AJ544" s="93" t="str">
        <f t="shared" si="26"/>
        <v>SÃO PAULO</v>
      </c>
      <c r="AK544" s="183" t="s">
        <v>54</v>
      </c>
    </row>
    <row r="545" spans="1:37" ht="30" customHeight="1">
      <c r="A545" s="161" t="s">
        <v>198</v>
      </c>
      <c r="B545" s="155">
        <v>2620779020</v>
      </c>
      <c r="C545" s="155" t="s">
        <v>116</v>
      </c>
      <c r="D545" s="155" t="s">
        <v>94</v>
      </c>
      <c r="E545" s="155" t="s">
        <v>35</v>
      </c>
      <c r="F545" s="155" t="s">
        <v>1164</v>
      </c>
      <c r="G545" s="155">
        <v>22</v>
      </c>
      <c r="H545" s="155" t="s">
        <v>200</v>
      </c>
      <c r="I545" s="155" t="s">
        <v>433</v>
      </c>
      <c r="J545" s="155" t="s">
        <v>221</v>
      </c>
      <c r="K545" s="155" t="s">
        <v>1165</v>
      </c>
      <c r="L545" s="155" t="s">
        <v>1166</v>
      </c>
      <c r="M545" s="155" t="s">
        <v>1167</v>
      </c>
      <c r="N545" s="155" t="s">
        <v>274</v>
      </c>
      <c r="O545" s="256" t="s">
        <v>207</v>
      </c>
      <c r="P545" s="90"/>
      <c r="Q545" s="140" t="s">
        <v>207</v>
      </c>
      <c r="R545" s="90"/>
      <c r="S545" s="140" t="s">
        <v>207</v>
      </c>
      <c r="T545" s="90"/>
      <c r="U545" s="140" t="s">
        <v>207</v>
      </c>
      <c r="V545" s="90"/>
      <c r="W545" s="140" t="s">
        <v>207</v>
      </c>
      <c r="X545" s="90"/>
      <c r="Y545" s="140" t="s">
        <v>207</v>
      </c>
      <c r="Z545" s="90"/>
      <c r="AA545" s="140" t="s">
        <v>207</v>
      </c>
      <c r="AB545" s="90"/>
      <c r="AC545" s="140" t="s">
        <v>207</v>
      </c>
      <c r="AD545" s="90"/>
      <c r="AE545" s="140" t="s">
        <v>207</v>
      </c>
      <c r="AF545" s="178" t="str">
        <f t="shared" si="24"/>
        <v>C</v>
      </c>
      <c r="AG545" s="52" t="str">
        <f t="shared" si="25"/>
        <v>UTILIZOU O PDA CORRETAMENTE</v>
      </c>
      <c r="AH545" s="140" t="s">
        <v>207</v>
      </c>
      <c r="AI545" s="182" t="s">
        <v>36</v>
      </c>
      <c r="AJ545" s="93" t="str">
        <f t="shared" si="26"/>
        <v>SÃO PAULO</v>
      </c>
      <c r="AK545" s="183" t="s">
        <v>54</v>
      </c>
    </row>
    <row r="546" spans="1:37" ht="30" customHeight="1">
      <c r="A546" s="161" t="s">
        <v>198</v>
      </c>
      <c r="B546" s="155">
        <v>2620804951</v>
      </c>
      <c r="C546" s="155" t="s">
        <v>102</v>
      </c>
      <c r="D546" s="155" t="s">
        <v>95</v>
      </c>
      <c r="E546" s="155" t="s">
        <v>35</v>
      </c>
      <c r="F546" s="155" t="s">
        <v>1168</v>
      </c>
      <c r="G546" s="155">
        <v>0</v>
      </c>
      <c r="H546" s="155" t="s">
        <v>200</v>
      </c>
      <c r="I546" s="155" t="s">
        <v>679</v>
      </c>
      <c r="J546" s="155" t="s">
        <v>427</v>
      </c>
      <c r="K546" s="155" t="s">
        <v>200</v>
      </c>
      <c r="L546" s="155" t="s">
        <v>1169</v>
      </c>
      <c r="M546" s="155" t="s">
        <v>1170</v>
      </c>
      <c r="N546" s="155" t="s">
        <v>203</v>
      </c>
      <c r="O546" s="140" t="s">
        <v>207</v>
      </c>
      <c r="P546" s="90"/>
      <c r="Q546" s="140" t="s">
        <v>207</v>
      </c>
      <c r="R546" s="90"/>
      <c r="S546" s="140" t="s">
        <v>77</v>
      </c>
      <c r="T546" s="90"/>
      <c r="U546" s="140" t="s">
        <v>77</v>
      </c>
      <c r="V546" s="90"/>
      <c r="W546" s="140" t="s">
        <v>77</v>
      </c>
      <c r="X546" s="90"/>
      <c r="Y546" s="140" t="s">
        <v>77</v>
      </c>
      <c r="Z546" s="90"/>
      <c r="AA546" s="140" t="s">
        <v>77</v>
      </c>
      <c r="AB546" s="90"/>
      <c r="AC546" s="140" t="s">
        <v>207</v>
      </c>
      <c r="AD546" s="90"/>
      <c r="AE546" s="140" t="s">
        <v>207</v>
      </c>
      <c r="AF546" s="178" t="str">
        <f t="shared" si="24"/>
        <v>C</v>
      </c>
      <c r="AG546" s="52" t="str">
        <f t="shared" si="25"/>
        <v>UTILIZOU O PDA CORRETAMENTE</v>
      </c>
      <c r="AH546" s="140" t="s">
        <v>207</v>
      </c>
      <c r="AI546" s="182" t="s">
        <v>36</v>
      </c>
      <c r="AJ546" s="93" t="str">
        <f t="shared" si="26"/>
        <v>SÃO PAULO</v>
      </c>
      <c r="AK546" s="183" t="s">
        <v>54</v>
      </c>
    </row>
    <row r="547" spans="1:37" ht="30" customHeight="1">
      <c r="A547" s="161" t="s">
        <v>198</v>
      </c>
      <c r="B547" s="155">
        <v>2620806606</v>
      </c>
      <c r="C547" s="155" t="s">
        <v>102</v>
      </c>
      <c r="D547" s="155" t="s">
        <v>95</v>
      </c>
      <c r="E547" s="155" t="s">
        <v>35</v>
      </c>
      <c r="F547" s="155" t="s">
        <v>1171</v>
      </c>
      <c r="G547" s="155">
        <v>52</v>
      </c>
      <c r="H547" s="155" t="s">
        <v>200</v>
      </c>
      <c r="I547" s="155" t="s">
        <v>1172</v>
      </c>
      <c r="J547" s="155" t="s">
        <v>712</v>
      </c>
      <c r="K547" s="155" t="s">
        <v>200</v>
      </c>
      <c r="L547" s="155" t="s">
        <v>1173</v>
      </c>
      <c r="M547" s="155" t="s">
        <v>1174</v>
      </c>
      <c r="N547" s="155" t="s">
        <v>203</v>
      </c>
      <c r="O547" s="140" t="s">
        <v>207</v>
      </c>
      <c r="P547" s="90"/>
      <c r="Q547" s="140" t="s">
        <v>207</v>
      </c>
      <c r="R547" s="90"/>
      <c r="S547" s="140" t="s">
        <v>77</v>
      </c>
      <c r="T547" s="90"/>
      <c r="U547" s="140" t="s">
        <v>77</v>
      </c>
      <c r="V547" s="90"/>
      <c r="W547" s="140" t="s">
        <v>77</v>
      </c>
      <c r="X547" s="90"/>
      <c r="Y547" s="140" t="s">
        <v>77</v>
      </c>
      <c r="Z547" s="90"/>
      <c r="AA547" s="140" t="s">
        <v>77</v>
      </c>
      <c r="AB547" s="90"/>
      <c r="AC547" s="140" t="s">
        <v>207</v>
      </c>
      <c r="AD547" s="90"/>
      <c r="AE547" s="140" t="s">
        <v>207</v>
      </c>
      <c r="AF547" s="178" t="str">
        <f t="shared" si="24"/>
        <v>C</v>
      </c>
      <c r="AG547" s="52" t="str">
        <f t="shared" si="25"/>
        <v>UTILIZOU O PDA CORRETAMENTE</v>
      </c>
      <c r="AH547" s="140" t="s">
        <v>207</v>
      </c>
      <c r="AI547" s="182" t="s">
        <v>36</v>
      </c>
      <c r="AJ547" s="93" t="str">
        <f t="shared" si="26"/>
        <v>SÃO PAULO</v>
      </c>
      <c r="AK547" s="183" t="s">
        <v>54</v>
      </c>
    </row>
    <row r="548" spans="1:37" ht="30" customHeight="1">
      <c r="A548" s="161" t="s">
        <v>198</v>
      </c>
      <c r="B548" s="155">
        <v>2620809530</v>
      </c>
      <c r="C548" s="155" t="s">
        <v>122</v>
      </c>
      <c r="D548" s="155" t="s">
        <v>96</v>
      </c>
      <c r="E548" s="155" t="s">
        <v>35</v>
      </c>
      <c r="F548" s="155" t="s">
        <v>1175</v>
      </c>
      <c r="G548" s="155">
        <v>1125</v>
      </c>
      <c r="H548" s="155" t="s">
        <v>487</v>
      </c>
      <c r="I548" s="155" t="s">
        <v>287</v>
      </c>
      <c r="J548" s="155" t="s">
        <v>267</v>
      </c>
      <c r="K548" s="155" t="s">
        <v>200</v>
      </c>
      <c r="L548" s="155" t="s">
        <v>1176</v>
      </c>
      <c r="M548" s="155" t="s">
        <v>1177</v>
      </c>
      <c r="N548" s="155" t="s">
        <v>331</v>
      </c>
      <c r="O548" s="256" t="s">
        <v>207</v>
      </c>
      <c r="P548" s="90"/>
      <c r="Q548" s="140" t="s">
        <v>207</v>
      </c>
      <c r="R548" s="90"/>
      <c r="S548" s="140" t="s">
        <v>207</v>
      </c>
      <c r="T548" s="90"/>
      <c r="U548" s="140" t="s">
        <v>207</v>
      </c>
      <c r="V548" s="90"/>
      <c r="W548" s="140" t="s">
        <v>207</v>
      </c>
      <c r="X548" s="90"/>
      <c r="Y548" s="140" t="s">
        <v>77</v>
      </c>
      <c r="Z548" s="90"/>
      <c r="AA548" s="140" t="s">
        <v>207</v>
      </c>
      <c r="AB548" s="90"/>
      <c r="AC548" s="140" t="s">
        <v>207</v>
      </c>
      <c r="AD548" s="90"/>
      <c r="AE548" s="140" t="s">
        <v>207</v>
      </c>
      <c r="AF548" s="178" t="str">
        <f t="shared" si="24"/>
        <v>C</v>
      </c>
      <c r="AG548" s="52" t="str">
        <f t="shared" si="25"/>
        <v>UTILIZOU O PDA CORRETAMENTE</v>
      </c>
      <c r="AH548" s="140" t="s">
        <v>207</v>
      </c>
      <c r="AI548" s="182" t="s">
        <v>36</v>
      </c>
      <c r="AJ548" s="93" t="str">
        <f t="shared" si="26"/>
        <v>SÃO PAULO</v>
      </c>
      <c r="AK548" s="183" t="s">
        <v>54</v>
      </c>
    </row>
    <row r="549" spans="1:37" ht="30" customHeight="1">
      <c r="A549" s="161" t="s">
        <v>198</v>
      </c>
      <c r="B549" s="155">
        <v>2620818442</v>
      </c>
      <c r="C549" s="155" t="s">
        <v>120</v>
      </c>
      <c r="D549" s="155" t="s">
        <v>96</v>
      </c>
      <c r="E549" s="155" t="s">
        <v>35</v>
      </c>
      <c r="F549" s="155" t="s">
        <v>1142</v>
      </c>
      <c r="G549" s="155">
        <v>1</v>
      </c>
      <c r="H549" s="155" t="s">
        <v>401</v>
      </c>
      <c r="I549" s="155" t="s">
        <v>355</v>
      </c>
      <c r="J549" s="155" t="s">
        <v>336</v>
      </c>
      <c r="K549" s="155" t="s">
        <v>200</v>
      </c>
      <c r="L549" s="155" t="s">
        <v>1178</v>
      </c>
      <c r="M549" s="155" t="s">
        <v>1179</v>
      </c>
      <c r="N549" s="155" t="s">
        <v>262</v>
      </c>
      <c r="O549" s="256" t="s">
        <v>207</v>
      </c>
      <c r="P549" s="90"/>
      <c r="Q549" s="140" t="s">
        <v>207</v>
      </c>
      <c r="R549" s="90"/>
      <c r="S549" s="140" t="s">
        <v>207</v>
      </c>
      <c r="T549" s="90"/>
      <c r="U549" s="140" t="s">
        <v>207</v>
      </c>
      <c r="V549" s="90"/>
      <c r="W549" s="140" t="s">
        <v>207</v>
      </c>
      <c r="X549" s="90"/>
      <c r="Y549" s="140" t="s">
        <v>77</v>
      </c>
      <c r="Z549" s="90"/>
      <c r="AA549" s="140" t="s">
        <v>207</v>
      </c>
      <c r="AB549" s="90"/>
      <c r="AC549" s="140" t="s">
        <v>207</v>
      </c>
      <c r="AD549" s="90"/>
      <c r="AE549" s="140" t="s">
        <v>207</v>
      </c>
      <c r="AF549" s="178" t="str">
        <f t="shared" si="24"/>
        <v>C</v>
      </c>
      <c r="AG549" s="52" t="str">
        <f t="shared" si="25"/>
        <v>UTILIZOU O PDA CORRETAMENTE</v>
      </c>
      <c r="AH549" s="140" t="s">
        <v>207</v>
      </c>
      <c r="AI549" s="182" t="s">
        <v>36</v>
      </c>
      <c r="AJ549" s="93" t="str">
        <f t="shared" si="26"/>
        <v>SÃO PAULO</v>
      </c>
      <c r="AK549" s="183" t="s">
        <v>54</v>
      </c>
    </row>
    <row r="550" spans="1:37" ht="30" customHeight="1">
      <c r="A550" s="161" t="s">
        <v>198</v>
      </c>
      <c r="B550" s="155">
        <v>2693556943</v>
      </c>
      <c r="C550" s="155" t="s">
        <v>118</v>
      </c>
      <c r="D550" s="155" t="s">
        <v>96</v>
      </c>
      <c r="E550" s="155" t="s">
        <v>35</v>
      </c>
      <c r="F550" s="155" t="s">
        <v>1180</v>
      </c>
      <c r="G550" s="155">
        <v>5</v>
      </c>
      <c r="H550" s="155" t="s">
        <v>200</v>
      </c>
      <c r="I550" s="155" t="s">
        <v>584</v>
      </c>
      <c r="J550" s="155" t="s">
        <v>260</v>
      </c>
      <c r="K550" s="155" t="s">
        <v>200</v>
      </c>
      <c r="L550" s="155" t="s">
        <v>1181</v>
      </c>
      <c r="M550" s="155" t="s">
        <v>1182</v>
      </c>
      <c r="N550" s="155" t="s">
        <v>320</v>
      </c>
      <c r="O550" s="256" t="s">
        <v>207</v>
      </c>
      <c r="P550" s="90"/>
      <c r="Q550" s="140" t="s">
        <v>207</v>
      </c>
      <c r="R550" s="90"/>
      <c r="S550" s="140" t="s">
        <v>207</v>
      </c>
      <c r="T550" s="90"/>
      <c r="U550" s="140" t="s">
        <v>207</v>
      </c>
      <c r="V550" s="90"/>
      <c r="W550" s="140" t="s">
        <v>207</v>
      </c>
      <c r="X550" s="90"/>
      <c r="Y550" s="140" t="s">
        <v>77</v>
      </c>
      <c r="Z550" s="90"/>
      <c r="AA550" s="140" t="s">
        <v>207</v>
      </c>
      <c r="AB550" s="90"/>
      <c r="AC550" s="140" t="s">
        <v>207</v>
      </c>
      <c r="AD550" s="90"/>
      <c r="AE550" s="140" t="s">
        <v>207</v>
      </c>
      <c r="AF550" s="178" t="str">
        <f t="shared" si="24"/>
        <v>C</v>
      </c>
      <c r="AG550" s="52" t="str">
        <f t="shared" si="25"/>
        <v>UTILIZOU O PDA CORRETAMENTE</v>
      </c>
      <c r="AH550" s="140" t="s">
        <v>207</v>
      </c>
      <c r="AI550" s="182" t="s">
        <v>36</v>
      </c>
      <c r="AJ550" s="93" t="str">
        <f t="shared" si="26"/>
        <v>SÃO PAULO</v>
      </c>
      <c r="AK550" s="183" t="s">
        <v>54</v>
      </c>
    </row>
    <row r="551" spans="1:37" ht="30" customHeight="1">
      <c r="A551" s="161" t="s">
        <v>198</v>
      </c>
      <c r="B551" s="155">
        <v>2620575448</v>
      </c>
      <c r="C551" s="155" t="s">
        <v>223</v>
      </c>
      <c r="D551" s="155" t="s">
        <v>96</v>
      </c>
      <c r="E551" s="155" t="s">
        <v>35</v>
      </c>
      <c r="F551" s="155" t="s">
        <v>674</v>
      </c>
      <c r="G551" s="155">
        <v>15</v>
      </c>
      <c r="H551" s="155" t="s">
        <v>200</v>
      </c>
      <c r="I551" s="155" t="s">
        <v>675</v>
      </c>
      <c r="J551" s="155" t="s">
        <v>226</v>
      </c>
      <c r="K551" s="155" t="s">
        <v>200</v>
      </c>
      <c r="L551" s="155" t="s">
        <v>1183</v>
      </c>
      <c r="M551" s="155" t="s">
        <v>1184</v>
      </c>
      <c r="N551" s="155" t="s">
        <v>320</v>
      </c>
      <c r="O551" s="256" t="s">
        <v>207</v>
      </c>
      <c r="P551" s="90"/>
      <c r="Q551" s="140" t="s">
        <v>207</v>
      </c>
      <c r="R551" s="90"/>
      <c r="S551" s="140" t="s">
        <v>207</v>
      </c>
      <c r="T551" s="90"/>
      <c r="U551" s="140" t="s">
        <v>207</v>
      </c>
      <c r="V551" s="90"/>
      <c r="W551" s="140" t="s">
        <v>207</v>
      </c>
      <c r="X551" s="90"/>
      <c r="Y551" s="140" t="s">
        <v>77</v>
      </c>
      <c r="Z551" s="90"/>
      <c r="AA551" s="140" t="s">
        <v>207</v>
      </c>
      <c r="AB551" s="90"/>
      <c r="AC551" s="140" t="s">
        <v>207</v>
      </c>
      <c r="AD551" s="90"/>
      <c r="AE551" s="140" t="s">
        <v>207</v>
      </c>
      <c r="AF551" s="178" t="str">
        <f t="shared" si="24"/>
        <v>C</v>
      </c>
      <c r="AG551" s="52" t="str">
        <f t="shared" si="25"/>
        <v>UTILIZOU O PDA CORRETAMENTE</v>
      </c>
      <c r="AH551" s="140" t="s">
        <v>207</v>
      </c>
      <c r="AI551" s="182" t="s">
        <v>36</v>
      </c>
      <c r="AJ551" s="93" t="str">
        <f t="shared" si="26"/>
        <v>SÃO PAULO</v>
      </c>
      <c r="AK551" s="183" t="s">
        <v>54</v>
      </c>
    </row>
    <row r="552" spans="1:37" ht="30" customHeight="1">
      <c r="A552" s="161" t="s">
        <v>198</v>
      </c>
      <c r="B552" s="155">
        <v>2620808240</v>
      </c>
      <c r="C552" s="155" t="s">
        <v>223</v>
      </c>
      <c r="D552" s="155" t="s">
        <v>96</v>
      </c>
      <c r="E552" s="155" t="s">
        <v>35</v>
      </c>
      <c r="F552" s="155" t="s">
        <v>1185</v>
      </c>
      <c r="G552" s="155">
        <v>530</v>
      </c>
      <c r="H552" s="155" t="s">
        <v>200</v>
      </c>
      <c r="I552" s="155" t="s">
        <v>271</v>
      </c>
      <c r="J552" s="155" t="s">
        <v>226</v>
      </c>
      <c r="K552" s="155" t="s">
        <v>200</v>
      </c>
      <c r="L552" s="155" t="s">
        <v>1186</v>
      </c>
      <c r="M552" s="155" t="s">
        <v>1187</v>
      </c>
      <c r="N552" s="155" t="s">
        <v>403</v>
      </c>
      <c r="O552" s="256" t="s">
        <v>207</v>
      </c>
      <c r="P552" s="90"/>
      <c r="Q552" s="140" t="s">
        <v>207</v>
      </c>
      <c r="R552" s="90"/>
      <c r="S552" s="140" t="s">
        <v>207</v>
      </c>
      <c r="T552" s="90"/>
      <c r="U552" s="140" t="s">
        <v>207</v>
      </c>
      <c r="V552" s="90"/>
      <c r="W552" s="140" t="s">
        <v>207</v>
      </c>
      <c r="X552" s="90"/>
      <c r="Y552" s="140" t="s">
        <v>77</v>
      </c>
      <c r="Z552" s="90"/>
      <c r="AA552" s="140" t="s">
        <v>207</v>
      </c>
      <c r="AB552" s="90"/>
      <c r="AC552" s="140" t="s">
        <v>207</v>
      </c>
      <c r="AD552" s="90"/>
      <c r="AE552" s="140" t="s">
        <v>207</v>
      </c>
      <c r="AF552" s="178" t="str">
        <f t="shared" si="24"/>
        <v>C</v>
      </c>
      <c r="AG552" s="52" t="str">
        <f t="shared" si="25"/>
        <v>UTILIZOU O PDA CORRETAMENTE</v>
      </c>
      <c r="AH552" s="140" t="s">
        <v>207</v>
      </c>
      <c r="AI552" s="182" t="s">
        <v>36</v>
      </c>
      <c r="AJ552" s="93" t="str">
        <f t="shared" si="26"/>
        <v>SÃO PAULO</v>
      </c>
      <c r="AK552" s="183" t="s">
        <v>54</v>
      </c>
    </row>
    <row r="553" spans="1:37" ht="30" customHeight="1">
      <c r="A553" s="161" t="s">
        <v>198</v>
      </c>
      <c r="B553" s="155">
        <v>2620567034</v>
      </c>
      <c r="C553" s="155" t="s">
        <v>223</v>
      </c>
      <c r="D553" s="155" t="s">
        <v>96</v>
      </c>
      <c r="E553" s="155" t="s">
        <v>35</v>
      </c>
      <c r="F553" s="155" t="s">
        <v>572</v>
      </c>
      <c r="G553" s="155">
        <v>2530</v>
      </c>
      <c r="H553" s="155" t="s">
        <v>200</v>
      </c>
      <c r="I553" s="155" t="s">
        <v>1188</v>
      </c>
      <c r="J553" s="155" t="s">
        <v>226</v>
      </c>
      <c r="K553" s="155" t="s">
        <v>200</v>
      </c>
      <c r="L553" s="155" t="s">
        <v>1189</v>
      </c>
      <c r="M553" s="155" t="s">
        <v>1190</v>
      </c>
      <c r="N553" s="155" t="s">
        <v>403</v>
      </c>
      <c r="O553" s="256" t="s">
        <v>207</v>
      </c>
      <c r="P553" s="90"/>
      <c r="Q553" s="140" t="s">
        <v>207</v>
      </c>
      <c r="R553" s="90"/>
      <c r="S553" s="140" t="s">
        <v>207</v>
      </c>
      <c r="T553" s="90"/>
      <c r="U553" s="140" t="s">
        <v>207</v>
      </c>
      <c r="V553" s="90"/>
      <c r="W553" s="140" t="s">
        <v>207</v>
      </c>
      <c r="X553" s="90"/>
      <c r="Y553" s="140" t="s">
        <v>77</v>
      </c>
      <c r="Z553" s="90"/>
      <c r="AA553" s="140" t="s">
        <v>207</v>
      </c>
      <c r="AB553" s="90"/>
      <c r="AC553" s="140" t="s">
        <v>207</v>
      </c>
      <c r="AD553" s="90"/>
      <c r="AE553" s="140" t="s">
        <v>207</v>
      </c>
      <c r="AF553" s="178" t="str">
        <f t="shared" si="24"/>
        <v>C</v>
      </c>
      <c r="AG553" s="52" t="str">
        <f t="shared" si="25"/>
        <v>UTILIZOU O PDA CORRETAMENTE</v>
      </c>
      <c r="AH553" s="140" t="s">
        <v>207</v>
      </c>
      <c r="AI553" s="182" t="s">
        <v>36</v>
      </c>
      <c r="AJ553" s="93" t="str">
        <f t="shared" si="26"/>
        <v>SÃO PAULO</v>
      </c>
      <c r="AK553" s="183" t="s">
        <v>54</v>
      </c>
    </row>
    <row r="554" spans="1:37" ht="30" customHeight="1">
      <c r="A554" s="161" t="s">
        <v>198</v>
      </c>
      <c r="B554" s="155">
        <v>2620807608</v>
      </c>
      <c r="C554" s="155" t="s">
        <v>115</v>
      </c>
      <c r="D554" s="155" t="s">
        <v>96</v>
      </c>
      <c r="E554" s="155" t="s">
        <v>35</v>
      </c>
      <c r="F554" s="155" t="s">
        <v>563</v>
      </c>
      <c r="G554" s="155">
        <v>2980</v>
      </c>
      <c r="H554" s="155" t="s">
        <v>208</v>
      </c>
      <c r="I554" s="155" t="s">
        <v>234</v>
      </c>
      <c r="J554" s="155" t="s">
        <v>268</v>
      </c>
      <c r="K554" s="155" t="s">
        <v>200</v>
      </c>
      <c r="L554" s="155" t="s">
        <v>1191</v>
      </c>
      <c r="M554" s="155" t="s">
        <v>1192</v>
      </c>
      <c r="N554" s="155" t="s">
        <v>232</v>
      </c>
      <c r="O554" s="256" t="s">
        <v>207</v>
      </c>
      <c r="P554" s="90"/>
      <c r="Q554" s="140" t="s">
        <v>207</v>
      </c>
      <c r="R554" s="90"/>
      <c r="S554" s="140" t="s">
        <v>207</v>
      </c>
      <c r="T554" s="90"/>
      <c r="U554" s="140" t="s">
        <v>207</v>
      </c>
      <c r="V554" s="90"/>
      <c r="W554" s="140" t="s">
        <v>207</v>
      </c>
      <c r="X554" s="90"/>
      <c r="Y554" s="140" t="s">
        <v>207</v>
      </c>
      <c r="Z554" s="90"/>
      <c r="AA554" s="140" t="s">
        <v>207</v>
      </c>
      <c r="AB554" s="90"/>
      <c r="AC554" s="140" t="s">
        <v>207</v>
      </c>
      <c r="AD554" s="90"/>
      <c r="AE554" s="140" t="s">
        <v>207</v>
      </c>
      <c r="AF554" s="178" t="str">
        <f t="shared" si="24"/>
        <v>C</v>
      </c>
      <c r="AG554" s="52" t="str">
        <f t="shared" si="25"/>
        <v>UTILIZOU O PDA CORRETAMENTE</v>
      </c>
      <c r="AH554" s="140" t="s">
        <v>207</v>
      </c>
      <c r="AI554" s="182" t="s">
        <v>36</v>
      </c>
      <c r="AJ554" s="93" t="str">
        <f t="shared" si="26"/>
        <v>SÃO PAULO</v>
      </c>
      <c r="AK554" s="183" t="s">
        <v>54</v>
      </c>
    </row>
    <row r="555" spans="1:37" ht="30" customHeight="1">
      <c r="A555" s="161" t="s">
        <v>198</v>
      </c>
      <c r="B555" s="155">
        <v>2620820266</v>
      </c>
      <c r="C555" s="155" t="s">
        <v>114</v>
      </c>
      <c r="D555" s="155" t="s">
        <v>96</v>
      </c>
      <c r="E555" s="155" t="s">
        <v>35</v>
      </c>
      <c r="F555" s="155" t="s">
        <v>387</v>
      </c>
      <c r="G555" s="155">
        <v>715</v>
      </c>
      <c r="H555" s="155" t="s">
        <v>200</v>
      </c>
      <c r="I555" s="155" t="s">
        <v>277</v>
      </c>
      <c r="J555" s="155" t="s">
        <v>260</v>
      </c>
      <c r="K555" s="155" t="s">
        <v>200</v>
      </c>
      <c r="L555" s="155" t="s">
        <v>1193</v>
      </c>
      <c r="M555" s="155" t="s">
        <v>1194</v>
      </c>
      <c r="N555" s="155" t="s">
        <v>262</v>
      </c>
      <c r="O555" s="256" t="s">
        <v>207</v>
      </c>
      <c r="P555" s="90"/>
      <c r="Q555" s="140" t="s">
        <v>207</v>
      </c>
      <c r="R555" s="90"/>
      <c r="S555" s="140" t="s">
        <v>207</v>
      </c>
      <c r="T555" s="90"/>
      <c r="U555" s="140" t="s">
        <v>207</v>
      </c>
      <c r="V555" s="90"/>
      <c r="W555" s="140" t="s">
        <v>207</v>
      </c>
      <c r="X555" s="90"/>
      <c r="Y555" s="140" t="s">
        <v>207</v>
      </c>
      <c r="Z555" s="90"/>
      <c r="AA555" s="140" t="s">
        <v>207</v>
      </c>
      <c r="AB555" s="90"/>
      <c r="AC555" s="140" t="s">
        <v>207</v>
      </c>
      <c r="AD555" s="90"/>
      <c r="AE555" s="140" t="s">
        <v>207</v>
      </c>
      <c r="AF555" s="178" t="str">
        <f t="shared" si="24"/>
        <v>C</v>
      </c>
      <c r="AG555" s="52" t="str">
        <f t="shared" si="25"/>
        <v>UTILIZOU O PDA CORRETAMENTE</v>
      </c>
      <c r="AH555" s="140" t="s">
        <v>207</v>
      </c>
      <c r="AI555" s="182" t="s">
        <v>36</v>
      </c>
      <c r="AJ555" s="93" t="str">
        <f t="shared" si="26"/>
        <v>SÃO PAULO</v>
      </c>
      <c r="AK555" s="183" t="s">
        <v>54</v>
      </c>
    </row>
    <row r="556" spans="1:37" ht="30" customHeight="1">
      <c r="A556" s="161" t="s">
        <v>198</v>
      </c>
      <c r="B556" s="155">
        <v>2620863125</v>
      </c>
      <c r="C556" s="155" t="s">
        <v>120</v>
      </c>
      <c r="D556" s="155" t="s">
        <v>96</v>
      </c>
      <c r="E556" s="155" t="s">
        <v>35</v>
      </c>
      <c r="F556" s="155" t="s">
        <v>662</v>
      </c>
      <c r="G556" s="155">
        <v>27</v>
      </c>
      <c r="H556" s="155" t="s">
        <v>329</v>
      </c>
      <c r="I556" s="155" t="s">
        <v>355</v>
      </c>
      <c r="J556" s="155" t="s">
        <v>294</v>
      </c>
      <c r="K556" s="155" t="s">
        <v>200</v>
      </c>
      <c r="L556" s="155" t="s">
        <v>1195</v>
      </c>
      <c r="M556" s="155" t="s">
        <v>1196</v>
      </c>
      <c r="N556" s="155" t="s">
        <v>274</v>
      </c>
      <c r="O556" s="256" t="s">
        <v>207</v>
      </c>
      <c r="P556" s="90"/>
      <c r="Q556" s="140" t="s">
        <v>207</v>
      </c>
      <c r="R556" s="90"/>
      <c r="S556" s="140" t="s">
        <v>207</v>
      </c>
      <c r="T556" s="90"/>
      <c r="U556" s="140" t="s">
        <v>207</v>
      </c>
      <c r="V556" s="90"/>
      <c r="W556" s="140" t="s">
        <v>207</v>
      </c>
      <c r="X556" s="90"/>
      <c r="Y556" s="140" t="s">
        <v>77</v>
      </c>
      <c r="Z556" s="90"/>
      <c r="AA556" s="140" t="s">
        <v>207</v>
      </c>
      <c r="AB556" s="90"/>
      <c r="AC556" s="140" t="s">
        <v>207</v>
      </c>
      <c r="AD556" s="90"/>
      <c r="AE556" s="140" t="s">
        <v>207</v>
      </c>
      <c r="AF556" s="178" t="str">
        <f t="shared" si="24"/>
        <v>C</v>
      </c>
      <c r="AG556" s="52" t="str">
        <f t="shared" si="25"/>
        <v>UTILIZOU O PDA CORRETAMENTE</v>
      </c>
      <c r="AH556" s="140" t="s">
        <v>207</v>
      </c>
      <c r="AI556" s="182" t="s">
        <v>36</v>
      </c>
      <c r="AJ556" s="93" t="str">
        <f t="shared" si="26"/>
        <v>SÃO PAULO</v>
      </c>
      <c r="AK556" s="183" t="s">
        <v>54</v>
      </c>
    </row>
    <row r="557" spans="1:37" ht="30" customHeight="1">
      <c r="A557" s="161" t="s">
        <v>198</v>
      </c>
      <c r="B557" s="155">
        <v>2693544507</v>
      </c>
      <c r="C557" s="155" t="s">
        <v>104</v>
      </c>
      <c r="D557" s="155" t="s">
        <v>93</v>
      </c>
      <c r="E557" s="155" t="s">
        <v>35</v>
      </c>
      <c r="F557" s="155" t="s">
        <v>1197</v>
      </c>
      <c r="G557" s="155">
        <v>530</v>
      </c>
      <c r="H557" s="155" t="s">
        <v>200</v>
      </c>
      <c r="I557" s="155" t="s">
        <v>277</v>
      </c>
      <c r="J557" s="155" t="s">
        <v>249</v>
      </c>
      <c r="K557" s="155" t="s">
        <v>200</v>
      </c>
      <c r="L557" s="155" t="s">
        <v>1198</v>
      </c>
      <c r="M557" s="155" t="s">
        <v>1199</v>
      </c>
      <c r="N557" s="155" t="s">
        <v>262</v>
      </c>
      <c r="O557" s="256" t="s">
        <v>207</v>
      </c>
      <c r="P557" s="90"/>
      <c r="Q557" s="140" t="s">
        <v>207</v>
      </c>
      <c r="R557" s="90"/>
      <c r="S557" s="140" t="s">
        <v>207</v>
      </c>
      <c r="T557" s="90"/>
      <c r="U557" s="140" t="s">
        <v>207</v>
      </c>
      <c r="V557" s="90"/>
      <c r="W557" s="140" t="s">
        <v>207</v>
      </c>
      <c r="X557" s="90"/>
      <c r="Y557" s="140" t="s">
        <v>77</v>
      </c>
      <c r="Z557" s="90"/>
      <c r="AA557" s="140" t="s">
        <v>207</v>
      </c>
      <c r="AB557" s="90"/>
      <c r="AC557" s="140" t="s">
        <v>207</v>
      </c>
      <c r="AD557" s="90"/>
      <c r="AE557" s="140" t="s">
        <v>207</v>
      </c>
      <c r="AF557" s="178" t="str">
        <f t="shared" si="24"/>
        <v>C</v>
      </c>
      <c r="AG557" s="52" t="str">
        <f t="shared" si="25"/>
        <v>UTILIZOU O PDA CORRETAMENTE</v>
      </c>
      <c r="AH557" s="140" t="s">
        <v>207</v>
      </c>
      <c r="AI557" s="182" t="s">
        <v>36</v>
      </c>
      <c r="AJ557" s="93" t="str">
        <f t="shared" si="26"/>
        <v>SÃO PAULO</v>
      </c>
      <c r="AK557" s="183" t="s">
        <v>54</v>
      </c>
    </row>
    <row r="558" spans="1:37" ht="30" customHeight="1">
      <c r="A558" s="161" t="s">
        <v>198</v>
      </c>
      <c r="B558" s="155">
        <v>2693523885</v>
      </c>
      <c r="C558" s="155" t="s">
        <v>104</v>
      </c>
      <c r="D558" s="155" t="s">
        <v>93</v>
      </c>
      <c r="E558" s="155" t="s">
        <v>35</v>
      </c>
      <c r="F558" s="155" t="s">
        <v>1200</v>
      </c>
      <c r="G558" s="155">
        <v>38</v>
      </c>
      <c r="H558" s="155" t="s">
        <v>200</v>
      </c>
      <c r="I558" s="155" t="s">
        <v>558</v>
      </c>
      <c r="J558" s="155" t="s">
        <v>249</v>
      </c>
      <c r="K558" s="155" t="s">
        <v>1201</v>
      </c>
      <c r="L558" s="155" t="s">
        <v>1202</v>
      </c>
      <c r="M558" s="155" t="s">
        <v>1202</v>
      </c>
      <c r="N558" s="155" t="s">
        <v>323</v>
      </c>
      <c r="O558" s="256" t="s">
        <v>207</v>
      </c>
      <c r="P558" s="90"/>
      <c r="Q558" s="140" t="s">
        <v>207</v>
      </c>
      <c r="R558" s="90"/>
      <c r="S558" s="140" t="s">
        <v>207</v>
      </c>
      <c r="T558" s="90"/>
      <c r="U558" s="140" t="s">
        <v>207</v>
      </c>
      <c r="V558" s="90"/>
      <c r="W558" s="140" t="s">
        <v>207</v>
      </c>
      <c r="X558" s="90"/>
      <c r="Y558" s="140" t="s">
        <v>77</v>
      </c>
      <c r="Z558" s="90"/>
      <c r="AA558" s="140" t="s">
        <v>207</v>
      </c>
      <c r="AB558" s="90"/>
      <c r="AC558" s="140" t="s">
        <v>207</v>
      </c>
      <c r="AD558" s="90"/>
      <c r="AE558" s="140" t="s">
        <v>207</v>
      </c>
      <c r="AF558" s="178" t="str">
        <f t="shared" si="24"/>
        <v>C</v>
      </c>
      <c r="AG558" s="52" t="str">
        <f t="shared" si="25"/>
        <v>UTILIZOU O PDA CORRETAMENTE</v>
      </c>
      <c r="AH558" s="140" t="s">
        <v>207</v>
      </c>
      <c r="AI558" s="182" t="s">
        <v>36</v>
      </c>
      <c r="AJ558" s="93" t="str">
        <f t="shared" si="26"/>
        <v>SÃO PAULO</v>
      </c>
      <c r="AK558" s="183" t="s">
        <v>54</v>
      </c>
    </row>
    <row r="559" spans="1:37" ht="30" customHeight="1">
      <c r="A559" s="176" t="s">
        <v>198</v>
      </c>
      <c r="B559" s="154">
        <v>2693569606</v>
      </c>
      <c r="C559" s="154" t="s">
        <v>117</v>
      </c>
      <c r="D559" s="154" t="s">
        <v>96</v>
      </c>
      <c r="E559" s="154" t="s">
        <v>35</v>
      </c>
      <c r="F559" s="154" t="s">
        <v>1203</v>
      </c>
      <c r="G559" s="154">
        <v>387</v>
      </c>
      <c r="H559" s="154" t="s">
        <v>200</v>
      </c>
      <c r="I559" s="154" t="s">
        <v>417</v>
      </c>
      <c r="J559" s="154" t="s">
        <v>267</v>
      </c>
      <c r="K559" s="154" t="s">
        <v>200</v>
      </c>
      <c r="L559" s="154" t="s">
        <v>1204</v>
      </c>
      <c r="M559" s="154" t="s">
        <v>1205</v>
      </c>
      <c r="N559" s="154" t="s">
        <v>235</v>
      </c>
      <c r="O559" s="256" t="s">
        <v>207</v>
      </c>
      <c r="P559" s="90"/>
      <c r="Q559" s="140" t="s">
        <v>207</v>
      </c>
      <c r="R559" s="90"/>
      <c r="S559" s="140" t="s">
        <v>207</v>
      </c>
      <c r="T559" s="90"/>
      <c r="U559" s="140" t="s">
        <v>207</v>
      </c>
      <c r="V559" s="90"/>
      <c r="W559" s="140" t="s">
        <v>207</v>
      </c>
      <c r="X559" s="90"/>
      <c r="Y559" s="140" t="s">
        <v>77</v>
      </c>
      <c r="Z559" s="90"/>
      <c r="AA559" s="140" t="s">
        <v>207</v>
      </c>
      <c r="AB559" s="90"/>
      <c r="AC559" s="140" t="s">
        <v>207</v>
      </c>
      <c r="AD559" s="90"/>
      <c r="AE559" s="140" t="s">
        <v>207</v>
      </c>
      <c r="AF559" s="178" t="str">
        <f t="shared" si="24"/>
        <v>C</v>
      </c>
      <c r="AG559" s="52" t="str">
        <f t="shared" si="25"/>
        <v>UTILIZOU O PDA CORRETAMENTE</v>
      </c>
      <c r="AH559" s="140" t="s">
        <v>207</v>
      </c>
      <c r="AI559" s="182" t="s">
        <v>36</v>
      </c>
      <c r="AJ559" s="93" t="str">
        <f t="shared" si="26"/>
        <v>SÃO PAULO</v>
      </c>
      <c r="AK559" s="183" t="s">
        <v>54</v>
      </c>
    </row>
    <row r="560" spans="1:37" ht="30" customHeight="1">
      <c r="A560" s="161" t="s">
        <v>198</v>
      </c>
      <c r="B560" s="155">
        <v>2620873050</v>
      </c>
      <c r="C560" s="155" t="s">
        <v>121</v>
      </c>
      <c r="D560" s="155" t="s">
        <v>96</v>
      </c>
      <c r="E560" s="155" t="s">
        <v>35</v>
      </c>
      <c r="F560" s="155" t="s">
        <v>1206</v>
      </c>
      <c r="G560" s="155">
        <v>10</v>
      </c>
      <c r="H560" s="155" t="s">
        <v>329</v>
      </c>
      <c r="I560" s="155" t="s">
        <v>615</v>
      </c>
      <c r="J560" s="155" t="s">
        <v>202</v>
      </c>
      <c r="K560" s="155" t="s">
        <v>200</v>
      </c>
      <c r="L560" s="155" t="s">
        <v>1207</v>
      </c>
      <c r="M560" s="155" t="s">
        <v>1208</v>
      </c>
      <c r="N560" s="155" t="s">
        <v>349</v>
      </c>
      <c r="O560" s="256" t="s">
        <v>207</v>
      </c>
      <c r="P560" s="90"/>
      <c r="Q560" s="140" t="s">
        <v>207</v>
      </c>
      <c r="R560" s="90"/>
      <c r="S560" s="140" t="s">
        <v>207</v>
      </c>
      <c r="T560" s="90"/>
      <c r="U560" s="140" t="s">
        <v>207</v>
      </c>
      <c r="V560" s="90"/>
      <c r="W560" s="140" t="s">
        <v>207</v>
      </c>
      <c r="X560" s="90"/>
      <c r="Y560" s="140" t="s">
        <v>77</v>
      </c>
      <c r="Z560" s="90"/>
      <c r="AA560" s="140" t="s">
        <v>207</v>
      </c>
      <c r="AB560" s="90"/>
      <c r="AC560" s="140" t="s">
        <v>207</v>
      </c>
      <c r="AD560" s="90"/>
      <c r="AE560" s="140" t="s">
        <v>207</v>
      </c>
      <c r="AF560" s="178" t="str">
        <f t="shared" si="24"/>
        <v>C</v>
      </c>
      <c r="AG560" s="52" t="str">
        <f t="shared" si="25"/>
        <v>UTILIZOU O PDA CORRETAMENTE</v>
      </c>
      <c r="AH560" s="140" t="s">
        <v>207</v>
      </c>
      <c r="AI560" s="182" t="s">
        <v>36</v>
      </c>
      <c r="AJ560" s="93" t="str">
        <f t="shared" si="26"/>
        <v>SÃO PAULO</v>
      </c>
      <c r="AK560" s="183" t="s">
        <v>54</v>
      </c>
    </row>
    <row r="561" spans="1:37" ht="30" customHeight="1">
      <c r="A561" s="161" t="s">
        <v>198</v>
      </c>
      <c r="B561" s="155">
        <v>2693617405</v>
      </c>
      <c r="C561" s="155" t="s">
        <v>118</v>
      </c>
      <c r="D561" s="155" t="s">
        <v>96</v>
      </c>
      <c r="E561" s="155" t="s">
        <v>35</v>
      </c>
      <c r="F561" s="155" t="s">
        <v>407</v>
      </c>
      <c r="G561" s="155">
        <v>485</v>
      </c>
      <c r="H561" s="155" t="s">
        <v>200</v>
      </c>
      <c r="I561" s="155" t="s">
        <v>408</v>
      </c>
      <c r="J561" s="155" t="s">
        <v>260</v>
      </c>
      <c r="K561" s="155" t="s">
        <v>200</v>
      </c>
      <c r="L561" s="155" t="s">
        <v>1209</v>
      </c>
      <c r="M561" s="155" t="s">
        <v>1210</v>
      </c>
      <c r="N561" s="155" t="s">
        <v>403</v>
      </c>
      <c r="O561" s="256" t="s">
        <v>207</v>
      </c>
      <c r="P561" s="90"/>
      <c r="Q561" s="140" t="s">
        <v>207</v>
      </c>
      <c r="R561" s="90"/>
      <c r="S561" s="140" t="s">
        <v>207</v>
      </c>
      <c r="T561" s="90"/>
      <c r="U561" s="140" t="s">
        <v>207</v>
      </c>
      <c r="V561" s="90"/>
      <c r="W561" s="140" t="s">
        <v>207</v>
      </c>
      <c r="X561" s="90"/>
      <c r="Y561" s="140" t="s">
        <v>77</v>
      </c>
      <c r="Z561" s="90"/>
      <c r="AA561" s="140" t="s">
        <v>207</v>
      </c>
      <c r="AB561" s="90"/>
      <c r="AC561" s="140" t="s">
        <v>207</v>
      </c>
      <c r="AD561" s="90"/>
      <c r="AE561" s="140" t="s">
        <v>207</v>
      </c>
      <c r="AF561" s="178" t="str">
        <f t="shared" si="24"/>
        <v>C</v>
      </c>
      <c r="AG561" s="52" t="str">
        <f t="shared" si="25"/>
        <v>UTILIZOU O PDA CORRETAMENTE</v>
      </c>
      <c r="AH561" s="140" t="s">
        <v>207</v>
      </c>
      <c r="AI561" s="182" t="s">
        <v>36</v>
      </c>
      <c r="AJ561" s="93" t="str">
        <f t="shared" si="26"/>
        <v>SÃO PAULO</v>
      </c>
      <c r="AK561" s="183" t="s">
        <v>54</v>
      </c>
    </row>
    <row r="562" spans="1:37" ht="30" customHeight="1">
      <c r="A562" s="208" t="s">
        <v>198</v>
      </c>
      <c r="B562" s="209">
        <v>2620843911</v>
      </c>
      <c r="C562" s="209" t="s">
        <v>115</v>
      </c>
      <c r="D562" s="209" t="s">
        <v>96</v>
      </c>
      <c r="E562" s="209" t="s">
        <v>35</v>
      </c>
      <c r="F562" s="209" t="s">
        <v>1211</v>
      </c>
      <c r="G562" s="209">
        <v>2</v>
      </c>
      <c r="H562" s="209" t="s">
        <v>208</v>
      </c>
      <c r="I562" s="209" t="s">
        <v>1212</v>
      </c>
      <c r="J562" s="209" t="s">
        <v>268</v>
      </c>
      <c r="K562" s="209" t="s">
        <v>200</v>
      </c>
      <c r="L562" s="209" t="s">
        <v>1213</v>
      </c>
      <c r="M562" s="209" t="s">
        <v>1214</v>
      </c>
      <c r="N562" s="209" t="s">
        <v>262</v>
      </c>
      <c r="O562" s="256" t="s">
        <v>207</v>
      </c>
      <c r="P562" s="90"/>
      <c r="Q562" s="140" t="s">
        <v>207</v>
      </c>
      <c r="R562" s="90"/>
      <c r="S562" s="140" t="s">
        <v>207</v>
      </c>
      <c r="T562" s="90"/>
      <c r="U562" s="140" t="s">
        <v>207</v>
      </c>
      <c r="V562" s="90"/>
      <c r="W562" s="140" t="s">
        <v>207</v>
      </c>
      <c r="X562" s="90"/>
      <c r="Y562" s="140" t="s">
        <v>207</v>
      </c>
      <c r="Z562" s="90"/>
      <c r="AA562" s="140" t="s">
        <v>207</v>
      </c>
      <c r="AB562" s="90"/>
      <c r="AC562" s="140" t="s">
        <v>207</v>
      </c>
      <c r="AD562" s="90"/>
      <c r="AE562" s="140" t="s">
        <v>207</v>
      </c>
      <c r="AF562" s="178" t="str">
        <f t="shared" si="24"/>
        <v>C</v>
      </c>
      <c r="AG562" s="52" t="str">
        <f t="shared" si="25"/>
        <v>UTILIZOU O PDA CORRETAMENTE</v>
      </c>
      <c r="AH562" s="140" t="s">
        <v>207</v>
      </c>
      <c r="AI562" s="182" t="s">
        <v>36</v>
      </c>
      <c r="AJ562" s="93" t="str">
        <f t="shared" si="26"/>
        <v>SÃO PAULO</v>
      </c>
      <c r="AK562" s="183" t="s">
        <v>54</v>
      </c>
    </row>
    <row r="563" spans="1:37" ht="30" customHeight="1">
      <c r="A563" s="208" t="s">
        <v>198</v>
      </c>
      <c r="B563" s="209">
        <v>2620870828</v>
      </c>
      <c r="C563" s="209" t="s">
        <v>115</v>
      </c>
      <c r="D563" s="209" t="s">
        <v>96</v>
      </c>
      <c r="E563" s="209" t="s">
        <v>35</v>
      </c>
      <c r="F563" s="209" t="s">
        <v>1095</v>
      </c>
      <c r="G563" s="209">
        <v>44</v>
      </c>
      <c r="H563" s="209" t="s">
        <v>200</v>
      </c>
      <c r="I563" s="209" t="s">
        <v>433</v>
      </c>
      <c r="J563" s="209" t="s">
        <v>268</v>
      </c>
      <c r="K563" s="209" t="s">
        <v>1215</v>
      </c>
      <c r="L563" s="209" t="s">
        <v>1216</v>
      </c>
      <c r="M563" s="209" t="s">
        <v>1217</v>
      </c>
      <c r="N563" s="209" t="s">
        <v>262</v>
      </c>
      <c r="O563" s="256" t="s">
        <v>207</v>
      </c>
      <c r="P563" s="90"/>
      <c r="Q563" s="140" t="s">
        <v>207</v>
      </c>
      <c r="R563" s="90"/>
      <c r="S563" s="140" t="s">
        <v>207</v>
      </c>
      <c r="T563" s="90"/>
      <c r="U563" s="140" t="s">
        <v>207</v>
      </c>
      <c r="V563" s="90"/>
      <c r="W563" s="140" t="s">
        <v>207</v>
      </c>
      <c r="X563" s="90"/>
      <c r="Y563" s="140" t="s">
        <v>207</v>
      </c>
      <c r="Z563" s="90"/>
      <c r="AA563" s="140" t="s">
        <v>207</v>
      </c>
      <c r="AB563" s="90"/>
      <c r="AC563" s="140" t="s">
        <v>207</v>
      </c>
      <c r="AD563" s="90"/>
      <c r="AE563" s="140" t="s">
        <v>207</v>
      </c>
      <c r="AF563" s="178" t="str">
        <f t="shared" si="24"/>
        <v>C</v>
      </c>
      <c r="AG563" s="52" t="str">
        <f t="shared" si="25"/>
        <v>UTILIZOU O PDA CORRETAMENTE</v>
      </c>
      <c r="AH563" s="140" t="s">
        <v>207</v>
      </c>
      <c r="AI563" s="182" t="s">
        <v>36</v>
      </c>
      <c r="AJ563" s="93" t="str">
        <f t="shared" si="26"/>
        <v>SÃO PAULO</v>
      </c>
      <c r="AK563" s="183" t="s">
        <v>54</v>
      </c>
    </row>
    <row r="564" spans="1:37" ht="30" customHeight="1">
      <c r="A564" s="161" t="s">
        <v>198</v>
      </c>
      <c r="B564" s="155">
        <v>2620820047</v>
      </c>
      <c r="C564" s="155" t="s">
        <v>118</v>
      </c>
      <c r="D564" s="155" t="s">
        <v>96</v>
      </c>
      <c r="E564" s="155" t="s">
        <v>35</v>
      </c>
      <c r="F564" s="155" t="s">
        <v>700</v>
      </c>
      <c r="G564" s="155">
        <v>26</v>
      </c>
      <c r="H564" s="155" t="s">
        <v>200</v>
      </c>
      <c r="I564" s="155" t="s">
        <v>230</v>
      </c>
      <c r="J564" s="155" t="s">
        <v>267</v>
      </c>
      <c r="K564" s="155" t="s">
        <v>200</v>
      </c>
      <c r="L564" s="155" t="s">
        <v>1218</v>
      </c>
      <c r="M564" s="155" t="s">
        <v>1219</v>
      </c>
      <c r="N564" s="155" t="s">
        <v>320</v>
      </c>
      <c r="O564" s="256" t="s">
        <v>207</v>
      </c>
      <c r="P564" s="90"/>
      <c r="Q564" s="140" t="s">
        <v>207</v>
      </c>
      <c r="R564" s="90"/>
      <c r="S564" s="140" t="s">
        <v>207</v>
      </c>
      <c r="T564" s="90"/>
      <c r="U564" s="140" t="s">
        <v>207</v>
      </c>
      <c r="V564" s="90"/>
      <c r="W564" s="140" t="s">
        <v>207</v>
      </c>
      <c r="X564" s="90"/>
      <c r="Y564" s="140" t="s">
        <v>77</v>
      </c>
      <c r="Z564" s="90"/>
      <c r="AA564" s="140" t="s">
        <v>207</v>
      </c>
      <c r="AB564" s="90"/>
      <c r="AC564" s="140" t="s">
        <v>207</v>
      </c>
      <c r="AD564" s="90"/>
      <c r="AE564" s="140" t="s">
        <v>207</v>
      </c>
      <c r="AF564" s="178" t="str">
        <f t="shared" si="24"/>
        <v>C</v>
      </c>
      <c r="AG564" s="52" t="str">
        <f t="shared" si="25"/>
        <v>UTILIZOU O PDA CORRETAMENTE</v>
      </c>
      <c r="AH564" s="140" t="s">
        <v>207</v>
      </c>
      <c r="AI564" s="182" t="s">
        <v>36</v>
      </c>
      <c r="AJ564" s="93" t="str">
        <f t="shared" si="26"/>
        <v>SÃO PAULO</v>
      </c>
      <c r="AK564" s="183" t="s">
        <v>54</v>
      </c>
    </row>
    <row r="565" spans="1:37" ht="30" customHeight="1">
      <c r="A565" s="208" t="s">
        <v>198</v>
      </c>
      <c r="B565" s="209">
        <v>2620849124</v>
      </c>
      <c r="C565" s="209" t="s">
        <v>115</v>
      </c>
      <c r="D565" s="209" t="s">
        <v>96</v>
      </c>
      <c r="E565" s="209" t="s">
        <v>35</v>
      </c>
      <c r="F565" s="209" t="s">
        <v>668</v>
      </c>
      <c r="G565" s="209">
        <v>180</v>
      </c>
      <c r="H565" s="209" t="s">
        <v>208</v>
      </c>
      <c r="I565" s="209" t="s">
        <v>355</v>
      </c>
      <c r="J565" s="209" t="s">
        <v>268</v>
      </c>
      <c r="K565" s="209" t="s">
        <v>200</v>
      </c>
      <c r="L565" s="209" t="s">
        <v>1220</v>
      </c>
      <c r="M565" s="209" t="s">
        <v>1221</v>
      </c>
      <c r="N565" s="209" t="s">
        <v>295</v>
      </c>
      <c r="O565" s="256" t="s">
        <v>207</v>
      </c>
      <c r="P565" s="90"/>
      <c r="Q565" s="140" t="s">
        <v>207</v>
      </c>
      <c r="R565" s="90"/>
      <c r="S565" s="140" t="s">
        <v>207</v>
      </c>
      <c r="T565" s="90"/>
      <c r="U565" s="140" t="s">
        <v>207</v>
      </c>
      <c r="V565" s="90"/>
      <c r="W565" s="140" t="s">
        <v>207</v>
      </c>
      <c r="X565" s="90"/>
      <c r="Y565" s="140" t="s">
        <v>207</v>
      </c>
      <c r="Z565" s="90"/>
      <c r="AA565" s="140" t="s">
        <v>207</v>
      </c>
      <c r="AB565" s="90"/>
      <c r="AC565" s="140" t="s">
        <v>207</v>
      </c>
      <c r="AD565" s="90"/>
      <c r="AE565" s="140" t="s">
        <v>207</v>
      </c>
      <c r="AF565" s="178" t="str">
        <f t="shared" si="24"/>
        <v>C</v>
      </c>
      <c r="AG565" s="52" t="str">
        <f t="shared" si="25"/>
        <v>UTILIZOU O PDA CORRETAMENTE</v>
      </c>
      <c r="AH565" s="140" t="s">
        <v>207</v>
      </c>
      <c r="AI565" s="182" t="s">
        <v>36</v>
      </c>
      <c r="AJ565" s="93" t="str">
        <f t="shared" si="26"/>
        <v>SÃO PAULO</v>
      </c>
      <c r="AK565" s="183" t="s">
        <v>54</v>
      </c>
    </row>
    <row r="566" spans="1:37" ht="30" customHeight="1">
      <c r="A566" s="161" t="s">
        <v>198</v>
      </c>
      <c r="B566" s="155">
        <v>2693650228</v>
      </c>
      <c r="C566" s="155" t="s">
        <v>122</v>
      </c>
      <c r="D566" s="155" t="s">
        <v>96</v>
      </c>
      <c r="E566" s="155" t="s">
        <v>35</v>
      </c>
      <c r="F566" s="155" t="s">
        <v>1222</v>
      </c>
      <c r="G566" s="155">
        <v>130</v>
      </c>
      <c r="H566" s="155" t="s">
        <v>200</v>
      </c>
      <c r="I566" s="155" t="s">
        <v>218</v>
      </c>
      <c r="J566" s="155" t="s">
        <v>267</v>
      </c>
      <c r="K566" s="155" t="s">
        <v>200</v>
      </c>
      <c r="L566" s="155" t="s">
        <v>1223</v>
      </c>
      <c r="M566" s="155" t="s">
        <v>1224</v>
      </c>
      <c r="N566" s="155" t="s">
        <v>232</v>
      </c>
      <c r="O566" s="256" t="s">
        <v>207</v>
      </c>
      <c r="P566" s="90"/>
      <c r="Q566" s="140" t="s">
        <v>207</v>
      </c>
      <c r="R566" s="90"/>
      <c r="S566" s="140" t="s">
        <v>207</v>
      </c>
      <c r="T566" s="90"/>
      <c r="U566" s="140" t="s">
        <v>207</v>
      </c>
      <c r="V566" s="90"/>
      <c r="W566" s="140" t="s">
        <v>207</v>
      </c>
      <c r="X566" s="90"/>
      <c r="Y566" s="140" t="s">
        <v>77</v>
      </c>
      <c r="Z566" s="90"/>
      <c r="AA566" s="140" t="s">
        <v>207</v>
      </c>
      <c r="AB566" s="90"/>
      <c r="AC566" s="140" t="s">
        <v>207</v>
      </c>
      <c r="AD566" s="90"/>
      <c r="AE566" s="140" t="s">
        <v>207</v>
      </c>
      <c r="AF566" s="178" t="str">
        <f t="shared" si="24"/>
        <v>C</v>
      </c>
      <c r="AG566" s="52" t="str">
        <f t="shared" si="25"/>
        <v>UTILIZOU O PDA CORRETAMENTE</v>
      </c>
      <c r="AH566" s="140" t="s">
        <v>207</v>
      </c>
      <c r="AI566" s="182" t="s">
        <v>36</v>
      </c>
      <c r="AJ566" s="93" t="str">
        <f t="shared" si="26"/>
        <v>SÃO PAULO</v>
      </c>
      <c r="AK566" s="183" t="s">
        <v>54</v>
      </c>
    </row>
    <row r="567" spans="1:37" ht="30" customHeight="1">
      <c r="A567" s="161" t="s">
        <v>198</v>
      </c>
      <c r="B567" s="155">
        <v>2693653056</v>
      </c>
      <c r="C567" s="155" t="s">
        <v>117</v>
      </c>
      <c r="D567" s="155" t="s">
        <v>96</v>
      </c>
      <c r="E567" s="155" t="s">
        <v>35</v>
      </c>
      <c r="F567" s="155" t="s">
        <v>1225</v>
      </c>
      <c r="G567" s="155">
        <v>2</v>
      </c>
      <c r="H567" s="155" t="s">
        <v>200</v>
      </c>
      <c r="I567" s="155" t="s">
        <v>497</v>
      </c>
      <c r="J567" s="155" t="s">
        <v>301</v>
      </c>
      <c r="K567" s="155" t="s">
        <v>588</v>
      </c>
      <c r="L567" s="155" t="s">
        <v>1226</v>
      </c>
      <c r="M567" s="155" t="s">
        <v>1227</v>
      </c>
      <c r="N567" s="155" t="s">
        <v>331</v>
      </c>
      <c r="O567" s="256" t="s">
        <v>207</v>
      </c>
      <c r="P567" s="90"/>
      <c r="Q567" s="140" t="s">
        <v>207</v>
      </c>
      <c r="R567" s="90"/>
      <c r="S567" s="140" t="s">
        <v>207</v>
      </c>
      <c r="T567" s="90"/>
      <c r="U567" s="140" t="s">
        <v>207</v>
      </c>
      <c r="V567" s="90"/>
      <c r="W567" s="140" t="s">
        <v>207</v>
      </c>
      <c r="X567" s="90"/>
      <c r="Y567" s="140" t="s">
        <v>77</v>
      </c>
      <c r="Z567" s="90"/>
      <c r="AA567" s="140" t="s">
        <v>207</v>
      </c>
      <c r="AB567" s="90"/>
      <c r="AC567" s="140" t="s">
        <v>207</v>
      </c>
      <c r="AD567" s="90"/>
      <c r="AE567" s="140" t="s">
        <v>207</v>
      </c>
      <c r="AF567" s="178" t="str">
        <f t="shared" si="24"/>
        <v>C</v>
      </c>
      <c r="AG567" s="52" t="str">
        <f t="shared" si="25"/>
        <v>UTILIZOU O PDA CORRETAMENTE</v>
      </c>
      <c r="AH567" s="140" t="s">
        <v>207</v>
      </c>
      <c r="AI567" s="182" t="s">
        <v>36</v>
      </c>
      <c r="AJ567" s="93" t="str">
        <f t="shared" si="26"/>
        <v>SÃO PAULO</v>
      </c>
      <c r="AK567" s="183" t="s">
        <v>54</v>
      </c>
    </row>
    <row r="568" spans="1:37" ht="30" customHeight="1">
      <c r="A568" s="161" t="s">
        <v>198</v>
      </c>
      <c r="B568" s="155">
        <v>2621043754</v>
      </c>
      <c r="C568" s="155" t="s">
        <v>120</v>
      </c>
      <c r="D568" s="155" t="s">
        <v>96</v>
      </c>
      <c r="E568" s="155" t="s">
        <v>35</v>
      </c>
      <c r="F568" s="155" t="s">
        <v>1228</v>
      </c>
      <c r="G568" s="155">
        <v>147</v>
      </c>
      <c r="H568" s="155" t="s">
        <v>200</v>
      </c>
      <c r="I568" s="155" t="s">
        <v>314</v>
      </c>
      <c r="J568" s="155" t="s">
        <v>202</v>
      </c>
      <c r="K568" s="155" t="s">
        <v>588</v>
      </c>
      <c r="L568" s="155" t="s">
        <v>1229</v>
      </c>
      <c r="M568" s="155" t="s">
        <v>1230</v>
      </c>
      <c r="N568" s="155" t="s">
        <v>331</v>
      </c>
      <c r="O568" s="256" t="s">
        <v>207</v>
      </c>
      <c r="P568" s="90"/>
      <c r="Q568" s="140" t="s">
        <v>207</v>
      </c>
      <c r="R568" s="90"/>
      <c r="S568" s="140" t="s">
        <v>207</v>
      </c>
      <c r="T568" s="90"/>
      <c r="U568" s="140" t="s">
        <v>207</v>
      </c>
      <c r="V568" s="90"/>
      <c r="W568" s="140" t="s">
        <v>207</v>
      </c>
      <c r="X568" s="90"/>
      <c r="Y568" s="140" t="s">
        <v>77</v>
      </c>
      <c r="Z568" s="90"/>
      <c r="AA568" s="140" t="s">
        <v>207</v>
      </c>
      <c r="AB568" s="90"/>
      <c r="AC568" s="140" t="s">
        <v>207</v>
      </c>
      <c r="AD568" s="90"/>
      <c r="AE568" s="140" t="s">
        <v>207</v>
      </c>
      <c r="AF568" s="178" t="str">
        <f t="shared" si="24"/>
        <v>C</v>
      </c>
      <c r="AG568" s="52" t="str">
        <f t="shared" si="25"/>
        <v>UTILIZOU O PDA CORRETAMENTE</v>
      </c>
      <c r="AH568" s="140" t="s">
        <v>207</v>
      </c>
      <c r="AI568" s="182" t="s">
        <v>36</v>
      </c>
      <c r="AJ568" s="93" t="str">
        <f t="shared" si="26"/>
        <v>SÃO PAULO</v>
      </c>
      <c r="AK568" s="183" t="s">
        <v>54</v>
      </c>
    </row>
    <row r="569" spans="1:37" ht="30" customHeight="1">
      <c r="A569" s="208" t="s">
        <v>198</v>
      </c>
      <c r="B569" s="209">
        <v>2620852377</v>
      </c>
      <c r="C569" s="209" t="s">
        <v>116</v>
      </c>
      <c r="D569" s="209" t="s">
        <v>94</v>
      </c>
      <c r="E569" s="209" t="s">
        <v>35</v>
      </c>
      <c r="F569" s="209" t="s">
        <v>628</v>
      </c>
      <c r="G569" s="209">
        <v>22</v>
      </c>
      <c r="H569" s="209" t="s">
        <v>208</v>
      </c>
      <c r="I569" s="209" t="s">
        <v>248</v>
      </c>
      <c r="J569" s="209" t="s">
        <v>221</v>
      </c>
      <c r="K569" s="209" t="s">
        <v>200</v>
      </c>
      <c r="L569" s="209" t="s">
        <v>1231</v>
      </c>
      <c r="M569" s="209" t="s">
        <v>1232</v>
      </c>
      <c r="N569" s="209" t="s">
        <v>288</v>
      </c>
      <c r="O569" s="256" t="s">
        <v>207</v>
      </c>
      <c r="P569" s="90"/>
      <c r="Q569" s="140" t="s">
        <v>207</v>
      </c>
      <c r="R569" s="90"/>
      <c r="S569" s="140" t="s">
        <v>207</v>
      </c>
      <c r="T569" s="90"/>
      <c r="U569" s="140" t="s">
        <v>207</v>
      </c>
      <c r="V569" s="90"/>
      <c r="W569" s="140" t="s">
        <v>207</v>
      </c>
      <c r="X569" s="90"/>
      <c r="Y569" s="140" t="s">
        <v>207</v>
      </c>
      <c r="Z569" s="90"/>
      <c r="AA569" s="140" t="s">
        <v>207</v>
      </c>
      <c r="AB569" s="90"/>
      <c r="AC569" s="140" t="s">
        <v>207</v>
      </c>
      <c r="AD569" s="90"/>
      <c r="AE569" s="140" t="s">
        <v>207</v>
      </c>
      <c r="AF569" s="178" t="str">
        <f t="shared" si="24"/>
        <v>C</v>
      </c>
      <c r="AG569" s="52" t="str">
        <f t="shared" si="25"/>
        <v>UTILIZOU O PDA CORRETAMENTE</v>
      </c>
      <c r="AH569" s="140" t="s">
        <v>207</v>
      </c>
      <c r="AI569" s="182" t="s">
        <v>36</v>
      </c>
      <c r="AJ569" s="93" t="str">
        <f t="shared" si="26"/>
        <v>SÃO PAULO</v>
      </c>
      <c r="AK569" s="183" t="s">
        <v>54</v>
      </c>
    </row>
    <row r="570" spans="1:37" ht="30" customHeight="1">
      <c r="A570" s="161" t="s">
        <v>198</v>
      </c>
      <c r="B570" s="155">
        <v>2620808399</v>
      </c>
      <c r="C570" s="155" t="s">
        <v>101</v>
      </c>
      <c r="D570" s="155" t="s">
        <v>92</v>
      </c>
      <c r="E570" s="155" t="s">
        <v>35</v>
      </c>
      <c r="F570" s="155" t="s">
        <v>1233</v>
      </c>
      <c r="G570" s="155">
        <v>70</v>
      </c>
      <c r="H570" s="155" t="s">
        <v>200</v>
      </c>
      <c r="I570" s="155" t="s">
        <v>440</v>
      </c>
      <c r="J570" s="155" t="s">
        <v>101</v>
      </c>
      <c r="K570" s="209" t="s">
        <v>200</v>
      </c>
      <c r="L570" s="209" t="s">
        <v>1234</v>
      </c>
      <c r="M570" s="209" t="s">
        <v>1235</v>
      </c>
      <c r="N570" s="209" t="s">
        <v>213</v>
      </c>
      <c r="O570" s="140" t="s">
        <v>215</v>
      </c>
      <c r="P570" s="90"/>
      <c r="Q570" s="140" t="s">
        <v>215</v>
      </c>
      <c r="R570" s="90"/>
      <c r="S570" s="140" t="s">
        <v>215</v>
      </c>
      <c r="T570" s="90"/>
      <c r="U570" s="140" t="s">
        <v>215</v>
      </c>
      <c r="V570" s="90"/>
      <c r="W570" s="140" t="s">
        <v>215</v>
      </c>
      <c r="X570" s="90"/>
      <c r="Y570" s="140" t="s">
        <v>215</v>
      </c>
      <c r="Z570" s="90"/>
      <c r="AA570" s="140" t="s">
        <v>215</v>
      </c>
      <c r="AB570" s="90"/>
      <c r="AC570" s="140" t="s">
        <v>215</v>
      </c>
      <c r="AD570" s="90"/>
      <c r="AE570" s="140" t="s">
        <v>215</v>
      </c>
      <c r="AF570" s="178" t="str">
        <f t="shared" si="24"/>
        <v>NC</v>
      </c>
      <c r="AG570" s="52" t="s">
        <v>227</v>
      </c>
      <c r="AH570" s="140" t="s">
        <v>207</v>
      </c>
      <c r="AI570" s="182" t="s">
        <v>36</v>
      </c>
      <c r="AJ570" s="93" t="str">
        <f t="shared" si="26"/>
        <v>SÃO PAULO</v>
      </c>
      <c r="AK570" s="183" t="s">
        <v>54</v>
      </c>
    </row>
    <row r="571" spans="1:37" ht="30" customHeight="1">
      <c r="A571" s="161" t="s">
        <v>198</v>
      </c>
      <c r="B571" s="155">
        <v>2620371932</v>
      </c>
      <c r="C571" s="155" t="s">
        <v>101</v>
      </c>
      <c r="D571" s="155" t="s">
        <v>92</v>
      </c>
      <c r="E571" s="155" t="s">
        <v>35</v>
      </c>
      <c r="F571" s="155" t="s">
        <v>1236</v>
      </c>
      <c r="G571" s="155">
        <v>66</v>
      </c>
      <c r="H571" s="155" t="s">
        <v>200</v>
      </c>
      <c r="I571" s="155" t="s">
        <v>392</v>
      </c>
      <c r="J571" s="155" t="s">
        <v>101</v>
      </c>
      <c r="K571" s="209" t="s">
        <v>200</v>
      </c>
      <c r="L571" s="209" t="s">
        <v>1237</v>
      </c>
      <c r="M571" s="209" t="s">
        <v>1238</v>
      </c>
      <c r="N571" s="209" t="s">
        <v>213</v>
      </c>
      <c r="O571" s="140" t="s">
        <v>207</v>
      </c>
      <c r="P571" s="90"/>
      <c r="Q571" s="140" t="s">
        <v>207</v>
      </c>
      <c r="R571" s="90"/>
      <c r="S571" s="140" t="s">
        <v>77</v>
      </c>
      <c r="T571" s="90"/>
      <c r="U571" s="140" t="s">
        <v>77</v>
      </c>
      <c r="V571" s="90"/>
      <c r="W571" s="140" t="s">
        <v>77</v>
      </c>
      <c r="X571" s="90"/>
      <c r="Y571" s="140" t="s">
        <v>77</v>
      </c>
      <c r="Z571" s="90"/>
      <c r="AA571" s="140" t="s">
        <v>77</v>
      </c>
      <c r="AB571" s="90"/>
      <c r="AC571" s="140" t="s">
        <v>207</v>
      </c>
      <c r="AD571" s="90"/>
      <c r="AE571" s="140" t="s">
        <v>207</v>
      </c>
      <c r="AF571" s="178" t="str">
        <f t="shared" si="24"/>
        <v>C</v>
      </c>
      <c r="AG571" s="52" t="str">
        <f t="shared" si="25"/>
        <v>UTILIZOU O PDA CORRETAMENTE</v>
      </c>
      <c r="AH571" s="140" t="s">
        <v>207</v>
      </c>
      <c r="AI571" s="182" t="s">
        <v>36</v>
      </c>
      <c r="AJ571" s="93" t="str">
        <f t="shared" si="26"/>
        <v>SÃO PAULO</v>
      </c>
      <c r="AK571" s="183" t="s">
        <v>54</v>
      </c>
    </row>
    <row r="572" spans="1:37" ht="30" customHeight="1">
      <c r="A572" s="161" t="s">
        <v>198</v>
      </c>
      <c r="B572" s="155">
        <v>2620791849</v>
      </c>
      <c r="C572" s="155" t="s">
        <v>120</v>
      </c>
      <c r="D572" s="155" t="s">
        <v>96</v>
      </c>
      <c r="E572" s="155" t="s">
        <v>35</v>
      </c>
      <c r="F572" s="155" t="s">
        <v>1239</v>
      </c>
      <c r="G572" s="155">
        <v>19</v>
      </c>
      <c r="H572" s="155" t="s">
        <v>200</v>
      </c>
      <c r="I572" s="155" t="s">
        <v>433</v>
      </c>
      <c r="J572" s="155" t="s">
        <v>574</v>
      </c>
      <c r="K572" s="155" t="s">
        <v>1240</v>
      </c>
      <c r="L572" s="155" t="s">
        <v>1241</v>
      </c>
      <c r="M572" s="155" t="s">
        <v>1242</v>
      </c>
      <c r="N572" s="155" t="s">
        <v>288</v>
      </c>
      <c r="O572" s="256" t="s">
        <v>207</v>
      </c>
      <c r="P572" s="90"/>
      <c r="Q572" s="140" t="s">
        <v>207</v>
      </c>
      <c r="R572" s="90"/>
      <c r="S572" s="140" t="s">
        <v>207</v>
      </c>
      <c r="T572" s="90"/>
      <c r="U572" s="140" t="s">
        <v>207</v>
      </c>
      <c r="V572" s="90"/>
      <c r="W572" s="140" t="s">
        <v>207</v>
      </c>
      <c r="X572" s="90"/>
      <c r="Y572" s="140" t="s">
        <v>77</v>
      </c>
      <c r="Z572" s="90"/>
      <c r="AA572" s="140" t="s">
        <v>207</v>
      </c>
      <c r="AB572" s="90"/>
      <c r="AC572" s="140" t="s">
        <v>207</v>
      </c>
      <c r="AD572" s="90"/>
      <c r="AE572" s="140" t="s">
        <v>207</v>
      </c>
      <c r="AF572" s="178" t="str">
        <f t="shared" si="24"/>
        <v>C</v>
      </c>
      <c r="AG572" s="52" t="str">
        <f t="shared" si="25"/>
        <v>UTILIZOU O PDA CORRETAMENTE</v>
      </c>
      <c r="AH572" s="140" t="s">
        <v>207</v>
      </c>
      <c r="AI572" s="182" t="s">
        <v>36</v>
      </c>
      <c r="AJ572" s="93" t="str">
        <f t="shared" si="26"/>
        <v>SÃO PAULO</v>
      </c>
      <c r="AK572" s="183" t="s">
        <v>54</v>
      </c>
    </row>
    <row r="573" spans="1:37" ht="30" customHeight="1">
      <c r="A573" s="208" t="s">
        <v>198</v>
      </c>
      <c r="B573" s="209">
        <v>2620791624</v>
      </c>
      <c r="C573" s="209" t="s">
        <v>116</v>
      </c>
      <c r="D573" s="209" t="s">
        <v>94</v>
      </c>
      <c r="E573" s="209" t="s">
        <v>35</v>
      </c>
      <c r="F573" s="209" t="s">
        <v>594</v>
      </c>
      <c r="G573" s="209">
        <v>11</v>
      </c>
      <c r="H573" s="209" t="s">
        <v>200</v>
      </c>
      <c r="I573" s="209" t="s">
        <v>256</v>
      </c>
      <c r="J573" s="209" t="s">
        <v>221</v>
      </c>
      <c r="K573" s="209" t="s">
        <v>200</v>
      </c>
      <c r="L573" s="209" t="s">
        <v>1243</v>
      </c>
      <c r="M573" s="209" t="s">
        <v>1244</v>
      </c>
      <c r="N573" s="209" t="s">
        <v>345</v>
      </c>
      <c r="O573" s="256" t="s">
        <v>207</v>
      </c>
      <c r="P573" s="90"/>
      <c r="Q573" s="140" t="s">
        <v>207</v>
      </c>
      <c r="R573" s="90"/>
      <c r="S573" s="140" t="s">
        <v>207</v>
      </c>
      <c r="T573" s="90"/>
      <c r="U573" s="140" t="s">
        <v>207</v>
      </c>
      <c r="V573" s="90"/>
      <c r="W573" s="140" t="s">
        <v>207</v>
      </c>
      <c r="X573" s="90"/>
      <c r="Y573" s="140" t="s">
        <v>207</v>
      </c>
      <c r="Z573" s="90"/>
      <c r="AA573" s="140" t="s">
        <v>207</v>
      </c>
      <c r="AB573" s="90"/>
      <c r="AC573" s="140" t="s">
        <v>207</v>
      </c>
      <c r="AD573" s="90"/>
      <c r="AE573" s="140" t="s">
        <v>207</v>
      </c>
      <c r="AF573" s="178" t="str">
        <f t="shared" si="24"/>
        <v>C</v>
      </c>
      <c r="AG573" s="52" t="str">
        <f t="shared" si="25"/>
        <v>UTILIZOU O PDA CORRETAMENTE</v>
      </c>
      <c r="AH573" s="140" t="s">
        <v>207</v>
      </c>
      <c r="AI573" s="182" t="s">
        <v>36</v>
      </c>
      <c r="AJ573" s="93" t="str">
        <f t="shared" si="26"/>
        <v>SÃO PAULO</v>
      </c>
      <c r="AK573" s="183" t="s">
        <v>54</v>
      </c>
    </row>
    <row r="574" spans="1:37" ht="30" customHeight="1">
      <c r="A574" s="161" t="s">
        <v>198</v>
      </c>
      <c r="B574" s="155">
        <v>2621057033</v>
      </c>
      <c r="C574" s="155" t="s">
        <v>120</v>
      </c>
      <c r="D574" s="155" t="s">
        <v>96</v>
      </c>
      <c r="E574" s="155" t="s">
        <v>35</v>
      </c>
      <c r="F574" s="155" t="s">
        <v>594</v>
      </c>
      <c r="G574" s="155">
        <v>12</v>
      </c>
      <c r="H574" s="155" t="s">
        <v>205</v>
      </c>
      <c r="I574" s="155" t="s">
        <v>256</v>
      </c>
      <c r="J574" s="155" t="s">
        <v>336</v>
      </c>
      <c r="K574" s="155" t="s">
        <v>1245</v>
      </c>
      <c r="L574" s="155" t="s">
        <v>1246</v>
      </c>
      <c r="M574" s="155" t="s">
        <v>1247</v>
      </c>
      <c r="N574" s="155" t="s">
        <v>345</v>
      </c>
      <c r="O574" s="256" t="s">
        <v>207</v>
      </c>
      <c r="P574" s="90"/>
      <c r="Q574" s="140" t="s">
        <v>207</v>
      </c>
      <c r="R574" s="90"/>
      <c r="S574" s="140" t="s">
        <v>207</v>
      </c>
      <c r="T574" s="90"/>
      <c r="U574" s="140" t="s">
        <v>207</v>
      </c>
      <c r="V574" s="90"/>
      <c r="W574" s="140" t="s">
        <v>207</v>
      </c>
      <c r="X574" s="90"/>
      <c r="Y574" s="140" t="s">
        <v>77</v>
      </c>
      <c r="Z574" s="90"/>
      <c r="AA574" s="140" t="s">
        <v>207</v>
      </c>
      <c r="AB574" s="90"/>
      <c r="AC574" s="140" t="s">
        <v>207</v>
      </c>
      <c r="AD574" s="90"/>
      <c r="AE574" s="140" t="s">
        <v>207</v>
      </c>
      <c r="AF574" s="178" t="str">
        <f t="shared" si="24"/>
        <v>C</v>
      </c>
      <c r="AG574" s="52" t="str">
        <f t="shared" si="25"/>
        <v>UTILIZOU O PDA CORRETAMENTE</v>
      </c>
      <c r="AH574" s="140" t="s">
        <v>207</v>
      </c>
      <c r="AI574" s="182" t="s">
        <v>36</v>
      </c>
      <c r="AJ574" s="93" t="str">
        <f t="shared" si="26"/>
        <v>SÃO PAULO</v>
      </c>
      <c r="AK574" s="183" t="s">
        <v>54</v>
      </c>
    </row>
    <row r="575" spans="1:37" ht="30" customHeight="1">
      <c r="A575" s="208" t="s">
        <v>198</v>
      </c>
      <c r="B575" s="209">
        <v>2621058443</v>
      </c>
      <c r="C575" s="209" t="s">
        <v>116</v>
      </c>
      <c r="D575" s="209" t="s">
        <v>94</v>
      </c>
      <c r="E575" s="209" t="s">
        <v>35</v>
      </c>
      <c r="F575" s="209" t="s">
        <v>1248</v>
      </c>
      <c r="G575" s="209">
        <v>73</v>
      </c>
      <c r="H575" s="209" t="s">
        <v>200</v>
      </c>
      <c r="I575" s="209" t="s">
        <v>308</v>
      </c>
      <c r="J575" s="209" t="s">
        <v>221</v>
      </c>
      <c r="K575" s="209" t="s">
        <v>200</v>
      </c>
      <c r="L575" s="209" t="s">
        <v>1249</v>
      </c>
      <c r="M575" s="209" t="s">
        <v>1250</v>
      </c>
      <c r="N575" s="209" t="s">
        <v>364</v>
      </c>
      <c r="O575" s="256" t="s">
        <v>207</v>
      </c>
      <c r="P575" s="90"/>
      <c r="Q575" s="140" t="s">
        <v>207</v>
      </c>
      <c r="R575" s="90"/>
      <c r="S575" s="140" t="s">
        <v>207</v>
      </c>
      <c r="T575" s="90"/>
      <c r="U575" s="140" t="s">
        <v>207</v>
      </c>
      <c r="V575" s="90"/>
      <c r="W575" s="140" t="s">
        <v>207</v>
      </c>
      <c r="X575" s="90"/>
      <c r="Y575" s="140" t="s">
        <v>207</v>
      </c>
      <c r="Z575" s="90"/>
      <c r="AA575" s="140" t="s">
        <v>207</v>
      </c>
      <c r="AB575" s="90"/>
      <c r="AC575" s="140" t="s">
        <v>207</v>
      </c>
      <c r="AD575" s="90"/>
      <c r="AE575" s="140" t="s">
        <v>207</v>
      </c>
      <c r="AF575" s="178" t="str">
        <f t="shared" si="24"/>
        <v>C</v>
      </c>
      <c r="AG575" s="52" t="str">
        <f t="shared" si="25"/>
        <v>UTILIZOU O PDA CORRETAMENTE</v>
      </c>
      <c r="AH575" s="140" t="s">
        <v>207</v>
      </c>
      <c r="AI575" s="182" t="s">
        <v>36</v>
      </c>
      <c r="AJ575" s="93" t="str">
        <f t="shared" si="26"/>
        <v>SÃO PAULO</v>
      </c>
      <c r="AK575" s="183" t="s">
        <v>54</v>
      </c>
    </row>
    <row r="576" spans="1:37" ht="30" customHeight="1">
      <c r="A576" s="208" t="s">
        <v>198</v>
      </c>
      <c r="B576" s="209">
        <v>2620805449</v>
      </c>
      <c r="C576" s="209" t="s">
        <v>1251</v>
      </c>
      <c r="D576" s="209" t="s">
        <v>95</v>
      </c>
      <c r="E576" s="209" t="s">
        <v>35</v>
      </c>
      <c r="F576" s="209" t="s">
        <v>1168</v>
      </c>
      <c r="G576" s="209">
        <v>28</v>
      </c>
      <c r="H576" s="209" t="s">
        <v>200</v>
      </c>
      <c r="I576" s="209" t="s">
        <v>319</v>
      </c>
      <c r="J576" s="209" t="s">
        <v>1252</v>
      </c>
      <c r="K576" s="209" t="s">
        <v>200</v>
      </c>
      <c r="L576" s="209" t="s">
        <v>1253</v>
      </c>
      <c r="M576" s="209" t="s">
        <v>1254</v>
      </c>
      <c r="N576" s="209" t="s">
        <v>203</v>
      </c>
      <c r="O576" s="140" t="s">
        <v>207</v>
      </c>
      <c r="P576" s="90"/>
      <c r="Q576" s="140" t="s">
        <v>207</v>
      </c>
      <c r="R576" s="90"/>
      <c r="S576" s="140" t="s">
        <v>77</v>
      </c>
      <c r="T576" s="90"/>
      <c r="U576" s="140" t="s">
        <v>77</v>
      </c>
      <c r="V576" s="90"/>
      <c r="W576" s="140" t="s">
        <v>77</v>
      </c>
      <c r="X576" s="90"/>
      <c r="Y576" s="140" t="s">
        <v>77</v>
      </c>
      <c r="Z576" s="90"/>
      <c r="AA576" s="140" t="s">
        <v>77</v>
      </c>
      <c r="AB576" s="90"/>
      <c r="AC576" s="140" t="s">
        <v>215</v>
      </c>
      <c r="AD576" s="90" t="s">
        <v>532</v>
      </c>
      <c r="AE576" s="140" t="s">
        <v>207</v>
      </c>
      <c r="AF576" s="178" t="str">
        <f t="shared" si="24"/>
        <v>NC</v>
      </c>
      <c r="AG576" s="52" t="str">
        <f t="shared" si="25"/>
        <v>UTILIZOU O PDA CORRETAMENTE. NÃO HÁ FOTOS DE TODAS AS ETAPAS</v>
      </c>
      <c r="AH576" s="140" t="s">
        <v>207</v>
      </c>
      <c r="AI576" s="182" t="s">
        <v>36</v>
      </c>
      <c r="AJ576" s="93" t="str">
        <f t="shared" si="26"/>
        <v>SÃO PAULO</v>
      </c>
      <c r="AK576" s="183" t="s">
        <v>54</v>
      </c>
    </row>
    <row r="577" spans="1:37" ht="30" customHeight="1">
      <c r="A577" s="161" t="s">
        <v>198</v>
      </c>
      <c r="B577" s="155">
        <v>2620365338</v>
      </c>
      <c r="C577" s="155" t="s">
        <v>102</v>
      </c>
      <c r="D577" s="155" t="s">
        <v>95</v>
      </c>
      <c r="E577" s="155" t="s">
        <v>35</v>
      </c>
      <c r="F577" s="155" t="s">
        <v>823</v>
      </c>
      <c r="G577" s="155">
        <v>27</v>
      </c>
      <c r="H577" s="155" t="s">
        <v>208</v>
      </c>
      <c r="I577" s="155" t="s">
        <v>359</v>
      </c>
      <c r="J577" s="155" t="s">
        <v>427</v>
      </c>
      <c r="K577" s="155" t="s">
        <v>200</v>
      </c>
      <c r="L577" s="155" t="s">
        <v>1255</v>
      </c>
      <c r="M577" s="155" t="s">
        <v>1256</v>
      </c>
      <c r="N577" s="155" t="s">
        <v>203</v>
      </c>
      <c r="O577" s="140" t="s">
        <v>207</v>
      </c>
      <c r="P577" s="90"/>
      <c r="Q577" s="140" t="s">
        <v>207</v>
      </c>
      <c r="R577" s="90"/>
      <c r="S577" s="140" t="s">
        <v>77</v>
      </c>
      <c r="T577" s="90"/>
      <c r="U577" s="140" t="s">
        <v>77</v>
      </c>
      <c r="V577" s="90"/>
      <c r="W577" s="140" t="s">
        <v>77</v>
      </c>
      <c r="X577" s="90"/>
      <c r="Y577" s="140" t="s">
        <v>77</v>
      </c>
      <c r="Z577" s="90"/>
      <c r="AA577" s="140" t="s">
        <v>77</v>
      </c>
      <c r="AB577" s="90"/>
      <c r="AC577" s="140" t="s">
        <v>207</v>
      </c>
      <c r="AD577" s="90"/>
      <c r="AE577" s="140" t="s">
        <v>207</v>
      </c>
      <c r="AF577" s="178" t="str">
        <f t="shared" si="24"/>
        <v>C</v>
      </c>
      <c r="AG577" s="52" t="str">
        <f t="shared" si="25"/>
        <v>UTILIZOU O PDA CORRETAMENTE</v>
      </c>
      <c r="AH577" s="140" t="s">
        <v>207</v>
      </c>
      <c r="AI577" s="182" t="s">
        <v>36</v>
      </c>
      <c r="AJ577" s="93" t="str">
        <f t="shared" si="26"/>
        <v>SÃO PAULO</v>
      </c>
      <c r="AK577" s="183" t="s">
        <v>54</v>
      </c>
    </row>
    <row r="578" spans="1:37" ht="30" customHeight="1">
      <c r="A578" s="208" t="s">
        <v>198</v>
      </c>
      <c r="B578" s="209">
        <v>2621055271</v>
      </c>
      <c r="C578" s="209" t="s">
        <v>115</v>
      </c>
      <c r="D578" s="209" t="s">
        <v>96</v>
      </c>
      <c r="E578" s="209" t="s">
        <v>35</v>
      </c>
      <c r="F578" s="209" t="s">
        <v>796</v>
      </c>
      <c r="G578" s="209">
        <v>1018</v>
      </c>
      <c r="H578" s="209" t="s">
        <v>208</v>
      </c>
      <c r="I578" s="209" t="s">
        <v>433</v>
      </c>
      <c r="J578" s="209" t="s">
        <v>268</v>
      </c>
      <c r="K578" s="209" t="s">
        <v>200</v>
      </c>
      <c r="L578" s="209" t="s">
        <v>1257</v>
      </c>
      <c r="M578" s="209" t="s">
        <v>1258</v>
      </c>
      <c r="N578" s="209" t="s">
        <v>274</v>
      </c>
      <c r="O578" s="256" t="s">
        <v>207</v>
      </c>
      <c r="P578" s="90"/>
      <c r="Q578" s="140" t="s">
        <v>207</v>
      </c>
      <c r="R578" s="90"/>
      <c r="S578" s="140" t="s">
        <v>207</v>
      </c>
      <c r="T578" s="90"/>
      <c r="U578" s="140" t="s">
        <v>207</v>
      </c>
      <c r="V578" s="90"/>
      <c r="W578" s="140" t="s">
        <v>207</v>
      </c>
      <c r="X578" s="90"/>
      <c r="Y578" s="140" t="s">
        <v>207</v>
      </c>
      <c r="Z578" s="90"/>
      <c r="AA578" s="140" t="s">
        <v>207</v>
      </c>
      <c r="AB578" s="90"/>
      <c r="AC578" s="140" t="s">
        <v>207</v>
      </c>
      <c r="AD578" s="90"/>
      <c r="AE578" s="140" t="s">
        <v>207</v>
      </c>
      <c r="AF578" s="178" t="str">
        <f t="shared" si="24"/>
        <v>C</v>
      </c>
      <c r="AG578" s="52" t="str">
        <f t="shared" si="25"/>
        <v>UTILIZOU O PDA CORRETAMENTE</v>
      </c>
      <c r="AH578" s="140" t="s">
        <v>207</v>
      </c>
      <c r="AI578" s="182" t="s">
        <v>36</v>
      </c>
      <c r="AJ578" s="93" t="str">
        <f t="shared" si="26"/>
        <v>SÃO PAULO</v>
      </c>
      <c r="AK578" s="183" t="s">
        <v>54</v>
      </c>
    </row>
    <row r="579" spans="1:37" ht="30" customHeight="1">
      <c r="A579" s="161" t="s">
        <v>198</v>
      </c>
      <c r="B579" s="155">
        <v>2621052537</v>
      </c>
      <c r="C579" s="155" t="s">
        <v>118</v>
      </c>
      <c r="D579" s="155" t="s">
        <v>96</v>
      </c>
      <c r="E579" s="155" t="s">
        <v>35</v>
      </c>
      <c r="F579" s="155" t="s">
        <v>1259</v>
      </c>
      <c r="G579" s="155">
        <v>172</v>
      </c>
      <c r="H579" s="155" t="s">
        <v>208</v>
      </c>
      <c r="I579" s="155" t="s">
        <v>1260</v>
      </c>
      <c r="J579" s="155" t="s">
        <v>260</v>
      </c>
      <c r="K579" s="155" t="s">
        <v>200</v>
      </c>
      <c r="L579" s="155" t="s">
        <v>1261</v>
      </c>
      <c r="M579" s="155" t="s">
        <v>1262</v>
      </c>
      <c r="N579" s="155" t="s">
        <v>295</v>
      </c>
      <c r="O579" s="256" t="s">
        <v>207</v>
      </c>
      <c r="P579" s="90"/>
      <c r="Q579" s="140" t="s">
        <v>207</v>
      </c>
      <c r="R579" s="90"/>
      <c r="S579" s="140" t="s">
        <v>207</v>
      </c>
      <c r="T579" s="90"/>
      <c r="U579" s="140" t="s">
        <v>207</v>
      </c>
      <c r="V579" s="90"/>
      <c r="W579" s="140" t="s">
        <v>207</v>
      </c>
      <c r="X579" s="90"/>
      <c r="Y579" s="140" t="s">
        <v>77</v>
      </c>
      <c r="Z579" s="90"/>
      <c r="AA579" s="140" t="s">
        <v>207</v>
      </c>
      <c r="AB579" s="90"/>
      <c r="AC579" s="140" t="s">
        <v>207</v>
      </c>
      <c r="AD579" s="90"/>
      <c r="AE579" s="140" t="s">
        <v>207</v>
      </c>
      <c r="AF579" s="178" t="str">
        <f t="shared" ref="AF579:AF624" si="27">IF(AND(O579="",Q579="",S579="",U579="",W579="",Y579="",AA579="",AC579=""),"",IF(OR(AND(O579&lt;&gt;"NA",O579&lt;&gt;"C",O579&lt;&gt;"NC",O579&lt;&gt;"SF",O579&lt;&gt;""),AND(Q579&lt;&gt;"NA",Q579&lt;&gt;"C",Q579&lt;&gt;"NC",Q579&lt;&gt;"SF",Q579&lt;&gt;""),AND(S579&lt;&gt;"NA",S579&lt;&gt;"C",S579&lt;&gt;"NC",S579&lt;&gt;"SF",S579&lt;&gt;""),AND(U579&lt;&gt;"NA",U579&lt;&gt;"C",U579&lt;&gt;"NC",U579&lt;&gt;"SF",U579&lt;&gt;""),AND(W579&lt;&gt;"NA",W579&lt;&gt;"C",W579&lt;&gt;"NC",W579&lt;&gt;"SF",W579&lt;&gt;""),AND(Y579&lt;&gt;"NA",Y579&lt;&gt;"C",Y579&lt;&gt;"NC",Y579&lt;&gt;"SF",Y579&lt;&gt;""),AND(AA579&lt;&gt;"NA",AA579&lt;&gt;"C",AA579&lt;&gt;"NC",AA579&lt;&gt;"SF",AA579&lt;&gt;""),AND(AC579&lt;&gt;"NA",AC579&lt;&gt;"C",AC579&lt;&gt;"NC",AC579&lt;&gt;"SF",AC579&lt;&gt;"")),"FALSO",IF(AND(O579="NA",Q579="NA",S579="NA",U579="NA",W579="NA",Y579="NA",AA579="NA",AC579="NA"),"NA",IF(OR(O579="NC",Q579="NC",S579="NC",U579="NC",W579="NC",Y579="NC",AA579="NC",AC579="NC",O579="SF",Q579="SF",S579="SF",U579="SF",W579="SF",Y579="SF",AA579="SF",AC579="SF"),"NC",IF(OR(O579="C",Q579="C",S579="C",U579="C",W579="C",Y579="C",AA579="C",AC579="C"),"C","")))))</f>
        <v>C</v>
      </c>
      <c r="AG579" s="52" t="str">
        <f t="shared" ref="AG579:AG642" si="28">IF(AND(AE579="C",AF579="C"),"UTILIZOU O PDA CORRETAMENTE",IF(AND(AE579="C",AF579="NC"),"UTILIZOU O PDA CORRETAMENTE. NÃO HÁ FOTOS DE TODAS AS ETAPAS",IF(AND(AE579="NC",AF579="NC"),"NÃO UTILIZOU O PDA",IF(AND(AE579="NA",AF579="NA"),"NÃO AVALIADO POR FALHA DE SINCRONISMO"))))</f>
        <v>UTILIZOU O PDA CORRETAMENTE</v>
      </c>
      <c r="AH579" s="140" t="s">
        <v>207</v>
      </c>
      <c r="AI579" s="182" t="s">
        <v>36</v>
      </c>
      <c r="AJ579" s="93" t="str">
        <f t="shared" ref="AJ579:AJ642" si="29">E579</f>
        <v>SÃO PAULO</v>
      </c>
      <c r="AK579" s="183" t="s">
        <v>54</v>
      </c>
    </row>
    <row r="580" spans="1:37" ht="30" customHeight="1">
      <c r="A580" s="161" t="s">
        <v>198</v>
      </c>
      <c r="B580" s="155">
        <v>2693631259</v>
      </c>
      <c r="C580" s="155" t="s">
        <v>104</v>
      </c>
      <c r="D580" s="155" t="s">
        <v>93</v>
      </c>
      <c r="E580" s="155" t="s">
        <v>35</v>
      </c>
      <c r="F580" s="155" t="s">
        <v>1263</v>
      </c>
      <c r="G580" s="155">
        <v>162</v>
      </c>
      <c r="H580" s="155" t="s">
        <v>208</v>
      </c>
      <c r="I580" s="155" t="s">
        <v>701</v>
      </c>
      <c r="J580" s="155" t="s">
        <v>249</v>
      </c>
      <c r="K580" s="155" t="s">
        <v>1264</v>
      </c>
      <c r="L580" s="155" t="s">
        <v>1265</v>
      </c>
      <c r="M580" s="155" t="s">
        <v>1266</v>
      </c>
      <c r="N580" s="155" t="s">
        <v>323</v>
      </c>
      <c r="O580" s="256" t="s">
        <v>207</v>
      </c>
      <c r="P580" s="90"/>
      <c r="Q580" s="140" t="s">
        <v>207</v>
      </c>
      <c r="R580" s="90"/>
      <c r="S580" s="140" t="s">
        <v>207</v>
      </c>
      <c r="T580" s="90"/>
      <c r="U580" s="140" t="s">
        <v>207</v>
      </c>
      <c r="V580" s="90"/>
      <c r="W580" s="140" t="s">
        <v>207</v>
      </c>
      <c r="X580" s="90"/>
      <c r="Y580" s="140" t="s">
        <v>77</v>
      </c>
      <c r="Z580" s="90"/>
      <c r="AA580" s="140" t="s">
        <v>207</v>
      </c>
      <c r="AB580" s="90"/>
      <c r="AC580" s="140" t="s">
        <v>207</v>
      </c>
      <c r="AD580" s="90"/>
      <c r="AE580" s="140" t="s">
        <v>207</v>
      </c>
      <c r="AF580" s="178" t="str">
        <f t="shared" si="27"/>
        <v>C</v>
      </c>
      <c r="AG580" s="52" t="str">
        <f t="shared" si="28"/>
        <v>UTILIZOU O PDA CORRETAMENTE</v>
      </c>
      <c r="AH580" s="140" t="s">
        <v>207</v>
      </c>
      <c r="AI580" s="182" t="s">
        <v>36</v>
      </c>
      <c r="AJ580" s="93" t="str">
        <f t="shared" si="29"/>
        <v>SÃO PAULO</v>
      </c>
      <c r="AK580" s="183" t="s">
        <v>54</v>
      </c>
    </row>
    <row r="581" spans="1:37" ht="30" customHeight="1">
      <c r="A581" s="161" t="s">
        <v>198</v>
      </c>
      <c r="B581" s="155">
        <v>2693676984</v>
      </c>
      <c r="C581" s="155" t="s">
        <v>119</v>
      </c>
      <c r="D581" s="155" t="s">
        <v>96</v>
      </c>
      <c r="E581" s="155" t="s">
        <v>35</v>
      </c>
      <c r="F581" s="155" t="s">
        <v>552</v>
      </c>
      <c r="G581" s="155">
        <v>25</v>
      </c>
      <c r="H581" s="155" t="s">
        <v>200</v>
      </c>
      <c r="I581" s="155" t="s">
        <v>256</v>
      </c>
      <c r="J581" s="155" t="s">
        <v>301</v>
      </c>
      <c r="K581" s="155" t="s">
        <v>1267</v>
      </c>
      <c r="L581" s="155" t="s">
        <v>1268</v>
      </c>
      <c r="M581" s="155" t="s">
        <v>1269</v>
      </c>
      <c r="N581" s="155" t="s">
        <v>517</v>
      </c>
      <c r="O581" s="256" t="s">
        <v>207</v>
      </c>
      <c r="P581" s="90"/>
      <c r="Q581" s="140" t="s">
        <v>207</v>
      </c>
      <c r="R581" s="90"/>
      <c r="S581" s="140" t="s">
        <v>207</v>
      </c>
      <c r="T581" s="90"/>
      <c r="U581" s="140" t="s">
        <v>207</v>
      </c>
      <c r="V581" s="90"/>
      <c r="W581" s="140" t="s">
        <v>207</v>
      </c>
      <c r="X581" s="90"/>
      <c r="Y581" s="140" t="s">
        <v>77</v>
      </c>
      <c r="Z581" s="90"/>
      <c r="AA581" s="140" t="s">
        <v>207</v>
      </c>
      <c r="AB581" s="90"/>
      <c r="AC581" s="140" t="s">
        <v>207</v>
      </c>
      <c r="AD581" s="90"/>
      <c r="AE581" s="140" t="s">
        <v>207</v>
      </c>
      <c r="AF581" s="178" t="str">
        <f t="shared" si="27"/>
        <v>C</v>
      </c>
      <c r="AG581" s="52" t="str">
        <f t="shared" si="28"/>
        <v>UTILIZOU O PDA CORRETAMENTE</v>
      </c>
      <c r="AH581" s="140" t="s">
        <v>207</v>
      </c>
      <c r="AI581" s="182" t="s">
        <v>36</v>
      </c>
      <c r="AJ581" s="93" t="str">
        <f t="shared" si="29"/>
        <v>SÃO PAULO</v>
      </c>
      <c r="AK581" s="183" t="s">
        <v>54</v>
      </c>
    </row>
    <row r="582" spans="1:37" ht="30" customHeight="1">
      <c r="A582" s="161" t="s">
        <v>198</v>
      </c>
      <c r="B582" s="155">
        <v>2693578716</v>
      </c>
      <c r="C582" s="155" t="s">
        <v>118</v>
      </c>
      <c r="D582" s="155" t="s">
        <v>96</v>
      </c>
      <c r="E582" s="155" t="s">
        <v>35</v>
      </c>
      <c r="F582" s="155" t="s">
        <v>886</v>
      </c>
      <c r="G582" s="155">
        <v>149</v>
      </c>
      <c r="H582" s="155" t="s">
        <v>207</v>
      </c>
      <c r="I582" s="155" t="s">
        <v>515</v>
      </c>
      <c r="J582" s="155" t="s">
        <v>260</v>
      </c>
      <c r="K582" s="155" t="s">
        <v>200</v>
      </c>
      <c r="L582" s="155" t="s">
        <v>1270</v>
      </c>
      <c r="M582" s="155" t="s">
        <v>1271</v>
      </c>
      <c r="N582" s="155" t="s">
        <v>295</v>
      </c>
      <c r="O582" s="256" t="s">
        <v>207</v>
      </c>
      <c r="P582" s="90"/>
      <c r="Q582" s="140" t="s">
        <v>207</v>
      </c>
      <c r="R582" s="90"/>
      <c r="S582" s="140" t="s">
        <v>207</v>
      </c>
      <c r="T582" s="90"/>
      <c r="U582" s="140" t="s">
        <v>207</v>
      </c>
      <c r="V582" s="90"/>
      <c r="W582" s="140" t="s">
        <v>207</v>
      </c>
      <c r="X582" s="90"/>
      <c r="Y582" s="140" t="s">
        <v>77</v>
      </c>
      <c r="Z582" s="90"/>
      <c r="AA582" s="140" t="s">
        <v>207</v>
      </c>
      <c r="AB582" s="90"/>
      <c r="AC582" s="140" t="s">
        <v>207</v>
      </c>
      <c r="AD582" s="90"/>
      <c r="AE582" s="140" t="s">
        <v>207</v>
      </c>
      <c r="AF582" s="178" t="str">
        <f t="shared" si="27"/>
        <v>C</v>
      </c>
      <c r="AG582" s="52" t="str">
        <f t="shared" si="28"/>
        <v>UTILIZOU O PDA CORRETAMENTE</v>
      </c>
      <c r="AH582" s="140" t="s">
        <v>207</v>
      </c>
      <c r="AI582" s="182" t="s">
        <v>36</v>
      </c>
      <c r="AJ582" s="93" t="str">
        <f t="shared" si="29"/>
        <v>SÃO PAULO</v>
      </c>
      <c r="AK582" s="183" t="s">
        <v>54</v>
      </c>
    </row>
    <row r="583" spans="1:37" ht="30" customHeight="1">
      <c r="A583" s="208" t="s">
        <v>198</v>
      </c>
      <c r="B583" s="209">
        <v>2620861661</v>
      </c>
      <c r="C583" s="209" t="s">
        <v>115</v>
      </c>
      <c r="D583" s="209" t="s">
        <v>96</v>
      </c>
      <c r="E583" s="209" t="s">
        <v>35</v>
      </c>
      <c r="F583" s="209" t="s">
        <v>1248</v>
      </c>
      <c r="G583" s="209">
        <v>87</v>
      </c>
      <c r="H583" s="209" t="s">
        <v>200</v>
      </c>
      <c r="I583" s="209" t="s">
        <v>308</v>
      </c>
      <c r="J583" s="209" t="s">
        <v>268</v>
      </c>
      <c r="K583" s="209" t="s">
        <v>200</v>
      </c>
      <c r="L583" s="209" t="s">
        <v>1272</v>
      </c>
      <c r="M583" s="209" t="s">
        <v>1273</v>
      </c>
      <c r="N583" s="209" t="s">
        <v>364</v>
      </c>
      <c r="O583" s="256" t="s">
        <v>207</v>
      </c>
      <c r="P583" s="90"/>
      <c r="Q583" s="140" t="s">
        <v>207</v>
      </c>
      <c r="R583" s="90"/>
      <c r="S583" s="140" t="s">
        <v>207</v>
      </c>
      <c r="T583" s="90"/>
      <c r="U583" s="140" t="s">
        <v>207</v>
      </c>
      <c r="V583" s="90"/>
      <c r="W583" s="140" t="s">
        <v>207</v>
      </c>
      <c r="X583" s="90"/>
      <c r="Y583" s="140" t="s">
        <v>207</v>
      </c>
      <c r="Z583" s="90"/>
      <c r="AA583" s="140" t="s">
        <v>207</v>
      </c>
      <c r="AB583" s="90"/>
      <c r="AC583" s="140" t="s">
        <v>207</v>
      </c>
      <c r="AD583" s="90"/>
      <c r="AE583" s="140" t="s">
        <v>207</v>
      </c>
      <c r="AF583" s="178" t="str">
        <f t="shared" si="27"/>
        <v>C</v>
      </c>
      <c r="AG583" s="52" t="str">
        <f t="shared" si="28"/>
        <v>UTILIZOU O PDA CORRETAMENTE</v>
      </c>
      <c r="AH583" s="140" t="s">
        <v>207</v>
      </c>
      <c r="AI583" s="182" t="s">
        <v>36</v>
      </c>
      <c r="AJ583" s="93" t="str">
        <f t="shared" si="29"/>
        <v>SÃO PAULO</v>
      </c>
      <c r="AK583" s="183" t="s">
        <v>54</v>
      </c>
    </row>
    <row r="584" spans="1:37" ht="30" customHeight="1">
      <c r="A584" s="208" t="s">
        <v>198</v>
      </c>
      <c r="B584" s="209">
        <v>2620874120</v>
      </c>
      <c r="C584" s="209" t="s">
        <v>114</v>
      </c>
      <c r="D584" s="209" t="s">
        <v>96</v>
      </c>
      <c r="E584" s="209" t="s">
        <v>35</v>
      </c>
      <c r="F584" s="209" t="s">
        <v>1017</v>
      </c>
      <c r="G584" s="209">
        <v>183</v>
      </c>
      <c r="H584" s="209" t="s">
        <v>200</v>
      </c>
      <c r="I584" s="209" t="s">
        <v>525</v>
      </c>
      <c r="J584" s="209" t="s">
        <v>260</v>
      </c>
      <c r="K584" s="209" t="s">
        <v>200</v>
      </c>
      <c r="L584" s="209" t="s">
        <v>1274</v>
      </c>
      <c r="M584" s="209" t="s">
        <v>1275</v>
      </c>
      <c r="N584" s="209" t="s">
        <v>364</v>
      </c>
      <c r="O584" s="256" t="s">
        <v>207</v>
      </c>
      <c r="P584" s="90"/>
      <c r="Q584" s="140" t="s">
        <v>207</v>
      </c>
      <c r="R584" s="90"/>
      <c r="S584" s="140" t="s">
        <v>207</v>
      </c>
      <c r="T584" s="90"/>
      <c r="U584" s="140" t="s">
        <v>207</v>
      </c>
      <c r="V584" s="90"/>
      <c r="W584" s="140" t="s">
        <v>207</v>
      </c>
      <c r="X584" s="90"/>
      <c r="Y584" s="140" t="s">
        <v>207</v>
      </c>
      <c r="Z584" s="90"/>
      <c r="AA584" s="140" t="s">
        <v>207</v>
      </c>
      <c r="AB584" s="90"/>
      <c r="AC584" s="140" t="s">
        <v>207</v>
      </c>
      <c r="AD584" s="90"/>
      <c r="AE584" s="140" t="s">
        <v>207</v>
      </c>
      <c r="AF584" s="178" t="str">
        <f t="shared" si="27"/>
        <v>C</v>
      </c>
      <c r="AG584" s="52" t="str">
        <f t="shared" si="28"/>
        <v>UTILIZOU O PDA CORRETAMENTE</v>
      </c>
      <c r="AH584" s="140" t="s">
        <v>207</v>
      </c>
      <c r="AI584" s="182" t="s">
        <v>36</v>
      </c>
      <c r="AJ584" s="93" t="str">
        <f t="shared" si="29"/>
        <v>SÃO PAULO</v>
      </c>
      <c r="AK584" s="183" t="s">
        <v>54</v>
      </c>
    </row>
    <row r="585" spans="1:37" ht="30" customHeight="1">
      <c r="A585" s="208" t="s">
        <v>198</v>
      </c>
      <c r="B585" s="209">
        <v>2620816594</v>
      </c>
      <c r="C585" s="209" t="s">
        <v>115</v>
      </c>
      <c r="D585" s="209" t="s">
        <v>96</v>
      </c>
      <c r="E585" s="209" t="s">
        <v>35</v>
      </c>
      <c r="F585" s="209" t="s">
        <v>381</v>
      </c>
      <c r="G585" s="209">
        <v>1238</v>
      </c>
      <c r="H585" s="209" t="s">
        <v>200</v>
      </c>
      <c r="I585" s="209" t="s">
        <v>634</v>
      </c>
      <c r="J585" s="209" t="s">
        <v>268</v>
      </c>
      <c r="K585" s="209" t="s">
        <v>200</v>
      </c>
      <c r="L585" s="209" t="s">
        <v>1229</v>
      </c>
      <c r="M585" s="209" t="s">
        <v>1276</v>
      </c>
      <c r="N585" s="209" t="s">
        <v>349</v>
      </c>
      <c r="O585" s="256" t="s">
        <v>207</v>
      </c>
      <c r="P585" s="90"/>
      <c r="Q585" s="140" t="s">
        <v>207</v>
      </c>
      <c r="R585" s="90"/>
      <c r="S585" s="140" t="s">
        <v>207</v>
      </c>
      <c r="T585" s="90"/>
      <c r="U585" s="140" t="s">
        <v>207</v>
      </c>
      <c r="V585" s="90"/>
      <c r="W585" s="140" t="s">
        <v>207</v>
      </c>
      <c r="X585" s="90"/>
      <c r="Y585" s="140" t="s">
        <v>207</v>
      </c>
      <c r="Z585" s="90"/>
      <c r="AA585" s="140" t="s">
        <v>207</v>
      </c>
      <c r="AB585" s="90"/>
      <c r="AC585" s="140" t="s">
        <v>207</v>
      </c>
      <c r="AD585" s="90"/>
      <c r="AE585" s="140" t="s">
        <v>207</v>
      </c>
      <c r="AF585" s="178" t="str">
        <f t="shared" si="27"/>
        <v>C</v>
      </c>
      <c r="AG585" s="52" t="str">
        <f t="shared" si="28"/>
        <v>UTILIZOU O PDA CORRETAMENTE</v>
      </c>
      <c r="AH585" s="140" t="s">
        <v>207</v>
      </c>
      <c r="AI585" s="182" t="s">
        <v>36</v>
      </c>
      <c r="AJ585" s="93" t="str">
        <f t="shared" si="29"/>
        <v>SÃO PAULO</v>
      </c>
      <c r="AK585" s="183" t="s">
        <v>54</v>
      </c>
    </row>
    <row r="586" spans="1:37" ht="30" customHeight="1">
      <c r="A586" s="161" t="s">
        <v>198</v>
      </c>
      <c r="B586" s="155">
        <v>2693679794</v>
      </c>
      <c r="C586" s="155" t="s">
        <v>122</v>
      </c>
      <c r="D586" s="155" t="s">
        <v>96</v>
      </c>
      <c r="E586" s="155" t="s">
        <v>35</v>
      </c>
      <c r="F586" s="155" t="s">
        <v>916</v>
      </c>
      <c r="G586" s="155">
        <v>104</v>
      </c>
      <c r="H586" s="155" t="s">
        <v>200</v>
      </c>
      <c r="I586" s="155" t="s">
        <v>917</v>
      </c>
      <c r="J586" s="155" t="s">
        <v>267</v>
      </c>
      <c r="K586" s="155" t="s">
        <v>200</v>
      </c>
      <c r="L586" s="155" t="s">
        <v>1277</v>
      </c>
      <c r="M586" s="155" t="s">
        <v>1278</v>
      </c>
      <c r="N586" s="155" t="s">
        <v>517</v>
      </c>
      <c r="O586" s="256" t="s">
        <v>207</v>
      </c>
      <c r="P586" s="90"/>
      <c r="Q586" s="140" t="s">
        <v>207</v>
      </c>
      <c r="R586" s="90"/>
      <c r="S586" s="140" t="s">
        <v>207</v>
      </c>
      <c r="T586" s="90"/>
      <c r="U586" s="140" t="s">
        <v>207</v>
      </c>
      <c r="V586" s="90"/>
      <c r="W586" s="140" t="s">
        <v>207</v>
      </c>
      <c r="X586" s="90"/>
      <c r="Y586" s="140" t="s">
        <v>77</v>
      </c>
      <c r="Z586" s="90"/>
      <c r="AA586" s="140" t="s">
        <v>207</v>
      </c>
      <c r="AB586" s="90"/>
      <c r="AC586" s="140" t="s">
        <v>207</v>
      </c>
      <c r="AD586" s="90"/>
      <c r="AE586" s="140" t="s">
        <v>207</v>
      </c>
      <c r="AF586" s="178" t="str">
        <f t="shared" si="27"/>
        <v>C</v>
      </c>
      <c r="AG586" s="52" t="str">
        <f t="shared" si="28"/>
        <v>UTILIZOU O PDA CORRETAMENTE</v>
      </c>
      <c r="AH586" s="140" t="s">
        <v>207</v>
      </c>
      <c r="AI586" s="182" t="s">
        <v>36</v>
      </c>
      <c r="AJ586" s="93" t="str">
        <f t="shared" si="29"/>
        <v>SÃO PAULO</v>
      </c>
      <c r="AK586" s="183" t="s">
        <v>54</v>
      </c>
    </row>
    <row r="587" spans="1:37" ht="30" customHeight="1">
      <c r="A587" s="161" t="s">
        <v>198</v>
      </c>
      <c r="B587" s="155">
        <v>2621072627</v>
      </c>
      <c r="C587" s="155" t="s">
        <v>118</v>
      </c>
      <c r="D587" s="155" t="s">
        <v>96</v>
      </c>
      <c r="E587" s="155" t="s">
        <v>35</v>
      </c>
      <c r="F587" s="155" t="s">
        <v>1279</v>
      </c>
      <c r="G587" s="155">
        <v>14</v>
      </c>
      <c r="H587" s="155" t="s">
        <v>200</v>
      </c>
      <c r="I587" s="155" t="s">
        <v>642</v>
      </c>
      <c r="J587" s="155" t="s">
        <v>301</v>
      </c>
      <c r="K587" s="155" t="s">
        <v>1280</v>
      </c>
      <c r="L587" s="155" t="s">
        <v>1281</v>
      </c>
      <c r="M587" s="155" t="s">
        <v>1282</v>
      </c>
      <c r="N587" s="155" t="s">
        <v>262</v>
      </c>
      <c r="O587" s="256" t="s">
        <v>207</v>
      </c>
      <c r="P587" s="90"/>
      <c r="Q587" s="140" t="s">
        <v>207</v>
      </c>
      <c r="R587" s="90"/>
      <c r="S587" s="140" t="s">
        <v>207</v>
      </c>
      <c r="T587" s="90"/>
      <c r="U587" s="140" t="s">
        <v>207</v>
      </c>
      <c r="V587" s="90"/>
      <c r="W587" s="140" t="s">
        <v>207</v>
      </c>
      <c r="X587" s="90"/>
      <c r="Y587" s="140" t="s">
        <v>77</v>
      </c>
      <c r="Z587" s="90"/>
      <c r="AA587" s="140" t="s">
        <v>207</v>
      </c>
      <c r="AB587" s="90"/>
      <c r="AC587" s="140" t="s">
        <v>207</v>
      </c>
      <c r="AD587" s="90"/>
      <c r="AE587" s="140" t="s">
        <v>207</v>
      </c>
      <c r="AF587" s="178" t="str">
        <f t="shared" si="27"/>
        <v>C</v>
      </c>
      <c r="AG587" s="52" t="str">
        <f t="shared" si="28"/>
        <v>UTILIZOU O PDA CORRETAMENTE</v>
      </c>
      <c r="AH587" s="140" t="s">
        <v>207</v>
      </c>
      <c r="AI587" s="182" t="s">
        <v>36</v>
      </c>
      <c r="AJ587" s="93" t="str">
        <f t="shared" si="29"/>
        <v>SÃO PAULO</v>
      </c>
      <c r="AK587" s="183" t="s">
        <v>54</v>
      </c>
    </row>
    <row r="588" spans="1:37" ht="30" customHeight="1">
      <c r="A588" s="208" t="s">
        <v>198</v>
      </c>
      <c r="B588" s="209">
        <v>2621095737</v>
      </c>
      <c r="C588" s="209" t="s">
        <v>116</v>
      </c>
      <c r="D588" s="209" t="s">
        <v>94</v>
      </c>
      <c r="E588" s="209" t="s">
        <v>35</v>
      </c>
      <c r="F588" s="209" t="s">
        <v>1228</v>
      </c>
      <c r="G588" s="209">
        <v>149</v>
      </c>
      <c r="H588" s="209" t="s">
        <v>200</v>
      </c>
      <c r="I588" s="209" t="s">
        <v>314</v>
      </c>
      <c r="J588" s="209" t="s">
        <v>221</v>
      </c>
      <c r="K588" s="209" t="s">
        <v>588</v>
      </c>
      <c r="L588" s="209" t="s">
        <v>1283</v>
      </c>
      <c r="M588" s="209" t="s">
        <v>1284</v>
      </c>
      <c r="N588" s="209" t="s">
        <v>331</v>
      </c>
      <c r="O588" s="256" t="s">
        <v>207</v>
      </c>
      <c r="P588" s="90"/>
      <c r="Q588" s="140" t="s">
        <v>207</v>
      </c>
      <c r="R588" s="90"/>
      <c r="S588" s="140" t="s">
        <v>207</v>
      </c>
      <c r="T588" s="90"/>
      <c r="U588" s="140" t="s">
        <v>207</v>
      </c>
      <c r="V588" s="90"/>
      <c r="W588" s="140" t="s">
        <v>207</v>
      </c>
      <c r="X588" s="90"/>
      <c r="Y588" s="140" t="s">
        <v>207</v>
      </c>
      <c r="Z588" s="90"/>
      <c r="AA588" s="140" t="s">
        <v>207</v>
      </c>
      <c r="AB588" s="90"/>
      <c r="AC588" s="140" t="s">
        <v>207</v>
      </c>
      <c r="AD588" s="90"/>
      <c r="AE588" s="140" t="s">
        <v>207</v>
      </c>
      <c r="AF588" s="178" t="str">
        <f t="shared" si="27"/>
        <v>C</v>
      </c>
      <c r="AG588" s="52" t="str">
        <f t="shared" si="28"/>
        <v>UTILIZOU O PDA CORRETAMENTE</v>
      </c>
      <c r="AH588" s="140" t="s">
        <v>207</v>
      </c>
      <c r="AI588" s="182" t="s">
        <v>36</v>
      </c>
      <c r="AJ588" s="93" t="str">
        <f t="shared" si="29"/>
        <v>SÃO PAULO</v>
      </c>
      <c r="AK588" s="183" t="s">
        <v>54</v>
      </c>
    </row>
    <row r="589" spans="1:37" ht="30" customHeight="1">
      <c r="A589" s="208" t="s">
        <v>198</v>
      </c>
      <c r="B589" s="209">
        <v>2621097369</v>
      </c>
      <c r="C589" s="209" t="s">
        <v>116</v>
      </c>
      <c r="D589" s="209" t="s">
        <v>94</v>
      </c>
      <c r="E589" s="209" t="s">
        <v>35</v>
      </c>
      <c r="F589" s="209" t="s">
        <v>1228</v>
      </c>
      <c r="G589" s="209">
        <v>151</v>
      </c>
      <c r="H589" s="209" t="s">
        <v>208</v>
      </c>
      <c r="I589" s="209" t="s">
        <v>314</v>
      </c>
      <c r="J589" s="209" t="s">
        <v>221</v>
      </c>
      <c r="K589" s="209" t="s">
        <v>1285</v>
      </c>
      <c r="L589" s="209" t="s">
        <v>1286</v>
      </c>
      <c r="M589" s="209" t="s">
        <v>1287</v>
      </c>
      <c r="N589" s="209" t="s">
        <v>331</v>
      </c>
      <c r="O589" s="256" t="s">
        <v>207</v>
      </c>
      <c r="P589" s="90"/>
      <c r="Q589" s="140" t="s">
        <v>207</v>
      </c>
      <c r="R589" s="90"/>
      <c r="S589" s="140" t="s">
        <v>207</v>
      </c>
      <c r="T589" s="90"/>
      <c r="U589" s="140" t="s">
        <v>207</v>
      </c>
      <c r="V589" s="90"/>
      <c r="W589" s="140" t="s">
        <v>207</v>
      </c>
      <c r="X589" s="90"/>
      <c r="Y589" s="140" t="s">
        <v>207</v>
      </c>
      <c r="Z589" s="90"/>
      <c r="AA589" s="140" t="s">
        <v>207</v>
      </c>
      <c r="AB589" s="90"/>
      <c r="AC589" s="140" t="s">
        <v>207</v>
      </c>
      <c r="AD589" s="90"/>
      <c r="AE589" s="140" t="s">
        <v>207</v>
      </c>
      <c r="AF589" s="178" t="str">
        <f t="shared" si="27"/>
        <v>C</v>
      </c>
      <c r="AG589" s="52" t="str">
        <f t="shared" si="28"/>
        <v>UTILIZOU O PDA CORRETAMENTE</v>
      </c>
      <c r="AH589" s="140" t="s">
        <v>207</v>
      </c>
      <c r="AI589" s="182" t="s">
        <v>36</v>
      </c>
      <c r="AJ589" s="93" t="str">
        <f t="shared" si="29"/>
        <v>SÃO PAULO</v>
      </c>
      <c r="AK589" s="183" t="s">
        <v>54</v>
      </c>
    </row>
    <row r="590" spans="1:37" ht="30" customHeight="1">
      <c r="A590" s="161" t="s">
        <v>198</v>
      </c>
      <c r="B590" s="155">
        <v>2621097712</v>
      </c>
      <c r="C590" s="155" t="s">
        <v>120</v>
      </c>
      <c r="D590" s="155" t="s">
        <v>96</v>
      </c>
      <c r="E590" s="155" t="s">
        <v>35</v>
      </c>
      <c r="F590" s="155" t="s">
        <v>599</v>
      </c>
      <c r="G590" s="155">
        <v>8</v>
      </c>
      <c r="H590" s="155" t="s">
        <v>200</v>
      </c>
      <c r="I590" s="155" t="s">
        <v>256</v>
      </c>
      <c r="J590" s="155" t="s">
        <v>202</v>
      </c>
      <c r="K590" s="155" t="s">
        <v>200</v>
      </c>
      <c r="L590" s="155" t="s">
        <v>1288</v>
      </c>
      <c r="M590" s="155" t="s">
        <v>1281</v>
      </c>
      <c r="N590" s="155" t="s">
        <v>345</v>
      </c>
      <c r="O590" s="256" t="s">
        <v>207</v>
      </c>
      <c r="P590" s="90"/>
      <c r="Q590" s="140" t="s">
        <v>207</v>
      </c>
      <c r="R590" s="90"/>
      <c r="S590" s="140" t="s">
        <v>207</v>
      </c>
      <c r="T590" s="90"/>
      <c r="U590" s="140" t="s">
        <v>207</v>
      </c>
      <c r="V590" s="90"/>
      <c r="W590" s="140" t="s">
        <v>207</v>
      </c>
      <c r="X590" s="90"/>
      <c r="Y590" s="140" t="s">
        <v>77</v>
      </c>
      <c r="Z590" s="90"/>
      <c r="AA590" s="140" t="s">
        <v>207</v>
      </c>
      <c r="AB590" s="90"/>
      <c r="AC590" s="140" t="s">
        <v>207</v>
      </c>
      <c r="AD590" s="90"/>
      <c r="AE590" s="140" t="s">
        <v>207</v>
      </c>
      <c r="AF590" s="178" t="str">
        <f t="shared" si="27"/>
        <v>C</v>
      </c>
      <c r="AG590" s="52" t="str">
        <f t="shared" si="28"/>
        <v>UTILIZOU O PDA CORRETAMENTE</v>
      </c>
      <c r="AH590" s="140" t="s">
        <v>207</v>
      </c>
      <c r="AI590" s="182" t="s">
        <v>36</v>
      </c>
      <c r="AJ590" s="93" t="str">
        <f t="shared" si="29"/>
        <v>SÃO PAULO</v>
      </c>
      <c r="AK590" s="183" t="s">
        <v>54</v>
      </c>
    </row>
    <row r="591" spans="1:37" ht="30" customHeight="1">
      <c r="A591" s="161" t="s">
        <v>198</v>
      </c>
      <c r="B591" s="155">
        <v>2621102015</v>
      </c>
      <c r="C591" s="155" t="s">
        <v>121</v>
      </c>
      <c r="D591" s="155" t="s">
        <v>96</v>
      </c>
      <c r="E591" s="155" t="s">
        <v>35</v>
      </c>
      <c r="F591" s="155" t="s">
        <v>1289</v>
      </c>
      <c r="G591" s="155">
        <v>58</v>
      </c>
      <c r="H591" s="155" t="s">
        <v>200</v>
      </c>
      <c r="I591" s="155" t="s">
        <v>355</v>
      </c>
      <c r="J591" s="155" t="s">
        <v>336</v>
      </c>
      <c r="K591" s="155" t="s">
        <v>200</v>
      </c>
      <c r="L591" s="155" t="s">
        <v>1290</v>
      </c>
      <c r="M591" s="155" t="s">
        <v>1291</v>
      </c>
      <c r="N591" s="155" t="s">
        <v>274</v>
      </c>
      <c r="O591" s="256" t="s">
        <v>207</v>
      </c>
      <c r="P591" s="90"/>
      <c r="Q591" s="140" t="s">
        <v>207</v>
      </c>
      <c r="R591" s="90"/>
      <c r="S591" s="140" t="s">
        <v>207</v>
      </c>
      <c r="T591" s="90"/>
      <c r="U591" s="140" t="s">
        <v>207</v>
      </c>
      <c r="V591" s="90"/>
      <c r="W591" s="140" t="s">
        <v>207</v>
      </c>
      <c r="X591" s="90"/>
      <c r="Y591" s="140" t="s">
        <v>77</v>
      </c>
      <c r="Z591" s="90"/>
      <c r="AA591" s="140" t="s">
        <v>207</v>
      </c>
      <c r="AB591" s="90"/>
      <c r="AC591" s="140" t="s">
        <v>207</v>
      </c>
      <c r="AD591" s="90"/>
      <c r="AE591" s="140" t="s">
        <v>207</v>
      </c>
      <c r="AF591" s="178" t="str">
        <f t="shared" si="27"/>
        <v>C</v>
      </c>
      <c r="AG591" s="52" t="str">
        <f t="shared" si="28"/>
        <v>UTILIZOU O PDA CORRETAMENTE</v>
      </c>
      <c r="AH591" s="140" t="s">
        <v>207</v>
      </c>
      <c r="AI591" s="182" t="s">
        <v>36</v>
      </c>
      <c r="AJ591" s="93" t="str">
        <f t="shared" si="29"/>
        <v>SÃO PAULO</v>
      </c>
      <c r="AK591" s="183" t="s">
        <v>54</v>
      </c>
    </row>
    <row r="592" spans="1:37" ht="30" customHeight="1">
      <c r="A592" s="208" t="s">
        <v>198</v>
      </c>
      <c r="B592" s="209">
        <v>2693688604</v>
      </c>
      <c r="C592" s="209" t="s">
        <v>114</v>
      </c>
      <c r="D592" s="209" t="s">
        <v>96</v>
      </c>
      <c r="E592" s="209" t="s">
        <v>35</v>
      </c>
      <c r="F592" s="209" t="s">
        <v>1292</v>
      </c>
      <c r="G592" s="209">
        <v>36</v>
      </c>
      <c r="H592" s="209" t="s">
        <v>200</v>
      </c>
      <c r="I592" s="209" t="s">
        <v>665</v>
      </c>
      <c r="J592" s="209" t="s">
        <v>260</v>
      </c>
      <c r="K592" s="209" t="s">
        <v>200</v>
      </c>
      <c r="L592" s="209" t="s">
        <v>1293</v>
      </c>
      <c r="M592" s="209" t="s">
        <v>1294</v>
      </c>
      <c r="N592" s="209" t="s">
        <v>364</v>
      </c>
      <c r="O592" s="256" t="s">
        <v>207</v>
      </c>
      <c r="P592" s="90"/>
      <c r="Q592" s="140" t="s">
        <v>207</v>
      </c>
      <c r="R592" s="90"/>
      <c r="S592" s="140" t="s">
        <v>207</v>
      </c>
      <c r="T592" s="90"/>
      <c r="U592" s="140" t="s">
        <v>207</v>
      </c>
      <c r="V592" s="90"/>
      <c r="W592" s="140" t="s">
        <v>207</v>
      </c>
      <c r="X592" s="90"/>
      <c r="Y592" s="140" t="s">
        <v>207</v>
      </c>
      <c r="Z592" s="90"/>
      <c r="AA592" s="140" t="s">
        <v>207</v>
      </c>
      <c r="AB592" s="90"/>
      <c r="AC592" s="140" t="s">
        <v>207</v>
      </c>
      <c r="AD592" s="90"/>
      <c r="AE592" s="140" t="s">
        <v>207</v>
      </c>
      <c r="AF592" s="178" t="str">
        <f t="shared" si="27"/>
        <v>C</v>
      </c>
      <c r="AG592" s="52" t="str">
        <f t="shared" si="28"/>
        <v>UTILIZOU O PDA CORRETAMENTE</v>
      </c>
      <c r="AH592" s="140" t="s">
        <v>207</v>
      </c>
      <c r="AI592" s="182" t="s">
        <v>36</v>
      </c>
      <c r="AJ592" s="93" t="str">
        <f t="shared" si="29"/>
        <v>SÃO PAULO</v>
      </c>
      <c r="AK592" s="183" t="s">
        <v>54</v>
      </c>
    </row>
    <row r="593" spans="1:37" ht="30" customHeight="1">
      <c r="A593" s="208" t="s">
        <v>198</v>
      </c>
      <c r="B593" s="209">
        <v>2621108439</v>
      </c>
      <c r="C593" s="209" t="s">
        <v>115</v>
      </c>
      <c r="D593" s="209" t="s">
        <v>96</v>
      </c>
      <c r="E593" s="209" t="s">
        <v>35</v>
      </c>
      <c r="F593" s="209" t="s">
        <v>407</v>
      </c>
      <c r="G593" s="209">
        <v>488</v>
      </c>
      <c r="H593" s="209" t="s">
        <v>200</v>
      </c>
      <c r="I593" s="209" t="s">
        <v>408</v>
      </c>
      <c r="J593" s="209" t="s">
        <v>268</v>
      </c>
      <c r="K593" s="209" t="s">
        <v>200</v>
      </c>
      <c r="L593" s="209" t="s">
        <v>1269</v>
      </c>
      <c r="M593" s="209" t="s">
        <v>1232</v>
      </c>
      <c r="N593" s="209" t="s">
        <v>403</v>
      </c>
      <c r="O593" s="256" t="s">
        <v>207</v>
      </c>
      <c r="P593" s="90"/>
      <c r="Q593" s="140" t="s">
        <v>207</v>
      </c>
      <c r="R593" s="90"/>
      <c r="S593" s="140" t="s">
        <v>207</v>
      </c>
      <c r="T593" s="90"/>
      <c r="U593" s="140" t="s">
        <v>207</v>
      </c>
      <c r="V593" s="90"/>
      <c r="W593" s="140" t="s">
        <v>207</v>
      </c>
      <c r="X593" s="90"/>
      <c r="Y593" s="140" t="s">
        <v>207</v>
      </c>
      <c r="Z593" s="90"/>
      <c r="AA593" s="140" t="s">
        <v>207</v>
      </c>
      <c r="AB593" s="90"/>
      <c r="AC593" s="140" t="s">
        <v>207</v>
      </c>
      <c r="AD593" s="90"/>
      <c r="AE593" s="140" t="s">
        <v>207</v>
      </c>
      <c r="AF593" s="178" t="str">
        <f t="shared" si="27"/>
        <v>C</v>
      </c>
      <c r="AG593" s="52" t="str">
        <f t="shared" si="28"/>
        <v>UTILIZOU O PDA CORRETAMENTE</v>
      </c>
      <c r="AH593" s="140" t="s">
        <v>207</v>
      </c>
      <c r="AI593" s="182" t="s">
        <v>36</v>
      </c>
      <c r="AJ593" s="93" t="str">
        <f t="shared" si="29"/>
        <v>SÃO PAULO</v>
      </c>
      <c r="AK593" s="183" t="s">
        <v>54</v>
      </c>
    </row>
    <row r="594" spans="1:37" ht="30" customHeight="1">
      <c r="A594" s="208" t="s">
        <v>198</v>
      </c>
      <c r="B594" s="209">
        <v>2693696266</v>
      </c>
      <c r="C594" s="209" t="s">
        <v>114</v>
      </c>
      <c r="D594" s="209" t="s">
        <v>96</v>
      </c>
      <c r="E594" s="209" t="s">
        <v>35</v>
      </c>
      <c r="F594" s="209" t="s">
        <v>650</v>
      </c>
      <c r="G594" s="209">
        <v>357</v>
      </c>
      <c r="H594" s="209" t="s">
        <v>208</v>
      </c>
      <c r="I594" s="209" t="s">
        <v>408</v>
      </c>
      <c r="J594" s="209" t="s">
        <v>260</v>
      </c>
      <c r="K594" s="209" t="s">
        <v>200</v>
      </c>
      <c r="L594" s="209" t="s">
        <v>1295</v>
      </c>
      <c r="M594" s="209" t="s">
        <v>1296</v>
      </c>
      <c r="N594" s="209" t="s">
        <v>232</v>
      </c>
      <c r="O594" s="256" t="s">
        <v>207</v>
      </c>
      <c r="P594" s="90"/>
      <c r="Q594" s="140" t="s">
        <v>207</v>
      </c>
      <c r="R594" s="90"/>
      <c r="S594" s="140" t="s">
        <v>207</v>
      </c>
      <c r="T594" s="90"/>
      <c r="U594" s="140" t="s">
        <v>207</v>
      </c>
      <c r="V594" s="90"/>
      <c r="W594" s="140" t="s">
        <v>207</v>
      </c>
      <c r="X594" s="90"/>
      <c r="Y594" s="140" t="s">
        <v>207</v>
      </c>
      <c r="Z594" s="90"/>
      <c r="AA594" s="140" t="s">
        <v>207</v>
      </c>
      <c r="AB594" s="90"/>
      <c r="AC594" s="140" t="s">
        <v>207</v>
      </c>
      <c r="AD594" s="90"/>
      <c r="AE594" s="140" t="s">
        <v>207</v>
      </c>
      <c r="AF594" s="178" t="str">
        <f t="shared" si="27"/>
        <v>C</v>
      </c>
      <c r="AG594" s="52" t="str">
        <f t="shared" si="28"/>
        <v>UTILIZOU O PDA CORRETAMENTE</v>
      </c>
      <c r="AH594" s="140" t="s">
        <v>207</v>
      </c>
      <c r="AI594" s="182" t="s">
        <v>36</v>
      </c>
      <c r="AJ594" s="93" t="str">
        <f t="shared" si="29"/>
        <v>SÃO PAULO</v>
      </c>
      <c r="AK594" s="183" t="s">
        <v>54</v>
      </c>
    </row>
    <row r="595" spans="1:37" ht="30" customHeight="1">
      <c r="A595" s="153" t="s">
        <v>198</v>
      </c>
      <c r="B595" s="207">
        <v>2693689353</v>
      </c>
      <c r="C595" s="207" t="s">
        <v>118</v>
      </c>
      <c r="D595" s="207" t="s">
        <v>96</v>
      </c>
      <c r="E595" s="207" t="s">
        <v>35</v>
      </c>
      <c r="F595" s="207" t="s">
        <v>420</v>
      </c>
      <c r="G595" s="207">
        <v>225</v>
      </c>
      <c r="H595" s="207" t="s">
        <v>208</v>
      </c>
      <c r="I595" s="207" t="s">
        <v>421</v>
      </c>
      <c r="J595" s="207" t="s">
        <v>267</v>
      </c>
      <c r="K595" s="207" t="s">
        <v>200</v>
      </c>
      <c r="L595" s="207" t="s">
        <v>1297</v>
      </c>
      <c r="M595" s="207" t="s">
        <v>1298</v>
      </c>
      <c r="N595" s="207" t="s">
        <v>262</v>
      </c>
      <c r="O595" s="256" t="s">
        <v>207</v>
      </c>
      <c r="P595" s="90"/>
      <c r="Q595" s="140" t="s">
        <v>207</v>
      </c>
      <c r="R595" s="90"/>
      <c r="S595" s="140" t="s">
        <v>207</v>
      </c>
      <c r="T595" s="90"/>
      <c r="U595" s="140" t="s">
        <v>207</v>
      </c>
      <c r="V595" s="90"/>
      <c r="W595" s="140" t="s">
        <v>207</v>
      </c>
      <c r="X595" s="90"/>
      <c r="Y595" s="140" t="s">
        <v>77</v>
      </c>
      <c r="Z595" s="90"/>
      <c r="AA595" s="140" t="s">
        <v>207</v>
      </c>
      <c r="AB595" s="90"/>
      <c r="AC595" s="140" t="s">
        <v>207</v>
      </c>
      <c r="AD595" s="90"/>
      <c r="AE595" s="140" t="s">
        <v>207</v>
      </c>
      <c r="AF595" s="178" t="str">
        <f t="shared" si="27"/>
        <v>C</v>
      </c>
      <c r="AG595" s="52" t="str">
        <f t="shared" si="28"/>
        <v>UTILIZOU O PDA CORRETAMENTE</v>
      </c>
      <c r="AH595" s="140" t="s">
        <v>207</v>
      </c>
      <c r="AI595" s="182" t="s">
        <v>36</v>
      </c>
      <c r="AJ595" s="93" t="str">
        <f t="shared" si="29"/>
        <v>SÃO PAULO</v>
      </c>
      <c r="AK595" s="183" t="s">
        <v>54</v>
      </c>
    </row>
    <row r="596" spans="1:37" ht="30" customHeight="1">
      <c r="A596" s="208" t="s">
        <v>198</v>
      </c>
      <c r="B596" s="209">
        <v>2621049410</v>
      </c>
      <c r="C596" s="209" t="s">
        <v>117</v>
      </c>
      <c r="D596" s="209" t="s">
        <v>96</v>
      </c>
      <c r="E596" s="209" t="s">
        <v>35</v>
      </c>
      <c r="F596" s="209" t="s">
        <v>1299</v>
      </c>
      <c r="G596" s="209">
        <v>100</v>
      </c>
      <c r="H596" s="209" t="s">
        <v>200</v>
      </c>
      <c r="I596" s="209" t="s">
        <v>373</v>
      </c>
      <c r="J596" s="209" t="s">
        <v>301</v>
      </c>
      <c r="K596" s="209" t="s">
        <v>200</v>
      </c>
      <c r="L596" s="209" t="s">
        <v>1300</v>
      </c>
      <c r="M596" s="209" t="s">
        <v>1301</v>
      </c>
      <c r="N596" s="209" t="s">
        <v>320</v>
      </c>
      <c r="O596" s="256" t="s">
        <v>207</v>
      </c>
      <c r="P596" s="90"/>
      <c r="Q596" s="140" t="s">
        <v>207</v>
      </c>
      <c r="R596" s="90"/>
      <c r="S596" s="140" t="s">
        <v>207</v>
      </c>
      <c r="T596" s="90"/>
      <c r="U596" s="140" t="s">
        <v>207</v>
      </c>
      <c r="V596" s="90"/>
      <c r="W596" s="140" t="s">
        <v>207</v>
      </c>
      <c r="X596" s="90"/>
      <c r="Y596" s="140" t="s">
        <v>77</v>
      </c>
      <c r="Z596" s="90"/>
      <c r="AA596" s="140" t="s">
        <v>207</v>
      </c>
      <c r="AB596" s="90"/>
      <c r="AC596" s="140" t="s">
        <v>207</v>
      </c>
      <c r="AD596" s="90"/>
      <c r="AE596" s="140" t="s">
        <v>207</v>
      </c>
      <c r="AF596" s="178" t="str">
        <f t="shared" si="27"/>
        <v>C</v>
      </c>
      <c r="AG596" s="52" t="str">
        <f t="shared" si="28"/>
        <v>UTILIZOU O PDA CORRETAMENTE</v>
      </c>
      <c r="AH596" s="140" t="s">
        <v>207</v>
      </c>
      <c r="AI596" s="182" t="s">
        <v>36</v>
      </c>
      <c r="AJ596" s="93" t="str">
        <f t="shared" si="29"/>
        <v>SÃO PAULO</v>
      </c>
      <c r="AK596" s="183" t="s">
        <v>54</v>
      </c>
    </row>
    <row r="597" spans="1:37" ht="30" customHeight="1">
      <c r="A597" s="208" t="s">
        <v>198</v>
      </c>
      <c r="B597" s="209">
        <v>2693710603</v>
      </c>
      <c r="C597" s="209" t="s">
        <v>117</v>
      </c>
      <c r="D597" s="209" t="s">
        <v>96</v>
      </c>
      <c r="E597" s="209" t="s">
        <v>35</v>
      </c>
      <c r="F597" s="209" t="s">
        <v>498</v>
      </c>
      <c r="G597" s="209">
        <v>5899</v>
      </c>
      <c r="H597" s="209" t="s">
        <v>347</v>
      </c>
      <c r="I597" s="209" t="s">
        <v>701</v>
      </c>
      <c r="J597" s="209" t="s">
        <v>260</v>
      </c>
      <c r="K597" s="209" t="s">
        <v>588</v>
      </c>
      <c r="L597" s="209" t="s">
        <v>1302</v>
      </c>
      <c r="M597" s="209" t="s">
        <v>1303</v>
      </c>
      <c r="N597" s="209" t="s">
        <v>331</v>
      </c>
      <c r="O597" s="256" t="s">
        <v>207</v>
      </c>
      <c r="P597" s="90"/>
      <c r="Q597" s="140" t="s">
        <v>207</v>
      </c>
      <c r="R597" s="90"/>
      <c r="S597" s="140" t="s">
        <v>207</v>
      </c>
      <c r="T597" s="90"/>
      <c r="U597" s="140" t="s">
        <v>207</v>
      </c>
      <c r="V597" s="90"/>
      <c r="W597" s="140" t="s">
        <v>207</v>
      </c>
      <c r="X597" s="90"/>
      <c r="Y597" s="140" t="s">
        <v>77</v>
      </c>
      <c r="Z597" s="90"/>
      <c r="AA597" s="140" t="s">
        <v>207</v>
      </c>
      <c r="AB597" s="90"/>
      <c r="AC597" s="140" t="s">
        <v>207</v>
      </c>
      <c r="AD597" s="90"/>
      <c r="AE597" s="140" t="s">
        <v>207</v>
      </c>
      <c r="AF597" s="178" t="str">
        <f t="shared" si="27"/>
        <v>C</v>
      </c>
      <c r="AG597" s="52" t="str">
        <f t="shared" si="28"/>
        <v>UTILIZOU O PDA CORRETAMENTE</v>
      </c>
      <c r="AH597" s="140" t="s">
        <v>207</v>
      </c>
      <c r="AI597" s="182" t="s">
        <v>36</v>
      </c>
      <c r="AJ597" s="93" t="str">
        <f t="shared" si="29"/>
        <v>SÃO PAULO</v>
      </c>
      <c r="AK597" s="183" t="s">
        <v>54</v>
      </c>
    </row>
    <row r="598" spans="1:37" ht="30" customHeight="1">
      <c r="A598" s="208" t="s">
        <v>198</v>
      </c>
      <c r="B598" s="209">
        <v>2693701367</v>
      </c>
      <c r="C598" s="209" t="s">
        <v>122</v>
      </c>
      <c r="D598" s="209" t="s">
        <v>96</v>
      </c>
      <c r="E598" s="209" t="s">
        <v>35</v>
      </c>
      <c r="F598" s="209" t="s">
        <v>703</v>
      </c>
      <c r="G598" s="209">
        <v>319</v>
      </c>
      <c r="H598" s="209" t="s">
        <v>200</v>
      </c>
      <c r="I598" s="209" t="s">
        <v>241</v>
      </c>
      <c r="J598" s="209" t="s">
        <v>267</v>
      </c>
      <c r="K598" s="209" t="s">
        <v>200</v>
      </c>
      <c r="L598" s="209" t="s">
        <v>1304</v>
      </c>
      <c r="M598" s="209" t="s">
        <v>1305</v>
      </c>
      <c r="N598" s="209" t="s">
        <v>517</v>
      </c>
      <c r="O598" s="256" t="s">
        <v>207</v>
      </c>
      <c r="P598" s="90"/>
      <c r="Q598" s="140" t="s">
        <v>207</v>
      </c>
      <c r="R598" s="90"/>
      <c r="S598" s="140" t="s">
        <v>207</v>
      </c>
      <c r="T598" s="90"/>
      <c r="U598" s="140" t="s">
        <v>207</v>
      </c>
      <c r="V598" s="90"/>
      <c r="W598" s="140" t="s">
        <v>207</v>
      </c>
      <c r="X598" s="90"/>
      <c r="Y598" s="140" t="s">
        <v>77</v>
      </c>
      <c r="Z598" s="90"/>
      <c r="AA598" s="140" t="s">
        <v>207</v>
      </c>
      <c r="AB598" s="90"/>
      <c r="AC598" s="140" t="s">
        <v>207</v>
      </c>
      <c r="AD598" s="90"/>
      <c r="AE598" s="140" t="s">
        <v>207</v>
      </c>
      <c r="AF598" s="178" t="str">
        <f t="shared" si="27"/>
        <v>C</v>
      </c>
      <c r="AG598" s="52" t="str">
        <f t="shared" si="28"/>
        <v>UTILIZOU O PDA CORRETAMENTE</v>
      </c>
      <c r="AH598" s="140" t="s">
        <v>207</v>
      </c>
      <c r="AI598" s="182" t="s">
        <v>36</v>
      </c>
      <c r="AJ598" s="93" t="str">
        <f t="shared" si="29"/>
        <v>SÃO PAULO</v>
      </c>
      <c r="AK598" s="183" t="s">
        <v>54</v>
      </c>
    </row>
    <row r="599" spans="1:37" ht="30" customHeight="1">
      <c r="A599" s="208" t="s">
        <v>198</v>
      </c>
      <c r="B599" s="209">
        <v>2693674697</v>
      </c>
      <c r="C599" s="209" t="s">
        <v>117</v>
      </c>
      <c r="D599" s="209" t="s">
        <v>96</v>
      </c>
      <c r="E599" s="209" t="s">
        <v>35</v>
      </c>
      <c r="F599" s="209" t="s">
        <v>1306</v>
      </c>
      <c r="G599" s="209">
        <v>117</v>
      </c>
      <c r="H599" s="209" t="s">
        <v>200</v>
      </c>
      <c r="I599" s="209" t="s">
        <v>447</v>
      </c>
      <c r="J599" s="209" t="s">
        <v>267</v>
      </c>
      <c r="K599" s="209" t="s">
        <v>1307</v>
      </c>
      <c r="L599" s="209" t="s">
        <v>1308</v>
      </c>
      <c r="M599" s="209" t="s">
        <v>1309</v>
      </c>
      <c r="N599" s="209" t="s">
        <v>232</v>
      </c>
      <c r="O599" s="256" t="s">
        <v>207</v>
      </c>
      <c r="P599" s="90"/>
      <c r="Q599" s="140" t="s">
        <v>207</v>
      </c>
      <c r="R599" s="90"/>
      <c r="S599" s="140" t="s">
        <v>207</v>
      </c>
      <c r="T599" s="90"/>
      <c r="U599" s="140" t="s">
        <v>207</v>
      </c>
      <c r="V599" s="90"/>
      <c r="W599" s="140" t="s">
        <v>207</v>
      </c>
      <c r="X599" s="90"/>
      <c r="Y599" s="140" t="s">
        <v>77</v>
      </c>
      <c r="Z599" s="90"/>
      <c r="AA599" s="140" t="s">
        <v>207</v>
      </c>
      <c r="AB599" s="90"/>
      <c r="AC599" s="140" t="s">
        <v>207</v>
      </c>
      <c r="AD599" s="90"/>
      <c r="AE599" s="140" t="s">
        <v>207</v>
      </c>
      <c r="AF599" s="178" t="str">
        <f t="shared" si="27"/>
        <v>C</v>
      </c>
      <c r="AG599" s="52" t="str">
        <f t="shared" si="28"/>
        <v>UTILIZOU O PDA CORRETAMENTE</v>
      </c>
      <c r="AH599" s="140" t="s">
        <v>207</v>
      </c>
      <c r="AI599" s="182" t="s">
        <v>36</v>
      </c>
      <c r="AJ599" s="93" t="str">
        <f t="shared" si="29"/>
        <v>SÃO PAULO</v>
      </c>
      <c r="AK599" s="183" t="s">
        <v>54</v>
      </c>
    </row>
    <row r="600" spans="1:37" ht="30" customHeight="1">
      <c r="A600" s="208" t="s">
        <v>198</v>
      </c>
      <c r="B600" s="209">
        <v>2621063895</v>
      </c>
      <c r="C600" s="209" t="s">
        <v>118</v>
      </c>
      <c r="D600" s="209" t="s">
        <v>96</v>
      </c>
      <c r="E600" s="209" t="s">
        <v>35</v>
      </c>
      <c r="F600" s="209" t="s">
        <v>578</v>
      </c>
      <c r="G600" s="209">
        <v>383</v>
      </c>
      <c r="H600" s="209" t="s">
        <v>200</v>
      </c>
      <c r="I600" s="209" t="s">
        <v>271</v>
      </c>
      <c r="J600" s="209" t="s">
        <v>267</v>
      </c>
      <c r="K600" s="209" t="s">
        <v>200</v>
      </c>
      <c r="L600" s="209" t="s">
        <v>1310</v>
      </c>
      <c r="M600" s="209" t="s">
        <v>1311</v>
      </c>
      <c r="N600" s="209" t="s">
        <v>323</v>
      </c>
      <c r="O600" s="256" t="s">
        <v>207</v>
      </c>
      <c r="P600" s="90"/>
      <c r="Q600" s="140" t="s">
        <v>207</v>
      </c>
      <c r="R600" s="90"/>
      <c r="S600" s="140" t="s">
        <v>207</v>
      </c>
      <c r="T600" s="90"/>
      <c r="U600" s="140" t="s">
        <v>207</v>
      </c>
      <c r="V600" s="90"/>
      <c r="W600" s="140" t="s">
        <v>207</v>
      </c>
      <c r="X600" s="90"/>
      <c r="Y600" s="140" t="s">
        <v>77</v>
      </c>
      <c r="Z600" s="90"/>
      <c r="AA600" s="140" t="s">
        <v>207</v>
      </c>
      <c r="AB600" s="90"/>
      <c r="AC600" s="140" t="s">
        <v>207</v>
      </c>
      <c r="AD600" s="90"/>
      <c r="AE600" s="140" t="s">
        <v>207</v>
      </c>
      <c r="AF600" s="178" t="str">
        <f t="shared" si="27"/>
        <v>C</v>
      </c>
      <c r="AG600" s="52" t="str">
        <f t="shared" si="28"/>
        <v>UTILIZOU O PDA CORRETAMENTE</v>
      </c>
      <c r="AH600" s="140" t="s">
        <v>207</v>
      </c>
      <c r="AI600" s="182" t="s">
        <v>36</v>
      </c>
      <c r="AJ600" s="93" t="str">
        <f t="shared" si="29"/>
        <v>SÃO PAULO</v>
      </c>
      <c r="AK600" s="183" t="s">
        <v>54</v>
      </c>
    </row>
    <row r="601" spans="1:37" ht="30" customHeight="1">
      <c r="A601" s="208" t="s">
        <v>198</v>
      </c>
      <c r="B601" s="209">
        <v>2621078787</v>
      </c>
      <c r="C601" s="209" t="s">
        <v>118</v>
      </c>
      <c r="D601" s="209" t="s">
        <v>96</v>
      </c>
      <c r="E601" s="209" t="s">
        <v>35</v>
      </c>
      <c r="F601" s="209" t="s">
        <v>1312</v>
      </c>
      <c r="G601" s="209">
        <v>305</v>
      </c>
      <c r="H601" s="209" t="s">
        <v>208</v>
      </c>
      <c r="I601" s="209" t="s">
        <v>300</v>
      </c>
      <c r="J601" s="209" t="s">
        <v>267</v>
      </c>
      <c r="K601" s="209" t="s">
        <v>200</v>
      </c>
      <c r="L601" s="209" t="s">
        <v>1313</v>
      </c>
      <c r="M601" s="209" t="s">
        <v>1314</v>
      </c>
      <c r="N601" s="209" t="s">
        <v>349</v>
      </c>
      <c r="O601" s="256" t="s">
        <v>207</v>
      </c>
      <c r="P601" s="90"/>
      <c r="Q601" s="140" t="s">
        <v>207</v>
      </c>
      <c r="R601" s="90"/>
      <c r="S601" s="140" t="s">
        <v>207</v>
      </c>
      <c r="T601" s="90"/>
      <c r="U601" s="140" t="s">
        <v>207</v>
      </c>
      <c r="V601" s="90"/>
      <c r="W601" s="140" t="s">
        <v>207</v>
      </c>
      <c r="X601" s="90"/>
      <c r="Y601" s="140" t="s">
        <v>77</v>
      </c>
      <c r="Z601" s="90"/>
      <c r="AA601" s="140" t="s">
        <v>207</v>
      </c>
      <c r="AB601" s="90"/>
      <c r="AC601" s="140" t="s">
        <v>207</v>
      </c>
      <c r="AD601" s="90"/>
      <c r="AE601" s="140" t="s">
        <v>207</v>
      </c>
      <c r="AF601" s="178" t="str">
        <f t="shared" si="27"/>
        <v>C</v>
      </c>
      <c r="AG601" s="52" t="str">
        <f t="shared" si="28"/>
        <v>UTILIZOU O PDA CORRETAMENTE</v>
      </c>
      <c r="AH601" s="140" t="s">
        <v>207</v>
      </c>
      <c r="AI601" s="182" t="s">
        <v>36</v>
      </c>
      <c r="AJ601" s="93" t="str">
        <f t="shared" si="29"/>
        <v>SÃO PAULO</v>
      </c>
      <c r="AK601" s="183" t="s">
        <v>54</v>
      </c>
    </row>
    <row r="602" spans="1:37" ht="30" customHeight="1">
      <c r="A602" s="208" t="s">
        <v>198</v>
      </c>
      <c r="B602" s="209">
        <v>2621067893</v>
      </c>
      <c r="C602" s="209" t="s">
        <v>111</v>
      </c>
      <c r="D602" s="209" t="s">
        <v>92</v>
      </c>
      <c r="E602" s="209" t="s">
        <v>35</v>
      </c>
      <c r="F602" s="209" t="s">
        <v>381</v>
      </c>
      <c r="G602" s="209">
        <v>703</v>
      </c>
      <c r="H602" s="209" t="s">
        <v>205</v>
      </c>
      <c r="I602" s="209" t="s">
        <v>382</v>
      </c>
      <c r="J602" s="209" t="s">
        <v>111</v>
      </c>
      <c r="K602" s="209" t="s">
        <v>200</v>
      </c>
      <c r="L602" s="209" t="s">
        <v>1315</v>
      </c>
      <c r="M602" s="209" t="s">
        <v>1316</v>
      </c>
      <c r="N602" s="209" t="s">
        <v>206</v>
      </c>
      <c r="O602" s="152" t="s">
        <v>207</v>
      </c>
      <c r="P602" s="90"/>
      <c r="Q602" s="140" t="s">
        <v>77</v>
      </c>
      <c r="R602" s="90"/>
      <c r="S602" s="140" t="s">
        <v>77</v>
      </c>
      <c r="T602" s="90"/>
      <c r="U602" s="140" t="s">
        <v>77</v>
      </c>
      <c r="V602" s="90"/>
      <c r="W602" s="140" t="s">
        <v>77</v>
      </c>
      <c r="X602" s="90"/>
      <c r="Y602" s="140" t="s">
        <v>77</v>
      </c>
      <c r="Z602" s="90"/>
      <c r="AA602" s="140" t="s">
        <v>207</v>
      </c>
      <c r="AB602" s="90"/>
      <c r="AC602" s="140" t="s">
        <v>207</v>
      </c>
      <c r="AD602" s="90"/>
      <c r="AE602" s="140" t="s">
        <v>207</v>
      </c>
      <c r="AF602" s="178" t="str">
        <f t="shared" si="27"/>
        <v>C</v>
      </c>
      <c r="AG602" s="52" t="str">
        <f t="shared" si="28"/>
        <v>UTILIZOU O PDA CORRETAMENTE</v>
      </c>
      <c r="AH602" s="140"/>
      <c r="AI602" s="182" t="s">
        <v>36</v>
      </c>
      <c r="AJ602" s="93" t="str">
        <f t="shared" si="29"/>
        <v>SÃO PAULO</v>
      </c>
      <c r="AK602" s="183" t="s">
        <v>54</v>
      </c>
    </row>
    <row r="603" spans="1:37" ht="30" customHeight="1">
      <c r="A603" s="208" t="s">
        <v>198</v>
      </c>
      <c r="B603" s="209">
        <v>2621066092</v>
      </c>
      <c r="C603" s="209" t="s">
        <v>109</v>
      </c>
      <c r="D603" s="209" t="s">
        <v>92</v>
      </c>
      <c r="E603" s="209" t="s">
        <v>35</v>
      </c>
      <c r="F603" s="209" t="s">
        <v>1317</v>
      </c>
      <c r="G603" s="209">
        <v>19</v>
      </c>
      <c r="H603" s="209" t="s">
        <v>208</v>
      </c>
      <c r="I603" s="209" t="s">
        <v>515</v>
      </c>
      <c r="J603" s="209" t="s">
        <v>109</v>
      </c>
      <c r="K603" s="209" t="s">
        <v>200</v>
      </c>
      <c r="L603" s="209" t="s">
        <v>1318</v>
      </c>
      <c r="M603" s="209" t="s">
        <v>1319</v>
      </c>
      <c r="N603" s="209" t="s">
        <v>206</v>
      </c>
      <c r="O603" s="152" t="s">
        <v>207</v>
      </c>
      <c r="P603" s="90"/>
      <c r="Q603" s="140" t="s">
        <v>77</v>
      </c>
      <c r="R603" s="90"/>
      <c r="S603" s="140" t="s">
        <v>77</v>
      </c>
      <c r="T603" s="90"/>
      <c r="U603" s="140" t="s">
        <v>77</v>
      </c>
      <c r="V603" s="90"/>
      <c r="W603" s="140" t="s">
        <v>77</v>
      </c>
      <c r="X603" s="90"/>
      <c r="Y603" s="140" t="s">
        <v>77</v>
      </c>
      <c r="Z603" s="90"/>
      <c r="AA603" s="140" t="s">
        <v>207</v>
      </c>
      <c r="AB603" s="90"/>
      <c r="AC603" s="140" t="s">
        <v>207</v>
      </c>
      <c r="AD603" s="90"/>
      <c r="AE603" s="140" t="s">
        <v>207</v>
      </c>
      <c r="AF603" s="178" t="str">
        <f t="shared" si="27"/>
        <v>C</v>
      </c>
      <c r="AG603" s="52" t="str">
        <f t="shared" si="28"/>
        <v>UTILIZOU O PDA CORRETAMENTE</v>
      </c>
      <c r="AH603" s="140"/>
      <c r="AI603" s="182" t="s">
        <v>36</v>
      </c>
      <c r="AJ603" s="93" t="str">
        <f t="shared" si="29"/>
        <v>SÃO PAULO</v>
      </c>
      <c r="AK603" s="183" t="s">
        <v>54</v>
      </c>
    </row>
    <row r="604" spans="1:37" ht="30" customHeight="1">
      <c r="A604" s="208" t="s">
        <v>198</v>
      </c>
      <c r="B604" s="209">
        <v>2621066103</v>
      </c>
      <c r="C604" s="209" t="s">
        <v>111</v>
      </c>
      <c r="D604" s="209" t="s">
        <v>92</v>
      </c>
      <c r="E604" s="209" t="s">
        <v>35</v>
      </c>
      <c r="F604" s="209" t="s">
        <v>1317</v>
      </c>
      <c r="G604" s="209">
        <v>19</v>
      </c>
      <c r="H604" s="209" t="s">
        <v>205</v>
      </c>
      <c r="I604" s="209" t="s">
        <v>515</v>
      </c>
      <c r="J604" s="209" t="s">
        <v>111</v>
      </c>
      <c r="K604" s="209" t="s">
        <v>200</v>
      </c>
      <c r="L604" s="209" t="s">
        <v>1319</v>
      </c>
      <c r="M604" s="209" t="s">
        <v>1320</v>
      </c>
      <c r="N604" s="209" t="s">
        <v>206</v>
      </c>
      <c r="O604" s="152" t="s">
        <v>207</v>
      </c>
      <c r="P604" s="90"/>
      <c r="Q604" s="140" t="s">
        <v>77</v>
      </c>
      <c r="R604" s="90"/>
      <c r="S604" s="140" t="s">
        <v>77</v>
      </c>
      <c r="T604" s="90"/>
      <c r="U604" s="140" t="s">
        <v>77</v>
      </c>
      <c r="V604" s="90"/>
      <c r="W604" s="140" t="s">
        <v>77</v>
      </c>
      <c r="X604" s="90"/>
      <c r="Y604" s="140" t="s">
        <v>77</v>
      </c>
      <c r="Z604" s="90"/>
      <c r="AA604" s="140" t="s">
        <v>207</v>
      </c>
      <c r="AB604" s="90"/>
      <c r="AC604" s="140" t="s">
        <v>207</v>
      </c>
      <c r="AD604" s="90"/>
      <c r="AE604" s="140" t="s">
        <v>207</v>
      </c>
      <c r="AF604" s="178" t="str">
        <f t="shared" si="27"/>
        <v>C</v>
      </c>
      <c r="AG604" s="52" t="str">
        <f t="shared" si="28"/>
        <v>UTILIZOU O PDA CORRETAMENTE</v>
      </c>
      <c r="AH604" s="140"/>
      <c r="AI604" s="182" t="s">
        <v>36</v>
      </c>
      <c r="AJ604" s="93" t="str">
        <f t="shared" si="29"/>
        <v>SÃO PAULO</v>
      </c>
      <c r="AK604" s="183" t="s">
        <v>54</v>
      </c>
    </row>
    <row r="605" spans="1:37" ht="30" customHeight="1">
      <c r="A605" s="208" t="s">
        <v>198</v>
      </c>
      <c r="B605" s="209">
        <v>2621066114</v>
      </c>
      <c r="C605" s="209" t="s">
        <v>111</v>
      </c>
      <c r="D605" s="209" t="s">
        <v>92</v>
      </c>
      <c r="E605" s="209" t="s">
        <v>35</v>
      </c>
      <c r="F605" s="209" t="s">
        <v>1317</v>
      </c>
      <c r="G605" s="209">
        <v>19</v>
      </c>
      <c r="H605" s="209" t="s">
        <v>257</v>
      </c>
      <c r="I605" s="209" t="s">
        <v>515</v>
      </c>
      <c r="J605" s="209" t="s">
        <v>111</v>
      </c>
      <c r="K605" s="209" t="s">
        <v>200</v>
      </c>
      <c r="L605" s="209" t="s">
        <v>1321</v>
      </c>
      <c r="M605" s="209" t="s">
        <v>1318</v>
      </c>
      <c r="N605" s="209" t="s">
        <v>206</v>
      </c>
      <c r="O605" s="152" t="s">
        <v>207</v>
      </c>
      <c r="P605" s="90"/>
      <c r="Q605" s="140" t="s">
        <v>77</v>
      </c>
      <c r="R605" s="90"/>
      <c r="S605" s="140" t="s">
        <v>77</v>
      </c>
      <c r="T605" s="90"/>
      <c r="U605" s="140" t="s">
        <v>77</v>
      </c>
      <c r="V605" s="90"/>
      <c r="W605" s="140" t="s">
        <v>77</v>
      </c>
      <c r="X605" s="90"/>
      <c r="Y605" s="140" t="s">
        <v>77</v>
      </c>
      <c r="Z605" s="90"/>
      <c r="AA605" s="140" t="s">
        <v>207</v>
      </c>
      <c r="AB605" s="90"/>
      <c r="AC605" s="140" t="s">
        <v>207</v>
      </c>
      <c r="AD605" s="90"/>
      <c r="AE605" s="140" t="s">
        <v>207</v>
      </c>
      <c r="AF605" s="178" t="str">
        <f t="shared" si="27"/>
        <v>C</v>
      </c>
      <c r="AG605" s="52" t="str">
        <f t="shared" si="28"/>
        <v>UTILIZOU O PDA CORRETAMENTE</v>
      </c>
      <c r="AH605" s="140"/>
      <c r="AI605" s="182" t="s">
        <v>36</v>
      </c>
      <c r="AJ605" s="93" t="str">
        <f t="shared" si="29"/>
        <v>SÃO PAULO</v>
      </c>
      <c r="AK605" s="183" t="s">
        <v>54</v>
      </c>
    </row>
    <row r="606" spans="1:37" ht="30" customHeight="1">
      <c r="A606" s="208" t="s">
        <v>198</v>
      </c>
      <c r="B606" s="209">
        <v>2621046786</v>
      </c>
      <c r="C606" s="209" t="s">
        <v>99</v>
      </c>
      <c r="D606" s="209" t="s">
        <v>92</v>
      </c>
      <c r="E606" s="209" t="s">
        <v>35</v>
      </c>
      <c r="F606" s="209" t="s">
        <v>1118</v>
      </c>
      <c r="G606" s="209">
        <v>8</v>
      </c>
      <c r="H606" s="209" t="s">
        <v>255</v>
      </c>
      <c r="I606" s="209" t="s">
        <v>338</v>
      </c>
      <c r="J606" s="209" t="s">
        <v>374</v>
      </c>
      <c r="K606" s="209" t="s">
        <v>200</v>
      </c>
      <c r="L606" s="209" t="s">
        <v>1322</v>
      </c>
      <c r="M606" s="209" t="s">
        <v>1323</v>
      </c>
      <c r="N606" s="209" t="s">
        <v>206</v>
      </c>
      <c r="O606" s="256" t="s">
        <v>207</v>
      </c>
      <c r="P606" s="90"/>
      <c r="Q606" s="140" t="s">
        <v>77</v>
      </c>
      <c r="R606" s="90"/>
      <c r="S606" s="140" t="s">
        <v>77</v>
      </c>
      <c r="T606" s="90"/>
      <c r="U606" s="140" t="s">
        <v>77</v>
      </c>
      <c r="V606" s="90"/>
      <c r="W606" s="140" t="s">
        <v>77</v>
      </c>
      <c r="X606" s="90"/>
      <c r="Y606" s="140" t="s">
        <v>77</v>
      </c>
      <c r="Z606" s="90"/>
      <c r="AA606" s="140" t="s">
        <v>77</v>
      </c>
      <c r="AB606" s="90"/>
      <c r="AC606" s="140" t="s">
        <v>207</v>
      </c>
      <c r="AD606" s="90"/>
      <c r="AE606" s="140" t="s">
        <v>207</v>
      </c>
      <c r="AF606" s="178" t="str">
        <f t="shared" si="27"/>
        <v>C</v>
      </c>
      <c r="AG606" s="52" t="str">
        <f t="shared" si="28"/>
        <v>UTILIZOU O PDA CORRETAMENTE</v>
      </c>
      <c r="AH606" s="140"/>
      <c r="AI606" s="182" t="s">
        <v>36</v>
      </c>
      <c r="AJ606" s="93" t="str">
        <f t="shared" si="29"/>
        <v>SÃO PAULO</v>
      </c>
      <c r="AK606" s="183" t="s">
        <v>54</v>
      </c>
    </row>
    <row r="607" spans="1:37" ht="30" customHeight="1">
      <c r="A607" s="208" t="s">
        <v>198</v>
      </c>
      <c r="B607" s="209">
        <v>2621067858</v>
      </c>
      <c r="C607" s="209" t="s">
        <v>109</v>
      </c>
      <c r="D607" s="209" t="s">
        <v>92</v>
      </c>
      <c r="E607" s="209" t="s">
        <v>35</v>
      </c>
      <c r="F607" s="209" t="s">
        <v>381</v>
      </c>
      <c r="G607" s="209">
        <v>703</v>
      </c>
      <c r="H607" s="209" t="s">
        <v>208</v>
      </c>
      <c r="I607" s="209" t="s">
        <v>382</v>
      </c>
      <c r="J607" s="209" t="s">
        <v>109</v>
      </c>
      <c r="K607" s="209" t="s">
        <v>200</v>
      </c>
      <c r="L607" s="209" t="s">
        <v>1324</v>
      </c>
      <c r="M607" s="209" t="s">
        <v>1325</v>
      </c>
      <c r="N607" s="209" t="s">
        <v>206</v>
      </c>
      <c r="O607" s="152" t="s">
        <v>207</v>
      </c>
      <c r="P607" s="90"/>
      <c r="Q607" s="140" t="s">
        <v>77</v>
      </c>
      <c r="R607" s="90"/>
      <c r="S607" s="140" t="s">
        <v>77</v>
      </c>
      <c r="T607" s="90"/>
      <c r="U607" s="140" t="s">
        <v>77</v>
      </c>
      <c r="V607" s="90"/>
      <c r="W607" s="140" t="s">
        <v>77</v>
      </c>
      <c r="X607" s="90"/>
      <c r="Y607" s="140" t="s">
        <v>77</v>
      </c>
      <c r="Z607" s="90"/>
      <c r="AA607" s="140" t="s">
        <v>207</v>
      </c>
      <c r="AB607" s="90"/>
      <c r="AC607" s="140" t="s">
        <v>207</v>
      </c>
      <c r="AD607" s="90"/>
      <c r="AE607" s="140" t="s">
        <v>207</v>
      </c>
      <c r="AF607" s="178" t="str">
        <f t="shared" si="27"/>
        <v>C</v>
      </c>
      <c r="AG607" s="52" t="str">
        <f t="shared" si="28"/>
        <v>UTILIZOU O PDA CORRETAMENTE</v>
      </c>
      <c r="AH607" s="140"/>
      <c r="AI607" s="182" t="s">
        <v>36</v>
      </c>
      <c r="AJ607" s="93" t="str">
        <f t="shared" si="29"/>
        <v>SÃO PAULO</v>
      </c>
      <c r="AK607" s="183" t="s">
        <v>54</v>
      </c>
    </row>
    <row r="608" spans="1:37" ht="30" customHeight="1">
      <c r="A608" s="208" t="s">
        <v>198</v>
      </c>
      <c r="B608" s="209">
        <v>2621049248</v>
      </c>
      <c r="C608" s="209" t="s">
        <v>99</v>
      </c>
      <c r="D608" s="209" t="s">
        <v>92</v>
      </c>
      <c r="E608" s="209" t="s">
        <v>35</v>
      </c>
      <c r="F608" s="209" t="s">
        <v>1326</v>
      </c>
      <c r="G608" s="209">
        <v>45</v>
      </c>
      <c r="H608" s="209" t="s">
        <v>257</v>
      </c>
      <c r="I608" s="209" t="s">
        <v>271</v>
      </c>
      <c r="J608" s="209" t="s">
        <v>374</v>
      </c>
      <c r="K608" s="209" t="s">
        <v>200</v>
      </c>
      <c r="L608" s="209" t="s">
        <v>1327</v>
      </c>
      <c r="M608" s="209" t="s">
        <v>1328</v>
      </c>
      <c r="N608" s="209" t="s">
        <v>206</v>
      </c>
      <c r="O608" s="256" t="s">
        <v>207</v>
      </c>
      <c r="P608" s="90"/>
      <c r="Q608" s="140" t="s">
        <v>77</v>
      </c>
      <c r="R608" s="90"/>
      <c r="S608" s="140" t="s">
        <v>77</v>
      </c>
      <c r="T608" s="90"/>
      <c r="U608" s="140" t="s">
        <v>77</v>
      </c>
      <c r="V608" s="90"/>
      <c r="W608" s="140" t="s">
        <v>77</v>
      </c>
      <c r="X608" s="90"/>
      <c r="Y608" s="140" t="s">
        <v>77</v>
      </c>
      <c r="Z608" s="90"/>
      <c r="AA608" s="140" t="s">
        <v>77</v>
      </c>
      <c r="AB608" s="90"/>
      <c r="AC608" s="140" t="s">
        <v>207</v>
      </c>
      <c r="AD608" s="90"/>
      <c r="AE608" s="140" t="s">
        <v>207</v>
      </c>
      <c r="AF608" s="178" t="str">
        <f t="shared" si="27"/>
        <v>C</v>
      </c>
      <c r="AG608" s="52" t="str">
        <f t="shared" si="28"/>
        <v>UTILIZOU O PDA CORRETAMENTE</v>
      </c>
      <c r="AH608" s="140"/>
      <c r="AI608" s="182" t="s">
        <v>36</v>
      </c>
      <c r="AJ608" s="93" t="str">
        <f t="shared" si="29"/>
        <v>SÃO PAULO</v>
      </c>
      <c r="AK608" s="183" t="s">
        <v>54</v>
      </c>
    </row>
    <row r="609" spans="1:37" ht="30" customHeight="1">
      <c r="A609" s="208" t="s">
        <v>198</v>
      </c>
      <c r="B609" s="209">
        <v>2621050023</v>
      </c>
      <c r="C609" s="209" t="s">
        <v>99</v>
      </c>
      <c r="D609" s="209" t="s">
        <v>92</v>
      </c>
      <c r="E609" s="209" t="s">
        <v>35</v>
      </c>
      <c r="F609" s="209" t="s">
        <v>1326</v>
      </c>
      <c r="G609" s="209">
        <v>45</v>
      </c>
      <c r="H609" s="209" t="s">
        <v>255</v>
      </c>
      <c r="I609" s="209" t="s">
        <v>271</v>
      </c>
      <c r="J609" s="209" t="s">
        <v>374</v>
      </c>
      <c r="K609" s="209" t="s">
        <v>200</v>
      </c>
      <c r="L609" s="209" t="s">
        <v>1329</v>
      </c>
      <c r="M609" s="209" t="s">
        <v>1330</v>
      </c>
      <c r="N609" s="209" t="s">
        <v>206</v>
      </c>
      <c r="O609" s="256" t="s">
        <v>207</v>
      </c>
      <c r="P609" s="90"/>
      <c r="Q609" s="140" t="s">
        <v>77</v>
      </c>
      <c r="R609" s="90"/>
      <c r="S609" s="140" t="s">
        <v>77</v>
      </c>
      <c r="T609" s="90"/>
      <c r="U609" s="140" t="s">
        <v>77</v>
      </c>
      <c r="V609" s="90"/>
      <c r="W609" s="140" t="s">
        <v>77</v>
      </c>
      <c r="X609" s="90"/>
      <c r="Y609" s="140" t="s">
        <v>77</v>
      </c>
      <c r="Z609" s="90"/>
      <c r="AA609" s="140" t="s">
        <v>77</v>
      </c>
      <c r="AB609" s="90"/>
      <c r="AC609" s="140" t="s">
        <v>207</v>
      </c>
      <c r="AD609" s="90"/>
      <c r="AE609" s="140" t="s">
        <v>207</v>
      </c>
      <c r="AF609" s="178" t="str">
        <f t="shared" si="27"/>
        <v>C</v>
      </c>
      <c r="AG609" s="52" t="str">
        <f t="shared" si="28"/>
        <v>UTILIZOU O PDA CORRETAMENTE</v>
      </c>
      <c r="AH609" s="140"/>
      <c r="AI609" s="182" t="s">
        <v>36</v>
      </c>
      <c r="AJ609" s="93" t="str">
        <f t="shared" si="29"/>
        <v>SÃO PAULO</v>
      </c>
      <c r="AK609" s="183" t="s">
        <v>54</v>
      </c>
    </row>
    <row r="610" spans="1:37" ht="30" customHeight="1">
      <c r="A610" s="208" t="s">
        <v>198</v>
      </c>
      <c r="B610" s="209">
        <v>2621255070</v>
      </c>
      <c r="C610" s="209" t="s">
        <v>122</v>
      </c>
      <c r="D610" s="209" t="s">
        <v>96</v>
      </c>
      <c r="E610" s="209" t="s">
        <v>35</v>
      </c>
      <c r="F610" s="209" t="s">
        <v>498</v>
      </c>
      <c r="G610" s="209">
        <v>7715</v>
      </c>
      <c r="H610" s="209" t="s">
        <v>257</v>
      </c>
      <c r="I610" s="209" t="s">
        <v>1331</v>
      </c>
      <c r="J610" s="209" t="s">
        <v>267</v>
      </c>
      <c r="K610" s="209" t="s">
        <v>586</v>
      </c>
      <c r="L610" s="209" t="s">
        <v>1332</v>
      </c>
      <c r="M610" s="209" t="s">
        <v>1333</v>
      </c>
      <c r="N610" s="209" t="s">
        <v>331</v>
      </c>
      <c r="O610" s="256" t="s">
        <v>207</v>
      </c>
      <c r="P610" s="90"/>
      <c r="Q610" s="140" t="s">
        <v>207</v>
      </c>
      <c r="R610" s="90"/>
      <c r="S610" s="140" t="s">
        <v>207</v>
      </c>
      <c r="T610" s="90"/>
      <c r="U610" s="140" t="s">
        <v>207</v>
      </c>
      <c r="V610" s="90"/>
      <c r="W610" s="140" t="s">
        <v>207</v>
      </c>
      <c r="X610" s="90"/>
      <c r="Y610" s="140" t="s">
        <v>77</v>
      </c>
      <c r="Z610" s="90"/>
      <c r="AA610" s="140" t="s">
        <v>207</v>
      </c>
      <c r="AB610" s="90"/>
      <c r="AC610" s="140" t="s">
        <v>207</v>
      </c>
      <c r="AD610" s="90"/>
      <c r="AE610" s="140" t="s">
        <v>207</v>
      </c>
      <c r="AF610" s="178" t="str">
        <f t="shared" si="27"/>
        <v>C</v>
      </c>
      <c r="AG610" s="52" t="str">
        <f t="shared" si="28"/>
        <v>UTILIZOU O PDA CORRETAMENTE</v>
      </c>
      <c r="AH610" s="140" t="s">
        <v>207</v>
      </c>
      <c r="AI610" s="182" t="s">
        <v>36</v>
      </c>
      <c r="AJ610" s="93" t="str">
        <f t="shared" si="29"/>
        <v>SÃO PAULO</v>
      </c>
      <c r="AK610" s="183" t="s">
        <v>54</v>
      </c>
    </row>
    <row r="611" spans="1:37" ht="30" customHeight="1">
      <c r="A611" s="208" t="s">
        <v>198</v>
      </c>
      <c r="B611" s="209">
        <v>2621256657</v>
      </c>
      <c r="C611" s="209" t="s">
        <v>121</v>
      </c>
      <c r="D611" s="209" t="s">
        <v>96</v>
      </c>
      <c r="E611" s="209" t="s">
        <v>35</v>
      </c>
      <c r="F611" s="209" t="s">
        <v>1334</v>
      </c>
      <c r="G611" s="209">
        <v>92</v>
      </c>
      <c r="H611" s="209" t="s">
        <v>200</v>
      </c>
      <c r="I611" s="209" t="s">
        <v>701</v>
      </c>
      <c r="J611" s="209" t="s">
        <v>202</v>
      </c>
      <c r="K611" s="209" t="s">
        <v>1335</v>
      </c>
      <c r="L611" s="209" t="s">
        <v>1336</v>
      </c>
      <c r="M611" s="209" t="s">
        <v>1337</v>
      </c>
      <c r="N611" s="209" t="s">
        <v>364</v>
      </c>
      <c r="O611" s="256" t="s">
        <v>207</v>
      </c>
      <c r="P611" s="90"/>
      <c r="Q611" s="140" t="s">
        <v>207</v>
      </c>
      <c r="R611" s="90"/>
      <c r="S611" s="140" t="s">
        <v>207</v>
      </c>
      <c r="T611" s="90"/>
      <c r="U611" s="140" t="s">
        <v>207</v>
      </c>
      <c r="V611" s="90"/>
      <c r="W611" s="140" t="s">
        <v>207</v>
      </c>
      <c r="X611" s="90"/>
      <c r="Y611" s="140" t="s">
        <v>77</v>
      </c>
      <c r="Z611" s="90"/>
      <c r="AA611" s="140" t="s">
        <v>207</v>
      </c>
      <c r="AB611" s="90"/>
      <c r="AC611" s="140" t="s">
        <v>207</v>
      </c>
      <c r="AD611" s="90"/>
      <c r="AE611" s="140" t="s">
        <v>207</v>
      </c>
      <c r="AF611" s="178" t="str">
        <f t="shared" si="27"/>
        <v>C</v>
      </c>
      <c r="AG611" s="52" t="str">
        <f t="shared" si="28"/>
        <v>UTILIZOU O PDA CORRETAMENTE</v>
      </c>
      <c r="AH611" s="140" t="s">
        <v>207</v>
      </c>
      <c r="AI611" s="182" t="s">
        <v>36</v>
      </c>
      <c r="AJ611" s="93" t="str">
        <f t="shared" si="29"/>
        <v>SÃO PAULO</v>
      </c>
      <c r="AK611" s="183" t="s">
        <v>54</v>
      </c>
    </row>
    <row r="612" spans="1:37" ht="30" customHeight="1">
      <c r="A612" s="208" t="s">
        <v>198</v>
      </c>
      <c r="B612" s="209">
        <v>2621270678</v>
      </c>
      <c r="C612" s="209" t="s">
        <v>120</v>
      </c>
      <c r="D612" s="209" t="s">
        <v>96</v>
      </c>
      <c r="E612" s="209" t="s">
        <v>35</v>
      </c>
      <c r="F612" s="209" t="s">
        <v>1338</v>
      </c>
      <c r="G612" s="209">
        <v>229</v>
      </c>
      <c r="H612" s="209" t="s">
        <v>200</v>
      </c>
      <c r="I612" s="209" t="s">
        <v>218</v>
      </c>
      <c r="J612" s="209" t="s">
        <v>202</v>
      </c>
      <c r="K612" s="209" t="s">
        <v>200</v>
      </c>
      <c r="L612" s="209" t="s">
        <v>1339</v>
      </c>
      <c r="M612" s="209" t="s">
        <v>1340</v>
      </c>
      <c r="N612" s="209" t="s">
        <v>517</v>
      </c>
      <c r="O612" s="256" t="s">
        <v>207</v>
      </c>
      <c r="P612" s="90"/>
      <c r="Q612" s="140" t="s">
        <v>207</v>
      </c>
      <c r="R612" s="90"/>
      <c r="S612" s="140" t="s">
        <v>207</v>
      </c>
      <c r="T612" s="90"/>
      <c r="U612" s="140" t="s">
        <v>207</v>
      </c>
      <c r="V612" s="90"/>
      <c r="W612" s="140" t="s">
        <v>207</v>
      </c>
      <c r="X612" s="90"/>
      <c r="Y612" s="140" t="s">
        <v>77</v>
      </c>
      <c r="Z612" s="90"/>
      <c r="AA612" s="140" t="s">
        <v>207</v>
      </c>
      <c r="AB612" s="90"/>
      <c r="AC612" s="140" t="s">
        <v>207</v>
      </c>
      <c r="AD612" s="90"/>
      <c r="AE612" s="140" t="s">
        <v>207</v>
      </c>
      <c r="AF612" s="178" t="str">
        <f t="shared" si="27"/>
        <v>C</v>
      </c>
      <c r="AG612" s="52" t="str">
        <f t="shared" si="28"/>
        <v>UTILIZOU O PDA CORRETAMENTE</v>
      </c>
      <c r="AH612" s="140" t="s">
        <v>207</v>
      </c>
      <c r="AI612" s="182" t="s">
        <v>36</v>
      </c>
      <c r="AJ612" s="93" t="str">
        <f t="shared" si="29"/>
        <v>SÃO PAULO</v>
      </c>
      <c r="AK612" s="183" t="s">
        <v>54</v>
      </c>
    </row>
    <row r="613" spans="1:37" ht="30" customHeight="1">
      <c r="A613" s="208" t="s">
        <v>198</v>
      </c>
      <c r="B613" s="209">
        <v>2621128343</v>
      </c>
      <c r="C613" s="209" t="s">
        <v>120</v>
      </c>
      <c r="D613" s="209" t="s">
        <v>96</v>
      </c>
      <c r="E613" s="209" t="s">
        <v>35</v>
      </c>
      <c r="F613" s="209" t="s">
        <v>1341</v>
      </c>
      <c r="G613" s="209">
        <v>189</v>
      </c>
      <c r="H613" s="209" t="s">
        <v>200</v>
      </c>
      <c r="I613" s="209" t="s">
        <v>717</v>
      </c>
      <c r="J613" s="209" t="s">
        <v>1021</v>
      </c>
      <c r="K613" s="209" t="s">
        <v>200</v>
      </c>
      <c r="L613" s="209" t="s">
        <v>1342</v>
      </c>
      <c r="M613" s="209" t="s">
        <v>1343</v>
      </c>
      <c r="N613" s="209" t="s">
        <v>262</v>
      </c>
      <c r="O613" s="256" t="s">
        <v>207</v>
      </c>
      <c r="P613" s="90"/>
      <c r="Q613" s="140" t="s">
        <v>207</v>
      </c>
      <c r="R613" s="90"/>
      <c r="S613" s="140" t="s">
        <v>207</v>
      </c>
      <c r="T613" s="90"/>
      <c r="U613" s="140" t="s">
        <v>207</v>
      </c>
      <c r="V613" s="90"/>
      <c r="W613" s="140" t="s">
        <v>207</v>
      </c>
      <c r="X613" s="90"/>
      <c r="Y613" s="140" t="s">
        <v>77</v>
      </c>
      <c r="Z613" s="90"/>
      <c r="AA613" s="140" t="s">
        <v>207</v>
      </c>
      <c r="AB613" s="90"/>
      <c r="AC613" s="140" t="s">
        <v>207</v>
      </c>
      <c r="AD613" s="90"/>
      <c r="AE613" s="140" t="s">
        <v>207</v>
      </c>
      <c r="AF613" s="178" t="str">
        <f t="shared" si="27"/>
        <v>C</v>
      </c>
      <c r="AG613" s="52" t="str">
        <f t="shared" si="28"/>
        <v>UTILIZOU O PDA CORRETAMENTE</v>
      </c>
      <c r="AH613" s="140" t="s">
        <v>207</v>
      </c>
      <c r="AI613" s="182" t="s">
        <v>36</v>
      </c>
      <c r="AJ613" s="93" t="str">
        <f t="shared" si="29"/>
        <v>SÃO PAULO</v>
      </c>
      <c r="AK613" s="183" t="s">
        <v>54</v>
      </c>
    </row>
    <row r="614" spans="1:37" ht="30" customHeight="1">
      <c r="A614" s="161" t="s">
        <v>198</v>
      </c>
      <c r="B614" s="155">
        <v>2693708818</v>
      </c>
      <c r="C614" s="155" t="s">
        <v>104</v>
      </c>
      <c r="D614" s="155" t="s">
        <v>93</v>
      </c>
      <c r="E614" s="155" t="s">
        <v>35</v>
      </c>
      <c r="F614" s="155" t="s">
        <v>1344</v>
      </c>
      <c r="G614" s="155">
        <v>69</v>
      </c>
      <c r="H614" s="155" t="s">
        <v>200</v>
      </c>
      <c r="I614" s="155" t="s">
        <v>414</v>
      </c>
      <c r="J614" s="155" t="s">
        <v>249</v>
      </c>
      <c r="K614" s="155" t="s">
        <v>200</v>
      </c>
      <c r="L614" s="155" t="s">
        <v>1345</v>
      </c>
      <c r="M614" s="155" t="s">
        <v>1345</v>
      </c>
      <c r="N614" s="155" t="s">
        <v>517</v>
      </c>
      <c r="O614" s="256" t="s">
        <v>207</v>
      </c>
      <c r="P614" s="90"/>
      <c r="Q614" s="140" t="s">
        <v>207</v>
      </c>
      <c r="R614" s="90"/>
      <c r="S614" s="140" t="s">
        <v>207</v>
      </c>
      <c r="T614" s="90"/>
      <c r="U614" s="140" t="s">
        <v>207</v>
      </c>
      <c r="V614" s="90"/>
      <c r="W614" s="140" t="s">
        <v>207</v>
      </c>
      <c r="X614" s="90"/>
      <c r="Y614" s="140" t="s">
        <v>77</v>
      </c>
      <c r="Z614" s="90"/>
      <c r="AA614" s="140" t="s">
        <v>207</v>
      </c>
      <c r="AB614" s="90"/>
      <c r="AC614" s="140" t="s">
        <v>207</v>
      </c>
      <c r="AD614" s="90"/>
      <c r="AE614" s="140" t="s">
        <v>207</v>
      </c>
      <c r="AF614" s="178" t="str">
        <f t="shared" si="27"/>
        <v>C</v>
      </c>
      <c r="AG614" s="52" t="str">
        <f t="shared" si="28"/>
        <v>UTILIZOU O PDA CORRETAMENTE</v>
      </c>
      <c r="AH614" s="140" t="s">
        <v>207</v>
      </c>
      <c r="AI614" s="182" t="s">
        <v>36</v>
      </c>
      <c r="AJ614" s="93" t="str">
        <f t="shared" si="29"/>
        <v>SÃO PAULO</v>
      </c>
      <c r="AK614" s="183" t="s">
        <v>54</v>
      </c>
    </row>
    <row r="615" spans="1:37" ht="30" customHeight="1">
      <c r="A615" s="208" t="s">
        <v>198</v>
      </c>
      <c r="B615" s="209">
        <v>2621278386</v>
      </c>
      <c r="C615" s="209" t="s">
        <v>117</v>
      </c>
      <c r="D615" s="209" t="s">
        <v>96</v>
      </c>
      <c r="E615" s="209" t="s">
        <v>35</v>
      </c>
      <c r="F615" s="209" t="s">
        <v>1346</v>
      </c>
      <c r="G615" s="209">
        <v>13</v>
      </c>
      <c r="H615" s="209" t="s">
        <v>205</v>
      </c>
      <c r="I615" s="209" t="s">
        <v>479</v>
      </c>
      <c r="J615" s="209" t="s">
        <v>301</v>
      </c>
      <c r="K615" s="209" t="s">
        <v>200</v>
      </c>
      <c r="L615" s="209" t="s">
        <v>1347</v>
      </c>
      <c r="M615" s="209" t="s">
        <v>1348</v>
      </c>
      <c r="N615" s="209" t="s">
        <v>323</v>
      </c>
      <c r="O615" s="256" t="s">
        <v>207</v>
      </c>
      <c r="P615" s="90"/>
      <c r="Q615" s="140" t="s">
        <v>207</v>
      </c>
      <c r="R615" s="90"/>
      <c r="S615" s="140" t="s">
        <v>207</v>
      </c>
      <c r="T615" s="90"/>
      <c r="U615" s="140" t="s">
        <v>207</v>
      </c>
      <c r="V615" s="90"/>
      <c r="W615" s="140" t="s">
        <v>207</v>
      </c>
      <c r="X615" s="90"/>
      <c r="Y615" s="140" t="s">
        <v>77</v>
      </c>
      <c r="Z615" s="90"/>
      <c r="AA615" s="140" t="s">
        <v>207</v>
      </c>
      <c r="AB615" s="90"/>
      <c r="AC615" s="140" t="s">
        <v>207</v>
      </c>
      <c r="AD615" s="90"/>
      <c r="AE615" s="140" t="s">
        <v>207</v>
      </c>
      <c r="AF615" s="178" t="str">
        <f t="shared" si="27"/>
        <v>C</v>
      </c>
      <c r="AG615" s="52" t="str">
        <f t="shared" si="28"/>
        <v>UTILIZOU O PDA CORRETAMENTE</v>
      </c>
      <c r="AH615" s="140" t="s">
        <v>207</v>
      </c>
      <c r="AI615" s="182" t="s">
        <v>36</v>
      </c>
      <c r="AJ615" s="93" t="str">
        <f t="shared" si="29"/>
        <v>SÃO PAULO</v>
      </c>
      <c r="AK615" s="183" t="s">
        <v>54</v>
      </c>
    </row>
    <row r="616" spans="1:37" ht="30" customHeight="1">
      <c r="A616" s="208" t="s">
        <v>198</v>
      </c>
      <c r="B616" s="209">
        <v>2621289866</v>
      </c>
      <c r="C616" s="209" t="s">
        <v>121</v>
      </c>
      <c r="D616" s="209" t="s">
        <v>96</v>
      </c>
      <c r="E616" s="209" t="s">
        <v>35</v>
      </c>
      <c r="F616" s="209" t="s">
        <v>1349</v>
      </c>
      <c r="G616" s="209">
        <v>330</v>
      </c>
      <c r="H616" s="209" t="s">
        <v>329</v>
      </c>
      <c r="I616" s="209" t="s">
        <v>1350</v>
      </c>
      <c r="J616" s="209" t="s">
        <v>202</v>
      </c>
      <c r="K616" s="209" t="s">
        <v>200</v>
      </c>
      <c r="L616" s="209" t="s">
        <v>1351</v>
      </c>
      <c r="M616" s="209" t="s">
        <v>1352</v>
      </c>
      <c r="N616" s="209" t="s">
        <v>262</v>
      </c>
      <c r="O616" s="256" t="s">
        <v>207</v>
      </c>
      <c r="P616" s="90"/>
      <c r="Q616" s="140" t="s">
        <v>207</v>
      </c>
      <c r="R616" s="90"/>
      <c r="S616" s="140" t="s">
        <v>207</v>
      </c>
      <c r="T616" s="90"/>
      <c r="U616" s="140" t="s">
        <v>207</v>
      </c>
      <c r="V616" s="90"/>
      <c r="W616" s="140" t="s">
        <v>207</v>
      </c>
      <c r="X616" s="90"/>
      <c r="Y616" s="140" t="s">
        <v>77</v>
      </c>
      <c r="Z616" s="90"/>
      <c r="AA616" s="140" t="s">
        <v>207</v>
      </c>
      <c r="AB616" s="90"/>
      <c r="AC616" s="140" t="s">
        <v>207</v>
      </c>
      <c r="AD616" s="90"/>
      <c r="AE616" s="140" t="s">
        <v>207</v>
      </c>
      <c r="AF616" s="178" t="str">
        <f t="shared" si="27"/>
        <v>C</v>
      </c>
      <c r="AG616" s="52" t="str">
        <f t="shared" si="28"/>
        <v>UTILIZOU O PDA CORRETAMENTE</v>
      </c>
      <c r="AH616" s="140" t="s">
        <v>207</v>
      </c>
      <c r="AI616" s="182" t="s">
        <v>36</v>
      </c>
      <c r="AJ616" s="93" t="str">
        <f t="shared" si="29"/>
        <v>SÃO PAULO</v>
      </c>
      <c r="AK616" s="183" t="s">
        <v>54</v>
      </c>
    </row>
    <row r="617" spans="1:37" ht="30" customHeight="1">
      <c r="A617" s="208" t="s">
        <v>198</v>
      </c>
      <c r="B617" s="209">
        <v>2621283293</v>
      </c>
      <c r="C617" s="209" t="s">
        <v>121</v>
      </c>
      <c r="D617" s="209" t="s">
        <v>96</v>
      </c>
      <c r="E617" s="209" t="s">
        <v>35</v>
      </c>
      <c r="F617" s="209" t="s">
        <v>1353</v>
      </c>
      <c r="G617" s="209">
        <v>134</v>
      </c>
      <c r="H617" s="209" t="s">
        <v>200</v>
      </c>
      <c r="I617" s="209" t="s">
        <v>284</v>
      </c>
      <c r="J617" s="209" t="s">
        <v>202</v>
      </c>
      <c r="K617" s="209" t="s">
        <v>200</v>
      </c>
      <c r="L617" s="209" t="s">
        <v>1354</v>
      </c>
      <c r="M617" s="209" t="s">
        <v>1355</v>
      </c>
      <c r="N617" s="209" t="s">
        <v>323</v>
      </c>
      <c r="O617" s="256" t="s">
        <v>207</v>
      </c>
      <c r="P617" s="90"/>
      <c r="Q617" s="140" t="s">
        <v>207</v>
      </c>
      <c r="R617" s="90"/>
      <c r="S617" s="140" t="s">
        <v>207</v>
      </c>
      <c r="T617" s="90"/>
      <c r="U617" s="140" t="s">
        <v>207</v>
      </c>
      <c r="V617" s="90"/>
      <c r="W617" s="140" t="s">
        <v>207</v>
      </c>
      <c r="X617" s="90"/>
      <c r="Y617" s="140" t="s">
        <v>77</v>
      </c>
      <c r="Z617" s="90"/>
      <c r="AA617" s="140" t="s">
        <v>207</v>
      </c>
      <c r="AB617" s="90"/>
      <c r="AC617" s="140" t="s">
        <v>207</v>
      </c>
      <c r="AD617" s="90"/>
      <c r="AE617" s="140" t="s">
        <v>207</v>
      </c>
      <c r="AF617" s="178" t="str">
        <f t="shared" si="27"/>
        <v>C</v>
      </c>
      <c r="AG617" s="52" t="str">
        <f t="shared" si="28"/>
        <v>UTILIZOU O PDA CORRETAMENTE</v>
      </c>
      <c r="AH617" s="140" t="s">
        <v>207</v>
      </c>
      <c r="AI617" s="182" t="s">
        <v>36</v>
      </c>
      <c r="AJ617" s="93" t="str">
        <f t="shared" si="29"/>
        <v>SÃO PAULO</v>
      </c>
      <c r="AK617" s="183" t="s">
        <v>54</v>
      </c>
    </row>
    <row r="618" spans="1:37" ht="30" customHeight="1">
      <c r="A618" s="208" t="s">
        <v>198</v>
      </c>
      <c r="B618" s="209">
        <v>2621335176</v>
      </c>
      <c r="C618" s="209" t="s">
        <v>116</v>
      </c>
      <c r="D618" s="209" t="s">
        <v>94</v>
      </c>
      <c r="E618" s="209" t="s">
        <v>35</v>
      </c>
      <c r="F618" s="209" t="s">
        <v>1306</v>
      </c>
      <c r="G618" s="209">
        <v>114</v>
      </c>
      <c r="H618" s="209" t="s">
        <v>200</v>
      </c>
      <c r="I618" s="209" t="s">
        <v>447</v>
      </c>
      <c r="J618" s="209" t="s">
        <v>221</v>
      </c>
      <c r="K618" s="209" t="s">
        <v>1356</v>
      </c>
      <c r="L618" s="209" t="s">
        <v>1357</v>
      </c>
      <c r="M618" s="209" t="s">
        <v>1358</v>
      </c>
      <c r="N618" s="209" t="s">
        <v>232</v>
      </c>
      <c r="O618" s="256" t="s">
        <v>207</v>
      </c>
      <c r="P618" s="90"/>
      <c r="Q618" s="140" t="s">
        <v>207</v>
      </c>
      <c r="R618" s="90"/>
      <c r="S618" s="140" t="s">
        <v>207</v>
      </c>
      <c r="T618" s="90"/>
      <c r="U618" s="140" t="s">
        <v>207</v>
      </c>
      <c r="V618" s="90"/>
      <c r="W618" s="140" t="s">
        <v>207</v>
      </c>
      <c r="X618" s="90"/>
      <c r="Y618" s="140" t="s">
        <v>207</v>
      </c>
      <c r="Z618" s="90"/>
      <c r="AA618" s="140" t="s">
        <v>207</v>
      </c>
      <c r="AB618" s="90"/>
      <c r="AC618" s="140" t="s">
        <v>207</v>
      </c>
      <c r="AD618" s="90"/>
      <c r="AE618" s="140" t="s">
        <v>207</v>
      </c>
      <c r="AF618" s="178" t="str">
        <f t="shared" si="27"/>
        <v>C</v>
      </c>
      <c r="AG618" s="52" t="str">
        <f t="shared" si="28"/>
        <v>UTILIZOU O PDA CORRETAMENTE</v>
      </c>
      <c r="AH618" s="140" t="s">
        <v>207</v>
      </c>
      <c r="AI618" s="182" t="s">
        <v>36</v>
      </c>
      <c r="AJ618" s="93" t="str">
        <f t="shared" si="29"/>
        <v>SÃO PAULO</v>
      </c>
      <c r="AK618" s="183" t="s">
        <v>54</v>
      </c>
    </row>
    <row r="619" spans="1:37" ht="30" customHeight="1">
      <c r="A619" s="208" t="s">
        <v>198</v>
      </c>
      <c r="B619" s="209">
        <v>2621315702</v>
      </c>
      <c r="C619" s="209" t="s">
        <v>116</v>
      </c>
      <c r="D619" s="209" t="s">
        <v>94</v>
      </c>
      <c r="E619" s="209" t="s">
        <v>35</v>
      </c>
      <c r="F619" s="209" t="s">
        <v>1306</v>
      </c>
      <c r="G619" s="209">
        <v>98</v>
      </c>
      <c r="H619" s="209" t="s">
        <v>208</v>
      </c>
      <c r="I619" s="209" t="s">
        <v>447</v>
      </c>
      <c r="J619" s="209" t="s">
        <v>221</v>
      </c>
      <c r="K619" s="209" t="s">
        <v>200</v>
      </c>
      <c r="L619" s="209" t="s">
        <v>1359</v>
      </c>
      <c r="M619" s="209" t="s">
        <v>1360</v>
      </c>
      <c r="N619" s="209" t="s">
        <v>232</v>
      </c>
      <c r="O619" s="256" t="s">
        <v>207</v>
      </c>
      <c r="P619" s="90"/>
      <c r="Q619" s="140" t="s">
        <v>207</v>
      </c>
      <c r="R619" s="90"/>
      <c r="S619" s="140" t="s">
        <v>207</v>
      </c>
      <c r="T619" s="90"/>
      <c r="U619" s="140" t="s">
        <v>207</v>
      </c>
      <c r="V619" s="90"/>
      <c r="W619" s="140" t="s">
        <v>207</v>
      </c>
      <c r="X619" s="90"/>
      <c r="Y619" s="140" t="s">
        <v>207</v>
      </c>
      <c r="Z619" s="90"/>
      <c r="AA619" s="140" t="s">
        <v>207</v>
      </c>
      <c r="AB619" s="90"/>
      <c r="AC619" s="140" t="s">
        <v>207</v>
      </c>
      <c r="AD619" s="90"/>
      <c r="AE619" s="140" t="s">
        <v>207</v>
      </c>
      <c r="AF619" s="178" t="str">
        <f t="shared" si="27"/>
        <v>C</v>
      </c>
      <c r="AG619" s="52" t="str">
        <f t="shared" si="28"/>
        <v>UTILIZOU O PDA CORRETAMENTE</v>
      </c>
      <c r="AH619" s="140" t="s">
        <v>207</v>
      </c>
      <c r="AI619" s="182" t="s">
        <v>36</v>
      </c>
      <c r="AJ619" s="93" t="str">
        <f t="shared" si="29"/>
        <v>SÃO PAULO</v>
      </c>
      <c r="AK619" s="183" t="s">
        <v>54</v>
      </c>
    </row>
    <row r="620" spans="1:37" ht="30" customHeight="1">
      <c r="A620" s="208" t="s">
        <v>198</v>
      </c>
      <c r="B620" s="209">
        <v>2621342465</v>
      </c>
      <c r="C620" s="209" t="s">
        <v>116</v>
      </c>
      <c r="D620" s="209" t="s">
        <v>94</v>
      </c>
      <c r="E620" s="209" t="s">
        <v>35</v>
      </c>
      <c r="F620" s="209" t="s">
        <v>1164</v>
      </c>
      <c r="G620" s="209">
        <v>22</v>
      </c>
      <c r="H620" s="209" t="s">
        <v>200</v>
      </c>
      <c r="I620" s="209" t="s">
        <v>433</v>
      </c>
      <c r="J620" s="209" t="s">
        <v>221</v>
      </c>
      <c r="K620" s="209" t="s">
        <v>200</v>
      </c>
      <c r="L620" s="209" t="s">
        <v>1361</v>
      </c>
      <c r="M620" s="209" t="s">
        <v>1362</v>
      </c>
      <c r="N620" s="209" t="s">
        <v>364</v>
      </c>
      <c r="O620" s="256" t="s">
        <v>207</v>
      </c>
      <c r="P620" s="90"/>
      <c r="Q620" s="140" t="s">
        <v>207</v>
      </c>
      <c r="R620" s="90"/>
      <c r="S620" s="140" t="s">
        <v>207</v>
      </c>
      <c r="T620" s="90"/>
      <c r="U620" s="140" t="s">
        <v>207</v>
      </c>
      <c r="V620" s="90"/>
      <c r="W620" s="140" t="s">
        <v>207</v>
      </c>
      <c r="X620" s="90"/>
      <c r="Y620" s="140" t="s">
        <v>207</v>
      </c>
      <c r="Z620" s="90"/>
      <c r="AA620" s="140" t="s">
        <v>207</v>
      </c>
      <c r="AB620" s="90"/>
      <c r="AC620" s="140" t="s">
        <v>207</v>
      </c>
      <c r="AD620" s="90"/>
      <c r="AE620" s="140" t="s">
        <v>207</v>
      </c>
      <c r="AF620" s="178" t="str">
        <f t="shared" si="27"/>
        <v>C</v>
      </c>
      <c r="AG620" s="52" t="str">
        <f t="shared" si="28"/>
        <v>UTILIZOU O PDA CORRETAMENTE</v>
      </c>
      <c r="AH620" s="140" t="s">
        <v>207</v>
      </c>
      <c r="AI620" s="182" t="s">
        <v>36</v>
      </c>
      <c r="AJ620" s="93" t="str">
        <f t="shared" si="29"/>
        <v>SÃO PAULO</v>
      </c>
      <c r="AK620" s="183" t="s">
        <v>54</v>
      </c>
    </row>
    <row r="621" spans="1:37" ht="30" customHeight="1">
      <c r="A621" s="208" t="s">
        <v>198</v>
      </c>
      <c r="B621" s="209">
        <v>2621339693</v>
      </c>
      <c r="C621" s="209" t="s">
        <v>116</v>
      </c>
      <c r="D621" s="209" t="s">
        <v>94</v>
      </c>
      <c r="E621" s="209" t="s">
        <v>35</v>
      </c>
      <c r="F621" s="209" t="s">
        <v>1164</v>
      </c>
      <c r="G621" s="209">
        <v>18</v>
      </c>
      <c r="H621" s="209" t="s">
        <v>200</v>
      </c>
      <c r="I621" s="209" t="s">
        <v>433</v>
      </c>
      <c r="J621" s="209" t="s">
        <v>221</v>
      </c>
      <c r="K621" s="209" t="s">
        <v>200</v>
      </c>
      <c r="L621" s="209" t="s">
        <v>1363</v>
      </c>
      <c r="M621" s="209" t="s">
        <v>1364</v>
      </c>
      <c r="N621" s="209" t="s">
        <v>364</v>
      </c>
      <c r="O621" s="256" t="s">
        <v>207</v>
      </c>
      <c r="P621" s="90"/>
      <c r="Q621" s="140" t="s">
        <v>207</v>
      </c>
      <c r="R621" s="90"/>
      <c r="S621" s="140" t="s">
        <v>207</v>
      </c>
      <c r="T621" s="90"/>
      <c r="U621" s="140" t="s">
        <v>207</v>
      </c>
      <c r="V621" s="90"/>
      <c r="W621" s="140" t="s">
        <v>207</v>
      </c>
      <c r="X621" s="90"/>
      <c r="Y621" s="140" t="s">
        <v>207</v>
      </c>
      <c r="Z621" s="90"/>
      <c r="AA621" s="140" t="s">
        <v>207</v>
      </c>
      <c r="AB621" s="90"/>
      <c r="AC621" s="140" t="s">
        <v>207</v>
      </c>
      <c r="AD621" s="90"/>
      <c r="AE621" s="140" t="s">
        <v>207</v>
      </c>
      <c r="AF621" s="178" t="str">
        <f t="shared" si="27"/>
        <v>C</v>
      </c>
      <c r="AG621" s="52" t="str">
        <f t="shared" si="28"/>
        <v>UTILIZOU O PDA CORRETAMENTE</v>
      </c>
      <c r="AH621" s="140" t="s">
        <v>207</v>
      </c>
      <c r="AI621" s="182" t="s">
        <v>36</v>
      </c>
      <c r="AJ621" s="93" t="str">
        <f t="shared" si="29"/>
        <v>SÃO PAULO</v>
      </c>
      <c r="AK621" s="183" t="s">
        <v>54</v>
      </c>
    </row>
    <row r="622" spans="1:37" ht="30" customHeight="1">
      <c r="A622" s="208" t="s">
        <v>198</v>
      </c>
      <c r="B622" s="209">
        <v>2621354079</v>
      </c>
      <c r="C622" s="209" t="s">
        <v>122</v>
      </c>
      <c r="D622" s="209" t="s">
        <v>96</v>
      </c>
      <c r="E622" s="209" t="s">
        <v>35</v>
      </c>
      <c r="F622" s="209" t="s">
        <v>1365</v>
      </c>
      <c r="G622" s="209">
        <v>62</v>
      </c>
      <c r="H622" s="209" t="s">
        <v>200</v>
      </c>
      <c r="I622" s="209" t="s">
        <v>811</v>
      </c>
      <c r="J622" s="209" t="s">
        <v>267</v>
      </c>
      <c r="K622" s="209" t="s">
        <v>1366</v>
      </c>
      <c r="L622" s="209" t="s">
        <v>1367</v>
      </c>
      <c r="M622" s="209" t="s">
        <v>1368</v>
      </c>
      <c r="N622" s="209" t="s">
        <v>331</v>
      </c>
      <c r="O622" s="256" t="s">
        <v>207</v>
      </c>
      <c r="P622" s="90"/>
      <c r="Q622" s="140" t="s">
        <v>207</v>
      </c>
      <c r="R622" s="90"/>
      <c r="S622" s="140" t="s">
        <v>207</v>
      </c>
      <c r="T622" s="90"/>
      <c r="U622" s="140" t="s">
        <v>207</v>
      </c>
      <c r="V622" s="90"/>
      <c r="W622" s="140" t="s">
        <v>207</v>
      </c>
      <c r="X622" s="90"/>
      <c r="Y622" s="140" t="s">
        <v>77</v>
      </c>
      <c r="Z622" s="90"/>
      <c r="AA622" s="140" t="s">
        <v>207</v>
      </c>
      <c r="AB622" s="90"/>
      <c r="AC622" s="140" t="s">
        <v>207</v>
      </c>
      <c r="AD622" s="90"/>
      <c r="AE622" s="140" t="s">
        <v>207</v>
      </c>
      <c r="AF622" s="178" t="str">
        <f t="shared" si="27"/>
        <v>C</v>
      </c>
      <c r="AG622" s="52" t="str">
        <f t="shared" si="28"/>
        <v>UTILIZOU O PDA CORRETAMENTE</v>
      </c>
      <c r="AH622" s="140" t="s">
        <v>207</v>
      </c>
      <c r="AI622" s="182" t="s">
        <v>36</v>
      </c>
      <c r="AJ622" s="93" t="str">
        <f t="shared" si="29"/>
        <v>SÃO PAULO</v>
      </c>
      <c r="AK622" s="183" t="s">
        <v>54</v>
      </c>
    </row>
    <row r="623" spans="1:37" ht="30" customHeight="1">
      <c r="A623" s="208" t="s">
        <v>198</v>
      </c>
      <c r="B623" s="209">
        <v>2621055323</v>
      </c>
      <c r="C623" s="209" t="s">
        <v>115</v>
      </c>
      <c r="D623" s="209" t="s">
        <v>96</v>
      </c>
      <c r="E623" s="209" t="s">
        <v>35</v>
      </c>
      <c r="F623" s="209" t="s">
        <v>1369</v>
      </c>
      <c r="G623" s="209">
        <v>12</v>
      </c>
      <c r="H623" s="209" t="s">
        <v>200</v>
      </c>
      <c r="I623" s="209" t="s">
        <v>515</v>
      </c>
      <c r="J623" s="209" t="s">
        <v>268</v>
      </c>
      <c r="K623" s="209" t="s">
        <v>200</v>
      </c>
      <c r="L623" s="209" t="s">
        <v>1370</v>
      </c>
      <c r="M623" s="209" t="s">
        <v>1371</v>
      </c>
      <c r="N623" s="209" t="s">
        <v>345</v>
      </c>
      <c r="O623" s="256" t="s">
        <v>207</v>
      </c>
      <c r="P623" s="90"/>
      <c r="Q623" s="140" t="s">
        <v>207</v>
      </c>
      <c r="R623" s="90"/>
      <c r="S623" s="140" t="s">
        <v>207</v>
      </c>
      <c r="T623" s="90"/>
      <c r="U623" s="140" t="s">
        <v>207</v>
      </c>
      <c r="V623" s="90"/>
      <c r="W623" s="140" t="s">
        <v>207</v>
      </c>
      <c r="X623" s="90"/>
      <c r="Y623" s="140" t="s">
        <v>207</v>
      </c>
      <c r="Z623" s="90"/>
      <c r="AA623" s="140" t="s">
        <v>207</v>
      </c>
      <c r="AB623" s="90"/>
      <c r="AC623" s="140" t="s">
        <v>207</v>
      </c>
      <c r="AD623" s="90"/>
      <c r="AE623" s="140" t="s">
        <v>207</v>
      </c>
      <c r="AF623" s="178" t="str">
        <f t="shared" si="27"/>
        <v>C</v>
      </c>
      <c r="AG623" s="52" t="str">
        <f t="shared" si="28"/>
        <v>UTILIZOU O PDA CORRETAMENTE</v>
      </c>
      <c r="AH623" s="140" t="s">
        <v>207</v>
      </c>
      <c r="AI623" s="182" t="s">
        <v>36</v>
      </c>
      <c r="AJ623" s="93" t="str">
        <f t="shared" si="29"/>
        <v>SÃO PAULO</v>
      </c>
      <c r="AK623" s="183" t="s">
        <v>54</v>
      </c>
    </row>
    <row r="624" spans="1:37" ht="30" customHeight="1">
      <c r="A624" s="208" t="s">
        <v>198</v>
      </c>
      <c r="B624" s="209">
        <v>2621101533</v>
      </c>
      <c r="C624" s="209" t="s">
        <v>115</v>
      </c>
      <c r="D624" s="209" t="s">
        <v>96</v>
      </c>
      <c r="E624" s="209" t="s">
        <v>35</v>
      </c>
      <c r="F624" s="209" t="s">
        <v>498</v>
      </c>
      <c r="G624" s="209">
        <v>4554</v>
      </c>
      <c r="H624" s="209" t="s">
        <v>200</v>
      </c>
      <c r="I624" s="209" t="s">
        <v>501</v>
      </c>
      <c r="J624" s="209" t="s">
        <v>268</v>
      </c>
      <c r="K624" s="209" t="s">
        <v>200</v>
      </c>
      <c r="L624" s="209" t="s">
        <v>1372</v>
      </c>
      <c r="M624" s="209" t="s">
        <v>1370</v>
      </c>
      <c r="N624" s="209" t="s">
        <v>274</v>
      </c>
      <c r="O624" s="256" t="s">
        <v>207</v>
      </c>
      <c r="P624" s="90"/>
      <c r="Q624" s="140" t="s">
        <v>207</v>
      </c>
      <c r="R624" s="90"/>
      <c r="S624" s="140" t="s">
        <v>207</v>
      </c>
      <c r="T624" s="90"/>
      <c r="U624" s="140" t="s">
        <v>207</v>
      </c>
      <c r="V624" s="90"/>
      <c r="W624" s="140" t="s">
        <v>207</v>
      </c>
      <c r="X624" s="90"/>
      <c r="Y624" s="140" t="s">
        <v>207</v>
      </c>
      <c r="Z624" s="90"/>
      <c r="AA624" s="140" t="s">
        <v>207</v>
      </c>
      <c r="AB624" s="90"/>
      <c r="AC624" s="140" t="s">
        <v>207</v>
      </c>
      <c r="AD624" s="90"/>
      <c r="AE624" s="140" t="s">
        <v>207</v>
      </c>
      <c r="AF624" s="178" t="str">
        <f t="shared" si="27"/>
        <v>C</v>
      </c>
      <c r="AG624" s="52" t="str">
        <f t="shared" si="28"/>
        <v>UTILIZOU O PDA CORRETAMENTE</v>
      </c>
      <c r="AH624" s="140" t="s">
        <v>207</v>
      </c>
      <c r="AI624" s="182" t="s">
        <v>36</v>
      </c>
      <c r="AJ624" s="93" t="str">
        <f t="shared" si="29"/>
        <v>SÃO PAULO</v>
      </c>
      <c r="AK624" s="183" t="s">
        <v>54</v>
      </c>
    </row>
    <row r="625" spans="1:37" ht="30" customHeight="1">
      <c r="A625" s="176" t="s">
        <v>198</v>
      </c>
      <c r="B625" s="154">
        <v>2621075761</v>
      </c>
      <c r="C625" s="154" t="s">
        <v>1373</v>
      </c>
      <c r="D625" s="154" t="s">
        <v>92</v>
      </c>
      <c r="E625" s="154" t="s">
        <v>35</v>
      </c>
      <c r="F625" s="154" t="s">
        <v>1374</v>
      </c>
      <c r="G625" s="154">
        <v>2425</v>
      </c>
      <c r="H625" s="154" t="s">
        <v>200</v>
      </c>
      <c r="I625" s="154" t="s">
        <v>1375</v>
      </c>
      <c r="J625" s="154" t="s">
        <v>1373</v>
      </c>
      <c r="K625" s="207" t="s">
        <v>200</v>
      </c>
      <c r="L625" s="246">
        <v>46163.366666666669</v>
      </c>
      <c r="M625" s="246">
        <v>46163.375</v>
      </c>
      <c r="N625" s="217" t="s">
        <v>213</v>
      </c>
      <c r="O625" s="54" t="s">
        <v>214</v>
      </c>
      <c r="P625" s="9"/>
      <c r="Q625" s="140" t="s">
        <v>77</v>
      </c>
      <c r="R625" s="90"/>
      <c r="S625" s="140" t="s">
        <v>77</v>
      </c>
      <c r="T625" s="90"/>
      <c r="U625" s="140" t="s">
        <v>77</v>
      </c>
      <c r="V625" s="90"/>
      <c r="W625" s="140" t="s">
        <v>77</v>
      </c>
      <c r="X625" s="90"/>
      <c r="Y625" s="140" t="s">
        <v>77</v>
      </c>
      <c r="Z625" s="90"/>
      <c r="AA625" s="140" t="s">
        <v>77</v>
      </c>
      <c r="AB625" s="90"/>
      <c r="AC625" s="140" t="s">
        <v>207</v>
      </c>
      <c r="AD625" s="90"/>
      <c r="AE625" s="140" t="s">
        <v>207</v>
      </c>
      <c r="AF625" s="178" t="str">
        <f>IF(AND(O625="",Q625="",S625="",U625="",W625="",Y625="",AA625="",AC625=""),"",IF(OR(AND(O625&lt;&gt;"NA",O625&lt;&gt;"C",O625&lt;&gt;"NC",O625&lt;&gt;"SF",O625&lt;&gt;""),AND(Q625&lt;&gt;"NA",Q625&lt;&gt;"C",Q625&lt;&gt;"NC",Q625&lt;&gt;"SF",Q625&lt;&gt;""),AND(S625&lt;&gt;"NA",S625&lt;&gt;"C",S625&lt;&gt;"NC",S625&lt;&gt;"SF",S625&lt;&gt;""),AND(U625&lt;&gt;"NA",U625&lt;&gt;"C",U625&lt;&gt;"NC",U625&lt;&gt;"SF",U625&lt;&gt;""),AND(W625&lt;&gt;"NA",W625&lt;&gt;"C",W625&lt;&gt;"NC",W625&lt;&gt;"SF",W625&lt;&gt;""),AND(Y625&lt;&gt;"NA",Y625&lt;&gt;"C",Y625&lt;&gt;"NC",Y625&lt;&gt;"SF",Y625&lt;&gt;""),AND(AA625&lt;&gt;"NA",AA625&lt;&gt;"C",AA625&lt;&gt;"NC",AA625&lt;&gt;"SF",AA625&lt;&gt;""),AND(AC625&lt;&gt;"NA",AC625&lt;&gt;"C",AC625&lt;&gt;"NC",AC625&lt;&gt;"SF",AC625&lt;&gt;"")),"FALSO",IF(AND(O625="NA",Q625="NA",S625="NA",U625="NA",W625="NA",Y625="NA",AA625="NA",AC625="NA"),"NA",IF(OR(O625="NC",Q625="NC",S625="NC",U625="NC",W625="NC",Y625="NC",AA625="NC",AC625="NC",O625="SF",Q625="SF",S625="SF",U625="SF",W625="SF",Y625="SF",AA625="SF",AC625="SF"),"NC",IF(OR(O625="C",Q625="C",S625="C",U625="C",W625="C",Y625="C",AA625="C",AC625="C"),"C","")))))</f>
        <v>NC</v>
      </c>
      <c r="AG625" s="52" t="str">
        <f t="shared" si="28"/>
        <v>UTILIZOU O PDA CORRETAMENTE. NÃO HÁ FOTOS DE TODAS AS ETAPAS</v>
      </c>
      <c r="AH625" s="140"/>
      <c r="AI625" s="182" t="s">
        <v>36</v>
      </c>
      <c r="AJ625" s="93" t="str">
        <f t="shared" si="29"/>
        <v>SÃO PAULO</v>
      </c>
      <c r="AK625" s="183" t="s">
        <v>54</v>
      </c>
    </row>
    <row r="626" spans="1:37" ht="30" customHeight="1">
      <c r="A626" s="208" t="s">
        <v>198</v>
      </c>
      <c r="B626" s="209">
        <v>2621362099</v>
      </c>
      <c r="C626" s="209" t="s">
        <v>115</v>
      </c>
      <c r="D626" s="209" t="s">
        <v>96</v>
      </c>
      <c r="E626" s="209" t="s">
        <v>35</v>
      </c>
      <c r="F626" s="209" t="s">
        <v>1376</v>
      </c>
      <c r="G626" s="209">
        <v>314</v>
      </c>
      <c r="H626" s="209" t="s">
        <v>200</v>
      </c>
      <c r="I626" s="209" t="s">
        <v>284</v>
      </c>
      <c r="J626" s="209" t="s">
        <v>268</v>
      </c>
      <c r="K626" s="209" t="s">
        <v>200</v>
      </c>
      <c r="L626" s="247">
        <v>46163.334722222222</v>
      </c>
      <c r="M626" s="247">
        <v>46163.352083333331</v>
      </c>
      <c r="N626" s="218" t="s">
        <v>213</v>
      </c>
      <c r="O626" s="256" t="s">
        <v>207</v>
      </c>
      <c r="P626" s="280"/>
      <c r="Q626" s="140" t="s">
        <v>207</v>
      </c>
      <c r="R626" s="90"/>
      <c r="S626" s="140" t="s">
        <v>207</v>
      </c>
      <c r="T626" s="90"/>
      <c r="U626" s="140" t="s">
        <v>207</v>
      </c>
      <c r="V626" s="90"/>
      <c r="W626" s="140" t="s">
        <v>207</v>
      </c>
      <c r="X626" s="90"/>
      <c r="Y626" s="140" t="s">
        <v>207</v>
      </c>
      <c r="Z626" s="90"/>
      <c r="AA626" s="140" t="s">
        <v>207</v>
      </c>
      <c r="AB626" s="90"/>
      <c r="AC626" s="140" t="s">
        <v>207</v>
      </c>
      <c r="AD626" s="90"/>
      <c r="AE626" s="140" t="s">
        <v>207</v>
      </c>
      <c r="AF626" s="178" t="str">
        <f>IF(AND(O626="",Q626="",S626="",U626="",W626="",Y626="",AA626="",AC626=""),"",IF(OR(AND(O626&lt;&gt;"NA",O626&lt;&gt;"C",O626&lt;&gt;"NC",O626&lt;&gt;"SF",O626&lt;&gt;""),AND(Q626&lt;&gt;"NA",Q626&lt;&gt;"C",Q626&lt;&gt;"NC",Q626&lt;&gt;"SF",Q626&lt;&gt;""),AND(S626&lt;&gt;"NA",S626&lt;&gt;"C",S626&lt;&gt;"NC",S626&lt;&gt;"SF",S626&lt;&gt;""),AND(U626&lt;&gt;"NA",U626&lt;&gt;"C",U626&lt;&gt;"NC",U626&lt;&gt;"SF",U626&lt;&gt;""),AND(W626&lt;&gt;"NA",W626&lt;&gt;"C",W626&lt;&gt;"NC",W626&lt;&gt;"SF",W626&lt;&gt;""),AND(Y626&lt;&gt;"NA",Y626&lt;&gt;"C",Y626&lt;&gt;"NC",Y626&lt;&gt;"SF",Y626&lt;&gt;""),AND(AA626&lt;&gt;"NA",AA626&lt;&gt;"C",AA626&lt;&gt;"NC",AA626&lt;&gt;"SF",AA626&lt;&gt;""),AND(AC626&lt;&gt;"NA",AC626&lt;&gt;"C",AC626&lt;&gt;"NC",AC626&lt;&gt;"SF",AC626&lt;&gt;"")),"FALSO",IF(AND(O626="NA",Q626="NA",S626="NA",U626="NA",W626="NA",Y626="NA",AA626="NA",AC626="NA"),"NA",IF(OR(O626="NC",Q626="NC",S626="NC",U626="NC",W626="NC",Y626="NC",AA626="NC",AC626="NC",O626="SF",Q626="SF",S626="SF",U626="SF",W626="SF",Y626="SF",AA626="SF",AC626="SF"),"NC",IF(OR(O626="C",Q626="C",S626="C",U626="C",W626="C",Y626="C",AA626="C",AC626="C"),"C","")))))</f>
        <v>C</v>
      </c>
      <c r="AG626" s="52" t="str">
        <f t="shared" si="28"/>
        <v>UTILIZOU O PDA CORRETAMENTE</v>
      </c>
      <c r="AH626" s="140" t="s">
        <v>207</v>
      </c>
      <c r="AI626" s="182" t="s">
        <v>36</v>
      </c>
      <c r="AJ626" s="93" t="str">
        <f t="shared" si="29"/>
        <v>SÃO PAULO</v>
      </c>
      <c r="AK626" s="183" t="s">
        <v>54</v>
      </c>
    </row>
    <row r="627" spans="1:37" ht="30" customHeight="1">
      <c r="A627" s="208" t="s">
        <v>198</v>
      </c>
      <c r="B627" s="209">
        <v>2621356207</v>
      </c>
      <c r="C627" s="209" t="s">
        <v>120</v>
      </c>
      <c r="D627" s="209" t="s">
        <v>96</v>
      </c>
      <c r="E627" s="209" t="s">
        <v>35</v>
      </c>
      <c r="F627" s="209" t="s">
        <v>906</v>
      </c>
      <c r="G627" s="209">
        <v>290</v>
      </c>
      <c r="H627" s="209" t="s">
        <v>208</v>
      </c>
      <c r="I627" s="209" t="s">
        <v>271</v>
      </c>
      <c r="J627" s="209" t="s">
        <v>1021</v>
      </c>
      <c r="K627" s="209" t="s">
        <v>1377</v>
      </c>
      <c r="L627" s="247">
        <v>46163.406944444447</v>
      </c>
      <c r="M627" s="247">
        <v>46163.413888888892</v>
      </c>
      <c r="N627" s="218" t="s">
        <v>262</v>
      </c>
      <c r="O627" s="256" t="s">
        <v>207</v>
      </c>
      <c r="P627" s="280"/>
      <c r="Q627" s="140" t="s">
        <v>207</v>
      </c>
      <c r="R627" s="90"/>
      <c r="S627" s="140" t="s">
        <v>207</v>
      </c>
      <c r="T627" s="90"/>
      <c r="U627" s="140" t="s">
        <v>207</v>
      </c>
      <c r="V627" s="90"/>
      <c r="W627" s="140" t="s">
        <v>207</v>
      </c>
      <c r="X627" s="90"/>
      <c r="Y627" s="140" t="s">
        <v>77</v>
      </c>
      <c r="Z627" s="90"/>
      <c r="AA627" s="140" t="s">
        <v>207</v>
      </c>
      <c r="AB627" s="90"/>
      <c r="AC627" s="140" t="s">
        <v>207</v>
      </c>
      <c r="AD627" s="90"/>
      <c r="AE627" s="140" t="s">
        <v>207</v>
      </c>
      <c r="AF627" s="178" t="str">
        <f>IF(AND(O627="",Q627="",S627="",U627="",W627="",Y627="",AA627="",AC627=""),"",IF(OR(AND(O627&lt;&gt;"NA",O627&lt;&gt;"C",O627&lt;&gt;"NC",O627&lt;&gt;"SF",O627&lt;&gt;""),AND(Q627&lt;&gt;"NA",Q627&lt;&gt;"C",Q627&lt;&gt;"NC",Q627&lt;&gt;"SF",Q627&lt;&gt;""),AND(S627&lt;&gt;"NA",S627&lt;&gt;"C",S627&lt;&gt;"NC",S627&lt;&gt;"SF",S627&lt;&gt;""),AND(U627&lt;&gt;"NA",U627&lt;&gt;"C",U627&lt;&gt;"NC",U627&lt;&gt;"SF",U627&lt;&gt;""),AND(W627&lt;&gt;"NA",W627&lt;&gt;"C",W627&lt;&gt;"NC",W627&lt;&gt;"SF",W627&lt;&gt;""),AND(Y627&lt;&gt;"NA",Y627&lt;&gt;"C",Y627&lt;&gt;"NC",Y627&lt;&gt;"SF",Y627&lt;&gt;""),AND(AA627&lt;&gt;"NA",AA627&lt;&gt;"C",AA627&lt;&gt;"NC",AA627&lt;&gt;"SF",AA627&lt;&gt;""),AND(AC627&lt;&gt;"NA",AC627&lt;&gt;"C",AC627&lt;&gt;"NC",AC627&lt;&gt;"SF",AC627&lt;&gt;"")),"FALSO",IF(AND(O627="NA",Q627="NA",S627="NA",U627="NA",W627="NA",Y627="NA",AA627="NA",AC627="NA"),"NA",IF(OR(O627="NC",Q627="NC",S627="NC",U627="NC",W627="NC",Y627="NC",AA627="NC",AC627="NC",O627="SF",Q627="SF",S627="SF",U627="SF",W627="SF",Y627="SF",AA627="SF",AC627="SF"),"NC",IF(OR(O627="C",Q627="C",S627="C",U627="C",W627="C",Y627="C",AA627="C",AC627="C"),"C","")))))</f>
        <v>C</v>
      </c>
      <c r="AG627" s="52" t="str">
        <f t="shared" si="28"/>
        <v>UTILIZOU O PDA CORRETAMENTE</v>
      </c>
      <c r="AH627" s="140" t="s">
        <v>207</v>
      </c>
      <c r="AI627" s="182" t="s">
        <v>36</v>
      </c>
      <c r="AJ627" s="93" t="str">
        <f t="shared" si="29"/>
        <v>SÃO PAULO</v>
      </c>
      <c r="AK627" s="183" t="s">
        <v>54</v>
      </c>
    </row>
    <row r="628" spans="1:37" ht="30" customHeight="1">
      <c r="A628" s="208" t="s">
        <v>198</v>
      </c>
      <c r="B628" s="209">
        <v>2693796960</v>
      </c>
      <c r="C628" s="209" t="s">
        <v>117</v>
      </c>
      <c r="D628" s="209" t="s">
        <v>96</v>
      </c>
      <c r="E628" s="209" t="s">
        <v>35</v>
      </c>
      <c r="F628" s="209" t="s">
        <v>1378</v>
      </c>
      <c r="G628" s="209">
        <v>128</v>
      </c>
      <c r="H628" s="209" t="s">
        <v>257</v>
      </c>
      <c r="I628" s="209" t="s">
        <v>303</v>
      </c>
      <c r="J628" s="209" t="s">
        <v>301</v>
      </c>
      <c r="K628" s="209" t="s">
        <v>200</v>
      </c>
      <c r="L628" s="247">
        <v>46163.493055555555</v>
      </c>
      <c r="M628" s="247">
        <v>46163.55972222222</v>
      </c>
      <c r="N628" s="218" t="s">
        <v>235</v>
      </c>
      <c r="O628" s="256" t="s">
        <v>207</v>
      </c>
      <c r="P628" s="280"/>
      <c r="Q628" s="140" t="s">
        <v>207</v>
      </c>
      <c r="R628" s="90"/>
      <c r="S628" s="140" t="s">
        <v>207</v>
      </c>
      <c r="T628" s="90"/>
      <c r="U628" s="140" t="s">
        <v>207</v>
      </c>
      <c r="V628" s="90"/>
      <c r="W628" s="140" t="s">
        <v>207</v>
      </c>
      <c r="X628" s="90"/>
      <c r="Y628" s="140" t="s">
        <v>77</v>
      </c>
      <c r="Z628" s="90"/>
      <c r="AA628" s="140" t="s">
        <v>207</v>
      </c>
      <c r="AB628" s="90"/>
      <c r="AC628" s="140" t="s">
        <v>207</v>
      </c>
      <c r="AD628" s="90"/>
      <c r="AE628" s="140" t="s">
        <v>207</v>
      </c>
      <c r="AF628" s="178" t="str">
        <f>IF(AND(O628="",Q628="",S628="",U628="",W628="",Y628="",AA628="",AC628=""),"",IF(OR(AND(O628&lt;&gt;"NA",O628&lt;&gt;"C",O628&lt;&gt;"NC",O628&lt;&gt;"SF",O628&lt;&gt;""),AND(Q628&lt;&gt;"NA",Q628&lt;&gt;"C",Q628&lt;&gt;"NC",Q628&lt;&gt;"SF",Q628&lt;&gt;""),AND(S628&lt;&gt;"NA",S628&lt;&gt;"C",S628&lt;&gt;"NC",S628&lt;&gt;"SF",S628&lt;&gt;""),AND(U628&lt;&gt;"NA",U628&lt;&gt;"C",U628&lt;&gt;"NC",U628&lt;&gt;"SF",U628&lt;&gt;""),AND(W628&lt;&gt;"NA",W628&lt;&gt;"C",W628&lt;&gt;"NC",W628&lt;&gt;"SF",W628&lt;&gt;""),AND(Y628&lt;&gt;"NA",Y628&lt;&gt;"C",Y628&lt;&gt;"NC",Y628&lt;&gt;"SF",Y628&lt;&gt;""),AND(AA628&lt;&gt;"NA",AA628&lt;&gt;"C",AA628&lt;&gt;"NC",AA628&lt;&gt;"SF",AA628&lt;&gt;""),AND(AC628&lt;&gt;"NA",AC628&lt;&gt;"C",AC628&lt;&gt;"NC",AC628&lt;&gt;"SF",AC628&lt;&gt;"")),"FALSO",IF(AND(O628="NA",Q628="NA",S628="NA",U628="NA",W628="NA",Y628="NA",AA628="NA",AC628="NA"),"NA",IF(OR(O628="NC",Q628="NC",S628="NC",U628="NC",W628="NC",Y628="NC",AA628="NC",AC628="NC",O628="SF",Q628="SF",S628="SF",U628="SF",W628="SF",Y628="SF",AA628="SF",AC628="SF"),"NC",IF(OR(O628="C",Q628="C",S628="C",U628="C",W628="C",Y628="C",AA628="C",AC628="C"),"C","")))))</f>
        <v>C</v>
      </c>
      <c r="AG628" s="52" t="str">
        <f t="shared" si="28"/>
        <v>UTILIZOU O PDA CORRETAMENTE</v>
      </c>
      <c r="AH628" s="140" t="s">
        <v>207</v>
      </c>
      <c r="AI628" s="182" t="s">
        <v>36</v>
      </c>
      <c r="AJ628" s="93" t="str">
        <f t="shared" si="29"/>
        <v>SÃO PAULO</v>
      </c>
      <c r="AK628" s="183" t="s">
        <v>54</v>
      </c>
    </row>
    <row r="629" spans="1:37" ht="30" customHeight="1">
      <c r="A629" s="208" t="s">
        <v>198</v>
      </c>
      <c r="B629" s="209">
        <v>2621362695</v>
      </c>
      <c r="C629" s="209" t="s">
        <v>121</v>
      </c>
      <c r="D629" s="209" t="s">
        <v>96</v>
      </c>
      <c r="E629" s="209" t="s">
        <v>35</v>
      </c>
      <c r="F629" s="209" t="s">
        <v>587</v>
      </c>
      <c r="G629" s="209">
        <v>197</v>
      </c>
      <c r="H629" s="209" t="s">
        <v>200</v>
      </c>
      <c r="I629" s="209" t="s">
        <v>479</v>
      </c>
      <c r="J629" s="209" t="s">
        <v>202</v>
      </c>
      <c r="K629" s="209" t="s">
        <v>200</v>
      </c>
      <c r="L629" s="247">
        <v>46163.377083333333</v>
      </c>
      <c r="M629" s="247">
        <v>46163.404166666667</v>
      </c>
      <c r="N629" s="218" t="s">
        <v>235</v>
      </c>
      <c r="O629" s="256" t="s">
        <v>207</v>
      </c>
      <c r="P629" s="280"/>
      <c r="Q629" s="140" t="s">
        <v>207</v>
      </c>
      <c r="R629" s="90"/>
      <c r="S629" s="140" t="s">
        <v>207</v>
      </c>
      <c r="T629" s="90"/>
      <c r="U629" s="140" t="s">
        <v>207</v>
      </c>
      <c r="V629" s="90"/>
      <c r="W629" s="140" t="s">
        <v>207</v>
      </c>
      <c r="X629" s="90"/>
      <c r="Y629" s="140" t="s">
        <v>77</v>
      </c>
      <c r="Z629" s="90"/>
      <c r="AA629" s="140" t="s">
        <v>207</v>
      </c>
      <c r="AB629" s="90"/>
      <c r="AC629" s="140" t="s">
        <v>207</v>
      </c>
      <c r="AD629" s="90"/>
      <c r="AE629" s="140" t="s">
        <v>207</v>
      </c>
      <c r="AF629" s="178" t="str">
        <f>IF(AND(O629="",Q629="",S629="",U629="",W629="",Y629="",AA629="",AC629=""),"",IF(OR(AND(O629&lt;&gt;"NA",O629&lt;&gt;"C",O629&lt;&gt;"NC",O629&lt;&gt;"SF",O629&lt;&gt;""),AND(Q629&lt;&gt;"NA",Q629&lt;&gt;"C",Q629&lt;&gt;"NC",Q629&lt;&gt;"SF",Q629&lt;&gt;""),AND(S629&lt;&gt;"NA",S629&lt;&gt;"C",S629&lt;&gt;"NC",S629&lt;&gt;"SF",S629&lt;&gt;""),AND(U629&lt;&gt;"NA",U629&lt;&gt;"C",U629&lt;&gt;"NC",U629&lt;&gt;"SF",U629&lt;&gt;""),AND(W629&lt;&gt;"NA",W629&lt;&gt;"C",W629&lt;&gt;"NC",W629&lt;&gt;"SF",W629&lt;&gt;""),AND(Y629&lt;&gt;"NA",Y629&lt;&gt;"C",Y629&lt;&gt;"NC",Y629&lt;&gt;"SF",Y629&lt;&gt;""),AND(AA629&lt;&gt;"NA",AA629&lt;&gt;"C",AA629&lt;&gt;"NC",AA629&lt;&gt;"SF",AA629&lt;&gt;""),AND(AC629&lt;&gt;"NA",AC629&lt;&gt;"C",AC629&lt;&gt;"NC",AC629&lt;&gt;"SF",AC629&lt;&gt;"")),"FALSO",IF(AND(O629="NA",Q629="NA",S629="NA",U629="NA",W629="NA",Y629="NA",AA629="NA",AC629="NA"),"NA",IF(OR(O629="NC",Q629="NC",S629="NC",U629="NC",W629="NC",Y629="NC",AA629="NC",AC629="NC",O629="SF",Q629="SF",S629="SF",U629="SF",W629="SF",Y629="SF",AA629="SF",AC629="SF"),"NC",IF(OR(O629="C",Q629="C",S629="C",U629="C",W629="C",Y629="C",AA629="C",AC629="C"),"C","")))))</f>
        <v>C</v>
      </c>
      <c r="AG629" s="52" t="str">
        <f t="shared" si="28"/>
        <v>UTILIZOU O PDA CORRETAMENTE</v>
      </c>
      <c r="AH629" s="140" t="s">
        <v>207</v>
      </c>
      <c r="AI629" s="182" t="s">
        <v>36</v>
      </c>
      <c r="AJ629" s="93" t="str">
        <f t="shared" si="29"/>
        <v>SÃO PAULO</v>
      </c>
      <c r="AK629" s="183" t="s">
        <v>54</v>
      </c>
    </row>
    <row r="630" spans="1:37" ht="30" customHeight="1">
      <c r="A630" s="208" t="s">
        <v>198</v>
      </c>
      <c r="B630" s="209">
        <v>2621395464</v>
      </c>
      <c r="C630" s="209" t="s">
        <v>118</v>
      </c>
      <c r="D630" s="209" t="s">
        <v>96</v>
      </c>
      <c r="E630" s="209" t="s">
        <v>35</v>
      </c>
      <c r="F630" s="209" t="s">
        <v>1379</v>
      </c>
      <c r="G630" s="209">
        <v>56</v>
      </c>
      <c r="H630" s="209" t="s">
        <v>200</v>
      </c>
      <c r="I630" s="209" t="s">
        <v>359</v>
      </c>
      <c r="J630" s="209" t="s">
        <v>267</v>
      </c>
      <c r="K630" s="209" t="s">
        <v>200</v>
      </c>
      <c r="L630" s="247">
        <v>46163.447916666664</v>
      </c>
      <c r="M630" s="247">
        <v>46163.488194444442</v>
      </c>
      <c r="N630" s="218" t="s">
        <v>403</v>
      </c>
      <c r="O630" s="256" t="s">
        <v>207</v>
      </c>
      <c r="P630" s="280"/>
      <c r="Q630" s="140" t="s">
        <v>207</v>
      </c>
      <c r="R630" s="90"/>
      <c r="S630" s="140" t="s">
        <v>207</v>
      </c>
      <c r="T630" s="90"/>
      <c r="U630" s="140" t="s">
        <v>207</v>
      </c>
      <c r="V630" s="90"/>
      <c r="W630" s="140" t="s">
        <v>207</v>
      </c>
      <c r="X630" s="90"/>
      <c r="Y630" s="140" t="s">
        <v>77</v>
      </c>
      <c r="Z630" s="90"/>
      <c r="AA630" s="140" t="s">
        <v>207</v>
      </c>
      <c r="AB630" s="90"/>
      <c r="AC630" s="140" t="s">
        <v>207</v>
      </c>
      <c r="AD630" s="90"/>
      <c r="AE630" s="140" t="s">
        <v>207</v>
      </c>
      <c r="AF630" s="178" t="str">
        <f>IF(AND(O630="",Q630="",S630="",U630="",W630="",Y630="",AA630="",AC630=""),"",IF(OR(AND(O630&lt;&gt;"NA",O630&lt;&gt;"C",O630&lt;&gt;"NC",O630&lt;&gt;"SF",O630&lt;&gt;""),AND(Q630&lt;&gt;"NA",Q630&lt;&gt;"C",Q630&lt;&gt;"NC",Q630&lt;&gt;"SF",Q630&lt;&gt;""),AND(S630&lt;&gt;"NA",S630&lt;&gt;"C",S630&lt;&gt;"NC",S630&lt;&gt;"SF",S630&lt;&gt;""),AND(U630&lt;&gt;"NA",U630&lt;&gt;"C",U630&lt;&gt;"NC",U630&lt;&gt;"SF",U630&lt;&gt;""),AND(W630&lt;&gt;"NA",W630&lt;&gt;"C",W630&lt;&gt;"NC",W630&lt;&gt;"SF",W630&lt;&gt;""),AND(Y630&lt;&gt;"NA",Y630&lt;&gt;"C",Y630&lt;&gt;"NC",Y630&lt;&gt;"SF",Y630&lt;&gt;""),AND(AA630&lt;&gt;"NA",AA630&lt;&gt;"C",AA630&lt;&gt;"NC",AA630&lt;&gt;"SF",AA630&lt;&gt;""),AND(AC630&lt;&gt;"NA",AC630&lt;&gt;"C",AC630&lt;&gt;"NC",AC630&lt;&gt;"SF",AC630&lt;&gt;"")),"FALSO",IF(AND(O630="NA",Q630="NA",S630="NA",U630="NA",W630="NA",Y630="NA",AA630="NA",AC630="NA"),"NA",IF(OR(O630="NC",Q630="NC",S630="NC",U630="NC",W630="NC",Y630="NC",AA630="NC",AC630="NC",O630="SF",Q630="SF",S630="SF",U630="SF",W630="SF",Y630="SF",AA630="SF",AC630="SF"),"NC",IF(OR(O630="C",Q630="C",S630="C",U630="C",W630="C",Y630="C",AA630="C",AC630="C"),"C","")))))</f>
        <v>C</v>
      </c>
      <c r="AG630" s="52" t="str">
        <f t="shared" si="28"/>
        <v>UTILIZOU O PDA CORRETAMENTE</v>
      </c>
      <c r="AH630" s="140" t="s">
        <v>207</v>
      </c>
      <c r="AI630" s="182" t="s">
        <v>36</v>
      </c>
      <c r="AJ630" s="93" t="str">
        <f t="shared" si="29"/>
        <v>SÃO PAULO</v>
      </c>
      <c r="AK630" s="183" t="s">
        <v>54</v>
      </c>
    </row>
    <row r="631" spans="1:37" ht="30" customHeight="1">
      <c r="A631" s="208" t="s">
        <v>198</v>
      </c>
      <c r="B631" s="209">
        <v>2621371153</v>
      </c>
      <c r="C631" s="209" t="s">
        <v>116</v>
      </c>
      <c r="D631" s="209" t="s">
        <v>94</v>
      </c>
      <c r="E631" s="209" t="s">
        <v>35</v>
      </c>
      <c r="F631" s="209" t="s">
        <v>1380</v>
      </c>
      <c r="G631" s="209">
        <v>32</v>
      </c>
      <c r="H631" s="209" t="s">
        <v>200</v>
      </c>
      <c r="I631" s="209" t="s">
        <v>460</v>
      </c>
      <c r="J631" s="209" t="s">
        <v>221</v>
      </c>
      <c r="K631" s="209" t="s">
        <v>200</v>
      </c>
      <c r="L631" s="247">
        <v>46163.690972222219</v>
      </c>
      <c r="M631" s="247">
        <v>46163.693749999999</v>
      </c>
      <c r="N631" s="218" t="s">
        <v>364</v>
      </c>
      <c r="O631" s="256" t="s">
        <v>207</v>
      </c>
      <c r="P631" s="280"/>
      <c r="Q631" s="140" t="s">
        <v>207</v>
      </c>
      <c r="R631" s="90"/>
      <c r="S631" s="140" t="s">
        <v>207</v>
      </c>
      <c r="T631" s="90"/>
      <c r="U631" s="140" t="s">
        <v>207</v>
      </c>
      <c r="V631" s="90"/>
      <c r="W631" s="140" t="s">
        <v>207</v>
      </c>
      <c r="X631" s="90"/>
      <c r="Y631" s="140" t="s">
        <v>207</v>
      </c>
      <c r="Z631" s="90"/>
      <c r="AA631" s="140" t="s">
        <v>207</v>
      </c>
      <c r="AB631" s="90"/>
      <c r="AC631" s="140" t="s">
        <v>207</v>
      </c>
      <c r="AD631" s="90"/>
      <c r="AE631" s="140" t="s">
        <v>207</v>
      </c>
      <c r="AF631" s="178" t="str">
        <f>IF(AND(O631="",Q631="",S631="",U631="",W631="",Y631="",AA631="",AC631=""),"",IF(OR(AND(O631&lt;&gt;"NA",O631&lt;&gt;"C",O631&lt;&gt;"NC",O631&lt;&gt;"SF",O631&lt;&gt;""),AND(Q631&lt;&gt;"NA",Q631&lt;&gt;"C",Q631&lt;&gt;"NC",Q631&lt;&gt;"SF",Q631&lt;&gt;""),AND(S631&lt;&gt;"NA",S631&lt;&gt;"C",S631&lt;&gt;"NC",S631&lt;&gt;"SF",S631&lt;&gt;""),AND(U631&lt;&gt;"NA",U631&lt;&gt;"C",U631&lt;&gt;"NC",U631&lt;&gt;"SF",U631&lt;&gt;""),AND(W631&lt;&gt;"NA",W631&lt;&gt;"C",W631&lt;&gt;"NC",W631&lt;&gt;"SF",W631&lt;&gt;""),AND(Y631&lt;&gt;"NA",Y631&lt;&gt;"C",Y631&lt;&gt;"NC",Y631&lt;&gt;"SF",Y631&lt;&gt;""),AND(AA631&lt;&gt;"NA",AA631&lt;&gt;"C",AA631&lt;&gt;"NC",AA631&lt;&gt;"SF",AA631&lt;&gt;""),AND(AC631&lt;&gt;"NA",AC631&lt;&gt;"C",AC631&lt;&gt;"NC",AC631&lt;&gt;"SF",AC631&lt;&gt;"")),"FALSO",IF(AND(O631="NA",Q631="NA",S631="NA",U631="NA",W631="NA",Y631="NA",AA631="NA",AC631="NA"),"NA",IF(OR(O631="NC",Q631="NC",S631="NC",U631="NC",W631="NC",Y631="NC",AA631="NC",AC631="NC",O631="SF",Q631="SF",S631="SF",U631="SF",W631="SF",Y631="SF",AA631="SF",AC631="SF"),"NC",IF(OR(O631="C",Q631="C",S631="C",U631="C",W631="C",Y631="C",AA631="C",AC631="C"),"C","")))))</f>
        <v>C</v>
      </c>
      <c r="AG631" s="52" t="str">
        <f t="shared" si="28"/>
        <v>UTILIZOU O PDA CORRETAMENTE</v>
      </c>
      <c r="AH631" s="140" t="s">
        <v>207</v>
      </c>
      <c r="AI631" s="182" t="s">
        <v>36</v>
      </c>
      <c r="AJ631" s="93" t="str">
        <f t="shared" si="29"/>
        <v>SÃO PAULO</v>
      </c>
      <c r="AK631" s="183" t="s">
        <v>54</v>
      </c>
    </row>
    <row r="632" spans="1:37" ht="30" customHeight="1">
      <c r="A632" s="208" t="s">
        <v>198</v>
      </c>
      <c r="B632" s="209">
        <v>2693815828</v>
      </c>
      <c r="C632" s="209" t="s">
        <v>122</v>
      </c>
      <c r="D632" s="209" t="s">
        <v>96</v>
      </c>
      <c r="E632" s="209" t="s">
        <v>35</v>
      </c>
      <c r="F632" s="209" t="s">
        <v>530</v>
      </c>
      <c r="G632" s="209">
        <v>202</v>
      </c>
      <c r="H632" s="209" t="s">
        <v>200</v>
      </c>
      <c r="I632" s="209" t="s">
        <v>241</v>
      </c>
      <c r="J632" s="209" t="s">
        <v>260</v>
      </c>
      <c r="K632" s="209" t="s">
        <v>200</v>
      </c>
      <c r="L632" s="247">
        <v>46163.386111111111</v>
      </c>
      <c r="M632" s="247">
        <v>46163.394444444442</v>
      </c>
      <c r="N632" s="218" t="s">
        <v>517</v>
      </c>
      <c r="O632" s="256" t="s">
        <v>207</v>
      </c>
      <c r="P632" s="280"/>
      <c r="Q632" s="140" t="s">
        <v>207</v>
      </c>
      <c r="R632" s="90"/>
      <c r="S632" s="140" t="s">
        <v>207</v>
      </c>
      <c r="T632" s="90"/>
      <c r="U632" s="140" t="s">
        <v>207</v>
      </c>
      <c r="V632" s="90"/>
      <c r="W632" s="140" t="s">
        <v>207</v>
      </c>
      <c r="X632" s="90"/>
      <c r="Y632" s="140" t="s">
        <v>77</v>
      </c>
      <c r="Z632" s="90"/>
      <c r="AA632" s="140" t="s">
        <v>207</v>
      </c>
      <c r="AB632" s="90"/>
      <c r="AC632" s="140" t="s">
        <v>207</v>
      </c>
      <c r="AD632" s="90"/>
      <c r="AE632" s="140" t="s">
        <v>207</v>
      </c>
      <c r="AF632" s="178" t="str">
        <f>IF(AND(O632="",Q632="",S632="",U632="",W632="",Y632="",AA632="",AC632=""),"",IF(OR(AND(O632&lt;&gt;"NA",O632&lt;&gt;"C",O632&lt;&gt;"NC",O632&lt;&gt;"SF",O632&lt;&gt;""),AND(Q632&lt;&gt;"NA",Q632&lt;&gt;"C",Q632&lt;&gt;"NC",Q632&lt;&gt;"SF",Q632&lt;&gt;""),AND(S632&lt;&gt;"NA",S632&lt;&gt;"C",S632&lt;&gt;"NC",S632&lt;&gt;"SF",S632&lt;&gt;""),AND(U632&lt;&gt;"NA",U632&lt;&gt;"C",U632&lt;&gt;"NC",U632&lt;&gt;"SF",U632&lt;&gt;""),AND(W632&lt;&gt;"NA",W632&lt;&gt;"C",W632&lt;&gt;"NC",W632&lt;&gt;"SF",W632&lt;&gt;""),AND(Y632&lt;&gt;"NA",Y632&lt;&gt;"C",Y632&lt;&gt;"NC",Y632&lt;&gt;"SF",Y632&lt;&gt;""),AND(AA632&lt;&gt;"NA",AA632&lt;&gt;"C",AA632&lt;&gt;"NC",AA632&lt;&gt;"SF",AA632&lt;&gt;""),AND(AC632&lt;&gt;"NA",AC632&lt;&gt;"C",AC632&lt;&gt;"NC",AC632&lt;&gt;"SF",AC632&lt;&gt;"")),"FALSO",IF(AND(O632="NA",Q632="NA",S632="NA",U632="NA",W632="NA",Y632="NA",AA632="NA",AC632="NA"),"NA",IF(OR(O632="NC",Q632="NC",S632="NC",U632="NC",W632="NC",Y632="NC",AA632="NC",AC632="NC",O632="SF",Q632="SF",S632="SF",U632="SF",W632="SF",Y632="SF",AA632="SF",AC632="SF"),"NC",IF(OR(O632="C",Q632="C",S632="C",U632="C",W632="C",Y632="C",AA632="C",AC632="C"),"C","")))))</f>
        <v>C</v>
      </c>
      <c r="AG632" s="52" t="str">
        <f t="shared" si="28"/>
        <v>UTILIZOU O PDA CORRETAMENTE</v>
      </c>
      <c r="AH632" s="140" t="s">
        <v>207</v>
      </c>
      <c r="AI632" s="182" t="s">
        <v>36</v>
      </c>
      <c r="AJ632" s="93" t="str">
        <f t="shared" si="29"/>
        <v>SÃO PAULO</v>
      </c>
      <c r="AK632" s="183" t="s">
        <v>54</v>
      </c>
    </row>
    <row r="633" spans="1:37" ht="30" customHeight="1">
      <c r="A633" s="208" t="s">
        <v>198</v>
      </c>
      <c r="B633" s="209">
        <v>2693842187</v>
      </c>
      <c r="C633" s="209" t="s">
        <v>117</v>
      </c>
      <c r="D633" s="209" t="s">
        <v>96</v>
      </c>
      <c r="E633" s="209" t="s">
        <v>35</v>
      </c>
      <c r="F633" s="209" t="s">
        <v>844</v>
      </c>
      <c r="G633" s="209">
        <v>14</v>
      </c>
      <c r="H633" s="209" t="s">
        <v>347</v>
      </c>
      <c r="I633" s="209" t="s">
        <v>1381</v>
      </c>
      <c r="J633" s="209" t="s">
        <v>267</v>
      </c>
      <c r="K633" s="209" t="s">
        <v>588</v>
      </c>
      <c r="L633" s="247">
        <v>46163.431250000001</v>
      </c>
      <c r="M633" s="247">
        <v>46163.4375</v>
      </c>
      <c r="N633" s="218" t="s">
        <v>331</v>
      </c>
      <c r="O633" s="256" t="s">
        <v>207</v>
      </c>
      <c r="P633" s="280"/>
      <c r="Q633" s="140" t="s">
        <v>207</v>
      </c>
      <c r="R633" s="90"/>
      <c r="S633" s="140" t="s">
        <v>207</v>
      </c>
      <c r="T633" s="90"/>
      <c r="U633" s="140" t="s">
        <v>207</v>
      </c>
      <c r="V633" s="90"/>
      <c r="W633" s="140" t="s">
        <v>207</v>
      </c>
      <c r="X633" s="90"/>
      <c r="Y633" s="140" t="s">
        <v>77</v>
      </c>
      <c r="Z633" s="90"/>
      <c r="AA633" s="140" t="s">
        <v>207</v>
      </c>
      <c r="AB633" s="90"/>
      <c r="AC633" s="140" t="s">
        <v>207</v>
      </c>
      <c r="AD633" s="90"/>
      <c r="AE633" s="140" t="s">
        <v>207</v>
      </c>
      <c r="AF633" s="178" t="str">
        <f>IF(AND(O633="",Q633="",S633="",U633="",W633="",Y633="",AA633="",AC633=""),"",IF(OR(AND(O633&lt;&gt;"NA",O633&lt;&gt;"C",O633&lt;&gt;"NC",O633&lt;&gt;"SF",O633&lt;&gt;""),AND(Q633&lt;&gt;"NA",Q633&lt;&gt;"C",Q633&lt;&gt;"NC",Q633&lt;&gt;"SF",Q633&lt;&gt;""),AND(S633&lt;&gt;"NA",S633&lt;&gt;"C",S633&lt;&gt;"NC",S633&lt;&gt;"SF",S633&lt;&gt;""),AND(U633&lt;&gt;"NA",U633&lt;&gt;"C",U633&lt;&gt;"NC",U633&lt;&gt;"SF",U633&lt;&gt;""),AND(W633&lt;&gt;"NA",W633&lt;&gt;"C",W633&lt;&gt;"NC",W633&lt;&gt;"SF",W633&lt;&gt;""),AND(Y633&lt;&gt;"NA",Y633&lt;&gt;"C",Y633&lt;&gt;"NC",Y633&lt;&gt;"SF",Y633&lt;&gt;""),AND(AA633&lt;&gt;"NA",AA633&lt;&gt;"C",AA633&lt;&gt;"NC",AA633&lt;&gt;"SF",AA633&lt;&gt;""),AND(AC633&lt;&gt;"NA",AC633&lt;&gt;"C",AC633&lt;&gt;"NC",AC633&lt;&gt;"SF",AC633&lt;&gt;"")),"FALSO",IF(AND(O633="NA",Q633="NA",S633="NA",U633="NA",W633="NA",Y633="NA",AA633="NA",AC633="NA"),"NA",IF(OR(O633="NC",Q633="NC",S633="NC",U633="NC",W633="NC",Y633="NC",AA633="NC",AC633="NC",O633="SF",Q633="SF",S633="SF",U633="SF",W633="SF",Y633="SF",AA633="SF",AC633="SF"),"NC",IF(OR(O633="C",Q633="C",S633="C",U633="C",W633="C",Y633="C",AA633="C",AC633="C"),"C","")))))</f>
        <v>C</v>
      </c>
      <c r="AG633" s="52" t="str">
        <f t="shared" si="28"/>
        <v>UTILIZOU O PDA CORRETAMENTE</v>
      </c>
      <c r="AH633" s="140" t="s">
        <v>207</v>
      </c>
      <c r="AI633" s="182" t="s">
        <v>36</v>
      </c>
      <c r="AJ633" s="93" t="str">
        <f t="shared" si="29"/>
        <v>SÃO PAULO</v>
      </c>
      <c r="AK633" s="183" t="s">
        <v>54</v>
      </c>
    </row>
    <row r="634" spans="1:37" ht="30" customHeight="1">
      <c r="A634" s="208" t="s">
        <v>198</v>
      </c>
      <c r="B634" s="209">
        <v>2693847889</v>
      </c>
      <c r="C634" s="209" t="s">
        <v>118</v>
      </c>
      <c r="D634" s="209" t="s">
        <v>96</v>
      </c>
      <c r="E634" s="209" t="s">
        <v>35</v>
      </c>
      <c r="F634" s="209" t="s">
        <v>1382</v>
      </c>
      <c r="G634" s="209">
        <v>141</v>
      </c>
      <c r="H634" s="209" t="s">
        <v>200</v>
      </c>
      <c r="I634" s="209" t="s">
        <v>536</v>
      </c>
      <c r="J634" s="209" t="s">
        <v>260</v>
      </c>
      <c r="K634" s="209" t="s">
        <v>200</v>
      </c>
      <c r="L634" s="247">
        <v>46163.430555555555</v>
      </c>
      <c r="M634" s="247">
        <v>46163.568749999999</v>
      </c>
      <c r="N634" s="218" t="s">
        <v>295</v>
      </c>
      <c r="O634" s="256" t="s">
        <v>207</v>
      </c>
      <c r="P634" s="280"/>
      <c r="Q634" s="140" t="s">
        <v>207</v>
      </c>
      <c r="R634" s="90"/>
      <c r="S634" s="140" t="s">
        <v>207</v>
      </c>
      <c r="T634" s="90"/>
      <c r="U634" s="140" t="s">
        <v>207</v>
      </c>
      <c r="V634" s="90"/>
      <c r="W634" s="140" t="s">
        <v>207</v>
      </c>
      <c r="X634" s="90"/>
      <c r="Y634" s="140" t="s">
        <v>77</v>
      </c>
      <c r="Z634" s="90"/>
      <c r="AA634" s="140" t="s">
        <v>207</v>
      </c>
      <c r="AB634" s="90"/>
      <c r="AC634" s="140" t="s">
        <v>207</v>
      </c>
      <c r="AD634" s="90"/>
      <c r="AE634" s="140" t="s">
        <v>207</v>
      </c>
      <c r="AF634" s="178" t="str">
        <f>IF(AND(O634="",Q634="",S634="",U634="",W634="",Y634="",AA634="",AC634=""),"",IF(OR(AND(O634&lt;&gt;"NA",O634&lt;&gt;"C",O634&lt;&gt;"NC",O634&lt;&gt;"SF",O634&lt;&gt;""),AND(Q634&lt;&gt;"NA",Q634&lt;&gt;"C",Q634&lt;&gt;"NC",Q634&lt;&gt;"SF",Q634&lt;&gt;""),AND(S634&lt;&gt;"NA",S634&lt;&gt;"C",S634&lt;&gt;"NC",S634&lt;&gt;"SF",S634&lt;&gt;""),AND(U634&lt;&gt;"NA",U634&lt;&gt;"C",U634&lt;&gt;"NC",U634&lt;&gt;"SF",U634&lt;&gt;""),AND(W634&lt;&gt;"NA",W634&lt;&gt;"C",W634&lt;&gt;"NC",W634&lt;&gt;"SF",W634&lt;&gt;""),AND(Y634&lt;&gt;"NA",Y634&lt;&gt;"C",Y634&lt;&gt;"NC",Y634&lt;&gt;"SF",Y634&lt;&gt;""),AND(AA634&lt;&gt;"NA",AA634&lt;&gt;"C",AA634&lt;&gt;"NC",AA634&lt;&gt;"SF",AA634&lt;&gt;""),AND(AC634&lt;&gt;"NA",AC634&lt;&gt;"C",AC634&lt;&gt;"NC",AC634&lt;&gt;"SF",AC634&lt;&gt;"")),"FALSO",IF(AND(O634="NA",Q634="NA",S634="NA",U634="NA",W634="NA",Y634="NA",AA634="NA",AC634="NA"),"NA",IF(OR(O634="NC",Q634="NC",S634="NC",U634="NC",W634="NC",Y634="NC",AA634="NC",AC634="NC",O634="SF",Q634="SF",S634="SF",U634="SF",W634="SF",Y634="SF",AA634="SF",AC634="SF"),"NC",IF(OR(O634="C",Q634="C",S634="C",U634="C",W634="C",Y634="C",AA634="C",AC634="C"),"C","")))))</f>
        <v>C</v>
      </c>
      <c r="AG634" s="52" t="str">
        <f t="shared" si="28"/>
        <v>UTILIZOU O PDA CORRETAMENTE</v>
      </c>
      <c r="AH634" s="140" t="s">
        <v>207</v>
      </c>
      <c r="AI634" s="182" t="s">
        <v>36</v>
      </c>
      <c r="AJ634" s="93" t="str">
        <f t="shared" si="29"/>
        <v>SÃO PAULO</v>
      </c>
      <c r="AK634" s="183" t="s">
        <v>54</v>
      </c>
    </row>
    <row r="635" spans="1:37" ht="30" customHeight="1">
      <c r="A635" s="208" t="s">
        <v>198</v>
      </c>
      <c r="B635" s="209">
        <v>2621109634</v>
      </c>
      <c r="C635" s="209" t="s">
        <v>120</v>
      </c>
      <c r="D635" s="209" t="s">
        <v>96</v>
      </c>
      <c r="E635" s="209" t="s">
        <v>35</v>
      </c>
      <c r="F635" s="209" t="s">
        <v>886</v>
      </c>
      <c r="G635" s="209">
        <v>34</v>
      </c>
      <c r="H635" s="209" t="s">
        <v>200</v>
      </c>
      <c r="I635" s="209" t="s">
        <v>515</v>
      </c>
      <c r="J635" s="209" t="s">
        <v>202</v>
      </c>
      <c r="K635" s="209" t="s">
        <v>200</v>
      </c>
      <c r="L635" s="247">
        <v>46163.44027777778</v>
      </c>
      <c r="M635" s="247">
        <v>46163.531944444447</v>
      </c>
      <c r="N635" s="218" t="s">
        <v>323</v>
      </c>
      <c r="O635" s="256" t="s">
        <v>207</v>
      </c>
      <c r="P635" s="280"/>
      <c r="Q635" s="140" t="s">
        <v>207</v>
      </c>
      <c r="R635" s="90"/>
      <c r="S635" s="140" t="s">
        <v>207</v>
      </c>
      <c r="T635" s="90"/>
      <c r="U635" s="140" t="s">
        <v>207</v>
      </c>
      <c r="V635" s="90"/>
      <c r="W635" s="140" t="s">
        <v>207</v>
      </c>
      <c r="X635" s="90"/>
      <c r="Y635" s="140" t="s">
        <v>77</v>
      </c>
      <c r="Z635" s="90"/>
      <c r="AA635" s="140" t="s">
        <v>207</v>
      </c>
      <c r="AB635" s="90"/>
      <c r="AC635" s="140" t="s">
        <v>207</v>
      </c>
      <c r="AD635" s="90"/>
      <c r="AE635" s="140" t="s">
        <v>207</v>
      </c>
      <c r="AF635" s="178" t="str">
        <f>IF(AND(O635="",Q635="",S635="",U635="",W635="",Y635="",AA635="",AC635=""),"",IF(OR(AND(O635&lt;&gt;"NA",O635&lt;&gt;"C",O635&lt;&gt;"NC",O635&lt;&gt;"SF",O635&lt;&gt;""),AND(Q635&lt;&gt;"NA",Q635&lt;&gt;"C",Q635&lt;&gt;"NC",Q635&lt;&gt;"SF",Q635&lt;&gt;""),AND(S635&lt;&gt;"NA",S635&lt;&gt;"C",S635&lt;&gt;"NC",S635&lt;&gt;"SF",S635&lt;&gt;""),AND(U635&lt;&gt;"NA",U635&lt;&gt;"C",U635&lt;&gt;"NC",U635&lt;&gt;"SF",U635&lt;&gt;""),AND(W635&lt;&gt;"NA",W635&lt;&gt;"C",W635&lt;&gt;"NC",W635&lt;&gt;"SF",W635&lt;&gt;""),AND(Y635&lt;&gt;"NA",Y635&lt;&gt;"C",Y635&lt;&gt;"NC",Y635&lt;&gt;"SF",Y635&lt;&gt;""),AND(AA635&lt;&gt;"NA",AA635&lt;&gt;"C",AA635&lt;&gt;"NC",AA635&lt;&gt;"SF",AA635&lt;&gt;""),AND(AC635&lt;&gt;"NA",AC635&lt;&gt;"C",AC635&lt;&gt;"NC",AC635&lt;&gt;"SF",AC635&lt;&gt;"")),"FALSO",IF(AND(O635="NA",Q635="NA",S635="NA",U635="NA",W635="NA",Y635="NA",AA635="NA",AC635="NA"),"NA",IF(OR(O635="NC",Q635="NC",S635="NC",U635="NC",W635="NC",Y635="NC",AA635="NC",AC635="NC",O635="SF",Q635="SF",S635="SF",U635="SF",W635="SF",Y635="SF",AA635="SF",AC635="SF"),"NC",IF(OR(O635="C",Q635="C",S635="C",U635="C",W635="C",Y635="C",AA635="C",AC635="C"),"C","")))))</f>
        <v>C</v>
      </c>
      <c r="AG635" s="52" t="str">
        <f t="shared" si="28"/>
        <v>UTILIZOU O PDA CORRETAMENTE</v>
      </c>
      <c r="AH635" s="140" t="s">
        <v>207</v>
      </c>
      <c r="AI635" s="182" t="s">
        <v>36</v>
      </c>
      <c r="AJ635" s="93" t="str">
        <f t="shared" si="29"/>
        <v>SÃO PAULO</v>
      </c>
      <c r="AK635" s="183" t="s">
        <v>54</v>
      </c>
    </row>
    <row r="636" spans="1:37" ht="30" customHeight="1">
      <c r="A636" s="208" t="s">
        <v>198</v>
      </c>
      <c r="B636" s="209">
        <v>2693847913</v>
      </c>
      <c r="C636" s="209" t="s">
        <v>122</v>
      </c>
      <c r="D636" s="209" t="s">
        <v>96</v>
      </c>
      <c r="E636" s="209" t="s">
        <v>35</v>
      </c>
      <c r="F636" s="209" t="s">
        <v>599</v>
      </c>
      <c r="G636" s="209">
        <v>43</v>
      </c>
      <c r="H636" s="209" t="s">
        <v>208</v>
      </c>
      <c r="I636" s="209" t="s">
        <v>256</v>
      </c>
      <c r="J636" s="209" t="s">
        <v>315</v>
      </c>
      <c r="K636" s="209" t="s">
        <v>200</v>
      </c>
      <c r="L636" s="247">
        <v>46163.493055555555</v>
      </c>
      <c r="M636" s="247">
        <v>46163.656944444447</v>
      </c>
      <c r="N636" s="218" t="s">
        <v>213</v>
      </c>
      <c r="O636" s="256" t="s">
        <v>207</v>
      </c>
      <c r="P636" s="280"/>
      <c r="Q636" s="140" t="s">
        <v>207</v>
      </c>
      <c r="R636" s="90"/>
      <c r="S636" s="140" t="s">
        <v>207</v>
      </c>
      <c r="T636" s="90"/>
      <c r="U636" s="140" t="s">
        <v>207</v>
      </c>
      <c r="V636" s="90"/>
      <c r="W636" s="140" t="s">
        <v>207</v>
      </c>
      <c r="X636" s="90"/>
      <c r="Y636" s="140" t="s">
        <v>77</v>
      </c>
      <c r="Z636" s="90"/>
      <c r="AA636" s="140" t="s">
        <v>207</v>
      </c>
      <c r="AB636" s="90"/>
      <c r="AC636" s="140" t="s">
        <v>207</v>
      </c>
      <c r="AD636" s="90"/>
      <c r="AE636" s="140" t="s">
        <v>207</v>
      </c>
      <c r="AF636" s="178" t="str">
        <f>IF(AND(O636="",Q636="",S636="",U636="",W636="",Y636="",AA636="",AC636=""),"",IF(OR(AND(O636&lt;&gt;"NA",O636&lt;&gt;"C",O636&lt;&gt;"NC",O636&lt;&gt;"SF",O636&lt;&gt;""),AND(Q636&lt;&gt;"NA",Q636&lt;&gt;"C",Q636&lt;&gt;"NC",Q636&lt;&gt;"SF",Q636&lt;&gt;""),AND(S636&lt;&gt;"NA",S636&lt;&gt;"C",S636&lt;&gt;"NC",S636&lt;&gt;"SF",S636&lt;&gt;""),AND(U636&lt;&gt;"NA",U636&lt;&gt;"C",U636&lt;&gt;"NC",U636&lt;&gt;"SF",U636&lt;&gt;""),AND(W636&lt;&gt;"NA",W636&lt;&gt;"C",W636&lt;&gt;"NC",W636&lt;&gt;"SF",W636&lt;&gt;""),AND(Y636&lt;&gt;"NA",Y636&lt;&gt;"C",Y636&lt;&gt;"NC",Y636&lt;&gt;"SF",Y636&lt;&gt;""),AND(AA636&lt;&gt;"NA",AA636&lt;&gt;"C",AA636&lt;&gt;"NC",AA636&lt;&gt;"SF",AA636&lt;&gt;""),AND(AC636&lt;&gt;"NA",AC636&lt;&gt;"C",AC636&lt;&gt;"NC",AC636&lt;&gt;"SF",AC636&lt;&gt;"")),"FALSO",IF(AND(O636="NA",Q636="NA",S636="NA",U636="NA",W636="NA",Y636="NA",AA636="NA",AC636="NA"),"NA",IF(OR(O636="NC",Q636="NC",S636="NC",U636="NC",W636="NC",Y636="NC",AA636="NC",AC636="NC",O636="SF",Q636="SF",S636="SF",U636="SF",W636="SF",Y636="SF",AA636="SF",AC636="SF"),"NC",IF(OR(O636="C",Q636="C",S636="C",U636="C",W636="C",Y636="C",AA636="C",AC636="C"),"C","")))))</f>
        <v>C</v>
      </c>
      <c r="AG636" s="52" t="str">
        <f t="shared" si="28"/>
        <v>UTILIZOU O PDA CORRETAMENTE</v>
      </c>
      <c r="AH636" s="140" t="s">
        <v>207</v>
      </c>
      <c r="AI636" s="182" t="s">
        <v>36</v>
      </c>
      <c r="AJ636" s="93" t="str">
        <f t="shared" si="29"/>
        <v>SÃO PAULO</v>
      </c>
      <c r="AK636" s="183" t="s">
        <v>54</v>
      </c>
    </row>
    <row r="637" spans="1:37" ht="30" customHeight="1">
      <c r="A637" s="208" t="s">
        <v>198</v>
      </c>
      <c r="B637" s="209">
        <v>2621443474</v>
      </c>
      <c r="C637" s="209" t="s">
        <v>118</v>
      </c>
      <c r="D637" s="209" t="s">
        <v>96</v>
      </c>
      <c r="E637" s="209" t="s">
        <v>35</v>
      </c>
      <c r="F637" s="209" t="s">
        <v>802</v>
      </c>
      <c r="G637" s="209">
        <v>10</v>
      </c>
      <c r="H637" s="209" t="s">
        <v>205</v>
      </c>
      <c r="I637" s="209" t="s">
        <v>636</v>
      </c>
      <c r="J637" s="209" t="s">
        <v>267</v>
      </c>
      <c r="K637" s="209" t="s">
        <v>200</v>
      </c>
      <c r="L637" s="247">
        <v>46163.232638888891</v>
      </c>
      <c r="M637" s="247">
        <v>46163.429166666669</v>
      </c>
      <c r="N637" s="218" t="s">
        <v>403</v>
      </c>
      <c r="O637" s="256" t="s">
        <v>207</v>
      </c>
      <c r="P637" s="280"/>
      <c r="Q637" s="140" t="s">
        <v>207</v>
      </c>
      <c r="R637" s="90"/>
      <c r="S637" s="140" t="s">
        <v>207</v>
      </c>
      <c r="T637" s="90"/>
      <c r="U637" s="140" t="s">
        <v>207</v>
      </c>
      <c r="V637" s="90"/>
      <c r="W637" s="140" t="s">
        <v>207</v>
      </c>
      <c r="X637" s="90"/>
      <c r="Y637" s="140" t="s">
        <v>77</v>
      </c>
      <c r="Z637" s="90"/>
      <c r="AA637" s="140" t="s">
        <v>207</v>
      </c>
      <c r="AB637" s="90"/>
      <c r="AC637" s="140" t="s">
        <v>207</v>
      </c>
      <c r="AD637" s="90"/>
      <c r="AE637" s="140" t="s">
        <v>207</v>
      </c>
      <c r="AF637" s="178" t="str">
        <f>IF(AND(O637="",Q637="",S637="",U637="",W637="",Y637="",AA637="",AC637=""),"",IF(OR(AND(O637&lt;&gt;"NA",O637&lt;&gt;"C",O637&lt;&gt;"NC",O637&lt;&gt;"SF",O637&lt;&gt;""),AND(Q637&lt;&gt;"NA",Q637&lt;&gt;"C",Q637&lt;&gt;"NC",Q637&lt;&gt;"SF",Q637&lt;&gt;""),AND(S637&lt;&gt;"NA",S637&lt;&gt;"C",S637&lt;&gt;"NC",S637&lt;&gt;"SF",S637&lt;&gt;""),AND(U637&lt;&gt;"NA",U637&lt;&gt;"C",U637&lt;&gt;"NC",U637&lt;&gt;"SF",U637&lt;&gt;""),AND(W637&lt;&gt;"NA",W637&lt;&gt;"C",W637&lt;&gt;"NC",W637&lt;&gt;"SF",W637&lt;&gt;""),AND(Y637&lt;&gt;"NA",Y637&lt;&gt;"C",Y637&lt;&gt;"NC",Y637&lt;&gt;"SF",Y637&lt;&gt;""),AND(AA637&lt;&gt;"NA",AA637&lt;&gt;"C",AA637&lt;&gt;"NC",AA637&lt;&gt;"SF",AA637&lt;&gt;""),AND(AC637&lt;&gt;"NA",AC637&lt;&gt;"C",AC637&lt;&gt;"NC",AC637&lt;&gt;"SF",AC637&lt;&gt;"")),"FALSO",IF(AND(O637="NA",Q637="NA",S637="NA",U637="NA",W637="NA",Y637="NA",AA637="NA",AC637="NA"),"NA",IF(OR(O637="NC",Q637="NC",S637="NC",U637="NC",W637="NC",Y637="NC",AA637="NC",AC637="NC",O637="SF",Q637="SF",S637="SF",U637="SF",W637="SF",Y637="SF",AA637="SF",AC637="SF"),"NC",IF(OR(O637="C",Q637="C",S637="C",U637="C",W637="C",Y637="C",AA637="C",AC637="C"),"C","")))))</f>
        <v>C</v>
      </c>
      <c r="AG637" s="52" t="str">
        <f t="shared" si="28"/>
        <v>UTILIZOU O PDA CORRETAMENTE</v>
      </c>
      <c r="AH637" s="140" t="s">
        <v>207</v>
      </c>
      <c r="AI637" s="182" t="s">
        <v>36</v>
      </c>
      <c r="AJ637" s="93" t="str">
        <f t="shared" si="29"/>
        <v>SÃO PAULO</v>
      </c>
      <c r="AK637" s="183" t="s">
        <v>54</v>
      </c>
    </row>
    <row r="638" spans="1:37" ht="30" customHeight="1">
      <c r="A638" s="208" t="s">
        <v>198</v>
      </c>
      <c r="B638" s="209">
        <v>2621270948</v>
      </c>
      <c r="C638" s="209" t="s">
        <v>116</v>
      </c>
      <c r="D638" s="209" t="s">
        <v>94</v>
      </c>
      <c r="E638" s="209" t="s">
        <v>35</v>
      </c>
      <c r="F638" s="209" t="s">
        <v>1164</v>
      </c>
      <c r="G638" s="209">
        <v>26</v>
      </c>
      <c r="H638" s="209" t="s">
        <v>200</v>
      </c>
      <c r="I638" s="209" t="s">
        <v>433</v>
      </c>
      <c r="J638" s="209" t="s">
        <v>221</v>
      </c>
      <c r="K638" s="209" t="s">
        <v>200</v>
      </c>
      <c r="L638" s="247">
        <v>46163.46875</v>
      </c>
      <c r="M638" s="247">
        <v>46163.470833333333</v>
      </c>
      <c r="N638" s="218" t="s">
        <v>364</v>
      </c>
      <c r="O638" s="256" t="s">
        <v>207</v>
      </c>
      <c r="P638" s="280"/>
      <c r="Q638" s="140" t="s">
        <v>207</v>
      </c>
      <c r="R638" s="90"/>
      <c r="S638" s="140" t="s">
        <v>207</v>
      </c>
      <c r="T638" s="90"/>
      <c r="U638" s="140" t="s">
        <v>207</v>
      </c>
      <c r="V638" s="90"/>
      <c r="W638" s="140" t="s">
        <v>207</v>
      </c>
      <c r="X638" s="90"/>
      <c r="Y638" s="140" t="s">
        <v>207</v>
      </c>
      <c r="Z638" s="90"/>
      <c r="AA638" s="140" t="s">
        <v>207</v>
      </c>
      <c r="AB638" s="90"/>
      <c r="AC638" s="140" t="s">
        <v>207</v>
      </c>
      <c r="AD638" s="90"/>
      <c r="AE638" s="140" t="s">
        <v>207</v>
      </c>
      <c r="AF638" s="178" t="str">
        <f>IF(AND(O638="",Q638="",S638="",U638="",W638="",Y638="",AA638="",AC638=""),"",IF(OR(AND(O638&lt;&gt;"NA",O638&lt;&gt;"C",O638&lt;&gt;"NC",O638&lt;&gt;"SF",O638&lt;&gt;""),AND(Q638&lt;&gt;"NA",Q638&lt;&gt;"C",Q638&lt;&gt;"NC",Q638&lt;&gt;"SF",Q638&lt;&gt;""),AND(S638&lt;&gt;"NA",S638&lt;&gt;"C",S638&lt;&gt;"NC",S638&lt;&gt;"SF",S638&lt;&gt;""),AND(U638&lt;&gt;"NA",U638&lt;&gt;"C",U638&lt;&gt;"NC",U638&lt;&gt;"SF",U638&lt;&gt;""),AND(W638&lt;&gt;"NA",W638&lt;&gt;"C",W638&lt;&gt;"NC",W638&lt;&gt;"SF",W638&lt;&gt;""),AND(Y638&lt;&gt;"NA",Y638&lt;&gt;"C",Y638&lt;&gt;"NC",Y638&lt;&gt;"SF",Y638&lt;&gt;""),AND(AA638&lt;&gt;"NA",AA638&lt;&gt;"C",AA638&lt;&gt;"NC",AA638&lt;&gt;"SF",AA638&lt;&gt;""),AND(AC638&lt;&gt;"NA",AC638&lt;&gt;"C",AC638&lt;&gt;"NC",AC638&lt;&gt;"SF",AC638&lt;&gt;"")),"FALSO",IF(AND(O638="NA",Q638="NA",S638="NA",U638="NA",W638="NA",Y638="NA",AA638="NA",AC638="NA"),"NA",IF(OR(O638="NC",Q638="NC",S638="NC",U638="NC",W638="NC",Y638="NC",AA638="NC",AC638="NC",O638="SF",Q638="SF",S638="SF",U638="SF",W638="SF",Y638="SF",AA638="SF",AC638="SF"),"NC",IF(OR(O638="C",Q638="C",S638="C",U638="C",W638="C",Y638="C",AA638="C",AC638="C"),"C","")))))</f>
        <v>C</v>
      </c>
      <c r="AG638" s="52" t="str">
        <f t="shared" si="28"/>
        <v>UTILIZOU O PDA CORRETAMENTE</v>
      </c>
      <c r="AH638" s="140" t="s">
        <v>207</v>
      </c>
      <c r="AI638" s="182" t="s">
        <v>36</v>
      </c>
      <c r="AJ638" s="93" t="str">
        <f t="shared" si="29"/>
        <v>SÃO PAULO</v>
      </c>
      <c r="AK638" s="183" t="s">
        <v>54</v>
      </c>
    </row>
    <row r="639" spans="1:37" ht="30" customHeight="1">
      <c r="A639" s="208" t="s">
        <v>198</v>
      </c>
      <c r="B639" s="209">
        <v>2621278538</v>
      </c>
      <c r="C639" s="209" t="s">
        <v>118</v>
      </c>
      <c r="D639" s="209" t="s">
        <v>96</v>
      </c>
      <c r="E639" s="209" t="s">
        <v>35</v>
      </c>
      <c r="F639" s="209" t="s">
        <v>599</v>
      </c>
      <c r="G639" s="209">
        <v>8</v>
      </c>
      <c r="H639" s="209" t="s">
        <v>347</v>
      </c>
      <c r="I639" s="209" t="s">
        <v>256</v>
      </c>
      <c r="J639" s="209" t="s">
        <v>267</v>
      </c>
      <c r="K639" s="209" t="s">
        <v>200</v>
      </c>
      <c r="L639" s="247">
        <v>46163.397916666669</v>
      </c>
      <c r="M639" s="247">
        <v>46163.399305555555</v>
      </c>
      <c r="N639" s="218" t="s">
        <v>235</v>
      </c>
      <c r="O639" s="256" t="s">
        <v>207</v>
      </c>
      <c r="P639" s="280"/>
      <c r="Q639" s="140" t="s">
        <v>207</v>
      </c>
      <c r="R639" s="90"/>
      <c r="S639" s="140" t="s">
        <v>207</v>
      </c>
      <c r="T639" s="90"/>
      <c r="U639" s="140" t="s">
        <v>207</v>
      </c>
      <c r="V639" s="90"/>
      <c r="W639" s="140" t="s">
        <v>207</v>
      </c>
      <c r="X639" s="90"/>
      <c r="Y639" s="140" t="s">
        <v>77</v>
      </c>
      <c r="Z639" s="90"/>
      <c r="AA639" s="140" t="s">
        <v>207</v>
      </c>
      <c r="AB639" s="90"/>
      <c r="AC639" s="140" t="s">
        <v>207</v>
      </c>
      <c r="AD639" s="90"/>
      <c r="AE639" s="140" t="s">
        <v>207</v>
      </c>
      <c r="AF639" s="178" t="str">
        <f>IF(AND(O639="",Q639="",S639="",U639="",W639="",Y639="",AA639="",AC639=""),"",IF(OR(AND(O639&lt;&gt;"NA",O639&lt;&gt;"C",O639&lt;&gt;"NC",O639&lt;&gt;"SF",O639&lt;&gt;""),AND(Q639&lt;&gt;"NA",Q639&lt;&gt;"C",Q639&lt;&gt;"NC",Q639&lt;&gt;"SF",Q639&lt;&gt;""),AND(S639&lt;&gt;"NA",S639&lt;&gt;"C",S639&lt;&gt;"NC",S639&lt;&gt;"SF",S639&lt;&gt;""),AND(U639&lt;&gt;"NA",U639&lt;&gt;"C",U639&lt;&gt;"NC",U639&lt;&gt;"SF",U639&lt;&gt;""),AND(W639&lt;&gt;"NA",W639&lt;&gt;"C",W639&lt;&gt;"NC",W639&lt;&gt;"SF",W639&lt;&gt;""),AND(Y639&lt;&gt;"NA",Y639&lt;&gt;"C",Y639&lt;&gt;"NC",Y639&lt;&gt;"SF",Y639&lt;&gt;""),AND(AA639&lt;&gt;"NA",AA639&lt;&gt;"C",AA639&lt;&gt;"NC",AA639&lt;&gt;"SF",AA639&lt;&gt;""),AND(AC639&lt;&gt;"NA",AC639&lt;&gt;"C",AC639&lt;&gt;"NC",AC639&lt;&gt;"SF",AC639&lt;&gt;"")),"FALSO",IF(AND(O639="NA",Q639="NA",S639="NA",U639="NA",W639="NA",Y639="NA",AA639="NA",AC639="NA"),"NA",IF(OR(O639="NC",Q639="NC",S639="NC",U639="NC",W639="NC",Y639="NC",AA639="NC",AC639="NC",O639="SF",Q639="SF",S639="SF",U639="SF",W639="SF",Y639="SF",AA639="SF",AC639="SF"),"NC",IF(OR(O639="C",Q639="C",S639="C",U639="C",W639="C",Y639="C",AA639="C",AC639="C"),"C","")))))</f>
        <v>C</v>
      </c>
      <c r="AG639" s="52" t="str">
        <f t="shared" si="28"/>
        <v>UTILIZOU O PDA CORRETAMENTE</v>
      </c>
      <c r="AH639" s="140" t="s">
        <v>207</v>
      </c>
      <c r="AI639" s="182" t="s">
        <v>36</v>
      </c>
      <c r="AJ639" s="93" t="str">
        <f t="shared" si="29"/>
        <v>SÃO PAULO</v>
      </c>
      <c r="AK639" s="183" t="s">
        <v>54</v>
      </c>
    </row>
    <row r="640" spans="1:37" ht="30" customHeight="1">
      <c r="A640" s="208" t="s">
        <v>198</v>
      </c>
      <c r="B640" s="209">
        <v>2693862202</v>
      </c>
      <c r="C640" s="209" t="s">
        <v>122</v>
      </c>
      <c r="D640" s="209" t="s">
        <v>96</v>
      </c>
      <c r="E640" s="209" t="s">
        <v>35</v>
      </c>
      <c r="F640" s="209" t="s">
        <v>1383</v>
      </c>
      <c r="G640" s="209">
        <v>51</v>
      </c>
      <c r="H640" s="209" t="s">
        <v>205</v>
      </c>
      <c r="I640" s="209" t="s">
        <v>598</v>
      </c>
      <c r="J640" s="209" t="s">
        <v>301</v>
      </c>
      <c r="K640" s="209" t="s">
        <v>200</v>
      </c>
      <c r="L640" s="247">
        <v>46163.538194444445</v>
      </c>
      <c r="M640" s="247">
        <v>46163.552083333336</v>
      </c>
      <c r="N640" s="218" t="s">
        <v>517</v>
      </c>
      <c r="O640" s="256" t="s">
        <v>207</v>
      </c>
      <c r="P640" s="280"/>
      <c r="Q640" s="140" t="s">
        <v>207</v>
      </c>
      <c r="R640" s="90"/>
      <c r="S640" s="140" t="s">
        <v>207</v>
      </c>
      <c r="T640" s="90"/>
      <c r="U640" s="140" t="s">
        <v>207</v>
      </c>
      <c r="V640" s="90"/>
      <c r="W640" s="140" t="s">
        <v>207</v>
      </c>
      <c r="X640" s="90"/>
      <c r="Y640" s="140" t="s">
        <v>77</v>
      </c>
      <c r="Z640" s="90"/>
      <c r="AA640" s="140" t="s">
        <v>207</v>
      </c>
      <c r="AB640" s="90"/>
      <c r="AC640" s="140" t="s">
        <v>207</v>
      </c>
      <c r="AD640" s="90"/>
      <c r="AE640" s="140" t="s">
        <v>207</v>
      </c>
      <c r="AF640" s="178" t="str">
        <f>IF(AND(O640="",Q640="",S640="",U640="",W640="",Y640="",AA640="",AC640=""),"",IF(OR(AND(O640&lt;&gt;"NA",O640&lt;&gt;"C",O640&lt;&gt;"NC",O640&lt;&gt;"SF",O640&lt;&gt;""),AND(Q640&lt;&gt;"NA",Q640&lt;&gt;"C",Q640&lt;&gt;"NC",Q640&lt;&gt;"SF",Q640&lt;&gt;""),AND(S640&lt;&gt;"NA",S640&lt;&gt;"C",S640&lt;&gt;"NC",S640&lt;&gt;"SF",S640&lt;&gt;""),AND(U640&lt;&gt;"NA",U640&lt;&gt;"C",U640&lt;&gt;"NC",U640&lt;&gt;"SF",U640&lt;&gt;""),AND(W640&lt;&gt;"NA",W640&lt;&gt;"C",W640&lt;&gt;"NC",W640&lt;&gt;"SF",W640&lt;&gt;""),AND(Y640&lt;&gt;"NA",Y640&lt;&gt;"C",Y640&lt;&gt;"NC",Y640&lt;&gt;"SF",Y640&lt;&gt;""),AND(AA640&lt;&gt;"NA",AA640&lt;&gt;"C",AA640&lt;&gt;"NC",AA640&lt;&gt;"SF",AA640&lt;&gt;""),AND(AC640&lt;&gt;"NA",AC640&lt;&gt;"C",AC640&lt;&gt;"NC",AC640&lt;&gt;"SF",AC640&lt;&gt;"")),"FALSO",IF(AND(O640="NA",Q640="NA",S640="NA",U640="NA",W640="NA",Y640="NA",AA640="NA",AC640="NA"),"NA",IF(OR(O640="NC",Q640="NC",S640="NC",U640="NC",W640="NC",Y640="NC",AA640="NC",AC640="NC",O640="SF",Q640="SF",S640="SF",U640="SF",W640="SF",Y640="SF",AA640="SF",AC640="SF"),"NC",IF(OR(O640="C",Q640="C",S640="C",U640="C",W640="C",Y640="C",AA640="C",AC640="C"),"C","")))))</f>
        <v>C</v>
      </c>
      <c r="AG640" s="52" t="str">
        <f t="shared" si="28"/>
        <v>UTILIZOU O PDA CORRETAMENTE</v>
      </c>
      <c r="AH640" s="140" t="s">
        <v>207</v>
      </c>
      <c r="AI640" s="182" t="s">
        <v>36</v>
      </c>
      <c r="AJ640" s="93" t="str">
        <f t="shared" si="29"/>
        <v>SÃO PAULO</v>
      </c>
      <c r="AK640" s="183" t="s">
        <v>54</v>
      </c>
    </row>
    <row r="641" spans="1:37" ht="30" customHeight="1">
      <c r="A641" s="208" t="s">
        <v>198</v>
      </c>
      <c r="B641" s="209">
        <v>2621446495</v>
      </c>
      <c r="C641" s="209" t="s">
        <v>122</v>
      </c>
      <c r="D641" s="209" t="s">
        <v>96</v>
      </c>
      <c r="E641" s="209" t="s">
        <v>35</v>
      </c>
      <c r="F641" s="209" t="s">
        <v>1384</v>
      </c>
      <c r="G641" s="209">
        <v>172</v>
      </c>
      <c r="H641" s="209" t="s">
        <v>200</v>
      </c>
      <c r="I641" s="209" t="s">
        <v>389</v>
      </c>
      <c r="J641" s="209" t="s">
        <v>267</v>
      </c>
      <c r="K641" s="209" t="s">
        <v>1385</v>
      </c>
      <c r="L641" s="247">
        <v>46163.581250000003</v>
      </c>
      <c r="M641" s="247">
        <v>46163.582638888889</v>
      </c>
      <c r="N641" s="218" t="s">
        <v>517</v>
      </c>
      <c r="O641" s="256" t="s">
        <v>207</v>
      </c>
      <c r="P641" s="280"/>
      <c r="Q641" s="140" t="s">
        <v>207</v>
      </c>
      <c r="R641" s="90"/>
      <c r="S641" s="140" t="s">
        <v>207</v>
      </c>
      <c r="T641" s="90"/>
      <c r="U641" s="140" t="s">
        <v>207</v>
      </c>
      <c r="V641" s="90"/>
      <c r="W641" s="140" t="s">
        <v>207</v>
      </c>
      <c r="X641" s="90"/>
      <c r="Y641" s="140" t="s">
        <v>77</v>
      </c>
      <c r="Z641" s="90"/>
      <c r="AA641" s="140" t="s">
        <v>207</v>
      </c>
      <c r="AB641" s="90"/>
      <c r="AC641" s="140" t="s">
        <v>207</v>
      </c>
      <c r="AD641" s="90"/>
      <c r="AE641" s="140" t="s">
        <v>207</v>
      </c>
      <c r="AF641" s="178" t="str">
        <f>IF(AND(O641="",Q641="",S641="",U641="",W641="",Y641="",AA641="",AC641=""),"",IF(OR(AND(O641&lt;&gt;"NA",O641&lt;&gt;"C",O641&lt;&gt;"NC",O641&lt;&gt;"SF",O641&lt;&gt;""),AND(Q641&lt;&gt;"NA",Q641&lt;&gt;"C",Q641&lt;&gt;"NC",Q641&lt;&gt;"SF",Q641&lt;&gt;""),AND(S641&lt;&gt;"NA",S641&lt;&gt;"C",S641&lt;&gt;"NC",S641&lt;&gt;"SF",S641&lt;&gt;""),AND(U641&lt;&gt;"NA",U641&lt;&gt;"C",U641&lt;&gt;"NC",U641&lt;&gt;"SF",U641&lt;&gt;""),AND(W641&lt;&gt;"NA",W641&lt;&gt;"C",W641&lt;&gt;"NC",W641&lt;&gt;"SF",W641&lt;&gt;""),AND(Y641&lt;&gt;"NA",Y641&lt;&gt;"C",Y641&lt;&gt;"NC",Y641&lt;&gt;"SF",Y641&lt;&gt;""),AND(AA641&lt;&gt;"NA",AA641&lt;&gt;"C",AA641&lt;&gt;"NC",AA641&lt;&gt;"SF",AA641&lt;&gt;""),AND(AC641&lt;&gt;"NA",AC641&lt;&gt;"C",AC641&lt;&gt;"NC",AC641&lt;&gt;"SF",AC641&lt;&gt;"")),"FALSO",IF(AND(O641="NA",Q641="NA",S641="NA",U641="NA",W641="NA",Y641="NA",AA641="NA",AC641="NA"),"NA",IF(OR(O641="NC",Q641="NC",S641="NC",U641="NC",W641="NC",Y641="NC",AA641="NC",AC641="NC",O641="SF",Q641="SF",S641="SF",U641="SF",W641="SF",Y641="SF",AA641="SF",AC641="SF"),"NC",IF(OR(O641="C",Q641="C",S641="C",U641="C",W641="C",Y641="C",AA641="C",AC641="C"),"C","")))))</f>
        <v>C</v>
      </c>
      <c r="AG641" s="52" t="str">
        <f t="shared" si="28"/>
        <v>UTILIZOU O PDA CORRETAMENTE</v>
      </c>
      <c r="AH641" s="140" t="s">
        <v>207</v>
      </c>
      <c r="AI641" s="182" t="s">
        <v>36</v>
      </c>
      <c r="AJ641" s="93" t="str">
        <f t="shared" si="29"/>
        <v>SÃO PAULO</v>
      </c>
      <c r="AK641" s="183" t="s">
        <v>54</v>
      </c>
    </row>
    <row r="642" spans="1:37" ht="30" customHeight="1">
      <c r="A642" s="208" t="s">
        <v>198</v>
      </c>
      <c r="B642" s="209">
        <v>2693865372</v>
      </c>
      <c r="C642" s="209" t="s">
        <v>118</v>
      </c>
      <c r="D642" s="209" t="s">
        <v>96</v>
      </c>
      <c r="E642" s="209" t="s">
        <v>35</v>
      </c>
      <c r="F642" s="209" t="s">
        <v>1334</v>
      </c>
      <c r="G642" s="209">
        <v>176</v>
      </c>
      <c r="H642" s="209" t="s">
        <v>200</v>
      </c>
      <c r="I642" s="209" t="s">
        <v>701</v>
      </c>
      <c r="J642" s="209" t="s">
        <v>267</v>
      </c>
      <c r="K642" s="209" t="s">
        <v>200</v>
      </c>
      <c r="L642" s="247">
        <v>46163.300694444442</v>
      </c>
      <c r="M642" s="247">
        <v>46163.303472222222</v>
      </c>
      <c r="N642" s="218" t="s">
        <v>232</v>
      </c>
      <c r="O642" s="256" t="s">
        <v>207</v>
      </c>
      <c r="P642" s="280"/>
      <c r="Q642" s="140" t="s">
        <v>207</v>
      </c>
      <c r="R642" s="90"/>
      <c r="S642" s="140" t="s">
        <v>207</v>
      </c>
      <c r="T642" s="90"/>
      <c r="U642" s="140" t="s">
        <v>207</v>
      </c>
      <c r="V642" s="90"/>
      <c r="W642" s="140" t="s">
        <v>207</v>
      </c>
      <c r="X642" s="90"/>
      <c r="Y642" s="140" t="s">
        <v>77</v>
      </c>
      <c r="Z642" s="90"/>
      <c r="AA642" s="140" t="s">
        <v>207</v>
      </c>
      <c r="AB642" s="90"/>
      <c r="AC642" s="140" t="s">
        <v>207</v>
      </c>
      <c r="AD642" s="90"/>
      <c r="AE642" s="140" t="s">
        <v>207</v>
      </c>
      <c r="AF642" s="178" t="str">
        <f>IF(AND(O642="",Q642="",S642="",U642="",W642="",Y642="",AA642="",AC642=""),"",IF(OR(AND(O642&lt;&gt;"NA",O642&lt;&gt;"C",O642&lt;&gt;"NC",O642&lt;&gt;"SF",O642&lt;&gt;""),AND(Q642&lt;&gt;"NA",Q642&lt;&gt;"C",Q642&lt;&gt;"NC",Q642&lt;&gt;"SF",Q642&lt;&gt;""),AND(S642&lt;&gt;"NA",S642&lt;&gt;"C",S642&lt;&gt;"NC",S642&lt;&gt;"SF",S642&lt;&gt;""),AND(U642&lt;&gt;"NA",U642&lt;&gt;"C",U642&lt;&gt;"NC",U642&lt;&gt;"SF",U642&lt;&gt;""),AND(W642&lt;&gt;"NA",W642&lt;&gt;"C",W642&lt;&gt;"NC",W642&lt;&gt;"SF",W642&lt;&gt;""),AND(Y642&lt;&gt;"NA",Y642&lt;&gt;"C",Y642&lt;&gt;"NC",Y642&lt;&gt;"SF",Y642&lt;&gt;""),AND(AA642&lt;&gt;"NA",AA642&lt;&gt;"C",AA642&lt;&gt;"NC",AA642&lt;&gt;"SF",AA642&lt;&gt;""),AND(AC642&lt;&gt;"NA",AC642&lt;&gt;"C",AC642&lt;&gt;"NC",AC642&lt;&gt;"SF",AC642&lt;&gt;"")),"FALSO",IF(AND(O642="NA",Q642="NA",S642="NA",U642="NA",W642="NA",Y642="NA",AA642="NA",AC642="NA"),"NA",IF(OR(O642="NC",Q642="NC",S642="NC",U642="NC",W642="NC",Y642="NC",AA642="NC",AC642="NC",O642="SF",Q642="SF",S642="SF",U642="SF",W642="SF",Y642="SF",AA642="SF",AC642="SF"),"NC",IF(OR(O642="C",Q642="C",S642="C",U642="C",W642="C",Y642="C",AA642="C",AC642="C"),"C","")))))</f>
        <v>C</v>
      </c>
      <c r="AG642" s="52" t="str">
        <f t="shared" si="28"/>
        <v>UTILIZOU O PDA CORRETAMENTE</v>
      </c>
      <c r="AH642" s="140" t="s">
        <v>207</v>
      </c>
      <c r="AI642" s="182" t="s">
        <v>36</v>
      </c>
      <c r="AJ642" s="93" t="str">
        <f t="shared" si="29"/>
        <v>SÃO PAULO</v>
      </c>
      <c r="AK642" s="183" t="s">
        <v>54</v>
      </c>
    </row>
    <row r="643" spans="1:37" ht="30" customHeight="1">
      <c r="A643" s="208" t="s">
        <v>198</v>
      </c>
      <c r="B643" s="209">
        <v>2621467707</v>
      </c>
      <c r="C643" s="209" t="s">
        <v>120</v>
      </c>
      <c r="D643" s="209" t="s">
        <v>96</v>
      </c>
      <c r="E643" s="209" t="s">
        <v>35</v>
      </c>
      <c r="F643" s="209" t="s">
        <v>1164</v>
      </c>
      <c r="G643" s="209">
        <v>23</v>
      </c>
      <c r="H643" s="209" t="s">
        <v>200</v>
      </c>
      <c r="I643" s="209" t="s">
        <v>433</v>
      </c>
      <c r="J643" s="209" t="s">
        <v>202</v>
      </c>
      <c r="K643" s="209" t="s">
        <v>1386</v>
      </c>
      <c r="L643" s="247">
        <v>46163.457638888889</v>
      </c>
      <c r="M643" s="247">
        <v>46163.467361111114</v>
      </c>
      <c r="N643" s="218" t="s">
        <v>364</v>
      </c>
      <c r="O643" s="256" t="s">
        <v>207</v>
      </c>
      <c r="P643" s="280"/>
      <c r="Q643" s="140" t="s">
        <v>207</v>
      </c>
      <c r="R643" s="90"/>
      <c r="S643" s="140" t="s">
        <v>207</v>
      </c>
      <c r="T643" s="90"/>
      <c r="U643" s="140" t="s">
        <v>207</v>
      </c>
      <c r="V643" s="90"/>
      <c r="W643" s="140" t="s">
        <v>207</v>
      </c>
      <c r="X643" s="90"/>
      <c r="Y643" s="140" t="s">
        <v>77</v>
      </c>
      <c r="Z643" s="90"/>
      <c r="AA643" s="140" t="s">
        <v>207</v>
      </c>
      <c r="AB643" s="90"/>
      <c r="AC643" s="140" t="s">
        <v>207</v>
      </c>
      <c r="AD643" s="90"/>
      <c r="AE643" s="140" t="s">
        <v>207</v>
      </c>
      <c r="AF643" s="178" t="str">
        <f>IF(AND(O643="",Q643="",S643="",U643="",W643="",Y643="",AA643="",AC643=""),"",IF(OR(AND(O643&lt;&gt;"NA",O643&lt;&gt;"C",O643&lt;&gt;"NC",O643&lt;&gt;"SF",O643&lt;&gt;""),AND(Q643&lt;&gt;"NA",Q643&lt;&gt;"C",Q643&lt;&gt;"NC",Q643&lt;&gt;"SF",Q643&lt;&gt;""),AND(S643&lt;&gt;"NA",S643&lt;&gt;"C",S643&lt;&gt;"NC",S643&lt;&gt;"SF",S643&lt;&gt;""),AND(U643&lt;&gt;"NA",U643&lt;&gt;"C",U643&lt;&gt;"NC",U643&lt;&gt;"SF",U643&lt;&gt;""),AND(W643&lt;&gt;"NA",W643&lt;&gt;"C",W643&lt;&gt;"NC",W643&lt;&gt;"SF",W643&lt;&gt;""),AND(Y643&lt;&gt;"NA",Y643&lt;&gt;"C",Y643&lt;&gt;"NC",Y643&lt;&gt;"SF",Y643&lt;&gt;""),AND(AA643&lt;&gt;"NA",AA643&lt;&gt;"C",AA643&lt;&gt;"NC",AA643&lt;&gt;"SF",AA643&lt;&gt;""),AND(AC643&lt;&gt;"NA",AC643&lt;&gt;"C",AC643&lt;&gt;"NC",AC643&lt;&gt;"SF",AC643&lt;&gt;"")),"FALSO",IF(AND(O643="NA",Q643="NA",S643="NA",U643="NA",W643="NA",Y643="NA",AA643="NA",AC643="NA"),"NA",IF(OR(O643="NC",Q643="NC",S643="NC",U643="NC",W643="NC",Y643="NC",AA643="NC",AC643="NC",O643="SF",Q643="SF",S643="SF",U643="SF",W643="SF",Y643="SF",AA643="SF",AC643="SF"),"NC",IF(OR(O643="C",Q643="C",S643="C",U643="C",W643="C",Y643="C",AA643="C",AC643="C"),"C","")))))</f>
        <v>C</v>
      </c>
      <c r="AG643" s="52" t="str">
        <f t="shared" ref="AG643:AG706" si="30">IF(AND(AE643="C",AF643="C"),"UTILIZOU O PDA CORRETAMENTE",IF(AND(AE643="C",AF643="NC"),"UTILIZOU O PDA CORRETAMENTE. NÃO HÁ FOTOS DE TODAS AS ETAPAS",IF(AND(AE643="NC",AF643="NC"),"NÃO UTILIZOU O PDA",IF(AND(AE643="NA",AF643="NA"),"NÃO AVALIADO POR FALHA DE SINCRONISMO"))))</f>
        <v>UTILIZOU O PDA CORRETAMENTE</v>
      </c>
      <c r="AH643" s="140" t="s">
        <v>207</v>
      </c>
      <c r="AI643" s="182" t="s">
        <v>36</v>
      </c>
      <c r="AJ643" s="93" t="str">
        <f t="shared" ref="AJ643:AJ706" si="31">E643</f>
        <v>SÃO PAULO</v>
      </c>
      <c r="AK643" s="183" t="s">
        <v>54</v>
      </c>
    </row>
    <row r="644" spans="1:37" ht="30" customHeight="1">
      <c r="A644" s="208" t="s">
        <v>198</v>
      </c>
      <c r="B644" s="209">
        <v>2621466552</v>
      </c>
      <c r="C644" s="209" t="s">
        <v>120</v>
      </c>
      <c r="D644" s="209" t="s">
        <v>96</v>
      </c>
      <c r="E644" s="209" t="s">
        <v>35</v>
      </c>
      <c r="F644" s="209" t="s">
        <v>1387</v>
      </c>
      <c r="G644" s="209">
        <v>576</v>
      </c>
      <c r="H644" s="209" t="s">
        <v>325</v>
      </c>
      <c r="I644" s="209" t="s">
        <v>679</v>
      </c>
      <c r="J644" s="209" t="s">
        <v>202</v>
      </c>
      <c r="K644" s="209" t="s">
        <v>200</v>
      </c>
      <c r="L644" s="247">
        <v>46163.604166666664</v>
      </c>
      <c r="M644" s="247">
        <v>46163.675000000003</v>
      </c>
      <c r="N644" s="218" t="s">
        <v>320</v>
      </c>
      <c r="O644" s="256" t="s">
        <v>207</v>
      </c>
      <c r="P644" s="280"/>
      <c r="Q644" s="140" t="s">
        <v>207</v>
      </c>
      <c r="R644" s="90"/>
      <c r="S644" s="140" t="s">
        <v>207</v>
      </c>
      <c r="T644" s="90"/>
      <c r="U644" s="140" t="s">
        <v>207</v>
      </c>
      <c r="V644" s="90"/>
      <c r="W644" s="140" t="s">
        <v>207</v>
      </c>
      <c r="X644" s="90"/>
      <c r="Y644" s="140" t="s">
        <v>77</v>
      </c>
      <c r="Z644" s="90"/>
      <c r="AA644" s="140" t="s">
        <v>207</v>
      </c>
      <c r="AB644" s="90"/>
      <c r="AC644" s="140" t="s">
        <v>207</v>
      </c>
      <c r="AD644" s="90"/>
      <c r="AE644" s="140" t="s">
        <v>207</v>
      </c>
      <c r="AF644" s="178" t="str">
        <f>IF(AND(O644="",Q644="",S644="",U644="",W644="",Y644="",AA644="",AC644=""),"",IF(OR(AND(O644&lt;&gt;"NA",O644&lt;&gt;"C",O644&lt;&gt;"NC",O644&lt;&gt;"SF",O644&lt;&gt;""),AND(Q644&lt;&gt;"NA",Q644&lt;&gt;"C",Q644&lt;&gt;"NC",Q644&lt;&gt;"SF",Q644&lt;&gt;""),AND(S644&lt;&gt;"NA",S644&lt;&gt;"C",S644&lt;&gt;"NC",S644&lt;&gt;"SF",S644&lt;&gt;""),AND(U644&lt;&gt;"NA",U644&lt;&gt;"C",U644&lt;&gt;"NC",U644&lt;&gt;"SF",U644&lt;&gt;""),AND(W644&lt;&gt;"NA",W644&lt;&gt;"C",W644&lt;&gt;"NC",W644&lt;&gt;"SF",W644&lt;&gt;""),AND(Y644&lt;&gt;"NA",Y644&lt;&gt;"C",Y644&lt;&gt;"NC",Y644&lt;&gt;"SF",Y644&lt;&gt;""),AND(AA644&lt;&gt;"NA",AA644&lt;&gt;"C",AA644&lt;&gt;"NC",AA644&lt;&gt;"SF",AA644&lt;&gt;""),AND(AC644&lt;&gt;"NA",AC644&lt;&gt;"C",AC644&lt;&gt;"NC",AC644&lt;&gt;"SF",AC644&lt;&gt;"")),"FALSO",IF(AND(O644="NA",Q644="NA",S644="NA",U644="NA",W644="NA",Y644="NA",AA644="NA",AC644="NA"),"NA",IF(OR(O644="NC",Q644="NC",S644="NC",U644="NC",W644="NC",Y644="NC",AA644="NC",AC644="NC",O644="SF",Q644="SF",S644="SF",U644="SF",W644="SF",Y644="SF",AA644="SF",AC644="SF"),"NC",IF(OR(O644="C",Q644="C",S644="C",U644="C",W644="C",Y644="C",AA644="C",AC644="C"),"C","")))))</f>
        <v>C</v>
      </c>
      <c r="AG644" s="52" t="str">
        <f t="shared" si="30"/>
        <v>UTILIZOU O PDA CORRETAMENTE</v>
      </c>
      <c r="AH644" s="140" t="s">
        <v>207</v>
      </c>
      <c r="AI644" s="182" t="s">
        <v>36</v>
      </c>
      <c r="AJ644" s="93" t="str">
        <f t="shared" si="31"/>
        <v>SÃO PAULO</v>
      </c>
      <c r="AK644" s="183" t="s">
        <v>54</v>
      </c>
    </row>
    <row r="645" spans="1:37" ht="30" customHeight="1">
      <c r="A645" s="208" t="s">
        <v>198</v>
      </c>
      <c r="B645" s="209">
        <v>2621267428</v>
      </c>
      <c r="C645" s="209" t="s">
        <v>120</v>
      </c>
      <c r="D645" s="209" t="s">
        <v>96</v>
      </c>
      <c r="E645" s="209" t="s">
        <v>35</v>
      </c>
      <c r="F645" s="209" t="s">
        <v>1239</v>
      </c>
      <c r="G645" s="209">
        <v>101</v>
      </c>
      <c r="H645" s="209" t="s">
        <v>200</v>
      </c>
      <c r="I645" s="209" t="s">
        <v>433</v>
      </c>
      <c r="J645" s="209" t="s">
        <v>336</v>
      </c>
      <c r="K645" s="209" t="s">
        <v>200</v>
      </c>
      <c r="L645" s="247">
        <v>46163.459722222222</v>
      </c>
      <c r="M645" s="247">
        <v>46163.461805555555</v>
      </c>
      <c r="N645" s="218" t="s">
        <v>288</v>
      </c>
      <c r="O645" s="256" t="s">
        <v>207</v>
      </c>
      <c r="P645" s="280"/>
      <c r="Q645" s="140" t="s">
        <v>207</v>
      </c>
      <c r="R645" s="90"/>
      <c r="S645" s="140" t="s">
        <v>207</v>
      </c>
      <c r="T645" s="90"/>
      <c r="U645" s="140" t="s">
        <v>207</v>
      </c>
      <c r="V645" s="90"/>
      <c r="W645" s="140" t="s">
        <v>207</v>
      </c>
      <c r="X645" s="90"/>
      <c r="Y645" s="140" t="s">
        <v>77</v>
      </c>
      <c r="Z645" s="90"/>
      <c r="AA645" s="140" t="s">
        <v>207</v>
      </c>
      <c r="AB645" s="90"/>
      <c r="AC645" s="140" t="s">
        <v>207</v>
      </c>
      <c r="AD645" s="90"/>
      <c r="AE645" s="140" t="s">
        <v>207</v>
      </c>
      <c r="AF645" s="178" t="str">
        <f>IF(AND(O645="",Q645="",S645="",U645="",W645="",Y645="",AA645="",AC645=""),"",IF(OR(AND(O645&lt;&gt;"NA",O645&lt;&gt;"C",O645&lt;&gt;"NC",O645&lt;&gt;"SF",O645&lt;&gt;""),AND(Q645&lt;&gt;"NA",Q645&lt;&gt;"C",Q645&lt;&gt;"NC",Q645&lt;&gt;"SF",Q645&lt;&gt;""),AND(S645&lt;&gt;"NA",S645&lt;&gt;"C",S645&lt;&gt;"NC",S645&lt;&gt;"SF",S645&lt;&gt;""),AND(U645&lt;&gt;"NA",U645&lt;&gt;"C",U645&lt;&gt;"NC",U645&lt;&gt;"SF",U645&lt;&gt;""),AND(W645&lt;&gt;"NA",W645&lt;&gt;"C",W645&lt;&gt;"NC",W645&lt;&gt;"SF",W645&lt;&gt;""),AND(Y645&lt;&gt;"NA",Y645&lt;&gt;"C",Y645&lt;&gt;"NC",Y645&lt;&gt;"SF",Y645&lt;&gt;""),AND(AA645&lt;&gt;"NA",AA645&lt;&gt;"C",AA645&lt;&gt;"NC",AA645&lt;&gt;"SF",AA645&lt;&gt;""),AND(AC645&lt;&gt;"NA",AC645&lt;&gt;"C",AC645&lt;&gt;"NC",AC645&lt;&gt;"SF",AC645&lt;&gt;"")),"FALSO",IF(AND(O645="NA",Q645="NA",S645="NA",U645="NA",W645="NA",Y645="NA",AA645="NA",AC645="NA"),"NA",IF(OR(O645="NC",Q645="NC",S645="NC",U645="NC",W645="NC",Y645="NC",AA645="NC",AC645="NC",O645="SF",Q645="SF",S645="SF",U645="SF",W645="SF",Y645="SF",AA645="SF",AC645="SF"),"NC",IF(OR(O645="C",Q645="C",S645="C",U645="C",W645="C",Y645="C",AA645="C",AC645="C"),"C","")))))</f>
        <v>C</v>
      </c>
      <c r="AG645" s="52" t="str">
        <f t="shared" si="30"/>
        <v>UTILIZOU O PDA CORRETAMENTE</v>
      </c>
      <c r="AH645" s="140" t="s">
        <v>207</v>
      </c>
      <c r="AI645" s="182" t="s">
        <v>36</v>
      </c>
      <c r="AJ645" s="93" t="str">
        <f t="shared" si="31"/>
        <v>SÃO PAULO</v>
      </c>
      <c r="AK645" s="183" t="s">
        <v>54</v>
      </c>
    </row>
    <row r="646" spans="1:37" ht="30" customHeight="1">
      <c r="A646" s="208" t="s">
        <v>198</v>
      </c>
      <c r="B646" s="209">
        <v>2621290764</v>
      </c>
      <c r="C646" s="209" t="s">
        <v>115</v>
      </c>
      <c r="D646" s="209" t="s">
        <v>96</v>
      </c>
      <c r="E646" s="209" t="s">
        <v>35</v>
      </c>
      <c r="F646" s="209" t="s">
        <v>432</v>
      </c>
      <c r="G646" s="209">
        <v>121</v>
      </c>
      <c r="H646" s="209" t="s">
        <v>200</v>
      </c>
      <c r="I646" s="209" t="s">
        <v>433</v>
      </c>
      <c r="J646" s="209" t="s">
        <v>268</v>
      </c>
      <c r="K646" s="209" t="s">
        <v>1388</v>
      </c>
      <c r="L646" s="247">
        <v>46163.5</v>
      </c>
      <c r="M646" s="247">
        <v>46163.531944444447</v>
      </c>
      <c r="N646" s="218" t="s">
        <v>274</v>
      </c>
      <c r="O646" s="256" t="s">
        <v>207</v>
      </c>
      <c r="P646" s="280"/>
      <c r="Q646" s="140" t="s">
        <v>207</v>
      </c>
      <c r="R646" s="90"/>
      <c r="S646" s="140" t="s">
        <v>207</v>
      </c>
      <c r="T646" s="90"/>
      <c r="U646" s="140" t="s">
        <v>207</v>
      </c>
      <c r="V646" s="90"/>
      <c r="W646" s="140" t="s">
        <v>207</v>
      </c>
      <c r="X646" s="90"/>
      <c r="Y646" s="140" t="s">
        <v>207</v>
      </c>
      <c r="Z646" s="90"/>
      <c r="AA646" s="140" t="s">
        <v>207</v>
      </c>
      <c r="AB646" s="90"/>
      <c r="AC646" s="140" t="s">
        <v>207</v>
      </c>
      <c r="AD646" s="90"/>
      <c r="AE646" s="140" t="s">
        <v>207</v>
      </c>
      <c r="AF646" s="178" t="str">
        <f>IF(AND(O646="",Q646="",S646="",U646="",W646="",Y646="",AA646="",AC646=""),"",IF(OR(AND(O646&lt;&gt;"NA",O646&lt;&gt;"C",O646&lt;&gt;"NC",O646&lt;&gt;"SF",O646&lt;&gt;""),AND(Q646&lt;&gt;"NA",Q646&lt;&gt;"C",Q646&lt;&gt;"NC",Q646&lt;&gt;"SF",Q646&lt;&gt;""),AND(S646&lt;&gt;"NA",S646&lt;&gt;"C",S646&lt;&gt;"NC",S646&lt;&gt;"SF",S646&lt;&gt;""),AND(U646&lt;&gt;"NA",U646&lt;&gt;"C",U646&lt;&gt;"NC",U646&lt;&gt;"SF",U646&lt;&gt;""),AND(W646&lt;&gt;"NA",W646&lt;&gt;"C",W646&lt;&gt;"NC",W646&lt;&gt;"SF",W646&lt;&gt;""),AND(Y646&lt;&gt;"NA",Y646&lt;&gt;"C",Y646&lt;&gt;"NC",Y646&lt;&gt;"SF",Y646&lt;&gt;""),AND(AA646&lt;&gt;"NA",AA646&lt;&gt;"C",AA646&lt;&gt;"NC",AA646&lt;&gt;"SF",AA646&lt;&gt;""),AND(AC646&lt;&gt;"NA",AC646&lt;&gt;"C",AC646&lt;&gt;"NC",AC646&lt;&gt;"SF",AC646&lt;&gt;"")),"FALSO",IF(AND(O646="NA",Q646="NA",S646="NA",U646="NA",W646="NA",Y646="NA",AA646="NA",AC646="NA"),"NA",IF(OR(O646="NC",Q646="NC",S646="NC",U646="NC",W646="NC",Y646="NC",AA646="NC",AC646="NC",O646="SF",Q646="SF",S646="SF",U646="SF",W646="SF",Y646="SF",AA646="SF",AC646="SF"),"NC",IF(OR(O646="C",Q646="C",S646="C",U646="C",W646="C",Y646="C",AA646="C",AC646="C"),"C","")))))</f>
        <v>C</v>
      </c>
      <c r="AG646" s="52" t="str">
        <f t="shared" si="30"/>
        <v>UTILIZOU O PDA CORRETAMENTE</v>
      </c>
      <c r="AH646" s="140" t="s">
        <v>207</v>
      </c>
      <c r="AI646" s="182" t="s">
        <v>36</v>
      </c>
      <c r="AJ646" s="93" t="str">
        <f t="shared" si="31"/>
        <v>SÃO PAULO</v>
      </c>
      <c r="AK646" s="183" t="s">
        <v>54</v>
      </c>
    </row>
    <row r="647" spans="1:37" ht="30" customHeight="1">
      <c r="A647" s="208" t="s">
        <v>198</v>
      </c>
      <c r="B647" s="209">
        <v>2621499953</v>
      </c>
      <c r="C647" s="209" t="s">
        <v>120</v>
      </c>
      <c r="D647" s="209" t="s">
        <v>96</v>
      </c>
      <c r="E647" s="209" t="s">
        <v>35</v>
      </c>
      <c r="F647" s="209" t="s">
        <v>1211</v>
      </c>
      <c r="G647" s="209">
        <v>4</v>
      </c>
      <c r="H647" s="209" t="s">
        <v>208</v>
      </c>
      <c r="I647" s="209" t="s">
        <v>1212</v>
      </c>
      <c r="J647" s="209" t="s">
        <v>336</v>
      </c>
      <c r="K647" s="209" t="s">
        <v>200</v>
      </c>
      <c r="L647" s="247">
        <v>46163.664583333331</v>
      </c>
      <c r="M647" s="247">
        <v>46163.672222222223</v>
      </c>
      <c r="N647" s="218" t="s">
        <v>262</v>
      </c>
      <c r="O647" s="256" t="s">
        <v>207</v>
      </c>
      <c r="P647" s="280"/>
      <c r="Q647" s="140" t="s">
        <v>207</v>
      </c>
      <c r="R647" s="90"/>
      <c r="S647" s="140" t="s">
        <v>207</v>
      </c>
      <c r="T647" s="90"/>
      <c r="U647" s="140" t="s">
        <v>207</v>
      </c>
      <c r="V647" s="90"/>
      <c r="W647" s="140" t="s">
        <v>207</v>
      </c>
      <c r="X647" s="90"/>
      <c r="Y647" s="140" t="s">
        <v>77</v>
      </c>
      <c r="Z647" s="90"/>
      <c r="AA647" s="140" t="s">
        <v>207</v>
      </c>
      <c r="AB647" s="90"/>
      <c r="AC647" s="140" t="s">
        <v>207</v>
      </c>
      <c r="AD647" s="90"/>
      <c r="AE647" s="140" t="s">
        <v>207</v>
      </c>
      <c r="AF647" s="178" t="str">
        <f>IF(AND(O647="",Q647="",S647="",U647="",W647="",Y647="",AA647="",AC647=""),"",IF(OR(AND(O647&lt;&gt;"NA",O647&lt;&gt;"C",O647&lt;&gt;"NC",O647&lt;&gt;"SF",O647&lt;&gt;""),AND(Q647&lt;&gt;"NA",Q647&lt;&gt;"C",Q647&lt;&gt;"NC",Q647&lt;&gt;"SF",Q647&lt;&gt;""),AND(S647&lt;&gt;"NA",S647&lt;&gt;"C",S647&lt;&gt;"NC",S647&lt;&gt;"SF",S647&lt;&gt;""),AND(U647&lt;&gt;"NA",U647&lt;&gt;"C",U647&lt;&gt;"NC",U647&lt;&gt;"SF",U647&lt;&gt;""),AND(W647&lt;&gt;"NA",W647&lt;&gt;"C",W647&lt;&gt;"NC",W647&lt;&gt;"SF",W647&lt;&gt;""),AND(Y647&lt;&gt;"NA",Y647&lt;&gt;"C",Y647&lt;&gt;"NC",Y647&lt;&gt;"SF",Y647&lt;&gt;""),AND(AA647&lt;&gt;"NA",AA647&lt;&gt;"C",AA647&lt;&gt;"NC",AA647&lt;&gt;"SF",AA647&lt;&gt;""),AND(AC647&lt;&gt;"NA",AC647&lt;&gt;"C",AC647&lt;&gt;"NC",AC647&lt;&gt;"SF",AC647&lt;&gt;"")),"FALSO",IF(AND(O647="NA",Q647="NA",S647="NA",U647="NA",W647="NA",Y647="NA",AA647="NA",AC647="NA"),"NA",IF(OR(O647="NC",Q647="NC",S647="NC",U647="NC",W647="NC",Y647="NC",AA647="NC",AC647="NC",O647="SF",Q647="SF",S647="SF",U647="SF",W647="SF",Y647="SF",AA647="SF",AC647="SF"),"NC",IF(OR(O647="C",Q647="C",S647="C",U647="C",W647="C",Y647="C",AA647="C",AC647="C"),"C","")))))</f>
        <v>C</v>
      </c>
      <c r="AG647" s="52" t="str">
        <f t="shared" si="30"/>
        <v>UTILIZOU O PDA CORRETAMENTE</v>
      </c>
      <c r="AH647" s="140" t="s">
        <v>207</v>
      </c>
      <c r="AI647" s="182" t="s">
        <v>36</v>
      </c>
      <c r="AJ647" s="93" t="str">
        <f t="shared" si="31"/>
        <v>SÃO PAULO</v>
      </c>
      <c r="AK647" s="183" t="s">
        <v>54</v>
      </c>
    </row>
    <row r="648" spans="1:37" ht="30" customHeight="1">
      <c r="A648" s="208" t="s">
        <v>198</v>
      </c>
      <c r="B648" s="209">
        <v>2621506272</v>
      </c>
      <c r="C648" s="209" t="s">
        <v>116</v>
      </c>
      <c r="D648" s="209" t="s">
        <v>94</v>
      </c>
      <c r="E648" s="209" t="s">
        <v>35</v>
      </c>
      <c r="F648" s="209" t="s">
        <v>1387</v>
      </c>
      <c r="G648" s="209">
        <v>582</v>
      </c>
      <c r="H648" s="209" t="s">
        <v>208</v>
      </c>
      <c r="I648" s="209" t="s">
        <v>679</v>
      </c>
      <c r="J648" s="209" t="s">
        <v>221</v>
      </c>
      <c r="K648" s="209" t="s">
        <v>200</v>
      </c>
      <c r="L648" s="247">
        <v>46163.686111111114</v>
      </c>
      <c r="M648" s="247">
        <v>46163.688194444447</v>
      </c>
      <c r="N648" s="218" t="s">
        <v>320</v>
      </c>
      <c r="O648" s="256" t="s">
        <v>207</v>
      </c>
      <c r="P648" s="280"/>
      <c r="Q648" s="140" t="s">
        <v>207</v>
      </c>
      <c r="R648" s="90"/>
      <c r="S648" s="140" t="s">
        <v>207</v>
      </c>
      <c r="T648" s="90"/>
      <c r="U648" s="140" t="s">
        <v>207</v>
      </c>
      <c r="V648" s="90"/>
      <c r="W648" s="140" t="s">
        <v>207</v>
      </c>
      <c r="X648" s="90"/>
      <c r="Y648" s="140" t="s">
        <v>207</v>
      </c>
      <c r="Z648" s="90"/>
      <c r="AA648" s="140" t="s">
        <v>207</v>
      </c>
      <c r="AB648" s="90"/>
      <c r="AC648" s="140" t="s">
        <v>207</v>
      </c>
      <c r="AD648" s="90"/>
      <c r="AE648" s="140" t="s">
        <v>207</v>
      </c>
      <c r="AF648" s="178" t="str">
        <f>IF(AND(O648="",Q648="",S648="",U648="",W648="",Y648="",AA648="",AC648=""),"",IF(OR(AND(O648&lt;&gt;"NA",O648&lt;&gt;"C",O648&lt;&gt;"NC",O648&lt;&gt;"SF",O648&lt;&gt;""),AND(Q648&lt;&gt;"NA",Q648&lt;&gt;"C",Q648&lt;&gt;"NC",Q648&lt;&gt;"SF",Q648&lt;&gt;""),AND(S648&lt;&gt;"NA",S648&lt;&gt;"C",S648&lt;&gt;"NC",S648&lt;&gt;"SF",S648&lt;&gt;""),AND(U648&lt;&gt;"NA",U648&lt;&gt;"C",U648&lt;&gt;"NC",U648&lt;&gt;"SF",U648&lt;&gt;""),AND(W648&lt;&gt;"NA",W648&lt;&gt;"C",W648&lt;&gt;"NC",W648&lt;&gt;"SF",W648&lt;&gt;""),AND(Y648&lt;&gt;"NA",Y648&lt;&gt;"C",Y648&lt;&gt;"NC",Y648&lt;&gt;"SF",Y648&lt;&gt;""),AND(AA648&lt;&gt;"NA",AA648&lt;&gt;"C",AA648&lt;&gt;"NC",AA648&lt;&gt;"SF",AA648&lt;&gt;""),AND(AC648&lt;&gt;"NA",AC648&lt;&gt;"C",AC648&lt;&gt;"NC",AC648&lt;&gt;"SF",AC648&lt;&gt;"")),"FALSO",IF(AND(O648="NA",Q648="NA",S648="NA",U648="NA",W648="NA",Y648="NA",AA648="NA",AC648="NA"),"NA",IF(OR(O648="NC",Q648="NC",S648="NC",U648="NC",W648="NC",Y648="NC",AA648="NC",AC648="NC",O648="SF",Q648="SF",S648="SF",U648="SF",W648="SF",Y648="SF",AA648="SF",AC648="SF"),"NC",IF(OR(O648="C",Q648="C",S648="C",U648="C",W648="C",Y648="C",AA648="C",AC648="C"),"C","")))))</f>
        <v>C</v>
      </c>
      <c r="AG648" s="52" t="str">
        <f t="shared" si="30"/>
        <v>UTILIZOU O PDA CORRETAMENTE</v>
      </c>
      <c r="AH648" s="140" t="s">
        <v>207</v>
      </c>
      <c r="AI648" s="182" t="s">
        <v>36</v>
      </c>
      <c r="AJ648" s="93" t="str">
        <f t="shared" si="31"/>
        <v>SÃO PAULO</v>
      </c>
      <c r="AK648" s="183" t="s">
        <v>54</v>
      </c>
    </row>
    <row r="649" spans="1:37" ht="30" customHeight="1">
      <c r="A649" s="208" t="s">
        <v>198</v>
      </c>
      <c r="B649" s="209">
        <v>2621506653</v>
      </c>
      <c r="C649" s="209" t="s">
        <v>116</v>
      </c>
      <c r="D649" s="209" t="s">
        <v>94</v>
      </c>
      <c r="E649" s="209" t="s">
        <v>35</v>
      </c>
      <c r="F649" s="209" t="s">
        <v>1387</v>
      </c>
      <c r="G649" s="209">
        <v>576</v>
      </c>
      <c r="H649" s="209" t="s">
        <v>329</v>
      </c>
      <c r="I649" s="209" t="s">
        <v>679</v>
      </c>
      <c r="J649" s="209" t="s">
        <v>221</v>
      </c>
      <c r="K649" s="209" t="s">
        <v>200</v>
      </c>
      <c r="L649" s="247">
        <v>46163.677777777775</v>
      </c>
      <c r="M649" s="247">
        <v>46163.685416666667</v>
      </c>
      <c r="N649" s="218" t="s">
        <v>320</v>
      </c>
      <c r="O649" s="256" t="s">
        <v>207</v>
      </c>
      <c r="P649" s="280"/>
      <c r="Q649" s="140" t="s">
        <v>207</v>
      </c>
      <c r="R649" s="90"/>
      <c r="S649" s="140" t="s">
        <v>207</v>
      </c>
      <c r="T649" s="90"/>
      <c r="U649" s="140" t="s">
        <v>207</v>
      </c>
      <c r="V649" s="90"/>
      <c r="W649" s="140" t="s">
        <v>207</v>
      </c>
      <c r="X649" s="90"/>
      <c r="Y649" s="140" t="s">
        <v>207</v>
      </c>
      <c r="Z649" s="90"/>
      <c r="AA649" s="140" t="s">
        <v>207</v>
      </c>
      <c r="AB649" s="90"/>
      <c r="AC649" s="140" t="s">
        <v>207</v>
      </c>
      <c r="AD649" s="90"/>
      <c r="AE649" s="140" t="s">
        <v>207</v>
      </c>
      <c r="AF649" s="178" t="str">
        <f>IF(AND(O649="",Q649="",S649="",U649="",W649="",Y649="",AA649="",AC649=""),"",IF(OR(AND(O649&lt;&gt;"NA",O649&lt;&gt;"C",O649&lt;&gt;"NC",O649&lt;&gt;"SF",O649&lt;&gt;""),AND(Q649&lt;&gt;"NA",Q649&lt;&gt;"C",Q649&lt;&gt;"NC",Q649&lt;&gt;"SF",Q649&lt;&gt;""),AND(S649&lt;&gt;"NA",S649&lt;&gt;"C",S649&lt;&gt;"NC",S649&lt;&gt;"SF",S649&lt;&gt;""),AND(U649&lt;&gt;"NA",U649&lt;&gt;"C",U649&lt;&gt;"NC",U649&lt;&gt;"SF",U649&lt;&gt;""),AND(W649&lt;&gt;"NA",W649&lt;&gt;"C",W649&lt;&gt;"NC",W649&lt;&gt;"SF",W649&lt;&gt;""),AND(Y649&lt;&gt;"NA",Y649&lt;&gt;"C",Y649&lt;&gt;"NC",Y649&lt;&gt;"SF",Y649&lt;&gt;""),AND(AA649&lt;&gt;"NA",AA649&lt;&gt;"C",AA649&lt;&gt;"NC",AA649&lt;&gt;"SF",AA649&lt;&gt;""),AND(AC649&lt;&gt;"NA",AC649&lt;&gt;"C",AC649&lt;&gt;"NC",AC649&lt;&gt;"SF",AC649&lt;&gt;"")),"FALSO",IF(AND(O649="NA",Q649="NA",S649="NA",U649="NA",W649="NA",Y649="NA",AA649="NA",AC649="NA"),"NA",IF(OR(O649="NC",Q649="NC",S649="NC",U649="NC",W649="NC",Y649="NC",AA649="NC",AC649="NC",O649="SF",Q649="SF",S649="SF",U649="SF",W649="SF",Y649="SF",AA649="SF",AC649="SF"),"NC",IF(OR(O649="C",Q649="C",S649="C",U649="C",W649="C",Y649="C",AA649="C",AC649="C"),"C","")))))</f>
        <v>C</v>
      </c>
      <c r="AG649" s="52" t="str">
        <f t="shared" si="30"/>
        <v>UTILIZOU O PDA CORRETAMENTE</v>
      </c>
      <c r="AH649" s="140" t="s">
        <v>207</v>
      </c>
      <c r="AI649" s="182" t="s">
        <v>36</v>
      </c>
      <c r="AJ649" s="93" t="str">
        <f t="shared" si="31"/>
        <v>SÃO PAULO</v>
      </c>
      <c r="AK649" s="183" t="s">
        <v>54</v>
      </c>
    </row>
    <row r="650" spans="1:37" ht="30" customHeight="1">
      <c r="A650" s="161" t="s">
        <v>198</v>
      </c>
      <c r="B650" s="155">
        <v>2621526848</v>
      </c>
      <c r="C650" s="155" t="s">
        <v>102</v>
      </c>
      <c r="D650" s="155" t="s">
        <v>95</v>
      </c>
      <c r="E650" s="155" t="s">
        <v>35</v>
      </c>
      <c r="F650" s="155" t="s">
        <v>498</v>
      </c>
      <c r="G650" s="155">
        <v>4841</v>
      </c>
      <c r="H650" s="155" t="s">
        <v>205</v>
      </c>
      <c r="I650" s="155" t="s">
        <v>1389</v>
      </c>
      <c r="J650" s="155" t="s">
        <v>427</v>
      </c>
      <c r="K650" s="155" t="s">
        <v>200</v>
      </c>
      <c r="L650" s="249">
        <v>46163.696527777778</v>
      </c>
      <c r="M650" s="249">
        <v>46163.697222222225</v>
      </c>
      <c r="N650" s="306" t="s">
        <v>309</v>
      </c>
      <c r="O650" s="54" t="s">
        <v>77</v>
      </c>
      <c r="P650" s="9"/>
      <c r="Q650" s="140" t="s">
        <v>77</v>
      </c>
      <c r="R650" s="90"/>
      <c r="S650" s="140" t="s">
        <v>77</v>
      </c>
      <c r="T650" s="90"/>
      <c r="U650" s="140" t="s">
        <v>77</v>
      </c>
      <c r="V650" s="90"/>
      <c r="W650" s="140" t="s">
        <v>77</v>
      </c>
      <c r="X650" s="90"/>
      <c r="Y650" s="140" t="s">
        <v>77</v>
      </c>
      <c r="Z650" s="90"/>
      <c r="AA650" s="140" t="s">
        <v>77</v>
      </c>
      <c r="AB650" s="90"/>
      <c r="AC650" s="140" t="s">
        <v>77</v>
      </c>
      <c r="AD650" s="90"/>
      <c r="AE650" s="140" t="s">
        <v>77</v>
      </c>
      <c r="AF650" s="178" t="str">
        <f>IF(AND(O650="",Q650="",S650="",U650="",W650="",Y650="",AA650="",AC650=""),"",IF(OR(AND(O650&lt;&gt;"NA",O650&lt;&gt;"C",O650&lt;&gt;"NC",O650&lt;&gt;"SF",O650&lt;&gt;""),AND(Q650&lt;&gt;"NA",Q650&lt;&gt;"C",Q650&lt;&gt;"NC",Q650&lt;&gt;"SF",Q650&lt;&gt;""),AND(S650&lt;&gt;"NA",S650&lt;&gt;"C",S650&lt;&gt;"NC",S650&lt;&gt;"SF",S650&lt;&gt;""),AND(U650&lt;&gt;"NA",U650&lt;&gt;"C",U650&lt;&gt;"NC",U650&lt;&gt;"SF",U650&lt;&gt;""),AND(W650&lt;&gt;"NA",W650&lt;&gt;"C",W650&lt;&gt;"NC",W650&lt;&gt;"SF",W650&lt;&gt;""),AND(Y650&lt;&gt;"NA",Y650&lt;&gt;"C",Y650&lt;&gt;"NC",Y650&lt;&gt;"SF",Y650&lt;&gt;""),AND(AA650&lt;&gt;"NA",AA650&lt;&gt;"C",AA650&lt;&gt;"NC",AA650&lt;&gt;"SF",AA650&lt;&gt;""),AND(AC650&lt;&gt;"NA",AC650&lt;&gt;"C",AC650&lt;&gt;"NC",AC650&lt;&gt;"SF",AC650&lt;&gt;"")),"FALSO",IF(AND(O650="NA",Q650="NA",S650="NA",U650="NA",W650="NA",Y650="NA",AA650="NA",AC650="NA"),"NA",IF(OR(O650="NC",Q650="NC",S650="NC",U650="NC",W650="NC",Y650="NC",AA650="NC",AC650="NC",O650="SF",Q650="SF",S650="SF",U650="SF",W650="SF",Y650="SF",AA650="SF",AC650="SF"),"NC",IF(OR(O650="C",Q650="C",S650="C",U650="C",W650="C",Y650="C",AA650="C",AC650="C"),"C","")))))</f>
        <v>NA</v>
      </c>
      <c r="AG650" s="52" t="str">
        <f t="shared" si="30"/>
        <v>NÃO AVALIADO POR FALHA DE SINCRONISMO</v>
      </c>
      <c r="AH650" s="140" t="s">
        <v>207</v>
      </c>
      <c r="AI650" s="182" t="s">
        <v>36</v>
      </c>
      <c r="AJ650" s="93" t="str">
        <f t="shared" si="31"/>
        <v>SÃO PAULO</v>
      </c>
      <c r="AK650" s="183" t="s">
        <v>54</v>
      </c>
    </row>
    <row r="651" spans="1:37" ht="30" customHeight="1">
      <c r="A651" s="176" t="s">
        <v>198</v>
      </c>
      <c r="B651" s="154">
        <v>2621279093</v>
      </c>
      <c r="C651" s="154" t="s">
        <v>120</v>
      </c>
      <c r="D651" s="154" t="s">
        <v>96</v>
      </c>
      <c r="E651" s="154" t="s">
        <v>35</v>
      </c>
      <c r="F651" s="154" t="s">
        <v>572</v>
      </c>
      <c r="G651" s="154">
        <v>1196</v>
      </c>
      <c r="H651" s="154" t="s">
        <v>200</v>
      </c>
      <c r="I651" s="154" t="s">
        <v>573</v>
      </c>
      <c r="J651" s="154" t="s">
        <v>202</v>
      </c>
      <c r="K651" s="154" t="s">
        <v>200</v>
      </c>
      <c r="L651" s="248">
        <v>46164.459722222222</v>
      </c>
      <c r="M651" s="248">
        <v>46164.460416666669</v>
      </c>
      <c r="N651" s="154" t="s">
        <v>345</v>
      </c>
      <c r="O651" s="256" t="s">
        <v>207</v>
      </c>
      <c r="P651" s="90"/>
      <c r="Q651" s="140" t="s">
        <v>207</v>
      </c>
      <c r="R651" s="90"/>
      <c r="S651" s="140" t="s">
        <v>207</v>
      </c>
      <c r="T651" s="90"/>
      <c r="U651" s="140" t="s">
        <v>207</v>
      </c>
      <c r="V651" s="90"/>
      <c r="W651" s="140" t="s">
        <v>207</v>
      </c>
      <c r="X651" s="90"/>
      <c r="Y651" s="140" t="s">
        <v>77</v>
      </c>
      <c r="Z651" s="90"/>
      <c r="AA651" s="140" t="s">
        <v>207</v>
      </c>
      <c r="AB651" s="90"/>
      <c r="AC651" s="140" t="s">
        <v>207</v>
      </c>
      <c r="AD651" s="90"/>
      <c r="AE651" s="140" t="s">
        <v>207</v>
      </c>
      <c r="AF651" s="178" t="str">
        <f t="shared" ref="AF651:AF706" si="32">IF(AND(O651="",Q651="",S651="",U651="",W651="",Y651="",AA651="",AC651=""),"",IF(OR(AND(O651&lt;&gt;"NA",O651&lt;&gt;"C",O651&lt;&gt;"NC",O651&lt;&gt;"SF",O651&lt;&gt;""),AND(Q651&lt;&gt;"NA",Q651&lt;&gt;"C",Q651&lt;&gt;"NC",Q651&lt;&gt;"SF",Q651&lt;&gt;""),AND(S651&lt;&gt;"NA",S651&lt;&gt;"C",S651&lt;&gt;"NC",S651&lt;&gt;"SF",S651&lt;&gt;""),AND(U651&lt;&gt;"NA",U651&lt;&gt;"C",U651&lt;&gt;"NC",U651&lt;&gt;"SF",U651&lt;&gt;""),AND(W651&lt;&gt;"NA",W651&lt;&gt;"C",W651&lt;&gt;"NC",W651&lt;&gt;"SF",W651&lt;&gt;""),AND(Y651&lt;&gt;"NA",Y651&lt;&gt;"C",Y651&lt;&gt;"NC",Y651&lt;&gt;"SF",Y651&lt;&gt;""),AND(AA651&lt;&gt;"NA",AA651&lt;&gt;"C",AA651&lt;&gt;"NC",AA651&lt;&gt;"SF",AA651&lt;&gt;""),AND(AC651&lt;&gt;"NA",AC651&lt;&gt;"C",AC651&lt;&gt;"NC",AC651&lt;&gt;"SF",AC651&lt;&gt;"")),"FALSO",IF(AND(O651="NA",Q651="NA",S651="NA",U651="NA",W651="NA",Y651="NA",AA651="NA",AC651="NA"),"NA",IF(OR(O651="NC",Q651="NC",S651="NC",U651="NC",W651="NC",Y651="NC",AA651="NC",AC651="NC",O651="SF",Q651="SF",S651="SF",U651="SF",W651="SF",Y651="SF",AA651="SF",AC651="SF"),"NC",IF(OR(O651="C",Q651="C",S651="C",U651="C",W651="C",Y651="C",AA651="C",AC651="C"),"C","")))))</f>
        <v>C</v>
      </c>
      <c r="AG651" s="52" t="str">
        <f t="shared" si="30"/>
        <v>UTILIZOU O PDA CORRETAMENTE</v>
      </c>
      <c r="AH651" s="140" t="s">
        <v>207</v>
      </c>
      <c r="AI651" s="182" t="s">
        <v>36</v>
      </c>
      <c r="AJ651" s="93" t="str">
        <f t="shared" si="31"/>
        <v>SÃO PAULO</v>
      </c>
      <c r="AK651" s="183" t="s">
        <v>54</v>
      </c>
    </row>
    <row r="652" spans="1:37" ht="30" customHeight="1">
      <c r="A652" s="161" t="s">
        <v>198</v>
      </c>
      <c r="B652" s="155">
        <v>2621369371</v>
      </c>
      <c r="C652" s="155" t="s">
        <v>121</v>
      </c>
      <c r="D652" s="155" t="s">
        <v>96</v>
      </c>
      <c r="E652" s="155" t="s">
        <v>35</v>
      </c>
      <c r="F652" s="155" t="s">
        <v>587</v>
      </c>
      <c r="G652" s="155">
        <v>622</v>
      </c>
      <c r="H652" s="155" t="s">
        <v>200</v>
      </c>
      <c r="I652" s="155" t="s">
        <v>479</v>
      </c>
      <c r="J652" s="155" t="s">
        <v>336</v>
      </c>
      <c r="K652" s="155" t="s">
        <v>890</v>
      </c>
      <c r="L652" s="249">
        <v>46164.503472222219</v>
      </c>
      <c r="M652" s="249">
        <v>46164.505555555559</v>
      </c>
      <c r="N652" s="155" t="s">
        <v>317</v>
      </c>
      <c r="O652" s="256" t="s">
        <v>207</v>
      </c>
      <c r="P652" s="90"/>
      <c r="Q652" s="140" t="s">
        <v>207</v>
      </c>
      <c r="R652" s="90"/>
      <c r="S652" s="140" t="s">
        <v>207</v>
      </c>
      <c r="T652" s="90"/>
      <c r="U652" s="140" t="s">
        <v>207</v>
      </c>
      <c r="V652" s="90"/>
      <c r="W652" s="140" t="s">
        <v>207</v>
      </c>
      <c r="X652" s="90"/>
      <c r="Y652" s="140" t="s">
        <v>77</v>
      </c>
      <c r="Z652" s="90"/>
      <c r="AA652" s="140" t="s">
        <v>207</v>
      </c>
      <c r="AB652" s="90"/>
      <c r="AC652" s="140" t="s">
        <v>207</v>
      </c>
      <c r="AD652" s="90"/>
      <c r="AE652" s="140" t="s">
        <v>207</v>
      </c>
      <c r="AF652" s="178" t="str">
        <f t="shared" si="32"/>
        <v>C</v>
      </c>
      <c r="AG652" s="52" t="str">
        <f t="shared" si="30"/>
        <v>UTILIZOU O PDA CORRETAMENTE</v>
      </c>
      <c r="AH652" s="140" t="s">
        <v>207</v>
      </c>
      <c r="AI652" s="182" t="s">
        <v>36</v>
      </c>
      <c r="AJ652" s="93" t="str">
        <f t="shared" si="31"/>
        <v>SÃO PAULO</v>
      </c>
      <c r="AK652" s="183" t="s">
        <v>54</v>
      </c>
    </row>
    <row r="653" spans="1:37" ht="30" customHeight="1">
      <c r="A653" s="161" t="s">
        <v>198</v>
      </c>
      <c r="B653" s="155">
        <v>2693932870</v>
      </c>
      <c r="C653" s="155" t="s">
        <v>122</v>
      </c>
      <c r="D653" s="155" t="s">
        <v>96</v>
      </c>
      <c r="E653" s="155" t="s">
        <v>35</v>
      </c>
      <c r="F653" s="155" t="s">
        <v>1390</v>
      </c>
      <c r="G653" s="155">
        <v>362</v>
      </c>
      <c r="H653" s="155" t="s">
        <v>200</v>
      </c>
      <c r="I653" s="155" t="s">
        <v>598</v>
      </c>
      <c r="J653" s="155" t="s">
        <v>267</v>
      </c>
      <c r="K653" s="155" t="s">
        <v>200</v>
      </c>
      <c r="L653" s="249">
        <v>46164.40625</v>
      </c>
      <c r="M653" s="249">
        <v>46164.442361111112</v>
      </c>
      <c r="N653" s="155" t="s">
        <v>235</v>
      </c>
      <c r="O653" s="256" t="s">
        <v>207</v>
      </c>
      <c r="P653" s="90"/>
      <c r="Q653" s="140" t="s">
        <v>207</v>
      </c>
      <c r="R653" s="90"/>
      <c r="S653" s="140" t="s">
        <v>207</v>
      </c>
      <c r="T653" s="90"/>
      <c r="U653" s="140" t="s">
        <v>207</v>
      </c>
      <c r="V653" s="90"/>
      <c r="W653" s="140" t="s">
        <v>207</v>
      </c>
      <c r="X653" s="90"/>
      <c r="Y653" s="140" t="s">
        <v>77</v>
      </c>
      <c r="Z653" s="90"/>
      <c r="AA653" s="140" t="s">
        <v>207</v>
      </c>
      <c r="AB653" s="90"/>
      <c r="AC653" s="140" t="s">
        <v>207</v>
      </c>
      <c r="AD653" s="90"/>
      <c r="AE653" s="140" t="s">
        <v>207</v>
      </c>
      <c r="AF653" s="178" t="str">
        <f t="shared" si="32"/>
        <v>C</v>
      </c>
      <c r="AG653" s="52" t="str">
        <f t="shared" si="30"/>
        <v>UTILIZOU O PDA CORRETAMENTE</v>
      </c>
      <c r="AH653" s="140" t="s">
        <v>207</v>
      </c>
      <c r="AI653" s="182" t="s">
        <v>36</v>
      </c>
      <c r="AJ653" s="93" t="str">
        <f t="shared" si="31"/>
        <v>SÃO PAULO</v>
      </c>
      <c r="AK653" s="183" t="s">
        <v>54</v>
      </c>
    </row>
    <row r="654" spans="1:37" ht="30" customHeight="1">
      <c r="A654" s="161" t="s">
        <v>198</v>
      </c>
      <c r="B654" s="155">
        <v>2621369682</v>
      </c>
      <c r="C654" s="155" t="s">
        <v>116</v>
      </c>
      <c r="D654" s="155" t="s">
        <v>94</v>
      </c>
      <c r="E654" s="155" t="s">
        <v>35</v>
      </c>
      <c r="F654" s="155" t="s">
        <v>1391</v>
      </c>
      <c r="G654" s="155">
        <v>704</v>
      </c>
      <c r="H654" s="155" t="s">
        <v>200</v>
      </c>
      <c r="I654" s="155" t="s">
        <v>1381</v>
      </c>
      <c r="J654" s="155" t="s">
        <v>221</v>
      </c>
      <c r="K654" s="155" t="s">
        <v>586</v>
      </c>
      <c r="L654" s="249">
        <v>46164.427777777775</v>
      </c>
      <c r="M654" s="249">
        <v>46164.473611111112</v>
      </c>
      <c r="N654" s="155" t="s">
        <v>331</v>
      </c>
      <c r="O654" s="256" t="s">
        <v>207</v>
      </c>
      <c r="P654" s="90"/>
      <c r="Q654" s="140" t="s">
        <v>207</v>
      </c>
      <c r="R654" s="90"/>
      <c r="S654" s="140" t="s">
        <v>207</v>
      </c>
      <c r="T654" s="90"/>
      <c r="U654" s="140" t="s">
        <v>207</v>
      </c>
      <c r="V654" s="90"/>
      <c r="W654" s="140" t="s">
        <v>207</v>
      </c>
      <c r="X654" s="90"/>
      <c r="Y654" s="140" t="s">
        <v>207</v>
      </c>
      <c r="Z654" s="90"/>
      <c r="AA654" s="140" t="s">
        <v>207</v>
      </c>
      <c r="AB654" s="90"/>
      <c r="AC654" s="140" t="s">
        <v>207</v>
      </c>
      <c r="AD654" s="90"/>
      <c r="AE654" s="140" t="s">
        <v>207</v>
      </c>
      <c r="AF654" s="178" t="str">
        <f t="shared" si="32"/>
        <v>C</v>
      </c>
      <c r="AG654" s="52" t="str">
        <f t="shared" si="30"/>
        <v>UTILIZOU O PDA CORRETAMENTE</v>
      </c>
      <c r="AH654" s="140" t="s">
        <v>207</v>
      </c>
      <c r="AI654" s="182" t="s">
        <v>36</v>
      </c>
      <c r="AJ654" s="93" t="str">
        <f t="shared" si="31"/>
        <v>SÃO PAULO</v>
      </c>
      <c r="AK654" s="183" t="s">
        <v>54</v>
      </c>
    </row>
    <row r="655" spans="1:37" ht="30" customHeight="1">
      <c r="A655" s="161" t="s">
        <v>198</v>
      </c>
      <c r="B655" s="155">
        <v>2621499057</v>
      </c>
      <c r="C655" s="155" t="s">
        <v>115</v>
      </c>
      <c r="D655" s="155" t="s">
        <v>96</v>
      </c>
      <c r="E655" s="155" t="s">
        <v>35</v>
      </c>
      <c r="F655" s="155" t="s">
        <v>1392</v>
      </c>
      <c r="G655" s="155">
        <v>83</v>
      </c>
      <c r="H655" s="155" t="s">
        <v>200</v>
      </c>
      <c r="I655" s="155" t="s">
        <v>1393</v>
      </c>
      <c r="J655" s="155" t="s">
        <v>268</v>
      </c>
      <c r="K655" s="155" t="s">
        <v>1394</v>
      </c>
      <c r="L655" s="249">
        <v>46164.481249999997</v>
      </c>
      <c r="M655" s="249">
        <v>46164.589583333334</v>
      </c>
      <c r="N655" s="155" t="s">
        <v>251</v>
      </c>
      <c r="O655" s="256" t="s">
        <v>207</v>
      </c>
      <c r="P655" s="90"/>
      <c r="Q655" s="140" t="s">
        <v>207</v>
      </c>
      <c r="R655" s="90"/>
      <c r="S655" s="140" t="s">
        <v>207</v>
      </c>
      <c r="T655" s="90"/>
      <c r="U655" s="140" t="s">
        <v>207</v>
      </c>
      <c r="V655" s="90"/>
      <c r="W655" s="140" t="s">
        <v>207</v>
      </c>
      <c r="X655" s="90"/>
      <c r="Y655" s="140" t="s">
        <v>207</v>
      </c>
      <c r="Z655" s="90"/>
      <c r="AA655" s="140" t="s">
        <v>207</v>
      </c>
      <c r="AB655" s="90"/>
      <c r="AC655" s="140" t="s">
        <v>207</v>
      </c>
      <c r="AD655" s="90"/>
      <c r="AE655" s="140" t="s">
        <v>207</v>
      </c>
      <c r="AF655" s="178" t="str">
        <f t="shared" si="32"/>
        <v>C</v>
      </c>
      <c r="AG655" s="52" t="str">
        <f t="shared" si="30"/>
        <v>UTILIZOU O PDA CORRETAMENTE</v>
      </c>
      <c r="AH655" s="140" t="s">
        <v>207</v>
      </c>
      <c r="AI655" s="182" t="s">
        <v>36</v>
      </c>
      <c r="AJ655" s="93" t="str">
        <f t="shared" si="31"/>
        <v>SÃO PAULO</v>
      </c>
      <c r="AK655" s="183" t="s">
        <v>54</v>
      </c>
    </row>
    <row r="656" spans="1:37" ht="30" customHeight="1">
      <c r="A656" s="161" t="s">
        <v>198</v>
      </c>
      <c r="B656" s="155">
        <v>2693865450</v>
      </c>
      <c r="C656" s="155" t="s">
        <v>122</v>
      </c>
      <c r="D656" s="155" t="s">
        <v>96</v>
      </c>
      <c r="E656" s="155" t="s">
        <v>35</v>
      </c>
      <c r="F656" s="155" t="s">
        <v>1070</v>
      </c>
      <c r="G656" s="155">
        <v>66</v>
      </c>
      <c r="H656" s="155" t="s">
        <v>200</v>
      </c>
      <c r="I656" s="155" t="s">
        <v>314</v>
      </c>
      <c r="J656" s="155" t="s">
        <v>267</v>
      </c>
      <c r="K656" s="155" t="s">
        <v>200</v>
      </c>
      <c r="L656" s="249">
        <v>46164.283333333333</v>
      </c>
      <c r="M656" s="249">
        <v>46164.347222222219</v>
      </c>
      <c r="N656" s="155" t="s">
        <v>517</v>
      </c>
      <c r="O656" s="256" t="s">
        <v>207</v>
      </c>
      <c r="P656" s="90"/>
      <c r="Q656" s="140" t="s">
        <v>207</v>
      </c>
      <c r="R656" s="90"/>
      <c r="S656" s="140" t="s">
        <v>207</v>
      </c>
      <c r="T656" s="90"/>
      <c r="U656" s="140" t="s">
        <v>207</v>
      </c>
      <c r="V656" s="90"/>
      <c r="W656" s="140" t="s">
        <v>207</v>
      </c>
      <c r="X656" s="90"/>
      <c r="Y656" s="140" t="s">
        <v>77</v>
      </c>
      <c r="Z656" s="90"/>
      <c r="AA656" s="140" t="s">
        <v>207</v>
      </c>
      <c r="AB656" s="90"/>
      <c r="AC656" s="140" t="s">
        <v>207</v>
      </c>
      <c r="AD656" s="90"/>
      <c r="AE656" s="140" t="s">
        <v>207</v>
      </c>
      <c r="AF656" s="178" t="str">
        <f t="shared" si="32"/>
        <v>C</v>
      </c>
      <c r="AG656" s="52" t="str">
        <f t="shared" si="30"/>
        <v>UTILIZOU O PDA CORRETAMENTE</v>
      </c>
      <c r="AH656" s="140" t="s">
        <v>207</v>
      </c>
      <c r="AI656" s="182" t="s">
        <v>36</v>
      </c>
      <c r="AJ656" s="93" t="str">
        <f t="shared" si="31"/>
        <v>SÃO PAULO</v>
      </c>
      <c r="AK656" s="183" t="s">
        <v>54</v>
      </c>
    </row>
    <row r="657" spans="1:37" ht="30" customHeight="1">
      <c r="A657" s="161" t="s">
        <v>198</v>
      </c>
      <c r="B657" s="155">
        <v>2693863097</v>
      </c>
      <c r="C657" s="155" t="s">
        <v>117</v>
      </c>
      <c r="D657" s="155" t="s">
        <v>96</v>
      </c>
      <c r="E657" s="155" t="s">
        <v>35</v>
      </c>
      <c r="F657" s="155" t="s">
        <v>1395</v>
      </c>
      <c r="G657" s="155">
        <v>369</v>
      </c>
      <c r="H657" s="155" t="s">
        <v>205</v>
      </c>
      <c r="I657" s="155" t="s">
        <v>287</v>
      </c>
      <c r="J657" s="155" t="s">
        <v>267</v>
      </c>
      <c r="K657" s="155" t="s">
        <v>200</v>
      </c>
      <c r="L657" s="249">
        <v>46164.325694444444</v>
      </c>
      <c r="M657" s="249">
        <v>46164.335416666669</v>
      </c>
      <c r="N657" s="155" t="s">
        <v>262</v>
      </c>
      <c r="O657" s="256" t="s">
        <v>207</v>
      </c>
      <c r="P657" s="90"/>
      <c r="Q657" s="140" t="s">
        <v>207</v>
      </c>
      <c r="R657" s="90"/>
      <c r="S657" s="140" t="s">
        <v>207</v>
      </c>
      <c r="T657" s="90"/>
      <c r="U657" s="140" t="s">
        <v>207</v>
      </c>
      <c r="V657" s="90"/>
      <c r="W657" s="140" t="s">
        <v>207</v>
      </c>
      <c r="X657" s="90"/>
      <c r="Y657" s="140" t="s">
        <v>77</v>
      </c>
      <c r="Z657" s="90"/>
      <c r="AA657" s="140" t="s">
        <v>207</v>
      </c>
      <c r="AB657" s="90"/>
      <c r="AC657" s="140" t="s">
        <v>207</v>
      </c>
      <c r="AD657" s="90"/>
      <c r="AE657" s="140" t="s">
        <v>207</v>
      </c>
      <c r="AF657" s="178" t="str">
        <f t="shared" si="32"/>
        <v>C</v>
      </c>
      <c r="AG657" s="52" t="str">
        <f t="shared" si="30"/>
        <v>UTILIZOU O PDA CORRETAMENTE</v>
      </c>
      <c r="AH657" s="140" t="s">
        <v>207</v>
      </c>
      <c r="AI657" s="182" t="s">
        <v>36</v>
      </c>
      <c r="AJ657" s="93" t="str">
        <f t="shared" si="31"/>
        <v>SÃO PAULO</v>
      </c>
      <c r="AK657" s="183" t="s">
        <v>54</v>
      </c>
    </row>
    <row r="658" spans="1:37" ht="30" customHeight="1">
      <c r="A658" s="161" t="s">
        <v>198</v>
      </c>
      <c r="B658" s="155">
        <v>2621486062</v>
      </c>
      <c r="C658" s="155" t="s">
        <v>115</v>
      </c>
      <c r="D658" s="155" t="s">
        <v>96</v>
      </c>
      <c r="E658" s="155" t="s">
        <v>35</v>
      </c>
      <c r="F658" s="155" t="s">
        <v>633</v>
      </c>
      <c r="G658" s="155">
        <v>50</v>
      </c>
      <c r="H658" s="155" t="s">
        <v>200</v>
      </c>
      <c r="I658" s="155" t="s">
        <v>634</v>
      </c>
      <c r="J658" s="155" t="s">
        <v>268</v>
      </c>
      <c r="K658" s="206" t="s">
        <v>1396</v>
      </c>
      <c r="L658" s="249">
        <v>46164.417361111111</v>
      </c>
      <c r="M658" s="249">
        <v>46164.520833333336</v>
      </c>
      <c r="N658" s="155" t="s">
        <v>323</v>
      </c>
      <c r="O658" s="256" t="s">
        <v>207</v>
      </c>
      <c r="P658" s="90"/>
      <c r="Q658" s="140" t="s">
        <v>207</v>
      </c>
      <c r="R658" s="90"/>
      <c r="S658" s="140" t="s">
        <v>207</v>
      </c>
      <c r="T658" s="90"/>
      <c r="U658" s="140" t="s">
        <v>207</v>
      </c>
      <c r="V658" s="90"/>
      <c r="W658" s="140" t="s">
        <v>207</v>
      </c>
      <c r="X658" s="90"/>
      <c r="Y658" s="140" t="s">
        <v>207</v>
      </c>
      <c r="Z658" s="90"/>
      <c r="AA658" s="140" t="s">
        <v>207</v>
      </c>
      <c r="AB658" s="90"/>
      <c r="AC658" s="140" t="s">
        <v>207</v>
      </c>
      <c r="AD658" s="90"/>
      <c r="AE658" s="140" t="s">
        <v>207</v>
      </c>
      <c r="AF658" s="178" t="str">
        <f t="shared" si="32"/>
        <v>C</v>
      </c>
      <c r="AG658" s="52" t="str">
        <f t="shared" si="30"/>
        <v>UTILIZOU O PDA CORRETAMENTE</v>
      </c>
      <c r="AH658" s="140" t="s">
        <v>207</v>
      </c>
      <c r="AI658" s="182" t="s">
        <v>36</v>
      </c>
      <c r="AJ658" s="93" t="str">
        <f t="shared" si="31"/>
        <v>SÃO PAULO</v>
      </c>
      <c r="AK658" s="183" t="s">
        <v>54</v>
      </c>
    </row>
    <row r="659" spans="1:37" ht="30" customHeight="1">
      <c r="A659" s="161" t="s">
        <v>198</v>
      </c>
      <c r="B659" s="155">
        <v>2621649796</v>
      </c>
      <c r="C659" s="155" t="s">
        <v>122</v>
      </c>
      <c r="D659" s="155" t="s">
        <v>96</v>
      </c>
      <c r="E659" s="155" t="s">
        <v>35</v>
      </c>
      <c r="F659" s="155" t="s">
        <v>707</v>
      </c>
      <c r="G659" s="155">
        <v>13</v>
      </c>
      <c r="H659" s="155" t="s">
        <v>200</v>
      </c>
      <c r="I659" s="155" t="s">
        <v>708</v>
      </c>
      <c r="J659" s="155" t="s">
        <v>260</v>
      </c>
      <c r="K659" s="155" t="s">
        <v>200</v>
      </c>
      <c r="L659" s="249">
        <v>46164.28125</v>
      </c>
      <c r="M659" s="249">
        <v>46164.388194444444</v>
      </c>
      <c r="N659" s="155" t="s">
        <v>403</v>
      </c>
      <c r="O659" s="256" t="s">
        <v>207</v>
      </c>
      <c r="P659" s="90"/>
      <c r="Q659" s="140" t="s">
        <v>207</v>
      </c>
      <c r="R659" s="90"/>
      <c r="S659" s="140" t="s">
        <v>207</v>
      </c>
      <c r="T659" s="90"/>
      <c r="U659" s="140" t="s">
        <v>207</v>
      </c>
      <c r="V659" s="90"/>
      <c r="W659" s="140" t="s">
        <v>207</v>
      </c>
      <c r="X659" s="90"/>
      <c r="Y659" s="140" t="s">
        <v>77</v>
      </c>
      <c r="Z659" s="90"/>
      <c r="AA659" s="140" t="s">
        <v>207</v>
      </c>
      <c r="AB659" s="90"/>
      <c r="AC659" s="140" t="s">
        <v>207</v>
      </c>
      <c r="AD659" s="90"/>
      <c r="AE659" s="140" t="s">
        <v>207</v>
      </c>
      <c r="AF659" s="178" t="str">
        <f t="shared" si="32"/>
        <v>C</v>
      </c>
      <c r="AG659" s="52" t="str">
        <f t="shared" si="30"/>
        <v>UTILIZOU O PDA CORRETAMENTE</v>
      </c>
      <c r="AH659" s="140" t="s">
        <v>207</v>
      </c>
      <c r="AI659" s="182" t="s">
        <v>36</v>
      </c>
      <c r="AJ659" s="93" t="str">
        <f t="shared" si="31"/>
        <v>SÃO PAULO</v>
      </c>
      <c r="AK659" s="183" t="s">
        <v>54</v>
      </c>
    </row>
    <row r="660" spans="1:37" ht="30" customHeight="1">
      <c r="A660" s="161" t="s">
        <v>198</v>
      </c>
      <c r="B660" s="155">
        <v>2621459743</v>
      </c>
      <c r="C660" s="155" t="s">
        <v>121</v>
      </c>
      <c r="D660" s="155" t="s">
        <v>96</v>
      </c>
      <c r="E660" s="155" t="s">
        <v>35</v>
      </c>
      <c r="F660" s="155" t="s">
        <v>587</v>
      </c>
      <c r="G660" s="155">
        <v>4</v>
      </c>
      <c r="H660" s="155" t="s">
        <v>1397</v>
      </c>
      <c r="I660" s="155" t="s">
        <v>479</v>
      </c>
      <c r="J660" s="155" t="s">
        <v>336</v>
      </c>
      <c r="K660" s="155" t="s">
        <v>770</v>
      </c>
      <c r="L660" s="249">
        <v>46164.501388888886</v>
      </c>
      <c r="M660" s="249">
        <v>46164.503472222219</v>
      </c>
      <c r="N660" s="155" t="s">
        <v>206</v>
      </c>
      <c r="O660" s="256" t="s">
        <v>207</v>
      </c>
      <c r="P660" s="90"/>
      <c r="Q660" s="140" t="s">
        <v>207</v>
      </c>
      <c r="R660" s="90"/>
      <c r="S660" s="140" t="s">
        <v>207</v>
      </c>
      <c r="T660" s="90"/>
      <c r="U660" s="140" t="s">
        <v>207</v>
      </c>
      <c r="V660" s="90"/>
      <c r="W660" s="140" t="s">
        <v>207</v>
      </c>
      <c r="X660" s="90"/>
      <c r="Y660" s="140" t="s">
        <v>77</v>
      </c>
      <c r="Z660" s="90"/>
      <c r="AA660" s="140" t="s">
        <v>207</v>
      </c>
      <c r="AB660" s="90"/>
      <c r="AC660" s="140" t="s">
        <v>207</v>
      </c>
      <c r="AD660" s="90"/>
      <c r="AE660" s="140" t="s">
        <v>207</v>
      </c>
      <c r="AF660" s="178" t="str">
        <f t="shared" si="32"/>
        <v>C</v>
      </c>
      <c r="AG660" s="52" t="str">
        <f t="shared" si="30"/>
        <v>UTILIZOU O PDA CORRETAMENTE</v>
      </c>
      <c r="AH660" s="140" t="s">
        <v>207</v>
      </c>
      <c r="AI660" s="182" t="s">
        <v>36</v>
      </c>
      <c r="AJ660" s="93" t="str">
        <f t="shared" si="31"/>
        <v>SÃO PAULO</v>
      </c>
      <c r="AK660" s="183" t="s">
        <v>54</v>
      </c>
    </row>
    <row r="661" spans="1:37" ht="30" customHeight="1">
      <c r="A661" s="161" t="s">
        <v>198</v>
      </c>
      <c r="B661" s="155">
        <v>2693932870</v>
      </c>
      <c r="C661" s="155" t="s">
        <v>114</v>
      </c>
      <c r="D661" s="155" t="s">
        <v>96</v>
      </c>
      <c r="E661" s="155" t="s">
        <v>35</v>
      </c>
      <c r="F661" s="155" t="s">
        <v>1390</v>
      </c>
      <c r="G661" s="155">
        <v>362</v>
      </c>
      <c r="H661" s="155" t="s">
        <v>200</v>
      </c>
      <c r="I661" s="155" t="s">
        <v>598</v>
      </c>
      <c r="J661" s="155" t="s">
        <v>260</v>
      </c>
      <c r="K661" s="155" t="s">
        <v>200</v>
      </c>
      <c r="L661" s="249">
        <v>46164.443749999999</v>
      </c>
      <c r="M661" s="249">
        <v>46164.486111111109</v>
      </c>
      <c r="N661" s="155" t="s">
        <v>235</v>
      </c>
      <c r="O661" s="256" t="s">
        <v>207</v>
      </c>
      <c r="P661" s="90"/>
      <c r="Q661" s="140" t="s">
        <v>207</v>
      </c>
      <c r="R661" s="90"/>
      <c r="S661" s="140" t="s">
        <v>207</v>
      </c>
      <c r="T661" s="90"/>
      <c r="U661" s="140" t="s">
        <v>207</v>
      </c>
      <c r="V661" s="90"/>
      <c r="W661" s="140" t="s">
        <v>207</v>
      </c>
      <c r="X661" s="90"/>
      <c r="Y661" s="140" t="s">
        <v>207</v>
      </c>
      <c r="Z661" s="90"/>
      <c r="AA661" s="140" t="s">
        <v>207</v>
      </c>
      <c r="AB661" s="90"/>
      <c r="AC661" s="140" t="s">
        <v>207</v>
      </c>
      <c r="AD661" s="90"/>
      <c r="AE661" s="140" t="s">
        <v>207</v>
      </c>
      <c r="AF661" s="178" t="str">
        <f t="shared" si="32"/>
        <v>C</v>
      </c>
      <c r="AG661" s="52" t="str">
        <f t="shared" si="30"/>
        <v>UTILIZOU O PDA CORRETAMENTE</v>
      </c>
      <c r="AH661" s="140" t="s">
        <v>207</v>
      </c>
      <c r="AI661" s="182" t="s">
        <v>36</v>
      </c>
      <c r="AJ661" s="93" t="str">
        <f t="shared" si="31"/>
        <v>SÃO PAULO</v>
      </c>
      <c r="AK661" s="183" t="s">
        <v>54</v>
      </c>
    </row>
    <row r="662" spans="1:37" ht="30" customHeight="1">
      <c r="A662" s="161" t="s">
        <v>198</v>
      </c>
      <c r="B662" s="155">
        <v>2693947055</v>
      </c>
      <c r="C662" s="155" t="s">
        <v>122</v>
      </c>
      <c r="D662" s="155" t="s">
        <v>96</v>
      </c>
      <c r="E662" s="155" t="s">
        <v>35</v>
      </c>
      <c r="F662" s="155" t="s">
        <v>1398</v>
      </c>
      <c r="G662" s="155">
        <v>137</v>
      </c>
      <c r="H662" s="155" t="s">
        <v>208</v>
      </c>
      <c r="I662" s="155" t="s">
        <v>218</v>
      </c>
      <c r="J662" s="155" t="s">
        <v>267</v>
      </c>
      <c r="K662" s="155" t="s">
        <v>1399</v>
      </c>
      <c r="L662" s="249">
        <v>46164.604166666664</v>
      </c>
      <c r="M662" s="249">
        <v>46164.612500000003</v>
      </c>
      <c r="N662" s="155" t="s">
        <v>274</v>
      </c>
      <c r="O662" s="256" t="s">
        <v>207</v>
      </c>
      <c r="P662" s="90"/>
      <c r="Q662" s="140" t="s">
        <v>207</v>
      </c>
      <c r="R662" s="90"/>
      <c r="S662" s="140" t="s">
        <v>207</v>
      </c>
      <c r="T662" s="90"/>
      <c r="U662" s="140" t="s">
        <v>207</v>
      </c>
      <c r="V662" s="90"/>
      <c r="W662" s="140" t="s">
        <v>207</v>
      </c>
      <c r="X662" s="90"/>
      <c r="Y662" s="140" t="s">
        <v>77</v>
      </c>
      <c r="Z662" s="90"/>
      <c r="AA662" s="140" t="s">
        <v>207</v>
      </c>
      <c r="AB662" s="90"/>
      <c r="AC662" s="140" t="s">
        <v>207</v>
      </c>
      <c r="AD662" s="90"/>
      <c r="AE662" s="140" t="s">
        <v>207</v>
      </c>
      <c r="AF662" s="178" t="str">
        <f t="shared" si="32"/>
        <v>C</v>
      </c>
      <c r="AG662" s="52" t="str">
        <f t="shared" si="30"/>
        <v>UTILIZOU O PDA CORRETAMENTE</v>
      </c>
      <c r="AH662" s="140" t="s">
        <v>207</v>
      </c>
      <c r="AI662" s="182" t="s">
        <v>36</v>
      </c>
      <c r="AJ662" s="93" t="str">
        <f t="shared" si="31"/>
        <v>SÃO PAULO</v>
      </c>
      <c r="AK662" s="183" t="s">
        <v>54</v>
      </c>
    </row>
    <row r="663" spans="1:37" ht="30" customHeight="1">
      <c r="A663" s="161" t="s">
        <v>198</v>
      </c>
      <c r="B663" s="155">
        <v>2621681098</v>
      </c>
      <c r="C663" s="155" t="s">
        <v>116</v>
      </c>
      <c r="D663" s="155" t="s">
        <v>94</v>
      </c>
      <c r="E663" s="155" t="s">
        <v>35</v>
      </c>
      <c r="F663" s="155" t="s">
        <v>1400</v>
      </c>
      <c r="G663" s="155">
        <v>66</v>
      </c>
      <c r="H663" s="155" t="s">
        <v>200</v>
      </c>
      <c r="I663" s="155" t="s">
        <v>652</v>
      </c>
      <c r="J663" s="155" t="s">
        <v>221</v>
      </c>
      <c r="K663" s="155" t="s">
        <v>200</v>
      </c>
      <c r="L663" s="249">
        <v>46164.427083333336</v>
      </c>
      <c r="M663" s="249">
        <v>46164.428472222222</v>
      </c>
      <c r="N663" s="155" t="s">
        <v>232</v>
      </c>
      <c r="O663" s="256" t="s">
        <v>207</v>
      </c>
      <c r="P663" s="90"/>
      <c r="Q663" s="140" t="s">
        <v>207</v>
      </c>
      <c r="R663" s="90"/>
      <c r="S663" s="140" t="s">
        <v>207</v>
      </c>
      <c r="T663" s="90"/>
      <c r="U663" s="140" t="s">
        <v>207</v>
      </c>
      <c r="V663" s="90"/>
      <c r="W663" s="140" t="s">
        <v>207</v>
      </c>
      <c r="X663" s="90"/>
      <c r="Y663" s="140" t="s">
        <v>207</v>
      </c>
      <c r="Z663" s="90"/>
      <c r="AA663" s="140" t="s">
        <v>207</v>
      </c>
      <c r="AB663" s="90"/>
      <c r="AC663" s="140" t="s">
        <v>207</v>
      </c>
      <c r="AD663" s="90"/>
      <c r="AE663" s="140" t="s">
        <v>207</v>
      </c>
      <c r="AF663" s="178" t="str">
        <f t="shared" si="32"/>
        <v>C</v>
      </c>
      <c r="AG663" s="52" t="str">
        <f t="shared" si="30"/>
        <v>UTILIZOU O PDA CORRETAMENTE</v>
      </c>
      <c r="AH663" s="140" t="s">
        <v>207</v>
      </c>
      <c r="AI663" s="182" t="s">
        <v>36</v>
      </c>
      <c r="AJ663" s="93" t="str">
        <f t="shared" si="31"/>
        <v>SÃO PAULO</v>
      </c>
      <c r="AK663" s="183" t="s">
        <v>54</v>
      </c>
    </row>
    <row r="664" spans="1:37" ht="30" customHeight="1">
      <c r="A664" s="161" t="s">
        <v>198</v>
      </c>
      <c r="B664" s="155">
        <v>2621691225</v>
      </c>
      <c r="C664" s="155" t="s">
        <v>121</v>
      </c>
      <c r="D664" s="155" t="s">
        <v>96</v>
      </c>
      <c r="E664" s="155" t="s">
        <v>35</v>
      </c>
      <c r="F664" s="155" t="s">
        <v>1401</v>
      </c>
      <c r="G664" s="155">
        <v>185</v>
      </c>
      <c r="H664" s="155" t="s">
        <v>200</v>
      </c>
      <c r="I664" s="155" t="s">
        <v>1402</v>
      </c>
      <c r="J664" s="155" t="s">
        <v>336</v>
      </c>
      <c r="K664" s="155" t="s">
        <v>200</v>
      </c>
      <c r="L664" s="249">
        <v>46164.612500000003</v>
      </c>
      <c r="M664" s="249">
        <v>46164.613194444442</v>
      </c>
      <c r="N664" s="155" t="s">
        <v>345</v>
      </c>
      <c r="O664" s="256" t="s">
        <v>207</v>
      </c>
      <c r="P664" s="90"/>
      <c r="Q664" s="140" t="s">
        <v>207</v>
      </c>
      <c r="R664" s="90"/>
      <c r="S664" s="140" t="s">
        <v>207</v>
      </c>
      <c r="T664" s="90"/>
      <c r="U664" s="140" t="s">
        <v>207</v>
      </c>
      <c r="V664" s="90"/>
      <c r="W664" s="140" t="s">
        <v>207</v>
      </c>
      <c r="X664" s="90"/>
      <c r="Y664" s="140" t="s">
        <v>77</v>
      </c>
      <c r="Z664" s="90"/>
      <c r="AA664" s="140" t="s">
        <v>207</v>
      </c>
      <c r="AB664" s="90"/>
      <c r="AC664" s="140" t="s">
        <v>207</v>
      </c>
      <c r="AD664" s="90"/>
      <c r="AE664" s="140" t="s">
        <v>207</v>
      </c>
      <c r="AF664" s="178" t="str">
        <f t="shared" si="32"/>
        <v>C</v>
      </c>
      <c r="AG664" s="52" t="str">
        <f t="shared" si="30"/>
        <v>UTILIZOU O PDA CORRETAMENTE</v>
      </c>
      <c r="AH664" s="140" t="s">
        <v>207</v>
      </c>
      <c r="AI664" s="182" t="s">
        <v>36</v>
      </c>
      <c r="AJ664" s="93" t="str">
        <f t="shared" si="31"/>
        <v>SÃO PAULO</v>
      </c>
      <c r="AK664" s="183" t="s">
        <v>54</v>
      </c>
    </row>
    <row r="665" spans="1:37" ht="30" customHeight="1">
      <c r="A665" s="161" t="s">
        <v>198</v>
      </c>
      <c r="B665" s="155">
        <v>2693919791</v>
      </c>
      <c r="C665" s="155" t="s">
        <v>114</v>
      </c>
      <c r="D665" s="155" t="s">
        <v>96</v>
      </c>
      <c r="E665" s="155" t="s">
        <v>35</v>
      </c>
      <c r="F665" s="155" t="s">
        <v>1403</v>
      </c>
      <c r="G665" s="155">
        <v>12</v>
      </c>
      <c r="H665" s="155" t="s">
        <v>200</v>
      </c>
      <c r="I665" s="155" t="s">
        <v>392</v>
      </c>
      <c r="J665" s="155" t="s">
        <v>260</v>
      </c>
      <c r="K665" s="155" t="s">
        <v>1404</v>
      </c>
      <c r="L665" s="249">
        <v>46164.598611111112</v>
      </c>
      <c r="M665" s="249">
        <v>46164.600694444445</v>
      </c>
      <c r="N665" s="155" t="s">
        <v>364</v>
      </c>
      <c r="O665" s="256" t="s">
        <v>207</v>
      </c>
      <c r="P665" s="90"/>
      <c r="Q665" s="140" t="s">
        <v>207</v>
      </c>
      <c r="R665" s="90"/>
      <c r="S665" s="140" t="s">
        <v>207</v>
      </c>
      <c r="T665" s="90"/>
      <c r="U665" s="140" t="s">
        <v>207</v>
      </c>
      <c r="V665" s="90"/>
      <c r="W665" s="140" t="s">
        <v>207</v>
      </c>
      <c r="X665" s="90"/>
      <c r="Y665" s="140" t="s">
        <v>207</v>
      </c>
      <c r="Z665" s="90"/>
      <c r="AA665" s="140" t="s">
        <v>207</v>
      </c>
      <c r="AB665" s="90"/>
      <c r="AC665" s="140" t="s">
        <v>207</v>
      </c>
      <c r="AD665" s="90"/>
      <c r="AE665" s="140" t="s">
        <v>207</v>
      </c>
      <c r="AF665" s="178" t="str">
        <f t="shared" si="32"/>
        <v>C</v>
      </c>
      <c r="AG665" s="52" t="str">
        <f t="shared" si="30"/>
        <v>UTILIZOU O PDA CORRETAMENTE</v>
      </c>
      <c r="AH665" s="140" t="s">
        <v>207</v>
      </c>
      <c r="AI665" s="182" t="s">
        <v>36</v>
      </c>
      <c r="AJ665" s="93" t="str">
        <f t="shared" si="31"/>
        <v>SÃO PAULO</v>
      </c>
      <c r="AK665" s="183" t="s">
        <v>54</v>
      </c>
    </row>
    <row r="666" spans="1:37" ht="30" customHeight="1">
      <c r="A666" s="161" t="s">
        <v>198</v>
      </c>
      <c r="B666" s="155">
        <v>2621695233</v>
      </c>
      <c r="C666" s="155" t="s">
        <v>120</v>
      </c>
      <c r="D666" s="155" t="s">
        <v>96</v>
      </c>
      <c r="E666" s="155" t="s">
        <v>35</v>
      </c>
      <c r="F666" s="155" t="s">
        <v>633</v>
      </c>
      <c r="G666" s="155">
        <v>55</v>
      </c>
      <c r="H666" s="155" t="s">
        <v>200</v>
      </c>
      <c r="I666" s="155" t="s">
        <v>634</v>
      </c>
      <c r="J666" s="155" t="s">
        <v>336</v>
      </c>
      <c r="K666" s="206" t="s">
        <v>1405</v>
      </c>
      <c r="L666" s="249">
        <v>46164.538194444445</v>
      </c>
      <c r="M666" s="249">
        <v>46164.548611111109</v>
      </c>
      <c r="N666" s="155" t="s">
        <v>323</v>
      </c>
      <c r="O666" s="256" t="s">
        <v>207</v>
      </c>
      <c r="P666" s="90"/>
      <c r="Q666" s="140" t="s">
        <v>207</v>
      </c>
      <c r="R666" s="90"/>
      <c r="S666" s="140" t="s">
        <v>207</v>
      </c>
      <c r="T666" s="90"/>
      <c r="U666" s="140" t="s">
        <v>207</v>
      </c>
      <c r="V666" s="90"/>
      <c r="W666" s="140" t="s">
        <v>207</v>
      </c>
      <c r="X666" s="90"/>
      <c r="Y666" s="140" t="s">
        <v>77</v>
      </c>
      <c r="Z666" s="90"/>
      <c r="AA666" s="140" t="s">
        <v>207</v>
      </c>
      <c r="AB666" s="90"/>
      <c r="AC666" s="140" t="s">
        <v>207</v>
      </c>
      <c r="AD666" s="90"/>
      <c r="AE666" s="140" t="s">
        <v>207</v>
      </c>
      <c r="AF666" s="178" t="str">
        <f t="shared" si="32"/>
        <v>C</v>
      </c>
      <c r="AG666" s="52" t="str">
        <f t="shared" si="30"/>
        <v>UTILIZOU O PDA CORRETAMENTE</v>
      </c>
      <c r="AH666" s="140" t="s">
        <v>207</v>
      </c>
      <c r="AI666" s="182" t="s">
        <v>36</v>
      </c>
      <c r="AJ666" s="93" t="str">
        <f t="shared" si="31"/>
        <v>SÃO PAULO</v>
      </c>
      <c r="AK666" s="183" t="s">
        <v>54</v>
      </c>
    </row>
    <row r="667" spans="1:37" ht="30" customHeight="1">
      <c r="A667" s="161" t="s">
        <v>198</v>
      </c>
      <c r="B667" s="155">
        <v>2693957850</v>
      </c>
      <c r="C667" s="155" t="s">
        <v>114</v>
      </c>
      <c r="D667" s="155" t="s">
        <v>96</v>
      </c>
      <c r="E667" s="155" t="s">
        <v>35</v>
      </c>
      <c r="F667" s="155" t="s">
        <v>1400</v>
      </c>
      <c r="G667" s="155">
        <v>60</v>
      </c>
      <c r="H667" s="155" t="s">
        <v>200</v>
      </c>
      <c r="I667" s="155" t="s">
        <v>652</v>
      </c>
      <c r="J667" s="155" t="s">
        <v>260</v>
      </c>
      <c r="K667" s="155" t="s">
        <v>200</v>
      </c>
      <c r="L667" s="249">
        <v>46164.395833333336</v>
      </c>
      <c r="M667" s="249">
        <v>46164.423611111109</v>
      </c>
      <c r="N667" s="155" t="s">
        <v>232</v>
      </c>
      <c r="O667" s="256" t="s">
        <v>207</v>
      </c>
      <c r="P667" s="90"/>
      <c r="Q667" s="140" t="s">
        <v>207</v>
      </c>
      <c r="R667" s="90"/>
      <c r="S667" s="140" t="s">
        <v>207</v>
      </c>
      <c r="T667" s="90"/>
      <c r="U667" s="140" t="s">
        <v>207</v>
      </c>
      <c r="V667" s="90"/>
      <c r="W667" s="140" t="s">
        <v>207</v>
      </c>
      <c r="X667" s="90"/>
      <c r="Y667" s="140" t="s">
        <v>207</v>
      </c>
      <c r="Z667" s="90"/>
      <c r="AA667" s="140" t="s">
        <v>207</v>
      </c>
      <c r="AB667" s="90"/>
      <c r="AC667" s="140" t="s">
        <v>207</v>
      </c>
      <c r="AD667" s="90"/>
      <c r="AE667" s="140" t="s">
        <v>207</v>
      </c>
      <c r="AF667" s="178" t="str">
        <f t="shared" si="32"/>
        <v>C</v>
      </c>
      <c r="AG667" s="52" t="str">
        <f t="shared" si="30"/>
        <v>UTILIZOU O PDA CORRETAMENTE</v>
      </c>
      <c r="AH667" s="140" t="s">
        <v>207</v>
      </c>
      <c r="AI667" s="182" t="s">
        <v>36</v>
      </c>
      <c r="AJ667" s="93" t="str">
        <f t="shared" si="31"/>
        <v>SÃO PAULO</v>
      </c>
      <c r="AK667" s="183" t="s">
        <v>54</v>
      </c>
    </row>
    <row r="668" spans="1:37" ht="30" customHeight="1">
      <c r="A668" s="161" t="s">
        <v>198</v>
      </c>
      <c r="B668" s="155">
        <v>2621505024</v>
      </c>
      <c r="C668" s="155" t="s">
        <v>115</v>
      </c>
      <c r="D668" s="155" t="s">
        <v>96</v>
      </c>
      <c r="E668" s="155" t="s">
        <v>35</v>
      </c>
      <c r="F668" s="155" t="s">
        <v>1158</v>
      </c>
      <c r="G668" s="155">
        <v>115</v>
      </c>
      <c r="H668" s="155" t="s">
        <v>200</v>
      </c>
      <c r="I668" s="155" t="s">
        <v>460</v>
      </c>
      <c r="J668" s="155" t="s">
        <v>268</v>
      </c>
      <c r="K668" s="155" t="s">
        <v>200</v>
      </c>
      <c r="L668" s="249">
        <v>46164.459722222222</v>
      </c>
      <c r="M668" s="249">
        <v>46164.461805555555</v>
      </c>
      <c r="N668" s="155" t="s">
        <v>295</v>
      </c>
      <c r="O668" s="256" t="s">
        <v>207</v>
      </c>
      <c r="P668" s="90"/>
      <c r="Q668" s="140" t="s">
        <v>207</v>
      </c>
      <c r="R668" s="90"/>
      <c r="S668" s="140" t="s">
        <v>207</v>
      </c>
      <c r="T668" s="90"/>
      <c r="U668" s="140" t="s">
        <v>207</v>
      </c>
      <c r="V668" s="90"/>
      <c r="W668" s="140" t="s">
        <v>207</v>
      </c>
      <c r="X668" s="90"/>
      <c r="Y668" s="140" t="s">
        <v>207</v>
      </c>
      <c r="Z668" s="90"/>
      <c r="AA668" s="140" t="s">
        <v>207</v>
      </c>
      <c r="AB668" s="90"/>
      <c r="AC668" s="140" t="s">
        <v>207</v>
      </c>
      <c r="AD668" s="90"/>
      <c r="AE668" s="140" t="s">
        <v>207</v>
      </c>
      <c r="AF668" s="178" t="str">
        <f t="shared" si="32"/>
        <v>C</v>
      </c>
      <c r="AG668" s="52" t="str">
        <f t="shared" si="30"/>
        <v>UTILIZOU O PDA CORRETAMENTE</v>
      </c>
      <c r="AH668" s="140" t="s">
        <v>207</v>
      </c>
      <c r="AI668" s="182" t="s">
        <v>36</v>
      </c>
      <c r="AJ668" s="93" t="str">
        <f t="shared" si="31"/>
        <v>SÃO PAULO</v>
      </c>
      <c r="AK668" s="183" t="s">
        <v>54</v>
      </c>
    </row>
    <row r="669" spans="1:37" ht="30" customHeight="1">
      <c r="A669" s="161" t="s">
        <v>198</v>
      </c>
      <c r="B669" s="155">
        <v>2621505251</v>
      </c>
      <c r="C669" s="155" t="s">
        <v>115</v>
      </c>
      <c r="D669" s="155" t="s">
        <v>96</v>
      </c>
      <c r="E669" s="155" t="s">
        <v>35</v>
      </c>
      <c r="F669" s="155" t="s">
        <v>1158</v>
      </c>
      <c r="G669" s="155">
        <v>101</v>
      </c>
      <c r="H669" s="155" t="s">
        <v>200</v>
      </c>
      <c r="I669" s="155" t="s">
        <v>395</v>
      </c>
      <c r="J669" s="155" t="s">
        <v>268</v>
      </c>
      <c r="K669" s="155" t="s">
        <v>200</v>
      </c>
      <c r="L669" s="249">
        <v>46164.459722222222</v>
      </c>
      <c r="M669" s="249">
        <v>46164.461805555555</v>
      </c>
      <c r="N669" s="155" t="s">
        <v>295</v>
      </c>
      <c r="O669" s="256" t="s">
        <v>207</v>
      </c>
      <c r="P669" s="90"/>
      <c r="Q669" s="140" t="s">
        <v>207</v>
      </c>
      <c r="R669" s="90"/>
      <c r="S669" s="140" t="s">
        <v>207</v>
      </c>
      <c r="T669" s="90"/>
      <c r="U669" s="140" t="s">
        <v>207</v>
      </c>
      <c r="V669" s="90"/>
      <c r="W669" s="140" t="s">
        <v>207</v>
      </c>
      <c r="X669" s="90"/>
      <c r="Y669" s="140" t="s">
        <v>207</v>
      </c>
      <c r="Z669" s="90"/>
      <c r="AA669" s="140" t="s">
        <v>207</v>
      </c>
      <c r="AB669" s="90"/>
      <c r="AC669" s="140" t="s">
        <v>207</v>
      </c>
      <c r="AD669" s="90"/>
      <c r="AE669" s="140" t="s">
        <v>207</v>
      </c>
      <c r="AF669" s="178" t="str">
        <f t="shared" si="32"/>
        <v>C</v>
      </c>
      <c r="AG669" s="52" t="str">
        <f t="shared" si="30"/>
        <v>UTILIZOU O PDA CORRETAMENTE</v>
      </c>
      <c r="AH669" s="140" t="s">
        <v>207</v>
      </c>
      <c r="AI669" s="182" t="s">
        <v>36</v>
      </c>
      <c r="AJ669" s="93" t="str">
        <f t="shared" si="31"/>
        <v>SÃO PAULO</v>
      </c>
      <c r="AK669" s="183" t="s">
        <v>54</v>
      </c>
    </row>
    <row r="670" spans="1:37" ht="30" customHeight="1">
      <c r="A670" s="161" t="s">
        <v>198</v>
      </c>
      <c r="B670" s="155">
        <v>2693989986</v>
      </c>
      <c r="C670" s="155" t="s">
        <v>122</v>
      </c>
      <c r="D670" s="155" t="s">
        <v>96</v>
      </c>
      <c r="E670" s="155" t="s">
        <v>35</v>
      </c>
      <c r="F670" s="155" t="s">
        <v>844</v>
      </c>
      <c r="G670" s="155">
        <v>14</v>
      </c>
      <c r="H670" s="155" t="s">
        <v>347</v>
      </c>
      <c r="I670" s="155" t="s">
        <v>1381</v>
      </c>
      <c r="J670" s="155" t="s">
        <v>260</v>
      </c>
      <c r="K670" s="155" t="s">
        <v>200</v>
      </c>
      <c r="L670" s="249">
        <v>46165.099305555559</v>
      </c>
      <c r="M670" s="249">
        <v>46165.307638888888</v>
      </c>
      <c r="N670" s="155" t="s">
        <v>403</v>
      </c>
      <c r="O670" s="256" t="s">
        <v>207</v>
      </c>
      <c r="P670" s="90"/>
      <c r="Q670" s="140" t="s">
        <v>207</v>
      </c>
      <c r="R670" s="90"/>
      <c r="S670" s="140" t="s">
        <v>207</v>
      </c>
      <c r="T670" s="90"/>
      <c r="U670" s="140" t="s">
        <v>207</v>
      </c>
      <c r="V670" s="90"/>
      <c r="W670" s="140" t="s">
        <v>207</v>
      </c>
      <c r="X670" s="90"/>
      <c r="Y670" s="140" t="s">
        <v>77</v>
      </c>
      <c r="Z670" s="90"/>
      <c r="AA670" s="140" t="s">
        <v>207</v>
      </c>
      <c r="AB670" s="90"/>
      <c r="AC670" s="140" t="s">
        <v>207</v>
      </c>
      <c r="AD670" s="90"/>
      <c r="AE670" s="140" t="s">
        <v>207</v>
      </c>
      <c r="AF670" s="178" t="str">
        <f t="shared" si="32"/>
        <v>C</v>
      </c>
      <c r="AG670" s="52" t="str">
        <f t="shared" si="30"/>
        <v>UTILIZOU O PDA CORRETAMENTE</v>
      </c>
      <c r="AH670" s="140" t="s">
        <v>207</v>
      </c>
      <c r="AI670" s="182" t="s">
        <v>36</v>
      </c>
      <c r="AJ670" s="93" t="str">
        <f t="shared" si="31"/>
        <v>SÃO PAULO</v>
      </c>
      <c r="AK670" s="183" t="s">
        <v>54</v>
      </c>
    </row>
    <row r="671" spans="1:37" ht="30" customHeight="1">
      <c r="A671" s="161" t="s">
        <v>198</v>
      </c>
      <c r="B671" s="155">
        <v>2621702452</v>
      </c>
      <c r="C671" s="155" t="s">
        <v>105</v>
      </c>
      <c r="D671" s="155" t="s">
        <v>93</v>
      </c>
      <c r="E671" s="155" t="s">
        <v>35</v>
      </c>
      <c r="F671" s="155" t="s">
        <v>1024</v>
      </c>
      <c r="G671" s="155">
        <v>3932</v>
      </c>
      <c r="H671" s="155" t="s">
        <v>200</v>
      </c>
      <c r="I671" s="155" t="s">
        <v>591</v>
      </c>
      <c r="J671" s="155" t="s">
        <v>272</v>
      </c>
      <c r="K671" s="155" t="s">
        <v>200</v>
      </c>
      <c r="L671" s="249">
        <v>46165.002083333333</v>
      </c>
      <c r="M671" s="249">
        <v>46165.05972222222</v>
      </c>
      <c r="N671" s="155" t="s">
        <v>403</v>
      </c>
      <c r="O671" s="256" t="s">
        <v>207</v>
      </c>
      <c r="P671" s="90"/>
      <c r="Q671" s="140" t="s">
        <v>207</v>
      </c>
      <c r="R671" s="90"/>
      <c r="S671" s="140" t="s">
        <v>207</v>
      </c>
      <c r="T671" s="90"/>
      <c r="U671" s="140" t="s">
        <v>207</v>
      </c>
      <c r="V671" s="90"/>
      <c r="W671" s="140" t="s">
        <v>207</v>
      </c>
      <c r="X671" s="90"/>
      <c r="Y671" s="140" t="s">
        <v>77</v>
      </c>
      <c r="Z671" s="90"/>
      <c r="AA671" s="140" t="s">
        <v>207</v>
      </c>
      <c r="AB671" s="90"/>
      <c r="AC671" s="140" t="s">
        <v>207</v>
      </c>
      <c r="AD671" s="90"/>
      <c r="AE671" s="140" t="s">
        <v>207</v>
      </c>
      <c r="AF671" s="178" t="str">
        <f t="shared" si="32"/>
        <v>C</v>
      </c>
      <c r="AG671" s="52" t="str">
        <f t="shared" si="30"/>
        <v>UTILIZOU O PDA CORRETAMENTE</v>
      </c>
      <c r="AH671" s="140" t="s">
        <v>207</v>
      </c>
      <c r="AI671" s="182" t="s">
        <v>36</v>
      </c>
      <c r="AJ671" s="93" t="str">
        <f t="shared" si="31"/>
        <v>SÃO PAULO</v>
      </c>
      <c r="AK671" s="183" t="s">
        <v>54</v>
      </c>
    </row>
    <row r="672" spans="1:37" ht="30" customHeight="1">
      <c r="A672" s="161" t="s">
        <v>198</v>
      </c>
      <c r="B672" s="155">
        <v>2693983611</v>
      </c>
      <c r="C672" s="155" t="s">
        <v>118</v>
      </c>
      <c r="D672" s="155" t="s">
        <v>96</v>
      </c>
      <c r="E672" s="155" t="s">
        <v>35</v>
      </c>
      <c r="F672" s="155" t="s">
        <v>1406</v>
      </c>
      <c r="G672" s="155">
        <v>90</v>
      </c>
      <c r="H672" s="155" t="s">
        <v>200</v>
      </c>
      <c r="I672" s="155" t="s">
        <v>1407</v>
      </c>
      <c r="J672" s="155" t="s">
        <v>267</v>
      </c>
      <c r="K672" s="155" t="s">
        <v>1408</v>
      </c>
      <c r="L672" s="249">
        <v>46165.435416666667</v>
      </c>
      <c r="M672" s="249">
        <v>46165.456250000003</v>
      </c>
      <c r="N672" s="155" t="s">
        <v>331</v>
      </c>
      <c r="O672" s="256" t="s">
        <v>207</v>
      </c>
      <c r="P672" s="90"/>
      <c r="Q672" s="140" t="s">
        <v>207</v>
      </c>
      <c r="R672" s="90"/>
      <c r="S672" s="140" t="s">
        <v>207</v>
      </c>
      <c r="T672" s="90"/>
      <c r="U672" s="140" t="s">
        <v>207</v>
      </c>
      <c r="V672" s="90"/>
      <c r="W672" s="140" t="s">
        <v>207</v>
      </c>
      <c r="X672" s="90"/>
      <c r="Y672" s="140" t="s">
        <v>77</v>
      </c>
      <c r="Z672" s="90"/>
      <c r="AA672" s="140" t="s">
        <v>207</v>
      </c>
      <c r="AB672" s="90"/>
      <c r="AC672" s="140" t="s">
        <v>207</v>
      </c>
      <c r="AD672" s="90"/>
      <c r="AE672" s="140" t="s">
        <v>207</v>
      </c>
      <c r="AF672" s="178" t="str">
        <f t="shared" si="32"/>
        <v>C</v>
      </c>
      <c r="AG672" s="52" t="str">
        <f t="shared" si="30"/>
        <v>UTILIZOU O PDA CORRETAMENTE</v>
      </c>
      <c r="AH672" s="140" t="s">
        <v>207</v>
      </c>
      <c r="AI672" s="182" t="s">
        <v>36</v>
      </c>
      <c r="AJ672" s="93" t="str">
        <f t="shared" si="31"/>
        <v>SÃO PAULO</v>
      </c>
      <c r="AK672" s="183" t="s">
        <v>54</v>
      </c>
    </row>
    <row r="673" spans="1:37" ht="30" customHeight="1">
      <c r="A673" s="161" t="s">
        <v>198</v>
      </c>
      <c r="B673" s="155">
        <v>2621712816</v>
      </c>
      <c r="C673" s="155" t="s">
        <v>122</v>
      </c>
      <c r="D673" s="155" t="s">
        <v>96</v>
      </c>
      <c r="E673" s="155" t="s">
        <v>35</v>
      </c>
      <c r="F673" s="155" t="s">
        <v>1409</v>
      </c>
      <c r="G673" s="155">
        <v>67</v>
      </c>
      <c r="H673" s="155" t="s">
        <v>200</v>
      </c>
      <c r="I673" s="155" t="s">
        <v>284</v>
      </c>
      <c r="J673" s="155" t="s">
        <v>315</v>
      </c>
      <c r="K673" s="155" t="s">
        <v>200</v>
      </c>
      <c r="L673" s="249">
        <v>46165.42291666667</v>
      </c>
      <c r="M673" s="249">
        <v>46165.521527777775</v>
      </c>
      <c r="N673" s="155" t="s">
        <v>274</v>
      </c>
      <c r="O673" s="256" t="s">
        <v>207</v>
      </c>
      <c r="P673" s="90"/>
      <c r="Q673" s="140" t="s">
        <v>207</v>
      </c>
      <c r="R673" s="90"/>
      <c r="S673" s="140" t="s">
        <v>207</v>
      </c>
      <c r="T673" s="90"/>
      <c r="U673" s="140" t="s">
        <v>207</v>
      </c>
      <c r="V673" s="90"/>
      <c r="W673" s="140" t="s">
        <v>207</v>
      </c>
      <c r="X673" s="90"/>
      <c r="Y673" s="140" t="s">
        <v>77</v>
      </c>
      <c r="Z673" s="90"/>
      <c r="AA673" s="140" t="s">
        <v>207</v>
      </c>
      <c r="AB673" s="90"/>
      <c r="AC673" s="140" t="s">
        <v>207</v>
      </c>
      <c r="AD673" s="90"/>
      <c r="AE673" s="140" t="s">
        <v>207</v>
      </c>
      <c r="AF673" s="178" t="str">
        <f t="shared" si="32"/>
        <v>C</v>
      </c>
      <c r="AG673" s="52" t="str">
        <f t="shared" si="30"/>
        <v>UTILIZOU O PDA CORRETAMENTE</v>
      </c>
      <c r="AH673" s="140" t="s">
        <v>207</v>
      </c>
      <c r="AI673" s="182" t="s">
        <v>36</v>
      </c>
      <c r="AJ673" s="93" t="str">
        <f t="shared" si="31"/>
        <v>SÃO PAULO</v>
      </c>
      <c r="AK673" s="183" t="s">
        <v>54</v>
      </c>
    </row>
    <row r="674" spans="1:37" ht="30" customHeight="1">
      <c r="A674" s="161" t="s">
        <v>198</v>
      </c>
      <c r="B674" s="155">
        <v>2694001941</v>
      </c>
      <c r="C674" s="155" t="s">
        <v>118</v>
      </c>
      <c r="D674" s="155" t="s">
        <v>96</v>
      </c>
      <c r="E674" s="155" t="s">
        <v>35</v>
      </c>
      <c r="F674" s="155" t="s">
        <v>1410</v>
      </c>
      <c r="G674" s="155">
        <v>66</v>
      </c>
      <c r="H674" s="155" t="s">
        <v>200</v>
      </c>
      <c r="I674" s="155" t="s">
        <v>1411</v>
      </c>
      <c r="J674" s="155" t="s">
        <v>267</v>
      </c>
      <c r="K674" s="155" t="s">
        <v>1412</v>
      </c>
      <c r="L674" s="249">
        <v>46165.488888888889</v>
      </c>
      <c r="M674" s="249">
        <v>46165.544444444444</v>
      </c>
      <c r="N674" s="155" t="s">
        <v>323</v>
      </c>
      <c r="O674" s="256" t="s">
        <v>207</v>
      </c>
      <c r="P674" s="90"/>
      <c r="Q674" s="140" t="s">
        <v>207</v>
      </c>
      <c r="R674" s="90"/>
      <c r="S674" s="140" t="s">
        <v>207</v>
      </c>
      <c r="T674" s="90"/>
      <c r="U674" s="140" t="s">
        <v>207</v>
      </c>
      <c r="V674" s="90"/>
      <c r="W674" s="140" t="s">
        <v>207</v>
      </c>
      <c r="X674" s="90"/>
      <c r="Y674" s="140" t="s">
        <v>77</v>
      </c>
      <c r="Z674" s="90"/>
      <c r="AA674" s="140" t="s">
        <v>207</v>
      </c>
      <c r="AB674" s="90"/>
      <c r="AC674" s="140" t="s">
        <v>207</v>
      </c>
      <c r="AD674" s="90"/>
      <c r="AE674" s="140" t="s">
        <v>207</v>
      </c>
      <c r="AF674" s="178" t="str">
        <f t="shared" si="32"/>
        <v>C</v>
      </c>
      <c r="AG674" s="52" t="str">
        <f t="shared" si="30"/>
        <v>UTILIZOU O PDA CORRETAMENTE</v>
      </c>
      <c r="AH674" s="140" t="s">
        <v>207</v>
      </c>
      <c r="AI674" s="182" t="s">
        <v>36</v>
      </c>
      <c r="AJ674" s="93" t="str">
        <f t="shared" si="31"/>
        <v>SÃO PAULO</v>
      </c>
      <c r="AK674" s="183" t="s">
        <v>54</v>
      </c>
    </row>
    <row r="675" spans="1:37" ht="30" customHeight="1">
      <c r="A675" s="161" t="s">
        <v>198</v>
      </c>
      <c r="B675" s="155">
        <v>2621774614</v>
      </c>
      <c r="C675" s="155" t="s">
        <v>119</v>
      </c>
      <c r="D675" s="155" t="s">
        <v>96</v>
      </c>
      <c r="E675" s="155" t="s">
        <v>35</v>
      </c>
      <c r="F675" s="155" t="s">
        <v>832</v>
      </c>
      <c r="G675" s="155">
        <v>200</v>
      </c>
      <c r="H675" s="155" t="s">
        <v>1413</v>
      </c>
      <c r="I675" s="155" t="s">
        <v>665</v>
      </c>
      <c r="J675" s="155" t="s">
        <v>267</v>
      </c>
      <c r="K675" s="155" t="s">
        <v>1414</v>
      </c>
      <c r="L675" s="249">
        <v>46166</v>
      </c>
      <c r="M675" s="249">
        <v>46166.000694444447</v>
      </c>
      <c r="N675" s="155" t="s">
        <v>327</v>
      </c>
      <c r="O675" s="256" t="s">
        <v>207</v>
      </c>
      <c r="P675" s="90"/>
      <c r="Q675" s="140" t="s">
        <v>207</v>
      </c>
      <c r="R675" s="90"/>
      <c r="S675" s="140" t="s">
        <v>207</v>
      </c>
      <c r="T675" s="90"/>
      <c r="U675" s="140" t="s">
        <v>207</v>
      </c>
      <c r="V675" s="90"/>
      <c r="W675" s="140" t="s">
        <v>207</v>
      </c>
      <c r="X675" s="90"/>
      <c r="Y675" s="140" t="s">
        <v>77</v>
      </c>
      <c r="Z675" s="90"/>
      <c r="AA675" s="140" t="s">
        <v>207</v>
      </c>
      <c r="AB675" s="90"/>
      <c r="AC675" s="140" t="s">
        <v>207</v>
      </c>
      <c r="AD675" s="90"/>
      <c r="AE675" s="140" t="s">
        <v>207</v>
      </c>
      <c r="AF675" s="178" t="str">
        <f t="shared" si="32"/>
        <v>C</v>
      </c>
      <c r="AG675" s="52" t="str">
        <f t="shared" si="30"/>
        <v>UTILIZOU O PDA CORRETAMENTE</v>
      </c>
      <c r="AH675" s="140" t="s">
        <v>207</v>
      </c>
      <c r="AI675" s="182" t="s">
        <v>36</v>
      </c>
      <c r="AJ675" s="93" t="str">
        <f t="shared" si="31"/>
        <v>SÃO PAULO</v>
      </c>
      <c r="AK675" s="183" t="s">
        <v>54</v>
      </c>
    </row>
    <row r="676" spans="1:37" ht="30" customHeight="1">
      <c r="A676" s="161" t="s">
        <v>198</v>
      </c>
      <c r="B676" s="155">
        <v>2694023291</v>
      </c>
      <c r="C676" s="155" t="s">
        <v>122</v>
      </c>
      <c r="D676" s="155" t="s">
        <v>96</v>
      </c>
      <c r="E676" s="155" t="s">
        <v>35</v>
      </c>
      <c r="F676" s="155" t="s">
        <v>219</v>
      </c>
      <c r="G676" s="155">
        <v>42</v>
      </c>
      <c r="H676" s="155" t="s">
        <v>208</v>
      </c>
      <c r="I676" s="155" t="s">
        <v>220</v>
      </c>
      <c r="J676" s="155" t="s">
        <v>267</v>
      </c>
      <c r="K676" s="155" t="s">
        <v>200</v>
      </c>
      <c r="L676" s="249">
        <v>46166.291666666664</v>
      </c>
      <c r="M676" s="249">
        <v>46166.292361111111</v>
      </c>
      <c r="N676" s="155" t="s">
        <v>349</v>
      </c>
      <c r="O676" s="256" t="s">
        <v>207</v>
      </c>
      <c r="P676" s="90"/>
      <c r="Q676" s="140" t="s">
        <v>207</v>
      </c>
      <c r="R676" s="90"/>
      <c r="S676" s="140" t="s">
        <v>207</v>
      </c>
      <c r="T676" s="90"/>
      <c r="U676" s="140" t="s">
        <v>207</v>
      </c>
      <c r="V676" s="90"/>
      <c r="W676" s="140" t="s">
        <v>207</v>
      </c>
      <c r="X676" s="90"/>
      <c r="Y676" s="140" t="s">
        <v>77</v>
      </c>
      <c r="Z676" s="90"/>
      <c r="AA676" s="140" t="s">
        <v>207</v>
      </c>
      <c r="AB676" s="90"/>
      <c r="AC676" s="140" t="s">
        <v>207</v>
      </c>
      <c r="AD676" s="90"/>
      <c r="AE676" s="140" t="s">
        <v>207</v>
      </c>
      <c r="AF676" s="178" t="str">
        <f t="shared" si="32"/>
        <v>C</v>
      </c>
      <c r="AG676" s="52" t="str">
        <f t="shared" si="30"/>
        <v>UTILIZOU O PDA CORRETAMENTE</v>
      </c>
      <c r="AH676" s="140" t="s">
        <v>207</v>
      </c>
      <c r="AI676" s="182" t="s">
        <v>36</v>
      </c>
      <c r="AJ676" s="93" t="str">
        <f t="shared" si="31"/>
        <v>SÃO PAULO</v>
      </c>
      <c r="AK676" s="183" t="s">
        <v>54</v>
      </c>
    </row>
    <row r="677" spans="1:37" ht="30" customHeight="1">
      <c r="A677" s="161" t="s">
        <v>198</v>
      </c>
      <c r="B677" s="155">
        <v>2694048793</v>
      </c>
      <c r="C677" s="155" t="s">
        <v>118</v>
      </c>
      <c r="D677" s="155" t="s">
        <v>96</v>
      </c>
      <c r="E677" s="155" t="s">
        <v>35</v>
      </c>
      <c r="F677" s="155" t="s">
        <v>1415</v>
      </c>
      <c r="G677" s="155">
        <v>249</v>
      </c>
      <c r="H677" s="155" t="s">
        <v>205</v>
      </c>
      <c r="I677" s="155" t="s">
        <v>284</v>
      </c>
      <c r="J677" s="155" t="s">
        <v>267</v>
      </c>
      <c r="K677" s="155" t="s">
        <v>200</v>
      </c>
      <c r="L677" s="249">
        <v>46166</v>
      </c>
      <c r="M677" s="249">
        <v>46166.000694444447</v>
      </c>
      <c r="N677" s="155" t="s">
        <v>349</v>
      </c>
      <c r="O677" s="256" t="s">
        <v>207</v>
      </c>
      <c r="P677" s="90"/>
      <c r="Q677" s="140" t="s">
        <v>207</v>
      </c>
      <c r="R677" s="90"/>
      <c r="S677" s="140" t="s">
        <v>207</v>
      </c>
      <c r="T677" s="90"/>
      <c r="U677" s="140" t="s">
        <v>207</v>
      </c>
      <c r="V677" s="90"/>
      <c r="W677" s="140" t="s">
        <v>207</v>
      </c>
      <c r="X677" s="90"/>
      <c r="Y677" s="140" t="s">
        <v>77</v>
      </c>
      <c r="Z677" s="90"/>
      <c r="AA677" s="140" t="s">
        <v>207</v>
      </c>
      <c r="AB677" s="90"/>
      <c r="AC677" s="140" t="s">
        <v>207</v>
      </c>
      <c r="AD677" s="90"/>
      <c r="AE677" s="140" t="s">
        <v>207</v>
      </c>
      <c r="AF677" s="178" t="str">
        <f t="shared" si="32"/>
        <v>C</v>
      </c>
      <c r="AG677" s="52" t="str">
        <f t="shared" si="30"/>
        <v>UTILIZOU O PDA CORRETAMENTE</v>
      </c>
      <c r="AH677" s="140" t="s">
        <v>207</v>
      </c>
      <c r="AI677" s="182" t="s">
        <v>36</v>
      </c>
      <c r="AJ677" s="93" t="str">
        <f t="shared" si="31"/>
        <v>SÃO PAULO</v>
      </c>
      <c r="AK677" s="183" t="s">
        <v>54</v>
      </c>
    </row>
    <row r="678" spans="1:37" ht="30" customHeight="1">
      <c r="A678" s="161" t="s">
        <v>198</v>
      </c>
      <c r="B678" s="155">
        <v>2694032814</v>
      </c>
      <c r="C678" s="155" t="s">
        <v>122</v>
      </c>
      <c r="D678" s="155" t="s">
        <v>96</v>
      </c>
      <c r="E678" s="155" t="s">
        <v>35</v>
      </c>
      <c r="F678" s="155" t="s">
        <v>1416</v>
      </c>
      <c r="G678" s="155">
        <v>312</v>
      </c>
      <c r="H678" s="155" t="s">
        <v>200</v>
      </c>
      <c r="I678" s="155" t="s">
        <v>652</v>
      </c>
      <c r="J678" s="155" t="s">
        <v>315</v>
      </c>
      <c r="K678" s="155" t="s">
        <v>200</v>
      </c>
      <c r="L678" s="249">
        <v>46166.291666666664</v>
      </c>
      <c r="M678" s="249">
        <v>46166.292361111111</v>
      </c>
      <c r="N678" s="155" t="s">
        <v>213</v>
      </c>
      <c r="O678" s="256" t="s">
        <v>207</v>
      </c>
      <c r="P678" s="90"/>
      <c r="Q678" s="140" t="s">
        <v>207</v>
      </c>
      <c r="R678" s="90"/>
      <c r="S678" s="140" t="s">
        <v>207</v>
      </c>
      <c r="T678" s="90"/>
      <c r="U678" s="140" t="s">
        <v>207</v>
      </c>
      <c r="V678" s="90"/>
      <c r="W678" s="140" t="s">
        <v>207</v>
      </c>
      <c r="X678" s="90"/>
      <c r="Y678" s="140" t="s">
        <v>77</v>
      </c>
      <c r="Z678" s="90"/>
      <c r="AA678" s="140" t="s">
        <v>207</v>
      </c>
      <c r="AB678" s="90"/>
      <c r="AC678" s="140" t="s">
        <v>207</v>
      </c>
      <c r="AD678" s="90"/>
      <c r="AE678" s="140" t="s">
        <v>207</v>
      </c>
      <c r="AF678" s="178" t="str">
        <f t="shared" si="32"/>
        <v>C</v>
      </c>
      <c r="AG678" s="52" t="str">
        <f t="shared" si="30"/>
        <v>UTILIZOU O PDA CORRETAMENTE</v>
      </c>
      <c r="AH678" s="140" t="s">
        <v>207</v>
      </c>
      <c r="AI678" s="182" t="s">
        <v>36</v>
      </c>
      <c r="AJ678" s="93" t="str">
        <f t="shared" si="31"/>
        <v>SÃO PAULO</v>
      </c>
      <c r="AK678" s="183" t="s">
        <v>54</v>
      </c>
    </row>
    <row r="679" spans="1:37" ht="30" customHeight="1">
      <c r="A679" s="161" t="s">
        <v>198</v>
      </c>
      <c r="B679" s="155">
        <v>2694040745</v>
      </c>
      <c r="C679" s="155" t="s">
        <v>117</v>
      </c>
      <c r="D679" s="155" t="s">
        <v>96</v>
      </c>
      <c r="E679" s="155" t="s">
        <v>35</v>
      </c>
      <c r="F679" s="155" t="s">
        <v>1417</v>
      </c>
      <c r="G679" s="155">
        <v>48</v>
      </c>
      <c r="H679" s="155" t="s">
        <v>200</v>
      </c>
      <c r="I679" s="155" t="s">
        <v>218</v>
      </c>
      <c r="J679" s="155" t="s">
        <v>315</v>
      </c>
      <c r="K679" s="155" t="s">
        <v>200</v>
      </c>
      <c r="L679" s="249">
        <v>46166</v>
      </c>
      <c r="M679" s="249">
        <v>46166.000694444447</v>
      </c>
      <c r="N679" s="155" t="s">
        <v>517</v>
      </c>
      <c r="O679" s="256" t="s">
        <v>207</v>
      </c>
      <c r="P679" s="90"/>
      <c r="Q679" s="140" t="s">
        <v>207</v>
      </c>
      <c r="R679" s="90"/>
      <c r="S679" s="140" t="s">
        <v>207</v>
      </c>
      <c r="T679" s="90"/>
      <c r="U679" s="140" t="s">
        <v>207</v>
      </c>
      <c r="V679" s="90"/>
      <c r="W679" s="140" t="s">
        <v>207</v>
      </c>
      <c r="X679" s="90"/>
      <c r="Y679" s="140" t="s">
        <v>77</v>
      </c>
      <c r="Z679" s="90"/>
      <c r="AA679" s="140" t="s">
        <v>207</v>
      </c>
      <c r="AB679" s="90"/>
      <c r="AC679" s="140" t="s">
        <v>207</v>
      </c>
      <c r="AD679" s="90"/>
      <c r="AE679" s="140" t="s">
        <v>207</v>
      </c>
      <c r="AF679" s="178" t="str">
        <f t="shared" si="32"/>
        <v>C</v>
      </c>
      <c r="AG679" s="52" t="str">
        <f t="shared" si="30"/>
        <v>UTILIZOU O PDA CORRETAMENTE</v>
      </c>
      <c r="AH679" s="140" t="s">
        <v>207</v>
      </c>
      <c r="AI679" s="182" t="s">
        <v>36</v>
      </c>
      <c r="AJ679" s="93" t="str">
        <f t="shared" si="31"/>
        <v>SÃO PAULO</v>
      </c>
      <c r="AK679" s="183" t="s">
        <v>54</v>
      </c>
    </row>
    <row r="680" spans="1:37" ht="30" customHeight="1">
      <c r="A680" s="161" t="s">
        <v>198</v>
      </c>
      <c r="B680" s="155">
        <v>2621702578</v>
      </c>
      <c r="C680" s="155" t="s">
        <v>121</v>
      </c>
      <c r="D680" s="155" t="s">
        <v>96</v>
      </c>
      <c r="E680" s="155" t="s">
        <v>35</v>
      </c>
      <c r="F680" s="155" t="s">
        <v>1024</v>
      </c>
      <c r="G680" s="155">
        <v>3894</v>
      </c>
      <c r="H680" s="155" t="s">
        <v>200</v>
      </c>
      <c r="I680" s="155" t="s">
        <v>591</v>
      </c>
      <c r="J680" s="155" t="s">
        <v>202</v>
      </c>
      <c r="K680" s="155" t="s">
        <v>200</v>
      </c>
      <c r="L680" s="249">
        <v>46166.291666666664</v>
      </c>
      <c r="M680" s="249">
        <v>46166.292361111111</v>
      </c>
      <c r="N680" s="155" t="s">
        <v>517</v>
      </c>
      <c r="O680" s="256" t="s">
        <v>207</v>
      </c>
      <c r="P680" s="90"/>
      <c r="Q680" s="140" t="s">
        <v>207</v>
      </c>
      <c r="R680" s="90"/>
      <c r="S680" s="140" t="s">
        <v>207</v>
      </c>
      <c r="T680" s="90"/>
      <c r="U680" s="140" t="s">
        <v>207</v>
      </c>
      <c r="V680" s="90"/>
      <c r="W680" s="140" t="s">
        <v>207</v>
      </c>
      <c r="X680" s="90"/>
      <c r="Y680" s="140" t="s">
        <v>77</v>
      </c>
      <c r="Z680" s="90"/>
      <c r="AA680" s="140" t="s">
        <v>207</v>
      </c>
      <c r="AB680" s="90"/>
      <c r="AC680" s="140" t="s">
        <v>207</v>
      </c>
      <c r="AD680" s="90"/>
      <c r="AE680" s="140" t="s">
        <v>207</v>
      </c>
      <c r="AF680" s="178" t="str">
        <f t="shared" si="32"/>
        <v>C</v>
      </c>
      <c r="AG680" s="52" t="str">
        <f t="shared" si="30"/>
        <v>UTILIZOU O PDA CORRETAMENTE</v>
      </c>
      <c r="AH680" s="140" t="s">
        <v>207</v>
      </c>
      <c r="AI680" s="182" t="s">
        <v>36</v>
      </c>
      <c r="AJ680" s="93" t="str">
        <f t="shared" si="31"/>
        <v>SÃO PAULO</v>
      </c>
      <c r="AK680" s="183" t="s">
        <v>54</v>
      </c>
    </row>
    <row r="681" spans="1:37" ht="30" customHeight="1">
      <c r="A681" s="176" t="s">
        <v>198</v>
      </c>
      <c r="B681" s="154">
        <v>2621513134</v>
      </c>
      <c r="C681" s="154" t="s">
        <v>99</v>
      </c>
      <c r="D681" s="154" t="s">
        <v>92</v>
      </c>
      <c r="E681" s="154" t="s">
        <v>35</v>
      </c>
      <c r="F681" s="154" t="s">
        <v>328</v>
      </c>
      <c r="G681" s="154">
        <v>34</v>
      </c>
      <c r="H681" s="154" t="s">
        <v>783</v>
      </c>
      <c r="I681" s="154" t="s">
        <v>330</v>
      </c>
      <c r="J681" s="154" t="s">
        <v>374</v>
      </c>
      <c r="K681" s="154" t="s">
        <v>1418</v>
      </c>
      <c r="L681" s="248">
        <v>46167.613888888889</v>
      </c>
      <c r="M681" s="248">
        <v>46167.670138888891</v>
      </c>
      <c r="N681" s="154" t="s">
        <v>251</v>
      </c>
      <c r="O681" s="140" t="s">
        <v>207</v>
      </c>
      <c r="P681" s="90"/>
      <c r="Q681" s="140" t="s">
        <v>77</v>
      </c>
      <c r="R681" s="90"/>
      <c r="S681" s="140" t="s">
        <v>77</v>
      </c>
      <c r="T681" s="90"/>
      <c r="U681" s="140" t="s">
        <v>77</v>
      </c>
      <c r="V681" s="90"/>
      <c r="W681" s="140" t="s">
        <v>77</v>
      </c>
      <c r="X681" s="90"/>
      <c r="Y681" s="140" t="s">
        <v>77</v>
      </c>
      <c r="Z681" s="90"/>
      <c r="AA681" s="140" t="s">
        <v>77</v>
      </c>
      <c r="AB681" s="90"/>
      <c r="AC681" s="140" t="s">
        <v>207</v>
      </c>
      <c r="AD681" s="90"/>
      <c r="AE681" s="140" t="s">
        <v>207</v>
      </c>
      <c r="AF681" s="178" t="str">
        <f t="shared" si="32"/>
        <v>C</v>
      </c>
      <c r="AG681" s="52" t="str">
        <f t="shared" si="30"/>
        <v>UTILIZOU O PDA CORRETAMENTE</v>
      </c>
      <c r="AH681" s="140" t="s">
        <v>207</v>
      </c>
      <c r="AI681" s="182" t="s">
        <v>36</v>
      </c>
      <c r="AJ681" s="93" t="str">
        <f t="shared" si="31"/>
        <v>SÃO PAULO</v>
      </c>
      <c r="AK681" s="183" t="s">
        <v>54</v>
      </c>
    </row>
    <row r="682" spans="1:37" ht="30" customHeight="1">
      <c r="A682" s="161" t="s">
        <v>198</v>
      </c>
      <c r="B682" s="155">
        <v>2621517890</v>
      </c>
      <c r="C682" s="155" t="s">
        <v>99</v>
      </c>
      <c r="D682" s="155" t="s">
        <v>92</v>
      </c>
      <c r="E682" s="155" t="s">
        <v>35</v>
      </c>
      <c r="F682" s="155" t="s">
        <v>328</v>
      </c>
      <c r="G682" s="155">
        <v>34</v>
      </c>
      <c r="H682" s="155" t="s">
        <v>785</v>
      </c>
      <c r="I682" s="155" t="s">
        <v>330</v>
      </c>
      <c r="J682" s="155" t="s">
        <v>374</v>
      </c>
      <c r="K682" s="155" t="s">
        <v>200</v>
      </c>
      <c r="L682" s="249">
        <v>46167.67083333333</v>
      </c>
      <c r="M682" s="249">
        <v>46167.67291666667</v>
      </c>
      <c r="N682" s="155" t="s">
        <v>251</v>
      </c>
      <c r="O682" s="140" t="s">
        <v>207</v>
      </c>
      <c r="P682" s="90"/>
      <c r="Q682" s="140" t="s">
        <v>77</v>
      </c>
      <c r="R682" s="90"/>
      <c r="S682" s="140" t="s">
        <v>77</v>
      </c>
      <c r="T682" s="90"/>
      <c r="U682" s="140" t="s">
        <v>77</v>
      </c>
      <c r="V682" s="90"/>
      <c r="W682" s="140" t="s">
        <v>77</v>
      </c>
      <c r="X682" s="90"/>
      <c r="Y682" s="140" t="s">
        <v>77</v>
      </c>
      <c r="Z682" s="90"/>
      <c r="AA682" s="140" t="s">
        <v>77</v>
      </c>
      <c r="AB682" s="90"/>
      <c r="AC682" s="140" t="s">
        <v>207</v>
      </c>
      <c r="AD682" s="90"/>
      <c r="AE682" s="140" t="s">
        <v>207</v>
      </c>
      <c r="AF682" s="178" t="str">
        <f t="shared" si="32"/>
        <v>C</v>
      </c>
      <c r="AG682" s="52" t="str">
        <f t="shared" si="30"/>
        <v>UTILIZOU O PDA CORRETAMENTE</v>
      </c>
      <c r="AH682" s="140" t="s">
        <v>207</v>
      </c>
      <c r="AI682" s="182" t="s">
        <v>36</v>
      </c>
      <c r="AJ682" s="93" t="str">
        <f t="shared" si="31"/>
        <v>SÃO PAULO</v>
      </c>
      <c r="AK682" s="183" t="s">
        <v>54</v>
      </c>
    </row>
    <row r="683" spans="1:37" ht="30" customHeight="1">
      <c r="A683" s="161" t="s">
        <v>198</v>
      </c>
      <c r="B683" s="155">
        <v>2621673335</v>
      </c>
      <c r="C683" s="155" t="s">
        <v>101</v>
      </c>
      <c r="D683" s="155" t="s">
        <v>92</v>
      </c>
      <c r="E683" s="155" t="s">
        <v>35</v>
      </c>
      <c r="F683" s="155" t="s">
        <v>1419</v>
      </c>
      <c r="G683" s="155">
        <v>74</v>
      </c>
      <c r="H683" s="155" t="s">
        <v>347</v>
      </c>
      <c r="I683" s="155" t="s">
        <v>573</v>
      </c>
      <c r="J683" s="155" t="s">
        <v>101</v>
      </c>
      <c r="K683" s="155" t="s">
        <v>710</v>
      </c>
      <c r="L683" s="249">
        <v>46167.542361111111</v>
      </c>
      <c r="M683" s="249">
        <v>46167.548611111109</v>
      </c>
      <c r="N683" s="155" t="s">
        <v>364</v>
      </c>
      <c r="O683" s="140" t="s">
        <v>207</v>
      </c>
      <c r="P683" s="90"/>
      <c r="Q683" s="140" t="s">
        <v>77</v>
      </c>
      <c r="R683" s="90"/>
      <c r="S683" s="140" t="s">
        <v>77</v>
      </c>
      <c r="T683" s="90"/>
      <c r="U683" s="140" t="s">
        <v>77</v>
      </c>
      <c r="V683" s="90"/>
      <c r="W683" s="140" t="s">
        <v>77</v>
      </c>
      <c r="X683" s="90"/>
      <c r="Y683" s="140" t="s">
        <v>77</v>
      </c>
      <c r="Z683" s="90"/>
      <c r="AA683" s="140" t="s">
        <v>77</v>
      </c>
      <c r="AB683" s="90"/>
      <c r="AC683" s="140" t="s">
        <v>207</v>
      </c>
      <c r="AD683" s="90"/>
      <c r="AE683" s="140" t="s">
        <v>207</v>
      </c>
      <c r="AF683" s="178" t="str">
        <f t="shared" si="32"/>
        <v>C</v>
      </c>
      <c r="AG683" s="52" t="str">
        <f t="shared" si="30"/>
        <v>UTILIZOU O PDA CORRETAMENTE</v>
      </c>
      <c r="AH683" s="140" t="s">
        <v>207</v>
      </c>
      <c r="AI683" s="182" t="s">
        <v>36</v>
      </c>
      <c r="AJ683" s="93" t="str">
        <f t="shared" si="31"/>
        <v>SÃO PAULO</v>
      </c>
      <c r="AK683" s="183" t="s">
        <v>54</v>
      </c>
    </row>
    <row r="684" spans="1:37" ht="30" customHeight="1">
      <c r="A684" s="161" t="s">
        <v>198</v>
      </c>
      <c r="B684" s="155">
        <v>2621682493</v>
      </c>
      <c r="C684" s="155" t="s">
        <v>101</v>
      </c>
      <c r="D684" s="155" t="s">
        <v>92</v>
      </c>
      <c r="E684" s="155" t="s">
        <v>35</v>
      </c>
      <c r="F684" s="155" t="s">
        <v>879</v>
      </c>
      <c r="G684" s="155">
        <v>56</v>
      </c>
      <c r="H684" s="155" t="s">
        <v>200</v>
      </c>
      <c r="I684" s="155" t="s">
        <v>253</v>
      </c>
      <c r="J684" s="155" t="s">
        <v>101</v>
      </c>
      <c r="K684" s="155" t="s">
        <v>200</v>
      </c>
      <c r="L684" s="249">
        <v>46167.542361111111</v>
      </c>
      <c r="M684" s="249">
        <v>46167.544444444444</v>
      </c>
      <c r="N684" s="155" t="s">
        <v>213</v>
      </c>
      <c r="O684" s="140" t="s">
        <v>207</v>
      </c>
      <c r="P684" s="90"/>
      <c r="Q684" s="140" t="s">
        <v>77</v>
      </c>
      <c r="R684" s="90"/>
      <c r="S684" s="140" t="s">
        <v>77</v>
      </c>
      <c r="T684" s="90"/>
      <c r="U684" s="140" t="s">
        <v>77</v>
      </c>
      <c r="V684" s="90"/>
      <c r="W684" s="140" t="s">
        <v>77</v>
      </c>
      <c r="X684" s="90"/>
      <c r="Y684" s="140" t="s">
        <v>77</v>
      </c>
      <c r="Z684" s="90"/>
      <c r="AA684" s="140" t="s">
        <v>77</v>
      </c>
      <c r="AB684" s="90"/>
      <c r="AC684" s="140" t="s">
        <v>215</v>
      </c>
      <c r="AD684" s="90" t="s">
        <v>492</v>
      </c>
      <c r="AE684" s="140" t="s">
        <v>207</v>
      </c>
      <c r="AF684" s="178" t="str">
        <f t="shared" si="32"/>
        <v>NC</v>
      </c>
      <c r="AG684" s="52" t="str">
        <f t="shared" si="30"/>
        <v>UTILIZOU O PDA CORRETAMENTE. NÃO HÁ FOTOS DE TODAS AS ETAPAS</v>
      </c>
      <c r="AH684" s="140" t="s">
        <v>207</v>
      </c>
      <c r="AI684" s="182" t="s">
        <v>36</v>
      </c>
      <c r="AJ684" s="93" t="str">
        <f t="shared" si="31"/>
        <v>SÃO PAULO</v>
      </c>
      <c r="AK684" s="183" t="s">
        <v>54</v>
      </c>
    </row>
    <row r="685" spans="1:37" ht="30" customHeight="1">
      <c r="A685" s="161" t="s">
        <v>198</v>
      </c>
      <c r="B685" s="155">
        <v>2621695583</v>
      </c>
      <c r="C685" s="155" t="s">
        <v>238</v>
      </c>
      <c r="D685" s="155" t="s">
        <v>92</v>
      </c>
      <c r="E685" s="155" t="s">
        <v>35</v>
      </c>
      <c r="F685" s="155" t="s">
        <v>466</v>
      </c>
      <c r="G685" s="155">
        <v>607</v>
      </c>
      <c r="H685" s="155" t="s">
        <v>208</v>
      </c>
      <c r="I685" s="155" t="s">
        <v>1420</v>
      </c>
      <c r="J685" s="155" t="s">
        <v>242</v>
      </c>
      <c r="K685" s="155" t="s">
        <v>200</v>
      </c>
      <c r="L685" s="249">
        <v>46167.426388888889</v>
      </c>
      <c r="M685" s="249">
        <v>46167.489583333336</v>
      </c>
      <c r="N685" s="155" t="s">
        <v>295</v>
      </c>
      <c r="O685" s="140" t="s">
        <v>207</v>
      </c>
      <c r="P685" s="90"/>
      <c r="Q685" s="140" t="s">
        <v>207</v>
      </c>
      <c r="R685" s="90"/>
      <c r="S685" s="140" t="s">
        <v>77</v>
      </c>
      <c r="T685" s="90"/>
      <c r="U685" s="140" t="s">
        <v>77</v>
      </c>
      <c r="V685" s="90"/>
      <c r="W685" s="140" t="s">
        <v>77</v>
      </c>
      <c r="X685" s="90"/>
      <c r="Y685" s="140" t="s">
        <v>77</v>
      </c>
      <c r="Z685" s="90"/>
      <c r="AA685" s="140" t="s">
        <v>77</v>
      </c>
      <c r="AB685" s="90"/>
      <c r="AC685" s="140" t="s">
        <v>207</v>
      </c>
      <c r="AD685" s="90"/>
      <c r="AE685" s="140" t="s">
        <v>207</v>
      </c>
      <c r="AF685" s="178" t="str">
        <f t="shared" si="32"/>
        <v>C</v>
      </c>
      <c r="AG685" s="52" t="str">
        <f t="shared" si="30"/>
        <v>UTILIZOU O PDA CORRETAMENTE</v>
      </c>
      <c r="AH685" s="140" t="s">
        <v>207</v>
      </c>
      <c r="AI685" s="182" t="s">
        <v>36</v>
      </c>
      <c r="AJ685" s="93" t="str">
        <f t="shared" si="31"/>
        <v>SÃO PAULO</v>
      </c>
      <c r="AK685" s="183" t="s">
        <v>54</v>
      </c>
    </row>
    <row r="686" spans="1:37" ht="30" customHeight="1">
      <c r="A686" s="161" t="s">
        <v>198</v>
      </c>
      <c r="B686" s="155">
        <v>2621695585</v>
      </c>
      <c r="C686" s="155" t="s">
        <v>238</v>
      </c>
      <c r="D686" s="155" t="s">
        <v>92</v>
      </c>
      <c r="E686" s="155" t="s">
        <v>35</v>
      </c>
      <c r="F686" s="155" t="s">
        <v>466</v>
      </c>
      <c r="G686" s="155">
        <v>607</v>
      </c>
      <c r="H686" s="155" t="s">
        <v>205</v>
      </c>
      <c r="I686" s="155" t="s">
        <v>1420</v>
      </c>
      <c r="J686" s="155" t="s">
        <v>242</v>
      </c>
      <c r="K686" s="155" t="s">
        <v>200</v>
      </c>
      <c r="L686" s="249">
        <v>46167.492361111108</v>
      </c>
      <c r="M686" s="249">
        <v>46167.495138888888</v>
      </c>
      <c r="N686" s="155" t="s">
        <v>295</v>
      </c>
      <c r="O686" s="140" t="s">
        <v>207</v>
      </c>
      <c r="P686" s="90"/>
      <c r="Q686" s="140" t="s">
        <v>207</v>
      </c>
      <c r="R686" s="90"/>
      <c r="S686" s="140" t="s">
        <v>77</v>
      </c>
      <c r="T686" s="90"/>
      <c r="U686" s="140" t="s">
        <v>77</v>
      </c>
      <c r="V686" s="90"/>
      <c r="W686" s="140" t="s">
        <v>77</v>
      </c>
      <c r="X686" s="90"/>
      <c r="Y686" s="140" t="s">
        <v>77</v>
      </c>
      <c r="Z686" s="90"/>
      <c r="AA686" s="140" t="s">
        <v>77</v>
      </c>
      <c r="AB686" s="90"/>
      <c r="AC686" s="140" t="s">
        <v>207</v>
      </c>
      <c r="AD686" s="90"/>
      <c r="AE686" s="140" t="s">
        <v>207</v>
      </c>
      <c r="AF686" s="178" t="str">
        <f t="shared" si="32"/>
        <v>C</v>
      </c>
      <c r="AG686" s="52" t="str">
        <f t="shared" si="30"/>
        <v>UTILIZOU O PDA CORRETAMENTE</v>
      </c>
      <c r="AH686" s="140" t="s">
        <v>207</v>
      </c>
      <c r="AI686" s="182" t="s">
        <v>36</v>
      </c>
      <c r="AJ686" s="93" t="str">
        <f t="shared" si="31"/>
        <v>SÃO PAULO</v>
      </c>
      <c r="AK686" s="183" t="s">
        <v>54</v>
      </c>
    </row>
    <row r="687" spans="1:37" ht="30" customHeight="1">
      <c r="A687" s="161" t="s">
        <v>198</v>
      </c>
      <c r="B687" s="155">
        <v>2621695593</v>
      </c>
      <c r="C687" s="155" t="s">
        <v>238</v>
      </c>
      <c r="D687" s="155" t="s">
        <v>92</v>
      </c>
      <c r="E687" s="155" t="s">
        <v>35</v>
      </c>
      <c r="F687" s="155" t="s">
        <v>466</v>
      </c>
      <c r="G687" s="155">
        <v>607</v>
      </c>
      <c r="H687" s="155" t="s">
        <v>257</v>
      </c>
      <c r="I687" s="155" t="s">
        <v>1420</v>
      </c>
      <c r="J687" s="155" t="s">
        <v>242</v>
      </c>
      <c r="K687" s="155" t="s">
        <v>200</v>
      </c>
      <c r="L687" s="249">
        <v>46167.496527777781</v>
      </c>
      <c r="M687" s="249">
        <v>46167.497916666667</v>
      </c>
      <c r="N687" s="155" t="s">
        <v>295</v>
      </c>
      <c r="O687" s="140" t="s">
        <v>207</v>
      </c>
      <c r="P687" s="90"/>
      <c r="Q687" s="140" t="s">
        <v>207</v>
      </c>
      <c r="R687" s="90"/>
      <c r="S687" s="140" t="s">
        <v>77</v>
      </c>
      <c r="T687" s="90"/>
      <c r="U687" s="140" t="s">
        <v>77</v>
      </c>
      <c r="V687" s="90"/>
      <c r="W687" s="140" t="s">
        <v>77</v>
      </c>
      <c r="X687" s="90"/>
      <c r="Y687" s="140" t="s">
        <v>77</v>
      </c>
      <c r="Z687" s="90"/>
      <c r="AA687" s="140" t="s">
        <v>77</v>
      </c>
      <c r="AB687" s="90"/>
      <c r="AC687" s="140" t="s">
        <v>207</v>
      </c>
      <c r="AD687" s="90"/>
      <c r="AE687" s="140" t="s">
        <v>207</v>
      </c>
      <c r="AF687" s="178" t="str">
        <f t="shared" si="32"/>
        <v>C</v>
      </c>
      <c r="AG687" s="52" t="str">
        <f t="shared" si="30"/>
        <v>UTILIZOU O PDA CORRETAMENTE</v>
      </c>
      <c r="AH687" s="140" t="s">
        <v>207</v>
      </c>
      <c r="AI687" s="182" t="s">
        <v>36</v>
      </c>
      <c r="AJ687" s="93" t="str">
        <f t="shared" si="31"/>
        <v>SÃO PAULO</v>
      </c>
      <c r="AK687" s="183" t="s">
        <v>54</v>
      </c>
    </row>
    <row r="688" spans="1:37" ht="30" customHeight="1">
      <c r="A688" s="161" t="s">
        <v>198</v>
      </c>
      <c r="B688" s="155">
        <v>2621695594</v>
      </c>
      <c r="C688" s="155" t="s">
        <v>238</v>
      </c>
      <c r="D688" s="155" t="s">
        <v>92</v>
      </c>
      <c r="E688" s="155" t="s">
        <v>35</v>
      </c>
      <c r="F688" s="155" t="s">
        <v>466</v>
      </c>
      <c r="G688" s="155">
        <v>607</v>
      </c>
      <c r="H688" s="155" t="s">
        <v>255</v>
      </c>
      <c r="I688" s="155" t="s">
        <v>1420</v>
      </c>
      <c r="J688" s="155" t="s">
        <v>242</v>
      </c>
      <c r="K688" s="155" t="s">
        <v>200</v>
      </c>
      <c r="L688" s="249">
        <v>46167.5</v>
      </c>
      <c r="M688" s="249">
        <v>46167.501388888886</v>
      </c>
      <c r="N688" s="155" t="s">
        <v>295</v>
      </c>
      <c r="O688" s="140" t="s">
        <v>207</v>
      </c>
      <c r="P688" s="90"/>
      <c r="Q688" s="140" t="s">
        <v>207</v>
      </c>
      <c r="R688" s="90"/>
      <c r="S688" s="140" t="s">
        <v>77</v>
      </c>
      <c r="T688" s="90"/>
      <c r="U688" s="140" t="s">
        <v>77</v>
      </c>
      <c r="V688" s="90"/>
      <c r="W688" s="140" t="s">
        <v>77</v>
      </c>
      <c r="X688" s="90"/>
      <c r="Y688" s="140" t="s">
        <v>77</v>
      </c>
      <c r="Z688" s="90"/>
      <c r="AA688" s="140" t="s">
        <v>77</v>
      </c>
      <c r="AB688" s="90"/>
      <c r="AC688" s="140" t="s">
        <v>207</v>
      </c>
      <c r="AD688" s="90"/>
      <c r="AE688" s="140" t="s">
        <v>207</v>
      </c>
      <c r="AF688" s="178" t="str">
        <f t="shared" si="32"/>
        <v>C</v>
      </c>
      <c r="AG688" s="52" t="str">
        <f t="shared" si="30"/>
        <v>UTILIZOU O PDA CORRETAMENTE</v>
      </c>
      <c r="AH688" s="140" t="s">
        <v>207</v>
      </c>
      <c r="AI688" s="182" t="s">
        <v>36</v>
      </c>
      <c r="AJ688" s="93" t="str">
        <f t="shared" si="31"/>
        <v>SÃO PAULO</v>
      </c>
      <c r="AK688" s="183" t="s">
        <v>54</v>
      </c>
    </row>
    <row r="689" spans="1:37" ht="30" customHeight="1">
      <c r="A689" s="161" t="s">
        <v>198</v>
      </c>
      <c r="B689" s="155">
        <v>2621695595</v>
      </c>
      <c r="C689" s="155" t="s">
        <v>238</v>
      </c>
      <c r="D689" s="155" t="s">
        <v>92</v>
      </c>
      <c r="E689" s="155" t="s">
        <v>35</v>
      </c>
      <c r="F689" s="155" t="s">
        <v>466</v>
      </c>
      <c r="G689" s="155">
        <v>607</v>
      </c>
      <c r="H689" s="155" t="s">
        <v>380</v>
      </c>
      <c r="I689" s="155" t="s">
        <v>1420</v>
      </c>
      <c r="J689" s="155" t="s">
        <v>242</v>
      </c>
      <c r="K689" s="155" t="s">
        <v>200</v>
      </c>
      <c r="L689" s="249">
        <v>46167.503472222219</v>
      </c>
      <c r="M689" s="249">
        <v>46167.507638888892</v>
      </c>
      <c r="N689" s="155" t="s">
        <v>295</v>
      </c>
      <c r="O689" s="140" t="s">
        <v>207</v>
      </c>
      <c r="P689" s="90"/>
      <c r="Q689" s="140" t="s">
        <v>207</v>
      </c>
      <c r="R689" s="90"/>
      <c r="S689" s="140" t="s">
        <v>77</v>
      </c>
      <c r="T689" s="90"/>
      <c r="U689" s="140" t="s">
        <v>77</v>
      </c>
      <c r="V689" s="90"/>
      <c r="W689" s="140" t="s">
        <v>77</v>
      </c>
      <c r="X689" s="90"/>
      <c r="Y689" s="140" t="s">
        <v>77</v>
      </c>
      <c r="Z689" s="90"/>
      <c r="AA689" s="140" t="s">
        <v>77</v>
      </c>
      <c r="AB689" s="90"/>
      <c r="AC689" s="140" t="s">
        <v>207</v>
      </c>
      <c r="AD689" s="90"/>
      <c r="AE689" s="140" t="s">
        <v>207</v>
      </c>
      <c r="AF689" s="178" t="str">
        <f t="shared" si="32"/>
        <v>C</v>
      </c>
      <c r="AG689" s="52" t="str">
        <f t="shared" si="30"/>
        <v>UTILIZOU O PDA CORRETAMENTE</v>
      </c>
      <c r="AH689" s="140" t="s">
        <v>207</v>
      </c>
      <c r="AI689" s="182" t="s">
        <v>36</v>
      </c>
      <c r="AJ689" s="93" t="str">
        <f t="shared" si="31"/>
        <v>SÃO PAULO</v>
      </c>
      <c r="AK689" s="183" t="s">
        <v>54</v>
      </c>
    </row>
    <row r="690" spans="1:37" ht="30" customHeight="1">
      <c r="A690" s="161" t="s">
        <v>198</v>
      </c>
      <c r="B690" s="155">
        <v>2621695596</v>
      </c>
      <c r="C690" s="155" t="s">
        <v>238</v>
      </c>
      <c r="D690" s="155" t="s">
        <v>92</v>
      </c>
      <c r="E690" s="155" t="s">
        <v>35</v>
      </c>
      <c r="F690" s="155" t="s">
        <v>466</v>
      </c>
      <c r="G690" s="155">
        <v>607</v>
      </c>
      <c r="H690" s="155" t="s">
        <v>1421</v>
      </c>
      <c r="I690" s="155" t="s">
        <v>1420</v>
      </c>
      <c r="J690" s="155" t="s">
        <v>242</v>
      </c>
      <c r="K690" s="155" t="s">
        <v>200</v>
      </c>
      <c r="L690" s="249">
        <v>46167.534722222219</v>
      </c>
      <c r="M690" s="249">
        <v>46167.537499999999</v>
      </c>
      <c r="N690" s="155" t="s">
        <v>295</v>
      </c>
      <c r="O690" s="140" t="s">
        <v>207</v>
      </c>
      <c r="P690" s="90"/>
      <c r="Q690" s="140" t="s">
        <v>207</v>
      </c>
      <c r="R690" s="90"/>
      <c r="S690" s="140" t="s">
        <v>77</v>
      </c>
      <c r="T690" s="90"/>
      <c r="U690" s="140" t="s">
        <v>77</v>
      </c>
      <c r="V690" s="90"/>
      <c r="W690" s="140" t="s">
        <v>77</v>
      </c>
      <c r="X690" s="90"/>
      <c r="Y690" s="140" t="s">
        <v>77</v>
      </c>
      <c r="Z690" s="90"/>
      <c r="AA690" s="140" t="s">
        <v>77</v>
      </c>
      <c r="AB690" s="90"/>
      <c r="AC690" s="140" t="s">
        <v>207</v>
      </c>
      <c r="AD690" s="90"/>
      <c r="AE690" s="140" t="s">
        <v>207</v>
      </c>
      <c r="AF690" s="178" t="str">
        <f t="shared" si="32"/>
        <v>C</v>
      </c>
      <c r="AG690" s="52" t="str">
        <f t="shared" si="30"/>
        <v>UTILIZOU O PDA CORRETAMENTE</v>
      </c>
      <c r="AH690" s="140" t="s">
        <v>207</v>
      </c>
      <c r="AI690" s="182" t="s">
        <v>36</v>
      </c>
      <c r="AJ690" s="93" t="str">
        <f t="shared" si="31"/>
        <v>SÃO PAULO</v>
      </c>
      <c r="AK690" s="183" t="s">
        <v>54</v>
      </c>
    </row>
    <row r="691" spans="1:37" ht="30" customHeight="1">
      <c r="A691" s="161" t="s">
        <v>198</v>
      </c>
      <c r="B691" s="155">
        <v>2694057813</v>
      </c>
      <c r="C691" s="155" t="s">
        <v>122</v>
      </c>
      <c r="D691" s="155" t="s">
        <v>96</v>
      </c>
      <c r="E691" s="155" t="s">
        <v>35</v>
      </c>
      <c r="F691" s="155" t="s">
        <v>729</v>
      </c>
      <c r="G691" s="155">
        <v>23</v>
      </c>
      <c r="H691" s="155" t="s">
        <v>205</v>
      </c>
      <c r="I691" s="155" t="s">
        <v>515</v>
      </c>
      <c r="J691" s="155" t="s">
        <v>267</v>
      </c>
      <c r="K691" s="155" t="s">
        <v>200</v>
      </c>
      <c r="L691" s="249">
        <v>46167.145138888889</v>
      </c>
      <c r="M691" s="249">
        <v>46167.182638888888</v>
      </c>
      <c r="N691" s="155" t="s">
        <v>517</v>
      </c>
      <c r="O691" s="256" t="s">
        <v>207</v>
      </c>
      <c r="P691" s="90"/>
      <c r="Q691" s="140" t="s">
        <v>207</v>
      </c>
      <c r="R691" s="90"/>
      <c r="S691" s="140" t="s">
        <v>207</v>
      </c>
      <c r="T691" s="90"/>
      <c r="U691" s="140" t="s">
        <v>207</v>
      </c>
      <c r="V691" s="90"/>
      <c r="W691" s="140" t="s">
        <v>207</v>
      </c>
      <c r="X691" s="90"/>
      <c r="Y691" s="140" t="s">
        <v>77</v>
      </c>
      <c r="Z691" s="90"/>
      <c r="AA691" s="140" t="s">
        <v>207</v>
      </c>
      <c r="AB691" s="90"/>
      <c r="AC691" s="140" t="s">
        <v>207</v>
      </c>
      <c r="AD691" s="90"/>
      <c r="AE691" s="140" t="s">
        <v>207</v>
      </c>
      <c r="AF691" s="178" t="str">
        <f t="shared" si="32"/>
        <v>C</v>
      </c>
      <c r="AG691" s="52" t="str">
        <f t="shared" si="30"/>
        <v>UTILIZOU O PDA CORRETAMENTE</v>
      </c>
      <c r="AH691" s="140" t="s">
        <v>207</v>
      </c>
      <c r="AI691" s="182" t="s">
        <v>36</v>
      </c>
      <c r="AJ691" s="93" t="str">
        <f t="shared" si="31"/>
        <v>SÃO PAULO</v>
      </c>
      <c r="AK691" s="183" t="s">
        <v>54</v>
      </c>
    </row>
    <row r="692" spans="1:37" ht="30" customHeight="1">
      <c r="A692" s="161" t="s">
        <v>198</v>
      </c>
      <c r="B692" s="155">
        <v>2621510955</v>
      </c>
      <c r="C692" s="155" t="s">
        <v>115</v>
      </c>
      <c r="D692" s="155" t="s">
        <v>96</v>
      </c>
      <c r="E692" s="155" t="s">
        <v>35</v>
      </c>
      <c r="F692" s="155" t="s">
        <v>1392</v>
      </c>
      <c r="G692" s="155">
        <v>30</v>
      </c>
      <c r="H692" s="155" t="s">
        <v>200</v>
      </c>
      <c r="I692" s="155" t="s">
        <v>1393</v>
      </c>
      <c r="J692" s="155" t="s">
        <v>268</v>
      </c>
      <c r="K692" s="206" t="s">
        <v>1422</v>
      </c>
      <c r="L692" s="249">
        <v>46167.280555555553</v>
      </c>
      <c r="M692" s="249">
        <v>46167.287499999999</v>
      </c>
      <c r="N692" s="155" t="s">
        <v>323</v>
      </c>
      <c r="O692" s="256" t="s">
        <v>207</v>
      </c>
      <c r="P692" s="90"/>
      <c r="Q692" s="140" t="s">
        <v>207</v>
      </c>
      <c r="R692" s="90"/>
      <c r="S692" s="140" t="s">
        <v>207</v>
      </c>
      <c r="T692" s="90"/>
      <c r="U692" s="140" t="s">
        <v>207</v>
      </c>
      <c r="V692" s="90"/>
      <c r="W692" s="140" t="s">
        <v>207</v>
      </c>
      <c r="X692" s="90"/>
      <c r="Y692" s="140" t="s">
        <v>207</v>
      </c>
      <c r="Z692" s="90"/>
      <c r="AA692" s="140" t="s">
        <v>207</v>
      </c>
      <c r="AB692" s="90"/>
      <c r="AC692" s="140" t="s">
        <v>207</v>
      </c>
      <c r="AD692" s="90"/>
      <c r="AE692" s="140" t="s">
        <v>207</v>
      </c>
      <c r="AF692" s="178" t="str">
        <f t="shared" si="32"/>
        <v>C</v>
      </c>
      <c r="AG692" s="52" t="str">
        <f t="shared" si="30"/>
        <v>UTILIZOU O PDA CORRETAMENTE</v>
      </c>
      <c r="AH692" s="140" t="s">
        <v>207</v>
      </c>
      <c r="AI692" s="182" t="s">
        <v>36</v>
      </c>
      <c r="AJ692" s="93" t="str">
        <f t="shared" si="31"/>
        <v>SÃO PAULO</v>
      </c>
      <c r="AK692" s="183" t="s">
        <v>54</v>
      </c>
    </row>
    <row r="693" spans="1:37" ht="30" customHeight="1">
      <c r="A693" s="161" t="s">
        <v>198</v>
      </c>
      <c r="B693" s="155">
        <v>2694064692</v>
      </c>
      <c r="C693" s="155" t="s">
        <v>118</v>
      </c>
      <c r="D693" s="155" t="s">
        <v>96</v>
      </c>
      <c r="E693" s="155" t="s">
        <v>35</v>
      </c>
      <c r="F693" s="155" t="s">
        <v>1423</v>
      </c>
      <c r="G693" s="155">
        <v>35</v>
      </c>
      <c r="H693" s="155" t="s">
        <v>329</v>
      </c>
      <c r="I693" s="155" t="s">
        <v>536</v>
      </c>
      <c r="J693" s="155" t="s">
        <v>267</v>
      </c>
      <c r="K693" s="155" t="s">
        <v>200</v>
      </c>
      <c r="L693" s="249">
        <v>46167.276388888888</v>
      </c>
      <c r="M693" s="249">
        <v>46167.306944444441</v>
      </c>
      <c r="N693" s="155" t="s">
        <v>262</v>
      </c>
      <c r="O693" s="256" t="s">
        <v>207</v>
      </c>
      <c r="P693" s="90"/>
      <c r="Q693" s="140" t="s">
        <v>207</v>
      </c>
      <c r="R693" s="90"/>
      <c r="S693" s="140" t="s">
        <v>207</v>
      </c>
      <c r="T693" s="90"/>
      <c r="U693" s="140" t="s">
        <v>207</v>
      </c>
      <c r="V693" s="90"/>
      <c r="W693" s="140" t="s">
        <v>207</v>
      </c>
      <c r="X693" s="90"/>
      <c r="Y693" s="140" t="s">
        <v>77</v>
      </c>
      <c r="Z693" s="90"/>
      <c r="AA693" s="140" t="s">
        <v>207</v>
      </c>
      <c r="AB693" s="90"/>
      <c r="AC693" s="140" t="s">
        <v>207</v>
      </c>
      <c r="AD693" s="90"/>
      <c r="AE693" s="140" t="s">
        <v>207</v>
      </c>
      <c r="AF693" s="178" t="str">
        <f t="shared" si="32"/>
        <v>C</v>
      </c>
      <c r="AG693" s="52" t="str">
        <f t="shared" si="30"/>
        <v>UTILIZOU O PDA CORRETAMENTE</v>
      </c>
      <c r="AH693" s="140" t="s">
        <v>207</v>
      </c>
      <c r="AI693" s="182" t="s">
        <v>36</v>
      </c>
      <c r="AJ693" s="93" t="str">
        <f t="shared" si="31"/>
        <v>SÃO PAULO</v>
      </c>
      <c r="AK693" s="183" t="s">
        <v>54</v>
      </c>
    </row>
    <row r="694" spans="1:37" ht="30" customHeight="1">
      <c r="A694" s="161" t="s">
        <v>198</v>
      </c>
      <c r="B694" s="155">
        <v>2621780665</v>
      </c>
      <c r="C694" s="155" t="s">
        <v>121</v>
      </c>
      <c r="D694" s="155" t="s">
        <v>96</v>
      </c>
      <c r="E694" s="155" t="s">
        <v>35</v>
      </c>
      <c r="F694" s="155" t="s">
        <v>1424</v>
      </c>
      <c r="G694" s="155">
        <v>32</v>
      </c>
      <c r="H694" s="155" t="s">
        <v>200</v>
      </c>
      <c r="I694" s="155" t="s">
        <v>225</v>
      </c>
      <c r="J694" s="155" t="s">
        <v>336</v>
      </c>
      <c r="K694" s="155" t="s">
        <v>200</v>
      </c>
      <c r="L694" s="249">
        <v>46167.029166666667</v>
      </c>
      <c r="M694" s="249">
        <v>46167.206944444442</v>
      </c>
      <c r="N694" s="155" t="s">
        <v>403</v>
      </c>
      <c r="O694" s="256" t="s">
        <v>207</v>
      </c>
      <c r="P694" s="90"/>
      <c r="Q694" s="140" t="s">
        <v>207</v>
      </c>
      <c r="R694" s="90"/>
      <c r="S694" s="140" t="s">
        <v>207</v>
      </c>
      <c r="T694" s="90"/>
      <c r="U694" s="140" t="s">
        <v>207</v>
      </c>
      <c r="V694" s="90"/>
      <c r="W694" s="140" t="s">
        <v>207</v>
      </c>
      <c r="X694" s="90"/>
      <c r="Y694" s="140" t="s">
        <v>77</v>
      </c>
      <c r="Z694" s="90"/>
      <c r="AA694" s="140" t="s">
        <v>207</v>
      </c>
      <c r="AB694" s="90"/>
      <c r="AC694" s="140" t="s">
        <v>207</v>
      </c>
      <c r="AD694" s="90"/>
      <c r="AE694" s="140" t="s">
        <v>207</v>
      </c>
      <c r="AF694" s="178" t="str">
        <f t="shared" si="32"/>
        <v>C</v>
      </c>
      <c r="AG694" s="52" t="str">
        <f t="shared" si="30"/>
        <v>UTILIZOU O PDA CORRETAMENTE</v>
      </c>
      <c r="AH694" s="140" t="s">
        <v>207</v>
      </c>
      <c r="AI694" s="182" t="s">
        <v>36</v>
      </c>
      <c r="AJ694" s="93" t="str">
        <f t="shared" si="31"/>
        <v>SÃO PAULO</v>
      </c>
      <c r="AK694" s="183" t="s">
        <v>54</v>
      </c>
    </row>
    <row r="695" spans="1:37" ht="30" customHeight="1">
      <c r="A695" s="161" t="s">
        <v>198</v>
      </c>
      <c r="B695" s="155">
        <v>2621846148</v>
      </c>
      <c r="C695" s="155" t="s">
        <v>116</v>
      </c>
      <c r="D695" s="155" t="s">
        <v>94</v>
      </c>
      <c r="E695" s="155" t="s">
        <v>35</v>
      </c>
      <c r="F695" s="155" t="s">
        <v>651</v>
      </c>
      <c r="G695" s="155">
        <v>50</v>
      </c>
      <c r="H695" s="155" t="s">
        <v>200</v>
      </c>
      <c r="I695" s="155" t="s">
        <v>652</v>
      </c>
      <c r="J695" s="155" t="s">
        <v>221</v>
      </c>
      <c r="K695" s="155" t="s">
        <v>200</v>
      </c>
      <c r="L695" s="249">
        <v>46167.387499999997</v>
      </c>
      <c r="M695" s="249">
        <v>46167.388194444444</v>
      </c>
      <c r="N695" s="155" t="s">
        <v>327</v>
      </c>
      <c r="O695" s="256" t="s">
        <v>207</v>
      </c>
      <c r="P695" s="90"/>
      <c r="Q695" s="140" t="s">
        <v>207</v>
      </c>
      <c r="R695" s="90"/>
      <c r="S695" s="140" t="s">
        <v>207</v>
      </c>
      <c r="T695" s="90"/>
      <c r="U695" s="140" t="s">
        <v>207</v>
      </c>
      <c r="V695" s="90"/>
      <c r="W695" s="140" t="s">
        <v>207</v>
      </c>
      <c r="X695" s="90"/>
      <c r="Y695" s="140" t="s">
        <v>207</v>
      </c>
      <c r="Z695" s="90"/>
      <c r="AA695" s="140" t="s">
        <v>207</v>
      </c>
      <c r="AB695" s="90"/>
      <c r="AC695" s="140" t="s">
        <v>207</v>
      </c>
      <c r="AD695" s="90"/>
      <c r="AE695" s="140" t="s">
        <v>207</v>
      </c>
      <c r="AF695" s="178" t="str">
        <f t="shared" si="32"/>
        <v>C</v>
      </c>
      <c r="AG695" s="52" t="str">
        <f t="shared" si="30"/>
        <v>UTILIZOU O PDA CORRETAMENTE</v>
      </c>
      <c r="AH695" s="140" t="s">
        <v>207</v>
      </c>
      <c r="AI695" s="182" t="s">
        <v>36</v>
      </c>
      <c r="AJ695" s="93" t="str">
        <f t="shared" si="31"/>
        <v>SÃO PAULO</v>
      </c>
      <c r="AK695" s="183" t="s">
        <v>54</v>
      </c>
    </row>
    <row r="696" spans="1:37" ht="30" customHeight="1">
      <c r="A696" s="161" t="s">
        <v>198</v>
      </c>
      <c r="B696" s="155">
        <v>2621832417</v>
      </c>
      <c r="C696" s="155" t="s">
        <v>118</v>
      </c>
      <c r="D696" s="155" t="s">
        <v>96</v>
      </c>
      <c r="E696" s="155" t="s">
        <v>35</v>
      </c>
      <c r="F696" s="155" t="s">
        <v>1425</v>
      </c>
      <c r="G696" s="155">
        <v>20</v>
      </c>
      <c r="H696" s="155" t="s">
        <v>208</v>
      </c>
      <c r="I696" s="155" t="s">
        <v>1426</v>
      </c>
      <c r="J696" s="155" t="s">
        <v>301</v>
      </c>
      <c r="K696" s="155" t="s">
        <v>200</v>
      </c>
      <c r="L696" s="249">
        <v>46167.115972222222</v>
      </c>
      <c r="M696" s="249">
        <v>46167.3</v>
      </c>
      <c r="N696" s="155" t="s">
        <v>235</v>
      </c>
      <c r="O696" s="256" t="s">
        <v>207</v>
      </c>
      <c r="P696" s="90"/>
      <c r="Q696" s="140" t="s">
        <v>207</v>
      </c>
      <c r="R696" s="90"/>
      <c r="S696" s="140" t="s">
        <v>207</v>
      </c>
      <c r="T696" s="90"/>
      <c r="U696" s="140" t="s">
        <v>207</v>
      </c>
      <c r="V696" s="90"/>
      <c r="W696" s="140" t="s">
        <v>207</v>
      </c>
      <c r="X696" s="90"/>
      <c r="Y696" s="140" t="s">
        <v>77</v>
      </c>
      <c r="Z696" s="90"/>
      <c r="AA696" s="140" t="s">
        <v>207</v>
      </c>
      <c r="AB696" s="90"/>
      <c r="AC696" s="140" t="s">
        <v>207</v>
      </c>
      <c r="AD696" s="90"/>
      <c r="AE696" s="140" t="s">
        <v>207</v>
      </c>
      <c r="AF696" s="178" t="str">
        <f t="shared" si="32"/>
        <v>C</v>
      </c>
      <c r="AG696" s="52" t="str">
        <f t="shared" si="30"/>
        <v>UTILIZOU O PDA CORRETAMENTE</v>
      </c>
      <c r="AH696" s="140" t="s">
        <v>207</v>
      </c>
      <c r="AI696" s="182" t="s">
        <v>36</v>
      </c>
      <c r="AJ696" s="93" t="str">
        <f t="shared" si="31"/>
        <v>SÃO PAULO</v>
      </c>
      <c r="AK696" s="183" t="s">
        <v>54</v>
      </c>
    </row>
    <row r="697" spans="1:37" ht="30" customHeight="1">
      <c r="A697" s="161" t="s">
        <v>198</v>
      </c>
      <c r="B697" s="155">
        <v>2621653588</v>
      </c>
      <c r="C697" s="155" t="s">
        <v>102</v>
      </c>
      <c r="D697" s="155" t="s">
        <v>95</v>
      </c>
      <c r="E697" s="155" t="s">
        <v>35</v>
      </c>
      <c r="F697" s="155" t="s">
        <v>1427</v>
      </c>
      <c r="G697" s="155">
        <v>1811</v>
      </c>
      <c r="H697" s="155" t="s">
        <v>200</v>
      </c>
      <c r="I697" s="155" t="s">
        <v>319</v>
      </c>
      <c r="J697" s="155" t="s">
        <v>427</v>
      </c>
      <c r="K697" s="155" t="s">
        <v>200</v>
      </c>
      <c r="L697" s="249">
        <v>46167.291666666664</v>
      </c>
      <c r="M697" s="249">
        <v>46167.292361111111</v>
      </c>
      <c r="N697" s="155" t="s">
        <v>309</v>
      </c>
      <c r="O697" s="140" t="s">
        <v>77</v>
      </c>
      <c r="P697" s="90"/>
      <c r="Q697" s="140" t="s">
        <v>77</v>
      </c>
      <c r="R697" s="90"/>
      <c r="S697" s="140" t="s">
        <v>77</v>
      </c>
      <c r="T697" s="90"/>
      <c r="U697" s="140" t="s">
        <v>77</v>
      </c>
      <c r="V697" s="90"/>
      <c r="W697" s="140" t="s">
        <v>77</v>
      </c>
      <c r="X697" s="90"/>
      <c r="Y697" s="140" t="s">
        <v>77</v>
      </c>
      <c r="Z697" s="90"/>
      <c r="AA697" s="140" t="s">
        <v>77</v>
      </c>
      <c r="AB697" s="90"/>
      <c r="AC697" s="140" t="s">
        <v>77</v>
      </c>
      <c r="AD697" s="90"/>
      <c r="AE697" s="140" t="s">
        <v>77</v>
      </c>
      <c r="AF697" s="178" t="str">
        <f t="shared" si="32"/>
        <v>NA</v>
      </c>
      <c r="AG697" s="52" t="str">
        <f t="shared" si="30"/>
        <v>NÃO AVALIADO POR FALHA DE SINCRONISMO</v>
      </c>
      <c r="AH697" s="140" t="s">
        <v>207</v>
      </c>
      <c r="AI697" s="182" t="s">
        <v>36</v>
      </c>
      <c r="AJ697" s="93" t="str">
        <f t="shared" si="31"/>
        <v>SÃO PAULO</v>
      </c>
      <c r="AK697" s="183" t="s">
        <v>54</v>
      </c>
    </row>
    <row r="698" spans="1:37" ht="30" customHeight="1">
      <c r="A698" s="161" t="s">
        <v>198</v>
      </c>
      <c r="B698" s="155">
        <v>2694058585</v>
      </c>
      <c r="C698" s="155" t="s">
        <v>118</v>
      </c>
      <c r="D698" s="155" t="s">
        <v>96</v>
      </c>
      <c r="E698" s="155" t="s">
        <v>35</v>
      </c>
      <c r="F698" s="155" t="s">
        <v>572</v>
      </c>
      <c r="G698" s="155">
        <v>514</v>
      </c>
      <c r="H698" s="155" t="s">
        <v>208</v>
      </c>
      <c r="I698" s="155" t="s">
        <v>573</v>
      </c>
      <c r="J698" s="155" t="s">
        <v>267</v>
      </c>
      <c r="K698" s="155" t="s">
        <v>200</v>
      </c>
      <c r="L698" s="249">
        <v>46167.420138888891</v>
      </c>
      <c r="M698" s="249">
        <v>46167.427083333336</v>
      </c>
      <c r="N698" s="155" t="s">
        <v>345</v>
      </c>
      <c r="O698" s="256" t="s">
        <v>207</v>
      </c>
      <c r="P698" s="90"/>
      <c r="Q698" s="140" t="s">
        <v>207</v>
      </c>
      <c r="R698" s="90"/>
      <c r="S698" s="140" t="s">
        <v>207</v>
      </c>
      <c r="T698" s="90"/>
      <c r="U698" s="140" t="s">
        <v>207</v>
      </c>
      <c r="V698" s="90"/>
      <c r="W698" s="140" t="s">
        <v>207</v>
      </c>
      <c r="X698" s="90"/>
      <c r="Y698" s="140" t="s">
        <v>77</v>
      </c>
      <c r="Z698" s="90"/>
      <c r="AA698" s="140" t="s">
        <v>207</v>
      </c>
      <c r="AB698" s="90"/>
      <c r="AC698" s="140" t="s">
        <v>207</v>
      </c>
      <c r="AD698" s="90"/>
      <c r="AE698" s="140" t="s">
        <v>207</v>
      </c>
      <c r="AF698" s="178" t="str">
        <f t="shared" si="32"/>
        <v>C</v>
      </c>
      <c r="AG698" s="52" t="str">
        <f t="shared" si="30"/>
        <v>UTILIZOU O PDA CORRETAMENTE</v>
      </c>
      <c r="AH698" s="140" t="s">
        <v>207</v>
      </c>
      <c r="AI698" s="182" t="s">
        <v>36</v>
      </c>
      <c r="AJ698" s="93" t="str">
        <f t="shared" si="31"/>
        <v>SÃO PAULO</v>
      </c>
      <c r="AK698" s="183" t="s">
        <v>54</v>
      </c>
    </row>
    <row r="699" spans="1:37" ht="30" customHeight="1">
      <c r="A699" s="161" t="s">
        <v>198</v>
      </c>
      <c r="B699" s="155">
        <v>2621845223</v>
      </c>
      <c r="C699" s="155" t="s">
        <v>118</v>
      </c>
      <c r="D699" s="155" t="s">
        <v>96</v>
      </c>
      <c r="E699" s="155" t="s">
        <v>35</v>
      </c>
      <c r="F699" s="155" t="s">
        <v>1428</v>
      </c>
      <c r="G699" s="155">
        <v>23</v>
      </c>
      <c r="H699" s="155" t="s">
        <v>401</v>
      </c>
      <c r="I699" s="155" t="s">
        <v>675</v>
      </c>
      <c r="J699" s="155" t="s">
        <v>260</v>
      </c>
      <c r="K699" s="155" t="s">
        <v>200</v>
      </c>
      <c r="L699" s="249">
        <v>46167.217361111114</v>
      </c>
      <c r="M699" s="249">
        <v>46167.333333333336</v>
      </c>
      <c r="N699" s="155" t="s">
        <v>403</v>
      </c>
      <c r="O699" s="256" t="s">
        <v>207</v>
      </c>
      <c r="P699" s="90"/>
      <c r="Q699" s="140" t="s">
        <v>207</v>
      </c>
      <c r="R699" s="90"/>
      <c r="S699" s="140" t="s">
        <v>207</v>
      </c>
      <c r="T699" s="90"/>
      <c r="U699" s="140" t="s">
        <v>207</v>
      </c>
      <c r="V699" s="90"/>
      <c r="W699" s="140" t="s">
        <v>207</v>
      </c>
      <c r="X699" s="90"/>
      <c r="Y699" s="140" t="s">
        <v>77</v>
      </c>
      <c r="Z699" s="90"/>
      <c r="AA699" s="140" t="s">
        <v>207</v>
      </c>
      <c r="AB699" s="90"/>
      <c r="AC699" s="140" t="s">
        <v>207</v>
      </c>
      <c r="AD699" s="90"/>
      <c r="AE699" s="140" t="s">
        <v>207</v>
      </c>
      <c r="AF699" s="178" t="str">
        <f t="shared" si="32"/>
        <v>C</v>
      </c>
      <c r="AG699" s="52" t="str">
        <f t="shared" si="30"/>
        <v>UTILIZOU O PDA CORRETAMENTE</v>
      </c>
      <c r="AH699" s="140" t="s">
        <v>207</v>
      </c>
      <c r="AI699" s="182" t="s">
        <v>36</v>
      </c>
      <c r="AJ699" s="93" t="str">
        <f t="shared" si="31"/>
        <v>SÃO PAULO</v>
      </c>
      <c r="AK699" s="183" t="s">
        <v>54</v>
      </c>
    </row>
    <row r="700" spans="1:37" ht="30" customHeight="1">
      <c r="A700" s="161" t="s">
        <v>198</v>
      </c>
      <c r="B700" s="155">
        <v>2621849475</v>
      </c>
      <c r="C700" s="155" t="s">
        <v>116</v>
      </c>
      <c r="D700" s="155" t="s">
        <v>94</v>
      </c>
      <c r="E700" s="155" t="s">
        <v>35</v>
      </c>
      <c r="F700" s="155" t="s">
        <v>369</v>
      </c>
      <c r="G700" s="155">
        <v>140</v>
      </c>
      <c r="H700" s="155" t="s">
        <v>208</v>
      </c>
      <c r="I700" s="155" t="s">
        <v>357</v>
      </c>
      <c r="J700" s="155" t="s">
        <v>221</v>
      </c>
      <c r="K700" s="155" t="s">
        <v>486</v>
      </c>
      <c r="L700" s="249">
        <v>46167.501388888886</v>
      </c>
      <c r="M700" s="249">
        <v>46167.502083333333</v>
      </c>
      <c r="N700" s="155" t="s">
        <v>349</v>
      </c>
      <c r="O700" s="256" t="s">
        <v>207</v>
      </c>
      <c r="P700" s="90"/>
      <c r="Q700" s="140" t="s">
        <v>207</v>
      </c>
      <c r="R700" s="90"/>
      <c r="S700" s="140" t="s">
        <v>207</v>
      </c>
      <c r="T700" s="90"/>
      <c r="U700" s="140" t="s">
        <v>207</v>
      </c>
      <c r="V700" s="90"/>
      <c r="W700" s="140" t="s">
        <v>207</v>
      </c>
      <c r="X700" s="90"/>
      <c r="Y700" s="140" t="s">
        <v>207</v>
      </c>
      <c r="Z700" s="90"/>
      <c r="AA700" s="140" t="s">
        <v>207</v>
      </c>
      <c r="AB700" s="90"/>
      <c r="AC700" s="140" t="s">
        <v>207</v>
      </c>
      <c r="AD700" s="90"/>
      <c r="AE700" s="140" t="s">
        <v>207</v>
      </c>
      <c r="AF700" s="178" t="str">
        <f t="shared" si="32"/>
        <v>C</v>
      </c>
      <c r="AG700" s="52" t="str">
        <f t="shared" si="30"/>
        <v>UTILIZOU O PDA CORRETAMENTE</v>
      </c>
      <c r="AH700" s="140" t="s">
        <v>207</v>
      </c>
      <c r="AI700" s="182" t="s">
        <v>36</v>
      </c>
      <c r="AJ700" s="93" t="str">
        <f t="shared" si="31"/>
        <v>SÃO PAULO</v>
      </c>
      <c r="AK700" s="183" t="s">
        <v>54</v>
      </c>
    </row>
    <row r="701" spans="1:37" ht="30" customHeight="1">
      <c r="A701" s="161" t="s">
        <v>198</v>
      </c>
      <c r="B701" s="155">
        <v>2621866675</v>
      </c>
      <c r="C701" s="155" t="s">
        <v>101</v>
      </c>
      <c r="D701" s="155" t="s">
        <v>92</v>
      </c>
      <c r="E701" s="155" t="s">
        <v>35</v>
      </c>
      <c r="F701" s="155" t="s">
        <v>879</v>
      </c>
      <c r="G701" s="155">
        <v>54</v>
      </c>
      <c r="H701" s="155" t="s">
        <v>200</v>
      </c>
      <c r="I701" s="155" t="s">
        <v>253</v>
      </c>
      <c r="J701" s="155" t="s">
        <v>101</v>
      </c>
      <c r="K701" s="155" t="s">
        <v>200</v>
      </c>
      <c r="L701" s="249">
        <v>46167.65625</v>
      </c>
      <c r="M701" s="249">
        <v>46167.705555555556</v>
      </c>
      <c r="N701" s="155" t="s">
        <v>213</v>
      </c>
      <c r="O701" s="140" t="s">
        <v>207</v>
      </c>
      <c r="P701" s="90"/>
      <c r="Q701" s="140" t="s">
        <v>77</v>
      </c>
      <c r="R701" s="90"/>
      <c r="S701" s="140" t="s">
        <v>77</v>
      </c>
      <c r="T701" s="90"/>
      <c r="U701" s="140" t="s">
        <v>77</v>
      </c>
      <c r="V701" s="90"/>
      <c r="W701" s="140" t="s">
        <v>77</v>
      </c>
      <c r="X701" s="90"/>
      <c r="Y701" s="140" t="s">
        <v>77</v>
      </c>
      <c r="Z701" s="90"/>
      <c r="AA701" s="140" t="s">
        <v>77</v>
      </c>
      <c r="AB701" s="90"/>
      <c r="AC701" s="140" t="s">
        <v>215</v>
      </c>
      <c r="AD701" s="90" t="s">
        <v>492</v>
      </c>
      <c r="AE701" s="140" t="s">
        <v>207</v>
      </c>
      <c r="AF701" s="178" t="str">
        <f t="shared" si="32"/>
        <v>NC</v>
      </c>
      <c r="AG701" s="52" t="str">
        <f t="shared" si="30"/>
        <v>UTILIZOU O PDA CORRETAMENTE. NÃO HÁ FOTOS DE TODAS AS ETAPAS</v>
      </c>
      <c r="AH701" s="140" t="s">
        <v>207</v>
      </c>
      <c r="AI701" s="182" t="s">
        <v>36</v>
      </c>
      <c r="AJ701" s="93" t="str">
        <f t="shared" si="31"/>
        <v>SÃO PAULO</v>
      </c>
      <c r="AK701" s="183" t="s">
        <v>54</v>
      </c>
    </row>
    <row r="702" spans="1:37" ht="30" customHeight="1">
      <c r="A702" s="161" t="s">
        <v>198</v>
      </c>
      <c r="B702" s="155">
        <v>2621870307</v>
      </c>
      <c r="C702" s="155" t="s">
        <v>101</v>
      </c>
      <c r="D702" s="155" t="s">
        <v>92</v>
      </c>
      <c r="E702" s="155" t="s">
        <v>35</v>
      </c>
      <c r="F702" s="155" t="s">
        <v>1429</v>
      </c>
      <c r="G702" s="155">
        <v>387</v>
      </c>
      <c r="H702" s="155" t="s">
        <v>200</v>
      </c>
      <c r="I702" s="155" t="s">
        <v>479</v>
      </c>
      <c r="J702" s="155" t="s">
        <v>101</v>
      </c>
      <c r="K702" s="155" t="s">
        <v>200</v>
      </c>
      <c r="L702" s="249">
        <v>46167.601388888892</v>
      </c>
      <c r="M702" s="249">
        <v>46167.742361111108</v>
      </c>
      <c r="N702" s="155" t="s">
        <v>295</v>
      </c>
      <c r="O702" s="140" t="s">
        <v>207</v>
      </c>
      <c r="P702" s="90"/>
      <c r="Q702" s="140" t="s">
        <v>77</v>
      </c>
      <c r="R702" s="90"/>
      <c r="S702" s="140" t="s">
        <v>77</v>
      </c>
      <c r="T702" s="90"/>
      <c r="U702" s="140" t="s">
        <v>77</v>
      </c>
      <c r="V702" s="90"/>
      <c r="W702" s="140" t="s">
        <v>77</v>
      </c>
      <c r="X702" s="90"/>
      <c r="Y702" s="140" t="s">
        <v>77</v>
      </c>
      <c r="Z702" s="90"/>
      <c r="AA702" s="140" t="s">
        <v>77</v>
      </c>
      <c r="AB702" s="90"/>
      <c r="AC702" s="140" t="s">
        <v>215</v>
      </c>
      <c r="AD702" s="90" t="s">
        <v>492</v>
      </c>
      <c r="AE702" s="140" t="s">
        <v>207</v>
      </c>
      <c r="AF702" s="178" t="str">
        <f t="shared" si="32"/>
        <v>NC</v>
      </c>
      <c r="AG702" s="52" t="str">
        <f t="shared" si="30"/>
        <v>UTILIZOU O PDA CORRETAMENTE. NÃO HÁ FOTOS DE TODAS AS ETAPAS</v>
      </c>
      <c r="AH702" s="140" t="s">
        <v>207</v>
      </c>
      <c r="AI702" s="182" t="s">
        <v>36</v>
      </c>
      <c r="AJ702" s="93" t="str">
        <f t="shared" si="31"/>
        <v>SÃO PAULO</v>
      </c>
      <c r="AK702" s="183" t="s">
        <v>54</v>
      </c>
    </row>
    <row r="703" spans="1:37" ht="30" customHeight="1">
      <c r="A703" s="161" t="s">
        <v>198</v>
      </c>
      <c r="B703" s="155">
        <v>2621689080</v>
      </c>
      <c r="C703" s="155" t="s">
        <v>223</v>
      </c>
      <c r="D703" s="155" t="s">
        <v>96</v>
      </c>
      <c r="E703" s="155" t="s">
        <v>35</v>
      </c>
      <c r="F703" s="155" t="s">
        <v>1430</v>
      </c>
      <c r="G703" s="155">
        <v>1118</v>
      </c>
      <c r="H703" s="155" t="s">
        <v>200</v>
      </c>
      <c r="I703" s="155" t="s">
        <v>408</v>
      </c>
      <c r="J703" s="155" t="s">
        <v>226</v>
      </c>
      <c r="K703" s="155" t="s">
        <v>200</v>
      </c>
      <c r="L703" s="249">
        <v>46167.45</v>
      </c>
      <c r="M703" s="249">
        <v>46167.450694444444</v>
      </c>
      <c r="N703" s="155" t="s">
        <v>320</v>
      </c>
      <c r="O703" s="256" t="s">
        <v>207</v>
      </c>
      <c r="P703" s="90"/>
      <c r="Q703" s="140" t="s">
        <v>207</v>
      </c>
      <c r="R703" s="90"/>
      <c r="S703" s="140" t="s">
        <v>207</v>
      </c>
      <c r="T703" s="90"/>
      <c r="U703" s="140" t="s">
        <v>207</v>
      </c>
      <c r="V703" s="90"/>
      <c r="W703" s="140" t="s">
        <v>207</v>
      </c>
      <c r="X703" s="90"/>
      <c r="Y703" s="140" t="s">
        <v>77</v>
      </c>
      <c r="Z703" s="90"/>
      <c r="AA703" s="140" t="s">
        <v>207</v>
      </c>
      <c r="AB703" s="90"/>
      <c r="AC703" s="140" t="s">
        <v>207</v>
      </c>
      <c r="AD703" s="90"/>
      <c r="AE703" s="140" t="s">
        <v>207</v>
      </c>
      <c r="AF703" s="178" t="str">
        <f t="shared" si="32"/>
        <v>C</v>
      </c>
      <c r="AG703" s="52" t="str">
        <f t="shared" si="30"/>
        <v>UTILIZOU O PDA CORRETAMENTE</v>
      </c>
      <c r="AH703" s="140" t="s">
        <v>207</v>
      </c>
      <c r="AI703" s="182" t="s">
        <v>36</v>
      </c>
      <c r="AJ703" s="93" t="str">
        <f t="shared" si="31"/>
        <v>SÃO PAULO</v>
      </c>
      <c r="AK703" s="183" t="s">
        <v>54</v>
      </c>
    </row>
    <row r="704" spans="1:37" ht="30" customHeight="1">
      <c r="A704" s="161" t="s">
        <v>198</v>
      </c>
      <c r="B704" s="155">
        <v>2621889804</v>
      </c>
      <c r="C704" s="155" t="s">
        <v>116</v>
      </c>
      <c r="D704" s="155" t="s">
        <v>94</v>
      </c>
      <c r="E704" s="155" t="s">
        <v>35</v>
      </c>
      <c r="F704" s="155" t="s">
        <v>1431</v>
      </c>
      <c r="G704" s="155">
        <v>110</v>
      </c>
      <c r="H704" s="155" t="s">
        <v>200</v>
      </c>
      <c r="I704" s="155" t="s">
        <v>1407</v>
      </c>
      <c r="J704" s="155" t="s">
        <v>221</v>
      </c>
      <c r="K704" s="155" t="s">
        <v>200</v>
      </c>
      <c r="L704" s="249">
        <v>46167.462500000001</v>
      </c>
      <c r="M704" s="249">
        <v>46167.463888888888</v>
      </c>
      <c r="N704" s="155" t="s">
        <v>232</v>
      </c>
      <c r="O704" s="256" t="s">
        <v>207</v>
      </c>
      <c r="P704" s="90"/>
      <c r="Q704" s="140" t="s">
        <v>207</v>
      </c>
      <c r="R704" s="90"/>
      <c r="S704" s="140" t="s">
        <v>207</v>
      </c>
      <c r="T704" s="90"/>
      <c r="U704" s="140" t="s">
        <v>207</v>
      </c>
      <c r="V704" s="90"/>
      <c r="W704" s="140" t="s">
        <v>207</v>
      </c>
      <c r="X704" s="90"/>
      <c r="Y704" s="140" t="s">
        <v>207</v>
      </c>
      <c r="Z704" s="90"/>
      <c r="AA704" s="140" t="s">
        <v>207</v>
      </c>
      <c r="AB704" s="90"/>
      <c r="AC704" s="140" t="s">
        <v>207</v>
      </c>
      <c r="AD704" s="90"/>
      <c r="AE704" s="140" t="s">
        <v>207</v>
      </c>
      <c r="AF704" s="178" t="str">
        <f t="shared" si="32"/>
        <v>C</v>
      </c>
      <c r="AG704" s="52" t="str">
        <f t="shared" si="30"/>
        <v>UTILIZOU O PDA CORRETAMENTE</v>
      </c>
      <c r="AH704" s="140" t="s">
        <v>207</v>
      </c>
      <c r="AI704" s="182" t="s">
        <v>36</v>
      </c>
      <c r="AJ704" s="93" t="str">
        <f t="shared" si="31"/>
        <v>SÃO PAULO</v>
      </c>
      <c r="AK704" s="183" t="s">
        <v>54</v>
      </c>
    </row>
    <row r="705" spans="1:37" ht="30" customHeight="1">
      <c r="A705" s="161" t="s">
        <v>198</v>
      </c>
      <c r="B705" s="155">
        <v>2621889621</v>
      </c>
      <c r="C705" s="155" t="s">
        <v>116</v>
      </c>
      <c r="D705" s="155" t="s">
        <v>94</v>
      </c>
      <c r="E705" s="155" t="s">
        <v>35</v>
      </c>
      <c r="F705" s="155" t="s">
        <v>1431</v>
      </c>
      <c r="G705" s="155">
        <v>100</v>
      </c>
      <c r="H705" s="155" t="s">
        <v>200</v>
      </c>
      <c r="I705" s="155" t="s">
        <v>1407</v>
      </c>
      <c r="J705" s="155" t="s">
        <v>221</v>
      </c>
      <c r="K705" s="155" t="s">
        <v>200</v>
      </c>
      <c r="L705" s="249">
        <v>46167.459722222222</v>
      </c>
      <c r="M705" s="249">
        <v>46167.461111111108</v>
      </c>
      <c r="N705" s="155" t="s">
        <v>232</v>
      </c>
      <c r="O705" s="256" t="s">
        <v>207</v>
      </c>
      <c r="P705" s="90"/>
      <c r="Q705" s="140" t="s">
        <v>207</v>
      </c>
      <c r="R705" s="90"/>
      <c r="S705" s="140" t="s">
        <v>207</v>
      </c>
      <c r="T705" s="90"/>
      <c r="U705" s="140" t="s">
        <v>207</v>
      </c>
      <c r="V705" s="90"/>
      <c r="W705" s="140" t="s">
        <v>207</v>
      </c>
      <c r="X705" s="90"/>
      <c r="Y705" s="140" t="s">
        <v>207</v>
      </c>
      <c r="Z705" s="90"/>
      <c r="AA705" s="140" t="s">
        <v>207</v>
      </c>
      <c r="AB705" s="90"/>
      <c r="AC705" s="140" t="s">
        <v>207</v>
      </c>
      <c r="AD705" s="90"/>
      <c r="AE705" s="140" t="s">
        <v>207</v>
      </c>
      <c r="AF705" s="178" t="str">
        <f t="shared" si="32"/>
        <v>C</v>
      </c>
      <c r="AG705" s="52" t="str">
        <f t="shared" si="30"/>
        <v>UTILIZOU O PDA CORRETAMENTE</v>
      </c>
      <c r="AH705" s="140" t="s">
        <v>207</v>
      </c>
      <c r="AI705" s="182" t="s">
        <v>36</v>
      </c>
      <c r="AJ705" s="93" t="str">
        <f t="shared" si="31"/>
        <v>SÃO PAULO</v>
      </c>
      <c r="AK705" s="183" t="s">
        <v>54</v>
      </c>
    </row>
    <row r="706" spans="1:37" ht="30" customHeight="1">
      <c r="A706" s="161" t="s">
        <v>198</v>
      </c>
      <c r="B706" s="155">
        <v>2694059922</v>
      </c>
      <c r="C706" s="155" t="s">
        <v>114</v>
      </c>
      <c r="D706" s="155" t="s">
        <v>96</v>
      </c>
      <c r="E706" s="155" t="s">
        <v>35</v>
      </c>
      <c r="F706" s="155" t="s">
        <v>1431</v>
      </c>
      <c r="G706" s="155">
        <v>103</v>
      </c>
      <c r="H706" s="155" t="s">
        <v>200</v>
      </c>
      <c r="I706" s="155" t="s">
        <v>1407</v>
      </c>
      <c r="J706" s="155" t="s">
        <v>260</v>
      </c>
      <c r="K706" s="155" t="s">
        <v>200</v>
      </c>
      <c r="L706" s="249">
        <v>46167.45</v>
      </c>
      <c r="M706" s="249">
        <v>46167.456250000003</v>
      </c>
      <c r="N706" s="155" t="s">
        <v>232</v>
      </c>
      <c r="O706" s="256" t="s">
        <v>207</v>
      </c>
      <c r="P706" s="90"/>
      <c r="Q706" s="140" t="s">
        <v>207</v>
      </c>
      <c r="R706" s="90"/>
      <c r="S706" s="140" t="s">
        <v>207</v>
      </c>
      <c r="T706" s="90"/>
      <c r="U706" s="140" t="s">
        <v>207</v>
      </c>
      <c r="V706" s="90"/>
      <c r="W706" s="140" t="s">
        <v>207</v>
      </c>
      <c r="X706" s="90"/>
      <c r="Y706" s="140" t="s">
        <v>207</v>
      </c>
      <c r="Z706" s="90"/>
      <c r="AA706" s="140" t="s">
        <v>207</v>
      </c>
      <c r="AB706" s="90"/>
      <c r="AC706" s="140" t="s">
        <v>207</v>
      </c>
      <c r="AD706" s="90"/>
      <c r="AE706" s="140" t="s">
        <v>207</v>
      </c>
      <c r="AF706" s="178" t="str">
        <f t="shared" si="32"/>
        <v>C</v>
      </c>
      <c r="AG706" s="52" t="str">
        <f t="shared" si="30"/>
        <v>UTILIZOU O PDA CORRETAMENTE</v>
      </c>
      <c r="AH706" s="140" t="s">
        <v>207</v>
      </c>
      <c r="AI706" s="182" t="s">
        <v>36</v>
      </c>
      <c r="AJ706" s="93" t="str">
        <f t="shared" si="31"/>
        <v>SÃO PAULO</v>
      </c>
      <c r="AK706" s="183" t="s">
        <v>54</v>
      </c>
    </row>
    <row r="707" spans="1:37" ht="30" customHeight="1">
      <c r="A707" s="161" t="s">
        <v>198</v>
      </c>
      <c r="B707" s="155">
        <v>2621779787</v>
      </c>
      <c r="C707" s="155" t="s">
        <v>114</v>
      </c>
      <c r="D707" s="155" t="s">
        <v>96</v>
      </c>
      <c r="E707" s="155" t="s">
        <v>35</v>
      </c>
      <c r="F707" s="155" t="s">
        <v>1432</v>
      </c>
      <c r="G707" s="155">
        <v>159</v>
      </c>
      <c r="H707" s="155" t="s">
        <v>208</v>
      </c>
      <c r="I707" s="155" t="s">
        <v>515</v>
      </c>
      <c r="J707" s="155" t="s">
        <v>260</v>
      </c>
      <c r="K707" s="155" t="s">
        <v>200</v>
      </c>
      <c r="L707" s="249">
        <v>46167.619444444441</v>
      </c>
      <c r="M707" s="249">
        <v>46167.640972222223</v>
      </c>
      <c r="N707" s="155" t="s">
        <v>320</v>
      </c>
      <c r="O707" s="256" t="s">
        <v>207</v>
      </c>
      <c r="P707" s="90"/>
      <c r="Q707" s="140" t="s">
        <v>207</v>
      </c>
      <c r="R707" s="90"/>
      <c r="S707" s="140" t="s">
        <v>207</v>
      </c>
      <c r="T707" s="90"/>
      <c r="U707" s="140" t="s">
        <v>207</v>
      </c>
      <c r="V707" s="90"/>
      <c r="W707" s="140" t="s">
        <v>207</v>
      </c>
      <c r="X707" s="90"/>
      <c r="Y707" s="140" t="s">
        <v>207</v>
      </c>
      <c r="Z707" s="90"/>
      <c r="AA707" s="140" t="s">
        <v>207</v>
      </c>
      <c r="AB707" s="90"/>
      <c r="AC707" s="140" t="s">
        <v>207</v>
      </c>
      <c r="AD707" s="90"/>
      <c r="AE707" s="140" t="s">
        <v>207</v>
      </c>
      <c r="AF707" s="178" t="str">
        <f t="shared" ref="AF707:AF770" si="33">IF(AND(O707="",Q707="",S707="",U707="",W707="",Y707="",AA707="",AC707=""),"",IF(OR(AND(O707&lt;&gt;"NA",O707&lt;&gt;"C",O707&lt;&gt;"NC",O707&lt;&gt;"SF",O707&lt;&gt;""),AND(Q707&lt;&gt;"NA",Q707&lt;&gt;"C",Q707&lt;&gt;"NC",Q707&lt;&gt;"SF",Q707&lt;&gt;""),AND(S707&lt;&gt;"NA",S707&lt;&gt;"C",S707&lt;&gt;"NC",S707&lt;&gt;"SF",S707&lt;&gt;""),AND(U707&lt;&gt;"NA",U707&lt;&gt;"C",U707&lt;&gt;"NC",U707&lt;&gt;"SF",U707&lt;&gt;""),AND(W707&lt;&gt;"NA",W707&lt;&gt;"C",W707&lt;&gt;"NC",W707&lt;&gt;"SF",W707&lt;&gt;""),AND(Y707&lt;&gt;"NA",Y707&lt;&gt;"C",Y707&lt;&gt;"NC",Y707&lt;&gt;"SF",Y707&lt;&gt;""),AND(AA707&lt;&gt;"NA",AA707&lt;&gt;"C",AA707&lt;&gt;"NC",AA707&lt;&gt;"SF",AA707&lt;&gt;""),AND(AC707&lt;&gt;"NA",AC707&lt;&gt;"C",AC707&lt;&gt;"NC",AC707&lt;&gt;"SF",AC707&lt;&gt;"")),"FALSO",IF(AND(O707="NA",Q707="NA",S707="NA",U707="NA",W707="NA",Y707="NA",AA707="NA",AC707="NA"),"NA",IF(OR(O707="NC",Q707="NC",S707="NC",U707="NC",W707="NC",Y707="NC",AA707="NC",AC707="NC",O707="SF",Q707="SF",S707="SF",U707="SF",W707="SF",Y707="SF",AA707="SF",AC707="SF"),"NC",IF(OR(O707="C",Q707="C",S707="C",U707="C",W707="C",Y707="C",AA707="C",AC707="C"),"C","")))))</f>
        <v>C</v>
      </c>
      <c r="AG707" s="52" t="str">
        <f t="shared" ref="AG707:AG770" si="34">IF(AND(AE707="C",AF707="C"),"UTILIZOU O PDA CORRETAMENTE",IF(AND(AE707="C",AF707="NC"),"UTILIZOU O PDA CORRETAMENTE. NÃO HÁ FOTOS DE TODAS AS ETAPAS",IF(AND(AE707="NC",AF707="NC"),"NÃO UTILIZOU O PDA",IF(AND(AE707="NA",AF707="NA"),"NÃO AVALIADO POR FALHA DE SINCRONISMO"))))</f>
        <v>UTILIZOU O PDA CORRETAMENTE</v>
      </c>
      <c r="AH707" s="140" t="s">
        <v>207</v>
      </c>
      <c r="AI707" s="182" t="s">
        <v>36</v>
      </c>
      <c r="AJ707" s="93" t="str">
        <f t="shared" ref="AJ707:AJ770" si="35">E707</f>
        <v>SÃO PAULO</v>
      </c>
      <c r="AK707" s="183" t="s">
        <v>54</v>
      </c>
    </row>
    <row r="708" spans="1:37" ht="30" customHeight="1">
      <c r="A708" s="161" t="s">
        <v>198</v>
      </c>
      <c r="B708" s="155">
        <v>2621839448</v>
      </c>
      <c r="C708" s="155" t="s">
        <v>114</v>
      </c>
      <c r="D708" s="155" t="s">
        <v>96</v>
      </c>
      <c r="E708" s="155" t="s">
        <v>35</v>
      </c>
      <c r="F708" s="155" t="s">
        <v>1197</v>
      </c>
      <c r="G708" s="155">
        <v>776</v>
      </c>
      <c r="H708" s="155" t="s">
        <v>208</v>
      </c>
      <c r="I708" s="155" t="s">
        <v>277</v>
      </c>
      <c r="J708" s="155" t="s">
        <v>260</v>
      </c>
      <c r="K708" s="155" t="s">
        <v>1433</v>
      </c>
      <c r="L708" s="249">
        <v>46167.686111111114</v>
      </c>
      <c r="M708" s="249">
        <v>46167.708333333336</v>
      </c>
      <c r="N708" s="155" t="s">
        <v>274</v>
      </c>
      <c r="O708" s="256" t="s">
        <v>207</v>
      </c>
      <c r="P708" s="90"/>
      <c r="Q708" s="140" t="s">
        <v>207</v>
      </c>
      <c r="R708" s="90"/>
      <c r="S708" s="140" t="s">
        <v>207</v>
      </c>
      <c r="T708" s="90"/>
      <c r="U708" s="140" t="s">
        <v>207</v>
      </c>
      <c r="V708" s="90"/>
      <c r="W708" s="140" t="s">
        <v>207</v>
      </c>
      <c r="X708" s="90"/>
      <c r="Y708" s="140" t="s">
        <v>207</v>
      </c>
      <c r="Z708" s="90"/>
      <c r="AA708" s="140" t="s">
        <v>207</v>
      </c>
      <c r="AB708" s="90"/>
      <c r="AC708" s="140" t="s">
        <v>207</v>
      </c>
      <c r="AD708" s="90"/>
      <c r="AE708" s="140" t="s">
        <v>207</v>
      </c>
      <c r="AF708" s="178" t="str">
        <f t="shared" si="33"/>
        <v>C</v>
      </c>
      <c r="AG708" s="52" t="str">
        <f t="shared" si="34"/>
        <v>UTILIZOU O PDA CORRETAMENTE</v>
      </c>
      <c r="AH708" s="140" t="s">
        <v>207</v>
      </c>
      <c r="AI708" s="182" t="s">
        <v>36</v>
      </c>
      <c r="AJ708" s="93" t="str">
        <f t="shared" si="35"/>
        <v>SÃO PAULO</v>
      </c>
      <c r="AK708" s="183" t="s">
        <v>54</v>
      </c>
    </row>
    <row r="709" spans="1:37" ht="30" customHeight="1">
      <c r="A709" s="269" t="s">
        <v>198</v>
      </c>
      <c r="B709" s="271">
        <v>2694125612</v>
      </c>
      <c r="C709" s="271" t="s">
        <v>114</v>
      </c>
      <c r="D709" s="271" t="s">
        <v>96</v>
      </c>
      <c r="E709" s="271" t="s">
        <v>35</v>
      </c>
      <c r="F709" s="271" t="s">
        <v>1434</v>
      </c>
      <c r="G709" s="271">
        <v>345</v>
      </c>
      <c r="H709" s="271" t="s">
        <v>200</v>
      </c>
      <c r="I709" s="271" t="s">
        <v>300</v>
      </c>
      <c r="J709" s="271" t="s">
        <v>260</v>
      </c>
      <c r="K709" s="271" t="s">
        <v>200</v>
      </c>
      <c r="L709" s="272">
        <v>46167.361111111109</v>
      </c>
      <c r="M709" s="272">
        <v>46167.38958333333</v>
      </c>
      <c r="N709" s="271" t="s">
        <v>235</v>
      </c>
      <c r="O709" s="256" t="s">
        <v>207</v>
      </c>
      <c r="P709" s="90"/>
      <c r="Q709" s="140" t="s">
        <v>207</v>
      </c>
      <c r="R709" s="90"/>
      <c r="S709" s="140" t="s">
        <v>207</v>
      </c>
      <c r="T709" s="90"/>
      <c r="U709" s="140" t="s">
        <v>207</v>
      </c>
      <c r="V709" s="90"/>
      <c r="W709" s="140" t="s">
        <v>207</v>
      </c>
      <c r="X709" s="90"/>
      <c r="Y709" s="140" t="s">
        <v>207</v>
      </c>
      <c r="Z709" s="90"/>
      <c r="AA709" s="140" t="s">
        <v>207</v>
      </c>
      <c r="AB709" s="90"/>
      <c r="AC709" s="140" t="s">
        <v>207</v>
      </c>
      <c r="AD709" s="90"/>
      <c r="AE709" s="140" t="s">
        <v>207</v>
      </c>
      <c r="AF709" s="178" t="str">
        <f t="shared" si="33"/>
        <v>C</v>
      </c>
      <c r="AG709" s="52" t="str">
        <f t="shared" si="34"/>
        <v>UTILIZOU O PDA CORRETAMENTE</v>
      </c>
      <c r="AH709" s="140" t="s">
        <v>207</v>
      </c>
      <c r="AI709" s="182" t="s">
        <v>36</v>
      </c>
      <c r="AJ709" s="93" t="str">
        <f t="shared" si="35"/>
        <v>SÃO PAULO</v>
      </c>
      <c r="AK709" s="183" t="s">
        <v>54</v>
      </c>
    </row>
    <row r="710" spans="1:37" ht="30" customHeight="1">
      <c r="A710" s="197" t="s">
        <v>198</v>
      </c>
      <c r="B710" s="197">
        <v>2694085985</v>
      </c>
      <c r="C710" s="197" t="s">
        <v>117</v>
      </c>
      <c r="D710" s="197" t="s">
        <v>96</v>
      </c>
      <c r="E710" s="197" t="s">
        <v>35</v>
      </c>
      <c r="F710" s="197" t="s">
        <v>1435</v>
      </c>
      <c r="G710" s="197">
        <v>55</v>
      </c>
      <c r="H710" s="197" t="s">
        <v>205</v>
      </c>
      <c r="I710" s="197" t="s">
        <v>1260</v>
      </c>
      <c r="J710" s="197" t="s">
        <v>267</v>
      </c>
      <c r="K710" s="197" t="s">
        <v>200</v>
      </c>
      <c r="L710" s="203">
        <v>46168.086805555555</v>
      </c>
      <c r="M710" s="203">
        <v>46168.180555555555</v>
      </c>
      <c r="N710" s="197" t="s">
        <v>235</v>
      </c>
      <c r="O710" s="152" t="s">
        <v>207</v>
      </c>
      <c r="P710" s="90"/>
      <c r="Q710" s="140" t="s">
        <v>207</v>
      </c>
      <c r="R710" s="90"/>
      <c r="S710" s="140" t="s">
        <v>207</v>
      </c>
      <c r="T710" s="90"/>
      <c r="U710" s="140" t="s">
        <v>207</v>
      </c>
      <c r="V710" s="90"/>
      <c r="W710" s="140" t="s">
        <v>207</v>
      </c>
      <c r="X710" s="90"/>
      <c r="Y710" s="140" t="s">
        <v>77</v>
      </c>
      <c r="Z710" s="90"/>
      <c r="AA710" s="140" t="s">
        <v>207</v>
      </c>
      <c r="AB710" s="90"/>
      <c r="AC710" s="140" t="s">
        <v>207</v>
      </c>
      <c r="AD710" s="90"/>
      <c r="AE710" s="140" t="s">
        <v>207</v>
      </c>
      <c r="AF710" s="178" t="str">
        <f t="shared" si="33"/>
        <v>C</v>
      </c>
      <c r="AG710" s="52" t="str">
        <f t="shared" si="34"/>
        <v>UTILIZOU O PDA CORRETAMENTE</v>
      </c>
      <c r="AH710" s="140" t="s">
        <v>207</v>
      </c>
      <c r="AI710" s="182" t="s">
        <v>36</v>
      </c>
      <c r="AJ710" s="93" t="str">
        <f t="shared" si="35"/>
        <v>SÃO PAULO</v>
      </c>
      <c r="AK710" s="183" t="s">
        <v>54</v>
      </c>
    </row>
    <row r="711" spans="1:37" ht="30" customHeight="1">
      <c r="A711" s="197" t="s">
        <v>198</v>
      </c>
      <c r="B711" s="197">
        <v>2621833895</v>
      </c>
      <c r="C711" s="197" t="s">
        <v>116</v>
      </c>
      <c r="D711" s="197" t="s">
        <v>94</v>
      </c>
      <c r="E711" s="197" t="s">
        <v>35</v>
      </c>
      <c r="F711" s="197" t="s">
        <v>1436</v>
      </c>
      <c r="G711" s="197">
        <v>30</v>
      </c>
      <c r="H711" s="197" t="s">
        <v>257</v>
      </c>
      <c r="I711" s="197" t="s">
        <v>1437</v>
      </c>
      <c r="J711" s="197" t="s">
        <v>221</v>
      </c>
      <c r="K711" s="197"/>
      <c r="L711" s="203">
        <v>46168.063194444447</v>
      </c>
      <c r="M711" s="203">
        <v>46168.06527777778</v>
      </c>
      <c r="N711" s="197" t="s">
        <v>517</v>
      </c>
      <c r="O711" s="152" t="s">
        <v>207</v>
      </c>
      <c r="P711" s="90"/>
      <c r="Q711" s="140" t="s">
        <v>207</v>
      </c>
      <c r="R711" s="90"/>
      <c r="S711" s="140" t="s">
        <v>207</v>
      </c>
      <c r="T711" s="90"/>
      <c r="U711" s="140" t="s">
        <v>207</v>
      </c>
      <c r="V711" s="90"/>
      <c r="W711" s="140" t="s">
        <v>207</v>
      </c>
      <c r="X711" s="90"/>
      <c r="Y711" s="140" t="s">
        <v>207</v>
      </c>
      <c r="Z711" s="90"/>
      <c r="AA711" s="140" t="s">
        <v>207</v>
      </c>
      <c r="AB711" s="90"/>
      <c r="AC711" s="140" t="s">
        <v>207</v>
      </c>
      <c r="AD711" s="90"/>
      <c r="AE711" s="140" t="s">
        <v>207</v>
      </c>
      <c r="AF711" s="178" t="str">
        <f t="shared" si="33"/>
        <v>C</v>
      </c>
      <c r="AG711" s="52" t="str">
        <f t="shared" si="34"/>
        <v>UTILIZOU O PDA CORRETAMENTE</v>
      </c>
      <c r="AH711" s="140" t="s">
        <v>207</v>
      </c>
      <c r="AI711" s="182" t="s">
        <v>36</v>
      </c>
      <c r="AJ711" s="93" t="str">
        <f t="shared" si="35"/>
        <v>SÃO PAULO</v>
      </c>
      <c r="AK711" s="183" t="s">
        <v>54</v>
      </c>
    </row>
    <row r="712" spans="1:37" ht="30" customHeight="1">
      <c r="A712" s="197" t="s">
        <v>198</v>
      </c>
      <c r="B712" s="197">
        <v>2622041619</v>
      </c>
      <c r="C712" s="197" t="s">
        <v>118</v>
      </c>
      <c r="D712" s="197" t="s">
        <v>96</v>
      </c>
      <c r="E712" s="197" t="s">
        <v>35</v>
      </c>
      <c r="F712" s="197" t="s">
        <v>900</v>
      </c>
      <c r="G712" s="197">
        <v>682</v>
      </c>
      <c r="H712" s="197" t="s">
        <v>347</v>
      </c>
      <c r="I712" s="197" t="s">
        <v>675</v>
      </c>
      <c r="J712" s="197" t="s">
        <v>301</v>
      </c>
      <c r="K712" s="197" t="s">
        <v>200</v>
      </c>
      <c r="L712" s="203">
        <v>46168.433333333334</v>
      </c>
      <c r="M712" s="203">
        <v>46168.447916666664</v>
      </c>
      <c r="N712" s="197" t="s">
        <v>320</v>
      </c>
      <c r="O712" s="152" t="s">
        <v>207</v>
      </c>
      <c r="P712" s="90"/>
      <c r="Q712" s="140" t="s">
        <v>207</v>
      </c>
      <c r="R712" s="90"/>
      <c r="S712" s="140" t="s">
        <v>207</v>
      </c>
      <c r="T712" s="90"/>
      <c r="U712" s="140" t="s">
        <v>207</v>
      </c>
      <c r="V712" s="90"/>
      <c r="W712" s="140" t="s">
        <v>207</v>
      </c>
      <c r="X712" s="90"/>
      <c r="Y712" s="140" t="s">
        <v>77</v>
      </c>
      <c r="Z712" s="90"/>
      <c r="AA712" s="140" t="s">
        <v>207</v>
      </c>
      <c r="AB712" s="90"/>
      <c r="AC712" s="140" t="s">
        <v>207</v>
      </c>
      <c r="AD712" s="90"/>
      <c r="AE712" s="140" t="s">
        <v>207</v>
      </c>
      <c r="AF712" s="178" t="str">
        <f t="shared" si="33"/>
        <v>C</v>
      </c>
      <c r="AG712" s="52" t="str">
        <f t="shared" si="34"/>
        <v>UTILIZOU O PDA CORRETAMENTE</v>
      </c>
      <c r="AH712" s="140" t="s">
        <v>207</v>
      </c>
      <c r="AI712" s="182" t="s">
        <v>36</v>
      </c>
      <c r="AJ712" s="93" t="str">
        <f t="shared" si="35"/>
        <v>SÃO PAULO</v>
      </c>
      <c r="AK712" s="183" t="s">
        <v>54</v>
      </c>
    </row>
    <row r="713" spans="1:37" ht="30" customHeight="1">
      <c r="A713" s="197" t="s">
        <v>198</v>
      </c>
      <c r="B713" s="197">
        <v>2621881837</v>
      </c>
      <c r="C713" s="197" t="s">
        <v>117</v>
      </c>
      <c r="D713" s="197" t="s">
        <v>96</v>
      </c>
      <c r="E713" s="197" t="s">
        <v>35</v>
      </c>
      <c r="F713" s="197" t="s">
        <v>700</v>
      </c>
      <c r="G713" s="197">
        <v>39</v>
      </c>
      <c r="H713" s="197" t="s">
        <v>208</v>
      </c>
      <c r="I713" s="197" t="s">
        <v>230</v>
      </c>
      <c r="J713" s="197" t="s">
        <v>267</v>
      </c>
      <c r="K713" s="197"/>
      <c r="L713" s="203">
        <v>46168.250694444447</v>
      </c>
      <c r="M713" s="203">
        <v>46168.293055555558</v>
      </c>
      <c r="N713" s="197" t="s">
        <v>232</v>
      </c>
      <c r="O713" s="152" t="s">
        <v>207</v>
      </c>
      <c r="P713" s="90"/>
      <c r="Q713" s="140" t="s">
        <v>207</v>
      </c>
      <c r="R713" s="90"/>
      <c r="S713" s="140" t="s">
        <v>207</v>
      </c>
      <c r="T713" s="90"/>
      <c r="U713" s="140" t="s">
        <v>207</v>
      </c>
      <c r="V713" s="90"/>
      <c r="W713" s="140" t="s">
        <v>207</v>
      </c>
      <c r="X713" s="90"/>
      <c r="Y713" s="140" t="s">
        <v>77</v>
      </c>
      <c r="Z713" s="90"/>
      <c r="AA713" s="140" t="s">
        <v>207</v>
      </c>
      <c r="AB713" s="90"/>
      <c r="AC713" s="140" t="s">
        <v>207</v>
      </c>
      <c r="AD713" s="90"/>
      <c r="AE713" s="140" t="s">
        <v>207</v>
      </c>
      <c r="AF713" s="178" t="str">
        <f t="shared" si="33"/>
        <v>C</v>
      </c>
      <c r="AG713" s="52" t="str">
        <f t="shared" si="34"/>
        <v>UTILIZOU O PDA CORRETAMENTE</v>
      </c>
      <c r="AH713" s="140" t="s">
        <v>207</v>
      </c>
      <c r="AI713" s="182" t="s">
        <v>36</v>
      </c>
      <c r="AJ713" s="93" t="str">
        <f t="shared" si="35"/>
        <v>SÃO PAULO</v>
      </c>
      <c r="AK713" s="183" t="s">
        <v>54</v>
      </c>
    </row>
    <row r="714" spans="1:37" ht="30" customHeight="1">
      <c r="A714" s="197" t="s">
        <v>198</v>
      </c>
      <c r="B714" s="197">
        <v>2694116378</v>
      </c>
      <c r="C714" s="197" t="s">
        <v>118</v>
      </c>
      <c r="D714" s="197" t="s">
        <v>96</v>
      </c>
      <c r="E714" s="197" t="s">
        <v>35</v>
      </c>
      <c r="F714" s="197" t="s">
        <v>1438</v>
      </c>
      <c r="G714" s="197">
        <v>30</v>
      </c>
      <c r="H714" s="197" t="s">
        <v>205</v>
      </c>
      <c r="I714" s="197" t="s">
        <v>293</v>
      </c>
      <c r="J714" s="197" t="s">
        <v>267</v>
      </c>
      <c r="K714" s="197" t="s">
        <v>200</v>
      </c>
      <c r="L714" s="203">
        <v>46168.203472222223</v>
      </c>
      <c r="M714" s="203">
        <v>46168.206250000003</v>
      </c>
      <c r="N714" s="197" t="s">
        <v>517</v>
      </c>
      <c r="O714" s="152" t="s">
        <v>207</v>
      </c>
      <c r="P714" s="90"/>
      <c r="Q714" s="140" t="s">
        <v>207</v>
      </c>
      <c r="R714" s="90"/>
      <c r="S714" s="140" t="s">
        <v>207</v>
      </c>
      <c r="T714" s="90"/>
      <c r="U714" s="140" t="s">
        <v>207</v>
      </c>
      <c r="V714" s="90"/>
      <c r="W714" s="140" t="s">
        <v>207</v>
      </c>
      <c r="X714" s="90"/>
      <c r="Y714" s="140" t="s">
        <v>77</v>
      </c>
      <c r="Z714" s="90"/>
      <c r="AA714" s="140" t="s">
        <v>207</v>
      </c>
      <c r="AB714" s="90"/>
      <c r="AC714" s="140" t="s">
        <v>207</v>
      </c>
      <c r="AD714" s="90"/>
      <c r="AE714" s="140" t="s">
        <v>207</v>
      </c>
      <c r="AF714" s="178" t="str">
        <f t="shared" si="33"/>
        <v>C</v>
      </c>
      <c r="AG714" s="52" t="str">
        <f t="shared" si="34"/>
        <v>UTILIZOU O PDA CORRETAMENTE</v>
      </c>
      <c r="AH714" s="140" t="s">
        <v>207</v>
      </c>
      <c r="AI714" s="182" t="s">
        <v>36</v>
      </c>
      <c r="AJ714" s="93" t="str">
        <f t="shared" si="35"/>
        <v>SÃO PAULO</v>
      </c>
      <c r="AK714" s="183" t="s">
        <v>54</v>
      </c>
    </row>
    <row r="715" spans="1:37" ht="30" customHeight="1">
      <c r="A715" s="197" t="s">
        <v>198</v>
      </c>
      <c r="B715" s="197">
        <v>2621941042</v>
      </c>
      <c r="C715" s="197" t="s">
        <v>118</v>
      </c>
      <c r="D715" s="197" t="s">
        <v>96</v>
      </c>
      <c r="E715" s="197" t="s">
        <v>35</v>
      </c>
      <c r="F715" s="197" t="s">
        <v>530</v>
      </c>
      <c r="G715" s="197">
        <v>4</v>
      </c>
      <c r="H715" s="197"/>
      <c r="I715" s="197" t="s">
        <v>241</v>
      </c>
      <c r="J715" s="197" t="s">
        <v>893</v>
      </c>
      <c r="K715" s="197" t="s">
        <v>1439</v>
      </c>
      <c r="L715" s="203">
        <v>46168.22152777778</v>
      </c>
      <c r="M715" s="203">
        <v>46168.224305555559</v>
      </c>
      <c r="N715" s="197" t="s">
        <v>323</v>
      </c>
      <c r="O715" s="152" t="s">
        <v>207</v>
      </c>
      <c r="P715" s="90"/>
      <c r="Q715" s="140" t="s">
        <v>207</v>
      </c>
      <c r="R715" s="90"/>
      <c r="S715" s="140" t="s">
        <v>207</v>
      </c>
      <c r="T715" s="90"/>
      <c r="U715" s="140" t="s">
        <v>207</v>
      </c>
      <c r="V715" s="90"/>
      <c r="W715" s="140" t="s">
        <v>207</v>
      </c>
      <c r="X715" s="90"/>
      <c r="Y715" s="140" t="s">
        <v>77</v>
      </c>
      <c r="Z715" s="90"/>
      <c r="AA715" s="140" t="s">
        <v>207</v>
      </c>
      <c r="AB715" s="90"/>
      <c r="AC715" s="140" t="s">
        <v>207</v>
      </c>
      <c r="AD715" s="90"/>
      <c r="AE715" s="140" t="s">
        <v>207</v>
      </c>
      <c r="AF715" s="178" t="str">
        <f t="shared" si="33"/>
        <v>C</v>
      </c>
      <c r="AG715" s="52" t="str">
        <f t="shared" si="34"/>
        <v>UTILIZOU O PDA CORRETAMENTE</v>
      </c>
      <c r="AH715" s="140" t="s">
        <v>207</v>
      </c>
      <c r="AI715" s="182" t="s">
        <v>36</v>
      </c>
      <c r="AJ715" s="93" t="str">
        <f t="shared" si="35"/>
        <v>SÃO PAULO</v>
      </c>
      <c r="AK715" s="183" t="s">
        <v>54</v>
      </c>
    </row>
    <row r="716" spans="1:37" ht="30" customHeight="1">
      <c r="A716" s="197" t="s">
        <v>198</v>
      </c>
      <c r="B716" s="197">
        <v>2694153830</v>
      </c>
      <c r="C716" s="197" t="s">
        <v>117</v>
      </c>
      <c r="D716" s="197" t="s">
        <v>96</v>
      </c>
      <c r="E716" s="197" t="s">
        <v>35</v>
      </c>
      <c r="F716" s="197" t="s">
        <v>1440</v>
      </c>
      <c r="G716" s="197">
        <v>206</v>
      </c>
      <c r="H716" s="197" t="s">
        <v>1441</v>
      </c>
      <c r="I716" s="197" t="s">
        <v>241</v>
      </c>
      <c r="J716" s="197" t="s">
        <v>267</v>
      </c>
      <c r="K716" s="197" t="s">
        <v>200</v>
      </c>
      <c r="L716" s="203">
        <v>46168.35</v>
      </c>
      <c r="M716" s="203">
        <v>46168.361805555556</v>
      </c>
      <c r="N716" s="197" t="s">
        <v>323</v>
      </c>
      <c r="O716" s="152" t="s">
        <v>207</v>
      </c>
      <c r="P716" s="90"/>
      <c r="Q716" s="140" t="s">
        <v>207</v>
      </c>
      <c r="R716" s="90"/>
      <c r="S716" s="140" t="s">
        <v>207</v>
      </c>
      <c r="T716" s="90"/>
      <c r="U716" s="140" t="s">
        <v>207</v>
      </c>
      <c r="V716" s="90"/>
      <c r="W716" s="140" t="s">
        <v>207</v>
      </c>
      <c r="X716" s="90"/>
      <c r="Y716" s="140" t="s">
        <v>77</v>
      </c>
      <c r="Z716" s="90"/>
      <c r="AA716" s="140" t="s">
        <v>207</v>
      </c>
      <c r="AB716" s="90"/>
      <c r="AC716" s="140" t="s">
        <v>207</v>
      </c>
      <c r="AD716" s="90"/>
      <c r="AE716" s="140" t="s">
        <v>207</v>
      </c>
      <c r="AF716" s="178" t="str">
        <f t="shared" si="33"/>
        <v>C</v>
      </c>
      <c r="AG716" s="52" t="str">
        <f t="shared" si="34"/>
        <v>UTILIZOU O PDA CORRETAMENTE</v>
      </c>
      <c r="AH716" s="140" t="s">
        <v>207</v>
      </c>
      <c r="AI716" s="182" t="s">
        <v>36</v>
      </c>
      <c r="AJ716" s="93" t="str">
        <f t="shared" si="35"/>
        <v>SÃO PAULO</v>
      </c>
      <c r="AK716" s="183" t="s">
        <v>54</v>
      </c>
    </row>
    <row r="717" spans="1:37" ht="30" customHeight="1">
      <c r="A717" s="197" t="s">
        <v>198</v>
      </c>
      <c r="B717" s="197">
        <v>2621856619</v>
      </c>
      <c r="C717" s="197" t="s">
        <v>118</v>
      </c>
      <c r="D717" s="197" t="s">
        <v>96</v>
      </c>
      <c r="E717" s="197" t="s">
        <v>35</v>
      </c>
      <c r="F717" s="197" t="s">
        <v>1442</v>
      </c>
      <c r="G717" s="197">
        <v>59</v>
      </c>
      <c r="H717" s="197"/>
      <c r="I717" s="197" t="s">
        <v>652</v>
      </c>
      <c r="J717" s="197" t="s">
        <v>267</v>
      </c>
      <c r="K717" s="197"/>
      <c r="L717" s="203">
        <v>46168.177083333336</v>
      </c>
      <c r="M717" s="203">
        <v>46168.25</v>
      </c>
      <c r="N717" s="197" t="s">
        <v>349</v>
      </c>
      <c r="O717" s="152" t="s">
        <v>207</v>
      </c>
      <c r="P717" s="90"/>
      <c r="Q717" s="140" t="s">
        <v>207</v>
      </c>
      <c r="R717" s="90"/>
      <c r="S717" s="140" t="s">
        <v>207</v>
      </c>
      <c r="T717" s="90"/>
      <c r="U717" s="140" t="s">
        <v>207</v>
      </c>
      <c r="V717" s="90"/>
      <c r="W717" s="140" t="s">
        <v>207</v>
      </c>
      <c r="X717" s="90"/>
      <c r="Y717" s="140" t="s">
        <v>77</v>
      </c>
      <c r="Z717" s="90"/>
      <c r="AA717" s="140" t="s">
        <v>207</v>
      </c>
      <c r="AB717" s="90"/>
      <c r="AC717" s="140" t="s">
        <v>207</v>
      </c>
      <c r="AD717" s="90"/>
      <c r="AE717" s="140" t="s">
        <v>207</v>
      </c>
      <c r="AF717" s="178" t="str">
        <f t="shared" si="33"/>
        <v>C</v>
      </c>
      <c r="AG717" s="52" t="str">
        <f t="shared" si="34"/>
        <v>UTILIZOU O PDA CORRETAMENTE</v>
      </c>
      <c r="AH717" s="140" t="s">
        <v>207</v>
      </c>
      <c r="AI717" s="182" t="s">
        <v>36</v>
      </c>
      <c r="AJ717" s="93" t="str">
        <f t="shared" si="35"/>
        <v>SÃO PAULO</v>
      </c>
      <c r="AK717" s="183" t="s">
        <v>54</v>
      </c>
    </row>
    <row r="718" spans="1:37" ht="30" customHeight="1">
      <c r="A718" s="197" t="s">
        <v>198</v>
      </c>
      <c r="B718" s="197">
        <v>2694162873</v>
      </c>
      <c r="C718" s="197" t="s">
        <v>118</v>
      </c>
      <c r="D718" s="197" t="s">
        <v>96</v>
      </c>
      <c r="E718" s="197" t="s">
        <v>35</v>
      </c>
      <c r="F718" s="197" t="s">
        <v>1443</v>
      </c>
      <c r="G718" s="197">
        <v>526</v>
      </c>
      <c r="H718" s="197" t="s">
        <v>325</v>
      </c>
      <c r="I718" s="197" t="s">
        <v>314</v>
      </c>
      <c r="J718" s="197" t="s">
        <v>260</v>
      </c>
      <c r="K718" s="197" t="s">
        <v>200</v>
      </c>
      <c r="L718" s="203">
        <v>46168.274305555555</v>
      </c>
      <c r="M718" s="203">
        <v>46168.365277777775</v>
      </c>
      <c r="N718" s="197" t="s">
        <v>262</v>
      </c>
      <c r="O718" s="152" t="s">
        <v>207</v>
      </c>
      <c r="P718" s="90"/>
      <c r="Q718" s="140" t="s">
        <v>207</v>
      </c>
      <c r="R718" s="90"/>
      <c r="S718" s="140" t="s">
        <v>207</v>
      </c>
      <c r="T718" s="90"/>
      <c r="U718" s="140" t="s">
        <v>207</v>
      </c>
      <c r="V718" s="90"/>
      <c r="W718" s="140" t="s">
        <v>207</v>
      </c>
      <c r="X718" s="90"/>
      <c r="Y718" s="140" t="s">
        <v>77</v>
      </c>
      <c r="Z718" s="90"/>
      <c r="AA718" s="140" t="s">
        <v>207</v>
      </c>
      <c r="AB718" s="90"/>
      <c r="AC718" s="140" t="s">
        <v>207</v>
      </c>
      <c r="AD718" s="90"/>
      <c r="AE718" s="140" t="s">
        <v>207</v>
      </c>
      <c r="AF718" s="178" t="str">
        <f t="shared" si="33"/>
        <v>C</v>
      </c>
      <c r="AG718" s="52" t="str">
        <f t="shared" si="34"/>
        <v>UTILIZOU O PDA CORRETAMENTE</v>
      </c>
      <c r="AH718" s="140" t="s">
        <v>207</v>
      </c>
      <c r="AI718" s="182" t="s">
        <v>36</v>
      </c>
      <c r="AJ718" s="93" t="str">
        <f t="shared" si="35"/>
        <v>SÃO PAULO</v>
      </c>
      <c r="AK718" s="183" t="s">
        <v>54</v>
      </c>
    </row>
    <row r="719" spans="1:37" ht="30" customHeight="1">
      <c r="A719" s="197" t="s">
        <v>198</v>
      </c>
      <c r="B719" s="197">
        <v>2621843892</v>
      </c>
      <c r="C719" s="197" t="s">
        <v>122</v>
      </c>
      <c r="D719" s="197" t="s">
        <v>96</v>
      </c>
      <c r="E719" s="197" t="s">
        <v>35</v>
      </c>
      <c r="F719" s="197" t="s">
        <v>660</v>
      </c>
      <c r="G719" s="197">
        <v>55</v>
      </c>
      <c r="H719" s="197"/>
      <c r="I719" s="197" t="s">
        <v>661</v>
      </c>
      <c r="J719" s="197" t="s">
        <v>267</v>
      </c>
      <c r="K719" s="197" t="s">
        <v>1444</v>
      </c>
      <c r="L719" s="203">
        <v>46168.135416666664</v>
      </c>
      <c r="M719" s="203">
        <v>46168.158333333333</v>
      </c>
      <c r="N719" s="197" t="s">
        <v>331</v>
      </c>
      <c r="O719" s="152" t="s">
        <v>207</v>
      </c>
      <c r="P719" s="90"/>
      <c r="Q719" s="140" t="s">
        <v>207</v>
      </c>
      <c r="R719" s="90"/>
      <c r="S719" s="140" t="s">
        <v>207</v>
      </c>
      <c r="T719" s="90"/>
      <c r="U719" s="140" t="s">
        <v>207</v>
      </c>
      <c r="V719" s="90"/>
      <c r="W719" s="140" t="s">
        <v>207</v>
      </c>
      <c r="X719" s="90"/>
      <c r="Y719" s="140" t="s">
        <v>77</v>
      </c>
      <c r="Z719" s="90"/>
      <c r="AA719" s="140" t="s">
        <v>207</v>
      </c>
      <c r="AB719" s="90"/>
      <c r="AC719" s="140" t="s">
        <v>207</v>
      </c>
      <c r="AD719" s="90"/>
      <c r="AE719" s="140" t="s">
        <v>207</v>
      </c>
      <c r="AF719" s="178" t="str">
        <f t="shared" si="33"/>
        <v>C</v>
      </c>
      <c r="AG719" s="52" t="str">
        <f t="shared" si="34"/>
        <v>UTILIZOU O PDA CORRETAMENTE</v>
      </c>
      <c r="AH719" s="140" t="s">
        <v>207</v>
      </c>
      <c r="AI719" s="182" t="s">
        <v>36</v>
      </c>
      <c r="AJ719" s="93" t="str">
        <f t="shared" si="35"/>
        <v>SÃO PAULO</v>
      </c>
      <c r="AK719" s="183" t="s">
        <v>54</v>
      </c>
    </row>
    <row r="720" spans="1:37" ht="30" customHeight="1">
      <c r="A720" s="197" t="s">
        <v>198</v>
      </c>
      <c r="B720" s="197">
        <v>2694087962</v>
      </c>
      <c r="C720" s="197" t="s">
        <v>118</v>
      </c>
      <c r="D720" s="197" t="s">
        <v>96</v>
      </c>
      <c r="E720" s="197" t="s">
        <v>35</v>
      </c>
      <c r="F720" s="197" t="s">
        <v>1445</v>
      </c>
      <c r="G720" s="197">
        <v>80</v>
      </c>
      <c r="H720" s="197" t="s">
        <v>200</v>
      </c>
      <c r="I720" s="197" t="s">
        <v>1446</v>
      </c>
      <c r="J720" s="197" t="s">
        <v>260</v>
      </c>
      <c r="K720" s="197" t="s">
        <v>200</v>
      </c>
      <c r="L720" s="203">
        <v>46168.393055555556</v>
      </c>
      <c r="M720" s="203">
        <v>46168.538888888892</v>
      </c>
      <c r="N720" s="197" t="s">
        <v>295</v>
      </c>
      <c r="O720" s="152" t="s">
        <v>207</v>
      </c>
      <c r="P720" s="90"/>
      <c r="Q720" s="140" t="s">
        <v>207</v>
      </c>
      <c r="R720" s="90"/>
      <c r="S720" s="140" t="s">
        <v>207</v>
      </c>
      <c r="T720" s="90"/>
      <c r="U720" s="140" t="s">
        <v>207</v>
      </c>
      <c r="V720" s="90"/>
      <c r="W720" s="140" t="s">
        <v>207</v>
      </c>
      <c r="X720" s="90"/>
      <c r="Y720" s="140" t="s">
        <v>77</v>
      </c>
      <c r="Z720" s="90"/>
      <c r="AA720" s="140" t="s">
        <v>207</v>
      </c>
      <c r="AB720" s="90"/>
      <c r="AC720" s="140" t="s">
        <v>207</v>
      </c>
      <c r="AD720" s="90"/>
      <c r="AE720" s="140" t="s">
        <v>207</v>
      </c>
      <c r="AF720" s="178" t="str">
        <f t="shared" si="33"/>
        <v>C</v>
      </c>
      <c r="AG720" s="52" t="str">
        <f t="shared" si="34"/>
        <v>UTILIZOU O PDA CORRETAMENTE</v>
      </c>
      <c r="AH720" s="140" t="s">
        <v>207</v>
      </c>
      <c r="AI720" s="182" t="s">
        <v>36</v>
      </c>
      <c r="AJ720" s="93" t="str">
        <f t="shared" si="35"/>
        <v>SÃO PAULO</v>
      </c>
      <c r="AK720" s="183" t="s">
        <v>54</v>
      </c>
    </row>
    <row r="721" spans="1:37" ht="30" customHeight="1">
      <c r="A721" s="197" t="s">
        <v>198</v>
      </c>
      <c r="B721" s="197">
        <v>2621879502</v>
      </c>
      <c r="C721" s="197" t="s">
        <v>115</v>
      </c>
      <c r="D721" s="197" t="s">
        <v>96</v>
      </c>
      <c r="E721" s="197" t="s">
        <v>35</v>
      </c>
      <c r="F721" s="197" t="s">
        <v>1447</v>
      </c>
      <c r="G721" s="197">
        <v>332</v>
      </c>
      <c r="H721" s="197"/>
      <c r="I721" s="197" t="s">
        <v>225</v>
      </c>
      <c r="J721" s="197" t="s">
        <v>268</v>
      </c>
      <c r="K721" s="197" t="s">
        <v>770</v>
      </c>
      <c r="L721" s="203">
        <v>46168.503472222219</v>
      </c>
      <c r="M721" s="203">
        <v>46168.505555555559</v>
      </c>
      <c r="N721" s="197" t="s">
        <v>251</v>
      </c>
      <c r="O721" s="152" t="s">
        <v>207</v>
      </c>
      <c r="P721" s="90"/>
      <c r="Q721" s="140" t="s">
        <v>207</v>
      </c>
      <c r="R721" s="90"/>
      <c r="S721" s="140" t="s">
        <v>207</v>
      </c>
      <c r="T721" s="90"/>
      <c r="U721" s="140" t="s">
        <v>207</v>
      </c>
      <c r="V721" s="90"/>
      <c r="W721" s="140" t="s">
        <v>207</v>
      </c>
      <c r="X721" s="90"/>
      <c r="Y721" s="140" t="s">
        <v>207</v>
      </c>
      <c r="Z721" s="90"/>
      <c r="AA721" s="140" t="s">
        <v>207</v>
      </c>
      <c r="AB721" s="90"/>
      <c r="AC721" s="140" t="s">
        <v>207</v>
      </c>
      <c r="AD721" s="90"/>
      <c r="AE721" s="140" t="s">
        <v>207</v>
      </c>
      <c r="AF721" s="178" t="str">
        <f t="shared" si="33"/>
        <v>C</v>
      </c>
      <c r="AG721" s="52" t="str">
        <f t="shared" si="34"/>
        <v>UTILIZOU O PDA CORRETAMENTE</v>
      </c>
      <c r="AH721" s="140" t="s">
        <v>207</v>
      </c>
      <c r="AI721" s="182" t="s">
        <v>36</v>
      </c>
      <c r="AJ721" s="93" t="str">
        <f t="shared" si="35"/>
        <v>SÃO PAULO</v>
      </c>
      <c r="AK721" s="183" t="s">
        <v>54</v>
      </c>
    </row>
    <row r="722" spans="1:37" ht="30" customHeight="1">
      <c r="A722" s="197" t="s">
        <v>198</v>
      </c>
      <c r="B722" s="197">
        <v>2621887388</v>
      </c>
      <c r="C722" s="197" t="s">
        <v>109</v>
      </c>
      <c r="D722" s="197" t="s">
        <v>92</v>
      </c>
      <c r="E722" s="197" t="s">
        <v>35</v>
      </c>
      <c r="F722" s="197" t="s">
        <v>1448</v>
      </c>
      <c r="G722" s="197">
        <v>106</v>
      </c>
      <c r="H722" s="197" t="s">
        <v>208</v>
      </c>
      <c r="I722" s="197" t="s">
        <v>479</v>
      </c>
      <c r="J722" s="197" t="s">
        <v>109</v>
      </c>
      <c r="K722" s="197" t="s">
        <v>200</v>
      </c>
      <c r="L722" s="203">
        <v>46168.395833333336</v>
      </c>
      <c r="M722" s="203">
        <v>46168.429861111108</v>
      </c>
      <c r="N722" s="197" t="s">
        <v>206</v>
      </c>
      <c r="O722" s="152" t="s">
        <v>207</v>
      </c>
      <c r="P722" s="90"/>
      <c r="Q722" s="140" t="s">
        <v>77</v>
      </c>
      <c r="R722" s="90"/>
      <c r="S722" s="140" t="s">
        <v>77</v>
      </c>
      <c r="T722" s="90"/>
      <c r="U722" s="140" t="s">
        <v>77</v>
      </c>
      <c r="V722" s="90"/>
      <c r="W722" s="140" t="s">
        <v>77</v>
      </c>
      <c r="X722" s="90"/>
      <c r="Y722" s="140" t="s">
        <v>77</v>
      </c>
      <c r="Z722" s="90"/>
      <c r="AA722" s="140" t="s">
        <v>77</v>
      </c>
      <c r="AB722" s="90"/>
      <c r="AC722" s="140" t="s">
        <v>207</v>
      </c>
      <c r="AD722" s="90"/>
      <c r="AE722" s="140" t="s">
        <v>207</v>
      </c>
      <c r="AF722" s="178" t="str">
        <f t="shared" si="33"/>
        <v>C</v>
      </c>
      <c r="AG722" s="52" t="str">
        <f t="shared" si="34"/>
        <v>UTILIZOU O PDA CORRETAMENTE</v>
      </c>
      <c r="AH722" s="140" t="s">
        <v>207</v>
      </c>
      <c r="AI722" s="182" t="s">
        <v>36</v>
      </c>
      <c r="AJ722" s="93" t="str">
        <f t="shared" si="35"/>
        <v>SÃO PAULO</v>
      </c>
      <c r="AK722" s="183" t="s">
        <v>54</v>
      </c>
    </row>
    <row r="723" spans="1:37" ht="30" customHeight="1">
      <c r="A723" s="197" t="s">
        <v>198</v>
      </c>
      <c r="B723" s="197">
        <v>2621887394</v>
      </c>
      <c r="C723" s="197" t="s">
        <v>111</v>
      </c>
      <c r="D723" s="197" t="s">
        <v>92</v>
      </c>
      <c r="E723" s="197" t="s">
        <v>35</v>
      </c>
      <c r="F723" s="197" t="s">
        <v>1448</v>
      </c>
      <c r="G723" s="197">
        <v>106</v>
      </c>
      <c r="H723" s="197" t="s">
        <v>205</v>
      </c>
      <c r="I723" s="197" t="s">
        <v>479</v>
      </c>
      <c r="J723" s="197" t="s">
        <v>111</v>
      </c>
      <c r="K723" s="197"/>
      <c r="L723" s="203">
        <v>46168.430555555555</v>
      </c>
      <c r="M723" s="203">
        <v>46168.4375</v>
      </c>
      <c r="N723" s="197" t="s">
        <v>206</v>
      </c>
      <c r="O723" s="152" t="s">
        <v>207</v>
      </c>
      <c r="P723" s="90"/>
      <c r="Q723" s="140" t="s">
        <v>77</v>
      </c>
      <c r="R723" s="90"/>
      <c r="S723" s="140" t="s">
        <v>77</v>
      </c>
      <c r="T723" s="90"/>
      <c r="U723" s="140" t="s">
        <v>77</v>
      </c>
      <c r="V723" s="90"/>
      <c r="W723" s="140" t="s">
        <v>77</v>
      </c>
      <c r="X723" s="90"/>
      <c r="Y723" s="140" t="s">
        <v>77</v>
      </c>
      <c r="Z723" s="90"/>
      <c r="AA723" s="140" t="s">
        <v>77</v>
      </c>
      <c r="AB723" s="90"/>
      <c r="AC723" s="140" t="s">
        <v>207</v>
      </c>
      <c r="AD723" s="90"/>
      <c r="AE723" s="140" t="s">
        <v>207</v>
      </c>
      <c r="AF723" s="178" t="str">
        <f t="shared" si="33"/>
        <v>C</v>
      </c>
      <c r="AG723" s="52" t="str">
        <f t="shared" si="34"/>
        <v>UTILIZOU O PDA CORRETAMENTE</v>
      </c>
      <c r="AH723" s="140" t="s">
        <v>207</v>
      </c>
      <c r="AI723" s="182" t="s">
        <v>36</v>
      </c>
      <c r="AJ723" s="93" t="str">
        <f t="shared" si="35"/>
        <v>SÃO PAULO</v>
      </c>
      <c r="AK723" s="183" t="s">
        <v>54</v>
      </c>
    </row>
    <row r="724" spans="1:37" ht="30" customHeight="1">
      <c r="A724" s="197" t="s">
        <v>198</v>
      </c>
      <c r="B724" s="197">
        <v>2621499404</v>
      </c>
      <c r="C724" s="197" t="s">
        <v>99</v>
      </c>
      <c r="D724" s="197" t="s">
        <v>92</v>
      </c>
      <c r="E724" s="197" t="s">
        <v>35</v>
      </c>
      <c r="F724" s="197" t="s">
        <v>1449</v>
      </c>
      <c r="G724" s="197">
        <v>555</v>
      </c>
      <c r="H724" s="197" t="s">
        <v>255</v>
      </c>
      <c r="I724" s="197" t="s">
        <v>277</v>
      </c>
      <c r="J724" s="197" t="s">
        <v>374</v>
      </c>
      <c r="K724" s="197" t="s">
        <v>200</v>
      </c>
      <c r="L724" s="203">
        <v>46168.263888888891</v>
      </c>
      <c r="M724" s="203">
        <v>46168.263888888891</v>
      </c>
      <c r="N724" s="197" t="s">
        <v>213</v>
      </c>
      <c r="O724" s="152" t="s">
        <v>207</v>
      </c>
      <c r="P724" s="90"/>
      <c r="Q724" s="140" t="s">
        <v>77</v>
      </c>
      <c r="R724" s="90"/>
      <c r="S724" s="140" t="s">
        <v>77</v>
      </c>
      <c r="T724" s="90"/>
      <c r="U724" s="140" t="s">
        <v>77</v>
      </c>
      <c r="V724" s="90"/>
      <c r="W724" s="140" t="s">
        <v>77</v>
      </c>
      <c r="X724" s="90"/>
      <c r="Y724" s="140" t="s">
        <v>77</v>
      </c>
      <c r="Z724" s="90"/>
      <c r="AA724" s="140" t="s">
        <v>77</v>
      </c>
      <c r="AB724" s="90"/>
      <c r="AC724" s="140" t="s">
        <v>207</v>
      </c>
      <c r="AD724" s="90"/>
      <c r="AE724" s="140" t="s">
        <v>207</v>
      </c>
      <c r="AF724" s="178" t="str">
        <f t="shared" si="33"/>
        <v>C</v>
      </c>
      <c r="AG724" s="52" t="str">
        <f t="shared" si="34"/>
        <v>UTILIZOU O PDA CORRETAMENTE</v>
      </c>
      <c r="AH724" s="140" t="s">
        <v>207</v>
      </c>
      <c r="AI724" s="182" t="s">
        <v>36</v>
      </c>
      <c r="AJ724" s="93" t="str">
        <f t="shared" si="35"/>
        <v>SÃO PAULO</v>
      </c>
      <c r="AK724" s="183" t="s">
        <v>54</v>
      </c>
    </row>
    <row r="725" spans="1:37" ht="30" customHeight="1">
      <c r="A725" s="197" t="s">
        <v>198</v>
      </c>
      <c r="B725" s="197">
        <v>2621676082</v>
      </c>
      <c r="C725" s="197" t="s">
        <v>238</v>
      </c>
      <c r="D725" s="197" t="s">
        <v>92</v>
      </c>
      <c r="E725" s="197" t="s">
        <v>35</v>
      </c>
      <c r="F725" s="197" t="s">
        <v>1419</v>
      </c>
      <c r="G725" s="197">
        <v>74</v>
      </c>
      <c r="H725" s="197" t="s">
        <v>491</v>
      </c>
      <c r="I725" s="197" t="s">
        <v>573</v>
      </c>
      <c r="J725" s="197" t="s">
        <v>242</v>
      </c>
      <c r="K725" s="197"/>
      <c r="L725" s="203">
        <v>46168.62777777778</v>
      </c>
      <c r="M725" s="203">
        <v>46168.631249999999</v>
      </c>
      <c r="N725" s="197" t="s">
        <v>364</v>
      </c>
      <c r="O725" s="287" t="s">
        <v>207</v>
      </c>
      <c r="P725" s="90"/>
      <c r="Q725" s="140" t="s">
        <v>77</v>
      </c>
      <c r="R725" s="90"/>
      <c r="S725" s="140" t="s">
        <v>77</v>
      </c>
      <c r="T725" s="90"/>
      <c r="U725" s="140" t="s">
        <v>77</v>
      </c>
      <c r="V725" s="90"/>
      <c r="W725" s="140" t="s">
        <v>77</v>
      </c>
      <c r="X725" s="90"/>
      <c r="Y725" s="140" t="s">
        <v>77</v>
      </c>
      <c r="Z725" s="90"/>
      <c r="AA725" s="140" t="s">
        <v>77</v>
      </c>
      <c r="AB725" s="90"/>
      <c r="AC725" s="140" t="s">
        <v>207</v>
      </c>
      <c r="AD725" s="90"/>
      <c r="AE725" s="140" t="s">
        <v>207</v>
      </c>
      <c r="AF725" s="178" t="str">
        <f t="shared" si="33"/>
        <v>C</v>
      </c>
      <c r="AG725" s="52" t="str">
        <f t="shared" si="34"/>
        <v>UTILIZOU O PDA CORRETAMENTE</v>
      </c>
      <c r="AH725" s="140"/>
      <c r="AI725" s="182" t="s">
        <v>36</v>
      </c>
      <c r="AJ725" s="93" t="str">
        <f t="shared" si="35"/>
        <v>SÃO PAULO</v>
      </c>
      <c r="AK725" s="183" t="s">
        <v>54</v>
      </c>
    </row>
    <row r="726" spans="1:37" ht="30" customHeight="1">
      <c r="A726" s="197" t="s">
        <v>198</v>
      </c>
      <c r="B726" s="197">
        <v>2621676106</v>
      </c>
      <c r="C726" s="197" t="s">
        <v>238</v>
      </c>
      <c r="D726" s="197" t="s">
        <v>92</v>
      </c>
      <c r="E726" s="197" t="s">
        <v>35</v>
      </c>
      <c r="F726" s="197" t="s">
        <v>1419</v>
      </c>
      <c r="G726" s="197">
        <v>74</v>
      </c>
      <c r="H726" s="197" t="s">
        <v>1441</v>
      </c>
      <c r="I726" s="197" t="s">
        <v>573</v>
      </c>
      <c r="J726" s="197" t="s">
        <v>242</v>
      </c>
      <c r="K726" s="197" t="s">
        <v>200</v>
      </c>
      <c r="L726" s="203">
        <v>46168.634027777778</v>
      </c>
      <c r="M726" s="203">
        <v>46168.635416666664</v>
      </c>
      <c r="N726" s="197" t="s">
        <v>364</v>
      </c>
      <c r="O726" s="287" t="s">
        <v>207</v>
      </c>
      <c r="P726" s="90"/>
      <c r="Q726" s="140" t="s">
        <v>77</v>
      </c>
      <c r="R726" s="90"/>
      <c r="S726" s="140" t="s">
        <v>77</v>
      </c>
      <c r="T726" s="90"/>
      <c r="U726" s="140" t="s">
        <v>77</v>
      </c>
      <c r="V726" s="90"/>
      <c r="W726" s="140" t="s">
        <v>77</v>
      </c>
      <c r="X726" s="90"/>
      <c r="Y726" s="140" t="s">
        <v>77</v>
      </c>
      <c r="Z726" s="90"/>
      <c r="AA726" s="140" t="s">
        <v>77</v>
      </c>
      <c r="AB726" s="90"/>
      <c r="AC726" s="140" t="s">
        <v>207</v>
      </c>
      <c r="AD726" s="90"/>
      <c r="AE726" s="140" t="s">
        <v>207</v>
      </c>
      <c r="AF726" s="178" t="str">
        <f t="shared" si="33"/>
        <v>C</v>
      </c>
      <c r="AG726" s="52" t="str">
        <f t="shared" si="34"/>
        <v>UTILIZOU O PDA CORRETAMENTE</v>
      </c>
      <c r="AH726" s="140"/>
      <c r="AI726" s="182" t="s">
        <v>36</v>
      </c>
      <c r="AJ726" s="93" t="str">
        <f t="shared" si="35"/>
        <v>SÃO PAULO</v>
      </c>
      <c r="AK726" s="183" t="s">
        <v>54</v>
      </c>
    </row>
    <row r="727" spans="1:37" ht="30" customHeight="1">
      <c r="A727" s="197" t="s">
        <v>198</v>
      </c>
      <c r="B727" s="197">
        <v>2621676107</v>
      </c>
      <c r="C727" s="197" t="s">
        <v>238</v>
      </c>
      <c r="D727" s="197" t="s">
        <v>92</v>
      </c>
      <c r="E727" s="197" t="s">
        <v>35</v>
      </c>
      <c r="F727" s="197" t="s">
        <v>1419</v>
      </c>
      <c r="G727" s="197">
        <v>74</v>
      </c>
      <c r="H727" s="197" t="s">
        <v>1450</v>
      </c>
      <c r="I727" s="197" t="s">
        <v>573</v>
      </c>
      <c r="J727" s="197" t="s">
        <v>242</v>
      </c>
      <c r="K727" s="197"/>
      <c r="L727" s="203">
        <v>46168.636805555558</v>
      </c>
      <c r="M727" s="203">
        <v>46168.638194444444</v>
      </c>
      <c r="N727" s="197" t="s">
        <v>364</v>
      </c>
      <c r="O727" s="287" t="s">
        <v>207</v>
      </c>
      <c r="P727" s="90"/>
      <c r="Q727" s="140" t="s">
        <v>77</v>
      </c>
      <c r="R727" s="90"/>
      <c r="S727" s="140" t="s">
        <v>77</v>
      </c>
      <c r="T727" s="90"/>
      <c r="U727" s="140" t="s">
        <v>77</v>
      </c>
      <c r="V727" s="90"/>
      <c r="W727" s="140" t="s">
        <v>77</v>
      </c>
      <c r="X727" s="90"/>
      <c r="Y727" s="140" t="s">
        <v>77</v>
      </c>
      <c r="Z727" s="90"/>
      <c r="AA727" s="140" t="s">
        <v>77</v>
      </c>
      <c r="AB727" s="90"/>
      <c r="AC727" s="140" t="s">
        <v>207</v>
      </c>
      <c r="AD727" s="90"/>
      <c r="AE727" s="140" t="s">
        <v>207</v>
      </c>
      <c r="AF727" s="178" t="str">
        <f t="shared" si="33"/>
        <v>C</v>
      </c>
      <c r="AG727" s="52" t="str">
        <f t="shared" si="34"/>
        <v>UTILIZOU O PDA CORRETAMENTE</v>
      </c>
      <c r="AH727" s="140"/>
      <c r="AI727" s="182" t="s">
        <v>36</v>
      </c>
      <c r="AJ727" s="93" t="str">
        <f t="shared" si="35"/>
        <v>SÃO PAULO</v>
      </c>
      <c r="AK727" s="183" t="s">
        <v>54</v>
      </c>
    </row>
    <row r="728" spans="1:37" ht="30" customHeight="1">
      <c r="A728" s="197" t="s">
        <v>198</v>
      </c>
      <c r="B728" s="197">
        <v>2621676103</v>
      </c>
      <c r="C728" s="197" t="s">
        <v>238</v>
      </c>
      <c r="D728" s="197" t="s">
        <v>92</v>
      </c>
      <c r="E728" s="197" t="s">
        <v>35</v>
      </c>
      <c r="F728" s="197" t="s">
        <v>1419</v>
      </c>
      <c r="G728" s="197">
        <v>74</v>
      </c>
      <c r="H728" s="197" t="s">
        <v>487</v>
      </c>
      <c r="I728" s="197" t="s">
        <v>573</v>
      </c>
      <c r="J728" s="197" t="s">
        <v>242</v>
      </c>
      <c r="K728" s="197" t="s">
        <v>200</v>
      </c>
      <c r="L728" s="203">
        <v>46168.631944444445</v>
      </c>
      <c r="M728" s="203">
        <v>46168.633333333331</v>
      </c>
      <c r="N728" s="197" t="s">
        <v>364</v>
      </c>
      <c r="O728" s="287" t="s">
        <v>207</v>
      </c>
      <c r="P728" s="90"/>
      <c r="Q728" s="140" t="s">
        <v>77</v>
      </c>
      <c r="R728" s="90"/>
      <c r="S728" s="140" t="s">
        <v>77</v>
      </c>
      <c r="T728" s="90"/>
      <c r="U728" s="140" t="s">
        <v>77</v>
      </c>
      <c r="V728" s="90"/>
      <c r="W728" s="140" t="s">
        <v>77</v>
      </c>
      <c r="X728" s="90"/>
      <c r="Y728" s="140" t="s">
        <v>77</v>
      </c>
      <c r="Z728" s="90"/>
      <c r="AA728" s="140" t="s">
        <v>77</v>
      </c>
      <c r="AB728" s="90"/>
      <c r="AC728" s="140" t="s">
        <v>207</v>
      </c>
      <c r="AD728" s="90"/>
      <c r="AE728" s="140" t="s">
        <v>207</v>
      </c>
      <c r="AF728" s="178" t="str">
        <f t="shared" si="33"/>
        <v>C</v>
      </c>
      <c r="AG728" s="52" t="str">
        <f t="shared" si="34"/>
        <v>UTILIZOU O PDA CORRETAMENTE</v>
      </c>
      <c r="AH728" s="140"/>
      <c r="AI728" s="182" t="s">
        <v>36</v>
      </c>
      <c r="AJ728" s="93" t="str">
        <f t="shared" si="35"/>
        <v>SÃO PAULO</v>
      </c>
      <c r="AK728" s="183" t="s">
        <v>54</v>
      </c>
    </row>
    <row r="729" spans="1:37" ht="30" customHeight="1">
      <c r="A729" s="197" t="s">
        <v>198</v>
      </c>
      <c r="B729" s="197">
        <v>2621676110</v>
      </c>
      <c r="C729" s="197" t="s">
        <v>238</v>
      </c>
      <c r="D729" s="197" t="s">
        <v>92</v>
      </c>
      <c r="E729" s="197" t="s">
        <v>35</v>
      </c>
      <c r="F729" s="197" t="s">
        <v>1419</v>
      </c>
      <c r="G729" s="197">
        <v>74</v>
      </c>
      <c r="H729" s="197" t="s">
        <v>1451</v>
      </c>
      <c r="I729" s="197" t="s">
        <v>573</v>
      </c>
      <c r="J729" s="197" t="s">
        <v>242</v>
      </c>
      <c r="K729" s="197"/>
      <c r="L729" s="203">
        <v>46168.63958333333</v>
      </c>
      <c r="M729" s="203">
        <v>46168.647916666669</v>
      </c>
      <c r="N729" s="197" t="s">
        <v>364</v>
      </c>
      <c r="O729" s="287" t="s">
        <v>207</v>
      </c>
      <c r="P729" s="90"/>
      <c r="Q729" s="140" t="s">
        <v>77</v>
      </c>
      <c r="R729" s="90"/>
      <c r="S729" s="140" t="s">
        <v>77</v>
      </c>
      <c r="T729" s="90"/>
      <c r="U729" s="140" t="s">
        <v>77</v>
      </c>
      <c r="V729" s="90"/>
      <c r="W729" s="140" t="s">
        <v>77</v>
      </c>
      <c r="X729" s="90"/>
      <c r="Y729" s="140" t="s">
        <v>77</v>
      </c>
      <c r="Z729" s="90"/>
      <c r="AA729" s="140" t="s">
        <v>77</v>
      </c>
      <c r="AB729" s="90"/>
      <c r="AC729" s="140" t="s">
        <v>207</v>
      </c>
      <c r="AD729" s="90"/>
      <c r="AE729" s="140" t="s">
        <v>207</v>
      </c>
      <c r="AF729" s="178" t="str">
        <f t="shared" si="33"/>
        <v>C</v>
      </c>
      <c r="AG729" s="52" t="str">
        <f t="shared" si="34"/>
        <v>UTILIZOU O PDA CORRETAMENTE</v>
      </c>
      <c r="AH729" s="140"/>
      <c r="AI729" s="182" t="s">
        <v>36</v>
      </c>
      <c r="AJ729" s="93" t="str">
        <f t="shared" si="35"/>
        <v>SÃO PAULO</v>
      </c>
      <c r="AK729" s="183" t="s">
        <v>54</v>
      </c>
    </row>
    <row r="730" spans="1:37" ht="30" customHeight="1">
      <c r="A730" s="197" t="s">
        <v>198</v>
      </c>
      <c r="B730" s="197">
        <v>2621676174</v>
      </c>
      <c r="C730" s="197" t="s">
        <v>101</v>
      </c>
      <c r="D730" s="197" t="s">
        <v>92</v>
      </c>
      <c r="E730" s="197" t="s">
        <v>35</v>
      </c>
      <c r="F730" s="197" t="s">
        <v>1419</v>
      </c>
      <c r="G730" s="197">
        <v>74</v>
      </c>
      <c r="H730" s="197" t="s">
        <v>207</v>
      </c>
      <c r="I730" s="197" t="s">
        <v>573</v>
      </c>
      <c r="J730" s="197" t="s">
        <v>101</v>
      </c>
      <c r="K730" s="197" t="s">
        <v>1452</v>
      </c>
      <c r="L730" s="203">
        <v>46168.615277777775</v>
      </c>
      <c r="M730" s="203">
        <v>46168.620833333334</v>
      </c>
      <c r="N730" s="197" t="s">
        <v>364</v>
      </c>
      <c r="O730" s="287" t="s">
        <v>207</v>
      </c>
      <c r="P730" s="90"/>
      <c r="Q730" s="140" t="s">
        <v>77</v>
      </c>
      <c r="R730" s="90"/>
      <c r="S730" s="140" t="s">
        <v>77</v>
      </c>
      <c r="T730" s="90"/>
      <c r="U730" s="140" t="s">
        <v>77</v>
      </c>
      <c r="V730" s="90"/>
      <c r="W730" s="140" t="s">
        <v>77</v>
      </c>
      <c r="X730" s="90"/>
      <c r="Y730" s="140" t="s">
        <v>77</v>
      </c>
      <c r="Z730" s="90"/>
      <c r="AA730" s="140" t="s">
        <v>77</v>
      </c>
      <c r="AB730" s="90"/>
      <c r="AC730" s="140" t="s">
        <v>207</v>
      </c>
      <c r="AD730" s="90"/>
      <c r="AE730" s="140" t="s">
        <v>207</v>
      </c>
      <c r="AF730" s="178" t="str">
        <f t="shared" si="33"/>
        <v>C</v>
      </c>
      <c r="AG730" s="52" t="str">
        <f t="shared" si="34"/>
        <v>UTILIZOU O PDA CORRETAMENTE</v>
      </c>
      <c r="AH730" s="140"/>
      <c r="AI730" s="182" t="s">
        <v>36</v>
      </c>
      <c r="AJ730" s="93" t="str">
        <f t="shared" si="35"/>
        <v>SÃO PAULO</v>
      </c>
      <c r="AK730" s="183" t="s">
        <v>54</v>
      </c>
    </row>
    <row r="731" spans="1:37" ht="30" customHeight="1">
      <c r="A731" s="197" t="s">
        <v>198</v>
      </c>
      <c r="B731" s="197">
        <v>2621676699</v>
      </c>
      <c r="C731" s="197" t="s">
        <v>101</v>
      </c>
      <c r="D731" s="197" t="s">
        <v>92</v>
      </c>
      <c r="E731" s="197" t="s">
        <v>35</v>
      </c>
      <c r="F731" s="197" t="s">
        <v>1419</v>
      </c>
      <c r="G731" s="197">
        <v>74</v>
      </c>
      <c r="H731" s="197" t="s">
        <v>664</v>
      </c>
      <c r="I731" s="197" t="s">
        <v>573</v>
      </c>
      <c r="J731" s="197" t="s">
        <v>101</v>
      </c>
      <c r="K731" s="197"/>
      <c r="L731" s="203">
        <v>46168.62222222222</v>
      </c>
      <c r="M731" s="203">
        <v>46168.627083333333</v>
      </c>
      <c r="N731" s="197" t="s">
        <v>364</v>
      </c>
      <c r="O731" s="287" t="s">
        <v>207</v>
      </c>
      <c r="P731" s="90"/>
      <c r="Q731" s="140" t="s">
        <v>77</v>
      </c>
      <c r="R731" s="90"/>
      <c r="S731" s="140" t="s">
        <v>77</v>
      </c>
      <c r="T731" s="90"/>
      <c r="U731" s="140" t="s">
        <v>77</v>
      </c>
      <c r="V731" s="90"/>
      <c r="W731" s="140" t="s">
        <v>77</v>
      </c>
      <c r="X731" s="90"/>
      <c r="Y731" s="140" t="s">
        <v>77</v>
      </c>
      <c r="Z731" s="90"/>
      <c r="AA731" s="140" t="s">
        <v>77</v>
      </c>
      <c r="AB731" s="90"/>
      <c r="AC731" s="140" t="s">
        <v>207</v>
      </c>
      <c r="AD731" s="90"/>
      <c r="AE731" s="140" t="s">
        <v>207</v>
      </c>
      <c r="AF731" s="178" t="str">
        <f t="shared" si="33"/>
        <v>C</v>
      </c>
      <c r="AG731" s="52" t="str">
        <f t="shared" si="34"/>
        <v>UTILIZOU O PDA CORRETAMENTE</v>
      </c>
      <c r="AH731" s="140"/>
      <c r="AI731" s="182" t="s">
        <v>36</v>
      </c>
      <c r="AJ731" s="93" t="str">
        <f t="shared" si="35"/>
        <v>SÃO PAULO</v>
      </c>
      <c r="AK731" s="183" t="s">
        <v>54</v>
      </c>
    </row>
    <row r="732" spans="1:37" ht="30" customHeight="1">
      <c r="A732" s="197" t="s">
        <v>198</v>
      </c>
      <c r="B732" s="197">
        <v>2621911294</v>
      </c>
      <c r="C732" s="197" t="s">
        <v>116</v>
      </c>
      <c r="D732" s="197" t="s">
        <v>94</v>
      </c>
      <c r="E732" s="197" t="s">
        <v>35</v>
      </c>
      <c r="F732" s="197" t="s">
        <v>1453</v>
      </c>
      <c r="G732" s="197">
        <v>116</v>
      </c>
      <c r="H732" s="197" t="s">
        <v>208</v>
      </c>
      <c r="I732" s="197" t="s">
        <v>479</v>
      </c>
      <c r="J732" s="197" t="s">
        <v>221</v>
      </c>
      <c r="K732" s="197" t="s">
        <v>200</v>
      </c>
      <c r="L732" s="203">
        <v>46168.31527777778</v>
      </c>
      <c r="M732" s="203">
        <v>46168.327777777777</v>
      </c>
      <c r="N732" s="197" t="s">
        <v>327</v>
      </c>
      <c r="O732" s="152" t="s">
        <v>207</v>
      </c>
      <c r="P732" s="90"/>
      <c r="Q732" s="140" t="s">
        <v>207</v>
      </c>
      <c r="R732" s="90"/>
      <c r="S732" s="140" t="s">
        <v>207</v>
      </c>
      <c r="T732" s="90"/>
      <c r="U732" s="140" t="s">
        <v>207</v>
      </c>
      <c r="V732" s="90"/>
      <c r="W732" s="140" t="s">
        <v>207</v>
      </c>
      <c r="X732" s="90"/>
      <c r="Y732" s="140" t="s">
        <v>207</v>
      </c>
      <c r="Z732" s="90"/>
      <c r="AA732" s="140" t="s">
        <v>207</v>
      </c>
      <c r="AB732" s="90"/>
      <c r="AC732" s="140" t="s">
        <v>207</v>
      </c>
      <c r="AD732" s="90"/>
      <c r="AE732" s="140" t="s">
        <v>207</v>
      </c>
      <c r="AF732" s="178" t="str">
        <f t="shared" si="33"/>
        <v>C</v>
      </c>
      <c r="AG732" s="52" t="str">
        <f t="shared" si="34"/>
        <v>UTILIZOU O PDA CORRETAMENTE</v>
      </c>
      <c r="AH732" s="140" t="s">
        <v>207</v>
      </c>
      <c r="AI732" s="182" t="s">
        <v>36</v>
      </c>
      <c r="AJ732" s="93" t="str">
        <f t="shared" si="35"/>
        <v>SÃO PAULO</v>
      </c>
      <c r="AK732" s="183" t="s">
        <v>54</v>
      </c>
    </row>
    <row r="733" spans="1:37" ht="30" customHeight="1">
      <c r="A733" s="197" t="s">
        <v>198</v>
      </c>
      <c r="B733" s="197">
        <v>2694144755</v>
      </c>
      <c r="C733" s="197" t="s">
        <v>118</v>
      </c>
      <c r="D733" s="197" t="s">
        <v>96</v>
      </c>
      <c r="E733" s="197" t="s">
        <v>35</v>
      </c>
      <c r="F733" s="197" t="s">
        <v>1454</v>
      </c>
      <c r="G733" s="197">
        <v>8</v>
      </c>
      <c r="H733" s="197" t="s">
        <v>347</v>
      </c>
      <c r="I733" s="197" t="s">
        <v>287</v>
      </c>
      <c r="J733" s="197" t="s">
        <v>267</v>
      </c>
      <c r="K733" s="197"/>
      <c r="L733" s="203">
        <v>46168.459722222222</v>
      </c>
      <c r="M733" s="203">
        <v>46168.461805555555</v>
      </c>
      <c r="N733" s="197" t="s">
        <v>288</v>
      </c>
      <c r="O733" s="152" t="s">
        <v>207</v>
      </c>
      <c r="P733" s="90"/>
      <c r="Q733" s="140" t="s">
        <v>207</v>
      </c>
      <c r="R733" s="90"/>
      <c r="S733" s="140" t="s">
        <v>207</v>
      </c>
      <c r="T733" s="90"/>
      <c r="U733" s="140" t="s">
        <v>207</v>
      </c>
      <c r="V733" s="90"/>
      <c r="W733" s="140" t="s">
        <v>207</v>
      </c>
      <c r="X733" s="90"/>
      <c r="Y733" s="140" t="s">
        <v>77</v>
      </c>
      <c r="Z733" s="90"/>
      <c r="AA733" s="140" t="s">
        <v>207</v>
      </c>
      <c r="AB733" s="90"/>
      <c r="AC733" s="140" t="s">
        <v>207</v>
      </c>
      <c r="AD733" s="90"/>
      <c r="AE733" s="140" t="s">
        <v>207</v>
      </c>
      <c r="AF733" s="178" t="str">
        <f t="shared" si="33"/>
        <v>C</v>
      </c>
      <c r="AG733" s="52" t="str">
        <f t="shared" si="34"/>
        <v>UTILIZOU O PDA CORRETAMENTE</v>
      </c>
      <c r="AH733" s="140" t="s">
        <v>207</v>
      </c>
      <c r="AI733" s="182" t="s">
        <v>36</v>
      </c>
      <c r="AJ733" s="93" t="str">
        <f t="shared" si="35"/>
        <v>SÃO PAULO</v>
      </c>
      <c r="AK733" s="183" t="s">
        <v>54</v>
      </c>
    </row>
    <row r="734" spans="1:37" ht="30" customHeight="1">
      <c r="A734" s="197" t="s">
        <v>198</v>
      </c>
      <c r="B734" s="197">
        <v>2694169569</v>
      </c>
      <c r="C734" s="197" t="s">
        <v>117</v>
      </c>
      <c r="D734" s="197" t="s">
        <v>96</v>
      </c>
      <c r="E734" s="197" t="s">
        <v>35</v>
      </c>
      <c r="F734" s="197" t="s">
        <v>286</v>
      </c>
      <c r="G734" s="197">
        <v>4032</v>
      </c>
      <c r="H734" s="197" t="s">
        <v>205</v>
      </c>
      <c r="I734" s="197" t="s">
        <v>402</v>
      </c>
      <c r="J734" s="197" t="s">
        <v>301</v>
      </c>
      <c r="K734" s="197" t="s">
        <v>200</v>
      </c>
      <c r="L734" s="203">
        <v>46168.709722222222</v>
      </c>
      <c r="M734" s="203">
        <v>46168.711805555555</v>
      </c>
      <c r="N734" s="197" t="s">
        <v>345</v>
      </c>
      <c r="O734" s="152" t="s">
        <v>207</v>
      </c>
      <c r="P734" s="90"/>
      <c r="Q734" s="140" t="s">
        <v>207</v>
      </c>
      <c r="R734" s="90"/>
      <c r="S734" s="140" t="s">
        <v>207</v>
      </c>
      <c r="T734" s="90"/>
      <c r="U734" s="140" t="s">
        <v>207</v>
      </c>
      <c r="V734" s="90"/>
      <c r="W734" s="140" t="s">
        <v>207</v>
      </c>
      <c r="X734" s="90"/>
      <c r="Y734" s="140" t="s">
        <v>77</v>
      </c>
      <c r="Z734" s="90"/>
      <c r="AA734" s="140" t="s">
        <v>207</v>
      </c>
      <c r="AB734" s="90"/>
      <c r="AC734" s="140" t="s">
        <v>207</v>
      </c>
      <c r="AD734" s="90"/>
      <c r="AE734" s="140" t="s">
        <v>207</v>
      </c>
      <c r="AF734" s="178" t="str">
        <f t="shared" si="33"/>
        <v>C</v>
      </c>
      <c r="AG734" s="52" t="str">
        <f t="shared" si="34"/>
        <v>UTILIZOU O PDA CORRETAMENTE</v>
      </c>
      <c r="AH734" s="140" t="s">
        <v>207</v>
      </c>
      <c r="AI734" s="182" t="s">
        <v>36</v>
      </c>
      <c r="AJ734" s="93" t="str">
        <f t="shared" si="35"/>
        <v>SÃO PAULO</v>
      </c>
      <c r="AK734" s="183" t="s">
        <v>54</v>
      </c>
    </row>
    <row r="735" spans="1:37" ht="30" customHeight="1">
      <c r="A735" s="197" t="s">
        <v>198</v>
      </c>
      <c r="B735" s="197">
        <v>2622118238</v>
      </c>
      <c r="C735" s="197" t="s">
        <v>122</v>
      </c>
      <c r="D735" s="197" t="s">
        <v>96</v>
      </c>
      <c r="E735" s="197" t="s">
        <v>35</v>
      </c>
      <c r="F735" s="197" t="s">
        <v>1455</v>
      </c>
      <c r="G735" s="197">
        <v>790</v>
      </c>
      <c r="H735" s="197" t="s">
        <v>205</v>
      </c>
      <c r="I735" s="197" t="s">
        <v>536</v>
      </c>
      <c r="J735" s="197" t="s">
        <v>267</v>
      </c>
      <c r="K735" s="197" t="s">
        <v>200</v>
      </c>
      <c r="L735" s="203">
        <v>46168.347916666666</v>
      </c>
      <c r="M735" s="203">
        <v>46168.35</v>
      </c>
      <c r="N735" s="197" t="s">
        <v>517</v>
      </c>
      <c r="O735" s="152" t="s">
        <v>207</v>
      </c>
      <c r="P735" s="90"/>
      <c r="Q735" s="140" t="s">
        <v>207</v>
      </c>
      <c r="R735" s="90"/>
      <c r="S735" s="140" t="s">
        <v>207</v>
      </c>
      <c r="T735" s="90"/>
      <c r="U735" s="140" t="s">
        <v>207</v>
      </c>
      <c r="V735" s="90"/>
      <c r="W735" s="140" t="s">
        <v>207</v>
      </c>
      <c r="X735" s="90"/>
      <c r="Y735" s="140" t="s">
        <v>77</v>
      </c>
      <c r="Z735" s="90"/>
      <c r="AA735" s="140" t="s">
        <v>207</v>
      </c>
      <c r="AB735" s="90"/>
      <c r="AC735" s="140" t="s">
        <v>207</v>
      </c>
      <c r="AD735" s="90"/>
      <c r="AE735" s="140" t="s">
        <v>207</v>
      </c>
      <c r="AF735" s="178" t="str">
        <f t="shared" si="33"/>
        <v>C</v>
      </c>
      <c r="AG735" s="52" t="str">
        <f t="shared" si="34"/>
        <v>UTILIZOU O PDA CORRETAMENTE</v>
      </c>
      <c r="AH735" s="140" t="s">
        <v>207</v>
      </c>
      <c r="AI735" s="182" t="s">
        <v>36</v>
      </c>
      <c r="AJ735" s="93" t="str">
        <f t="shared" si="35"/>
        <v>SÃO PAULO</v>
      </c>
      <c r="AK735" s="183" t="s">
        <v>54</v>
      </c>
    </row>
    <row r="736" spans="1:37" ht="30" customHeight="1">
      <c r="A736" s="197" t="s">
        <v>198</v>
      </c>
      <c r="B736" s="197">
        <v>2694185344</v>
      </c>
      <c r="C736" s="197" t="s">
        <v>117</v>
      </c>
      <c r="D736" s="197" t="s">
        <v>96</v>
      </c>
      <c r="E736" s="197" t="s">
        <v>35</v>
      </c>
      <c r="F736" s="197" t="s">
        <v>1456</v>
      </c>
      <c r="G736" s="197">
        <v>98</v>
      </c>
      <c r="H736" s="197"/>
      <c r="I736" s="197" t="s">
        <v>300</v>
      </c>
      <c r="J736" s="197" t="s">
        <v>260</v>
      </c>
      <c r="K736" s="197"/>
      <c r="L736" s="203">
        <v>46168.104861111111</v>
      </c>
      <c r="M736" s="203">
        <v>46168.190972222219</v>
      </c>
      <c r="N736" s="197" t="s">
        <v>403</v>
      </c>
      <c r="O736" s="152" t="s">
        <v>207</v>
      </c>
      <c r="P736" s="90"/>
      <c r="Q736" s="140" t="s">
        <v>207</v>
      </c>
      <c r="R736" s="90"/>
      <c r="S736" s="140" t="s">
        <v>207</v>
      </c>
      <c r="T736" s="90"/>
      <c r="U736" s="140" t="s">
        <v>207</v>
      </c>
      <c r="V736" s="90"/>
      <c r="W736" s="140" t="s">
        <v>207</v>
      </c>
      <c r="X736" s="90"/>
      <c r="Y736" s="140" t="s">
        <v>77</v>
      </c>
      <c r="Z736" s="90"/>
      <c r="AA736" s="140" t="s">
        <v>207</v>
      </c>
      <c r="AB736" s="90"/>
      <c r="AC736" s="140" t="s">
        <v>207</v>
      </c>
      <c r="AD736" s="90"/>
      <c r="AE736" s="140" t="s">
        <v>207</v>
      </c>
      <c r="AF736" s="178" t="str">
        <f t="shared" si="33"/>
        <v>C</v>
      </c>
      <c r="AG736" s="52" t="str">
        <f t="shared" si="34"/>
        <v>UTILIZOU O PDA CORRETAMENTE</v>
      </c>
      <c r="AH736" s="140" t="s">
        <v>207</v>
      </c>
      <c r="AI736" s="182" t="s">
        <v>36</v>
      </c>
      <c r="AJ736" s="93" t="str">
        <f t="shared" si="35"/>
        <v>SÃO PAULO</v>
      </c>
      <c r="AK736" s="183" t="s">
        <v>54</v>
      </c>
    </row>
    <row r="737" spans="1:37" ht="30" customHeight="1">
      <c r="A737" s="197" t="s">
        <v>198</v>
      </c>
      <c r="B737" s="197">
        <v>2694085985</v>
      </c>
      <c r="C737" s="197" t="s">
        <v>114</v>
      </c>
      <c r="D737" s="197" t="s">
        <v>96</v>
      </c>
      <c r="E737" s="197" t="s">
        <v>35</v>
      </c>
      <c r="F737" s="197" t="s">
        <v>1435</v>
      </c>
      <c r="G737" s="197">
        <v>55</v>
      </c>
      <c r="H737" s="197" t="s">
        <v>205</v>
      </c>
      <c r="I737" s="197" t="s">
        <v>1260</v>
      </c>
      <c r="J737" s="197" t="s">
        <v>260</v>
      </c>
      <c r="K737" s="197" t="s">
        <v>200</v>
      </c>
      <c r="L737" s="203">
        <v>46168.181250000001</v>
      </c>
      <c r="M737" s="203">
        <v>46168.20416666667</v>
      </c>
      <c r="N737" s="197" t="s">
        <v>235</v>
      </c>
      <c r="O737" s="152" t="s">
        <v>207</v>
      </c>
      <c r="P737" s="90"/>
      <c r="Q737" s="140" t="s">
        <v>207</v>
      </c>
      <c r="R737" s="90"/>
      <c r="S737" s="140" t="s">
        <v>207</v>
      </c>
      <c r="T737" s="90"/>
      <c r="U737" s="140" t="s">
        <v>207</v>
      </c>
      <c r="V737" s="90"/>
      <c r="W737" s="140" t="s">
        <v>207</v>
      </c>
      <c r="X737" s="90"/>
      <c r="Y737" s="140" t="s">
        <v>207</v>
      </c>
      <c r="Z737" s="90"/>
      <c r="AA737" s="140" t="s">
        <v>207</v>
      </c>
      <c r="AB737" s="90"/>
      <c r="AC737" s="140" t="s">
        <v>207</v>
      </c>
      <c r="AD737" s="90"/>
      <c r="AE737" s="140" t="s">
        <v>207</v>
      </c>
      <c r="AF737" s="178" t="str">
        <f t="shared" si="33"/>
        <v>C</v>
      </c>
      <c r="AG737" s="52" t="str">
        <f t="shared" si="34"/>
        <v>UTILIZOU O PDA CORRETAMENTE</v>
      </c>
      <c r="AH737" s="140" t="s">
        <v>207</v>
      </c>
      <c r="AI737" s="182" t="s">
        <v>36</v>
      </c>
      <c r="AJ737" s="93" t="str">
        <f t="shared" si="35"/>
        <v>SÃO PAULO</v>
      </c>
      <c r="AK737" s="183" t="s">
        <v>54</v>
      </c>
    </row>
    <row r="738" spans="1:37" ht="30" customHeight="1">
      <c r="A738" s="197" t="s">
        <v>198</v>
      </c>
      <c r="B738" s="197">
        <v>2694188190</v>
      </c>
      <c r="C738" s="197" t="s">
        <v>118</v>
      </c>
      <c r="D738" s="197" t="s">
        <v>96</v>
      </c>
      <c r="E738" s="197" t="s">
        <v>35</v>
      </c>
      <c r="F738" s="197" t="s">
        <v>1457</v>
      </c>
      <c r="G738" s="197">
        <v>61</v>
      </c>
      <c r="H738" s="197"/>
      <c r="I738" s="197" t="s">
        <v>479</v>
      </c>
      <c r="J738" s="197" t="s">
        <v>301</v>
      </c>
      <c r="K738" s="197"/>
      <c r="L738" s="203">
        <v>46168.647222222222</v>
      </c>
      <c r="M738" s="203">
        <v>46168.647916666669</v>
      </c>
      <c r="N738" s="197" t="s">
        <v>251</v>
      </c>
      <c r="O738" s="152" t="s">
        <v>207</v>
      </c>
      <c r="P738" s="90"/>
      <c r="Q738" s="140" t="s">
        <v>207</v>
      </c>
      <c r="R738" s="90"/>
      <c r="S738" s="140" t="s">
        <v>207</v>
      </c>
      <c r="T738" s="90"/>
      <c r="U738" s="140" t="s">
        <v>207</v>
      </c>
      <c r="V738" s="90"/>
      <c r="W738" s="140" t="s">
        <v>207</v>
      </c>
      <c r="X738" s="90"/>
      <c r="Y738" s="140" t="s">
        <v>77</v>
      </c>
      <c r="Z738" s="90"/>
      <c r="AA738" s="140" t="s">
        <v>207</v>
      </c>
      <c r="AB738" s="90"/>
      <c r="AC738" s="140" t="s">
        <v>207</v>
      </c>
      <c r="AD738" s="90"/>
      <c r="AE738" s="140" t="s">
        <v>207</v>
      </c>
      <c r="AF738" s="178" t="str">
        <f t="shared" si="33"/>
        <v>C</v>
      </c>
      <c r="AG738" s="52" t="str">
        <f t="shared" si="34"/>
        <v>UTILIZOU O PDA CORRETAMENTE</v>
      </c>
      <c r="AH738" s="140" t="s">
        <v>207</v>
      </c>
      <c r="AI738" s="182" t="s">
        <v>36</v>
      </c>
      <c r="AJ738" s="93" t="str">
        <f t="shared" si="35"/>
        <v>SÃO PAULO</v>
      </c>
      <c r="AK738" s="183" t="s">
        <v>54</v>
      </c>
    </row>
    <row r="739" spans="1:37" ht="30" customHeight="1">
      <c r="A739" s="197" t="s">
        <v>198</v>
      </c>
      <c r="B739" s="197">
        <v>2694224938</v>
      </c>
      <c r="C739" s="197" t="s">
        <v>117</v>
      </c>
      <c r="D739" s="197" t="s">
        <v>96</v>
      </c>
      <c r="E739" s="197" t="s">
        <v>35</v>
      </c>
      <c r="F739" s="197" t="s">
        <v>1458</v>
      </c>
      <c r="G739" s="197">
        <v>158</v>
      </c>
      <c r="H739" s="197" t="s">
        <v>200</v>
      </c>
      <c r="I739" s="197" t="s">
        <v>256</v>
      </c>
      <c r="J739" s="197" t="s">
        <v>267</v>
      </c>
      <c r="K739" s="197" t="s">
        <v>200</v>
      </c>
      <c r="L739" s="203">
        <v>46168.699305555558</v>
      </c>
      <c r="M739" s="203">
        <v>46168.713194444441</v>
      </c>
      <c r="N739" s="197" t="s">
        <v>320</v>
      </c>
      <c r="O739" s="152" t="s">
        <v>207</v>
      </c>
      <c r="P739" s="90"/>
      <c r="Q739" s="140" t="s">
        <v>207</v>
      </c>
      <c r="R739" s="90"/>
      <c r="S739" s="140" t="s">
        <v>207</v>
      </c>
      <c r="T739" s="90"/>
      <c r="U739" s="140" t="s">
        <v>207</v>
      </c>
      <c r="V739" s="90"/>
      <c r="W739" s="140" t="s">
        <v>207</v>
      </c>
      <c r="X739" s="90"/>
      <c r="Y739" s="140" t="s">
        <v>77</v>
      </c>
      <c r="Z739" s="90"/>
      <c r="AA739" s="140" t="s">
        <v>207</v>
      </c>
      <c r="AB739" s="90"/>
      <c r="AC739" s="140" t="s">
        <v>207</v>
      </c>
      <c r="AD739" s="90"/>
      <c r="AE739" s="140" t="s">
        <v>207</v>
      </c>
      <c r="AF739" s="178" t="str">
        <f t="shared" si="33"/>
        <v>C</v>
      </c>
      <c r="AG739" s="52" t="str">
        <f t="shared" si="34"/>
        <v>UTILIZOU O PDA CORRETAMENTE</v>
      </c>
      <c r="AH739" s="140" t="s">
        <v>207</v>
      </c>
      <c r="AI739" s="182" t="s">
        <v>36</v>
      </c>
      <c r="AJ739" s="93" t="str">
        <f t="shared" si="35"/>
        <v>SÃO PAULO</v>
      </c>
      <c r="AK739" s="183" t="s">
        <v>54</v>
      </c>
    </row>
    <row r="740" spans="1:37" ht="30" customHeight="1">
      <c r="A740" s="197" t="s">
        <v>198</v>
      </c>
      <c r="B740" s="197">
        <v>2694224075</v>
      </c>
      <c r="C740" s="197" t="s">
        <v>122</v>
      </c>
      <c r="D740" s="197" t="s">
        <v>96</v>
      </c>
      <c r="E740" s="197" t="s">
        <v>35</v>
      </c>
      <c r="F740" s="197" t="s">
        <v>1459</v>
      </c>
      <c r="G740" s="197">
        <v>77</v>
      </c>
      <c r="H740" s="197"/>
      <c r="I740" s="197" t="s">
        <v>287</v>
      </c>
      <c r="J740" s="197" t="s">
        <v>267</v>
      </c>
      <c r="K740" s="197"/>
      <c r="L740" s="203">
        <v>46168.323611111111</v>
      </c>
      <c r="M740" s="203">
        <v>46168.356249999997</v>
      </c>
      <c r="N740" s="197" t="s">
        <v>274</v>
      </c>
      <c r="O740" s="152" t="s">
        <v>207</v>
      </c>
      <c r="P740" s="90"/>
      <c r="Q740" s="140" t="s">
        <v>207</v>
      </c>
      <c r="R740" s="90"/>
      <c r="S740" s="140" t="s">
        <v>207</v>
      </c>
      <c r="T740" s="90"/>
      <c r="U740" s="140" t="s">
        <v>207</v>
      </c>
      <c r="V740" s="90"/>
      <c r="W740" s="140" t="s">
        <v>207</v>
      </c>
      <c r="X740" s="90"/>
      <c r="Y740" s="140" t="s">
        <v>77</v>
      </c>
      <c r="Z740" s="90"/>
      <c r="AA740" s="140" t="s">
        <v>207</v>
      </c>
      <c r="AB740" s="90"/>
      <c r="AC740" s="140" t="s">
        <v>207</v>
      </c>
      <c r="AD740" s="90"/>
      <c r="AE740" s="140" t="s">
        <v>207</v>
      </c>
      <c r="AF740" s="178" t="str">
        <f t="shared" si="33"/>
        <v>C</v>
      </c>
      <c r="AG740" s="52" t="str">
        <f t="shared" si="34"/>
        <v>UTILIZOU O PDA CORRETAMENTE</v>
      </c>
      <c r="AH740" s="140" t="s">
        <v>207</v>
      </c>
      <c r="AI740" s="182" t="s">
        <v>36</v>
      </c>
      <c r="AJ740" s="93" t="str">
        <f t="shared" si="35"/>
        <v>SÃO PAULO</v>
      </c>
      <c r="AK740" s="183" t="s">
        <v>54</v>
      </c>
    </row>
    <row r="741" spans="1:37" ht="30" customHeight="1">
      <c r="A741" s="197" t="s">
        <v>198</v>
      </c>
      <c r="B741" s="197">
        <v>2621892414</v>
      </c>
      <c r="C741" s="197" t="s">
        <v>115</v>
      </c>
      <c r="D741" s="197" t="s">
        <v>96</v>
      </c>
      <c r="E741" s="197" t="s">
        <v>35</v>
      </c>
      <c r="F741" s="197" t="s">
        <v>1460</v>
      </c>
      <c r="G741" s="197">
        <v>24</v>
      </c>
      <c r="H741" s="197" t="s">
        <v>200</v>
      </c>
      <c r="I741" s="197" t="s">
        <v>501</v>
      </c>
      <c r="J741" s="197" t="s">
        <v>268</v>
      </c>
      <c r="K741" s="197" t="s">
        <v>200</v>
      </c>
      <c r="L741" s="203">
        <v>46168.584722222222</v>
      </c>
      <c r="M741" s="203">
        <v>46168.586805555555</v>
      </c>
      <c r="N741" s="197" t="s">
        <v>345</v>
      </c>
      <c r="O741" s="152" t="s">
        <v>207</v>
      </c>
      <c r="P741" s="90"/>
      <c r="Q741" s="140" t="s">
        <v>207</v>
      </c>
      <c r="R741" s="90"/>
      <c r="S741" s="140" t="s">
        <v>207</v>
      </c>
      <c r="T741" s="90"/>
      <c r="U741" s="140" t="s">
        <v>207</v>
      </c>
      <c r="V741" s="90"/>
      <c r="W741" s="140" t="s">
        <v>207</v>
      </c>
      <c r="X741" s="90"/>
      <c r="Y741" s="140" t="s">
        <v>207</v>
      </c>
      <c r="Z741" s="90"/>
      <c r="AA741" s="140" t="s">
        <v>207</v>
      </c>
      <c r="AB741" s="90"/>
      <c r="AC741" s="140" t="s">
        <v>207</v>
      </c>
      <c r="AD741" s="90"/>
      <c r="AE741" s="140" t="s">
        <v>207</v>
      </c>
      <c r="AF741" s="178" t="str">
        <f t="shared" si="33"/>
        <v>C</v>
      </c>
      <c r="AG741" s="52" t="str">
        <f t="shared" si="34"/>
        <v>UTILIZOU O PDA CORRETAMENTE</v>
      </c>
      <c r="AH741" s="140" t="s">
        <v>207</v>
      </c>
      <c r="AI741" s="182" t="s">
        <v>36</v>
      </c>
      <c r="AJ741" s="93" t="str">
        <f t="shared" si="35"/>
        <v>SÃO PAULO</v>
      </c>
      <c r="AK741" s="183" t="s">
        <v>54</v>
      </c>
    </row>
    <row r="742" spans="1:37" ht="30" customHeight="1">
      <c r="A742" s="197" t="s">
        <v>198</v>
      </c>
      <c r="B742" s="197">
        <v>2622175575</v>
      </c>
      <c r="C742" s="197" t="s">
        <v>120</v>
      </c>
      <c r="D742" s="197" t="s">
        <v>96</v>
      </c>
      <c r="E742" s="197" t="s">
        <v>35</v>
      </c>
      <c r="F742" s="197" t="s">
        <v>1461</v>
      </c>
      <c r="G742" s="197">
        <v>7</v>
      </c>
      <c r="H742" s="197"/>
      <c r="I742" s="197" t="s">
        <v>259</v>
      </c>
      <c r="J742" s="197" t="s">
        <v>336</v>
      </c>
      <c r="K742" s="197" t="s">
        <v>588</v>
      </c>
      <c r="L742" s="203">
        <v>46168.37222222222</v>
      </c>
      <c r="M742" s="203">
        <v>46168.376388888886</v>
      </c>
      <c r="N742" s="197" t="s">
        <v>331</v>
      </c>
      <c r="O742" s="152" t="s">
        <v>207</v>
      </c>
      <c r="P742" s="90"/>
      <c r="Q742" s="140" t="s">
        <v>207</v>
      </c>
      <c r="R742" s="90"/>
      <c r="S742" s="140" t="s">
        <v>207</v>
      </c>
      <c r="T742" s="90"/>
      <c r="U742" s="140" t="s">
        <v>207</v>
      </c>
      <c r="V742" s="90"/>
      <c r="W742" s="140" t="s">
        <v>207</v>
      </c>
      <c r="X742" s="90"/>
      <c r="Y742" s="140" t="s">
        <v>77</v>
      </c>
      <c r="Z742" s="90"/>
      <c r="AA742" s="140" t="s">
        <v>207</v>
      </c>
      <c r="AB742" s="90"/>
      <c r="AC742" s="140" t="s">
        <v>207</v>
      </c>
      <c r="AD742" s="90"/>
      <c r="AE742" s="140" t="s">
        <v>207</v>
      </c>
      <c r="AF742" s="178" t="str">
        <f t="shared" si="33"/>
        <v>C</v>
      </c>
      <c r="AG742" s="52" t="str">
        <f t="shared" si="34"/>
        <v>UTILIZOU O PDA CORRETAMENTE</v>
      </c>
      <c r="AH742" s="140" t="s">
        <v>207</v>
      </c>
      <c r="AI742" s="182" t="s">
        <v>36</v>
      </c>
      <c r="AJ742" s="93" t="str">
        <f t="shared" si="35"/>
        <v>SÃO PAULO</v>
      </c>
      <c r="AK742" s="183" t="s">
        <v>54</v>
      </c>
    </row>
    <row r="743" spans="1:37" ht="30" customHeight="1">
      <c r="A743" s="197" t="s">
        <v>198</v>
      </c>
      <c r="B743" s="197">
        <v>2622179210</v>
      </c>
      <c r="C743" s="197" t="s">
        <v>120</v>
      </c>
      <c r="D743" s="197" t="s">
        <v>96</v>
      </c>
      <c r="E743" s="197" t="s">
        <v>35</v>
      </c>
      <c r="F743" s="197" t="s">
        <v>1443</v>
      </c>
      <c r="G743" s="197">
        <v>525</v>
      </c>
      <c r="H743" s="197" t="s">
        <v>200</v>
      </c>
      <c r="I743" s="197" t="s">
        <v>314</v>
      </c>
      <c r="J743" s="197" t="s">
        <v>202</v>
      </c>
      <c r="K743" s="197" t="s">
        <v>1462</v>
      </c>
      <c r="L743" s="203">
        <v>46168.397222222222</v>
      </c>
      <c r="M743" s="203">
        <v>46168.402083333334</v>
      </c>
      <c r="N743" s="197" t="s">
        <v>262</v>
      </c>
      <c r="O743" s="152" t="s">
        <v>207</v>
      </c>
      <c r="P743" s="90"/>
      <c r="Q743" s="140" t="s">
        <v>207</v>
      </c>
      <c r="R743" s="90"/>
      <c r="S743" s="140" t="s">
        <v>207</v>
      </c>
      <c r="T743" s="90"/>
      <c r="U743" s="140" t="s">
        <v>207</v>
      </c>
      <c r="V743" s="90"/>
      <c r="W743" s="140" t="s">
        <v>207</v>
      </c>
      <c r="X743" s="90"/>
      <c r="Y743" s="140" t="s">
        <v>77</v>
      </c>
      <c r="Z743" s="90"/>
      <c r="AA743" s="140" t="s">
        <v>207</v>
      </c>
      <c r="AB743" s="90"/>
      <c r="AC743" s="140" t="s">
        <v>207</v>
      </c>
      <c r="AD743" s="90"/>
      <c r="AE743" s="140" t="s">
        <v>207</v>
      </c>
      <c r="AF743" s="178" t="str">
        <f t="shared" si="33"/>
        <v>C</v>
      </c>
      <c r="AG743" s="52" t="str">
        <f t="shared" si="34"/>
        <v>UTILIZOU O PDA CORRETAMENTE</v>
      </c>
      <c r="AH743" s="140" t="s">
        <v>207</v>
      </c>
      <c r="AI743" s="182" t="s">
        <v>36</v>
      </c>
      <c r="AJ743" s="93" t="str">
        <f t="shared" si="35"/>
        <v>SÃO PAULO</v>
      </c>
      <c r="AK743" s="183" t="s">
        <v>54</v>
      </c>
    </row>
    <row r="744" spans="1:37" ht="30" customHeight="1">
      <c r="A744" s="197" t="s">
        <v>198</v>
      </c>
      <c r="B744" s="197">
        <v>2622178917</v>
      </c>
      <c r="C744" s="197" t="s">
        <v>116</v>
      </c>
      <c r="D744" s="197" t="s">
        <v>94</v>
      </c>
      <c r="E744" s="197" t="s">
        <v>35</v>
      </c>
      <c r="F744" s="197" t="s">
        <v>1443</v>
      </c>
      <c r="G744" s="197">
        <v>526</v>
      </c>
      <c r="H744" s="197"/>
      <c r="I744" s="197" t="s">
        <v>314</v>
      </c>
      <c r="J744" s="197" t="s">
        <v>221</v>
      </c>
      <c r="K744" s="197" t="s">
        <v>1463</v>
      </c>
      <c r="L744" s="203">
        <v>46168.40347222222</v>
      </c>
      <c r="M744" s="203">
        <v>46168.405555555553</v>
      </c>
      <c r="N744" s="197" t="s">
        <v>262</v>
      </c>
      <c r="O744" s="152" t="s">
        <v>207</v>
      </c>
      <c r="P744" s="90"/>
      <c r="Q744" s="140" t="s">
        <v>207</v>
      </c>
      <c r="R744" s="90"/>
      <c r="S744" s="140" t="s">
        <v>207</v>
      </c>
      <c r="T744" s="90"/>
      <c r="U744" s="140" t="s">
        <v>207</v>
      </c>
      <c r="V744" s="90"/>
      <c r="W744" s="140" t="s">
        <v>207</v>
      </c>
      <c r="X744" s="90"/>
      <c r="Y744" s="140" t="s">
        <v>207</v>
      </c>
      <c r="Z744" s="90"/>
      <c r="AA744" s="140" t="s">
        <v>207</v>
      </c>
      <c r="AB744" s="90"/>
      <c r="AC744" s="140" t="s">
        <v>207</v>
      </c>
      <c r="AD744" s="90"/>
      <c r="AE744" s="140" t="s">
        <v>207</v>
      </c>
      <c r="AF744" s="178" t="str">
        <f t="shared" si="33"/>
        <v>C</v>
      </c>
      <c r="AG744" s="52" t="str">
        <f t="shared" si="34"/>
        <v>UTILIZOU O PDA CORRETAMENTE</v>
      </c>
      <c r="AH744" s="140" t="s">
        <v>207</v>
      </c>
      <c r="AI744" s="182" t="s">
        <v>36</v>
      </c>
      <c r="AJ744" s="93" t="str">
        <f t="shared" si="35"/>
        <v>SÃO PAULO</v>
      </c>
      <c r="AK744" s="183" t="s">
        <v>54</v>
      </c>
    </row>
    <row r="745" spans="1:37" ht="30" customHeight="1">
      <c r="A745" s="197" t="s">
        <v>198</v>
      </c>
      <c r="B745" s="197">
        <v>2622035970</v>
      </c>
      <c r="C745" s="197" t="s">
        <v>105</v>
      </c>
      <c r="D745" s="197" t="s">
        <v>93</v>
      </c>
      <c r="E745" s="197" t="s">
        <v>35</v>
      </c>
      <c r="F745" s="197" t="s">
        <v>1464</v>
      </c>
      <c r="G745" s="197">
        <v>314</v>
      </c>
      <c r="H745" s="197" t="s">
        <v>200</v>
      </c>
      <c r="I745" s="197" t="s">
        <v>679</v>
      </c>
      <c r="J745" s="197" t="s">
        <v>272</v>
      </c>
      <c r="K745" s="197" t="s">
        <v>200</v>
      </c>
      <c r="L745" s="203">
        <v>46168.320138888892</v>
      </c>
      <c r="M745" s="203">
        <v>46168.329861111109</v>
      </c>
      <c r="N745" s="197" t="s">
        <v>235</v>
      </c>
      <c r="O745" s="152" t="s">
        <v>207</v>
      </c>
      <c r="P745" s="90"/>
      <c r="Q745" s="140" t="s">
        <v>207</v>
      </c>
      <c r="R745" s="90"/>
      <c r="S745" s="140" t="s">
        <v>207</v>
      </c>
      <c r="T745" s="90"/>
      <c r="U745" s="140" t="s">
        <v>207</v>
      </c>
      <c r="V745" s="90"/>
      <c r="W745" s="140" t="s">
        <v>207</v>
      </c>
      <c r="X745" s="90"/>
      <c r="Y745" s="140" t="s">
        <v>77</v>
      </c>
      <c r="Z745" s="90"/>
      <c r="AA745" s="140" t="s">
        <v>207</v>
      </c>
      <c r="AB745" s="90"/>
      <c r="AC745" s="140" t="s">
        <v>207</v>
      </c>
      <c r="AD745" s="90"/>
      <c r="AE745" s="140" t="s">
        <v>207</v>
      </c>
      <c r="AF745" s="178" t="str">
        <f t="shared" si="33"/>
        <v>C</v>
      </c>
      <c r="AG745" s="52" t="str">
        <f t="shared" si="34"/>
        <v>UTILIZOU O PDA CORRETAMENTE</v>
      </c>
      <c r="AH745" s="140" t="s">
        <v>207</v>
      </c>
      <c r="AI745" s="182" t="s">
        <v>36</v>
      </c>
      <c r="AJ745" s="93" t="str">
        <f t="shared" si="35"/>
        <v>SÃO PAULO</v>
      </c>
      <c r="AK745" s="183" t="s">
        <v>54</v>
      </c>
    </row>
    <row r="746" spans="1:37" ht="30" customHeight="1">
      <c r="A746" s="197" t="s">
        <v>198</v>
      </c>
      <c r="B746" s="197">
        <v>2622147763</v>
      </c>
      <c r="C746" s="197" t="s">
        <v>121</v>
      </c>
      <c r="D746" s="197" t="s">
        <v>96</v>
      </c>
      <c r="E746" s="197" t="s">
        <v>35</v>
      </c>
      <c r="F746" s="197" t="s">
        <v>204</v>
      </c>
      <c r="G746" s="197">
        <v>3510</v>
      </c>
      <c r="H746" s="197"/>
      <c r="I746" s="197" t="s">
        <v>36</v>
      </c>
      <c r="J746" s="197" t="s">
        <v>1021</v>
      </c>
      <c r="K746" s="204" t="s">
        <v>1465</v>
      </c>
      <c r="L746" s="203">
        <v>46168.718055555553</v>
      </c>
      <c r="M746" s="203">
        <v>46168.719444444447</v>
      </c>
      <c r="N746" s="197" t="s">
        <v>295</v>
      </c>
      <c r="O746" s="152" t="s">
        <v>207</v>
      </c>
      <c r="P746" s="90"/>
      <c r="Q746" s="140" t="s">
        <v>207</v>
      </c>
      <c r="R746" s="90"/>
      <c r="S746" s="140" t="s">
        <v>207</v>
      </c>
      <c r="T746" s="90"/>
      <c r="U746" s="140" t="s">
        <v>207</v>
      </c>
      <c r="V746" s="90"/>
      <c r="W746" s="140" t="s">
        <v>207</v>
      </c>
      <c r="X746" s="90"/>
      <c r="Y746" s="140" t="s">
        <v>77</v>
      </c>
      <c r="Z746" s="90"/>
      <c r="AA746" s="140" t="s">
        <v>207</v>
      </c>
      <c r="AB746" s="90"/>
      <c r="AC746" s="140" t="s">
        <v>207</v>
      </c>
      <c r="AD746" s="90"/>
      <c r="AE746" s="140" t="s">
        <v>207</v>
      </c>
      <c r="AF746" s="178" t="str">
        <f t="shared" si="33"/>
        <v>C</v>
      </c>
      <c r="AG746" s="52" t="str">
        <f t="shared" si="34"/>
        <v>UTILIZOU O PDA CORRETAMENTE</v>
      </c>
      <c r="AH746" s="140" t="s">
        <v>207</v>
      </c>
      <c r="AI746" s="182" t="s">
        <v>36</v>
      </c>
      <c r="AJ746" s="93" t="str">
        <f t="shared" si="35"/>
        <v>SÃO PAULO</v>
      </c>
      <c r="AK746" s="183" t="s">
        <v>54</v>
      </c>
    </row>
    <row r="747" spans="1:37" ht="30" customHeight="1">
      <c r="A747" s="197" t="s">
        <v>198</v>
      </c>
      <c r="B747" s="197">
        <v>2694212603</v>
      </c>
      <c r="C747" s="197" t="s">
        <v>114</v>
      </c>
      <c r="D747" s="197" t="s">
        <v>96</v>
      </c>
      <c r="E747" s="197" t="s">
        <v>35</v>
      </c>
      <c r="F747" s="197" t="s">
        <v>1206</v>
      </c>
      <c r="G747" s="197">
        <v>35</v>
      </c>
      <c r="H747" s="197" t="s">
        <v>255</v>
      </c>
      <c r="I747" s="197" t="s">
        <v>615</v>
      </c>
      <c r="J747" s="197" t="s">
        <v>260</v>
      </c>
      <c r="K747" s="197" t="s">
        <v>200</v>
      </c>
      <c r="L747" s="203">
        <v>46168.418749999997</v>
      </c>
      <c r="M747" s="203">
        <v>46168.420138888891</v>
      </c>
      <c r="N747" s="197" t="s">
        <v>349</v>
      </c>
      <c r="O747" s="152" t="s">
        <v>207</v>
      </c>
      <c r="P747" s="90"/>
      <c r="Q747" s="140" t="s">
        <v>207</v>
      </c>
      <c r="R747" s="90"/>
      <c r="S747" s="140" t="s">
        <v>207</v>
      </c>
      <c r="T747" s="90"/>
      <c r="U747" s="140" t="s">
        <v>207</v>
      </c>
      <c r="V747" s="90"/>
      <c r="W747" s="140" t="s">
        <v>207</v>
      </c>
      <c r="X747" s="90"/>
      <c r="Y747" s="140" t="s">
        <v>207</v>
      </c>
      <c r="Z747" s="90"/>
      <c r="AA747" s="140" t="s">
        <v>207</v>
      </c>
      <c r="AB747" s="90"/>
      <c r="AC747" s="140" t="s">
        <v>207</v>
      </c>
      <c r="AD747" s="90"/>
      <c r="AE747" s="140" t="s">
        <v>207</v>
      </c>
      <c r="AF747" s="178" t="str">
        <f t="shared" si="33"/>
        <v>C</v>
      </c>
      <c r="AG747" s="52" t="str">
        <f t="shared" si="34"/>
        <v>UTILIZOU O PDA CORRETAMENTE</v>
      </c>
      <c r="AH747" s="140" t="s">
        <v>207</v>
      </c>
      <c r="AI747" s="182" t="s">
        <v>36</v>
      </c>
      <c r="AJ747" s="93" t="str">
        <f t="shared" si="35"/>
        <v>SÃO PAULO</v>
      </c>
      <c r="AK747" s="183" t="s">
        <v>54</v>
      </c>
    </row>
    <row r="748" spans="1:37" ht="30" customHeight="1">
      <c r="A748" s="197" t="s">
        <v>198</v>
      </c>
      <c r="B748" s="197">
        <v>2621900894</v>
      </c>
      <c r="C748" s="197" t="s">
        <v>121</v>
      </c>
      <c r="D748" s="197" t="s">
        <v>96</v>
      </c>
      <c r="E748" s="197" t="s">
        <v>35</v>
      </c>
      <c r="F748" s="197" t="s">
        <v>1466</v>
      </c>
      <c r="G748" s="197">
        <v>76</v>
      </c>
      <c r="H748" s="197"/>
      <c r="I748" s="197" t="s">
        <v>433</v>
      </c>
      <c r="J748" s="197" t="s">
        <v>202</v>
      </c>
      <c r="K748" s="197"/>
      <c r="L748" s="203">
        <v>46168.348611111112</v>
      </c>
      <c r="M748" s="203">
        <v>46168.382638888892</v>
      </c>
      <c r="N748" s="197" t="s">
        <v>262</v>
      </c>
      <c r="O748" s="152" t="s">
        <v>207</v>
      </c>
      <c r="P748" s="90"/>
      <c r="Q748" s="140" t="s">
        <v>207</v>
      </c>
      <c r="R748" s="90"/>
      <c r="S748" s="140" t="s">
        <v>207</v>
      </c>
      <c r="T748" s="90"/>
      <c r="U748" s="140" t="s">
        <v>207</v>
      </c>
      <c r="V748" s="90"/>
      <c r="W748" s="140" t="s">
        <v>207</v>
      </c>
      <c r="X748" s="90"/>
      <c r="Y748" s="140" t="s">
        <v>77</v>
      </c>
      <c r="Z748" s="90"/>
      <c r="AA748" s="140" t="s">
        <v>207</v>
      </c>
      <c r="AB748" s="90"/>
      <c r="AC748" s="140" t="s">
        <v>207</v>
      </c>
      <c r="AD748" s="90"/>
      <c r="AE748" s="140" t="s">
        <v>207</v>
      </c>
      <c r="AF748" s="178" t="str">
        <f t="shared" si="33"/>
        <v>C</v>
      </c>
      <c r="AG748" s="52" t="str">
        <f t="shared" si="34"/>
        <v>UTILIZOU O PDA CORRETAMENTE</v>
      </c>
      <c r="AH748" s="140" t="s">
        <v>207</v>
      </c>
      <c r="AI748" s="182" t="s">
        <v>36</v>
      </c>
      <c r="AJ748" s="93" t="str">
        <f t="shared" si="35"/>
        <v>SÃO PAULO</v>
      </c>
      <c r="AK748" s="183" t="s">
        <v>54</v>
      </c>
    </row>
    <row r="749" spans="1:37" ht="30" customHeight="1">
      <c r="A749" s="197" t="s">
        <v>198</v>
      </c>
      <c r="B749" s="197">
        <v>2694203175</v>
      </c>
      <c r="C749" s="197" t="s">
        <v>117</v>
      </c>
      <c r="D749" s="197" t="s">
        <v>96</v>
      </c>
      <c r="E749" s="197" t="s">
        <v>35</v>
      </c>
      <c r="F749" s="197" t="s">
        <v>1466</v>
      </c>
      <c r="G749" s="197">
        <v>29</v>
      </c>
      <c r="H749" s="197" t="s">
        <v>329</v>
      </c>
      <c r="I749" s="197" t="s">
        <v>433</v>
      </c>
      <c r="J749" s="197" t="s">
        <v>267</v>
      </c>
      <c r="K749" s="197" t="s">
        <v>200</v>
      </c>
      <c r="L749" s="203">
        <v>46168.228472222225</v>
      </c>
      <c r="M749" s="203">
        <v>46168.28402777778</v>
      </c>
      <c r="N749" s="197" t="s">
        <v>262</v>
      </c>
      <c r="O749" s="152" t="s">
        <v>207</v>
      </c>
      <c r="P749" s="90"/>
      <c r="Q749" s="140" t="s">
        <v>207</v>
      </c>
      <c r="R749" s="90"/>
      <c r="S749" s="140" t="s">
        <v>207</v>
      </c>
      <c r="T749" s="90"/>
      <c r="U749" s="140" t="s">
        <v>207</v>
      </c>
      <c r="V749" s="90"/>
      <c r="W749" s="140" t="s">
        <v>207</v>
      </c>
      <c r="X749" s="90"/>
      <c r="Y749" s="140" t="s">
        <v>77</v>
      </c>
      <c r="Z749" s="90"/>
      <c r="AA749" s="140" t="s">
        <v>207</v>
      </c>
      <c r="AB749" s="90"/>
      <c r="AC749" s="140" t="s">
        <v>207</v>
      </c>
      <c r="AD749" s="90"/>
      <c r="AE749" s="140" t="s">
        <v>207</v>
      </c>
      <c r="AF749" s="178" t="str">
        <f t="shared" si="33"/>
        <v>C</v>
      </c>
      <c r="AG749" s="52" t="str">
        <f t="shared" si="34"/>
        <v>UTILIZOU O PDA CORRETAMENTE</v>
      </c>
      <c r="AH749" s="140" t="s">
        <v>207</v>
      </c>
      <c r="AI749" s="182" t="s">
        <v>36</v>
      </c>
      <c r="AJ749" s="93" t="str">
        <f t="shared" si="35"/>
        <v>SÃO PAULO</v>
      </c>
      <c r="AK749" s="183" t="s">
        <v>54</v>
      </c>
    </row>
    <row r="750" spans="1:37" ht="30" customHeight="1">
      <c r="A750" s="197" t="s">
        <v>198</v>
      </c>
      <c r="B750" s="197">
        <v>2694229553</v>
      </c>
      <c r="C750" s="197" t="s">
        <v>104</v>
      </c>
      <c r="D750" s="197" t="s">
        <v>93</v>
      </c>
      <c r="E750" s="197" t="s">
        <v>35</v>
      </c>
      <c r="F750" s="197" t="s">
        <v>1378</v>
      </c>
      <c r="G750" s="197">
        <v>128</v>
      </c>
      <c r="H750" s="197" t="s">
        <v>208</v>
      </c>
      <c r="I750" s="197" t="s">
        <v>303</v>
      </c>
      <c r="J750" s="197" t="s">
        <v>249</v>
      </c>
      <c r="K750" s="197" t="s">
        <v>1467</v>
      </c>
      <c r="L750" s="203">
        <v>46168.438194444447</v>
      </c>
      <c r="M750" s="203">
        <v>46168.439583333333</v>
      </c>
      <c r="N750" s="197" t="s">
        <v>323</v>
      </c>
      <c r="O750" s="152" t="s">
        <v>207</v>
      </c>
      <c r="P750" s="90"/>
      <c r="Q750" s="140" t="s">
        <v>207</v>
      </c>
      <c r="R750" s="90"/>
      <c r="S750" s="140" t="s">
        <v>207</v>
      </c>
      <c r="T750" s="90"/>
      <c r="U750" s="140" t="s">
        <v>207</v>
      </c>
      <c r="V750" s="90"/>
      <c r="W750" s="140" t="s">
        <v>207</v>
      </c>
      <c r="X750" s="90"/>
      <c r="Y750" s="140" t="s">
        <v>77</v>
      </c>
      <c r="Z750" s="90"/>
      <c r="AA750" s="140" t="s">
        <v>207</v>
      </c>
      <c r="AB750" s="90"/>
      <c r="AC750" s="140" t="s">
        <v>207</v>
      </c>
      <c r="AD750" s="90"/>
      <c r="AE750" s="140" t="s">
        <v>207</v>
      </c>
      <c r="AF750" s="178" t="str">
        <f t="shared" si="33"/>
        <v>C</v>
      </c>
      <c r="AG750" s="52" t="str">
        <f t="shared" si="34"/>
        <v>UTILIZOU O PDA CORRETAMENTE</v>
      </c>
      <c r="AH750" s="140" t="s">
        <v>207</v>
      </c>
      <c r="AI750" s="182" t="s">
        <v>36</v>
      </c>
      <c r="AJ750" s="93" t="str">
        <f t="shared" si="35"/>
        <v>SÃO PAULO</v>
      </c>
      <c r="AK750" s="183" t="s">
        <v>54</v>
      </c>
    </row>
    <row r="751" spans="1:37" ht="30" customHeight="1">
      <c r="A751" s="285" t="s">
        <v>198</v>
      </c>
      <c r="B751" s="285">
        <v>2622330196</v>
      </c>
      <c r="C751" s="285" t="s">
        <v>116</v>
      </c>
      <c r="D751" s="285" t="s">
        <v>94</v>
      </c>
      <c r="E751" s="285" t="s">
        <v>35</v>
      </c>
      <c r="F751" s="285" t="s">
        <v>1466</v>
      </c>
      <c r="G751" s="285">
        <v>29</v>
      </c>
      <c r="H751" s="285" t="s">
        <v>329</v>
      </c>
      <c r="I751" s="285" t="s">
        <v>433</v>
      </c>
      <c r="J751" s="285" t="s">
        <v>221</v>
      </c>
      <c r="K751" s="285" t="s">
        <v>1468</v>
      </c>
      <c r="L751" s="286">
        <v>46168.39166666667</v>
      </c>
      <c r="M751" s="286">
        <v>46168.400694444441</v>
      </c>
      <c r="N751" s="285" t="s">
        <v>262</v>
      </c>
      <c r="O751" s="152" t="s">
        <v>207</v>
      </c>
      <c r="P751" s="90"/>
      <c r="Q751" s="140" t="s">
        <v>207</v>
      </c>
      <c r="R751" s="90"/>
      <c r="S751" s="140" t="s">
        <v>207</v>
      </c>
      <c r="T751" s="90"/>
      <c r="U751" s="140" t="s">
        <v>207</v>
      </c>
      <c r="V751" s="90"/>
      <c r="W751" s="140" t="s">
        <v>207</v>
      </c>
      <c r="X751" s="90"/>
      <c r="Y751" s="140" t="s">
        <v>207</v>
      </c>
      <c r="Z751" s="90"/>
      <c r="AA751" s="140" t="s">
        <v>207</v>
      </c>
      <c r="AB751" s="90"/>
      <c r="AC751" s="140" t="s">
        <v>207</v>
      </c>
      <c r="AD751" s="90"/>
      <c r="AE751" s="140" t="s">
        <v>207</v>
      </c>
      <c r="AF751" s="178" t="str">
        <f t="shared" si="33"/>
        <v>C</v>
      </c>
      <c r="AG751" s="52" t="str">
        <f t="shared" si="34"/>
        <v>UTILIZOU O PDA CORRETAMENTE</v>
      </c>
      <c r="AH751" s="140" t="s">
        <v>207</v>
      </c>
      <c r="AI751" s="182" t="s">
        <v>36</v>
      </c>
      <c r="AJ751" s="93" t="str">
        <f t="shared" si="35"/>
        <v>SÃO PAULO</v>
      </c>
      <c r="AK751" s="183" t="s">
        <v>54</v>
      </c>
    </row>
    <row r="752" spans="1:37" ht="30" customHeight="1">
      <c r="A752" s="197" t="s">
        <v>198</v>
      </c>
      <c r="B752" s="197">
        <v>2694182018</v>
      </c>
      <c r="C752" s="197" t="s">
        <v>118</v>
      </c>
      <c r="D752" s="197" t="s">
        <v>96</v>
      </c>
      <c r="E752" s="197" t="s">
        <v>35</v>
      </c>
      <c r="F752" s="197" t="s">
        <v>1155</v>
      </c>
      <c r="G752" s="197">
        <v>129</v>
      </c>
      <c r="H752" s="197" t="s">
        <v>200</v>
      </c>
      <c r="I752" s="197" t="s">
        <v>395</v>
      </c>
      <c r="J752" s="197" t="s">
        <v>260</v>
      </c>
      <c r="K752" s="197" t="s">
        <v>200</v>
      </c>
      <c r="L752" s="203">
        <v>46169.251388888886</v>
      </c>
      <c r="M752" s="203">
        <v>46169.252083333333</v>
      </c>
      <c r="N752" s="197" t="s">
        <v>288</v>
      </c>
      <c r="O752" s="152" t="s">
        <v>207</v>
      </c>
      <c r="P752" s="90"/>
      <c r="Q752" s="140" t="s">
        <v>207</v>
      </c>
      <c r="R752" s="90"/>
      <c r="S752" s="140" t="s">
        <v>207</v>
      </c>
      <c r="T752" s="90"/>
      <c r="U752" s="140" t="s">
        <v>207</v>
      </c>
      <c r="V752" s="90"/>
      <c r="W752" s="140" t="s">
        <v>207</v>
      </c>
      <c r="X752" s="90"/>
      <c r="Y752" s="140" t="s">
        <v>77</v>
      </c>
      <c r="Z752" s="90"/>
      <c r="AA752" s="140" t="s">
        <v>207</v>
      </c>
      <c r="AB752" s="90"/>
      <c r="AC752" s="140" t="s">
        <v>207</v>
      </c>
      <c r="AD752" s="90"/>
      <c r="AE752" s="140" t="s">
        <v>207</v>
      </c>
      <c r="AF752" s="178" t="str">
        <f t="shared" si="33"/>
        <v>C</v>
      </c>
      <c r="AG752" s="52" t="str">
        <f t="shared" si="34"/>
        <v>UTILIZOU O PDA CORRETAMENTE</v>
      </c>
      <c r="AH752" s="140" t="s">
        <v>207</v>
      </c>
      <c r="AI752" s="182" t="s">
        <v>36</v>
      </c>
      <c r="AJ752" s="93" t="str">
        <f t="shared" si="35"/>
        <v>SÃO PAULO</v>
      </c>
      <c r="AK752" s="183" t="s">
        <v>54</v>
      </c>
    </row>
    <row r="753" spans="1:37" ht="30" customHeight="1">
      <c r="A753" s="197" t="s">
        <v>198</v>
      </c>
      <c r="B753" s="197">
        <v>2622130722</v>
      </c>
      <c r="C753" s="197" t="s">
        <v>120</v>
      </c>
      <c r="D753" s="197" t="s">
        <v>96</v>
      </c>
      <c r="E753" s="197" t="s">
        <v>35</v>
      </c>
      <c r="F753" s="197" t="s">
        <v>1469</v>
      </c>
      <c r="G753" s="197">
        <v>23</v>
      </c>
      <c r="H753" s="197" t="s">
        <v>401</v>
      </c>
      <c r="I753" s="197" t="s">
        <v>293</v>
      </c>
      <c r="J753" s="197" t="s">
        <v>202</v>
      </c>
      <c r="K753" s="197"/>
      <c r="L753" s="203">
        <v>46169.409722222219</v>
      </c>
      <c r="M753" s="203">
        <v>46169.42083333333</v>
      </c>
      <c r="N753" s="197" t="s">
        <v>320</v>
      </c>
      <c r="O753" s="152" t="s">
        <v>207</v>
      </c>
      <c r="P753" s="90"/>
      <c r="Q753" s="140" t="s">
        <v>207</v>
      </c>
      <c r="R753" s="90"/>
      <c r="S753" s="140" t="s">
        <v>207</v>
      </c>
      <c r="T753" s="90"/>
      <c r="U753" s="140" t="s">
        <v>207</v>
      </c>
      <c r="V753" s="90"/>
      <c r="W753" s="140" t="s">
        <v>207</v>
      </c>
      <c r="X753" s="90"/>
      <c r="Y753" s="140" t="s">
        <v>77</v>
      </c>
      <c r="Z753" s="90"/>
      <c r="AA753" s="140" t="s">
        <v>207</v>
      </c>
      <c r="AB753" s="90"/>
      <c r="AC753" s="140" t="s">
        <v>207</v>
      </c>
      <c r="AD753" s="90"/>
      <c r="AE753" s="140" t="s">
        <v>207</v>
      </c>
      <c r="AF753" s="178" t="str">
        <f t="shared" si="33"/>
        <v>C</v>
      </c>
      <c r="AG753" s="52" t="str">
        <f t="shared" si="34"/>
        <v>UTILIZOU O PDA CORRETAMENTE</v>
      </c>
      <c r="AH753" s="140" t="s">
        <v>207</v>
      </c>
      <c r="AI753" s="182" t="s">
        <v>36</v>
      </c>
      <c r="AJ753" s="93" t="str">
        <f t="shared" si="35"/>
        <v>SÃO PAULO</v>
      </c>
      <c r="AK753" s="183" t="s">
        <v>54</v>
      </c>
    </row>
    <row r="754" spans="1:37" ht="30" customHeight="1">
      <c r="A754" s="197" t="s">
        <v>198</v>
      </c>
      <c r="B754" s="197">
        <v>2694246762</v>
      </c>
      <c r="C754" s="197" t="s">
        <v>122</v>
      </c>
      <c r="D754" s="197" t="s">
        <v>96</v>
      </c>
      <c r="E754" s="197" t="s">
        <v>35</v>
      </c>
      <c r="F754" s="197" t="s">
        <v>1470</v>
      </c>
      <c r="G754" s="197">
        <v>26</v>
      </c>
      <c r="H754" s="197" t="s">
        <v>257</v>
      </c>
      <c r="I754" s="197" t="s">
        <v>479</v>
      </c>
      <c r="J754" s="197" t="s">
        <v>315</v>
      </c>
      <c r="K754" s="197" t="s">
        <v>200</v>
      </c>
      <c r="L754" s="203">
        <v>46169.155555555553</v>
      </c>
      <c r="M754" s="203">
        <v>46169.24722222222</v>
      </c>
      <c r="N754" s="197" t="s">
        <v>403</v>
      </c>
      <c r="O754" s="152" t="s">
        <v>207</v>
      </c>
      <c r="P754" s="90"/>
      <c r="Q754" s="140" t="s">
        <v>207</v>
      </c>
      <c r="R754" s="90"/>
      <c r="S754" s="140" t="s">
        <v>207</v>
      </c>
      <c r="T754" s="90"/>
      <c r="U754" s="140" t="s">
        <v>207</v>
      </c>
      <c r="V754" s="90"/>
      <c r="W754" s="140" t="s">
        <v>207</v>
      </c>
      <c r="X754" s="90"/>
      <c r="Y754" s="140" t="s">
        <v>77</v>
      </c>
      <c r="Z754" s="90"/>
      <c r="AA754" s="140" t="s">
        <v>207</v>
      </c>
      <c r="AB754" s="90"/>
      <c r="AC754" s="140" t="s">
        <v>207</v>
      </c>
      <c r="AD754" s="90"/>
      <c r="AE754" s="140" t="s">
        <v>207</v>
      </c>
      <c r="AF754" s="178" t="str">
        <f t="shared" si="33"/>
        <v>C</v>
      </c>
      <c r="AG754" s="52" t="str">
        <f t="shared" si="34"/>
        <v>UTILIZOU O PDA CORRETAMENTE</v>
      </c>
      <c r="AH754" s="140" t="s">
        <v>207</v>
      </c>
      <c r="AI754" s="182" t="s">
        <v>36</v>
      </c>
      <c r="AJ754" s="93" t="str">
        <f t="shared" si="35"/>
        <v>SÃO PAULO</v>
      </c>
      <c r="AK754" s="183" t="s">
        <v>54</v>
      </c>
    </row>
    <row r="755" spans="1:37" ht="30" customHeight="1">
      <c r="A755" s="197" t="s">
        <v>198</v>
      </c>
      <c r="B755" s="197">
        <v>2622122141</v>
      </c>
      <c r="C755" s="197" t="s">
        <v>118</v>
      </c>
      <c r="D755" s="197" t="s">
        <v>96</v>
      </c>
      <c r="E755" s="197" t="s">
        <v>35</v>
      </c>
      <c r="F755" s="197" t="s">
        <v>1471</v>
      </c>
      <c r="G755" s="197">
        <v>185</v>
      </c>
      <c r="H755" s="197" t="s">
        <v>208</v>
      </c>
      <c r="I755" s="197" t="s">
        <v>569</v>
      </c>
      <c r="J755" s="197" t="s">
        <v>267</v>
      </c>
      <c r="K755" s="197" t="s">
        <v>1472</v>
      </c>
      <c r="L755" s="203">
        <v>46169.313888888886</v>
      </c>
      <c r="M755" s="203">
        <v>46169.316666666666</v>
      </c>
      <c r="N755" s="197" t="s">
        <v>349</v>
      </c>
      <c r="O755" s="152" t="s">
        <v>207</v>
      </c>
      <c r="P755" s="90"/>
      <c r="Q755" s="140" t="s">
        <v>207</v>
      </c>
      <c r="R755" s="90"/>
      <c r="S755" s="140" t="s">
        <v>207</v>
      </c>
      <c r="T755" s="90"/>
      <c r="U755" s="140" t="s">
        <v>207</v>
      </c>
      <c r="V755" s="90"/>
      <c r="W755" s="140" t="s">
        <v>207</v>
      </c>
      <c r="X755" s="90"/>
      <c r="Y755" s="140" t="s">
        <v>77</v>
      </c>
      <c r="Z755" s="90"/>
      <c r="AA755" s="140" t="s">
        <v>207</v>
      </c>
      <c r="AB755" s="90"/>
      <c r="AC755" s="140" t="s">
        <v>207</v>
      </c>
      <c r="AD755" s="90"/>
      <c r="AE755" s="140" t="s">
        <v>207</v>
      </c>
      <c r="AF755" s="178" t="str">
        <f t="shared" si="33"/>
        <v>C</v>
      </c>
      <c r="AG755" s="52" t="str">
        <f t="shared" si="34"/>
        <v>UTILIZOU O PDA CORRETAMENTE</v>
      </c>
      <c r="AH755" s="140" t="s">
        <v>207</v>
      </c>
      <c r="AI755" s="182" t="s">
        <v>36</v>
      </c>
      <c r="AJ755" s="93" t="str">
        <f t="shared" si="35"/>
        <v>SÃO PAULO</v>
      </c>
      <c r="AK755" s="183" t="s">
        <v>54</v>
      </c>
    </row>
    <row r="756" spans="1:37" ht="30" customHeight="1">
      <c r="A756" s="197" t="s">
        <v>198</v>
      </c>
      <c r="B756" s="197">
        <v>2621916124</v>
      </c>
      <c r="C756" s="197" t="s">
        <v>115</v>
      </c>
      <c r="D756" s="197" t="s">
        <v>96</v>
      </c>
      <c r="E756" s="197" t="s">
        <v>35</v>
      </c>
      <c r="F756" s="197" t="s">
        <v>1473</v>
      </c>
      <c r="G756" s="197">
        <v>237</v>
      </c>
      <c r="H756" s="197" t="s">
        <v>200</v>
      </c>
      <c r="I756" s="197" t="s">
        <v>571</v>
      </c>
      <c r="J756" s="197" t="s">
        <v>268</v>
      </c>
      <c r="K756" s="197" t="s">
        <v>200</v>
      </c>
      <c r="L756" s="203">
        <v>46169.584722222222</v>
      </c>
      <c r="M756" s="203">
        <v>46169.586805555555</v>
      </c>
      <c r="N756" s="197" t="s">
        <v>288</v>
      </c>
      <c r="O756" s="152" t="s">
        <v>207</v>
      </c>
      <c r="P756" s="90"/>
      <c r="Q756" s="140" t="s">
        <v>207</v>
      </c>
      <c r="R756" s="90"/>
      <c r="S756" s="140" t="s">
        <v>207</v>
      </c>
      <c r="T756" s="90"/>
      <c r="U756" s="140" t="s">
        <v>207</v>
      </c>
      <c r="V756" s="90"/>
      <c r="W756" s="140" t="s">
        <v>207</v>
      </c>
      <c r="X756" s="90"/>
      <c r="Y756" s="140" t="s">
        <v>207</v>
      </c>
      <c r="Z756" s="90"/>
      <c r="AA756" s="140" t="s">
        <v>207</v>
      </c>
      <c r="AB756" s="90"/>
      <c r="AC756" s="140" t="s">
        <v>207</v>
      </c>
      <c r="AD756" s="90"/>
      <c r="AE756" s="140" t="s">
        <v>207</v>
      </c>
      <c r="AF756" s="178" t="str">
        <f t="shared" si="33"/>
        <v>C</v>
      </c>
      <c r="AG756" s="52" t="str">
        <f t="shared" si="34"/>
        <v>UTILIZOU O PDA CORRETAMENTE</v>
      </c>
      <c r="AH756" s="140" t="s">
        <v>207</v>
      </c>
      <c r="AI756" s="182" t="s">
        <v>36</v>
      </c>
      <c r="AJ756" s="93" t="str">
        <f t="shared" si="35"/>
        <v>SÃO PAULO</v>
      </c>
      <c r="AK756" s="183" t="s">
        <v>54</v>
      </c>
    </row>
    <row r="757" spans="1:37" ht="30" customHeight="1">
      <c r="A757" s="197" t="s">
        <v>198</v>
      </c>
      <c r="B757" s="197">
        <v>2694229793</v>
      </c>
      <c r="C757" s="197" t="s">
        <v>117</v>
      </c>
      <c r="D757" s="197" t="s">
        <v>96</v>
      </c>
      <c r="E757" s="197" t="s">
        <v>35</v>
      </c>
      <c r="F757" s="197" t="s">
        <v>844</v>
      </c>
      <c r="G757" s="197">
        <v>345</v>
      </c>
      <c r="H757" s="197" t="s">
        <v>205</v>
      </c>
      <c r="I757" s="197" t="s">
        <v>1381</v>
      </c>
      <c r="J757" s="197" t="s">
        <v>301</v>
      </c>
      <c r="K757" s="197" t="s">
        <v>1474</v>
      </c>
      <c r="L757" s="203">
        <v>46169.247916666667</v>
      </c>
      <c r="M757" s="203">
        <v>46169.444444444445</v>
      </c>
      <c r="N757" s="197" t="s">
        <v>331</v>
      </c>
      <c r="O757" s="152" t="s">
        <v>207</v>
      </c>
      <c r="P757" s="90"/>
      <c r="Q757" s="140" t="s">
        <v>207</v>
      </c>
      <c r="R757" s="90"/>
      <c r="S757" s="140" t="s">
        <v>207</v>
      </c>
      <c r="T757" s="90"/>
      <c r="U757" s="140" t="s">
        <v>207</v>
      </c>
      <c r="V757" s="90"/>
      <c r="W757" s="140" t="s">
        <v>207</v>
      </c>
      <c r="X757" s="90"/>
      <c r="Y757" s="140" t="s">
        <v>77</v>
      </c>
      <c r="Z757" s="90"/>
      <c r="AA757" s="140" t="s">
        <v>207</v>
      </c>
      <c r="AB757" s="90"/>
      <c r="AC757" s="140" t="s">
        <v>207</v>
      </c>
      <c r="AD757" s="90"/>
      <c r="AE757" s="140" t="s">
        <v>207</v>
      </c>
      <c r="AF757" s="178" t="str">
        <f t="shared" si="33"/>
        <v>C</v>
      </c>
      <c r="AG757" s="52" t="str">
        <f t="shared" si="34"/>
        <v>UTILIZOU O PDA CORRETAMENTE</v>
      </c>
      <c r="AH757" s="140" t="s">
        <v>207</v>
      </c>
      <c r="AI757" s="182" t="s">
        <v>36</v>
      </c>
      <c r="AJ757" s="93" t="str">
        <f t="shared" si="35"/>
        <v>SÃO PAULO</v>
      </c>
      <c r="AK757" s="183" t="s">
        <v>54</v>
      </c>
    </row>
    <row r="758" spans="1:37" ht="30" customHeight="1">
      <c r="A758" s="197" t="s">
        <v>198</v>
      </c>
      <c r="B758" s="197">
        <v>2622112575</v>
      </c>
      <c r="C758" s="197" t="s">
        <v>121</v>
      </c>
      <c r="D758" s="197" t="s">
        <v>96</v>
      </c>
      <c r="E758" s="197" t="s">
        <v>35</v>
      </c>
      <c r="F758" s="197" t="s">
        <v>1475</v>
      </c>
      <c r="G758" s="197">
        <v>0</v>
      </c>
      <c r="H758" s="197" t="s">
        <v>1476</v>
      </c>
      <c r="I758" s="197" t="s">
        <v>399</v>
      </c>
      <c r="J758" s="197" t="s">
        <v>202</v>
      </c>
      <c r="K758" s="197" t="s">
        <v>200</v>
      </c>
      <c r="L758" s="203">
        <v>46169.086111111108</v>
      </c>
      <c r="M758" s="203">
        <v>46169.155555555553</v>
      </c>
      <c r="N758" s="197" t="s">
        <v>235</v>
      </c>
      <c r="O758" s="152" t="s">
        <v>207</v>
      </c>
      <c r="P758" s="90"/>
      <c r="Q758" s="140" t="s">
        <v>207</v>
      </c>
      <c r="R758" s="90"/>
      <c r="S758" s="140" t="s">
        <v>207</v>
      </c>
      <c r="T758" s="90"/>
      <c r="U758" s="140" t="s">
        <v>207</v>
      </c>
      <c r="V758" s="90"/>
      <c r="W758" s="140" t="s">
        <v>207</v>
      </c>
      <c r="X758" s="90"/>
      <c r="Y758" s="140" t="s">
        <v>77</v>
      </c>
      <c r="Z758" s="90"/>
      <c r="AA758" s="140" t="s">
        <v>207</v>
      </c>
      <c r="AB758" s="90"/>
      <c r="AC758" s="140" t="s">
        <v>207</v>
      </c>
      <c r="AD758" s="90"/>
      <c r="AE758" s="140" t="s">
        <v>207</v>
      </c>
      <c r="AF758" s="178" t="str">
        <f t="shared" si="33"/>
        <v>C</v>
      </c>
      <c r="AG758" s="52" t="str">
        <f t="shared" si="34"/>
        <v>UTILIZOU O PDA CORRETAMENTE</v>
      </c>
      <c r="AH758" s="140" t="s">
        <v>207</v>
      </c>
      <c r="AI758" s="182" t="s">
        <v>36</v>
      </c>
      <c r="AJ758" s="93" t="str">
        <f t="shared" si="35"/>
        <v>SÃO PAULO</v>
      </c>
      <c r="AK758" s="183" t="s">
        <v>54</v>
      </c>
    </row>
    <row r="759" spans="1:37" ht="30" customHeight="1">
      <c r="A759" s="197" t="s">
        <v>198</v>
      </c>
      <c r="B759" s="197">
        <v>2694229553</v>
      </c>
      <c r="C759" s="197" t="s">
        <v>117</v>
      </c>
      <c r="D759" s="197" t="s">
        <v>96</v>
      </c>
      <c r="E759" s="197" t="s">
        <v>35</v>
      </c>
      <c r="F759" s="197" t="s">
        <v>1378</v>
      </c>
      <c r="G759" s="197">
        <v>132</v>
      </c>
      <c r="H759" s="197" t="s">
        <v>208</v>
      </c>
      <c r="I759" s="197" t="s">
        <v>303</v>
      </c>
      <c r="J759" s="197" t="s">
        <v>260</v>
      </c>
      <c r="K759" s="197"/>
      <c r="L759" s="203">
        <v>46169.50277777778</v>
      </c>
      <c r="M759" s="203">
        <v>46169.67083333333</v>
      </c>
      <c r="N759" s="197" t="s">
        <v>295</v>
      </c>
      <c r="O759" s="152" t="s">
        <v>207</v>
      </c>
      <c r="P759" s="90"/>
      <c r="Q759" s="140" t="s">
        <v>207</v>
      </c>
      <c r="R759" s="90"/>
      <c r="S759" s="140" t="s">
        <v>207</v>
      </c>
      <c r="T759" s="90"/>
      <c r="U759" s="140" t="s">
        <v>207</v>
      </c>
      <c r="V759" s="90"/>
      <c r="W759" s="140" t="s">
        <v>207</v>
      </c>
      <c r="X759" s="90"/>
      <c r="Y759" s="140" t="s">
        <v>77</v>
      </c>
      <c r="Z759" s="90"/>
      <c r="AA759" s="140" t="s">
        <v>207</v>
      </c>
      <c r="AB759" s="90"/>
      <c r="AC759" s="140" t="s">
        <v>207</v>
      </c>
      <c r="AD759" s="90"/>
      <c r="AE759" s="140" t="s">
        <v>207</v>
      </c>
      <c r="AF759" s="178" t="str">
        <f t="shared" si="33"/>
        <v>C</v>
      </c>
      <c r="AG759" s="52" t="str">
        <f t="shared" si="34"/>
        <v>UTILIZOU O PDA CORRETAMENTE</v>
      </c>
      <c r="AH759" s="140" t="s">
        <v>207</v>
      </c>
      <c r="AI759" s="182" t="s">
        <v>36</v>
      </c>
      <c r="AJ759" s="93" t="str">
        <f t="shared" si="35"/>
        <v>SÃO PAULO</v>
      </c>
      <c r="AK759" s="183" t="s">
        <v>54</v>
      </c>
    </row>
    <row r="760" spans="1:37" ht="30" customHeight="1">
      <c r="A760" s="197" t="s">
        <v>198</v>
      </c>
      <c r="B760" s="197">
        <v>2694226223</v>
      </c>
      <c r="C760" s="197" t="s">
        <v>119</v>
      </c>
      <c r="D760" s="197" t="s">
        <v>96</v>
      </c>
      <c r="E760" s="197" t="s">
        <v>35</v>
      </c>
      <c r="F760" s="197" t="s">
        <v>1477</v>
      </c>
      <c r="G760" s="197">
        <v>58</v>
      </c>
      <c r="H760" s="197" t="s">
        <v>200</v>
      </c>
      <c r="I760" s="197" t="s">
        <v>305</v>
      </c>
      <c r="J760" s="197" t="s">
        <v>260</v>
      </c>
      <c r="K760" s="197" t="s">
        <v>200</v>
      </c>
      <c r="L760" s="203">
        <v>46169.270833333336</v>
      </c>
      <c r="M760" s="203">
        <v>46169.288888888892</v>
      </c>
      <c r="N760" s="197" t="s">
        <v>327</v>
      </c>
      <c r="O760" s="152" t="s">
        <v>207</v>
      </c>
      <c r="P760" s="90"/>
      <c r="Q760" s="140" t="s">
        <v>207</v>
      </c>
      <c r="R760" s="90"/>
      <c r="S760" s="140" t="s">
        <v>207</v>
      </c>
      <c r="T760" s="90"/>
      <c r="U760" s="140" t="s">
        <v>207</v>
      </c>
      <c r="V760" s="90"/>
      <c r="W760" s="140" t="s">
        <v>207</v>
      </c>
      <c r="X760" s="90"/>
      <c r="Y760" s="140" t="s">
        <v>77</v>
      </c>
      <c r="Z760" s="90"/>
      <c r="AA760" s="140" t="s">
        <v>207</v>
      </c>
      <c r="AB760" s="90"/>
      <c r="AC760" s="140" t="s">
        <v>207</v>
      </c>
      <c r="AD760" s="90"/>
      <c r="AE760" s="140" t="s">
        <v>207</v>
      </c>
      <c r="AF760" s="178" t="str">
        <f t="shared" si="33"/>
        <v>C</v>
      </c>
      <c r="AG760" s="52" t="str">
        <f t="shared" si="34"/>
        <v>UTILIZOU O PDA CORRETAMENTE</v>
      </c>
      <c r="AH760" s="140" t="s">
        <v>207</v>
      </c>
      <c r="AI760" s="182" t="s">
        <v>36</v>
      </c>
      <c r="AJ760" s="93" t="str">
        <f t="shared" si="35"/>
        <v>SÃO PAULO</v>
      </c>
      <c r="AK760" s="183" t="s">
        <v>54</v>
      </c>
    </row>
    <row r="761" spans="1:37" ht="30" customHeight="1">
      <c r="A761" s="197" t="s">
        <v>198</v>
      </c>
      <c r="B761" s="197">
        <v>2622141143</v>
      </c>
      <c r="C761" s="197" t="s">
        <v>99</v>
      </c>
      <c r="D761" s="197" t="s">
        <v>92</v>
      </c>
      <c r="E761" s="197" t="s">
        <v>35</v>
      </c>
      <c r="F761" s="197" t="s">
        <v>1478</v>
      </c>
      <c r="G761" s="197">
        <v>385</v>
      </c>
      <c r="H761" s="197" t="s">
        <v>1479</v>
      </c>
      <c r="I761" s="197" t="s">
        <v>1480</v>
      </c>
      <c r="J761" s="197" t="s">
        <v>374</v>
      </c>
      <c r="K761" s="197"/>
      <c r="L761" s="203">
        <v>46169.283333333333</v>
      </c>
      <c r="M761" s="203">
        <v>46169.286805555559</v>
      </c>
      <c r="N761" s="197" t="s">
        <v>251</v>
      </c>
      <c r="O761" s="152" t="s">
        <v>207</v>
      </c>
      <c r="P761" s="90"/>
      <c r="Q761" s="140" t="s">
        <v>77</v>
      </c>
      <c r="R761" s="90"/>
      <c r="S761" s="140" t="s">
        <v>77</v>
      </c>
      <c r="T761" s="90"/>
      <c r="U761" s="140" t="s">
        <v>77</v>
      </c>
      <c r="V761" s="90"/>
      <c r="W761" s="140" t="s">
        <v>77</v>
      </c>
      <c r="X761" s="90"/>
      <c r="Y761" s="140" t="s">
        <v>77</v>
      </c>
      <c r="Z761" s="90"/>
      <c r="AA761" s="140" t="s">
        <v>77</v>
      </c>
      <c r="AB761" s="90"/>
      <c r="AC761" s="140" t="s">
        <v>207</v>
      </c>
      <c r="AD761" s="90"/>
      <c r="AE761" s="140" t="s">
        <v>207</v>
      </c>
      <c r="AF761" s="178" t="str">
        <f t="shared" si="33"/>
        <v>C</v>
      </c>
      <c r="AG761" s="52" t="str">
        <f t="shared" si="34"/>
        <v>UTILIZOU O PDA CORRETAMENTE</v>
      </c>
      <c r="AH761" s="140" t="s">
        <v>207</v>
      </c>
      <c r="AI761" s="182" t="s">
        <v>36</v>
      </c>
      <c r="AJ761" s="93" t="str">
        <f t="shared" si="35"/>
        <v>SÃO PAULO</v>
      </c>
      <c r="AK761" s="183" t="s">
        <v>54</v>
      </c>
    </row>
    <row r="762" spans="1:37" ht="30" customHeight="1">
      <c r="A762" s="197" t="s">
        <v>198</v>
      </c>
      <c r="B762" s="197">
        <v>2622141190</v>
      </c>
      <c r="C762" s="197" t="s">
        <v>99</v>
      </c>
      <c r="D762" s="197" t="s">
        <v>92</v>
      </c>
      <c r="E762" s="197" t="s">
        <v>35</v>
      </c>
      <c r="F762" s="197" t="s">
        <v>1478</v>
      </c>
      <c r="G762" s="197">
        <v>385</v>
      </c>
      <c r="H762" s="197" t="s">
        <v>1421</v>
      </c>
      <c r="I762" s="197" t="s">
        <v>1480</v>
      </c>
      <c r="J762" s="197" t="s">
        <v>374</v>
      </c>
      <c r="K762" s="197" t="s">
        <v>200</v>
      </c>
      <c r="L762" s="203">
        <v>46169.252083333333</v>
      </c>
      <c r="M762" s="203">
        <v>46169.253472222219</v>
      </c>
      <c r="N762" s="197" t="s">
        <v>251</v>
      </c>
      <c r="O762" s="152" t="s">
        <v>207</v>
      </c>
      <c r="P762" s="90"/>
      <c r="Q762" s="140" t="s">
        <v>77</v>
      </c>
      <c r="R762" s="90"/>
      <c r="S762" s="140" t="s">
        <v>77</v>
      </c>
      <c r="T762" s="90"/>
      <c r="U762" s="140" t="s">
        <v>77</v>
      </c>
      <c r="V762" s="90"/>
      <c r="W762" s="140" t="s">
        <v>77</v>
      </c>
      <c r="X762" s="90"/>
      <c r="Y762" s="140" t="s">
        <v>77</v>
      </c>
      <c r="Z762" s="90"/>
      <c r="AA762" s="140" t="s">
        <v>77</v>
      </c>
      <c r="AB762" s="90"/>
      <c r="AC762" s="140" t="s">
        <v>207</v>
      </c>
      <c r="AD762" s="90"/>
      <c r="AE762" s="140" t="s">
        <v>207</v>
      </c>
      <c r="AF762" s="178" t="str">
        <f t="shared" si="33"/>
        <v>C</v>
      </c>
      <c r="AG762" s="52" t="str">
        <f t="shared" si="34"/>
        <v>UTILIZOU O PDA CORRETAMENTE</v>
      </c>
      <c r="AH762" s="140" t="s">
        <v>207</v>
      </c>
      <c r="AI762" s="182" t="s">
        <v>36</v>
      </c>
      <c r="AJ762" s="93" t="str">
        <f t="shared" si="35"/>
        <v>SÃO PAULO</v>
      </c>
      <c r="AK762" s="183" t="s">
        <v>54</v>
      </c>
    </row>
    <row r="763" spans="1:37" ht="30" customHeight="1">
      <c r="A763" s="197" t="s">
        <v>198</v>
      </c>
      <c r="B763" s="197">
        <v>2621885592</v>
      </c>
      <c r="C763" s="197" t="s">
        <v>101</v>
      </c>
      <c r="D763" s="197" t="s">
        <v>92</v>
      </c>
      <c r="E763" s="197" t="s">
        <v>35</v>
      </c>
      <c r="F763" s="197" t="s">
        <v>1481</v>
      </c>
      <c r="G763" s="197">
        <v>397</v>
      </c>
      <c r="H763" s="197" t="s">
        <v>347</v>
      </c>
      <c r="I763" s="197" t="s">
        <v>447</v>
      </c>
      <c r="J763" s="197" t="s">
        <v>101</v>
      </c>
      <c r="K763" s="197" t="s">
        <v>1452</v>
      </c>
      <c r="L763" s="203">
        <v>46169.444444444445</v>
      </c>
      <c r="M763" s="203">
        <v>46169.45</v>
      </c>
      <c r="N763" s="197" t="s">
        <v>364</v>
      </c>
      <c r="O763" s="152" t="s">
        <v>207</v>
      </c>
      <c r="P763" s="90"/>
      <c r="Q763" s="140" t="s">
        <v>77</v>
      </c>
      <c r="R763" s="90"/>
      <c r="S763" s="140" t="s">
        <v>77</v>
      </c>
      <c r="T763" s="90"/>
      <c r="U763" s="140" t="s">
        <v>77</v>
      </c>
      <c r="V763" s="90"/>
      <c r="W763" s="140" t="s">
        <v>77</v>
      </c>
      <c r="X763" s="90"/>
      <c r="Y763" s="140" t="s">
        <v>77</v>
      </c>
      <c r="Z763" s="90"/>
      <c r="AA763" s="140" t="s">
        <v>77</v>
      </c>
      <c r="AB763" s="90"/>
      <c r="AC763" s="140" t="s">
        <v>207</v>
      </c>
      <c r="AD763" s="90"/>
      <c r="AE763" s="140" t="s">
        <v>207</v>
      </c>
      <c r="AF763" s="178" t="str">
        <f t="shared" si="33"/>
        <v>C</v>
      </c>
      <c r="AG763" s="52" t="str">
        <f t="shared" si="34"/>
        <v>UTILIZOU O PDA CORRETAMENTE</v>
      </c>
      <c r="AH763" s="140" t="s">
        <v>207</v>
      </c>
      <c r="AI763" s="182" t="s">
        <v>36</v>
      </c>
      <c r="AJ763" s="93" t="str">
        <f t="shared" si="35"/>
        <v>SÃO PAULO</v>
      </c>
      <c r="AK763" s="183" t="s">
        <v>54</v>
      </c>
    </row>
    <row r="764" spans="1:37" ht="30" customHeight="1">
      <c r="A764" s="197" t="s">
        <v>198</v>
      </c>
      <c r="B764" s="197">
        <v>2621887197</v>
      </c>
      <c r="C764" s="197" t="s">
        <v>101</v>
      </c>
      <c r="D764" s="197" t="s">
        <v>92</v>
      </c>
      <c r="E764" s="197" t="s">
        <v>35</v>
      </c>
      <c r="F764" s="197" t="s">
        <v>1481</v>
      </c>
      <c r="G764" s="197">
        <v>397</v>
      </c>
      <c r="H764" s="197" t="s">
        <v>401</v>
      </c>
      <c r="I764" s="197" t="s">
        <v>447</v>
      </c>
      <c r="J764" s="197" t="s">
        <v>101</v>
      </c>
      <c r="K764" s="197" t="s">
        <v>200</v>
      </c>
      <c r="L764" s="203">
        <v>46169.451388888891</v>
      </c>
      <c r="M764" s="203">
        <v>46169.456944444442</v>
      </c>
      <c r="N764" s="197" t="s">
        <v>364</v>
      </c>
      <c r="O764" s="152" t="s">
        <v>207</v>
      </c>
      <c r="P764" s="90"/>
      <c r="Q764" s="140" t="s">
        <v>77</v>
      </c>
      <c r="R764" s="90"/>
      <c r="S764" s="140" t="s">
        <v>77</v>
      </c>
      <c r="T764" s="90"/>
      <c r="U764" s="140" t="s">
        <v>77</v>
      </c>
      <c r="V764" s="90"/>
      <c r="W764" s="140" t="s">
        <v>77</v>
      </c>
      <c r="X764" s="90"/>
      <c r="Y764" s="140" t="s">
        <v>77</v>
      </c>
      <c r="Z764" s="90"/>
      <c r="AA764" s="140" t="s">
        <v>77</v>
      </c>
      <c r="AB764" s="90"/>
      <c r="AC764" s="140" t="s">
        <v>207</v>
      </c>
      <c r="AD764" s="90"/>
      <c r="AE764" s="140" t="s">
        <v>207</v>
      </c>
      <c r="AF764" s="178" t="str">
        <f t="shared" si="33"/>
        <v>C</v>
      </c>
      <c r="AG764" s="52" t="str">
        <f t="shared" si="34"/>
        <v>UTILIZOU O PDA CORRETAMENTE</v>
      </c>
      <c r="AH764" s="140" t="s">
        <v>207</v>
      </c>
      <c r="AI764" s="182" t="s">
        <v>36</v>
      </c>
      <c r="AJ764" s="93" t="str">
        <f t="shared" si="35"/>
        <v>SÃO PAULO</v>
      </c>
      <c r="AK764" s="183" t="s">
        <v>54</v>
      </c>
    </row>
    <row r="765" spans="1:37" ht="30" customHeight="1">
      <c r="A765" s="197" t="s">
        <v>198</v>
      </c>
      <c r="B765" s="197">
        <v>2622129653</v>
      </c>
      <c r="C765" s="197" t="s">
        <v>99</v>
      </c>
      <c r="D765" s="197" t="s">
        <v>92</v>
      </c>
      <c r="E765" s="197" t="s">
        <v>35</v>
      </c>
      <c r="F765" s="197" t="s">
        <v>1478</v>
      </c>
      <c r="G765" s="197">
        <v>385</v>
      </c>
      <c r="H765" s="197" t="s">
        <v>255</v>
      </c>
      <c r="I765" s="197" t="s">
        <v>1480</v>
      </c>
      <c r="J765" s="197" t="s">
        <v>374</v>
      </c>
      <c r="K765" s="197"/>
      <c r="L765" s="203">
        <v>46169.246527777781</v>
      </c>
      <c r="M765" s="203">
        <v>46169.247916666667</v>
      </c>
      <c r="N765" s="197" t="s">
        <v>251</v>
      </c>
      <c r="O765" s="152" t="s">
        <v>207</v>
      </c>
      <c r="P765" s="90"/>
      <c r="Q765" s="140" t="s">
        <v>77</v>
      </c>
      <c r="R765" s="90"/>
      <c r="S765" s="140" t="s">
        <v>77</v>
      </c>
      <c r="T765" s="90"/>
      <c r="U765" s="140" t="s">
        <v>77</v>
      </c>
      <c r="V765" s="90"/>
      <c r="W765" s="140" t="s">
        <v>77</v>
      </c>
      <c r="X765" s="90"/>
      <c r="Y765" s="140" t="s">
        <v>77</v>
      </c>
      <c r="Z765" s="90"/>
      <c r="AA765" s="140" t="s">
        <v>77</v>
      </c>
      <c r="AB765" s="90"/>
      <c r="AC765" s="140" t="s">
        <v>207</v>
      </c>
      <c r="AD765" s="90"/>
      <c r="AE765" s="140" t="s">
        <v>207</v>
      </c>
      <c r="AF765" s="178" t="str">
        <f t="shared" si="33"/>
        <v>C</v>
      </c>
      <c r="AG765" s="52" t="str">
        <f t="shared" si="34"/>
        <v>UTILIZOU O PDA CORRETAMENTE</v>
      </c>
      <c r="AH765" s="140" t="s">
        <v>207</v>
      </c>
      <c r="AI765" s="182" t="s">
        <v>36</v>
      </c>
      <c r="AJ765" s="93" t="str">
        <f t="shared" si="35"/>
        <v>SÃO PAULO</v>
      </c>
      <c r="AK765" s="183" t="s">
        <v>54</v>
      </c>
    </row>
    <row r="766" spans="1:37" ht="30" customHeight="1">
      <c r="A766" s="197" t="s">
        <v>198</v>
      </c>
      <c r="B766" s="197">
        <v>2622129715</v>
      </c>
      <c r="C766" s="197" t="s">
        <v>99</v>
      </c>
      <c r="D766" s="197" t="s">
        <v>92</v>
      </c>
      <c r="E766" s="197" t="s">
        <v>35</v>
      </c>
      <c r="F766" s="197" t="s">
        <v>1478</v>
      </c>
      <c r="G766" s="197">
        <v>385</v>
      </c>
      <c r="H766" s="197" t="s">
        <v>380</v>
      </c>
      <c r="I766" s="197" t="s">
        <v>1480</v>
      </c>
      <c r="J766" s="197" t="s">
        <v>374</v>
      </c>
      <c r="K766" s="197" t="s">
        <v>200</v>
      </c>
      <c r="L766" s="203">
        <v>46169.249305555553</v>
      </c>
      <c r="M766" s="203">
        <v>46169.251388888886</v>
      </c>
      <c r="N766" s="197" t="s">
        <v>251</v>
      </c>
      <c r="O766" s="152" t="s">
        <v>207</v>
      </c>
      <c r="P766" s="90"/>
      <c r="Q766" s="140" t="s">
        <v>77</v>
      </c>
      <c r="R766" s="90"/>
      <c r="S766" s="140" t="s">
        <v>77</v>
      </c>
      <c r="T766" s="90"/>
      <c r="U766" s="140" t="s">
        <v>77</v>
      </c>
      <c r="V766" s="90"/>
      <c r="W766" s="140" t="s">
        <v>77</v>
      </c>
      <c r="X766" s="90"/>
      <c r="Y766" s="140" t="s">
        <v>77</v>
      </c>
      <c r="Z766" s="90"/>
      <c r="AA766" s="140" t="s">
        <v>77</v>
      </c>
      <c r="AB766" s="90"/>
      <c r="AC766" s="140" t="s">
        <v>207</v>
      </c>
      <c r="AD766" s="90"/>
      <c r="AE766" s="140" t="s">
        <v>207</v>
      </c>
      <c r="AF766" s="178" t="str">
        <f t="shared" si="33"/>
        <v>C</v>
      </c>
      <c r="AG766" s="52" t="str">
        <f t="shared" si="34"/>
        <v>UTILIZOU O PDA CORRETAMENTE</v>
      </c>
      <c r="AH766" s="140" t="s">
        <v>207</v>
      </c>
      <c r="AI766" s="182" t="s">
        <v>36</v>
      </c>
      <c r="AJ766" s="93" t="str">
        <f t="shared" si="35"/>
        <v>SÃO PAULO</v>
      </c>
      <c r="AK766" s="183" t="s">
        <v>54</v>
      </c>
    </row>
    <row r="767" spans="1:37" ht="30" customHeight="1">
      <c r="A767" s="197" t="s">
        <v>198</v>
      </c>
      <c r="B767" s="197">
        <v>2622142998</v>
      </c>
      <c r="C767" s="197" t="s">
        <v>99</v>
      </c>
      <c r="D767" s="197" t="s">
        <v>92</v>
      </c>
      <c r="E767" s="197" t="s">
        <v>35</v>
      </c>
      <c r="F767" s="197" t="s">
        <v>1478</v>
      </c>
      <c r="G767" s="197">
        <v>385</v>
      </c>
      <c r="H767" s="197" t="s">
        <v>1482</v>
      </c>
      <c r="I767" s="197" t="s">
        <v>1480</v>
      </c>
      <c r="J767" s="197" t="s">
        <v>374</v>
      </c>
      <c r="K767" s="197"/>
      <c r="L767" s="203">
        <v>46169.318055555559</v>
      </c>
      <c r="M767" s="203">
        <v>46169.319444444445</v>
      </c>
      <c r="N767" s="197" t="s">
        <v>251</v>
      </c>
      <c r="O767" s="152" t="s">
        <v>207</v>
      </c>
      <c r="P767" s="90"/>
      <c r="Q767" s="140" t="s">
        <v>77</v>
      </c>
      <c r="R767" s="90"/>
      <c r="S767" s="140" t="s">
        <v>77</v>
      </c>
      <c r="T767" s="90"/>
      <c r="U767" s="140" t="s">
        <v>77</v>
      </c>
      <c r="V767" s="90"/>
      <c r="W767" s="140" t="s">
        <v>77</v>
      </c>
      <c r="X767" s="90"/>
      <c r="Y767" s="140" t="s">
        <v>77</v>
      </c>
      <c r="Z767" s="90"/>
      <c r="AA767" s="140" t="s">
        <v>77</v>
      </c>
      <c r="AB767" s="90"/>
      <c r="AC767" s="140" t="s">
        <v>207</v>
      </c>
      <c r="AD767" s="90"/>
      <c r="AE767" s="140" t="s">
        <v>207</v>
      </c>
      <c r="AF767" s="178" t="str">
        <f t="shared" si="33"/>
        <v>C</v>
      </c>
      <c r="AG767" s="52" t="str">
        <f t="shared" si="34"/>
        <v>UTILIZOU O PDA CORRETAMENTE</v>
      </c>
      <c r="AH767" s="140" t="s">
        <v>207</v>
      </c>
      <c r="AI767" s="182" t="s">
        <v>36</v>
      </c>
      <c r="AJ767" s="93" t="str">
        <f t="shared" si="35"/>
        <v>SÃO PAULO</v>
      </c>
      <c r="AK767" s="183" t="s">
        <v>54</v>
      </c>
    </row>
    <row r="768" spans="1:37" ht="30" customHeight="1">
      <c r="A768" s="197" t="s">
        <v>198</v>
      </c>
      <c r="B768" s="197">
        <v>2622142971</v>
      </c>
      <c r="C768" s="197" t="s">
        <v>99</v>
      </c>
      <c r="D768" s="197" t="s">
        <v>92</v>
      </c>
      <c r="E768" s="197" t="s">
        <v>35</v>
      </c>
      <c r="F768" s="197" t="s">
        <v>1478</v>
      </c>
      <c r="G768" s="197">
        <v>385</v>
      </c>
      <c r="H768" s="197" t="s">
        <v>1483</v>
      </c>
      <c r="I768" s="197" t="s">
        <v>1480</v>
      </c>
      <c r="J768" s="197" t="s">
        <v>374</v>
      </c>
      <c r="K768" s="197" t="s">
        <v>200</v>
      </c>
      <c r="L768" s="203">
        <v>46169.320833333331</v>
      </c>
      <c r="M768" s="203">
        <v>46169.359027777777</v>
      </c>
      <c r="N768" s="197" t="s">
        <v>251</v>
      </c>
      <c r="O768" s="152" t="s">
        <v>207</v>
      </c>
      <c r="P768" s="90"/>
      <c r="Q768" s="140" t="s">
        <v>77</v>
      </c>
      <c r="R768" s="90"/>
      <c r="S768" s="140" t="s">
        <v>77</v>
      </c>
      <c r="T768" s="90"/>
      <c r="U768" s="140" t="s">
        <v>77</v>
      </c>
      <c r="V768" s="90"/>
      <c r="W768" s="140" t="s">
        <v>77</v>
      </c>
      <c r="X768" s="90"/>
      <c r="Y768" s="140" t="s">
        <v>77</v>
      </c>
      <c r="Z768" s="90"/>
      <c r="AA768" s="140" t="s">
        <v>77</v>
      </c>
      <c r="AB768" s="90"/>
      <c r="AC768" s="140" t="s">
        <v>207</v>
      </c>
      <c r="AD768" s="90"/>
      <c r="AE768" s="140" t="s">
        <v>207</v>
      </c>
      <c r="AF768" s="178" t="str">
        <f t="shared" si="33"/>
        <v>C</v>
      </c>
      <c r="AG768" s="52" t="str">
        <f t="shared" si="34"/>
        <v>UTILIZOU O PDA CORRETAMENTE</v>
      </c>
      <c r="AH768" s="140" t="s">
        <v>207</v>
      </c>
      <c r="AI768" s="182" t="s">
        <v>36</v>
      </c>
      <c r="AJ768" s="93" t="str">
        <f t="shared" si="35"/>
        <v>SÃO PAULO</v>
      </c>
      <c r="AK768" s="183" t="s">
        <v>54</v>
      </c>
    </row>
    <row r="769" spans="1:37" ht="30" customHeight="1">
      <c r="A769" s="197" t="s">
        <v>198</v>
      </c>
      <c r="B769" s="197">
        <v>2622146518</v>
      </c>
      <c r="C769" s="197" t="s">
        <v>99</v>
      </c>
      <c r="D769" s="197" t="s">
        <v>92</v>
      </c>
      <c r="E769" s="197" t="s">
        <v>35</v>
      </c>
      <c r="F769" s="197" t="s">
        <v>1478</v>
      </c>
      <c r="G769" s="197">
        <v>385</v>
      </c>
      <c r="H769" s="197" t="s">
        <v>1484</v>
      </c>
      <c r="I769" s="197" t="s">
        <v>1480</v>
      </c>
      <c r="J769" s="197" t="s">
        <v>374</v>
      </c>
      <c r="K769" s="197"/>
      <c r="L769" s="203">
        <v>46169.369444444441</v>
      </c>
      <c r="M769" s="203">
        <v>46169.370833333334</v>
      </c>
      <c r="N769" s="197" t="s">
        <v>251</v>
      </c>
      <c r="O769" s="152" t="s">
        <v>207</v>
      </c>
      <c r="P769" s="90"/>
      <c r="Q769" s="140" t="s">
        <v>77</v>
      </c>
      <c r="R769" s="90"/>
      <c r="S769" s="140" t="s">
        <v>77</v>
      </c>
      <c r="T769" s="90"/>
      <c r="U769" s="140" t="s">
        <v>77</v>
      </c>
      <c r="V769" s="90"/>
      <c r="W769" s="140" t="s">
        <v>77</v>
      </c>
      <c r="X769" s="90"/>
      <c r="Y769" s="140" t="s">
        <v>77</v>
      </c>
      <c r="Z769" s="90"/>
      <c r="AA769" s="140" t="s">
        <v>77</v>
      </c>
      <c r="AB769" s="90"/>
      <c r="AC769" s="140" t="s">
        <v>207</v>
      </c>
      <c r="AD769" s="90"/>
      <c r="AE769" s="140" t="s">
        <v>207</v>
      </c>
      <c r="AF769" s="178" t="str">
        <f t="shared" si="33"/>
        <v>C</v>
      </c>
      <c r="AG769" s="52" t="str">
        <f t="shared" si="34"/>
        <v>UTILIZOU O PDA CORRETAMENTE</v>
      </c>
      <c r="AH769" s="140" t="s">
        <v>207</v>
      </c>
      <c r="AI769" s="182" t="s">
        <v>36</v>
      </c>
      <c r="AJ769" s="93" t="str">
        <f t="shared" si="35"/>
        <v>SÃO PAULO</v>
      </c>
      <c r="AK769" s="183" t="s">
        <v>54</v>
      </c>
    </row>
    <row r="770" spans="1:37" ht="30" customHeight="1">
      <c r="A770" s="197" t="s">
        <v>198</v>
      </c>
      <c r="B770" s="197">
        <v>2622146446</v>
      </c>
      <c r="C770" s="197" t="s">
        <v>99</v>
      </c>
      <c r="D770" s="197" t="s">
        <v>92</v>
      </c>
      <c r="E770" s="197" t="s">
        <v>35</v>
      </c>
      <c r="F770" s="197" t="s">
        <v>1478</v>
      </c>
      <c r="G770" s="197">
        <v>385</v>
      </c>
      <c r="H770" s="197" t="s">
        <v>1485</v>
      </c>
      <c r="I770" s="197" t="s">
        <v>1480</v>
      </c>
      <c r="J770" s="197" t="s">
        <v>374</v>
      </c>
      <c r="K770" s="197" t="s">
        <v>200</v>
      </c>
      <c r="L770" s="203">
        <v>46169.387499999997</v>
      </c>
      <c r="M770" s="203">
        <v>46169.390277777777</v>
      </c>
      <c r="N770" s="197" t="s">
        <v>251</v>
      </c>
      <c r="O770" s="152" t="s">
        <v>207</v>
      </c>
      <c r="P770" s="90"/>
      <c r="Q770" s="140" t="s">
        <v>77</v>
      </c>
      <c r="R770" s="90"/>
      <c r="S770" s="140" t="s">
        <v>77</v>
      </c>
      <c r="T770" s="90"/>
      <c r="U770" s="140" t="s">
        <v>77</v>
      </c>
      <c r="V770" s="90"/>
      <c r="W770" s="140" t="s">
        <v>77</v>
      </c>
      <c r="X770" s="90"/>
      <c r="Y770" s="140" t="s">
        <v>77</v>
      </c>
      <c r="Z770" s="90"/>
      <c r="AA770" s="140" t="s">
        <v>77</v>
      </c>
      <c r="AB770" s="90"/>
      <c r="AC770" s="140" t="s">
        <v>207</v>
      </c>
      <c r="AD770" s="90"/>
      <c r="AE770" s="140" t="s">
        <v>207</v>
      </c>
      <c r="AF770" s="178" t="str">
        <f t="shared" si="33"/>
        <v>C</v>
      </c>
      <c r="AG770" s="52" t="str">
        <f t="shared" si="34"/>
        <v>UTILIZOU O PDA CORRETAMENTE</v>
      </c>
      <c r="AH770" s="140" t="s">
        <v>207</v>
      </c>
      <c r="AI770" s="182" t="s">
        <v>36</v>
      </c>
      <c r="AJ770" s="93" t="str">
        <f t="shared" si="35"/>
        <v>SÃO PAULO</v>
      </c>
      <c r="AK770" s="183" t="s">
        <v>54</v>
      </c>
    </row>
    <row r="771" spans="1:37" ht="30" customHeight="1">
      <c r="A771" s="197" t="s">
        <v>198</v>
      </c>
      <c r="B771" s="197">
        <v>2622148587</v>
      </c>
      <c r="C771" s="197" t="s">
        <v>99</v>
      </c>
      <c r="D771" s="197" t="s">
        <v>92</v>
      </c>
      <c r="E771" s="197" t="s">
        <v>35</v>
      </c>
      <c r="F771" s="197" t="s">
        <v>1478</v>
      </c>
      <c r="G771" s="197">
        <v>385</v>
      </c>
      <c r="H771" s="197" t="s">
        <v>1486</v>
      </c>
      <c r="I771" s="197" t="s">
        <v>1480</v>
      </c>
      <c r="J771" s="197" t="s">
        <v>374</v>
      </c>
      <c r="K771" s="197"/>
      <c r="L771" s="203">
        <v>46169.393055555556</v>
      </c>
      <c r="M771" s="203">
        <v>46169.394444444442</v>
      </c>
      <c r="N771" s="197" t="s">
        <v>251</v>
      </c>
      <c r="O771" s="152" t="s">
        <v>207</v>
      </c>
      <c r="P771" s="90"/>
      <c r="Q771" s="140" t="s">
        <v>77</v>
      </c>
      <c r="R771" s="90"/>
      <c r="S771" s="140" t="s">
        <v>77</v>
      </c>
      <c r="T771" s="90"/>
      <c r="U771" s="140" t="s">
        <v>77</v>
      </c>
      <c r="V771" s="90"/>
      <c r="W771" s="140" t="s">
        <v>77</v>
      </c>
      <c r="X771" s="90"/>
      <c r="Y771" s="140" t="s">
        <v>77</v>
      </c>
      <c r="Z771" s="90"/>
      <c r="AA771" s="140" t="s">
        <v>77</v>
      </c>
      <c r="AB771" s="90"/>
      <c r="AC771" s="140" t="s">
        <v>207</v>
      </c>
      <c r="AD771" s="90"/>
      <c r="AE771" s="140" t="s">
        <v>207</v>
      </c>
      <c r="AF771" s="178" t="str">
        <f t="shared" ref="AF771:AF834" si="36">IF(AND(O771="",Q771="",S771="",U771="",W771="",Y771="",AA771="",AC771=""),"",IF(OR(AND(O771&lt;&gt;"NA",O771&lt;&gt;"C",O771&lt;&gt;"NC",O771&lt;&gt;"SF",O771&lt;&gt;""),AND(Q771&lt;&gt;"NA",Q771&lt;&gt;"C",Q771&lt;&gt;"NC",Q771&lt;&gt;"SF",Q771&lt;&gt;""),AND(S771&lt;&gt;"NA",S771&lt;&gt;"C",S771&lt;&gt;"NC",S771&lt;&gt;"SF",S771&lt;&gt;""),AND(U771&lt;&gt;"NA",U771&lt;&gt;"C",U771&lt;&gt;"NC",U771&lt;&gt;"SF",U771&lt;&gt;""),AND(W771&lt;&gt;"NA",W771&lt;&gt;"C",W771&lt;&gt;"NC",W771&lt;&gt;"SF",W771&lt;&gt;""),AND(Y771&lt;&gt;"NA",Y771&lt;&gt;"C",Y771&lt;&gt;"NC",Y771&lt;&gt;"SF",Y771&lt;&gt;""),AND(AA771&lt;&gt;"NA",AA771&lt;&gt;"C",AA771&lt;&gt;"NC",AA771&lt;&gt;"SF",AA771&lt;&gt;""),AND(AC771&lt;&gt;"NA",AC771&lt;&gt;"C",AC771&lt;&gt;"NC",AC771&lt;&gt;"SF",AC771&lt;&gt;"")),"FALSO",IF(AND(O771="NA",Q771="NA",S771="NA",U771="NA",W771="NA",Y771="NA",AA771="NA",AC771="NA"),"NA",IF(OR(O771="NC",Q771="NC",S771="NC",U771="NC",W771="NC",Y771="NC",AA771="NC",AC771="NC",O771="SF",Q771="SF",S771="SF",U771="SF",W771="SF",Y771="SF",AA771="SF",AC771="SF"),"NC",IF(OR(O771="C",Q771="C",S771="C",U771="C",W771="C",Y771="C",AA771="C",AC771="C"),"C","")))))</f>
        <v>C</v>
      </c>
      <c r="AG771" s="52" t="str">
        <f t="shared" ref="AG771:AG834" si="37">IF(AND(AE771="C",AF771="C"),"UTILIZOU O PDA CORRETAMENTE",IF(AND(AE771="C",AF771="NC"),"UTILIZOU O PDA CORRETAMENTE. NÃO HÁ FOTOS DE TODAS AS ETAPAS",IF(AND(AE771="NC",AF771="NC"),"NÃO UTILIZOU O PDA",IF(AND(AE771="NA",AF771="NA"),"NÃO AVALIADO POR FALHA DE SINCRONISMO"))))</f>
        <v>UTILIZOU O PDA CORRETAMENTE</v>
      </c>
      <c r="AH771" s="140" t="s">
        <v>207</v>
      </c>
      <c r="AI771" s="182" t="s">
        <v>36</v>
      </c>
      <c r="AJ771" s="93" t="str">
        <f t="shared" ref="AJ771:AJ834" si="38">E771</f>
        <v>SÃO PAULO</v>
      </c>
      <c r="AK771" s="183" t="s">
        <v>54</v>
      </c>
    </row>
    <row r="772" spans="1:37" ht="30" customHeight="1">
      <c r="A772" s="197" t="s">
        <v>198</v>
      </c>
      <c r="B772" s="197">
        <v>2622148593</v>
      </c>
      <c r="C772" s="197" t="s">
        <v>99</v>
      </c>
      <c r="D772" s="197" t="s">
        <v>92</v>
      </c>
      <c r="E772" s="197" t="s">
        <v>35</v>
      </c>
      <c r="F772" s="197" t="s">
        <v>1478</v>
      </c>
      <c r="G772" s="197">
        <v>385</v>
      </c>
      <c r="H772" s="197" t="s">
        <v>1487</v>
      </c>
      <c r="I772" s="197" t="s">
        <v>1480</v>
      </c>
      <c r="J772" s="197" t="s">
        <v>374</v>
      </c>
      <c r="K772" s="197" t="s">
        <v>200</v>
      </c>
      <c r="L772" s="203">
        <v>46169.390972222223</v>
      </c>
      <c r="M772" s="203">
        <v>46169.392361111109</v>
      </c>
      <c r="N772" s="197" t="s">
        <v>251</v>
      </c>
      <c r="O772" s="152" t="s">
        <v>207</v>
      </c>
      <c r="P772" s="90"/>
      <c r="Q772" s="140" t="s">
        <v>77</v>
      </c>
      <c r="R772" s="90"/>
      <c r="S772" s="140" t="s">
        <v>77</v>
      </c>
      <c r="T772" s="90"/>
      <c r="U772" s="140" t="s">
        <v>77</v>
      </c>
      <c r="V772" s="90"/>
      <c r="W772" s="140" t="s">
        <v>77</v>
      </c>
      <c r="X772" s="90"/>
      <c r="Y772" s="140" t="s">
        <v>77</v>
      </c>
      <c r="Z772" s="90"/>
      <c r="AA772" s="140" t="s">
        <v>77</v>
      </c>
      <c r="AB772" s="90"/>
      <c r="AC772" s="140" t="s">
        <v>207</v>
      </c>
      <c r="AD772" s="90"/>
      <c r="AE772" s="140" t="s">
        <v>207</v>
      </c>
      <c r="AF772" s="178" t="str">
        <f t="shared" si="36"/>
        <v>C</v>
      </c>
      <c r="AG772" s="52" t="str">
        <f t="shared" si="37"/>
        <v>UTILIZOU O PDA CORRETAMENTE</v>
      </c>
      <c r="AH772" s="140" t="s">
        <v>207</v>
      </c>
      <c r="AI772" s="182" t="s">
        <v>36</v>
      </c>
      <c r="AJ772" s="93" t="str">
        <f t="shared" si="38"/>
        <v>SÃO PAULO</v>
      </c>
      <c r="AK772" s="183" t="s">
        <v>54</v>
      </c>
    </row>
    <row r="773" spans="1:37" ht="30" customHeight="1">
      <c r="A773" s="197" t="s">
        <v>198</v>
      </c>
      <c r="B773" s="197">
        <v>2622149321</v>
      </c>
      <c r="C773" s="197" t="s">
        <v>99</v>
      </c>
      <c r="D773" s="197" t="s">
        <v>92</v>
      </c>
      <c r="E773" s="197" t="s">
        <v>35</v>
      </c>
      <c r="F773" s="197" t="s">
        <v>1478</v>
      </c>
      <c r="G773" s="197">
        <v>385</v>
      </c>
      <c r="H773" s="197" t="s">
        <v>1488</v>
      </c>
      <c r="I773" s="197" t="s">
        <v>1480</v>
      </c>
      <c r="J773" s="197" t="s">
        <v>374</v>
      </c>
      <c r="K773" s="197"/>
      <c r="L773" s="203">
        <v>46169.395138888889</v>
      </c>
      <c r="M773" s="203">
        <v>46169.397222222222</v>
      </c>
      <c r="N773" s="197" t="s">
        <v>251</v>
      </c>
      <c r="O773" s="152" t="s">
        <v>207</v>
      </c>
      <c r="P773" s="90"/>
      <c r="Q773" s="140" t="s">
        <v>77</v>
      </c>
      <c r="R773" s="90"/>
      <c r="S773" s="140" t="s">
        <v>77</v>
      </c>
      <c r="T773" s="90"/>
      <c r="U773" s="140" t="s">
        <v>77</v>
      </c>
      <c r="V773" s="90"/>
      <c r="W773" s="140" t="s">
        <v>77</v>
      </c>
      <c r="X773" s="90"/>
      <c r="Y773" s="140" t="s">
        <v>77</v>
      </c>
      <c r="Z773" s="90"/>
      <c r="AA773" s="140" t="s">
        <v>77</v>
      </c>
      <c r="AB773" s="90"/>
      <c r="AC773" s="140" t="s">
        <v>207</v>
      </c>
      <c r="AD773" s="90"/>
      <c r="AE773" s="140" t="s">
        <v>207</v>
      </c>
      <c r="AF773" s="178" t="str">
        <f t="shared" si="36"/>
        <v>C</v>
      </c>
      <c r="AG773" s="52" t="str">
        <f t="shared" si="37"/>
        <v>UTILIZOU O PDA CORRETAMENTE</v>
      </c>
      <c r="AH773" s="140" t="s">
        <v>207</v>
      </c>
      <c r="AI773" s="182" t="s">
        <v>36</v>
      </c>
      <c r="AJ773" s="93" t="str">
        <f t="shared" si="38"/>
        <v>SÃO PAULO</v>
      </c>
      <c r="AK773" s="183" t="s">
        <v>54</v>
      </c>
    </row>
    <row r="774" spans="1:37" ht="30" customHeight="1">
      <c r="A774" s="197" t="s">
        <v>198</v>
      </c>
      <c r="B774" s="197">
        <v>2622144299</v>
      </c>
      <c r="C774" s="197" t="s">
        <v>99</v>
      </c>
      <c r="D774" s="197" t="s">
        <v>92</v>
      </c>
      <c r="E774" s="197" t="s">
        <v>35</v>
      </c>
      <c r="F774" s="197" t="s">
        <v>1478</v>
      </c>
      <c r="G774" s="197">
        <v>385</v>
      </c>
      <c r="H774" s="197" t="s">
        <v>1489</v>
      </c>
      <c r="I774" s="197" t="s">
        <v>1480</v>
      </c>
      <c r="J774" s="197" t="s">
        <v>374</v>
      </c>
      <c r="K774" s="197" t="s">
        <v>200</v>
      </c>
      <c r="L774" s="203">
        <v>46169.364583333336</v>
      </c>
      <c r="M774" s="203">
        <v>46169.366666666669</v>
      </c>
      <c r="N774" s="197" t="s">
        <v>251</v>
      </c>
      <c r="O774" s="152" t="s">
        <v>207</v>
      </c>
      <c r="P774" s="90"/>
      <c r="Q774" s="140" t="s">
        <v>77</v>
      </c>
      <c r="R774" s="90"/>
      <c r="S774" s="140" t="s">
        <v>77</v>
      </c>
      <c r="T774" s="90"/>
      <c r="U774" s="140" t="s">
        <v>77</v>
      </c>
      <c r="V774" s="90"/>
      <c r="W774" s="140" t="s">
        <v>77</v>
      </c>
      <c r="X774" s="90"/>
      <c r="Y774" s="140" t="s">
        <v>77</v>
      </c>
      <c r="Z774" s="90"/>
      <c r="AA774" s="140" t="s">
        <v>77</v>
      </c>
      <c r="AB774" s="90"/>
      <c r="AC774" s="140" t="s">
        <v>207</v>
      </c>
      <c r="AD774" s="90"/>
      <c r="AE774" s="140" t="s">
        <v>207</v>
      </c>
      <c r="AF774" s="178" t="str">
        <f t="shared" si="36"/>
        <v>C</v>
      </c>
      <c r="AG774" s="52" t="str">
        <f t="shared" si="37"/>
        <v>UTILIZOU O PDA CORRETAMENTE</v>
      </c>
      <c r="AH774" s="140" t="s">
        <v>207</v>
      </c>
      <c r="AI774" s="182" t="s">
        <v>36</v>
      </c>
      <c r="AJ774" s="93" t="str">
        <f t="shared" si="38"/>
        <v>SÃO PAULO</v>
      </c>
      <c r="AK774" s="183" t="s">
        <v>54</v>
      </c>
    </row>
    <row r="775" spans="1:37" ht="30" customHeight="1">
      <c r="A775" s="197" t="s">
        <v>198</v>
      </c>
      <c r="B775" s="197">
        <v>2622144304</v>
      </c>
      <c r="C775" s="197" t="s">
        <v>99</v>
      </c>
      <c r="D775" s="197" t="s">
        <v>92</v>
      </c>
      <c r="E775" s="197" t="s">
        <v>35</v>
      </c>
      <c r="F775" s="197" t="s">
        <v>1478</v>
      </c>
      <c r="G775" s="197">
        <v>385</v>
      </c>
      <c r="H775" s="197" t="s">
        <v>1490</v>
      </c>
      <c r="I775" s="197" t="s">
        <v>1480</v>
      </c>
      <c r="J775" s="197" t="s">
        <v>374</v>
      </c>
      <c r="K775" s="197"/>
      <c r="L775" s="203">
        <v>46169.367361111108</v>
      </c>
      <c r="M775" s="203">
        <v>46169.368750000001</v>
      </c>
      <c r="N775" s="197" t="s">
        <v>251</v>
      </c>
      <c r="O775" s="152" t="s">
        <v>207</v>
      </c>
      <c r="P775" s="90"/>
      <c r="Q775" s="140" t="s">
        <v>77</v>
      </c>
      <c r="R775" s="90"/>
      <c r="S775" s="140" t="s">
        <v>77</v>
      </c>
      <c r="T775" s="90"/>
      <c r="U775" s="140" t="s">
        <v>77</v>
      </c>
      <c r="V775" s="90"/>
      <c r="W775" s="140" t="s">
        <v>77</v>
      </c>
      <c r="X775" s="90"/>
      <c r="Y775" s="140" t="s">
        <v>77</v>
      </c>
      <c r="Z775" s="90"/>
      <c r="AA775" s="140" t="s">
        <v>77</v>
      </c>
      <c r="AB775" s="90"/>
      <c r="AC775" s="140" t="s">
        <v>207</v>
      </c>
      <c r="AD775" s="90"/>
      <c r="AE775" s="140" t="s">
        <v>207</v>
      </c>
      <c r="AF775" s="178" t="str">
        <f t="shared" si="36"/>
        <v>C</v>
      </c>
      <c r="AG775" s="52" t="str">
        <f t="shared" si="37"/>
        <v>UTILIZOU O PDA CORRETAMENTE</v>
      </c>
      <c r="AH775" s="140" t="s">
        <v>207</v>
      </c>
      <c r="AI775" s="182" t="s">
        <v>36</v>
      </c>
      <c r="AJ775" s="93" t="str">
        <f t="shared" si="38"/>
        <v>SÃO PAULO</v>
      </c>
      <c r="AK775" s="183" t="s">
        <v>54</v>
      </c>
    </row>
    <row r="776" spans="1:37" ht="30" customHeight="1">
      <c r="A776" s="197" t="s">
        <v>198</v>
      </c>
      <c r="B776" s="197">
        <v>2622149303</v>
      </c>
      <c r="C776" s="197" t="s">
        <v>99</v>
      </c>
      <c r="D776" s="197" t="s">
        <v>92</v>
      </c>
      <c r="E776" s="197" t="s">
        <v>35</v>
      </c>
      <c r="F776" s="197" t="s">
        <v>1478</v>
      </c>
      <c r="G776" s="197">
        <v>385</v>
      </c>
      <c r="H776" s="197" t="s">
        <v>1491</v>
      </c>
      <c r="I776" s="197" t="s">
        <v>1480</v>
      </c>
      <c r="J776" s="197" t="s">
        <v>374</v>
      </c>
      <c r="K776" s="197" t="s">
        <v>200</v>
      </c>
      <c r="L776" s="203">
        <v>46169.397222222222</v>
      </c>
      <c r="M776" s="203">
        <v>46169.398611111108</v>
      </c>
      <c r="N776" s="197" t="s">
        <v>251</v>
      </c>
      <c r="O776" s="152" t="s">
        <v>207</v>
      </c>
      <c r="P776" s="90"/>
      <c r="Q776" s="140" t="s">
        <v>77</v>
      </c>
      <c r="R776" s="90"/>
      <c r="S776" s="140" t="s">
        <v>77</v>
      </c>
      <c r="T776" s="90"/>
      <c r="U776" s="140" t="s">
        <v>77</v>
      </c>
      <c r="V776" s="90"/>
      <c r="W776" s="140" t="s">
        <v>77</v>
      </c>
      <c r="X776" s="90"/>
      <c r="Y776" s="140" t="s">
        <v>77</v>
      </c>
      <c r="Z776" s="90"/>
      <c r="AA776" s="140" t="s">
        <v>77</v>
      </c>
      <c r="AB776" s="90"/>
      <c r="AC776" s="140" t="s">
        <v>207</v>
      </c>
      <c r="AD776" s="90"/>
      <c r="AE776" s="140" t="s">
        <v>207</v>
      </c>
      <c r="AF776" s="178" t="str">
        <f t="shared" si="36"/>
        <v>C</v>
      </c>
      <c r="AG776" s="52" t="str">
        <f t="shared" si="37"/>
        <v>UTILIZOU O PDA CORRETAMENTE</v>
      </c>
      <c r="AH776" s="140" t="s">
        <v>207</v>
      </c>
      <c r="AI776" s="182" t="s">
        <v>36</v>
      </c>
      <c r="AJ776" s="93" t="str">
        <f t="shared" si="38"/>
        <v>SÃO PAULO</v>
      </c>
      <c r="AK776" s="183" t="s">
        <v>54</v>
      </c>
    </row>
    <row r="777" spans="1:37" ht="30" customHeight="1">
      <c r="A777" s="197" t="s">
        <v>198</v>
      </c>
      <c r="B777" s="197">
        <v>2622150056</v>
      </c>
      <c r="C777" s="197" t="s">
        <v>99</v>
      </c>
      <c r="D777" s="197" t="s">
        <v>92</v>
      </c>
      <c r="E777" s="197" t="s">
        <v>35</v>
      </c>
      <c r="F777" s="197" t="s">
        <v>1478</v>
      </c>
      <c r="G777" s="197">
        <v>385</v>
      </c>
      <c r="H777" s="197" t="s">
        <v>1492</v>
      </c>
      <c r="I777" s="197" t="s">
        <v>1480</v>
      </c>
      <c r="J777" s="197" t="s">
        <v>374</v>
      </c>
      <c r="K777" s="197"/>
      <c r="L777" s="203">
        <v>46169.399305555555</v>
      </c>
      <c r="M777" s="203">
        <v>46169.405555555553</v>
      </c>
      <c r="N777" s="197" t="s">
        <v>251</v>
      </c>
      <c r="O777" s="152" t="s">
        <v>207</v>
      </c>
      <c r="P777" s="90"/>
      <c r="Q777" s="140" t="s">
        <v>77</v>
      </c>
      <c r="R777" s="90"/>
      <c r="S777" s="140" t="s">
        <v>77</v>
      </c>
      <c r="T777" s="90"/>
      <c r="U777" s="140" t="s">
        <v>77</v>
      </c>
      <c r="V777" s="90"/>
      <c r="W777" s="140" t="s">
        <v>77</v>
      </c>
      <c r="X777" s="90"/>
      <c r="Y777" s="140" t="s">
        <v>77</v>
      </c>
      <c r="Z777" s="90"/>
      <c r="AA777" s="140" t="s">
        <v>77</v>
      </c>
      <c r="AB777" s="90"/>
      <c r="AC777" s="140" t="s">
        <v>207</v>
      </c>
      <c r="AD777" s="90"/>
      <c r="AE777" s="140" t="s">
        <v>207</v>
      </c>
      <c r="AF777" s="178" t="str">
        <f t="shared" si="36"/>
        <v>C</v>
      </c>
      <c r="AG777" s="52" t="str">
        <f t="shared" si="37"/>
        <v>UTILIZOU O PDA CORRETAMENTE</v>
      </c>
      <c r="AH777" s="140" t="s">
        <v>207</v>
      </c>
      <c r="AI777" s="182" t="s">
        <v>36</v>
      </c>
      <c r="AJ777" s="93" t="str">
        <f t="shared" si="38"/>
        <v>SÃO PAULO</v>
      </c>
      <c r="AK777" s="183" t="s">
        <v>54</v>
      </c>
    </row>
    <row r="778" spans="1:37" ht="30" customHeight="1">
      <c r="A778" s="197" t="s">
        <v>198</v>
      </c>
      <c r="B778" s="197">
        <v>2622112587</v>
      </c>
      <c r="C778" s="197" t="s">
        <v>101</v>
      </c>
      <c r="D778" s="197" t="s">
        <v>92</v>
      </c>
      <c r="E778" s="197" t="s">
        <v>35</v>
      </c>
      <c r="F778" s="197" t="s">
        <v>1493</v>
      </c>
      <c r="G778" s="197">
        <v>318</v>
      </c>
      <c r="H778" s="197" t="s">
        <v>200</v>
      </c>
      <c r="I778" s="197" t="s">
        <v>853</v>
      </c>
      <c r="J778" s="197" t="s">
        <v>101</v>
      </c>
      <c r="K778" s="197" t="s">
        <v>200</v>
      </c>
      <c r="L778" s="203">
        <v>46169.423611111109</v>
      </c>
      <c r="M778" s="203">
        <v>46169.429166666669</v>
      </c>
      <c r="N778" s="197" t="s">
        <v>206</v>
      </c>
      <c r="O778" s="152" t="s">
        <v>207</v>
      </c>
      <c r="P778" s="90"/>
      <c r="Q778" s="140" t="s">
        <v>77</v>
      </c>
      <c r="R778" s="90"/>
      <c r="S778" s="140" t="s">
        <v>77</v>
      </c>
      <c r="T778" s="90"/>
      <c r="U778" s="140" t="s">
        <v>77</v>
      </c>
      <c r="V778" s="90"/>
      <c r="W778" s="140" t="s">
        <v>77</v>
      </c>
      <c r="X778" s="90"/>
      <c r="Y778" s="140" t="s">
        <v>77</v>
      </c>
      <c r="Z778" s="90"/>
      <c r="AA778" s="140" t="s">
        <v>77</v>
      </c>
      <c r="AB778" s="90"/>
      <c r="AC778" s="140" t="s">
        <v>207</v>
      </c>
      <c r="AD778" s="90"/>
      <c r="AE778" s="140" t="s">
        <v>207</v>
      </c>
      <c r="AF778" s="178" t="str">
        <f t="shared" si="36"/>
        <v>C</v>
      </c>
      <c r="AG778" s="52" t="str">
        <f t="shared" si="37"/>
        <v>UTILIZOU O PDA CORRETAMENTE</v>
      </c>
      <c r="AH778" s="140" t="s">
        <v>207</v>
      </c>
      <c r="AI778" s="182" t="s">
        <v>36</v>
      </c>
      <c r="AJ778" s="93" t="str">
        <f t="shared" si="38"/>
        <v>SÃO PAULO</v>
      </c>
      <c r="AK778" s="183" t="s">
        <v>54</v>
      </c>
    </row>
    <row r="779" spans="1:37" ht="30" customHeight="1">
      <c r="A779" s="197" t="s">
        <v>198</v>
      </c>
      <c r="B779" s="197">
        <v>2622147534</v>
      </c>
      <c r="C779" s="197" t="s">
        <v>111</v>
      </c>
      <c r="D779" s="197" t="s">
        <v>92</v>
      </c>
      <c r="E779" s="197" t="s">
        <v>35</v>
      </c>
      <c r="F779" s="197" t="s">
        <v>1494</v>
      </c>
      <c r="G779" s="197">
        <v>263</v>
      </c>
      <c r="H779" s="197" t="s">
        <v>205</v>
      </c>
      <c r="I779" s="197" t="s">
        <v>525</v>
      </c>
      <c r="J779" s="197" t="s">
        <v>111</v>
      </c>
      <c r="K779" s="197"/>
      <c r="L779" s="203">
        <v>46169.375694444447</v>
      </c>
      <c r="M779" s="203">
        <v>46169.37777777778</v>
      </c>
      <c r="N779" s="197" t="s">
        <v>206</v>
      </c>
      <c r="O779" s="152" t="s">
        <v>207</v>
      </c>
      <c r="P779" s="90"/>
      <c r="Q779" s="140" t="s">
        <v>77</v>
      </c>
      <c r="R779" s="90"/>
      <c r="S779" s="140" t="s">
        <v>77</v>
      </c>
      <c r="T779" s="90"/>
      <c r="U779" s="140" t="s">
        <v>77</v>
      </c>
      <c r="V779" s="90"/>
      <c r="W779" s="140" t="s">
        <v>77</v>
      </c>
      <c r="X779" s="90"/>
      <c r="Y779" s="140" t="s">
        <v>77</v>
      </c>
      <c r="Z779" s="90"/>
      <c r="AA779" s="140" t="s">
        <v>77</v>
      </c>
      <c r="AB779" s="90"/>
      <c r="AC779" s="140" t="s">
        <v>207</v>
      </c>
      <c r="AD779" s="90"/>
      <c r="AE779" s="140" t="s">
        <v>207</v>
      </c>
      <c r="AF779" s="178" t="str">
        <f t="shared" si="36"/>
        <v>C</v>
      </c>
      <c r="AG779" s="52" t="str">
        <f t="shared" si="37"/>
        <v>UTILIZOU O PDA CORRETAMENTE</v>
      </c>
      <c r="AH779" s="140" t="s">
        <v>207</v>
      </c>
      <c r="AI779" s="182" t="s">
        <v>36</v>
      </c>
      <c r="AJ779" s="93" t="str">
        <f t="shared" si="38"/>
        <v>SÃO PAULO</v>
      </c>
      <c r="AK779" s="183" t="s">
        <v>54</v>
      </c>
    </row>
    <row r="780" spans="1:37" ht="30" customHeight="1">
      <c r="A780" s="197" t="s">
        <v>198</v>
      </c>
      <c r="B780" s="197">
        <v>2622147533</v>
      </c>
      <c r="C780" s="197" t="s">
        <v>109</v>
      </c>
      <c r="D780" s="197" t="s">
        <v>92</v>
      </c>
      <c r="E780" s="197" t="s">
        <v>35</v>
      </c>
      <c r="F780" s="197" t="s">
        <v>1494</v>
      </c>
      <c r="G780" s="197">
        <v>263</v>
      </c>
      <c r="H780" s="197" t="s">
        <v>208</v>
      </c>
      <c r="I780" s="197" t="s">
        <v>525</v>
      </c>
      <c r="J780" s="197" t="s">
        <v>109</v>
      </c>
      <c r="K780" s="197" t="s">
        <v>200</v>
      </c>
      <c r="L780" s="203">
        <v>46169.379166666666</v>
      </c>
      <c r="M780" s="203">
        <v>46169.381249999999</v>
      </c>
      <c r="N780" s="197" t="s">
        <v>206</v>
      </c>
      <c r="O780" s="152" t="s">
        <v>207</v>
      </c>
      <c r="P780" s="90"/>
      <c r="Q780" s="140" t="s">
        <v>77</v>
      </c>
      <c r="R780" s="90"/>
      <c r="S780" s="140" t="s">
        <v>77</v>
      </c>
      <c r="T780" s="90"/>
      <c r="U780" s="140" t="s">
        <v>77</v>
      </c>
      <c r="V780" s="90"/>
      <c r="W780" s="140" t="s">
        <v>77</v>
      </c>
      <c r="X780" s="90"/>
      <c r="Y780" s="140" t="s">
        <v>77</v>
      </c>
      <c r="Z780" s="90"/>
      <c r="AA780" s="140" t="s">
        <v>77</v>
      </c>
      <c r="AB780" s="90"/>
      <c r="AC780" s="140" t="s">
        <v>207</v>
      </c>
      <c r="AD780" s="90"/>
      <c r="AE780" s="140" t="s">
        <v>207</v>
      </c>
      <c r="AF780" s="178" t="str">
        <f t="shared" si="36"/>
        <v>C</v>
      </c>
      <c r="AG780" s="52" t="str">
        <f t="shared" si="37"/>
        <v>UTILIZOU O PDA CORRETAMENTE</v>
      </c>
      <c r="AH780" s="140" t="s">
        <v>207</v>
      </c>
      <c r="AI780" s="182" t="s">
        <v>36</v>
      </c>
      <c r="AJ780" s="93" t="str">
        <f t="shared" si="38"/>
        <v>SÃO PAULO</v>
      </c>
      <c r="AK780" s="183" t="s">
        <v>54</v>
      </c>
    </row>
    <row r="781" spans="1:37" ht="30" customHeight="1">
      <c r="A781" s="197" t="s">
        <v>198</v>
      </c>
      <c r="B781" s="197">
        <v>2621508604</v>
      </c>
      <c r="C781" s="197" t="s">
        <v>101</v>
      </c>
      <c r="D781" s="197" t="s">
        <v>92</v>
      </c>
      <c r="E781" s="197" t="s">
        <v>35</v>
      </c>
      <c r="F781" s="197" t="s">
        <v>1495</v>
      </c>
      <c r="G781" s="197">
        <v>104</v>
      </c>
      <c r="H781" s="197"/>
      <c r="I781" s="197" t="s">
        <v>392</v>
      </c>
      <c r="J781" s="197" t="s">
        <v>101</v>
      </c>
      <c r="K781" s="197"/>
      <c r="L781" s="203">
        <v>46169.293055555558</v>
      </c>
      <c r="M781" s="203">
        <v>46169.295138888891</v>
      </c>
      <c r="N781" s="197" t="s">
        <v>213</v>
      </c>
      <c r="O781" s="152" t="s">
        <v>207</v>
      </c>
      <c r="P781" s="90"/>
      <c r="Q781" s="140" t="s">
        <v>77</v>
      </c>
      <c r="R781" s="90"/>
      <c r="S781" s="140" t="s">
        <v>77</v>
      </c>
      <c r="T781" s="90"/>
      <c r="U781" s="140" t="s">
        <v>77</v>
      </c>
      <c r="V781" s="90"/>
      <c r="W781" s="140" t="s">
        <v>77</v>
      </c>
      <c r="X781" s="90"/>
      <c r="Y781" s="140" t="s">
        <v>77</v>
      </c>
      <c r="Z781" s="90"/>
      <c r="AA781" s="140" t="s">
        <v>77</v>
      </c>
      <c r="AB781" s="90"/>
      <c r="AC781" s="140" t="s">
        <v>207</v>
      </c>
      <c r="AD781" s="90"/>
      <c r="AE781" s="140" t="s">
        <v>207</v>
      </c>
      <c r="AF781" s="178" t="str">
        <f t="shared" si="36"/>
        <v>C</v>
      </c>
      <c r="AG781" s="52" t="str">
        <f t="shared" si="37"/>
        <v>UTILIZOU O PDA CORRETAMENTE</v>
      </c>
      <c r="AH781" s="140" t="s">
        <v>207</v>
      </c>
      <c r="AI781" s="182" t="s">
        <v>36</v>
      </c>
      <c r="AJ781" s="93" t="str">
        <f t="shared" si="38"/>
        <v>SÃO PAULO</v>
      </c>
      <c r="AK781" s="183" t="s">
        <v>54</v>
      </c>
    </row>
    <row r="782" spans="1:37" ht="30" customHeight="1">
      <c r="A782" s="197" t="s">
        <v>198</v>
      </c>
      <c r="B782" s="197">
        <v>2622184057</v>
      </c>
      <c r="C782" s="197" t="s">
        <v>116</v>
      </c>
      <c r="D782" s="197" t="s">
        <v>94</v>
      </c>
      <c r="E782" s="197" t="s">
        <v>35</v>
      </c>
      <c r="F782" s="197" t="s">
        <v>1392</v>
      </c>
      <c r="G782" s="197">
        <v>83</v>
      </c>
      <c r="H782" s="197" t="s">
        <v>200</v>
      </c>
      <c r="I782" s="197" t="s">
        <v>1393</v>
      </c>
      <c r="J782" s="197" t="s">
        <v>221</v>
      </c>
      <c r="K782" s="197" t="s">
        <v>200</v>
      </c>
      <c r="L782" s="203">
        <v>46169.50277777778</v>
      </c>
      <c r="M782" s="203">
        <v>46169.506249999999</v>
      </c>
      <c r="N782" s="197" t="s">
        <v>323</v>
      </c>
      <c r="O782" s="152" t="s">
        <v>207</v>
      </c>
      <c r="P782" s="90"/>
      <c r="Q782" s="140" t="s">
        <v>207</v>
      </c>
      <c r="R782" s="90"/>
      <c r="S782" s="140" t="s">
        <v>207</v>
      </c>
      <c r="T782" s="90"/>
      <c r="U782" s="140" t="s">
        <v>207</v>
      </c>
      <c r="V782" s="90"/>
      <c r="W782" s="140" t="s">
        <v>207</v>
      </c>
      <c r="X782" s="90"/>
      <c r="Y782" s="140" t="s">
        <v>207</v>
      </c>
      <c r="Z782" s="90"/>
      <c r="AA782" s="140" t="s">
        <v>207</v>
      </c>
      <c r="AB782" s="90"/>
      <c r="AC782" s="140" t="s">
        <v>207</v>
      </c>
      <c r="AD782" s="90"/>
      <c r="AE782" s="140" t="s">
        <v>207</v>
      </c>
      <c r="AF782" s="178" t="str">
        <f t="shared" si="36"/>
        <v>C</v>
      </c>
      <c r="AG782" s="52" t="str">
        <f t="shared" si="37"/>
        <v>UTILIZOU O PDA CORRETAMENTE</v>
      </c>
      <c r="AH782" s="140" t="s">
        <v>207</v>
      </c>
      <c r="AI782" s="182" t="s">
        <v>36</v>
      </c>
      <c r="AJ782" s="93" t="str">
        <f t="shared" si="38"/>
        <v>SÃO PAULO</v>
      </c>
      <c r="AK782" s="183" t="s">
        <v>54</v>
      </c>
    </row>
    <row r="783" spans="1:37" ht="30" customHeight="1">
      <c r="A783" s="197" t="s">
        <v>198</v>
      </c>
      <c r="B783" s="197">
        <v>2622148267</v>
      </c>
      <c r="C783" s="197" t="s">
        <v>115</v>
      </c>
      <c r="D783" s="197" t="s">
        <v>96</v>
      </c>
      <c r="E783" s="197" t="s">
        <v>35</v>
      </c>
      <c r="F783" s="197" t="s">
        <v>1392</v>
      </c>
      <c r="G783" s="197">
        <v>30</v>
      </c>
      <c r="H783" s="197"/>
      <c r="I783" s="197" t="s">
        <v>1393</v>
      </c>
      <c r="J783" s="197" t="s">
        <v>268</v>
      </c>
      <c r="K783" s="197" t="s">
        <v>1496</v>
      </c>
      <c r="L783" s="203">
        <v>46169.494444444441</v>
      </c>
      <c r="M783" s="203">
        <v>46169.502083333333</v>
      </c>
      <c r="N783" s="197" t="s">
        <v>323</v>
      </c>
      <c r="O783" s="152" t="s">
        <v>207</v>
      </c>
      <c r="P783" s="90"/>
      <c r="Q783" s="140" t="s">
        <v>207</v>
      </c>
      <c r="R783" s="90"/>
      <c r="S783" s="140" t="s">
        <v>207</v>
      </c>
      <c r="T783" s="90"/>
      <c r="U783" s="140" t="s">
        <v>207</v>
      </c>
      <c r="V783" s="90"/>
      <c r="W783" s="140" t="s">
        <v>207</v>
      </c>
      <c r="X783" s="90"/>
      <c r="Y783" s="140" t="s">
        <v>207</v>
      </c>
      <c r="Z783" s="90"/>
      <c r="AA783" s="140" t="s">
        <v>207</v>
      </c>
      <c r="AB783" s="90"/>
      <c r="AC783" s="140" t="s">
        <v>207</v>
      </c>
      <c r="AD783" s="90"/>
      <c r="AE783" s="140" t="s">
        <v>207</v>
      </c>
      <c r="AF783" s="178" t="str">
        <f t="shared" si="36"/>
        <v>C</v>
      </c>
      <c r="AG783" s="52" t="str">
        <f t="shared" si="37"/>
        <v>UTILIZOU O PDA CORRETAMENTE</v>
      </c>
      <c r="AH783" s="140" t="s">
        <v>207</v>
      </c>
      <c r="AI783" s="182" t="s">
        <v>36</v>
      </c>
      <c r="AJ783" s="93" t="str">
        <f t="shared" si="38"/>
        <v>SÃO PAULO</v>
      </c>
      <c r="AK783" s="183" t="s">
        <v>54</v>
      </c>
    </row>
    <row r="784" spans="1:37" ht="30" customHeight="1">
      <c r="A784" s="197" t="s">
        <v>198</v>
      </c>
      <c r="B784" s="197">
        <v>2622272717</v>
      </c>
      <c r="C784" s="197" t="s">
        <v>115</v>
      </c>
      <c r="D784" s="197" t="s">
        <v>96</v>
      </c>
      <c r="E784" s="197" t="s">
        <v>35</v>
      </c>
      <c r="F784" s="197" t="s">
        <v>375</v>
      </c>
      <c r="G784" s="197">
        <v>66</v>
      </c>
      <c r="H784" s="197" t="s">
        <v>200</v>
      </c>
      <c r="I784" s="197" t="s">
        <v>290</v>
      </c>
      <c r="J784" s="197" t="s">
        <v>268</v>
      </c>
      <c r="K784" s="197" t="s">
        <v>200</v>
      </c>
      <c r="L784" s="203">
        <v>46169.577777777777</v>
      </c>
      <c r="M784" s="203">
        <v>46169.580555555556</v>
      </c>
      <c r="N784" s="197" t="s">
        <v>517</v>
      </c>
      <c r="O784" s="152" t="s">
        <v>207</v>
      </c>
      <c r="P784" s="90"/>
      <c r="Q784" s="140" t="s">
        <v>207</v>
      </c>
      <c r="R784" s="90"/>
      <c r="S784" s="140" t="s">
        <v>207</v>
      </c>
      <c r="T784" s="90"/>
      <c r="U784" s="140" t="s">
        <v>207</v>
      </c>
      <c r="V784" s="90"/>
      <c r="W784" s="140" t="s">
        <v>207</v>
      </c>
      <c r="X784" s="90"/>
      <c r="Y784" s="140" t="s">
        <v>207</v>
      </c>
      <c r="Z784" s="90"/>
      <c r="AA784" s="140" t="s">
        <v>207</v>
      </c>
      <c r="AB784" s="90"/>
      <c r="AC784" s="140" t="s">
        <v>207</v>
      </c>
      <c r="AD784" s="90"/>
      <c r="AE784" s="140" t="s">
        <v>207</v>
      </c>
      <c r="AF784" s="178" t="str">
        <f t="shared" si="36"/>
        <v>C</v>
      </c>
      <c r="AG784" s="52" t="str">
        <f t="shared" si="37"/>
        <v>UTILIZOU O PDA CORRETAMENTE</v>
      </c>
      <c r="AH784" s="140" t="s">
        <v>207</v>
      </c>
      <c r="AI784" s="182" t="s">
        <v>36</v>
      </c>
      <c r="AJ784" s="93" t="str">
        <f t="shared" si="38"/>
        <v>SÃO PAULO</v>
      </c>
      <c r="AK784" s="183" t="s">
        <v>54</v>
      </c>
    </row>
    <row r="785" spans="1:37" ht="30" customHeight="1">
      <c r="A785" s="197" t="s">
        <v>198</v>
      </c>
      <c r="B785" s="197">
        <v>2694274320</v>
      </c>
      <c r="C785" s="197" t="s">
        <v>122</v>
      </c>
      <c r="D785" s="197" t="s">
        <v>96</v>
      </c>
      <c r="E785" s="197" t="s">
        <v>35</v>
      </c>
      <c r="F785" s="197" t="s">
        <v>1497</v>
      </c>
      <c r="G785" s="197">
        <v>43</v>
      </c>
      <c r="H785" s="197" t="s">
        <v>255</v>
      </c>
      <c r="I785" s="197" t="s">
        <v>241</v>
      </c>
      <c r="J785" s="197" t="s">
        <v>267</v>
      </c>
      <c r="K785" s="197"/>
      <c r="L785" s="203">
        <v>46169.377083333333</v>
      </c>
      <c r="M785" s="203">
        <v>46169.378472222219</v>
      </c>
      <c r="N785" s="197" t="s">
        <v>517</v>
      </c>
      <c r="O785" s="152" t="s">
        <v>207</v>
      </c>
      <c r="P785" s="90"/>
      <c r="Q785" s="140" t="s">
        <v>207</v>
      </c>
      <c r="R785" s="90"/>
      <c r="S785" s="140" t="s">
        <v>207</v>
      </c>
      <c r="T785" s="90"/>
      <c r="U785" s="140" t="s">
        <v>207</v>
      </c>
      <c r="V785" s="90"/>
      <c r="W785" s="140" t="s">
        <v>207</v>
      </c>
      <c r="X785" s="90"/>
      <c r="Y785" s="140" t="s">
        <v>77</v>
      </c>
      <c r="Z785" s="90"/>
      <c r="AA785" s="140" t="s">
        <v>207</v>
      </c>
      <c r="AB785" s="90"/>
      <c r="AC785" s="140" t="s">
        <v>207</v>
      </c>
      <c r="AD785" s="90"/>
      <c r="AE785" s="140" t="s">
        <v>207</v>
      </c>
      <c r="AF785" s="178" t="str">
        <f t="shared" si="36"/>
        <v>C</v>
      </c>
      <c r="AG785" s="52" t="str">
        <f t="shared" si="37"/>
        <v>UTILIZOU O PDA CORRETAMENTE</v>
      </c>
      <c r="AH785" s="140" t="s">
        <v>207</v>
      </c>
      <c r="AI785" s="182" t="s">
        <v>36</v>
      </c>
      <c r="AJ785" s="93" t="str">
        <f t="shared" si="38"/>
        <v>SÃO PAULO</v>
      </c>
      <c r="AK785" s="183" t="s">
        <v>54</v>
      </c>
    </row>
    <row r="786" spans="1:37" ht="30" customHeight="1">
      <c r="A786" s="197" t="s">
        <v>198</v>
      </c>
      <c r="B786" s="197">
        <v>2618949137</v>
      </c>
      <c r="C786" s="197" t="s">
        <v>1498</v>
      </c>
      <c r="D786" s="197" t="s">
        <v>95</v>
      </c>
      <c r="E786" s="197" t="s">
        <v>35</v>
      </c>
      <c r="F786" s="197" t="s">
        <v>1499</v>
      </c>
      <c r="G786" s="197">
        <v>100</v>
      </c>
      <c r="H786" s="197"/>
      <c r="I786" s="197" t="s">
        <v>308</v>
      </c>
      <c r="J786" s="197" t="s">
        <v>1500</v>
      </c>
      <c r="K786" s="197" t="s">
        <v>1501</v>
      </c>
      <c r="L786" s="203">
        <v>46169.416666666664</v>
      </c>
      <c r="M786" s="203">
        <v>46169.417361111111</v>
      </c>
      <c r="N786" s="197" t="s">
        <v>317</v>
      </c>
      <c r="O786" s="152" t="s">
        <v>77</v>
      </c>
      <c r="P786" s="90"/>
      <c r="Q786" s="140" t="s">
        <v>77</v>
      </c>
      <c r="R786" s="90"/>
      <c r="S786" s="140" t="s">
        <v>77</v>
      </c>
      <c r="T786" s="90"/>
      <c r="U786" s="140" t="s">
        <v>77</v>
      </c>
      <c r="V786" s="90"/>
      <c r="W786" s="140" t="s">
        <v>77</v>
      </c>
      <c r="X786" s="90"/>
      <c r="Y786" s="140" t="s">
        <v>77</v>
      </c>
      <c r="Z786" s="90"/>
      <c r="AA786" s="140" t="s">
        <v>77</v>
      </c>
      <c r="AB786" s="90"/>
      <c r="AC786" s="140" t="s">
        <v>77</v>
      </c>
      <c r="AD786" s="90"/>
      <c r="AE786" s="140" t="s">
        <v>77</v>
      </c>
      <c r="AF786" s="178" t="str">
        <f t="shared" si="36"/>
        <v>NA</v>
      </c>
      <c r="AG786" s="52" t="str">
        <f t="shared" si="37"/>
        <v>NÃO AVALIADO POR FALHA DE SINCRONISMO</v>
      </c>
      <c r="AH786" s="140" t="s">
        <v>207</v>
      </c>
      <c r="AI786" s="182" t="s">
        <v>36</v>
      </c>
      <c r="AJ786" s="93" t="str">
        <f t="shared" si="38"/>
        <v>SÃO PAULO</v>
      </c>
      <c r="AK786" s="183" t="s">
        <v>54</v>
      </c>
    </row>
    <row r="787" spans="1:37" ht="30" customHeight="1">
      <c r="A787" s="197" t="s">
        <v>198</v>
      </c>
      <c r="B787" s="197">
        <v>2622258540</v>
      </c>
      <c r="C787" s="197" t="s">
        <v>116</v>
      </c>
      <c r="D787" s="197" t="s">
        <v>94</v>
      </c>
      <c r="E787" s="197" t="s">
        <v>35</v>
      </c>
      <c r="F787" s="197" t="s">
        <v>286</v>
      </c>
      <c r="G787" s="197">
        <v>4032</v>
      </c>
      <c r="H787" s="197" t="s">
        <v>205</v>
      </c>
      <c r="I787" s="197" t="s">
        <v>402</v>
      </c>
      <c r="J787" s="197" t="s">
        <v>221</v>
      </c>
      <c r="K787" s="197" t="s">
        <v>1502</v>
      </c>
      <c r="L787" s="203">
        <v>46169.478472222225</v>
      </c>
      <c r="M787" s="203">
        <v>46169.486111111109</v>
      </c>
      <c r="N787" s="197" t="s">
        <v>345</v>
      </c>
      <c r="O787" s="152" t="s">
        <v>207</v>
      </c>
      <c r="P787" s="90"/>
      <c r="Q787" s="140" t="s">
        <v>207</v>
      </c>
      <c r="R787" s="90"/>
      <c r="S787" s="140" t="s">
        <v>207</v>
      </c>
      <c r="T787" s="90"/>
      <c r="U787" s="140" t="s">
        <v>207</v>
      </c>
      <c r="V787" s="90"/>
      <c r="W787" s="140" t="s">
        <v>207</v>
      </c>
      <c r="X787" s="90"/>
      <c r="Y787" s="140" t="s">
        <v>207</v>
      </c>
      <c r="Z787" s="90"/>
      <c r="AA787" s="140" t="s">
        <v>207</v>
      </c>
      <c r="AB787" s="90"/>
      <c r="AC787" s="140" t="s">
        <v>207</v>
      </c>
      <c r="AD787" s="90"/>
      <c r="AE787" s="140" t="s">
        <v>207</v>
      </c>
      <c r="AF787" s="178" t="str">
        <f t="shared" si="36"/>
        <v>C</v>
      </c>
      <c r="AG787" s="52" t="str">
        <f t="shared" si="37"/>
        <v>UTILIZOU O PDA CORRETAMENTE</v>
      </c>
      <c r="AH787" s="140" t="s">
        <v>207</v>
      </c>
      <c r="AI787" s="182" t="s">
        <v>36</v>
      </c>
      <c r="AJ787" s="93" t="str">
        <f t="shared" si="38"/>
        <v>SÃO PAULO</v>
      </c>
      <c r="AK787" s="183" t="s">
        <v>54</v>
      </c>
    </row>
    <row r="788" spans="1:37" ht="30" customHeight="1">
      <c r="A788" s="197" t="s">
        <v>198</v>
      </c>
      <c r="B788" s="197">
        <v>2622261732</v>
      </c>
      <c r="C788" s="197" t="s">
        <v>121</v>
      </c>
      <c r="D788" s="197" t="s">
        <v>96</v>
      </c>
      <c r="E788" s="197" t="s">
        <v>35</v>
      </c>
      <c r="F788" s="197" t="s">
        <v>369</v>
      </c>
      <c r="G788" s="197">
        <v>99</v>
      </c>
      <c r="H788" s="197"/>
      <c r="I788" s="197" t="s">
        <v>357</v>
      </c>
      <c r="J788" s="197" t="s">
        <v>336</v>
      </c>
      <c r="K788" s="197" t="s">
        <v>1503</v>
      </c>
      <c r="L788" s="203">
        <v>46169.492361111108</v>
      </c>
      <c r="M788" s="203">
        <v>46169.494444444441</v>
      </c>
      <c r="N788" s="197" t="s">
        <v>333</v>
      </c>
      <c r="O788" s="152" t="s">
        <v>207</v>
      </c>
      <c r="P788" s="90"/>
      <c r="Q788" s="140" t="s">
        <v>207</v>
      </c>
      <c r="R788" s="90"/>
      <c r="S788" s="140" t="s">
        <v>207</v>
      </c>
      <c r="T788" s="90"/>
      <c r="U788" s="140" t="s">
        <v>207</v>
      </c>
      <c r="V788" s="90"/>
      <c r="W788" s="140" t="s">
        <v>207</v>
      </c>
      <c r="X788" s="90"/>
      <c r="Y788" s="140" t="s">
        <v>77</v>
      </c>
      <c r="Z788" s="90"/>
      <c r="AA788" s="140" t="s">
        <v>207</v>
      </c>
      <c r="AB788" s="90"/>
      <c r="AC788" s="140" t="s">
        <v>207</v>
      </c>
      <c r="AD788" s="90"/>
      <c r="AE788" s="140" t="s">
        <v>207</v>
      </c>
      <c r="AF788" s="178" t="str">
        <f t="shared" si="36"/>
        <v>C</v>
      </c>
      <c r="AG788" s="52" t="str">
        <f t="shared" si="37"/>
        <v>UTILIZOU O PDA CORRETAMENTE</v>
      </c>
      <c r="AH788" s="140" t="s">
        <v>207</v>
      </c>
      <c r="AI788" s="182" t="s">
        <v>36</v>
      </c>
      <c r="AJ788" s="93" t="str">
        <f t="shared" si="38"/>
        <v>SÃO PAULO</v>
      </c>
      <c r="AK788" s="183" t="s">
        <v>54</v>
      </c>
    </row>
    <row r="789" spans="1:37" ht="30" customHeight="1">
      <c r="A789" s="197" t="s">
        <v>198</v>
      </c>
      <c r="B789" s="197">
        <v>2622253555</v>
      </c>
      <c r="C789" s="197" t="s">
        <v>107</v>
      </c>
      <c r="D789" s="197" t="s">
        <v>92</v>
      </c>
      <c r="E789" s="197" t="s">
        <v>35</v>
      </c>
      <c r="F789" s="197" t="s">
        <v>718</v>
      </c>
      <c r="G789" s="197">
        <v>551</v>
      </c>
      <c r="H789" s="197" t="s">
        <v>208</v>
      </c>
      <c r="I789" s="197" t="s">
        <v>357</v>
      </c>
      <c r="J789" s="197" t="s">
        <v>212</v>
      </c>
      <c r="K789" s="197"/>
      <c r="L789" s="203">
        <v>46169.630555555559</v>
      </c>
      <c r="M789" s="203">
        <v>46169.634722222225</v>
      </c>
      <c r="N789" s="197" t="s">
        <v>364</v>
      </c>
      <c r="O789" s="152" t="s">
        <v>207</v>
      </c>
      <c r="P789" s="90"/>
      <c r="Q789" s="140" t="s">
        <v>207</v>
      </c>
      <c r="R789" s="90"/>
      <c r="S789" s="140" t="s">
        <v>207</v>
      </c>
      <c r="T789" s="90"/>
      <c r="U789" s="140" t="s">
        <v>207</v>
      </c>
      <c r="V789" s="90"/>
      <c r="W789" s="140" t="s">
        <v>77</v>
      </c>
      <c r="X789" s="90"/>
      <c r="Y789" s="140" t="s">
        <v>77</v>
      </c>
      <c r="Z789" s="90"/>
      <c r="AA789" s="140" t="s">
        <v>77</v>
      </c>
      <c r="AB789" s="90"/>
      <c r="AC789" s="140" t="s">
        <v>215</v>
      </c>
      <c r="AD789" s="90" t="s">
        <v>1504</v>
      </c>
      <c r="AE789" s="140" t="s">
        <v>207</v>
      </c>
      <c r="AF789" s="178" t="str">
        <f t="shared" si="36"/>
        <v>NC</v>
      </c>
      <c r="AG789" s="52" t="str">
        <f t="shared" si="37"/>
        <v>UTILIZOU O PDA CORRETAMENTE. NÃO HÁ FOTOS DE TODAS AS ETAPAS</v>
      </c>
      <c r="AH789" s="140" t="s">
        <v>207</v>
      </c>
      <c r="AI789" s="182" t="s">
        <v>36</v>
      </c>
      <c r="AJ789" s="93" t="str">
        <f t="shared" si="38"/>
        <v>SÃO PAULO</v>
      </c>
      <c r="AK789" s="183" t="s">
        <v>54</v>
      </c>
    </row>
    <row r="790" spans="1:37" ht="30" customHeight="1">
      <c r="A790" s="197" t="s">
        <v>198</v>
      </c>
      <c r="B790" s="197">
        <v>2622319959</v>
      </c>
      <c r="C790" s="197" t="s">
        <v>223</v>
      </c>
      <c r="D790" s="197" t="s">
        <v>96</v>
      </c>
      <c r="E790" s="197" t="s">
        <v>35</v>
      </c>
      <c r="F790" s="197" t="s">
        <v>1505</v>
      </c>
      <c r="G790" s="197">
        <v>51</v>
      </c>
      <c r="H790" s="197" t="s">
        <v>208</v>
      </c>
      <c r="I790" s="197" t="s">
        <v>300</v>
      </c>
      <c r="J790" s="197" t="s">
        <v>226</v>
      </c>
      <c r="K790" s="197" t="s">
        <v>200</v>
      </c>
      <c r="L790" s="203">
        <v>46169.306250000001</v>
      </c>
      <c r="M790" s="203">
        <v>46169.309027777781</v>
      </c>
      <c r="N790" s="197" t="s">
        <v>235</v>
      </c>
      <c r="O790" s="152" t="s">
        <v>207</v>
      </c>
      <c r="P790" s="90"/>
      <c r="Q790" s="140" t="s">
        <v>207</v>
      </c>
      <c r="R790" s="90"/>
      <c r="S790" s="140" t="s">
        <v>207</v>
      </c>
      <c r="T790" s="90"/>
      <c r="U790" s="140" t="s">
        <v>207</v>
      </c>
      <c r="V790" s="90"/>
      <c r="W790" s="140" t="s">
        <v>207</v>
      </c>
      <c r="X790" s="90"/>
      <c r="Y790" s="140" t="s">
        <v>77</v>
      </c>
      <c r="Z790" s="90"/>
      <c r="AA790" s="140" t="s">
        <v>207</v>
      </c>
      <c r="AB790" s="90"/>
      <c r="AC790" s="140" t="s">
        <v>207</v>
      </c>
      <c r="AD790" s="90"/>
      <c r="AE790" s="140" t="s">
        <v>207</v>
      </c>
      <c r="AF790" s="178" t="str">
        <f t="shared" si="36"/>
        <v>C</v>
      </c>
      <c r="AG790" s="52" t="str">
        <f t="shared" si="37"/>
        <v>UTILIZOU O PDA CORRETAMENTE</v>
      </c>
      <c r="AH790" s="140" t="s">
        <v>207</v>
      </c>
      <c r="AI790" s="182" t="s">
        <v>36</v>
      </c>
      <c r="AJ790" s="93" t="str">
        <f t="shared" si="38"/>
        <v>SÃO PAULO</v>
      </c>
      <c r="AK790" s="183" t="s">
        <v>54</v>
      </c>
    </row>
    <row r="791" spans="1:37" ht="30" customHeight="1">
      <c r="A791" s="197" t="s">
        <v>198</v>
      </c>
      <c r="B791" s="197">
        <v>2694248303</v>
      </c>
      <c r="C791" s="197" t="s">
        <v>117</v>
      </c>
      <c r="D791" s="197" t="s">
        <v>96</v>
      </c>
      <c r="E791" s="197" t="s">
        <v>35</v>
      </c>
      <c r="F791" s="197" t="s">
        <v>286</v>
      </c>
      <c r="G791" s="197">
        <v>4030</v>
      </c>
      <c r="H791" s="197"/>
      <c r="I791" s="197" t="s">
        <v>402</v>
      </c>
      <c r="J791" s="197" t="s">
        <v>301</v>
      </c>
      <c r="K791" s="197"/>
      <c r="L791" s="203">
        <v>46169.609722222223</v>
      </c>
      <c r="M791" s="203">
        <v>46169.633333333331</v>
      </c>
      <c r="N791" s="197" t="s">
        <v>320</v>
      </c>
      <c r="O791" s="152" t="s">
        <v>207</v>
      </c>
      <c r="P791" s="90"/>
      <c r="Q791" s="140" t="s">
        <v>207</v>
      </c>
      <c r="R791" s="90"/>
      <c r="S791" s="140" t="s">
        <v>207</v>
      </c>
      <c r="T791" s="90"/>
      <c r="U791" s="140" t="s">
        <v>207</v>
      </c>
      <c r="V791" s="90"/>
      <c r="W791" s="140" t="s">
        <v>207</v>
      </c>
      <c r="X791" s="90"/>
      <c r="Y791" s="140" t="s">
        <v>77</v>
      </c>
      <c r="Z791" s="90"/>
      <c r="AA791" s="140" t="s">
        <v>207</v>
      </c>
      <c r="AB791" s="90"/>
      <c r="AC791" s="140" t="s">
        <v>207</v>
      </c>
      <c r="AD791" s="90"/>
      <c r="AE791" s="140" t="s">
        <v>207</v>
      </c>
      <c r="AF791" s="178" t="str">
        <f t="shared" si="36"/>
        <v>C</v>
      </c>
      <c r="AG791" s="52" t="str">
        <f t="shared" si="37"/>
        <v>UTILIZOU O PDA CORRETAMENTE</v>
      </c>
      <c r="AH791" s="140" t="s">
        <v>207</v>
      </c>
      <c r="AI791" s="182" t="s">
        <v>36</v>
      </c>
      <c r="AJ791" s="93" t="str">
        <f t="shared" si="38"/>
        <v>SÃO PAULO</v>
      </c>
      <c r="AK791" s="183" t="s">
        <v>54</v>
      </c>
    </row>
    <row r="792" spans="1:37" ht="30" customHeight="1">
      <c r="A792" s="197" t="s">
        <v>198</v>
      </c>
      <c r="B792" s="197">
        <v>2622334909</v>
      </c>
      <c r="C792" s="197" t="s">
        <v>121</v>
      </c>
      <c r="D792" s="197" t="s">
        <v>96</v>
      </c>
      <c r="E792" s="197" t="s">
        <v>35</v>
      </c>
      <c r="F792" s="197" t="s">
        <v>204</v>
      </c>
      <c r="G792" s="197">
        <v>21</v>
      </c>
      <c r="H792" s="197" t="s">
        <v>1413</v>
      </c>
      <c r="I792" s="197" t="s">
        <v>36</v>
      </c>
      <c r="J792" s="197" t="s">
        <v>336</v>
      </c>
      <c r="K792" s="197" t="s">
        <v>200</v>
      </c>
      <c r="L792" s="203">
        <v>46169.62777777778</v>
      </c>
      <c r="M792" s="203">
        <v>46169.638194444444</v>
      </c>
      <c r="N792" s="197" t="s">
        <v>274</v>
      </c>
      <c r="O792" s="152" t="s">
        <v>207</v>
      </c>
      <c r="P792" s="90"/>
      <c r="Q792" s="140" t="s">
        <v>207</v>
      </c>
      <c r="R792" s="90"/>
      <c r="S792" s="140" t="s">
        <v>207</v>
      </c>
      <c r="T792" s="90"/>
      <c r="U792" s="140" t="s">
        <v>207</v>
      </c>
      <c r="V792" s="90"/>
      <c r="W792" s="140" t="s">
        <v>207</v>
      </c>
      <c r="X792" s="90"/>
      <c r="Y792" s="140" t="s">
        <v>77</v>
      </c>
      <c r="Z792" s="90"/>
      <c r="AA792" s="140" t="s">
        <v>207</v>
      </c>
      <c r="AB792" s="90"/>
      <c r="AC792" s="140" t="s">
        <v>207</v>
      </c>
      <c r="AD792" s="90"/>
      <c r="AE792" s="140" t="s">
        <v>207</v>
      </c>
      <c r="AF792" s="178" t="str">
        <f t="shared" si="36"/>
        <v>C</v>
      </c>
      <c r="AG792" s="52" t="str">
        <f t="shared" si="37"/>
        <v>UTILIZOU O PDA CORRETAMENTE</v>
      </c>
      <c r="AH792" s="140" t="s">
        <v>207</v>
      </c>
      <c r="AI792" s="182" t="s">
        <v>36</v>
      </c>
      <c r="AJ792" s="93" t="str">
        <f t="shared" si="38"/>
        <v>SÃO PAULO</v>
      </c>
      <c r="AK792" s="183" t="s">
        <v>54</v>
      </c>
    </row>
    <row r="793" spans="1:37" ht="30" customHeight="1">
      <c r="A793" s="197" t="s">
        <v>198</v>
      </c>
      <c r="B793" s="197">
        <v>2622334474</v>
      </c>
      <c r="C793" s="197" t="s">
        <v>121</v>
      </c>
      <c r="D793" s="197" t="s">
        <v>96</v>
      </c>
      <c r="E793" s="197" t="s">
        <v>35</v>
      </c>
      <c r="F793" s="197" t="s">
        <v>204</v>
      </c>
      <c r="G793" s="197">
        <v>17699</v>
      </c>
      <c r="H793" s="197"/>
      <c r="I793" s="197" t="s">
        <v>408</v>
      </c>
      <c r="J793" s="197" t="s">
        <v>336</v>
      </c>
      <c r="K793" s="197"/>
      <c r="L793" s="203">
        <v>46169.613888888889</v>
      </c>
      <c r="M793" s="203">
        <v>46169.620138888888</v>
      </c>
      <c r="N793" s="197" t="s">
        <v>274</v>
      </c>
      <c r="O793" s="152" t="s">
        <v>207</v>
      </c>
      <c r="P793" s="90"/>
      <c r="Q793" s="140" t="s">
        <v>207</v>
      </c>
      <c r="R793" s="90"/>
      <c r="S793" s="140" t="s">
        <v>207</v>
      </c>
      <c r="T793" s="90"/>
      <c r="U793" s="140" t="s">
        <v>207</v>
      </c>
      <c r="V793" s="90"/>
      <c r="W793" s="140" t="s">
        <v>207</v>
      </c>
      <c r="X793" s="90"/>
      <c r="Y793" s="140" t="s">
        <v>77</v>
      </c>
      <c r="Z793" s="90"/>
      <c r="AA793" s="140" t="s">
        <v>207</v>
      </c>
      <c r="AB793" s="90"/>
      <c r="AC793" s="140" t="s">
        <v>207</v>
      </c>
      <c r="AD793" s="90"/>
      <c r="AE793" s="140" t="s">
        <v>207</v>
      </c>
      <c r="AF793" s="178" t="str">
        <f t="shared" si="36"/>
        <v>C</v>
      </c>
      <c r="AG793" s="52" t="str">
        <f t="shared" si="37"/>
        <v>UTILIZOU O PDA CORRETAMENTE</v>
      </c>
      <c r="AH793" s="140" t="s">
        <v>207</v>
      </c>
      <c r="AI793" s="182" t="s">
        <v>36</v>
      </c>
      <c r="AJ793" s="93" t="str">
        <f t="shared" si="38"/>
        <v>SÃO PAULO</v>
      </c>
      <c r="AK793" s="183" t="s">
        <v>54</v>
      </c>
    </row>
    <row r="794" spans="1:37" ht="30" customHeight="1">
      <c r="A794" s="197" t="s">
        <v>198</v>
      </c>
      <c r="B794" s="197">
        <v>2622342250</v>
      </c>
      <c r="C794" s="197" t="s">
        <v>116</v>
      </c>
      <c r="D794" s="197" t="s">
        <v>94</v>
      </c>
      <c r="E794" s="197" t="s">
        <v>35</v>
      </c>
      <c r="F794" s="197" t="s">
        <v>1506</v>
      </c>
      <c r="G794" s="197">
        <v>170</v>
      </c>
      <c r="H794" s="197" t="s">
        <v>200</v>
      </c>
      <c r="I794" s="197" t="s">
        <v>1507</v>
      </c>
      <c r="J794" s="197" t="s">
        <v>221</v>
      </c>
      <c r="K794" s="197" t="s">
        <v>200</v>
      </c>
      <c r="L794" s="203">
        <v>46169.634027777778</v>
      </c>
      <c r="M794" s="203">
        <v>46169.634722222225</v>
      </c>
      <c r="N794" s="197" t="s">
        <v>349</v>
      </c>
      <c r="O794" s="152" t="s">
        <v>207</v>
      </c>
      <c r="P794" s="90"/>
      <c r="Q794" s="140" t="s">
        <v>207</v>
      </c>
      <c r="R794" s="90"/>
      <c r="S794" s="140" t="s">
        <v>207</v>
      </c>
      <c r="T794" s="90"/>
      <c r="U794" s="140" t="s">
        <v>207</v>
      </c>
      <c r="V794" s="90"/>
      <c r="W794" s="140" t="s">
        <v>207</v>
      </c>
      <c r="X794" s="90"/>
      <c r="Y794" s="140" t="s">
        <v>207</v>
      </c>
      <c r="Z794" s="90"/>
      <c r="AA794" s="140" t="s">
        <v>207</v>
      </c>
      <c r="AB794" s="90"/>
      <c r="AC794" s="140" t="s">
        <v>207</v>
      </c>
      <c r="AD794" s="90"/>
      <c r="AE794" s="140" t="s">
        <v>207</v>
      </c>
      <c r="AF794" s="178" t="str">
        <f t="shared" si="36"/>
        <v>C</v>
      </c>
      <c r="AG794" s="52" t="str">
        <f t="shared" si="37"/>
        <v>UTILIZOU O PDA CORRETAMENTE</v>
      </c>
      <c r="AH794" s="140" t="s">
        <v>207</v>
      </c>
      <c r="AI794" s="182" t="s">
        <v>36</v>
      </c>
      <c r="AJ794" s="93" t="str">
        <f t="shared" si="38"/>
        <v>SÃO PAULO</v>
      </c>
      <c r="AK794" s="183" t="s">
        <v>54</v>
      </c>
    </row>
    <row r="795" spans="1:37" ht="30" customHeight="1">
      <c r="A795" s="197" t="s">
        <v>198</v>
      </c>
      <c r="B795" s="197">
        <v>2621912784</v>
      </c>
      <c r="C795" s="197" t="s">
        <v>1498</v>
      </c>
      <c r="D795" s="197" t="s">
        <v>95</v>
      </c>
      <c r="E795" s="197" t="s">
        <v>35</v>
      </c>
      <c r="F795" s="197" t="s">
        <v>1506</v>
      </c>
      <c r="G795" s="197">
        <v>134</v>
      </c>
      <c r="H795" s="197"/>
      <c r="I795" s="197" t="s">
        <v>1507</v>
      </c>
      <c r="J795" s="197" t="s">
        <v>1500</v>
      </c>
      <c r="K795" s="204" t="s">
        <v>1508</v>
      </c>
      <c r="L795" s="203">
        <v>46169.354166666664</v>
      </c>
      <c r="M795" s="203">
        <v>46169.65625</v>
      </c>
      <c r="N795" s="197" t="s">
        <v>349</v>
      </c>
      <c r="O795" s="152" t="s">
        <v>77</v>
      </c>
      <c r="P795" s="90"/>
      <c r="Q795" s="140" t="s">
        <v>77</v>
      </c>
      <c r="R795" s="90"/>
      <c r="S795" s="140" t="s">
        <v>77</v>
      </c>
      <c r="T795" s="90"/>
      <c r="U795" s="140" t="s">
        <v>77</v>
      </c>
      <c r="V795" s="90"/>
      <c r="W795" s="140" t="s">
        <v>77</v>
      </c>
      <c r="X795" s="90"/>
      <c r="Y795" s="140" t="s">
        <v>77</v>
      </c>
      <c r="Z795" s="90"/>
      <c r="AA795" s="140" t="s">
        <v>77</v>
      </c>
      <c r="AB795" s="90"/>
      <c r="AC795" s="140" t="s">
        <v>77</v>
      </c>
      <c r="AD795" s="90"/>
      <c r="AE795" s="140" t="s">
        <v>77</v>
      </c>
      <c r="AF795" s="178" t="str">
        <f t="shared" si="36"/>
        <v>NA</v>
      </c>
      <c r="AG795" s="52" t="str">
        <f t="shared" si="37"/>
        <v>NÃO AVALIADO POR FALHA DE SINCRONISMO</v>
      </c>
      <c r="AH795" s="140" t="s">
        <v>207</v>
      </c>
      <c r="AI795" s="182" t="s">
        <v>36</v>
      </c>
      <c r="AJ795" s="93" t="str">
        <f t="shared" si="38"/>
        <v>SÃO PAULO</v>
      </c>
      <c r="AK795" s="183" t="s">
        <v>54</v>
      </c>
    </row>
    <row r="796" spans="1:37" ht="30" customHeight="1">
      <c r="A796" s="197" t="s">
        <v>198</v>
      </c>
      <c r="B796" s="197">
        <v>2694295962</v>
      </c>
      <c r="C796" s="197" t="s">
        <v>114</v>
      </c>
      <c r="D796" s="197" t="s">
        <v>96</v>
      </c>
      <c r="E796" s="197" t="s">
        <v>35</v>
      </c>
      <c r="F796" s="197" t="s">
        <v>1509</v>
      </c>
      <c r="G796" s="197">
        <v>274</v>
      </c>
      <c r="H796" s="197" t="s">
        <v>200</v>
      </c>
      <c r="I796" s="197" t="s">
        <v>510</v>
      </c>
      <c r="J796" s="197" t="s">
        <v>260</v>
      </c>
      <c r="K796" s="197" t="s">
        <v>1510</v>
      </c>
      <c r="L796" s="203">
        <v>46169.491666666669</v>
      </c>
      <c r="M796" s="203">
        <v>46169.493750000001</v>
      </c>
      <c r="N796" s="197" t="s">
        <v>349</v>
      </c>
      <c r="O796" s="152" t="s">
        <v>207</v>
      </c>
      <c r="P796" s="90"/>
      <c r="Q796" s="140" t="s">
        <v>207</v>
      </c>
      <c r="R796" s="90"/>
      <c r="S796" s="140" t="s">
        <v>207</v>
      </c>
      <c r="T796" s="90"/>
      <c r="U796" s="140" t="s">
        <v>207</v>
      </c>
      <c r="V796" s="90"/>
      <c r="W796" s="140" t="s">
        <v>207</v>
      </c>
      <c r="X796" s="90"/>
      <c r="Y796" s="140" t="s">
        <v>207</v>
      </c>
      <c r="Z796" s="90"/>
      <c r="AA796" s="140" t="s">
        <v>207</v>
      </c>
      <c r="AB796" s="90"/>
      <c r="AC796" s="140" t="s">
        <v>207</v>
      </c>
      <c r="AD796" s="90"/>
      <c r="AE796" s="140" t="s">
        <v>207</v>
      </c>
      <c r="AF796" s="178" t="str">
        <f t="shared" si="36"/>
        <v>C</v>
      </c>
      <c r="AG796" s="52" t="str">
        <f t="shared" si="37"/>
        <v>UTILIZOU O PDA CORRETAMENTE</v>
      </c>
      <c r="AH796" s="140" t="s">
        <v>207</v>
      </c>
      <c r="AI796" s="182" t="s">
        <v>36</v>
      </c>
      <c r="AJ796" s="93" t="str">
        <f t="shared" si="38"/>
        <v>SÃO PAULO</v>
      </c>
      <c r="AK796" s="183" t="s">
        <v>54</v>
      </c>
    </row>
    <row r="797" spans="1:37" ht="30" customHeight="1">
      <c r="A797" s="197" t="s">
        <v>198</v>
      </c>
      <c r="B797" s="197">
        <v>2694251535</v>
      </c>
      <c r="C797" s="197" t="s">
        <v>114</v>
      </c>
      <c r="D797" s="197" t="s">
        <v>96</v>
      </c>
      <c r="E797" s="197" t="s">
        <v>35</v>
      </c>
      <c r="F797" s="197" t="s">
        <v>1511</v>
      </c>
      <c r="G797" s="197">
        <v>6</v>
      </c>
      <c r="H797" s="197"/>
      <c r="I797" s="197" t="s">
        <v>1512</v>
      </c>
      <c r="J797" s="197" t="s">
        <v>260</v>
      </c>
      <c r="K797" s="197"/>
      <c r="L797" s="203">
        <v>46169.602083333331</v>
      </c>
      <c r="M797" s="203">
        <v>46169.663888888892</v>
      </c>
      <c r="N797" s="197" t="s">
        <v>232</v>
      </c>
      <c r="O797" s="152" t="s">
        <v>207</v>
      </c>
      <c r="P797" s="90"/>
      <c r="Q797" s="140" t="s">
        <v>207</v>
      </c>
      <c r="R797" s="90"/>
      <c r="S797" s="140" t="s">
        <v>207</v>
      </c>
      <c r="T797" s="90"/>
      <c r="U797" s="140" t="s">
        <v>207</v>
      </c>
      <c r="V797" s="90"/>
      <c r="W797" s="140" t="s">
        <v>207</v>
      </c>
      <c r="X797" s="90"/>
      <c r="Y797" s="140" t="s">
        <v>207</v>
      </c>
      <c r="Z797" s="90"/>
      <c r="AA797" s="140" t="s">
        <v>207</v>
      </c>
      <c r="AB797" s="90"/>
      <c r="AC797" s="140" t="s">
        <v>207</v>
      </c>
      <c r="AD797" s="90"/>
      <c r="AE797" s="140" t="s">
        <v>207</v>
      </c>
      <c r="AF797" s="178" t="str">
        <f t="shared" si="36"/>
        <v>C</v>
      </c>
      <c r="AG797" s="52" t="str">
        <f t="shared" si="37"/>
        <v>UTILIZOU O PDA CORRETAMENTE</v>
      </c>
      <c r="AH797" s="140" t="s">
        <v>207</v>
      </c>
      <c r="AI797" s="182" t="s">
        <v>36</v>
      </c>
      <c r="AJ797" s="93" t="str">
        <f t="shared" si="38"/>
        <v>SÃO PAULO</v>
      </c>
      <c r="AK797" s="183" t="s">
        <v>54</v>
      </c>
    </row>
    <row r="798" spans="1:37" ht="30" customHeight="1">
      <c r="A798" s="197" t="s">
        <v>198</v>
      </c>
      <c r="B798" s="197">
        <v>2621903002</v>
      </c>
      <c r="C798" s="197" t="s">
        <v>121</v>
      </c>
      <c r="D798" s="197" t="s">
        <v>96</v>
      </c>
      <c r="E798" s="197" t="s">
        <v>35</v>
      </c>
      <c r="F798" s="197" t="s">
        <v>796</v>
      </c>
      <c r="G798" s="197">
        <v>810</v>
      </c>
      <c r="H798" s="197" t="s">
        <v>208</v>
      </c>
      <c r="I798" s="197" t="s">
        <v>433</v>
      </c>
      <c r="J798" s="197" t="s">
        <v>1021</v>
      </c>
      <c r="K798" s="197" t="s">
        <v>200</v>
      </c>
      <c r="L798" s="203">
        <v>46169.384027777778</v>
      </c>
      <c r="M798" s="203">
        <v>46169.393055555556</v>
      </c>
      <c r="N798" s="197" t="s">
        <v>262</v>
      </c>
      <c r="O798" s="152" t="s">
        <v>207</v>
      </c>
      <c r="P798" s="90"/>
      <c r="Q798" s="140" t="s">
        <v>207</v>
      </c>
      <c r="R798" s="90"/>
      <c r="S798" s="140" t="s">
        <v>207</v>
      </c>
      <c r="T798" s="90"/>
      <c r="U798" s="140" t="s">
        <v>207</v>
      </c>
      <c r="V798" s="90"/>
      <c r="W798" s="140" t="s">
        <v>207</v>
      </c>
      <c r="X798" s="90"/>
      <c r="Y798" s="140" t="s">
        <v>77</v>
      </c>
      <c r="Z798" s="90"/>
      <c r="AA798" s="140" t="s">
        <v>207</v>
      </c>
      <c r="AB798" s="90"/>
      <c r="AC798" s="140" t="s">
        <v>207</v>
      </c>
      <c r="AD798" s="90"/>
      <c r="AE798" s="140" t="s">
        <v>207</v>
      </c>
      <c r="AF798" s="178" t="str">
        <f t="shared" si="36"/>
        <v>C</v>
      </c>
      <c r="AG798" s="52" t="str">
        <f t="shared" si="37"/>
        <v>UTILIZOU O PDA CORRETAMENTE</v>
      </c>
      <c r="AH798" s="140" t="s">
        <v>207</v>
      </c>
      <c r="AI798" s="182" t="s">
        <v>36</v>
      </c>
      <c r="AJ798" s="93" t="str">
        <f t="shared" si="38"/>
        <v>SÃO PAULO</v>
      </c>
      <c r="AK798" s="183" t="s">
        <v>54</v>
      </c>
    </row>
    <row r="799" spans="1:37" ht="30" customHeight="1">
      <c r="A799" s="197" t="s">
        <v>198</v>
      </c>
      <c r="B799" s="197">
        <v>2694281010</v>
      </c>
      <c r="C799" s="197" t="s">
        <v>105</v>
      </c>
      <c r="D799" s="197" t="s">
        <v>93</v>
      </c>
      <c r="E799" s="197" t="s">
        <v>35</v>
      </c>
      <c r="F799" s="197" t="s">
        <v>1513</v>
      </c>
      <c r="G799" s="197">
        <v>93</v>
      </c>
      <c r="H799" s="197" t="s">
        <v>208</v>
      </c>
      <c r="I799" s="197" t="s">
        <v>220</v>
      </c>
      <c r="J799" s="197" t="s">
        <v>272</v>
      </c>
      <c r="K799" s="197"/>
      <c r="L799" s="203">
        <v>46169.972222222219</v>
      </c>
      <c r="M799" s="203">
        <v>46169.997916666667</v>
      </c>
      <c r="N799" s="197" t="s">
        <v>403</v>
      </c>
      <c r="O799" s="152" t="s">
        <v>207</v>
      </c>
      <c r="P799" s="90"/>
      <c r="Q799" s="140" t="s">
        <v>207</v>
      </c>
      <c r="R799" s="90"/>
      <c r="S799" s="140" t="s">
        <v>207</v>
      </c>
      <c r="T799" s="90"/>
      <c r="U799" s="140" t="s">
        <v>207</v>
      </c>
      <c r="V799" s="90"/>
      <c r="W799" s="140" t="s">
        <v>207</v>
      </c>
      <c r="X799" s="90"/>
      <c r="Y799" s="140" t="s">
        <v>77</v>
      </c>
      <c r="Z799" s="90"/>
      <c r="AA799" s="140" t="s">
        <v>207</v>
      </c>
      <c r="AB799" s="90"/>
      <c r="AC799" s="140" t="s">
        <v>207</v>
      </c>
      <c r="AD799" s="90"/>
      <c r="AE799" s="140" t="s">
        <v>207</v>
      </c>
      <c r="AF799" s="178" t="str">
        <f t="shared" si="36"/>
        <v>C</v>
      </c>
      <c r="AG799" s="52" t="str">
        <f t="shared" si="37"/>
        <v>UTILIZOU O PDA CORRETAMENTE</v>
      </c>
      <c r="AH799" s="140" t="s">
        <v>207</v>
      </c>
      <c r="AI799" s="182" t="s">
        <v>36</v>
      </c>
      <c r="AJ799" s="93" t="str">
        <f t="shared" si="38"/>
        <v>SÃO PAULO</v>
      </c>
      <c r="AK799" s="183" t="s">
        <v>54</v>
      </c>
    </row>
    <row r="800" spans="1:37" ht="30" customHeight="1">
      <c r="A800" s="281"/>
      <c r="B800" s="281"/>
      <c r="C800" s="281"/>
      <c r="D800" s="281"/>
      <c r="E800" s="281"/>
      <c r="F800" s="281"/>
      <c r="G800" s="281"/>
      <c r="H800" s="281"/>
      <c r="I800" s="281"/>
      <c r="J800" s="281"/>
      <c r="K800" s="281"/>
      <c r="L800" s="281"/>
      <c r="M800" s="281"/>
      <c r="N800" s="273"/>
      <c r="O800" s="140"/>
      <c r="P800" s="90"/>
      <c r="Q800" s="140"/>
      <c r="R800" s="90"/>
      <c r="S800" s="140"/>
      <c r="T800" s="90"/>
      <c r="U800" s="140"/>
      <c r="V800" s="90"/>
      <c r="W800" s="140"/>
      <c r="X800" s="90"/>
      <c r="Y800" s="140"/>
      <c r="Z800" s="90"/>
      <c r="AA800" s="140"/>
      <c r="AB800" s="90"/>
      <c r="AC800" s="140"/>
      <c r="AD800" s="90"/>
      <c r="AE800" s="140"/>
      <c r="AF800" s="178" t="str">
        <f t="shared" si="36"/>
        <v/>
      </c>
      <c r="AG800" s="52" t="b">
        <f t="shared" si="37"/>
        <v>0</v>
      </c>
      <c r="AH800" s="140"/>
      <c r="AI800" s="182" t="s">
        <v>36</v>
      </c>
      <c r="AJ800" s="93">
        <f t="shared" si="38"/>
        <v>0</v>
      </c>
      <c r="AK800" s="183" t="s">
        <v>54</v>
      </c>
    </row>
    <row r="801" spans="1:37" ht="30" customHeight="1">
      <c r="A801" s="90"/>
      <c r="B801" s="90"/>
      <c r="C801" s="90"/>
      <c r="D801" s="90"/>
      <c r="E801" s="90"/>
      <c r="F801" s="90"/>
      <c r="G801" s="90"/>
      <c r="H801" s="90"/>
      <c r="I801" s="90"/>
      <c r="J801" s="90"/>
      <c r="K801" s="90"/>
      <c r="L801" s="90"/>
      <c r="M801" s="90"/>
      <c r="N801" s="150"/>
      <c r="O801" s="140"/>
      <c r="P801" s="90"/>
      <c r="Q801" s="140"/>
      <c r="R801" s="90"/>
      <c r="S801" s="140"/>
      <c r="T801" s="90"/>
      <c r="U801" s="140"/>
      <c r="V801" s="90"/>
      <c r="W801" s="140"/>
      <c r="X801" s="90"/>
      <c r="Y801" s="140"/>
      <c r="Z801" s="90"/>
      <c r="AA801" s="140"/>
      <c r="AB801" s="90"/>
      <c r="AC801" s="140"/>
      <c r="AD801" s="90"/>
      <c r="AE801" s="140"/>
      <c r="AF801" s="178" t="str">
        <f t="shared" si="36"/>
        <v/>
      </c>
      <c r="AG801" s="52" t="b">
        <f t="shared" si="37"/>
        <v>0</v>
      </c>
      <c r="AH801" s="140"/>
      <c r="AI801" s="182" t="s">
        <v>36</v>
      </c>
      <c r="AJ801" s="93">
        <f t="shared" si="38"/>
        <v>0</v>
      </c>
      <c r="AK801" s="183" t="s">
        <v>54</v>
      </c>
    </row>
    <row r="802" spans="1:37" ht="30" customHeight="1">
      <c r="A802" s="90"/>
      <c r="B802" s="90"/>
      <c r="C802" s="90"/>
      <c r="D802" s="90"/>
      <c r="E802" s="90"/>
      <c r="F802" s="90"/>
      <c r="G802" s="90"/>
      <c r="H802" s="90"/>
      <c r="I802" s="90"/>
      <c r="J802" s="90"/>
      <c r="K802" s="90"/>
      <c r="L802" s="90"/>
      <c r="M802" s="90"/>
      <c r="N802" s="150"/>
      <c r="O802" s="140"/>
      <c r="P802" s="90"/>
      <c r="Q802" s="140"/>
      <c r="R802" s="90"/>
      <c r="S802" s="140"/>
      <c r="T802" s="90"/>
      <c r="U802" s="140"/>
      <c r="V802" s="90"/>
      <c r="W802" s="140"/>
      <c r="X802" s="90"/>
      <c r="Y802" s="140"/>
      <c r="Z802" s="90"/>
      <c r="AA802" s="140"/>
      <c r="AB802" s="90"/>
      <c r="AC802" s="140"/>
      <c r="AD802" s="90"/>
      <c r="AE802" s="140"/>
      <c r="AF802" s="178" t="str">
        <f t="shared" si="36"/>
        <v/>
      </c>
      <c r="AG802" s="52" t="b">
        <f t="shared" si="37"/>
        <v>0</v>
      </c>
      <c r="AH802" s="140"/>
      <c r="AI802" s="182" t="s">
        <v>36</v>
      </c>
      <c r="AJ802" s="93">
        <f t="shared" si="38"/>
        <v>0</v>
      </c>
      <c r="AK802" s="183" t="s">
        <v>54</v>
      </c>
    </row>
    <row r="803" spans="1:37" ht="30" customHeight="1">
      <c r="A803" s="90"/>
      <c r="B803" s="90"/>
      <c r="C803" s="90"/>
      <c r="D803" s="90"/>
      <c r="E803" s="90"/>
      <c r="F803" s="90"/>
      <c r="G803" s="90"/>
      <c r="H803" s="90"/>
      <c r="I803" s="90"/>
      <c r="J803" s="90"/>
      <c r="K803" s="90"/>
      <c r="L803" s="90"/>
      <c r="M803" s="90"/>
      <c r="N803" s="150"/>
      <c r="O803" s="140"/>
      <c r="P803" s="90"/>
      <c r="Q803" s="140"/>
      <c r="R803" s="90"/>
      <c r="S803" s="140"/>
      <c r="T803" s="90"/>
      <c r="U803" s="140"/>
      <c r="V803" s="90"/>
      <c r="W803" s="140"/>
      <c r="X803" s="90"/>
      <c r="Y803" s="140"/>
      <c r="Z803" s="90"/>
      <c r="AA803" s="140"/>
      <c r="AB803" s="90"/>
      <c r="AC803" s="140"/>
      <c r="AD803" s="90"/>
      <c r="AE803" s="140"/>
      <c r="AF803" s="178" t="str">
        <f t="shared" si="36"/>
        <v/>
      </c>
      <c r="AG803" s="52" t="b">
        <f t="shared" si="37"/>
        <v>0</v>
      </c>
      <c r="AH803" s="140"/>
      <c r="AI803" s="182" t="s">
        <v>36</v>
      </c>
      <c r="AJ803" s="93">
        <f t="shared" si="38"/>
        <v>0</v>
      </c>
      <c r="AK803" s="183" t="s">
        <v>54</v>
      </c>
    </row>
    <row r="804" spans="1:37" ht="30" customHeight="1">
      <c r="A804" s="90"/>
      <c r="B804" s="90"/>
      <c r="C804" s="90"/>
      <c r="D804" s="90"/>
      <c r="E804" s="90"/>
      <c r="F804" s="90"/>
      <c r="G804" s="90"/>
      <c r="H804" s="90"/>
      <c r="I804" s="90"/>
      <c r="J804" s="90"/>
      <c r="K804" s="90"/>
      <c r="L804" s="90"/>
      <c r="M804" s="90"/>
      <c r="N804" s="150"/>
      <c r="O804" s="140"/>
      <c r="P804" s="90"/>
      <c r="Q804" s="140"/>
      <c r="R804" s="90"/>
      <c r="S804" s="140"/>
      <c r="T804" s="90"/>
      <c r="U804" s="140"/>
      <c r="V804" s="90"/>
      <c r="W804" s="140"/>
      <c r="X804" s="90"/>
      <c r="Y804" s="140"/>
      <c r="Z804" s="90"/>
      <c r="AA804" s="140"/>
      <c r="AB804" s="90"/>
      <c r="AC804" s="140"/>
      <c r="AD804" s="90"/>
      <c r="AE804" s="140"/>
      <c r="AF804" s="178" t="str">
        <f t="shared" si="36"/>
        <v/>
      </c>
      <c r="AG804" s="52" t="b">
        <f t="shared" si="37"/>
        <v>0</v>
      </c>
      <c r="AH804" s="140"/>
      <c r="AI804" s="182" t="s">
        <v>36</v>
      </c>
      <c r="AJ804" s="93">
        <f t="shared" si="38"/>
        <v>0</v>
      </c>
      <c r="AK804" s="183" t="s">
        <v>54</v>
      </c>
    </row>
    <row r="805" spans="1:37" ht="30" customHeight="1">
      <c r="A805" s="90"/>
      <c r="B805" s="90"/>
      <c r="C805" s="90"/>
      <c r="D805" s="90"/>
      <c r="E805" s="90"/>
      <c r="F805" s="90"/>
      <c r="G805" s="90"/>
      <c r="H805" s="90"/>
      <c r="I805" s="90"/>
      <c r="J805" s="90"/>
      <c r="K805" s="90"/>
      <c r="L805" s="90"/>
      <c r="M805" s="90"/>
      <c r="N805" s="150"/>
      <c r="O805" s="140"/>
      <c r="P805" s="90"/>
      <c r="Q805" s="140"/>
      <c r="R805" s="90"/>
      <c r="S805" s="140"/>
      <c r="T805" s="90"/>
      <c r="U805" s="140"/>
      <c r="V805" s="90"/>
      <c r="W805" s="140"/>
      <c r="X805" s="90"/>
      <c r="Y805" s="140"/>
      <c r="Z805" s="90"/>
      <c r="AA805" s="140"/>
      <c r="AB805" s="90"/>
      <c r="AC805" s="140"/>
      <c r="AD805" s="90"/>
      <c r="AE805" s="140"/>
      <c r="AF805" s="178" t="str">
        <f t="shared" si="36"/>
        <v/>
      </c>
      <c r="AG805" s="52" t="b">
        <f t="shared" si="37"/>
        <v>0</v>
      </c>
      <c r="AH805" s="140"/>
      <c r="AI805" s="182" t="s">
        <v>36</v>
      </c>
      <c r="AJ805" s="93">
        <f t="shared" si="38"/>
        <v>0</v>
      </c>
      <c r="AK805" s="183" t="s">
        <v>54</v>
      </c>
    </row>
    <row r="806" spans="1:37" ht="30" customHeight="1">
      <c r="A806" s="90"/>
      <c r="B806" s="90"/>
      <c r="C806" s="90"/>
      <c r="D806" s="90"/>
      <c r="E806" s="90"/>
      <c r="F806" s="90"/>
      <c r="G806" s="90"/>
      <c r="H806" s="90"/>
      <c r="I806" s="90"/>
      <c r="J806" s="90"/>
      <c r="K806" s="90"/>
      <c r="L806" s="90"/>
      <c r="M806" s="90"/>
      <c r="N806" s="150"/>
      <c r="O806" s="140"/>
      <c r="P806" s="90"/>
      <c r="Q806" s="140"/>
      <c r="R806" s="90"/>
      <c r="S806" s="140"/>
      <c r="T806" s="90"/>
      <c r="U806" s="140"/>
      <c r="V806" s="90"/>
      <c r="W806" s="140"/>
      <c r="X806" s="90"/>
      <c r="Y806" s="140"/>
      <c r="Z806" s="90"/>
      <c r="AA806" s="140"/>
      <c r="AB806" s="90"/>
      <c r="AC806" s="140"/>
      <c r="AD806" s="90"/>
      <c r="AE806" s="140"/>
      <c r="AF806" s="178" t="str">
        <f t="shared" si="36"/>
        <v/>
      </c>
      <c r="AG806" s="52" t="b">
        <f t="shared" si="37"/>
        <v>0</v>
      </c>
      <c r="AH806" s="140"/>
      <c r="AI806" s="182" t="s">
        <v>36</v>
      </c>
      <c r="AJ806" s="93">
        <f t="shared" si="38"/>
        <v>0</v>
      </c>
      <c r="AK806" s="183" t="s">
        <v>54</v>
      </c>
    </row>
    <row r="807" spans="1:37" ht="30" customHeight="1">
      <c r="A807" s="90"/>
      <c r="B807" s="90"/>
      <c r="C807" s="90"/>
      <c r="D807" s="90"/>
      <c r="E807" s="90"/>
      <c r="F807" s="90"/>
      <c r="G807" s="90"/>
      <c r="H807" s="90"/>
      <c r="I807" s="90"/>
      <c r="J807" s="90"/>
      <c r="K807" s="90"/>
      <c r="L807" s="90"/>
      <c r="M807" s="90"/>
      <c r="N807" s="150"/>
      <c r="O807" s="140"/>
      <c r="P807" s="90"/>
      <c r="Q807" s="140"/>
      <c r="R807" s="90"/>
      <c r="S807" s="140"/>
      <c r="T807" s="90"/>
      <c r="U807" s="140"/>
      <c r="V807" s="90"/>
      <c r="W807" s="140"/>
      <c r="X807" s="90"/>
      <c r="Y807" s="140"/>
      <c r="Z807" s="90"/>
      <c r="AA807" s="140"/>
      <c r="AB807" s="90"/>
      <c r="AC807" s="140"/>
      <c r="AD807" s="90"/>
      <c r="AE807" s="140"/>
      <c r="AF807" s="178" t="str">
        <f t="shared" si="36"/>
        <v/>
      </c>
      <c r="AG807" s="52" t="b">
        <f t="shared" si="37"/>
        <v>0</v>
      </c>
      <c r="AH807" s="140"/>
      <c r="AI807" s="182" t="s">
        <v>36</v>
      </c>
      <c r="AJ807" s="93">
        <f t="shared" si="38"/>
        <v>0</v>
      </c>
      <c r="AK807" s="183" t="s">
        <v>54</v>
      </c>
    </row>
    <row r="808" spans="1:37" ht="30" customHeight="1">
      <c r="A808" s="90"/>
      <c r="B808" s="90"/>
      <c r="C808" s="90"/>
      <c r="D808" s="90"/>
      <c r="E808" s="90"/>
      <c r="F808" s="90"/>
      <c r="G808" s="90"/>
      <c r="H808" s="90"/>
      <c r="I808" s="90"/>
      <c r="J808" s="90"/>
      <c r="K808" s="90"/>
      <c r="L808" s="90"/>
      <c r="M808" s="90"/>
      <c r="N808" s="150"/>
      <c r="O808" s="140"/>
      <c r="P808" s="90"/>
      <c r="Q808" s="140"/>
      <c r="R808" s="90"/>
      <c r="S808" s="140"/>
      <c r="T808" s="90"/>
      <c r="U808" s="140"/>
      <c r="V808" s="90"/>
      <c r="W808" s="140"/>
      <c r="X808" s="90"/>
      <c r="Y808" s="140"/>
      <c r="Z808" s="90"/>
      <c r="AA808" s="140"/>
      <c r="AB808" s="90"/>
      <c r="AC808" s="140"/>
      <c r="AD808" s="90"/>
      <c r="AE808" s="140"/>
      <c r="AF808" s="178" t="str">
        <f t="shared" si="36"/>
        <v/>
      </c>
      <c r="AG808" s="52" t="b">
        <f t="shared" si="37"/>
        <v>0</v>
      </c>
      <c r="AH808" s="140"/>
      <c r="AI808" s="182" t="s">
        <v>36</v>
      </c>
      <c r="AJ808" s="93">
        <f t="shared" si="38"/>
        <v>0</v>
      </c>
      <c r="AK808" s="183" t="s">
        <v>54</v>
      </c>
    </row>
    <row r="809" spans="1:37" ht="30" customHeight="1">
      <c r="A809" s="90"/>
      <c r="B809" s="90"/>
      <c r="C809" s="90"/>
      <c r="D809" s="90"/>
      <c r="E809" s="90"/>
      <c r="F809" s="90"/>
      <c r="G809" s="90"/>
      <c r="H809" s="90"/>
      <c r="I809" s="90"/>
      <c r="J809" s="90"/>
      <c r="K809" s="90"/>
      <c r="L809" s="90"/>
      <c r="M809" s="90"/>
      <c r="N809" s="150"/>
      <c r="O809" s="140"/>
      <c r="P809" s="90"/>
      <c r="Q809" s="140"/>
      <c r="R809" s="90"/>
      <c r="S809" s="140"/>
      <c r="T809" s="90"/>
      <c r="U809" s="140"/>
      <c r="V809" s="90"/>
      <c r="W809" s="140"/>
      <c r="X809" s="90"/>
      <c r="Y809" s="140"/>
      <c r="Z809" s="90"/>
      <c r="AA809" s="140"/>
      <c r="AB809" s="90"/>
      <c r="AC809" s="140"/>
      <c r="AD809" s="90"/>
      <c r="AE809" s="140"/>
      <c r="AF809" s="178" t="str">
        <f t="shared" si="36"/>
        <v/>
      </c>
      <c r="AG809" s="52" t="b">
        <f t="shared" si="37"/>
        <v>0</v>
      </c>
      <c r="AH809" s="140"/>
      <c r="AI809" s="182" t="s">
        <v>36</v>
      </c>
      <c r="AJ809" s="93">
        <f t="shared" si="38"/>
        <v>0</v>
      </c>
      <c r="AK809" s="183" t="s">
        <v>54</v>
      </c>
    </row>
    <row r="810" spans="1:37" ht="30" customHeight="1">
      <c r="A810" s="90"/>
      <c r="B810" s="90"/>
      <c r="C810" s="90"/>
      <c r="D810" s="90"/>
      <c r="E810" s="90"/>
      <c r="F810" s="90"/>
      <c r="G810" s="90"/>
      <c r="H810" s="90"/>
      <c r="I810" s="90"/>
      <c r="J810" s="90"/>
      <c r="K810" s="90"/>
      <c r="L810" s="90"/>
      <c r="M810" s="90"/>
      <c r="N810" s="150"/>
      <c r="O810" s="140"/>
      <c r="P810" s="90"/>
      <c r="Q810" s="140"/>
      <c r="R810" s="90"/>
      <c r="S810" s="140"/>
      <c r="T810" s="90"/>
      <c r="U810" s="140"/>
      <c r="V810" s="90"/>
      <c r="W810" s="140"/>
      <c r="X810" s="90"/>
      <c r="Y810" s="140"/>
      <c r="Z810" s="90"/>
      <c r="AA810" s="140"/>
      <c r="AB810" s="90"/>
      <c r="AC810" s="140"/>
      <c r="AD810" s="90"/>
      <c r="AE810" s="140"/>
      <c r="AF810" s="178" t="str">
        <f t="shared" si="36"/>
        <v/>
      </c>
      <c r="AG810" s="52" t="b">
        <f t="shared" si="37"/>
        <v>0</v>
      </c>
      <c r="AH810" s="140"/>
      <c r="AI810" s="182" t="s">
        <v>36</v>
      </c>
      <c r="AJ810" s="93">
        <f t="shared" si="38"/>
        <v>0</v>
      </c>
      <c r="AK810" s="183" t="s">
        <v>54</v>
      </c>
    </row>
    <row r="811" spans="1:37" ht="30" customHeight="1">
      <c r="A811" s="90"/>
      <c r="B811" s="90"/>
      <c r="C811" s="90"/>
      <c r="D811" s="90"/>
      <c r="E811" s="90"/>
      <c r="F811" s="90"/>
      <c r="G811" s="90"/>
      <c r="H811" s="90"/>
      <c r="I811" s="90"/>
      <c r="J811" s="90"/>
      <c r="K811" s="90"/>
      <c r="L811" s="90"/>
      <c r="M811" s="90"/>
      <c r="N811" s="150"/>
      <c r="O811" s="140"/>
      <c r="P811" s="90"/>
      <c r="Q811" s="140"/>
      <c r="R811" s="90"/>
      <c r="S811" s="140"/>
      <c r="T811" s="90"/>
      <c r="U811" s="140"/>
      <c r="V811" s="90"/>
      <c r="W811" s="140"/>
      <c r="X811" s="90"/>
      <c r="Y811" s="140"/>
      <c r="Z811" s="90"/>
      <c r="AA811" s="140"/>
      <c r="AB811" s="90"/>
      <c r="AC811" s="140"/>
      <c r="AD811" s="90"/>
      <c r="AE811" s="140"/>
      <c r="AF811" s="178" t="str">
        <f t="shared" si="36"/>
        <v/>
      </c>
      <c r="AG811" s="52" t="b">
        <f t="shared" si="37"/>
        <v>0</v>
      </c>
      <c r="AH811" s="140"/>
      <c r="AI811" s="182" t="s">
        <v>36</v>
      </c>
      <c r="AJ811" s="93">
        <f t="shared" si="38"/>
        <v>0</v>
      </c>
      <c r="AK811" s="183" t="s">
        <v>54</v>
      </c>
    </row>
    <row r="812" spans="1:37" ht="30" customHeight="1">
      <c r="A812" s="90"/>
      <c r="B812" s="90"/>
      <c r="C812" s="90"/>
      <c r="D812" s="90"/>
      <c r="E812" s="90"/>
      <c r="F812" s="90"/>
      <c r="G812" s="90"/>
      <c r="H812" s="90"/>
      <c r="I812" s="90"/>
      <c r="J812" s="90"/>
      <c r="K812" s="90"/>
      <c r="L812" s="90"/>
      <c r="M812" s="90"/>
      <c r="N812" s="150"/>
      <c r="O812" s="140"/>
      <c r="P812" s="90"/>
      <c r="Q812" s="140"/>
      <c r="R812" s="90"/>
      <c r="S812" s="140"/>
      <c r="T812" s="90"/>
      <c r="U812" s="140"/>
      <c r="V812" s="90"/>
      <c r="W812" s="140"/>
      <c r="X812" s="90"/>
      <c r="Y812" s="140"/>
      <c r="Z812" s="90"/>
      <c r="AA812" s="140"/>
      <c r="AB812" s="90"/>
      <c r="AC812" s="140"/>
      <c r="AD812" s="90"/>
      <c r="AE812" s="140"/>
      <c r="AF812" s="178" t="str">
        <f t="shared" si="36"/>
        <v/>
      </c>
      <c r="AG812" s="52" t="b">
        <f t="shared" si="37"/>
        <v>0</v>
      </c>
      <c r="AH812" s="140"/>
      <c r="AI812" s="182" t="s">
        <v>36</v>
      </c>
      <c r="AJ812" s="93">
        <f t="shared" si="38"/>
        <v>0</v>
      </c>
      <c r="AK812" s="183" t="s">
        <v>54</v>
      </c>
    </row>
    <row r="813" spans="1:37" ht="30" customHeight="1">
      <c r="A813" s="90"/>
      <c r="B813" s="90"/>
      <c r="C813" s="90"/>
      <c r="D813" s="90"/>
      <c r="E813" s="90"/>
      <c r="F813" s="90"/>
      <c r="G813" s="90"/>
      <c r="H813" s="90"/>
      <c r="I813" s="90"/>
      <c r="J813" s="90"/>
      <c r="K813" s="90"/>
      <c r="L813" s="90"/>
      <c r="M813" s="90"/>
      <c r="N813" s="150"/>
      <c r="O813" s="140"/>
      <c r="P813" s="90"/>
      <c r="Q813" s="140"/>
      <c r="R813" s="90"/>
      <c r="S813" s="140"/>
      <c r="T813" s="90"/>
      <c r="U813" s="140"/>
      <c r="V813" s="90"/>
      <c r="W813" s="140"/>
      <c r="X813" s="90"/>
      <c r="Y813" s="140"/>
      <c r="Z813" s="90"/>
      <c r="AA813" s="140"/>
      <c r="AB813" s="90"/>
      <c r="AC813" s="140"/>
      <c r="AD813" s="90"/>
      <c r="AE813" s="140"/>
      <c r="AF813" s="178" t="str">
        <f t="shared" si="36"/>
        <v/>
      </c>
      <c r="AG813" s="52" t="b">
        <f t="shared" si="37"/>
        <v>0</v>
      </c>
      <c r="AH813" s="140"/>
      <c r="AI813" s="182" t="s">
        <v>36</v>
      </c>
      <c r="AJ813" s="93">
        <f t="shared" si="38"/>
        <v>0</v>
      </c>
      <c r="AK813" s="183" t="s">
        <v>54</v>
      </c>
    </row>
    <row r="814" spans="1:37" ht="30" customHeight="1">
      <c r="A814" s="90"/>
      <c r="B814" s="90"/>
      <c r="C814" s="90"/>
      <c r="D814" s="90"/>
      <c r="E814" s="90"/>
      <c r="F814" s="90"/>
      <c r="G814" s="90"/>
      <c r="H814" s="90"/>
      <c r="I814" s="90"/>
      <c r="J814" s="90"/>
      <c r="K814" s="90"/>
      <c r="L814" s="90"/>
      <c r="M814" s="90"/>
      <c r="N814" s="150"/>
      <c r="O814" s="140"/>
      <c r="P814" s="90"/>
      <c r="Q814" s="140"/>
      <c r="R814" s="90"/>
      <c r="S814" s="140"/>
      <c r="T814" s="90"/>
      <c r="U814" s="140"/>
      <c r="V814" s="90"/>
      <c r="W814" s="140"/>
      <c r="X814" s="90"/>
      <c r="Y814" s="140"/>
      <c r="Z814" s="90"/>
      <c r="AA814" s="140"/>
      <c r="AB814" s="90"/>
      <c r="AC814" s="140"/>
      <c r="AD814" s="90"/>
      <c r="AE814" s="140"/>
      <c r="AF814" s="178" t="str">
        <f t="shared" si="36"/>
        <v/>
      </c>
      <c r="AG814" s="52" t="b">
        <f t="shared" si="37"/>
        <v>0</v>
      </c>
      <c r="AH814" s="140"/>
      <c r="AI814" s="182" t="s">
        <v>36</v>
      </c>
      <c r="AJ814" s="93">
        <f t="shared" si="38"/>
        <v>0</v>
      </c>
      <c r="AK814" s="183" t="s">
        <v>54</v>
      </c>
    </row>
    <row r="815" spans="1:37" ht="30" customHeight="1">
      <c r="A815" s="90"/>
      <c r="B815" s="90"/>
      <c r="C815" s="90"/>
      <c r="D815" s="90"/>
      <c r="E815" s="90"/>
      <c r="F815" s="90"/>
      <c r="G815" s="90"/>
      <c r="H815" s="90"/>
      <c r="I815" s="90"/>
      <c r="J815" s="90"/>
      <c r="K815" s="90"/>
      <c r="L815" s="90"/>
      <c r="M815" s="90"/>
      <c r="N815" s="150"/>
      <c r="O815" s="140"/>
      <c r="P815" s="90"/>
      <c r="Q815" s="140"/>
      <c r="R815" s="90"/>
      <c r="S815" s="140"/>
      <c r="T815" s="90"/>
      <c r="U815" s="140"/>
      <c r="V815" s="90"/>
      <c r="W815" s="140"/>
      <c r="X815" s="90"/>
      <c r="Y815" s="140"/>
      <c r="Z815" s="90"/>
      <c r="AA815" s="140"/>
      <c r="AB815" s="90"/>
      <c r="AC815" s="140"/>
      <c r="AD815" s="90"/>
      <c r="AE815" s="140"/>
      <c r="AF815" s="178" t="str">
        <f t="shared" si="36"/>
        <v/>
      </c>
      <c r="AG815" s="52" t="b">
        <f t="shared" si="37"/>
        <v>0</v>
      </c>
      <c r="AH815" s="140"/>
      <c r="AI815" s="182" t="s">
        <v>36</v>
      </c>
      <c r="AJ815" s="93">
        <f t="shared" si="38"/>
        <v>0</v>
      </c>
      <c r="AK815" s="183" t="s">
        <v>54</v>
      </c>
    </row>
    <row r="816" spans="1:37" ht="30" customHeight="1">
      <c r="A816" s="90"/>
      <c r="B816" s="90"/>
      <c r="C816" s="90"/>
      <c r="D816" s="90"/>
      <c r="E816" s="90"/>
      <c r="F816" s="90"/>
      <c r="G816" s="90"/>
      <c r="H816" s="90"/>
      <c r="I816" s="90"/>
      <c r="J816" s="90"/>
      <c r="K816" s="90"/>
      <c r="L816" s="90"/>
      <c r="M816" s="90"/>
      <c r="N816" s="150"/>
      <c r="O816" s="140"/>
      <c r="P816" s="90"/>
      <c r="Q816" s="140"/>
      <c r="R816" s="90"/>
      <c r="S816" s="140"/>
      <c r="T816" s="90"/>
      <c r="U816" s="140"/>
      <c r="V816" s="90"/>
      <c r="W816" s="140"/>
      <c r="X816" s="90"/>
      <c r="Y816" s="140"/>
      <c r="Z816" s="90"/>
      <c r="AA816" s="140"/>
      <c r="AB816" s="90"/>
      <c r="AC816" s="140"/>
      <c r="AD816" s="90"/>
      <c r="AE816" s="140"/>
      <c r="AF816" s="178" t="str">
        <f t="shared" si="36"/>
        <v/>
      </c>
      <c r="AG816" s="52" t="b">
        <f t="shared" si="37"/>
        <v>0</v>
      </c>
      <c r="AH816" s="140"/>
      <c r="AI816" s="182" t="s">
        <v>36</v>
      </c>
      <c r="AJ816" s="93">
        <f t="shared" si="38"/>
        <v>0</v>
      </c>
      <c r="AK816" s="183" t="s">
        <v>54</v>
      </c>
    </row>
    <row r="817" spans="1:37" ht="30" customHeight="1">
      <c r="A817" s="90"/>
      <c r="B817" s="90"/>
      <c r="C817" s="90"/>
      <c r="D817" s="90"/>
      <c r="E817" s="90"/>
      <c r="F817" s="90"/>
      <c r="G817" s="90"/>
      <c r="H817" s="90"/>
      <c r="I817" s="90"/>
      <c r="J817" s="90"/>
      <c r="K817" s="90"/>
      <c r="L817" s="90"/>
      <c r="M817" s="90"/>
      <c r="N817" s="150"/>
      <c r="O817" s="140"/>
      <c r="P817" s="90"/>
      <c r="Q817" s="140"/>
      <c r="R817" s="90"/>
      <c r="S817" s="140"/>
      <c r="T817" s="90"/>
      <c r="U817" s="140"/>
      <c r="V817" s="90"/>
      <c r="W817" s="140"/>
      <c r="X817" s="90"/>
      <c r="Y817" s="140"/>
      <c r="Z817" s="90"/>
      <c r="AA817" s="140"/>
      <c r="AB817" s="90"/>
      <c r="AC817" s="140"/>
      <c r="AD817" s="90"/>
      <c r="AE817" s="140"/>
      <c r="AF817" s="178" t="str">
        <f t="shared" si="36"/>
        <v/>
      </c>
      <c r="AG817" s="52" t="b">
        <f t="shared" si="37"/>
        <v>0</v>
      </c>
      <c r="AH817" s="140"/>
      <c r="AI817" s="182" t="s">
        <v>36</v>
      </c>
      <c r="AJ817" s="93">
        <f t="shared" si="38"/>
        <v>0</v>
      </c>
      <c r="AK817" s="183" t="s">
        <v>54</v>
      </c>
    </row>
    <row r="818" spans="1:37" ht="30" customHeight="1">
      <c r="A818" s="90"/>
      <c r="B818" s="90"/>
      <c r="C818" s="90"/>
      <c r="D818" s="90"/>
      <c r="E818" s="90"/>
      <c r="F818" s="90"/>
      <c r="G818" s="90"/>
      <c r="H818" s="90"/>
      <c r="I818" s="90"/>
      <c r="J818" s="90"/>
      <c r="K818" s="90"/>
      <c r="L818" s="90"/>
      <c r="M818" s="90"/>
      <c r="N818" s="150"/>
      <c r="O818" s="140"/>
      <c r="P818" s="90"/>
      <c r="Q818" s="140"/>
      <c r="R818" s="90"/>
      <c r="S818" s="140"/>
      <c r="T818" s="90"/>
      <c r="U818" s="140"/>
      <c r="V818" s="90"/>
      <c r="W818" s="140"/>
      <c r="X818" s="90"/>
      <c r="Y818" s="140"/>
      <c r="Z818" s="90"/>
      <c r="AA818" s="140"/>
      <c r="AB818" s="90"/>
      <c r="AC818" s="140"/>
      <c r="AD818" s="90"/>
      <c r="AE818" s="140"/>
      <c r="AF818" s="178" t="str">
        <f t="shared" si="36"/>
        <v/>
      </c>
      <c r="AG818" s="52" t="b">
        <f t="shared" si="37"/>
        <v>0</v>
      </c>
      <c r="AH818" s="140"/>
      <c r="AI818" s="182" t="s">
        <v>36</v>
      </c>
      <c r="AJ818" s="93">
        <f t="shared" si="38"/>
        <v>0</v>
      </c>
      <c r="AK818" s="183" t="s">
        <v>54</v>
      </c>
    </row>
    <row r="819" spans="1:37" ht="30" customHeight="1">
      <c r="A819" s="90"/>
      <c r="B819" s="90"/>
      <c r="C819" s="90"/>
      <c r="D819" s="90"/>
      <c r="E819" s="90"/>
      <c r="F819" s="90"/>
      <c r="G819" s="90"/>
      <c r="H819" s="90"/>
      <c r="I819" s="90"/>
      <c r="J819" s="90"/>
      <c r="K819" s="90"/>
      <c r="L819" s="90"/>
      <c r="M819" s="90"/>
      <c r="N819" s="150"/>
      <c r="O819" s="140"/>
      <c r="P819" s="90"/>
      <c r="Q819" s="140"/>
      <c r="R819" s="90"/>
      <c r="S819" s="140"/>
      <c r="T819" s="90"/>
      <c r="U819" s="140"/>
      <c r="V819" s="90"/>
      <c r="W819" s="140"/>
      <c r="X819" s="90"/>
      <c r="Y819" s="140"/>
      <c r="Z819" s="90"/>
      <c r="AA819" s="140"/>
      <c r="AB819" s="90"/>
      <c r="AC819" s="140"/>
      <c r="AD819" s="90"/>
      <c r="AE819" s="140"/>
      <c r="AF819" s="178" t="str">
        <f t="shared" si="36"/>
        <v/>
      </c>
      <c r="AG819" s="52" t="b">
        <f t="shared" si="37"/>
        <v>0</v>
      </c>
      <c r="AH819" s="140"/>
      <c r="AI819" s="182" t="s">
        <v>36</v>
      </c>
      <c r="AJ819" s="93">
        <f t="shared" si="38"/>
        <v>0</v>
      </c>
      <c r="AK819" s="183" t="s">
        <v>54</v>
      </c>
    </row>
    <row r="820" spans="1:37" ht="30" customHeight="1">
      <c r="A820" s="90"/>
      <c r="B820" s="90"/>
      <c r="C820" s="90"/>
      <c r="D820" s="90"/>
      <c r="E820" s="90"/>
      <c r="F820" s="90"/>
      <c r="G820" s="90"/>
      <c r="H820" s="90"/>
      <c r="I820" s="90"/>
      <c r="J820" s="90"/>
      <c r="K820" s="90"/>
      <c r="L820" s="90"/>
      <c r="M820" s="90"/>
      <c r="N820" s="150"/>
      <c r="O820" s="140"/>
      <c r="P820" s="90"/>
      <c r="Q820" s="140"/>
      <c r="R820" s="90"/>
      <c r="S820" s="140"/>
      <c r="T820" s="90"/>
      <c r="U820" s="140"/>
      <c r="V820" s="90"/>
      <c r="W820" s="140"/>
      <c r="X820" s="90"/>
      <c r="Y820" s="140"/>
      <c r="Z820" s="90"/>
      <c r="AA820" s="140"/>
      <c r="AB820" s="90"/>
      <c r="AC820" s="140"/>
      <c r="AD820" s="90"/>
      <c r="AE820" s="140"/>
      <c r="AF820" s="178" t="str">
        <f t="shared" si="36"/>
        <v/>
      </c>
      <c r="AG820" s="52" t="b">
        <f t="shared" si="37"/>
        <v>0</v>
      </c>
      <c r="AH820" s="140"/>
      <c r="AI820" s="182" t="s">
        <v>36</v>
      </c>
      <c r="AJ820" s="93">
        <f t="shared" si="38"/>
        <v>0</v>
      </c>
      <c r="AK820" s="183" t="s">
        <v>54</v>
      </c>
    </row>
    <row r="821" spans="1:37" ht="30" customHeight="1">
      <c r="A821" s="90"/>
      <c r="B821" s="90"/>
      <c r="C821" s="90"/>
      <c r="D821" s="90"/>
      <c r="E821" s="90"/>
      <c r="F821" s="90"/>
      <c r="G821" s="90"/>
      <c r="H821" s="90"/>
      <c r="I821" s="90"/>
      <c r="J821" s="90"/>
      <c r="K821" s="90"/>
      <c r="L821" s="90"/>
      <c r="M821" s="90"/>
      <c r="N821" s="150"/>
      <c r="O821" s="140"/>
      <c r="P821" s="90"/>
      <c r="Q821" s="140"/>
      <c r="R821" s="90"/>
      <c r="S821" s="140"/>
      <c r="T821" s="90"/>
      <c r="U821" s="140"/>
      <c r="V821" s="90"/>
      <c r="W821" s="140"/>
      <c r="X821" s="90"/>
      <c r="Y821" s="140"/>
      <c r="Z821" s="90"/>
      <c r="AA821" s="140"/>
      <c r="AB821" s="90"/>
      <c r="AC821" s="140"/>
      <c r="AD821" s="90"/>
      <c r="AE821" s="140"/>
      <c r="AF821" s="178" t="str">
        <f t="shared" si="36"/>
        <v/>
      </c>
      <c r="AG821" s="52" t="b">
        <f t="shared" si="37"/>
        <v>0</v>
      </c>
      <c r="AH821" s="140"/>
      <c r="AI821" s="182" t="s">
        <v>36</v>
      </c>
      <c r="AJ821" s="93">
        <f t="shared" si="38"/>
        <v>0</v>
      </c>
      <c r="AK821" s="183" t="s">
        <v>54</v>
      </c>
    </row>
    <row r="822" spans="1:37" ht="30" customHeight="1">
      <c r="A822" s="90"/>
      <c r="B822" s="90"/>
      <c r="C822" s="90"/>
      <c r="D822" s="90"/>
      <c r="E822" s="90"/>
      <c r="F822" s="90"/>
      <c r="G822" s="90"/>
      <c r="H822" s="90"/>
      <c r="I822" s="90"/>
      <c r="J822" s="90"/>
      <c r="K822" s="90"/>
      <c r="L822" s="90"/>
      <c r="M822" s="90"/>
      <c r="N822" s="150"/>
      <c r="O822" s="140"/>
      <c r="P822" s="90"/>
      <c r="Q822" s="140"/>
      <c r="R822" s="90"/>
      <c r="S822" s="140"/>
      <c r="T822" s="90"/>
      <c r="U822" s="140"/>
      <c r="V822" s="90"/>
      <c r="W822" s="140"/>
      <c r="X822" s="90"/>
      <c r="Y822" s="140"/>
      <c r="Z822" s="90"/>
      <c r="AA822" s="140"/>
      <c r="AB822" s="90"/>
      <c r="AC822" s="140"/>
      <c r="AD822" s="90"/>
      <c r="AE822" s="140"/>
      <c r="AF822" s="178" t="str">
        <f t="shared" si="36"/>
        <v/>
      </c>
      <c r="AG822" s="52" t="b">
        <f t="shared" si="37"/>
        <v>0</v>
      </c>
      <c r="AH822" s="140"/>
      <c r="AI822" s="182" t="s">
        <v>36</v>
      </c>
      <c r="AJ822" s="93">
        <f t="shared" si="38"/>
        <v>0</v>
      </c>
      <c r="AK822" s="183" t="s">
        <v>54</v>
      </c>
    </row>
    <row r="823" spans="1:37" ht="30" customHeight="1">
      <c r="A823" s="90"/>
      <c r="B823" s="90"/>
      <c r="C823" s="90"/>
      <c r="D823" s="90"/>
      <c r="E823" s="90"/>
      <c r="F823" s="90"/>
      <c r="G823" s="90"/>
      <c r="H823" s="90"/>
      <c r="I823" s="90"/>
      <c r="J823" s="90"/>
      <c r="K823" s="90"/>
      <c r="L823" s="90"/>
      <c r="M823" s="90"/>
      <c r="N823" s="150"/>
      <c r="O823" s="140"/>
      <c r="P823" s="90"/>
      <c r="Q823" s="140"/>
      <c r="R823" s="90"/>
      <c r="S823" s="140"/>
      <c r="T823" s="90"/>
      <c r="U823" s="140"/>
      <c r="V823" s="90"/>
      <c r="W823" s="140"/>
      <c r="X823" s="90"/>
      <c r="Y823" s="140"/>
      <c r="Z823" s="90"/>
      <c r="AA823" s="140"/>
      <c r="AB823" s="90"/>
      <c r="AC823" s="140"/>
      <c r="AD823" s="90"/>
      <c r="AE823" s="140"/>
      <c r="AF823" s="178" t="str">
        <f t="shared" si="36"/>
        <v/>
      </c>
      <c r="AG823" s="52" t="b">
        <f t="shared" si="37"/>
        <v>0</v>
      </c>
      <c r="AH823" s="140"/>
      <c r="AI823" s="182" t="s">
        <v>36</v>
      </c>
      <c r="AJ823" s="93">
        <f t="shared" si="38"/>
        <v>0</v>
      </c>
      <c r="AK823" s="183" t="s">
        <v>54</v>
      </c>
    </row>
    <row r="824" spans="1:37" ht="30" customHeight="1">
      <c r="A824" s="90"/>
      <c r="B824" s="90"/>
      <c r="C824" s="90"/>
      <c r="D824" s="90"/>
      <c r="E824" s="90"/>
      <c r="F824" s="90"/>
      <c r="G824" s="90"/>
      <c r="H824" s="90"/>
      <c r="I824" s="90"/>
      <c r="J824" s="90"/>
      <c r="K824" s="90"/>
      <c r="L824" s="90"/>
      <c r="M824" s="90"/>
      <c r="N824" s="150"/>
      <c r="O824" s="140"/>
      <c r="P824" s="90"/>
      <c r="Q824" s="140"/>
      <c r="R824" s="90"/>
      <c r="S824" s="140"/>
      <c r="T824" s="90"/>
      <c r="U824" s="140"/>
      <c r="V824" s="90"/>
      <c r="W824" s="140"/>
      <c r="X824" s="90"/>
      <c r="Y824" s="140"/>
      <c r="Z824" s="90"/>
      <c r="AA824" s="140"/>
      <c r="AB824" s="90"/>
      <c r="AC824" s="140"/>
      <c r="AD824" s="90"/>
      <c r="AE824" s="140"/>
      <c r="AF824" s="178" t="str">
        <f t="shared" si="36"/>
        <v/>
      </c>
      <c r="AG824" s="52" t="b">
        <f t="shared" si="37"/>
        <v>0</v>
      </c>
      <c r="AH824" s="140"/>
      <c r="AI824" s="182" t="s">
        <v>36</v>
      </c>
      <c r="AJ824" s="93">
        <f t="shared" si="38"/>
        <v>0</v>
      </c>
      <c r="AK824" s="183" t="s">
        <v>54</v>
      </c>
    </row>
    <row r="825" spans="1:37" ht="30" customHeight="1">
      <c r="A825" s="90"/>
      <c r="B825" s="90"/>
      <c r="C825" s="90"/>
      <c r="D825" s="90"/>
      <c r="E825" s="90"/>
      <c r="F825" s="90"/>
      <c r="G825" s="90"/>
      <c r="H825" s="90"/>
      <c r="I825" s="90"/>
      <c r="J825" s="90"/>
      <c r="K825" s="90"/>
      <c r="L825" s="90"/>
      <c r="M825" s="90"/>
      <c r="N825" s="150"/>
      <c r="O825" s="140"/>
      <c r="P825" s="90"/>
      <c r="Q825" s="140"/>
      <c r="R825" s="90"/>
      <c r="S825" s="140"/>
      <c r="T825" s="90"/>
      <c r="U825" s="140"/>
      <c r="V825" s="90"/>
      <c r="W825" s="140"/>
      <c r="X825" s="90"/>
      <c r="Y825" s="140"/>
      <c r="Z825" s="90"/>
      <c r="AA825" s="140"/>
      <c r="AB825" s="90"/>
      <c r="AC825" s="140"/>
      <c r="AD825" s="90"/>
      <c r="AE825" s="140"/>
      <c r="AF825" s="178" t="str">
        <f t="shared" si="36"/>
        <v/>
      </c>
      <c r="AG825" s="52" t="b">
        <f t="shared" si="37"/>
        <v>0</v>
      </c>
      <c r="AH825" s="140"/>
      <c r="AI825" s="182" t="s">
        <v>36</v>
      </c>
      <c r="AJ825" s="93">
        <f t="shared" si="38"/>
        <v>0</v>
      </c>
      <c r="AK825" s="183" t="s">
        <v>54</v>
      </c>
    </row>
    <row r="826" spans="1:37" ht="30" customHeight="1">
      <c r="A826" s="90"/>
      <c r="B826" s="90"/>
      <c r="C826" s="90"/>
      <c r="D826" s="90"/>
      <c r="E826" s="90"/>
      <c r="F826" s="90"/>
      <c r="G826" s="90"/>
      <c r="H826" s="90"/>
      <c r="I826" s="90"/>
      <c r="J826" s="90"/>
      <c r="K826" s="90"/>
      <c r="L826" s="90"/>
      <c r="M826" s="90"/>
      <c r="N826" s="150"/>
      <c r="O826" s="140"/>
      <c r="P826" s="90"/>
      <c r="Q826" s="140"/>
      <c r="R826" s="90"/>
      <c r="S826" s="140"/>
      <c r="T826" s="90"/>
      <c r="U826" s="140"/>
      <c r="V826" s="90"/>
      <c r="W826" s="140"/>
      <c r="X826" s="90"/>
      <c r="Y826" s="140"/>
      <c r="Z826" s="90"/>
      <c r="AA826" s="140"/>
      <c r="AB826" s="90"/>
      <c r="AC826" s="140"/>
      <c r="AD826" s="90"/>
      <c r="AE826" s="140"/>
      <c r="AF826" s="178" t="str">
        <f t="shared" si="36"/>
        <v/>
      </c>
      <c r="AG826" s="52" t="b">
        <f t="shared" si="37"/>
        <v>0</v>
      </c>
      <c r="AH826" s="140"/>
      <c r="AI826" s="182" t="s">
        <v>36</v>
      </c>
      <c r="AJ826" s="93">
        <f t="shared" si="38"/>
        <v>0</v>
      </c>
      <c r="AK826" s="183" t="s">
        <v>54</v>
      </c>
    </row>
    <row r="827" spans="1:37" ht="30" customHeight="1">
      <c r="A827" s="90"/>
      <c r="B827" s="90"/>
      <c r="C827" s="90"/>
      <c r="D827" s="90"/>
      <c r="E827" s="90"/>
      <c r="F827" s="90"/>
      <c r="G827" s="90"/>
      <c r="H827" s="90"/>
      <c r="I827" s="90"/>
      <c r="J827" s="90"/>
      <c r="K827" s="90"/>
      <c r="L827" s="90"/>
      <c r="M827" s="90"/>
      <c r="N827" s="150"/>
      <c r="O827" s="140"/>
      <c r="P827" s="90"/>
      <c r="Q827" s="140"/>
      <c r="R827" s="90"/>
      <c r="S827" s="140"/>
      <c r="T827" s="90"/>
      <c r="U827" s="140"/>
      <c r="V827" s="90"/>
      <c r="W827" s="140"/>
      <c r="X827" s="90"/>
      <c r="Y827" s="140"/>
      <c r="Z827" s="90"/>
      <c r="AA827" s="140"/>
      <c r="AB827" s="90"/>
      <c r="AC827" s="140"/>
      <c r="AD827" s="90"/>
      <c r="AE827" s="140"/>
      <c r="AF827" s="178" t="str">
        <f t="shared" si="36"/>
        <v/>
      </c>
      <c r="AG827" s="52" t="b">
        <f t="shared" si="37"/>
        <v>0</v>
      </c>
      <c r="AH827" s="140"/>
      <c r="AI827" s="182" t="s">
        <v>36</v>
      </c>
      <c r="AJ827" s="93">
        <f t="shared" si="38"/>
        <v>0</v>
      </c>
      <c r="AK827" s="183" t="s">
        <v>54</v>
      </c>
    </row>
    <row r="828" spans="1:37" ht="30" customHeight="1">
      <c r="A828" s="90"/>
      <c r="B828" s="90"/>
      <c r="C828" s="90"/>
      <c r="D828" s="90"/>
      <c r="E828" s="90"/>
      <c r="F828" s="90"/>
      <c r="G828" s="90"/>
      <c r="H828" s="90"/>
      <c r="I828" s="90"/>
      <c r="J828" s="90"/>
      <c r="K828" s="90"/>
      <c r="L828" s="90"/>
      <c r="M828" s="90"/>
      <c r="N828" s="150"/>
      <c r="O828" s="140"/>
      <c r="P828" s="90"/>
      <c r="Q828" s="140"/>
      <c r="R828" s="90"/>
      <c r="S828" s="140"/>
      <c r="T828" s="90"/>
      <c r="U828" s="140"/>
      <c r="V828" s="90"/>
      <c r="W828" s="140"/>
      <c r="X828" s="90"/>
      <c r="Y828" s="140"/>
      <c r="Z828" s="90"/>
      <c r="AA828" s="140"/>
      <c r="AB828" s="90"/>
      <c r="AC828" s="140"/>
      <c r="AD828" s="90"/>
      <c r="AE828" s="140"/>
      <c r="AF828" s="178" t="str">
        <f t="shared" si="36"/>
        <v/>
      </c>
      <c r="AG828" s="52" t="b">
        <f t="shared" si="37"/>
        <v>0</v>
      </c>
      <c r="AH828" s="140"/>
      <c r="AI828" s="182" t="s">
        <v>36</v>
      </c>
      <c r="AJ828" s="93">
        <f t="shared" si="38"/>
        <v>0</v>
      </c>
      <c r="AK828" s="183" t="s">
        <v>54</v>
      </c>
    </row>
    <row r="829" spans="1:37" ht="30" customHeight="1">
      <c r="A829" s="90"/>
      <c r="B829" s="90"/>
      <c r="C829" s="90"/>
      <c r="D829" s="90"/>
      <c r="E829" s="90"/>
      <c r="F829" s="90"/>
      <c r="G829" s="90"/>
      <c r="H829" s="90"/>
      <c r="I829" s="90"/>
      <c r="J829" s="90"/>
      <c r="K829" s="90"/>
      <c r="L829" s="90"/>
      <c r="M829" s="90"/>
      <c r="N829" s="150"/>
      <c r="O829" s="140"/>
      <c r="P829" s="90"/>
      <c r="Q829" s="140"/>
      <c r="R829" s="90"/>
      <c r="S829" s="140"/>
      <c r="T829" s="90"/>
      <c r="U829" s="140"/>
      <c r="V829" s="90"/>
      <c r="W829" s="140"/>
      <c r="X829" s="90"/>
      <c r="Y829" s="140"/>
      <c r="Z829" s="90"/>
      <c r="AA829" s="140"/>
      <c r="AB829" s="90"/>
      <c r="AC829" s="140"/>
      <c r="AD829" s="90"/>
      <c r="AE829" s="140"/>
      <c r="AF829" s="178" t="str">
        <f t="shared" si="36"/>
        <v/>
      </c>
      <c r="AG829" s="52" t="b">
        <f t="shared" si="37"/>
        <v>0</v>
      </c>
      <c r="AH829" s="140"/>
      <c r="AI829" s="182" t="s">
        <v>36</v>
      </c>
      <c r="AJ829" s="93">
        <f t="shared" si="38"/>
        <v>0</v>
      </c>
      <c r="AK829" s="183" t="s">
        <v>54</v>
      </c>
    </row>
    <row r="830" spans="1:37" ht="30" customHeight="1">
      <c r="A830" s="90"/>
      <c r="B830" s="90"/>
      <c r="C830" s="90"/>
      <c r="D830" s="90"/>
      <c r="E830" s="90"/>
      <c r="F830" s="90"/>
      <c r="G830" s="90"/>
      <c r="H830" s="90"/>
      <c r="I830" s="90"/>
      <c r="J830" s="90"/>
      <c r="K830" s="90"/>
      <c r="L830" s="90"/>
      <c r="M830" s="90"/>
      <c r="N830" s="150"/>
      <c r="O830" s="140"/>
      <c r="P830" s="90"/>
      <c r="Q830" s="140"/>
      <c r="R830" s="90"/>
      <c r="S830" s="140"/>
      <c r="T830" s="90"/>
      <c r="U830" s="140"/>
      <c r="V830" s="90"/>
      <c r="W830" s="140"/>
      <c r="X830" s="90"/>
      <c r="Y830" s="140"/>
      <c r="Z830" s="90"/>
      <c r="AA830" s="140"/>
      <c r="AB830" s="90"/>
      <c r="AC830" s="140"/>
      <c r="AD830" s="90"/>
      <c r="AE830" s="140"/>
      <c r="AF830" s="178" t="str">
        <f t="shared" si="36"/>
        <v/>
      </c>
      <c r="AG830" s="52" t="b">
        <f t="shared" si="37"/>
        <v>0</v>
      </c>
      <c r="AH830" s="140"/>
      <c r="AI830" s="182" t="s">
        <v>36</v>
      </c>
      <c r="AJ830" s="93">
        <f t="shared" si="38"/>
        <v>0</v>
      </c>
      <c r="AK830" s="183" t="s">
        <v>54</v>
      </c>
    </row>
    <row r="831" spans="1:37" ht="30" customHeight="1">
      <c r="A831" s="90"/>
      <c r="B831" s="90"/>
      <c r="C831" s="90"/>
      <c r="D831" s="90"/>
      <c r="E831" s="90"/>
      <c r="F831" s="90"/>
      <c r="G831" s="90"/>
      <c r="H831" s="90"/>
      <c r="I831" s="90"/>
      <c r="J831" s="90"/>
      <c r="K831" s="90"/>
      <c r="L831" s="90"/>
      <c r="M831" s="90"/>
      <c r="N831" s="150"/>
      <c r="O831" s="140"/>
      <c r="P831" s="90"/>
      <c r="Q831" s="140"/>
      <c r="R831" s="90"/>
      <c r="S831" s="140"/>
      <c r="T831" s="90"/>
      <c r="U831" s="140"/>
      <c r="V831" s="90"/>
      <c r="W831" s="140"/>
      <c r="X831" s="90"/>
      <c r="Y831" s="140"/>
      <c r="Z831" s="90"/>
      <c r="AA831" s="140"/>
      <c r="AB831" s="90"/>
      <c r="AC831" s="140"/>
      <c r="AD831" s="90"/>
      <c r="AE831" s="140"/>
      <c r="AF831" s="178" t="str">
        <f t="shared" si="36"/>
        <v/>
      </c>
      <c r="AG831" s="52" t="b">
        <f t="shared" si="37"/>
        <v>0</v>
      </c>
      <c r="AH831" s="140"/>
      <c r="AI831" s="182" t="s">
        <v>36</v>
      </c>
      <c r="AJ831" s="93">
        <f t="shared" si="38"/>
        <v>0</v>
      </c>
      <c r="AK831" s="183" t="s">
        <v>54</v>
      </c>
    </row>
    <row r="832" spans="1:37" ht="30" customHeight="1">
      <c r="A832" s="90"/>
      <c r="B832" s="90"/>
      <c r="C832" s="90"/>
      <c r="D832" s="90"/>
      <c r="E832" s="90"/>
      <c r="F832" s="90"/>
      <c r="G832" s="90"/>
      <c r="H832" s="90"/>
      <c r="I832" s="90"/>
      <c r="J832" s="90"/>
      <c r="K832" s="90"/>
      <c r="L832" s="90"/>
      <c r="M832" s="90"/>
      <c r="N832" s="150"/>
      <c r="O832" s="140"/>
      <c r="P832" s="90"/>
      <c r="Q832" s="140"/>
      <c r="R832" s="90"/>
      <c r="S832" s="140"/>
      <c r="T832" s="90"/>
      <c r="U832" s="140"/>
      <c r="V832" s="90"/>
      <c r="W832" s="140"/>
      <c r="X832" s="90"/>
      <c r="Y832" s="140"/>
      <c r="Z832" s="90"/>
      <c r="AA832" s="140"/>
      <c r="AB832" s="90"/>
      <c r="AC832" s="140"/>
      <c r="AD832" s="90"/>
      <c r="AE832" s="140"/>
      <c r="AF832" s="178" t="str">
        <f t="shared" si="36"/>
        <v/>
      </c>
      <c r="AG832" s="52" t="b">
        <f t="shared" si="37"/>
        <v>0</v>
      </c>
      <c r="AH832" s="140"/>
      <c r="AI832" s="182" t="s">
        <v>36</v>
      </c>
      <c r="AJ832" s="93">
        <f t="shared" si="38"/>
        <v>0</v>
      </c>
      <c r="AK832" s="183" t="s">
        <v>54</v>
      </c>
    </row>
    <row r="833" spans="1:37" ht="30" customHeight="1">
      <c r="A833" s="90"/>
      <c r="B833" s="90"/>
      <c r="C833" s="90"/>
      <c r="D833" s="90"/>
      <c r="E833" s="90"/>
      <c r="F833" s="90"/>
      <c r="G833" s="90"/>
      <c r="H833" s="90"/>
      <c r="I833" s="90"/>
      <c r="J833" s="90"/>
      <c r="K833" s="90"/>
      <c r="L833" s="90"/>
      <c r="M833" s="90"/>
      <c r="N833" s="150"/>
      <c r="O833" s="140"/>
      <c r="P833" s="90"/>
      <c r="Q833" s="140"/>
      <c r="R833" s="90"/>
      <c r="S833" s="140"/>
      <c r="T833" s="90"/>
      <c r="U833" s="140"/>
      <c r="V833" s="90"/>
      <c r="W833" s="140"/>
      <c r="X833" s="90"/>
      <c r="Y833" s="140"/>
      <c r="Z833" s="90"/>
      <c r="AA833" s="140"/>
      <c r="AB833" s="90"/>
      <c r="AC833" s="140"/>
      <c r="AD833" s="90"/>
      <c r="AE833" s="140"/>
      <c r="AF833" s="178" t="str">
        <f t="shared" si="36"/>
        <v/>
      </c>
      <c r="AG833" s="52" t="b">
        <f t="shared" si="37"/>
        <v>0</v>
      </c>
      <c r="AH833" s="140"/>
      <c r="AI833" s="182" t="s">
        <v>36</v>
      </c>
      <c r="AJ833" s="93">
        <f t="shared" si="38"/>
        <v>0</v>
      </c>
      <c r="AK833" s="183" t="s">
        <v>54</v>
      </c>
    </row>
    <row r="834" spans="1:37" ht="30" customHeight="1">
      <c r="A834" s="90"/>
      <c r="B834" s="90"/>
      <c r="C834" s="90"/>
      <c r="D834" s="90"/>
      <c r="E834" s="90"/>
      <c r="F834" s="90"/>
      <c r="G834" s="90"/>
      <c r="H834" s="90"/>
      <c r="I834" s="90"/>
      <c r="J834" s="90"/>
      <c r="K834" s="90"/>
      <c r="L834" s="90"/>
      <c r="M834" s="90"/>
      <c r="N834" s="150"/>
      <c r="O834" s="140"/>
      <c r="P834" s="90"/>
      <c r="Q834" s="140"/>
      <c r="R834" s="90"/>
      <c r="S834" s="140"/>
      <c r="T834" s="90"/>
      <c r="U834" s="140"/>
      <c r="V834" s="90"/>
      <c r="W834" s="140"/>
      <c r="X834" s="90"/>
      <c r="Y834" s="140"/>
      <c r="Z834" s="90"/>
      <c r="AA834" s="140"/>
      <c r="AB834" s="90"/>
      <c r="AC834" s="140"/>
      <c r="AD834" s="90"/>
      <c r="AE834" s="140"/>
      <c r="AF834" s="178" t="str">
        <f t="shared" si="36"/>
        <v/>
      </c>
      <c r="AG834" s="52" t="b">
        <f t="shared" si="37"/>
        <v>0</v>
      </c>
      <c r="AH834" s="140"/>
      <c r="AI834" s="182" t="s">
        <v>36</v>
      </c>
      <c r="AJ834" s="93">
        <f t="shared" si="38"/>
        <v>0</v>
      </c>
      <c r="AK834" s="183" t="s">
        <v>54</v>
      </c>
    </row>
    <row r="835" spans="1:37" ht="30" customHeight="1">
      <c r="A835" s="90"/>
      <c r="B835" s="90"/>
      <c r="C835" s="90"/>
      <c r="D835" s="90"/>
      <c r="E835" s="90"/>
      <c r="F835" s="90"/>
      <c r="G835" s="90"/>
      <c r="H835" s="90"/>
      <c r="I835" s="90"/>
      <c r="J835" s="90"/>
      <c r="K835" s="90"/>
      <c r="L835" s="90"/>
      <c r="M835" s="90"/>
      <c r="N835" s="150"/>
      <c r="O835" s="140"/>
      <c r="P835" s="90"/>
      <c r="Q835" s="140"/>
      <c r="R835" s="90"/>
      <c r="S835" s="140"/>
      <c r="T835" s="90"/>
      <c r="U835" s="140"/>
      <c r="V835" s="90"/>
      <c r="W835" s="140"/>
      <c r="X835" s="90"/>
      <c r="Y835" s="140"/>
      <c r="Z835" s="90"/>
      <c r="AA835" s="140"/>
      <c r="AB835" s="90"/>
      <c r="AC835" s="140"/>
      <c r="AD835" s="90"/>
      <c r="AE835" s="140"/>
      <c r="AF835" s="178" t="str">
        <f t="shared" ref="AF835:AF898" si="39">IF(AND(O835="",Q835="",S835="",U835="",W835="",Y835="",AA835="",AC835=""),"",IF(OR(AND(O835&lt;&gt;"NA",O835&lt;&gt;"C",O835&lt;&gt;"NC",O835&lt;&gt;"SF",O835&lt;&gt;""),AND(Q835&lt;&gt;"NA",Q835&lt;&gt;"C",Q835&lt;&gt;"NC",Q835&lt;&gt;"SF",Q835&lt;&gt;""),AND(S835&lt;&gt;"NA",S835&lt;&gt;"C",S835&lt;&gt;"NC",S835&lt;&gt;"SF",S835&lt;&gt;""),AND(U835&lt;&gt;"NA",U835&lt;&gt;"C",U835&lt;&gt;"NC",U835&lt;&gt;"SF",U835&lt;&gt;""),AND(W835&lt;&gt;"NA",W835&lt;&gt;"C",W835&lt;&gt;"NC",W835&lt;&gt;"SF",W835&lt;&gt;""),AND(Y835&lt;&gt;"NA",Y835&lt;&gt;"C",Y835&lt;&gt;"NC",Y835&lt;&gt;"SF",Y835&lt;&gt;""),AND(AA835&lt;&gt;"NA",AA835&lt;&gt;"C",AA835&lt;&gt;"NC",AA835&lt;&gt;"SF",AA835&lt;&gt;""),AND(AC835&lt;&gt;"NA",AC835&lt;&gt;"C",AC835&lt;&gt;"NC",AC835&lt;&gt;"SF",AC835&lt;&gt;"")),"FALSO",IF(AND(O835="NA",Q835="NA",S835="NA",U835="NA",W835="NA",Y835="NA",AA835="NA",AC835="NA"),"NA",IF(OR(O835="NC",Q835="NC",S835="NC",U835="NC",W835="NC",Y835="NC",AA835="NC",AC835="NC",O835="SF",Q835="SF",S835="SF",U835="SF",W835="SF",Y835="SF",AA835="SF",AC835="SF"),"NC",IF(OR(O835="C",Q835="C",S835="C",U835="C",W835="C",Y835="C",AA835="C",AC835="C"),"C","")))))</f>
        <v/>
      </c>
      <c r="AG835" s="52" t="b">
        <f t="shared" ref="AG835:AG898" si="40">IF(AND(AE835="C",AF835="C"),"UTILIZOU O PDA CORRETAMENTE",IF(AND(AE835="C",AF835="NC"),"UTILIZOU O PDA CORRETAMENTE. NÃO HÁ FOTOS DE TODAS AS ETAPAS",IF(AND(AE835="NC",AF835="NC"),"NÃO UTILIZOU O PDA",IF(AND(AE835="NA",AF835="NA"),"NÃO AVALIADO POR FALHA DE SINCRONISMO"))))</f>
        <v>0</v>
      </c>
      <c r="AH835" s="140"/>
      <c r="AI835" s="182" t="s">
        <v>36</v>
      </c>
      <c r="AJ835" s="93">
        <f t="shared" ref="AJ835:AJ898" si="41">E835</f>
        <v>0</v>
      </c>
      <c r="AK835" s="183" t="s">
        <v>54</v>
      </c>
    </row>
    <row r="836" spans="1:37" ht="30" customHeight="1">
      <c r="A836" s="90"/>
      <c r="B836" s="90"/>
      <c r="C836" s="90"/>
      <c r="D836" s="90"/>
      <c r="E836" s="90"/>
      <c r="F836" s="90"/>
      <c r="G836" s="90"/>
      <c r="H836" s="90"/>
      <c r="I836" s="90"/>
      <c r="J836" s="90"/>
      <c r="K836" s="90"/>
      <c r="L836" s="90"/>
      <c r="M836" s="90"/>
      <c r="N836" s="150"/>
      <c r="O836" s="140"/>
      <c r="P836" s="90"/>
      <c r="Q836" s="140"/>
      <c r="R836" s="90"/>
      <c r="S836" s="140"/>
      <c r="T836" s="90"/>
      <c r="U836" s="140"/>
      <c r="V836" s="90"/>
      <c r="W836" s="140"/>
      <c r="X836" s="90"/>
      <c r="Y836" s="140"/>
      <c r="Z836" s="90"/>
      <c r="AA836" s="140"/>
      <c r="AB836" s="90"/>
      <c r="AC836" s="140"/>
      <c r="AD836" s="90"/>
      <c r="AE836" s="140"/>
      <c r="AF836" s="178" t="str">
        <f t="shared" si="39"/>
        <v/>
      </c>
      <c r="AG836" s="52" t="b">
        <f t="shared" si="40"/>
        <v>0</v>
      </c>
      <c r="AH836" s="140"/>
      <c r="AI836" s="182" t="s">
        <v>36</v>
      </c>
      <c r="AJ836" s="93">
        <f t="shared" si="41"/>
        <v>0</v>
      </c>
      <c r="AK836" s="183" t="s">
        <v>54</v>
      </c>
    </row>
    <row r="837" spans="1:37" ht="30" customHeight="1">
      <c r="A837" s="90"/>
      <c r="B837" s="90"/>
      <c r="C837" s="90"/>
      <c r="D837" s="90"/>
      <c r="E837" s="90"/>
      <c r="F837" s="90"/>
      <c r="G837" s="90"/>
      <c r="H837" s="90"/>
      <c r="I837" s="90"/>
      <c r="J837" s="90"/>
      <c r="K837" s="90"/>
      <c r="L837" s="90"/>
      <c r="M837" s="90"/>
      <c r="N837" s="150"/>
      <c r="O837" s="140"/>
      <c r="P837" s="90"/>
      <c r="Q837" s="140"/>
      <c r="R837" s="90"/>
      <c r="S837" s="140"/>
      <c r="T837" s="90"/>
      <c r="U837" s="140"/>
      <c r="V837" s="90"/>
      <c r="W837" s="140"/>
      <c r="X837" s="90"/>
      <c r="Y837" s="140"/>
      <c r="Z837" s="90"/>
      <c r="AA837" s="140"/>
      <c r="AB837" s="90"/>
      <c r="AC837" s="140"/>
      <c r="AD837" s="90"/>
      <c r="AE837" s="140"/>
      <c r="AF837" s="178" t="str">
        <f t="shared" si="39"/>
        <v/>
      </c>
      <c r="AG837" s="52" t="b">
        <f t="shared" si="40"/>
        <v>0</v>
      </c>
      <c r="AH837" s="140"/>
      <c r="AI837" s="182" t="s">
        <v>36</v>
      </c>
      <c r="AJ837" s="93">
        <f t="shared" si="41"/>
        <v>0</v>
      </c>
      <c r="AK837" s="183" t="s">
        <v>54</v>
      </c>
    </row>
    <row r="838" spans="1:37" ht="30" customHeight="1">
      <c r="A838" s="90"/>
      <c r="B838" s="90"/>
      <c r="C838" s="90"/>
      <c r="D838" s="90"/>
      <c r="E838" s="90"/>
      <c r="F838" s="90"/>
      <c r="G838" s="90"/>
      <c r="H838" s="90"/>
      <c r="I838" s="90"/>
      <c r="J838" s="90"/>
      <c r="K838" s="90"/>
      <c r="L838" s="90"/>
      <c r="M838" s="90"/>
      <c r="N838" s="150"/>
      <c r="O838" s="140"/>
      <c r="P838" s="90"/>
      <c r="Q838" s="140"/>
      <c r="R838" s="90"/>
      <c r="S838" s="140"/>
      <c r="T838" s="90"/>
      <c r="U838" s="140"/>
      <c r="V838" s="90"/>
      <c r="W838" s="140"/>
      <c r="X838" s="90"/>
      <c r="Y838" s="140"/>
      <c r="Z838" s="90"/>
      <c r="AA838" s="140"/>
      <c r="AB838" s="90"/>
      <c r="AC838" s="140"/>
      <c r="AD838" s="90"/>
      <c r="AE838" s="140"/>
      <c r="AF838" s="178" t="str">
        <f t="shared" si="39"/>
        <v/>
      </c>
      <c r="AG838" s="52" t="b">
        <f t="shared" si="40"/>
        <v>0</v>
      </c>
      <c r="AH838" s="140"/>
      <c r="AI838" s="182" t="s">
        <v>36</v>
      </c>
      <c r="AJ838" s="93">
        <f t="shared" si="41"/>
        <v>0</v>
      </c>
      <c r="AK838" s="183" t="s">
        <v>54</v>
      </c>
    </row>
    <row r="839" spans="1:37" ht="30" customHeight="1">
      <c r="A839" s="90"/>
      <c r="B839" s="90"/>
      <c r="C839" s="90"/>
      <c r="D839" s="90"/>
      <c r="E839" s="90"/>
      <c r="F839" s="90"/>
      <c r="G839" s="90"/>
      <c r="H839" s="90"/>
      <c r="I839" s="90"/>
      <c r="J839" s="90"/>
      <c r="K839" s="90"/>
      <c r="L839" s="90"/>
      <c r="M839" s="90"/>
      <c r="N839" s="150"/>
      <c r="O839" s="140"/>
      <c r="P839" s="90"/>
      <c r="Q839" s="140"/>
      <c r="R839" s="90"/>
      <c r="S839" s="140"/>
      <c r="T839" s="90"/>
      <c r="U839" s="140"/>
      <c r="V839" s="90"/>
      <c r="W839" s="140"/>
      <c r="X839" s="90"/>
      <c r="Y839" s="140"/>
      <c r="Z839" s="90"/>
      <c r="AA839" s="140"/>
      <c r="AB839" s="90"/>
      <c r="AC839" s="140"/>
      <c r="AD839" s="90"/>
      <c r="AE839" s="140"/>
      <c r="AF839" s="178" t="str">
        <f t="shared" si="39"/>
        <v/>
      </c>
      <c r="AG839" s="52" t="b">
        <f t="shared" si="40"/>
        <v>0</v>
      </c>
      <c r="AH839" s="140"/>
      <c r="AI839" s="182" t="s">
        <v>36</v>
      </c>
      <c r="AJ839" s="93">
        <f t="shared" si="41"/>
        <v>0</v>
      </c>
      <c r="AK839" s="183" t="s">
        <v>54</v>
      </c>
    </row>
    <row r="840" spans="1:37" ht="30" customHeight="1">
      <c r="A840" s="90"/>
      <c r="B840" s="90"/>
      <c r="C840" s="90"/>
      <c r="D840" s="90"/>
      <c r="E840" s="90"/>
      <c r="F840" s="90"/>
      <c r="G840" s="90"/>
      <c r="H840" s="90"/>
      <c r="I840" s="90"/>
      <c r="J840" s="90"/>
      <c r="K840" s="90"/>
      <c r="L840" s="90"/>
      <c r="M840" s="90"/>
      <c r="N840" s="150"/>
      <c r="O840" s="140"/>
      <c r="P840" s="90"/>
      <c r="Q840" s="140"/>
      <c r="R840" s="90"/>
      <c r="S840" s="140"/>
      <c r="T840" s="90"/>
      <c r="U840" s="140"/>
      <c r="V840" s="90"/>
      <c r="W840" s="140"/>
      <c r="X840" s="90"/>
      <c r="Y840" s="140"/>
      <c r="Z840" s="90"/>
      <c r="AA840" s="140"/>
      <c r="AB840" s="90"/>
      <c r="AC840" s="140"/>
      <c r="AD840" s="90"/>
      <c r="AE840" s="140"/>
      <c r="AF840" s="178" t="str">
        <f t="shared" si="39"/>
        <v/>
      </c>
      <c r="AG840" s="52" t="b">
        <f t="shared" si="40"/>
        <v>0</v>
      </c>
      <c r="AH840" s="140"/>
      <c r="AI840" s="182" t="s">
        <v>36</v>
      </c>
      <c r="AJ840" s="93">
        <f t="shared" si="41"/>
        <v>0</v>
      </c>
      <c r="AK840" s="183" t="s">
        <v>54</v>
      </c>
    </row>
    <row r="841" spans="1:37" ht="30" customHeight="1">
      <c r="A841" s="90"/>
      <c r="B841" s="90"/>
      <c r="C841" s="90"/>
      <c r="D841" s="90"/>
      <c r="E841" s="90"/>
      <c r="F841" s="90"/>
      <c r="G841" s="90"/>
      <c r="H841" s="90"/>
      <c r="I841" s="90"/>
      <c r="J841" s="90"/>
      <c r="K841" s="90"/>
      <c r="L841" s="90"/>
      <c r="M841" s="90"/>
      <c r="N841" s="150"/>
      <c r="O841" s="140"/>
      <c r="P841" s="90"/>
      <c r="Q841" s="140"/>
      <c r="R841" s="90"/>
      <c r="S841" s="140"/>
      <c r="T841" s="90"/>
      <c r="U841" s="140"/>
      <c r="V841" s="90"/>
      <c r="W841" s="140"/>
      <c r="X841" s="90"/>
      <c r="Y841" s="140"/>
      <c r="Z841" s="90"/>
      <c r="AA841" s="140"/>
      <c r="AB841" s="90"/>
      <c r="AC841" s="140"/>
      <c r="AD841" s="90"/>
      <c r="AE841" s="140"/>
      <c r="AF841" s="178" t="str">
        <f t="shared" si="39"/>
        <v/>
      </c>
      <c r="AG841" s="52" t="b">
        <f t="shared" si="40"/>
        <v>0</v>
      </c>
      <c r="AH841" s="140"/>
      <c r="AI841" s="182" t="s">
        <v>36</v>
      </c>
      <c r="AJ841" s="93">
        <f t="shared" si="41"/>
        <v>0</v>
      </c>
      <c r="AK841" s="183" t="s">
        <v>54</v>
      </c>
    </row>
    <row r="842" spans="1:37" ht="30" customHeight="1">
      <c r="A842" s="90"/>
      <c r="B842" s="90"/>
      <c r="C842" s="90"/>
      <c r="D842" s="90"/>
      <c r="E842" s="90"/>
      <c r="F842" s="90"/>
      <c r="G842" s="90"/>
      <c r="H842" s="90"/>
      <c r="I842" s="90"/>
      <c r="J842" s="90"/>
      <c r="K842" s="90"/>
      <c r="L842" s="90"/>
      <c r="M842" s="90"/>
      <c r="N842" s="150"/>
      <c r="O842" s="140"/>
      <c r="P842" s="90"/>
      <c r="Q842" s="140"/>
      <c r="R842" s="90"/>
      <c r="S842" s="140"/>
      <c r="T842" s="90"/>
      <c r="U842" s="140"/>
      <c r="V842" s="90"/>
      <c r="W842" s="140"/>
      <c r="X842" s="90"/>
      <c r="Y842" s="140"/>
      <c r="Z842" s="90"/>
      <c r="AA842" s="140"/>
      <c r="AB842" s="90"/>
      <c r="AC842" s="140"/>
      <c r="AD842" s="90"/>
      <c r="AE842" s="140"/>
      <c r="AF842" s="178" t="str">
        <f t="shared" si="39"/>
        <v/>
      </c>
      <c r="AG842" s="52" t="b">
        <f t="shared" si="40"/>
        <v>0</v>
      </c>
      <c r="AH842" s="140"/>
      <c r="AI842" s="182" t="s">
        <v>36</v>
      </c>
      <c r="AJ842" s="93">
        <f t="shared" si="41"/>
        <v>0</v>
      </c>
      <c r="AK842" s="183" t="s">
        <v>54</v>
      </c>
    </row>
    <row r="843" spans="1:37" ht="30" customHeight="1">
      <c r="A843" s="90"/>
      <c r="B843" s="90"/>
      <c r="C843" s="90"/>
      <c r="D843" s="90"/>
      <c r="E843" s="90"/>
      <c r="F843" s="90"/>
      <c r="G843" s="90"/>
      <c r="H843" s="90"/>
      <c r="I843" s="90"/>
      <c r="J843" s="90"/>
      <c r="K843" s="90"/>
      <c r="L843" s="90"/>
      <c r="M843" s="90"/>
      <c r="N843" s="150"/>
      <c r="O843" s="140"/>
      <c r="P843" s="90"/>
      <c r="Q843" s="140"/>
      <c r="R843" s="90"/>
      <c r="S843" s="140"/>
      <c r="T843" s="90"/>
      <c r="U843" s="140"/>
      <c r="V843" s="90"/>
      <c r="W843" s="140"/>
      <c r="X843" s="90"/>
      <c r="Y843" s="140"/>
      <c r="Z843" s="90"/>
      <c r="AA843" s="140"/>
      <c r="AB843" s="90"/>
      <c r="AC843" s="140"/>
      <c r="AD843" s="90"/>
      <c r="AE843" s="140"/>
      <c r="AF843" s="178" t="str">
        <f t="shared" si="39"/>
        <v/>
      </c>
      <c r="AG843" s="52" t="b">
        <f t="shared" si="40"/>
        <v>0</v>
      </c>
      <c r="AH843" s="140"/>
      <c r="AI843" s="182" t="s">
        <v>36</v>
      </c>
      <c r="AJ843" s="93">
        <f t="shared" si="41"/>
        <v>0</v>
      </c>
      <c r="AK843" s="183" t="s">
        <v>54</v>
      </c>
    </row>
    <row r="844" spans="1:37" ht="30" customHeight="1">
      <c r="A844" s="90"/>
      <c r="B844" s="90"/>
      <c r="C844" s="90"/>
      <c r="D844" s="90"/>
      <c r="E844" s="90"/>
      <c r="F844" s="90"/>
      <c r="G844" s="90"/>
      <c r="H844" s="90"/>
      <c r="I844" s="90"/>
      <c r="J844" s="90"/>
      <c r="K844" s="90"/>
      <c r="L844" s="90"/>
      <c r="M844" s="90"/>
      <c r="N844" s="150"/>
      <c r="O844" s="140"/>
      <c r="P844" s="90"/>
      <c r="Q844" s="140"/>
      <c r="R844" s="90"/>
      <c r="S844" s="140"/>
      <c r="T844" s="90"/>
      <c r="U844" s="140"/>
      <c r="V844" s="90"/>
      <c r="W844" s="140"/>
      <c r="X844" s="90"/>
      <c r="Y844" s="140"/>
      <c r="Z844" s="90"/>
      <c r="AA844" s="140"/>
      <c r="AB844" s="90"/>
      <c r="AC844" s="140"/>
      <c r="AD844" s="90"/>
      <c r="AE844" s="140"/>
      <c r="AF844" s="178" t="str">
        <f t="shared" si="39"/>
        <v/>
      </c>
      <c r="AG844" s="52" t="b">
        <f t="shared" si="40"/>
        <v>0</v>
      </c>
      <c r="AH844" s="140"/>
      <c r="AI844" s="182" t="s">
        <v>36</v>
      </c>
      <c r="AJ844" s="93">
        <f t="shared" si="41"/>
        <v>0</v>
      </c>
      <c r="AK844" s="183" t="s">
        <v>54</v>
      </c>
    </row>
    <row r="845" spans="1:37" ht="30" customHeight="1">
      <c r="A845" s="90"/>
      <c r="B845" s="90"/>
      <c r="C845" s="90"/>
      <c r="D845" s="90"/>
      <c r="E845" s="90"/>
      <c r="F845" s="90"/>
      <c r="G845" s="90"/>
      <c r="H845" s="90"/>
      <c r="I845" s="90"/>
      <c r="J845" s="90"/>
      <c r="K845" s="90"/>
      <c r="L845" s="90"/>
      <c r="M845" s="90"/>
      <c r="N845" s="150"/>
      <c r="O845" s="140"/>
      <c r="P845" s="90"/>
      <c r="Q845" s="140"/>
      <c r="R845" s="90"/>
      <c r="S845" s="140"/>
      <c r="T845" s="90"/>
      <c r="U845" s="140"/>
      <c r="V845" s="90"/>
      <c r="W845" s="140"/>
      <c r="X845" s="90"/>
      <c r="Y845" s="140"/>
      <c r="Z845" s="90"/>
      <c r="AA845" s="140"/>
      <c r="AB845" s="90"/>
      <c r="AC845" s="140"/>
      <c r="AD845" s="90"/>
      <c r="AE845" s="140"/>
      <c r="AF845" s="178" t="str">
        <f t="shared" si="39"/>
        <v/>
      </c>
      <c r="AG845" s="52" t="b">
        <f t="shared" si="40"/>
        <v>0</v>
      </c>
      <c r="AH845" s="140"/>
      <c r="AI845" s="182" t="s">
        <v>36</v>
      </c>
      <c r="AJ845" s="93">
        <f t="shared" si="41"/>
        <v>0</v>
      </c>
      <c r="AK845" s="183" t="s">
        <v>54</v>
      </c>
    </row>
    <row r="846" spans="1:37" ht="30" customHeight="1">
      <c r="A846" s="90"/>
      <c r="B846" s="90"/>
      <c r="C846" s="90"/>
      <c r="D846" s="90"/>
      <c r="E846" s="90"/>
      <c r="F846" s="90"/>
      <c r="G846" s="90"/>
      <c r="H846" s="90"/>
      <c r="I846" s="90"/>
      <c r="J846" s="90"/>
      <c r="K846" s="90"/>
      <c r="L846" s="90"/>
      <c r="M846" s="90"/>
      <c r="N846" s="150"/>
      <c r="O846" s="140"/>
      <c r="P846" s="90"/>
      <c r="Q846" s="140"/>
      <c r="R846" s="90"/>
      <c r="S846" s="140"/>
      <c r="T846" s="90"/>
      <c r="U846" s="140"/>
      <c r="V846" s="90"/>
      <c r="W846" s="140"/>
      <c r="X846" s="90"/>
      <c r="Y846" s="140"/>
      <c r="Z846" s="90"/>
      <c r="AA846" s="140"/>
      <c r="AB846" s="90"/>
      <c r="AC846" s="140"/>
      <c r="AD846" s="90"/>
      <c r="AE846" s="140"/>
      <c r="AF846" s="178" t="str">
        <f t="shared" si="39"/>
        <v/>
      </c>
      <c r="AG846" s="52" t="b">
        <f t="shared" si="40"/>
        <v>0</v>
      </c>
      <c r="AH846" s="140"/>
      <c r="AI846" s="182" t="s">
        <v>36</v>
      </c>
      <c r="AJ846" s="93">
        <f t="shared" si="41"/>
        <v>0</v>
      </c>
      <c r="AK846" s="183" t="s">
        <v>54</v>
      </c>
    </row>
    <row r="847" spans="1:37" ht="30" customHeight="1">
      <c r="A847" s="90"/>
      <c r="B847" s="90"/>
      <c r="C847" s="90"/>
      <c r="D847" s="90"/>
      <c r="E847" s="90"/>
      <c r="F847" s="90"/>
      <c r="G847" s="90"/>
      <c r="H847" s="90"/>
      <c r="I847" s="90"/>
      <c r="J847" s="90"/>
      <c r="K847" s="90"/>
      <c r="L847" s="90"/>
      <c r="M847" s="90"/>
      <c r="N847" s="150"/>
      <c r="O847" s="140"/>
      <c r="P847" s="90"/>
      <c r="Q847" s="140"/>
      <c r="R847" s="90"/>
      <c r="S847" s="140"/>
      <c r="T847" s="90"/>
      <c r="U847" s="140"/>
      <c r="V847" s="90"/>
      <c r="W847" s="140"/>
      <c r="X847" s="90"/>
      <c r="Y847" s="140"/>
      <c r="Z847" s="90"/>
      <c r="AA847" s="140"/>
      <c r="AB847" s="90"/>
      <c r="AC847" s="140"/>
      <c r="AD847" s="90"/>
      <c r="AE847" s="140"/>
      <c r="AF847" s="178" t="str">
        <f t="shared" si="39"/>
        <v/>
      </c>
      <c r="AG847" s="52" t="b">
        <f t="shared" si="40"/>
        <v>0</v>
      </c>
      <c r="AH847" s="140"/>
      <c r="AI847" s="182" t="s">
        <v>36</v>
      </c>
      <c r="AJ847" s="93">
        <f t="shared" si="41"/>
        <v>0</v>
      </c>
      <c r="AK847" s="183" t="s">
        <v>54</v>
      </c>
    </row>
    <row r="848" spans="1:37" ht="30" customHeight="1">
      <c r="A848" s="90"/>
      <c r="B848" s="90"/>
      <c r="C848" s="90"/>
      <c r="D848" s="90"/>
      <c r="E848" s="90"/>
      <c r="F848" s="90"/>
      <c r="G848" s="90"/>
      <c r="H848" s="90"/>
      <c r="I848" s="90"/>
      <c r="J848" s="90"/>
      <c r="K848" s="90"/>
      <c r="L848" s="90"/>
      <c r="M848" s="90"/>
      <c r="N848" s="150"/>
      <c r="O848" s="140"/>
      <c r="P848" s="90"/>
      <c r="Q848" s="140"/>
      <c r="R848" s="90"/>
      <c r="S848" s="140"/>
      <c r="T848" s="90"/>
      <c r="U848" s="140"/>
      <c r="V848" s="90"/>
      <c r="W848" s="140"/>
      <c r="X848" s="90"/>
      <c r="Y848" s="140"/>
      <c r="Z848" s="90"/>
      <c r="AA848" s="140"/>
      <c r="AB848" s="90"/>
      <c r="AC848" s="140"/>
      <c r="AD848" s="90"/>
      <c r="AE848" s="140"/>
      <c r="AF848" s="178" t="str">
        <f t="shared" si="39"/>
        <v/>
      </c>
      <c r="AG848" s="52" t="b">
        <f t="shared" si="40"/>
        <v>0</v>
      </c>
      <c r="AH848" s="140"/>
      <c r="AI848" s="182" t="s">
        <v>36</v>
      </c>
      <c r="AJ848" s="93">
        <f t="shared" si="41"/>
        <v>0</v>
      </c>
      <c r="AK848" s="183" t="s">
        <v>54</v>
      </c>
    </row>
    <row r="849" spans="1:37" ht="30" customHeight="1">
      <c r="A849" s="90"/>
      <c r="B849" s="90"/>
      <c r="C849" s="90"/>
      <c r="D849" s="90"/>
      <c r="E849" s="90"/>
      <c r="F849" s="90"/>
      <c r="G849" s="90"/>
      <c r="H849" s="90"/>
      <c r="I849" s="90"/>
      <c r="J849" s="90"/>
      <c r="K849" s="90"/>
      <c r="L849" s="90"/>
      <c r="M849" s="90"/>
      <c r="N849" s="150"/>
      <c r="O849" s="140"/>
      <c r="P849" s="90"/>
      <c r="Q849" s="140"/>
      <c r="R849" s="90"/>
      <c r="S849" s="140"/>
      <c r="T849" s="90"/>
      <c r="U849" s="140"/>
      <c r="V849" s="90"/>
      <c r="W849" s="140"/>
      <c r="X849" s="90"/>
      <c r="Y849" s="140"/>
      <c r="Z849" s="90"/>
      <c r="AA849" s="140"/>
      <c r="AB849" s="90"/>
      <c r="AC849" s="140"/>
      <c r="AD849" s="90"/>
      <c r="AE849" s="140"/>
      <c r="AF849" s="178" t="str">
        <f t="shared" si="39"/>
        <v/>
      </c>
      <c r="AG849" s="52" t="b">
        <f t="shared" si="40"/>
        <v>0</v>
      </c>
      <c r="AH849" s="140"/>
      <c r="AI849" s="182" t="s">
        <v>36</v>
      </c>
      <c r="AJ849" s="93">
        <f t="shared" si="41"/>
        <v>0</v>
      </c>
      <c r="AK849" s="183" t="s">
        <v>54</v>
      </c>
    </row>
    <row r="850" spans="1:37" ht="30" customHeight="1">
      <c r="A850" s="90"/>
      <c r="B850" s="90"/>
      <c r="C850" s="90"/>
      <c r="D850" s="90"/>
      <c r="E850" s="90"/>
      <c r="F850" s="90"/>
      <c r="G850" s="90"/>
      <c r="H850" s="90"/>
      <c r="I850" s="90"/>
      <c r="J850" s="90"/>
      <c r="K850" s="90"/>
      <c r="L850" s="90"/>
      <c r="M850" s="90"/>
      <c r="N850" s="150"/>
      <c r="O850" s="140"/>
      <c r="P850" s="90"/>
      <c r="Q850" s="140"/>
      <c r="R850" s="90"/>
      <c r="S850" s="140"/>
      <c r="T850" s="90"/>
      <c r="U850" s="140"/>
      <c r="V850" s="90"/>
      <c r="W850" s="140"/>
      <c r="X850" s="90"/>
      <c r="Y850" s="140"/>
      <c r="Z850" s="90"/>
      <c r="AA850" s="140"/>
      <c r="AB850" s="90"/>
      <c r="AC850" s="140"/>
      <c r="AD850" s="90"/>
      <c r="AE850" s="140"/>
      <c r="AF850" s="178" t="str">
        <f t="shared" si="39"/>
        <v/>
      </c>
      <c r="AG850" s="52" t="b">
        <f t="shared" si="40"/>
        <v>0</v>
      </c>
      <c r="AH850" s="140"/>
      <c r="AI850" s="182" t="s">
        <v>36</v>
      </c>
      <c r="AJ850" s="93">
        <f t="shared" si="41"/>
        <v>0</v>
      </c>
      <c r="AK850" s="183" t="s">
        <v>54</v>
      </c>
    </row>
    <row r="851" spans="1:37" ht="30" customHeight="1">
      <c r="A851" s="90"/>
      <c r="B851" s="90"/>
      <c r="C851" s="90"/>
      <c r="D851" s="90"/>
      <c r="E851" s="90"/>
      <c r="F851" s="90"/>
      <c r="G851" s="90"/>
      <c r="H851" s="90"/>
      <c r="I851" s="90"/>
      <c r="J851" s="90"/>
      <c r="K851" s="90"/>
      <c r="L851" s="90"/>
      <c r="M851" s="90"/>
      <c r="N851" s="150"/>
      <c r="O851" s="140"/>
      <c r="P851" s="90"/>
      <c r="Q851" s="140"/>
      <c r="R851" s="90"/>
      <c r="S851" s="140"/>
      <c r="T851" s="90"/>
      <c r="U851" s="140"/>
      <c r="V851" s="90"/>
      <c r="W851" s="140"/>
      <c r="X851" s="90"/>
      <c r="Y851" s="140"/>
      <c r="Z851" s="90"/>
      <c r="AA851" s="140"/>
      <c r="AB851" s="90"/>
      <c r="AC851" s="140"/>
      <c r="AD851" s="90"/>
      <c r="AE851" s="140"/>
      <c r="AF851" s="178" t="str">
        <f t="shared" si="39"/>
        <v/>
      </c>
      <c r="AG851" s="52" t="b">
        <f t="shared" si="40"/>
        <v>0</v>
      </c>
      <c r="AH851" s="140"/>
      <c r="AI851" s="182" t="s">
        <v>36</v>
      </c>
      <c r="AJ851" s="93">
        <f t="shared" si="41"/>
        <v>0</v>
      </c>
      <c r="AK851" s="183" t="s">
        <v>54</v>
      </c>
    </row>
    <row r="852" spans="1:37" ht="30" customHeight="1">
      <c r="A852" s="90"/>
      <c r="B852" s="90"/>
      <c r="C852" s="90"/>
      <c r="D852" s="90"/>
      <c r="E852" s="90"/>
      <c r="F852" s="90"/>
      <c r="G852" s="90"/>
      <c r="H852" s="90"/>
      <c r="I852" s="90"/>
      <c r="J852" s="90"/>
      <c r="K852" s="90"/>
      <c r="L852" s="90"/>
      <c r="M852" s="90"/>
      <c r="N852" s="150"/>
      <c r="O852" s="140"/>
      <c r="P852" s="90"/>
      <c r="Q852" s="140"/>
      <c r="R852" s="90"/>
      <c r="S852" s="140"/>
      <c r="T852" s="90"/>
      <c r="U852" s="140"/>
      <c r="V852" s="90"/>
      <c r="W852" s="140"/>
      <c r="X852" s="90"/>
      <c r="Y852" s="140"/>
      <c r="Z852" s="90"/>
      <c r="AA852" s="140"/>
      <c r="AB852" s="90"/>
      <c r="AC852" s="140"/>
      <c r="AD852" s="90"/>
      <c r="AE852" s="140"/>
      <c r="AF852" s="178" t="str">
        <f t="shared" si="39"/>
        <v/>
      </c>
      <c r="AG852" s="52" t="b">
        <f t="shared" si="40"/>
        <v>0</v>
      </c>
      <c r="AH852" s="140"/>
      <c r="AI852" s="182" t="s">
        <v>36</v>
      </c>
      <c r="AJ852" s="93">
        <f t="shared" si="41"/>
        <v>0</v>
      </c>
      <c r="AK852" s="183" t="s">
        <v>54</v>
      </c>
    </row>
    <row r="853" spans="1:37" ht="30" customHeight="1">
      <c r="A853" s="90"/>
      <c r="B853" s="90"/>
      <c r="C853" s="90"/>
      <c r="D853" s="90"/>
      <c r="E853" s="90"/>
      <c r="F853" s="90"/>
      <c r="G853" s="90"/>
      <c r="H853" s="90"/>
      <c r="I853" s="90"/>
      <c r="J853" s="90"/>
      <c r="K853" s="90"/>
      <c r="L853" s="90"/>
      <c r="M853" s="90"/>
      <c r="N853" s="150"/>
      <c r="O853" s="140"/>
      <c r="P853" s="90"/>
      <c r="Q853" s="140"/>
      <c r="R853" s="90"/>
      <c r="S853" s="140"/>
      <c r="T853" s="90"/>
      <c r="U853" s="140"/>
      <c r="V853" s="90"/>
      <c r="W853" s="140"/>
      <c r="X853" s="90"/>
      <c r="Y853" s="140"/>
      <c r="Z853" s="90"/>
      <c r="AA853" s="140"/>
      <c r="AB853" s="90"/>
      <c r="AC853" s="140"/>
      <c r="AD853" s="90"/>
      <c r="AE853" s="140"/>
      <c r="AF853" s="178" t="str">
        <f t="shared" si="39"/>
        <v/>
      </c>
      <c r="AG853" s="52" t="b">
        <f t="shared" si="40"/>
        <v>0</v>
      </c>
      <c r="AH853" s="140"/>
      <c r="AI853" s="182" t="s">
        <v>36</v>
      </c>
      <c r="AJ853" s="93">
        <f t="shared" si="41"/>
        <v>0</v>
      </c>
      <c r="AK853" s="183" t="s">
        <v>54</v>
      </c>
    </row>
    <row r="854" spans="1:37" ht="30" customHeight="1">
      <c r="A854" s="90"/>
      <c r="B854" s="90"/>
      <c r="C854" s="90"/>
      <c r="D854" s="90"/>
      <c r="E854" s="90"/>
      <c r="F854" s="90"/>
      <c r="G854" s="90"/>
      <c r="H854" s="90"/>
      <c r="I854" s="90"/>
      <c r="J854" s="90"/>
      <c r="K854" s="90"/>
      <c r="L854" s="90"/>
      <c r="M854" s="90"/>
      <c r="N854" s="150"/>
      <c r="O854" s="140"/>
      <c r="P854" s="90"/>
      <c r="Q854" s="140"/>
      <c r="R854" s="90"/>
      <c r="S854" s="140"/>
      <c r="T854" s="90"/>
      <c r="U854" s="140"/>
      <c r="V854" s="90"/>
      <c r="W854" s="140"/>
      <c r="X854" s="90"/>
      <c r="Y854" s="140"/>
      <c r="Z854" s="90"/>
      <c r="AA854" s="140"/>
      <c r="AB854" s="90"/>
      <c r="AC854" s="140"/>
      <c r="AD854" s="90"/>
      <c r="AE854" s="140"/>
      <c r="AF854" s="178" t="str">
        <f t="shared" si="39"/>
        <v/>
      </c>
      <c r="AG854" s="52" t="b">
        <f t="shared" si="40"/>
        <v>0</v>
      </c>
      <c r="AH854" s="140"/>
      <c r="AI854" s="182" t="s">
        <v>36</v>
      </c>
      <c r="AJ854" s="93">
        <f t="shared" si="41"/>
        <v>0</v>
      </c>
      <c r="AK854" s="183" t="s">
        <v>54</v>
      </c>
    </row>
    <row r="855" spans="1:37" ht="30" customHeight="1">
      <c r="A855" s="90"/>
      <c r="B855" s="90"/>
      <c r="C855" s="90"/>
      <c r="D855" s="90"/>
      <c r="E855" s="90"/>
      <c r="F855" s="90"/>
      <c r="G855" s="90"/>
      <c r="H855" s="90"/>
      <c r="I855" s="90"/>
      <c r="J855" s="90"/>
      <c r="K855" s="90"/>
      <c r="L855" s="90"/>
      <c r="M855" s="90"/>
      <c r="N855" s="150"/>
      <c r="O855" s="140"/>
      <c r="P855" s="90"/>
      <c r="Q855" s="140"/>
      <c r="R855" s="90"/>
      <c r="S855" s="140"/>
      <c r="T855" s="90"/>
      <c r="U855" s="140"/>
      <c r="V855" s="90"/>
      <c r="W855" s="140"/>
      <c r="X855" s="90"/>
      <c r="Y855" s="140"/>
      <c r="Z855" s="90"/>
      <c r="AA855" s="140"/>
      <c r="AB855" s="90"/>
      <c r="AC855" s="140"/>
      <c r="AD855" s="90"/>
      <c r="AE855" s="140"/>
      <c r="AF855" s="178" t="str">
        <f t="shared" si="39"/>
        <v/>
      </c>
      <c r="AG855" s="52" t="b">
        <f t="shared" si="40"/>
        <v>0</v>
      </c>
      <c r="AH855" s="140"/>
      <c r="AI855" s="182" t="s">
        <v>36</v>
      </c>
      <c r="AJ855" s="93">
        <f t="shared" si="41"/>
        <v>0</v>
      </c>
      <c r="AK855" s="183" t="s">
        <v>54</v>
      </c>
    </row>
    <row r="856" spans="1:37" ht="30" customHeight="1">
      <c r="A856" s="90"/>
      <c r="B856" s="90"/>
      <c r="C856" s="90"/>
      <c r="D856" s="90"/>
      <c r="E856" s="90"/>
      <c r="F856" s="90"/>
      <c r="G856" s="90"/>
      <c r="H856" s="90"/>
      <c r="I856" s="90"/>
      <c r="J856" s="90"/>
      <c r="K856" s="90"/>
      <c r="L856" s="90"/>
      <c r="M856" s="90"/>
      <c r="N856" s="150"/>
      <c r="O856" s="140"/>
      <c r="P856" s="90"/>
      <c r="Q856" s="140"/>
      <c r="R856" s="90"/>
      <c r="S856" s="140"/>
      <c r="T856" s="90"/>
      <c r="U856" s="140"/>
      <c r="V856" s="90"/>
      <c r="W856" s="140"/>
      <c r="X856" s="90"/>
      <c r="Y856" s="140"/>
      <c r="Z856" s="90"/>
      <c r="AA856" s="140"/>
      <c r="AB856" s="90"/>
      <c r="AC856" s="140"/>
      <c r="AD856" s="90"/>
      <c r="AE856" s="140"/>
      <c r="AF856" s="178" t="str">
        <f t="shared" si="39"/>
        <v/>
      </c>
      <c r="AG856" s="52" t="b">
        <f t="shared" si="40"/>
        <v>0</v>
      </c>
      <c r="AH856" s="140"/>
      <c r="AI856" s="182" t="s">
        <v>36</v>
      </c>
      <c r="AJ856" s="93">
        <f t="shared" si="41"/>
        <v>0</v>
      </c>
      <c r="AK856" s="183" t="s">
        <v>54</v>
      </c>
    </row>
    <row r="857" spans="1:37" ht="30" customHeight="1">
      <c r="A857" s="90"/>
      <c r="B857" s="90"/>
      <c r="C857" s="90"/>
      <c r="D857" s="90"/>
      <c r="E857" s="90"/>
      <c r="F857" s="90"/>
      <c r="G857" s="90"/>
      <c r="H857" s="90"/>
      <c r="I857" s="90"/>
      <c r="J857" s="90"/>
      <c r="K857" s="90"/>
      <c r="L857" s="90"/>
      <c r="M857" s="90"/>
      <c r="N857" s="150"/>
      <c r="O857" s="140"/>
      <c r="P857" s="90"/>
      <c r="Q857" s="140"/>
      <c r="R857" s="90"/>
      <c r="S857" s="140"/>
      <c r="T857" s="90"/>
      <c r="U857" s="140"/>
      <c r="V857" s="90"/>
      <c r="W857" s="140"/>
      <c r="X857" s="90"/>
      <c r="Y857" s="140"/>
      <c r="Z857" s="90"/>
      <c r="AA857" s="140"/>
      <c r="AB857" s="90"/>
      <c r="AC857" s="140"/>
      <c r="AD857" s="90"/>
      <c r="AE857" s="140"/>
      <c r="AF857" s="178" t="str">
        <f t="shared" si="39"/>
        <v/>
      </c>
      <c r="AG857" s="52" t="b">
        <f t="shared" si="40"/>
        <v>0</v>
      </c>
      <c r="AH857" s="140"/>
      <c r="AI857" s="182" t="s">
        <v>36</v>
      </c>
      <c r="AJ857" s="93">
        <f t="shared" si="41"/>
        <v>0</v>
      </c>
      <c r="AK857" s="183" t="s">
        <v>54</v>
      </c>
    </row>
    <row r="858" spans="1:37" ht="30" customHeight="1">
      <c r="A858" s="90"/>
      <c r="B858" s="90"/>
      <c r="C858" s="90"/>
      <c r="D858" s="90"/>
      <c r="E858" s="90"/>
      <c r="F858" s="90"/>
      <c r="G858" s="90"/>
      <c r="H858" s="90"/>
      <c r="I858" s="90"/>
      <c r="J858" s="90"/>
      <c r="K858" s="90"/>
      <c r="L858" s="90"/>
      <c r="M858" s="90"/>
      <c r="N858" s="150"/>
      <c r="O858" s="140"/>
      <c r="P858" s="90"/>
      <c r="Q858" s="140"/>
      <c r="R858" s="90"/>
      <c r="S858" s="140"/>
      <c r="T858" s="90"/>
      <c r="U858" s="140"/>
      <c r="V858" s="90"/>
      <c r="W858" s="140"/>
      <c r="X858" s="90"/>
      <c r="Y858" s="140"/>
      <c r="Z858" s="90"/>
      <c r="AA858" s="140"/>
      <c r="AB858" s="90"/>
      <c r="AC858" s="140"/>
      <c r="AD858" s="90"/>
      <c r="AE858" s="140"/>
      <c r="AF858" s="178" t="str">
        <f t="shared" si="39"/>
        <v/>
      </c>
      <c r="AG858" s="52" t="b">
        <f t="shared" si="40"/>
        <v>0</v>
      </c>
      <c r="AH858" s="140"/>
      <c r="AI858" s="182" t="s">
        <v>36</v>
      </c>
      <c r="AJ858" s="93">
        <f t="shared" si="41"/>
        <v>0</v>
      </c>
      <c r="AK858" s="183" t="s">
        <v>54</v>
      </c>
    </row>
    <row r="859" spans="1:37" ht="30" customHeight="1">
      <c r="A859" s="90"/>
      <c r="B859" s="90"/>
      <c r="C859" s="90"/>
      <c r="D859" s="90"/>
      <c r="E859" s="90"/>
      <c r="F859" s="90"/>
      <c r="G859" s="90"/>
      <c r="H859" s="90"/>
      <c r="I859" s="90"/>
      <c r="J859" s="90"/>
      <c r="K859" s="90"/>
      <c r="L859" s="90"/>
      <c r="M859" s="90"/>
      <c r="N859" s="150"/>
      <c r="O859" s="140"/>
      <c r="P859" s="90"/>
      <c r="Q859" s="140"/>
      <c r="R859" s="90"/>
      <c r="S859" s="140"/>
      <c r="T859" s="90"/>
      <c r="U859" s="140"/>
      <c r="V859" s="90"/>
      <c r="W859" s="140"/>
      <c r="X859" s="90"/>
      <c r="Y859" s="140"/>
      <c r="Z859" s="90"/>
      <c r="AA859" s="140"/>
      <c r="AB859" s="90"/>
      <c r="AC859" s="140"/>
      <c r="AD859" s="90"/>
      <c r="AE859" s="140"/>
      <c r="AF859" s="178" t="str">
        <f t="shared" si="39"/>
        <v/>
      </c>
      <c r="AG859" s="52" t="b">
        <f t="shared" si="40"/>
        <v>0</v>
      </c>
      <c r="AH859" s="140"/>
      <c r="AI859" s="182" t="s">
        <v>36</v>
      </c>
      <c r="AJ859" s="93">
        <f t="shared" si="41"/>
        <v>0</v>
      </c>
      <c r="AK859" s="183" t="s">
        <v>54</v>
      </c>
    </row>
    <row r="860" spans="1:37" ht="30" customHeight="1">
      <c r="A860" s="90"/>
      <c r="B860" s="90"/>
      <c r="C860" s="90"/>
      <c r="D860" s="90"/>
      <c r="E860" s="90"/>
      <c r="F860" s="90"/>
      <c r="G860" s="90"/>
      <c r="H860" s="90"/>
      <c r="I860" s="90"/>
      <c r="J860" s="90"/>
      <c r="K860" s="90"/>
      <c r="L860" s="90"/>
      <c r="M860" s="90"/>
      <c r="N860" s="150"/>
      <c r="O860" s="140"/>
      <c r="P860" s="90"/>
      <c r="Q860" s="140"/>
      <c r="R860" s="90"/>
      <c r="S860" s="140"/>
      <c r="T860" s="90"/>
      <c r="U860" s="140"/>
      <c r="V860" s="90"/>
      <c r="W860" s="140"/>
      <c r="X860" s="90"/>
      <c r="Y860" s="140"/>
      <c r="Z860" s="90"/>
      <c r="AA860" s="140"/>
      <c r="AB860" s="90"/>
      <c r="AC860" s="140"/>
      <c r="AD860" s="90"/>
      <c r="AE860" s="140"/>
      <c r="AF860" s="178" t="str">
        <f t="shared" si="39"/>
        <v/>
      </c>
      <c r="AG860" s="52" t="b">
        <f t="shared" si="40"/>
        <v>0</v>
      </c>
      <c r="AH860" s="140"/>
      <c r="AI860" s="182" t="s">
        <v>36</v>
      </c>
      <c r="AJ860" s="93">
        <f t="shared" si="41"/>
        <v>0</v>
      </c>
      <c r="AK860" s="183" t="s">
        <v>54</v>
      </c>
    </row>
    <row r="861" spans="1:37" ht="30" customHeight="1">
      <c r="A861" s="90"/>
      <c r="B861" s="90"/>
      <c r="C861" s="90"/>
      <c r="D861" s="90"/>
      <c r="E861" s="90"/>
      <c r="F861" s="90"/>
      <c r="G861" s="90"/>
      <c r="H861" s="90"/>
      <c r="I861" s="90"/>
      <c r="J861" s="90"/>
      <c r="K861" s="90"/>
      <c r="L861" s="90"/>
      <c r="M861" s="90"/>
      <c r="N861" s="150"/>
      <c r="O861" s="140"/>
      <c r="P861" s="90"/>
      <c r="Q861" s="140"/>
      <c r="R861" s="90"/>
      <c r="S861" s="140"/>
      <c r="T861" s="90"/>
      <c r="U861" s="140"/>
      <c r="V861" s="90"/>
      <c r="W861" s="140"/>
      <c r="X861" s="90"/>
      <c r="Y861" s="140"/>
      <c r="Z861" s="90"/>
      <c r="AA861" s="140"/>
      <c r="AB861" s="90"/>
      <c r="AC861" s="140"/>
      <c r="AD861" s="90"/>
      <c r="AE861" s="140"/>
      <c r="AF861" s="178" t="str">
        <f t="shared" si="39"/>
        <v/>
      </c>
      <c r="AG861" s="52" t="b">
        <f t="shared" si="40"/>
        <v>0</v>
      </c>
      <c r="AH861" s="140"/>
      <c r="AI861" s="182" t="s">
        <v>36</v>
      </c>
      <c r="AJ861" s="93">
        <f t="shared" si="41"/>
        <v>0</v>
      </c>
      <c r="AK861" s="183" t="s">
        <v>54</v>
      </c>
    </row>
    <row r="862" spans="1:37" ht="30" customHeight="1">
      <c r="A862" s="90"/>
      <c r="B862" s="90"/>
      <c r="C862" s="90"/>
      <c r="D862" s="90"/>
      <c r="E862" s="90"/>
      <c r="F862" s="90"/>
      <c r="G862" s="90"/>
      <c r="H862" s="90"/>
      <c r="I862" s="90"/>
      <c r="J862" s="90"/>
      <c r="K862" s="90"/>
      <c r="L862" s="90"/>
      <c r="M862" s="90"/>
      <c r="N862" s="150"/>
      <c r="O862" s="140"/>
      <c r="P862" s="90"/>
      <c r="Q862" s="140"/>
      <c r="R862" s="90"/>
      <c r="S862" s="140"/>
      <c r="T862" s="90"/>
      <c r="U862" s="140"/>
      <c r="V862" s="90"/>
      <c r="W862" s="140"/>
      <c r="X862" s="90"/>
      <c r="Y862" s="140"/>
      <c r="Z862" s="90"/>
      <c r="AA862" s="140"/>
      <c r="AB862" s="90"/>
      <c r="AC862" s="140"/>
      <c r="AD862" s="90"/>
      <c r="AE862" s="140"/>
      <c r="AF862" s="178" t="str">
        <f t="shared" si="39"/>
        <v/>
      </c>
      <c r="AG862" s="52" t="b">
        <f t="shared" si="40"/>
        <v>0</v>
      </c>
      <c r="AH862" s="140"/>
      <c r="AI862" s="182" t="s">
        <v>36</v>
      </c>
      <c r="AJ862" s="93">
        <f t="shared" si="41"/>
        <v>0</v>
      </c>
      <c r="AK862" s="183" t="s">
        <v>54</v>
      </c>
    </row>
    <row r="863" spans="1:37" ht="30" customHeight="1">
      <c r="A863" s="90"/>
      <c r="B863" s="90"/>
      <c r="C863" s="90"/>
      <c r="D863" s="90"/>
      <c r="E863" s="90"/>
      <c r="F863" s="90"/>
      <c r="G863" s="90"/>
      <c r="H863" s="90"/>
      <c r="I863" s="90"/>
      <c r="J863" s="90"/>
      <c r="K863" s="90"/>
      <c r="L863" s="90"/>
      <c r="M863" s="90"/>
      <c r="N863" s="150"/>
      <c r="O863" s="140"/>
      <c r="P863" s="90"/>
      <c r="Q863" s="140"/>
      <c r="R863" s="90"/>
      <c r="S863" s="140"/>
      <c r="T863" s="90"/>
      <c r="U863" s="140"/>
      <c r="V863" s="90"/>
      <c r="W863" s="140"/>
      <c r="X863" s="90"/>
      <c r="Y863" s="140"/>
      <c r="Z863" s="90"/>
      <c r="AA863" s="140"/>
      <c r="AB863" s="90"/>
      <c r="AC863" s="140"/>
      <c r="AD863" s="90"/>
      <c r="AE863" s="140"/>
      <c r="AF863" s="178" t="str">
        <f t="shared" si="39"/>
        <v/>
      </c>
      <c r="AG863" s="52" t="b">
        <f t="shared" si="40"/>
        <v>0</v>
      </c>
      <c r="AH863" s="140"/>
      <c r="AI863" s="182" t="s">
        <v>36</v>
      </c>
      <c r="AJ863" s="93">
        <f t="shared" si="41"/>
        <v>0</v>
      </c>
      <c r="AK863" s="183" t="s">
        <v>54</v>
      </c>
    </row>
    <row r="864" spans="1:37" ht="30" customHeight="1">
      <c r="A864" s="90"/>
      <c r="B864" s="90"/>
      <c r="C864" s="90"/>
      <c r="D864" s="90"/>
      <c r="E864" s="90"/>
      <c r="F864" s="90"/>
      <c r="G864" s="90"/>
      <c r="H864" s="90"/>
      <c r="I864" s="90"/>
      <c r="J864" s="90"/>
      <c r="K864" s="90"/>
      <c r="L864" s="90"/>
      <c r="M864" s="90"/>
      <c r="N864" s="150"/>
      <c r="O864" s="140"/>
      <c r="P864" s="90"/>
      <c r="Q864" s="140"/>
      <c r="R864" s="90"/>
      <c r="S864" s="140"/>
      <c r="T864" s="90"/>
      <c r="U864" s="140"/>
      <c r="V864" s="90"/>
      <c r="W864" s="140"/>
      <c r="X864" s="90"/>
      <c r="Y864" s="140"/>
      <c r="Z864" s="90"/>
      <c r="AA864" s="140"/>
      <c r="AB864" s="90"/>
      <c r="AC864" s="140"/>
      <c r="AD864" s="90"/>
      <c r="AE864" s="140"/>
      <c r="AF864" s="178" t="str">
        <f t="shared" si="39"/>
        <v/>
      </c>
      <c r="AG864" s="52" t="b">
        <f t="shared" si="40"/>
        <v>0</v>
      </c>
      <c r="AH864" s="140"/>
      <c r="AI864" s="182" t="s">
        <v>36</v>
      </c>
      <c r="AJ864" s="93">
        <f t="shared" si="41"/>
        <v>0</v>
      </c>
      <c r="AK864" s="183" t="s">
        <v>54</v>
      </c>
    </row>
    <row r="865" spans="1:37" ht="30" customHeight="1">
      <c r="A865" s="90"/>
      <c r="B865" s="90"/>
      <c r="C865" s="90"/>
      <c r="D865" s="90"/>
      <c r="E865" s="90"/>
      <c r="F865" s="90"/>
      <c r="G865" s="90"/>
      <c r="H865" s="90"/>
      <c r="I865" s="90"/>
      <c r="J865" s="90"/>
      <c r="K865" s="90"/>
      <c r="L865" s="90"/>
      <c r="M865" s="90"/>
      <c r="N865" s="150"/>
      <c r="O865" s="140"/>
      <c r="P865" s="90"/>
      <c r="Q865" s="140"/>
      <c r="R865" s="90"/>
      <c r="S865" s="140"/>
      <c r="T865" s="90"/>
      <c r="U865" s="140"/>
      <c r="V865" s="90"/>
      <c r="W865" s="140"/>
      <c r="X865" s="90"/>
      <c r="Y865" s="140"/>
      <c r="Z865" s="90"/>
      <c r="AA865" s="140"/>
      <c r="AB865" s="90"/>
      <c r="AC865" s="140"/>
      <c r="AD865" s="90"/>
      <c r="AE865" s="140"/>
      <c r="AF865" s="178" t="str">
        <f t="shared" si="39"/>
        <v/>
      </c>
      <c r="AG865" s="52" t="b">
        <f t="shared" si="40"/>
        <v>0</v>
      </c>
      <c r="AH865" s="140"/>
      <c r="AI865" s="182" t="s">
        <v>36</v>
      </c>
      <c r="AJ865" s="93">
        <f t="shared" si="41"/>
        <v>0</v>
      </c>
      <c r="AK865" s="183" t="s">
        <v>54</v>
      </c>
    </row>
    <row r="866" spans="1:37" ht="30" customHeight="1">
      <c r="A866" s="90"/>
      <c r="B866" s="90"/>
      <c r="C866" s="90"/>
      <c r="D866" s="90"/>
      <c r="E866" s="90"/>
      <c r="F866" s="90"/>
      <c r="G866" s="90"/>
      <c r="H866" s="90"/>
      <c r="I866" s="90"/>
      <c r="J866" s="90"/>
      <c r="K866" s="90"/>
      <c r="L866" s="90"/>
      <c r="M866" s="90"/>
      <c r="N866" s="150"/>
      <c r="O866" s="140"/>
      <c r="P866" s="90"/>
      <c r="Q866" s="140"/>
      <c r="R866" s="90"/>
      <c r="S866" s="140"/>
      <c r="T866" s="90"/>
      <c r="U866" s="140"/>
      <c r="V866" s="90"/>
      <c r="W866" s="140"/>
      <c r="X866" s="90"/>
      <c r="Y866" s="140"/>
      <c r="Z866" s="90"/>
      <c r="AA866" s="140"/>
      <c r="AB866" s="90"/>
      <c r="AC866" s="140"/>
      <c r="AD866" s="90"/>
      <c r="AE866" s="140"/>
      <c r="AF866" s="178" t="str">
        <f t="shared" si="39"/>
        <v/>
      </c>
      <c r="AG866" s="52" t="b">
        <f t="shared" si="40"/>
        <v>0</v>
      </c>
      <c r="AH866" s="140"/>
      <c r="AI866" s="182" t="s">
        <v>36</v>
      </c>
      <c r="AJ866" s="93">
        <f t="shared" si="41"/>
        <v>0</v>
      </c>
      <c r="AK866" s="183" t="s">
        <v>54</v>
      </c>
    </row>
    <row r="867" spans="1:37" ht="30" customHeight="1">
      <c r="A867" s="90"/>
      <c r="B867" s="90"/>
      <c r="C867" s="90"/>
      <c r="D867" s="90"/>
      <c r="E867" s="90"/>
      <c r="F867" s="90"/>
      <c r="G867" s="90"/>
      <c r="H867" s="90"/>
      <c r="I867" s="90"/>
      <c r="J867" s="90"/>
      <c r="K867" s="90"/>
      <c r="L867" s="90"/>
      <c r="M867" s="90"/>
      <c r="N867" s="150"/>
      <c r="O867" s="140"/>
      <c r="P867" s="90"/>
      <c r="Q867" s="140"/>
      <c r="R867" s="90"/>
      <c r="S867" s="140"/>
      <c r="T867" s="90"/>
      <c r="U867" s="140"/>
      <c r="V867" s="90"/>
      <c r="W867" s="140"/>
      <c r="X867" s="90"/>
      <c r="Y867" s="140"/>
      <c r="Z867" s="90"/>
      <c r="AA867" s="140"/>
      <c r="AB867" s="90"/>
      <c r="AC867" s="140"/>
      <c r="AD867" s="90"/>
      <c r="AE867" s="140"/>
      <c r="AF867" s="178" t="str">
        <f t="shared" si="39"/>
        <v/>
      </c>
      <c r="AG867" s="52" t="b">
        <f t="shared" si="40"/>
        <v>0</v>
      </c>
      <c r="AH867" s="140"/>
      <c r="AI867" s="182" t="s">
        <v>36</v>
      </c>
      <c r="AJ867" s="93">
        <f t="shared" si="41"/>
        <v>0</v>
      </c>
      <c r="AK867" s="183" t="s">
        <v>54</v>
      </c>
    </row>
    <row r="868" spans="1:37" ht="30" customHeight="1">
      <c r="A868" s="90"/>
      <c r="B868" s="90"/>
      <c r="C868" s="90"/>
      <c r="D868" s="90"/>
      <c r="E868" s="90"/>
      <c r="F868" s="90"/>
      <c r="G868" s="90"/>
      <c r="H868" s="90"/>
      <c r="I868" s="90"/>
      <c r="J868" s="90"/>
      <c r="K868" s="90"/>
      <c r="L868" s="90"/>
      <c r="M868" s="90"/>
      <c r="N868" s="150"/>
      <c r="O868" s="140"/>
      <c r="P868" s="90"/>
      <c r="Q868" s="140"/>
      <c r="R868" s="90"/>
      <c r="S868" s="140"/>
      <c r="T868" s="90"/>
      <c r="U868" s="140"/>
      <c r="V868" s="90"/>
      <c r="W868" s="140"/>
      <c r="X868" s="90"/>
      <c r="Y868" s="140"/>
      <c r="Z868" s="90"/>
      <c r="AA868" s="140"/>
      <c r="AB868" s="90"/>
      <c r="AC868" s="140"/>
      <c r="AD868" s="90"/>
      <c r="AE868" s="140"/>
      <c r="AF868" s="178" t="str">
        <f t="shared" si="39"/>
        <v/>
      </c>
      <c r="AG868" s="52" t="b">
        <f t="shared" si="40"/>
        <v>0</v>
      </c>
      <c r="AH868" s="140"/>
      <c r="AI868" s="182" t="s">
        <v>36</v>
      </c>
      <c r="AJ868" s="93">
        <f t="shared" si="41"/>
        <v>0</v>
      </c>
      <c r="AK868" s="183" t="s">
        <v>54</v>
      </c>
    </row>
    <row r="869" spans="1:37" ht="30" customHeight="1">
      <c r="A869" s="90"/>
      <c r="B869" s="90"/>
      <c r="C869" s="90"/>
      <c r="D869" s="90"/>
      <c r="E869" s="90"/>
      <c r="F869" s="90"/>
      <c r="G869" s="90"/>
      <c r="H869" s="90"/>
      <c r="I869" s="90"/>
      <c r="J869" s="90"/>
      <c r="K869" s="90"/>
      <c r="L869" s="90"/>
      <c r="M869" s="90"/>
      <c r="N869" s="150"/>
      <c r="O869" s="140"/>
      <c r="P869" s="90"/>
      <c r="Q869" s="140"/>
      <c r="R869" s="90"/>
      <c r="S869" s="140"/>
      <c r="T869" s="90"/>
      <c r="U869" s="140"/>
      <c r="V869" s="90"/>
      <c r="W869" s="140"/>
      <c r="X869" s="90"/>
      <c r="Y869" s="140"/>
      <c r="Z869" s="90"/>
      <c r="AA869" s="140"/>
      <c r="AB869" s="90"/>
      <c r="AC869" s="140"/>
      <c r="AD869" s="90"/>
      <c r="AE869" s="140"/>
      <c r="AF869" s="178" t="str">
        <f t="shared" si="39"/>
        <v/>
      </c>
      <c r="AG869" s="52" t="b">
        <f t="shared" si="40"/>
        <v>0</v>
      </c>
      <c r="AH869" s="140"/>
      <c r="AI869" s="182" t="s">
        <v>36</v>
      </c>
      <c r="AJ869" s="93">
        <f t="shared" si="41"/>
        <v>0</v>
      </c>
      <c r="AK869" s="183" t="s">
        <v>54</v>
      </c>
    </row>
    <row r="870" spans="1:37" ht="30" customHeight="1">
      <c r="A870" s="90"/>
      <c r="B870" s="90"/>
      <c r="C870" s="90"/>
      <c r="D870" s="90"/>
      <c r="E870" s="90"/>
      <c r="F870" s="90"/>
      <c r="G870" s="90"/>
      <c r="H870" s="90"/>
      <c r="I870" s="90"/>
      <c r="J870" s="90"/>
      <c r="K870" s="90"/>
      <c r="L870" s="90"/>
      <c r="M870" s="90"/>
      <c r="N870" s="150"/>
      <c r="O870" s="140"/>
      <c r="P870" s="90"/>
      <c r="Q870" s="140"/>
      <c r="R870" s="90"/>
      <c r="S870" s="140"/>
      <c r="T870" s="90"/>
      <c r="U870" s="140"/>
      <c r="V870" s="90"/>
      <c r="W870" s="140"/>
      <c r="X870" s="90"/>
      <c r="Y870" s="140"/>
      <c r="Z870" s="90"/>
      <c r="AA870" s="140"/>
      <c r="AB870" s="90"/>
      <c r="AC870" s="140"/>
      <c r="AD870" s="90"/>
      <c r="AE870" s="140"/>
      <c r="AF870" s="178" t="str">
        <f t="shared" si="39"/>
        <v/>
      </c>
      <c r="AG870" s="52" t="b">
        <f t="shared" si="40"/>
        <v>0</v>
      </c>
      <c r="AH870" s="140"/>
      <c r="AI870" s="182" t="s">
        <v>36</v>
      </c>
      <c r="AJ870" s="93">
        <f t="shared" si="41"/>
        <v>0</v>
      </c>
      <c r="AK870" s="183" t="s">
        <v>54</v>
      </c>
    </row>
    <row r="871" spans="1:37" ht="30" customHeight="1">
      <c r="A871" s="90"/>
      <c r="B871" s="90"/>
      <c r="C871" s="90"/>
      <c r="D871" s="90"/>
      <c r="E871" s="90"/>
      <c r="F871" s="90"/>
      <c r="G871" s="90"/>
      <c r="H871" s="90"/>
      <c r="I871" s="90"/>
      <c r="J871" s="90"/>
      <c r="K871" s="90"/>
      <c r="L871" s="90"/>
      <c r="M871" s="90"/>
      <c r="N871" s="150"/>
      <c r="O871" s="140"/>
      <c r="P871" s="90"/>
      <c r="Q871" s="140"/>
      <c r="R871" s="90"/>
      <c r="S871" s="140"/>
      <c r="T871" s="90"/>
      <c r="U871" s="140"/>
      <c r="V871" s="90"/>
      <c r="W871" s="140"/>
      <c r="X871" s="90"/>
      <c r="Y871" s="140"/>
      <c r="Z871" s="90"/>
      <c r="AA871" s="140"/>
      <c r="AB871" s="90"/>
      <c r="AC871" s="140"/>
      <c r="AD871" s="90"/>
      <c r="AE871" s="140"/>
      <c r="AF871" s="178" t="str">
        <f t="shared" si="39"/>
        <v/>
      </c>
      <c r="AG871" s="52" t="b">
        <f t="shared" si="40"/>
        <v>0</v>
      </c>
      <c r="AH871" s="140"/>
      <c r="AI871" s="182" t="s">
        <v>36</v>
      </c>
      <c r="AJ871" s="93">
        <f t="shared" si="41"/>
        <v>0</v>
      </c>
      <c r="AK871" s="183" t="s">
        <v>54</v>
      </c>
    </row>
    <row r="872" spans="1:37" ht="30" customHeight="1">
      <c r="A872" s="90"/>
      <c r="B872" s="90"/>
      <c r="C872" s="90"/>
      <c r="D872" s="90"/>
      <c r="E872" s="90"/>
      <c r="F872" s="90"/>
      <c r="G872" s="90"/>
      <c r="H872" s="90"/>
      <c r="I872" s="90"/>
      <c r="J872" s="90"/>
      <c r="K872" s="90"/>
      <c r="L872" s="90"/>
      <c r="M872" s="90"/>
      <c r="N872" s="150"/>
      <c r="O872" s="140"/>
      <c r="P872" s="90"/>
      <c r="Q872" s="140"/>
      <c r="R872" s="90"/>
      <c r="S872" s="140"/>
      <c r="T872" s="90"/>
      <c r="U872" s="140"/>
      <c r="V872" s="90"/>
      <c r="W872" s="140"/>
      <c r="X872" s="90"/>
      <c r="Y872" s="140"/>
      <c r="Z872" s="90"/>
      <c r="AA872" s="140"/>
      <c r="AB872" s="90"/>
      <c r="AC872" s="140"/>
      <c r="AD872" s="90"/>
      <c r="AE872" s="140"/>
      <c r="AF872" s="178" t="str">
        <f t="shared" si="39"/>
        <v/>
      </c>
      <c r="AG872" s="52" t="b">
        <f t="shared" si="40"/>
        <v>0</v>
      </c>
      <c r="AH872" s="140"/>
      <c r="AI872" s="182" t="s">
        <v>36</v>
      </c>
      <c r="AJ872" s="93">
        <f t="shared" si="41"/>
        <v>0</v>
      </c>
      <c r="AK872" s="183" t="s">
        <v>54</v>
      </c>
    </row>
    <row r="873" spans="1:37" ht="30" customHeight="1">
      <c r="A873" s="90"/>
      <c r="B873" s="90"/>
      <c r="C873" s="90"/>
      <c r="D873" s="90"/>
      <c r="E873" s="90"/>
      <c r="F873" s="90"/>
      <c r="G873" s="90"/>
      <c r="H873" s="90"/>
      <c r="I873" s="90"/>
      <c r="J873" s="90"/>
      <c r="K873" s="90"/>
      <c r="L873" s="90"/>
      <c r="M873" s="90"/>
      <c r="N873" s="150"/>
      <c r="O873" s="140"/>
      <c r="P873" s="90"/>
      <c r="Q873" s="140"/>
      <c r="R873" s="90"/>
      <c r="S873" s="140"/>
      <c r="T873" s="90"/>
      <c r="U873" s="140"/>
      <c r="V873" s="90"/>
      <c r="W873" s="140"/>
      <c r="X873" s="90"/>
      <c r="Y873" s="140"/>
      <c r="Z873" s="90"/>
      <c r="AA873" s="140"/>
      <c r="AB873" s="90"/>
      <c r="AC873" s="140"/>
      <c r="AD873" s="90"/>
      <c r="AE873" s="140"/>
      <c r="AF873" s="178" t="str">
        <f t="shared" si="39"/>
        <v/>
      </c>
      <c r="AG873" s="52" t="b">
        <f t="shared" si="40"/>
        <v>0</v>
      </c>
      <c r="AH873" s="140"/>
      <c r="AI873" s="182" t="s">
        <v>36</v>
      </c>
      <c r="AJ873" s="93">
        <f t="shared" si="41"/>
        <v>0</v>
      </c>
      <c r="AK873" s="183" t="s">
        <v>54</v>
      </c>
    </row>
    <row r="874" spans="1:37" ht="30" customHeight="1">
      <c r="A874" s="90"/>
      <c r="B874" s="90"/>
      <c r="C874" s="90"/>
      <c r="D874" s="90"/>
      <c r="E874" s="90"/>
      <c r="F874" s="90"/>
      <c r="G874" s="90"/>
      <c r="H874" s="90"/>
      <c r="I874" s="90"/>
      <c r="J874" s="90"/>
      <c r="K874" s="90"/>
      <c r="L874" s="90"/>
      <c r="M874" s="90"/>
      <c r="N874" s="150"/>
      <c r="O874" s="140"/>
      <c r="P874" s="90"/>
      <c r="Q874" s="140"/>
      <c r="R874" s="90"/>
      <c r="S874" s="140"/>
      <c r="T874" s="90"/>
      <c r="U874" s="140"/>
      <c r="V874" s="90"/>
      <c r="W874" s="140"/>
      <c r="X874" s="90"/>
      <c r="Y874" s="140"/>
      <c r="Z874" s="90"/>
      <c r="AA874" s="140"/>
      <c r="AB874" s="90"/>
      <c r="AC874" s="140"/>
      <c r="AD874" s="90"/>
      <c r="AE874" s="140"/>
      <c r="AF874" s="178" t="str">
        <f t="shared" si="39"/>
        <v/>
      </c>
      <c r="AG874" s="52" t="b">
        <f t="shared" si="40"/>
        <v>0</v>
      </c>
      <c r="AH874" s="140"/>
      <c r="AI874" s="182" t="s">
        <v>36</v>
      </c>
      <c r="AJ874" s="93">
        <f t="shared" si="41"/>
        <v>0</v>
      </c>
      <c r="AK874" s="183" t="s">
        <v>54</v>
      </c>
    </row>
    <row r="875" spans="1:37" ht="30" customHeight="1">
      <c r="A875" s="90"/>
      <c r="B875" s="90"/>
      <c r="C875" s="90"/>
      <c r="D875" s="90"/>
      <c r="E875" s="90"/>
      <c r="F875" s="90"/>
      <c r="G875" s="90"/>
      <c r="H875" s="90"/>
      <c r="I875" s="90"/>
      <c r="J875" s="90"/>
      <c r="K875" s="90"/>
      <c r="L875" s="90"/>
      <c r="M875" s="90"/>
      <c r="N875" s="150"/>
      <c r="O875" s="140"/>
      <c r="P875" s="90"/>
      <c r="Q875" s="140"/>
      <c r="R875" s="90"/>
      <c r="S875" s="140"/>
      <c r="T875" s="90"/>
      <c r="U875" s="140"/>
      <c r="V875" s="90"/>
      <c r="W875" s="140"/>
      <c r="X875" s="90"/>
      <c r="Y875" s="140"/>
      <c r="Z875" s="90"/>
      <c r="AA875" s="140"/>
      <c r="AB875" s="90"/>
      <c r="AC875" s="140"/>
      <c r="AD875" s="90"/>
      <c r="AE875" s="140"/>
      <c r="AF875" s="178" t="str">
        <f t="shared" si="39"/>
        <v/>
      </c>
      <c r="AG875" s="52" t="b">
        <f t="shared" si="40"/>
        <v>0</v>
      </c>
      <c r="AH875" s="140"/>
      <c r="AI875" s="182" t="s">
        <v>36</v>
      </c>
      <c r="AJ875" s="93">
        <f t="shared" si="41"/>
        <v>0</v>
      </c>
      <c r="AK875" s="183" t="s">
        <v>54</v>
      </c>
    </row>
    <row r="876" spans="1:37" ht="30" customHeight="1">
      <c r="A876" s="90"/>
      <c r="B876" s="90"/>
      <c r="C876" s="90"/>
      <c r="D876" s="90"/>
      <c r="E876" s="90"/>
      <c r="F876" s="90"/>
      <c r="G876" s="90"/>
      <c r="H876" s="90"/>
      <c r="I876" s="90"/>
      <c r="J876" s="90"/>
      <c r="K876" s="90"/>
      <c r="L876" s="90"/>
      <c r="M876" s="90"/>
      <c r="N876" s="150"/>
      <c r="O876" s="140"/>
      <c r="P876" s="90"/>
      <c r="Q876" s="140"/>
      <c r="R876" s="90"/>
      <c r="S876" s="140"/>
      <c r="T876" s="90"/>
      <c r="U876" s="140"/>
      <c r="V876" s="90"/>
      <c r="W876" s="140"/>
      <c r="X876" s="90"/>
      <c r="Y876" s="140"/>
      <c r="Z876" s="90"/>
      <c r="AA876" s="140"/>
      <c r="AB876" s="90"/>
      <c r="AC876" s="140"/>
      <c r="AD876" s="90"/>
      <c r="AE876" s="140"/>
      <c r="AF876" s="178" t="str">
        <f t="shared" si="39"/>
        <v/>
      </c>
      <c r="AG876" s="52" t="b">
        <f t="shared" si="40"/>
        <v>0</v>
      </c>
      <c r="AH876" s="140"/>
      <c r="AI876" s="182" t="s">
        <v>36</v>
      </c>
      <c r="AJ876" s="93">
        <f t="shared" si="41"/>
        <v>0</v>
      </c>
      <c r="AK876" s="183" t="s">
        <v>54</v>
      </c>
    </row>
    <row r="877" spans="1:37" ht="30" customHeight="1">
      <c r="A877" s="90"/>
      <c r="B877" s="90"/>
      <c r="C877" s="90"/>
      <c r="D877" s="90"/>
      <c r="E877" s="90"/>
      <c r="F877" s="90"/>
      <c r="G877" s="90"/>
      <c r="H877" s="90"/>
      <c r="I877" s="90"/>
      <c r="J877" s="90"/>
      <c r="K877" s="90"/>
      <c r="L877" s="90"/>
      <c r="M877" s="90"/>
      <c r="N877" s="150"/>
      <c r="O877" s="140"/>
      <c r="P877" s="90"/>
      <c r="Q877" s="140"/>
      <c r="R877" s="90"/>
      <c r="S877" s="140"/>
      <c r="T877" s="90"/>
      <c r="U877" s="140"/>
      <c r="V877" s="90"/>
      <c r="W877" s="140"/>
      <c r="X877" s="90"/>
      <c r="Y877" s="140"/>
      <c r="Z877" s="90"/>
      <c r="AA877" s="140"/>
      <c r="AB877" s="90"/>
      <c r="AC877" s="140"/>
      <c r="AD877" s="90"/>
      <c r="AE877" s="140"/>
      <c r="AF877" s="178" t="str">
        <f t="shared" si="39"/>
        <v/>
      </c>
      <c r="AG877" s="52" t="b">
        <f t="shared" si="40"/>
        <v>0</v>
      </c>
      <c r="AH877" s="140"/>
      <c r="AI877" s="182" t="s">
        <v>36</v>
      </c>
      <c r="AJ877" s="93">
        <f t="shared" si="41"/>
        <v>0</v>
      </c>
      <c r="AK877" s="183" t="s">
        <v>54</v>
      </c>
    </row>
    <row r="878" spans="1:37" ht="30" customHeight="1">
      <c r="A878" s="90"/>
      <c r="B878" s="90"/>
      <c r="C878" s="90"/>
      <c r="D878" s="90"/>
      <c r="E878" s="90"/>
      <c r="F878" s="90"/>
      <c r="G878" s="90"/>
      <c r="H878" s="90"/>
      <c r="I878" s="90"/>
      <c r="J878" s="90"/>
      <c r="K878" s="90"/>
      <c r="L878" s="90"/>
      <c r="M878" s="90"/>
      <c r="N878" s="150"/>
      <c r="O878" s="140"/>
      <c r="P878" s="90"/>
      <c r="Q878" s="140"/>
      <c r="R878" s="90"/>
      <c r="S878" s="140"/>
      <c r="T878" s="90"/>
      <c r="U878" s="140"/>
      <c r="V878" s="90"/>
      <c r="W878" s="140"/>
      <c r="X878" s="90"/>
      <c r="Y878" s="140"/>
      <c r="Z878" s="90"/>
      <c r="AA878" s="140"/>
      <c r="AB878" s="90"/>
      <c r="AC878" s="140"/>
      <c r="AD878" s="90"/>
      <c r="AE878" s="140"/>
      <c r="AF878" s="178" t="str">
        <f t="shared" si="39"/>
        <v/>
      </c>
      <c r="AG878" s="52" t="b">
        <f t="shared" si="40"/>
        <v>0</v>
      </c>
      <c r="AH878" s="140"/>
      <c r="AI878" s="182" t="s">
        <v>36</v>
      </c>
      <c r="AJ878" s="93">
        <f t="shared" si="41"/>
        <v>0</v>
      </c>
      <c r="AK878" s="183" t="s">
        <v>54</v>
      </c>
    </row>
    <row r="879" spans="1:37" ht="30" customHeight="1">
      <c r="A879" s="90"/>
      <c r="B879" s="90"/>
      <c r="C879" s="90"/>
      <c r="D879" s="90"/>
      <c r="E879" s="90"/>
      <c r="F879" s="90"/>
      <c r="G879" s="90"/>
      <c r="H879" s="90"/>
      <c r="I879" s="90"/>
      <c r="J879" s="90"/>
      <c r="K879" s="90"/>
      <c r="L879" s="90"/>
      <c r="M879" s="90"/>
      <c r="N879" s="150"/>
      <c r="O879" s="140"/>
      <c r="P879" s="90"/>
      <c r="Q879" s="140"/>
      <c r="R879" s="90"/>
      <c r="S879" s="140"/>
      <c r="T879" s="90"/>
      <c r="U879" s="140"/>
      <c r="V879" s="90"/>
      <c r="W879" s="140"/>
      <c r="X879" s="90"/>
      <c r="Y879" s="140"/>
      <c r="Z879" s="90"/>
      <c r="AA879" s="140"/>
      <c r="AB879" s="90"/>
      <c r="AC879" s="140"/>
      <c r="AD879" s="90"/>
      <c r="AE879" s="140"/>
      <c r="AF879" s="178" t="str">
        <f t="shared" si="39"/>
        <v/>
      </c>
      <c r="AG879" s="52" t="b">
        <f t="shared" si="40"/>
        <v>0</v>
      </c>
      <c r="AH879" s="140"/>
      <c r="AI879" s="182" t="s">
        <v>36</v>
      </c>
      <c r="AJ879" s="93">
        <f t="shared" si="41"/>
        <v>0</v>
      </c>
      <c r="AK879" s="183" t="s">
        <v>54</v>
      </c>
    </row>
    <row r="880" spans="1:37" ht="30" customHeight="1">
      <c r="A880" s="90"/>
      <c r="B880" s="90"/>
      <c r="C880" s="90"/>
      <c r="D880" s="90"/>
      <c r="E880" s="90"/>
      <c r="F880" s="90"/>
      <c r="G880" s="90"/>
      <c r="H880" s="90"/>
      <c r="I880" s="90"/>
      <c r="J880" s="90"/>
      <c r="K880" s="90"/>
      <c r="L880" s="90"/>
      <c r="M880" s="90"/>
      <c r="N880" s="150"/>
      <c r="O880" s="140"/>
      <c r="P880" s="90"/>
      <c r="Q880" s="140"/>
      <c r="R880" s="90"/>
      <c r="S880" s="140"/>
      <c r="T880" s="90"/>
      <c r="U880" s="140"/>
      <c r="V880" s="90"/>
      <c r="W880" s="140"/>
      <c r="X880" s="90"/>
      <c r="Y880" s="140"/>
      <c r="Z880" s="90"/>
      <c r="AA880" s="140"/>
      <c r="AB880" s="90"/>
      <c r="AC880" s="140"/>
      <c r="AD880" s="90"/>
      <c r="AE880" s="140"/>
      <c r="AF880" s="178" t="str">
        <f t="shared" si="39"/>
        <v/>
      </c>
      <c r="AG880" s="52" t="b">
        <f t="shared" si="40"/>
        <v>0</v>
      </c>
      <c r="AH880" s="140"/>
      <c r="AI880" s="182" t="s">
        <v>36</v>
      </c>
      <c r="AJ880" s="93">
        <f t="shared" si="41"/>
        <v>0</v>
      </c>
      <c r="AK880" s="183" t="s">
        <v>54</v>
      </c>
    </row>
    <row r="881" spans="1:37" ht="30" customHeight="1">
      <c r="A881" s="90"/>
      <c r="B881" s="90"/>
      <c r="C881" s="90"/>
      <c r="D881" s="90"/>
      <c r="E881" s="90"/>
      <c r="F881" s="90"/>
      <c r="G881" s="90"/>
      <c r="H881" s="90"/>
      <c r="I881" s="90"/>
      <c r="J881" s="90"/>
      <c r="K881" s="90"/>
      <c r="L881" s="90"/>
      <c r="M881" s="90"/>
      <c r="N881" s="150"/>
      <c r="O881" s="140"/>
      <c r="P881" s="90"/>
      <c r="Q881" s="140"/>
      <c r="R881" s="90"/>
      <c r="S881" s="140"/>
      <c r="T881" s="90"/>
      <c r="U881" s="140"/>
      <c r="V881" s="90"/>
      <c r="W881" s="140"/>
      <c r="X881" s="90"/>
      <c r="Y881" s="140"/>
      <c r="Z881" s="90"/>
      <c r="AA881" s="140"/>
      <c r="AB881" s="90"/>
      <c r="AC881" s="140"/>
      <c r="AD881" s="90"/>
      <c r="AE881" s="140"/>
      <c r="AF881" s="178" t="str">
        <f t="shared" si="39"/>
        <v/>
      </c>
      <c r="AG881" s="52" t="b">
        <f t="shared" si="40"/>
        <v>0</v>
      </c>
      <c r="AH881" s="140"/>
      <c r="AI881" s="182" t="s">
        <v>36</v>
      </c>
      <c r="AJ881" s="93">
        <f t="shared" si="41"/>
        <v>0</v>
      </c>
      <c r="AK881" s="183" t="s">
        <v>54</v>
      </c>
    </row>
    <row r="882" spans="1:37" ht="30" customHeight="1">
      <c r="A882" s="90"/>
      <c r="B882" s="90"/>
      <c r="C882" s="90"/>
      <c r="D882" s="90"/>
      <c r="E882" s="90"/>
      <c r="F882" s="90"/>
      <c r="G882" s="90"/>
      <c r="H882" s="90"/>
      <c r="I882" s="90"/>
      <c r="J882" s="90"/>
      <c r="K882" s="90"/>
      <c r="L882" s="90"/>
      <c r="M882" s="90"/>
      <c r="N882" s="150"/>
      <c r="O882" s="140"/>
      <c r="P882" s="90"/>
      <c r="Q882" s="140"/>
      <c r="R882" s="90"/>
      <c r="S882" s="140"/>
      <c r="T882" s="90"/>
      <c r="U882" s="140"/>
      <c r="V882" s="90"/>
      <c r="W882" s="140"/>
      <c r="X882" s="90"/>
      <c r="Y882" s="140"/>
      <c r="Z882" s="90"/>
      <c r="AA882" s="140"/>
      <c r="AB882" s="90"/>
      <c r="AC882" s="140"/>
      <c r="AD882" s="90"/>
      <c r="AE882" s="140"/>
      <c r="AF882" s="178" t="str">
        <f t="shared" si="39"/>
        <v/>
      </c>
      <c r="AG882" s="52" t="b">
        <f t="shared" si="40"/>
        <v>0</v>
      </c>
      <c r="AH882" s="140"/>
      <c r="AI882" s="182" t="s">
        <v>36</v>
      </c>
      <c r="AJ882" s="93">
        <f t="shared" si="41"/>
        <v>0</v>
      </c>
      <c r="AK882" s="183" t="s">
        <v>54</v>
      </c>
    </row>
    <row r="883" spans="1:37" ht="30" customHeight="1">
      <c r="A883" s="90"/>
      <c r="B883" s="90"/>
      <c r="C883" s="90"/>
      <c r="D883" s="90"/>
      <c r="E883" s="90"/>
      <c r="F883" s="90"/>
      <c r="G883" s="90"/>
      <c r="H883" s="90"/>
      <c r="I883" s="90"/>
      <c r="J883" s="90"/>
      <c r="K883" s="90"/>
      <c r="L883" s="90"/>
      <c r="M883" s="90"/>
      <c r="N883" s="150"/>
      <c r="O883" s="140"/>
      <c r="P883" s="90"/>
      <c r="Q883" s="140"/>
      <c r="R883" s="90"/>
      <c r="S883" s="140"/>
      <c r="T883" s="90"/>
      <c r="U883" s="140"/>
      <c r="V883" s="90"/>
      <c r="W883" s="140"/>
      <c r="X883" s="90"/>
      <c r="Y883" s="140"/>
      <c r="Z883" s="90"/>
      <c r="AA883" s="140"/>
      <c r="AB883" s="90"/>
      <c r="AC883" s="140"/>
      <c r="AD883" s="90"/>
      <c r="AE883" s="140"/>
      <c r="AF883" s="178" t="str">
        <f t="shared" si="39"/>
        <v/>
      </c>
      <c r="AG883" s="52" t="b">
        <f t="shared" si="40"/>
        <v>0</v>
      </c>
      <c r="AH883" s="140"/>
      <c r="AI883" s="182" t="s">
        <v>36</v>
      </c>
      <c r="AJ883" s="93">
        <f t="shared" si="41"/>
        <v>0</v>
      </c>
      <c r="AK883" s="183" t="s">
        <v>54</v>
      </c>
    </row>
    <row r="884" spans="1:37" ht="30" customHeight="1">
      <c r="A884" s="90"/>
      <c r="B884" s="90"/>
      <c r="C884" s="90"/>
      <c r="D884" s="90"/>
      <c r="E884" s="90"/>
      <c r="F884" s="90"/>
      <c r="G884" s="90"/>
      <c r="H884" s="90"/>
      <c r="I884" s="90"/>
      <c r="J884" s="90"/>
      <c r="K884" s="90"/>
      <c r="L884" s="90"/>
      <c r="M884" s="90"/>
      <c r="N884" s="150"/>
      <c r="O884" s="140"/>
      <c r="P884" s="90"/>
      <c r="Q884" s="140"/>
      <c r="R884" s="90"/>
      <c r="S884" s="140"/>
      <c r="T884" s="90"/>
      <c r="U884" s="140"/>
      <c r="V884" s="90"/>
      <c r="W884" s="140"/>
      <c r="X884" s="90"/>
      <c r="Y884" s="140"/>
      <c r="Z884" s="90"/>
      <c r="AA884" s="140"/>
      <c r="AB884" s="90"/>
      <c r="AC884" s="140"/>
      <c r="AD884" s="90"/>
      <c r="AE884" s="140"/>
      <c r="AF884" s="178" t="str">
        <f t="shared" si="39"/>
        <v/>
      </c>
      <c r="AG884" s="52" t="b">
        <f t="shared" si="40"/>
        <v>0</v>
      </c>
      <c r="AH884" s="140"/>
      <c r="AI884" s="182" t="s">
        <v>36</v>
      </c>
      <c r="AJ884" s="93">
        <f t="shared" si="41"/>
        <v>0</v>
      </c>
      <c r="AK884" s="183" t="s">
        <v>54</v>
      </c>
    </row>
    <row r="885" spans="1:37" ht="30" customHeight="1">
      <c r="A885" s="90"/>
      <c r="B885" s="90"/>
      <c r="C885" s="90"/>
      <c r="D885" s="90"/>
      <c r="E885" s="90"/>
      <c r="F885" s="90"/>
      <c r="G885" s="90"/>
      <c r="H885" s="90"/>
      <c r="I885" s="90"/>
      <c r="J885" s="90"/>
      <c r="K885" s="90"/>
      <c r="L885" s="90"/>
      <c r="M885" s="90"/>
      <c r="N885" s="150"/>
      <c r="O885" s="140"/>
      <c r="P885" s="90"/>
      <c r="Q885" s="140"/>
      <c r="R885" s="90"/>
      <c r="S885" s="140"/>
      <c r="T885" s="90"/>
      <c r="U885" s="140"/>
      <c r="V885" s="90"/>
      <c r="W885" s="140"/>
      <c r="X885" s="90"/>
      <c r="Y885" s="140"/>
      <c r="Z885" s="90"/>
      <c r="AA885" s="140"/>
      <c r="AB885" s="90"/>
      <c r="AC885" s="140"/>
      <c r="AD885" s="90"/>
      <c r="AE885" s="140"/>
      <c r="AF885" s="178" t="str">
        <f t="shared" si="39"/>
        <v/>
      </c>
      <c r="AG885" s="52" t="b">
        <f t="shared" si="40"/>
        <v>0</v>
      </c>
      <c r="AH885" s="140"/>
      <c r="AI885" s="182" t="s">
        <v>36</v>
      </c>
      <c r="AJ885" s="93">
        <f t="shared" si="41"/>
        <v>0</v>
      </c>
      <c r="AK885" s="183" t="s">
        <v>54</v>
      </c>
    </row>
    <row r="886" spans="1:37" ht="30" customHeight="1">
      <c r="A886" s="90"/>
      <c r="B886" s="90"/>
      <c r="C886" s="90"/>
      <c r="D886" s="90"/>
      <c r="E886" s="90"/>
      <c r="F886" s="90"/>
      <c r="G886" s="90"/>
      <c r="H886" s="90"/>
      <c r="I886" s="90"/>
      <c r="J886" s="90"/>
      <c r="K886" s="90"/>
      <c r="L886" s="90"/>
      <c r="M886" s="90"/>
      <c r="N886" s="150"/>
      <c r="O886" s="140"/>
      <c r="P886" s="90"/>
      <c r="Q886" s="140"/>
      <c r="R886" s="90"/>
      <c r="S886" s="140"/>
      <c r="T886" s="90"/>
      <c r="U886" s="140"/>
      <c r="V886" s="90"/>
      <c r="W886" s="140"/>
      <c r="X886" s="90"/>
      <c r="Y886" s="140"/>
      <c r="Z886" s="90"/>
      <c r="AA886" s="140"/>
      <c r="AB886" s="90"/>
      <c r="AC886" s="140"/>
      <c r="AD886" s="90"/>
      <c r="AE886" s="140"/>
      <c r="AF886" s="178" t="str">
        <f t="shared" si="39"/>
        <v/>
      </c>
      <c r="AG886" s="52" t="b">
        <f t="shared" si="40"/>
        <v>0</v>
      </c>
      <c r="AH886" s="140"/>
      <c r="AI886" s="182" t="s">
        <v>36</v>
      </c>
      <c r="AJ886" s="93">
        <f t="shared" si="41"/>
        <v>0</v>
      </c>
      <c r="AK886" s="183" t="s">
        <v>54</v>
      </c>
    </row>
    <row r="887" spans="1:37" ht="30" customHeight="1">
      <c r="A887" s="90"/>
      <c r="B887" s="90"/>
      <c r="C887" s="90"/>
      <c r="D887" s="90"/>
      <c r="E887" s="90"/>
      <c r="F887" s="90"/>
      <c r="G887" s="90"/>
      <c r="H887" s="90"/>
      <c r="I887" s="90"/>
      <c r="J887" s="90"/>
      <c r="K887" s="90"/>
      <c r="L887" s="90"/>
      <c r="M887" s="90"/>
      <c r="N887" s="150"/>
      <c r="O887" s="140"/>
      <c r="P887" s="90"/>
      <c r="Q887" s="140"/>
      <c r="R887" s="90"/>
      <c r="S887" s="140"/>
      <c r="T887" s="90"/>
      <c r="U887" s="140"/>
      <c r="V887" s="90"/>
      <c r="W887" s="140"/>
      <c r="X887" s="90"/>
      <c r="Y887" s="140"/>
      <c r="Z887" s="90"/>
      <c r="AA887" s="140"/>
      <c r="AB887" s="90"/>
      <c r="AC887" s="140"/>
      <c r="AD887" s="90"/>
      <c r="AE887" s="140"/>
      <c r="AF887" s="178" t="str">
        <f t="shared" si="39"/>
        <v/>
      </c>
      <c r="AG887" s="52" t="b">
        <f t="shared" si="40"/>
        <v>0</v>
      </c>
      <c r="AH887" s="140"/>
      <c r="AI887" s="182" t="s">
        <v>36</v>
      </c>
      <c r="AJ887" s="93">
        <f t="shared" si="41"/>
        <v>0</v>
      </c>
      <c r="AK887" s="183" t="s">
        <v>54</v>
      </c>
    </row>
    <row r="888" spans="1:37" ht="30" customHeight="1">
      <c r="A888" s="90"/>
      <c r="B888" s="90"/>
      <c r="C888" s="90"/>
      <c r="D888" s="90"/>
      <c r="E888" s="90"/>
      <c r="F888" s="90"/>
      <c r="G888" s="90"/>
      <c r="H888" s="90"/>
      <c r="I888" s="90"/>
      <c r="J888" s="90"/>
      <c r="K888" s="90"/>
      <c r="L888" s="90"/>
      <c r="M888" s="90"/>
      <c r="N888" s="150"/>
      <c r="O888" s="140"/>
      <c r="P888" s="90"/>
      <c r="Q888" s="140"/>
      <c r="R888" s="90"/>
      <c r="S888" s="140"/>
      <c r="T888" s="90"/>
      <c r="U888" s="140"/>
      <c r="V888" s="90"/>
      <c r="W888" s="140"/>
      <c r="X888" s="90"/>
      <c r="Y888" s="140"/>
      <c r="Z888" s="90"/>
      <c r="AA888" s="140"/>
      <c r="AB888" s="90"/>
      <c r="AC888" s="140"/>
      <c r="AD888" s="90"/>
      <c r="AE888" s="140"/>
      <c r="AF888" s="178" t="str">
        <f t="shared" si="39"/>
        <v/>
      </c>
      <c r="AG888" s="52" t="b">
        <f t="shared" si="40"/>
        <v>0</v>
      </c>
      <c r="AH888" s="140"/>
      <c r="AI888" s="182" t="s">
        <v>36</v>
      </c>
      <c r="AJ888" s="93">
        <f t="shared" si="41"/>
        <v>0</v>
      </c>
      <c r="AK888" s="183" t="s">
        <v>54</v>
      </c>
    </row>
    <row r="889" spans="1:37" ht="30" customHeight="1">
      <c r="A889" s="90"/>
      <c r="B889" s="90"/>
      <c r="C889" s="90"/>
      <c r="D889" s="90"/>
      <c r="E889" s="90"/>
      <c r="F889" s="90"/>
      <c r="G889" s="90"/>
      <c r="H889" s="90"/>
      <c r="I889" s="90"/>
      <c r="J889" s="90"/>
      <c r="K889" s="90"/>
      <c r="L889" s="90"/>
      <c r="M889" s="90"/>
      <c r="N889" s="150"/>
      <c r="O889" s="140"/>
      <c r="P889" s="90"/>
      <c r="Q889" s="140"/>
      <c r="R889" s="90"/>
      <c r="S889" s="140"/>
      <c r="T889" s="90"/>
      <c r="U889" s="140"/>
      <c r="V889" s="90"/>
      <c r="W889" s="140"/>
      <c r="X889" s="90"/>
      <c r="Y889" s="140"/>
      <c r="Z889" s="90"/>
      <c r="AA889" s="140"/>
      <c r="AB889" s="90"/>
      <c r="AC889" s="140"/>
      <c r="AD889" s="90"/>
      <c r="AE889" s="140"/>
      <c r="AF889" s="178" t="str">
        <f t="shared" si="39"/>
        <v/>
      </c>
      <c r="AG889" s="52" t="b">
        <f t="shared" si="40"/>
        <v>0</v>
      </c>
      <c r="AH889" s="140"/>
      <c r="AI889" s="182" t="s">
        <v>36</v>
      </c>
      <c r="AJ889" s="93">
        <f t="shared" si="41"/>
        <v>0</v>
      </c>
      <c r="AK889" s="183" t="s">
        <v>54</v>
      </c>
    </row>
    <row r="890" spans="1:37" ht="30" customHeight="1">
      <c r="A890" s="90"/>
      <c r="B890" s="90"/>
      <c r="C890" s="90"/>
      <c r="D890" s="90"/>
      <c r="E890" s="90"/>
      <c r="F890" s="90"/>
      <c r="G890" s="90"/>
      <c r="H890" s="90"/>
      <c r="I890" s="90"/>
      <c r="J890" s="90"/>
      <c r="K890" s="90"/>
      <c r="L890" s="90"/>
      <c r="M890" s="90"/>
      <c r="N890" s="150"/>
      <c r="O890" s="140"/>
      <c r="P890" s="90"/>
      <c r="Q890" s="140"/>
      <c r="R890" s="90"/>
      <c r="S890" s="140"/>
      <c r="T890" s="90"/>
      <c r="U890" s="140"/>
      <c r="V890" s="90"/>
      <c r="W890" s="140"/>
      <c r="X890" s="90"/>
      <c r="Y890" s="140"/>
      <c r="Z890" s="90"/>
      <c r="AA890" s="140"/>
      <c r="AB890" s="90"/>
      <c r="AC890" s="140"/>
      <c r="AD890" s="90"/>
      <c r="AE890" s="140"/>
      <c r="AF890" s="178" t="str">
        <f t="shared" si="39"/>
        <v/>
      </c>
      <c r="AG890" s="52" t="b">
        <f t="shared" si="40"/>
        <v>0</v>
      </c>
      <c r="AH890" s="140"/>
      <c r="AI890" s="182" t="s">
        <v>36</v>
      </c>
      <c r="AJ890" s="93">
        <f t="shared" si="41"/>
        <v>0</v>
      </c>
      <c r="AK890" s="183" t="s">
        <v>54</v>
      </c>
    </row>
    <row r="891" spans="1:37" ht="30" customHeight="1">
      <c r="A891" s="90"/>
      <c r="B891" s="90"/>
      <c r="C891" s="90"/>
      <c r="D891" s="90"/>
      <c r="E891" s="90"/>
      <c r="F891" s="90"/>
      <c r="G891" s="90"/>
      <c r="H891" s="90"/>
      <c r="I891" s="90"/>
      <c r="J891" s="90"/>
      <c r="K891" s="90"/>
      <c r="L891" s="90"/>
      <c r="M891" s="90"/>
      <c r="N891" s="150"/>
      <c r="O891" s="140"/>
      <c r="P891" s="90"/>
      <c r="Q891" s="140"/>
      <c r="R891" s="90"/>
      <c r="S891" s="140"/>
      <c r="T891" s="90"/>
      <c r="U891" s="140"/>
      <c r="V891" s="90"/>
      <c r="W891" s="140"/>
      <c r="X891" s="90"/>
      <c r="Y891" s="140"/>
      <c r="Z891" s="90"/>
      <c r="AA891" s="140"/>
      <c r="AB891" s="90"/>
      <c r="AC891" s="140"/>
      <c r="AD891" s="90"/>
      <c r="AE891" s="140"/>
      <c r="AF891" s="178" t="str">
        <f t="shared" si="39"/>
        <v/>
      </c>
      <c r="AG891" s="52" t="b">
        <f t="shared" si="40"/>
        <v>0</v>
      </c>
      <c r="AH891" s="140"/>
      <c r="AI891" s="182" t="s">
        <v>36</v>
      </c>
      <c r="AJ891" s="93">
        <f t="shared" si="41"/>
        <v>0</v>
      </c>
      <c r="AK891" s="183" t="s">
        <v>54</v>
      </c>
    </row>
    <row r="892" spans="1:37" ht="30" customHeight="1">
      <c r="A892" s="90"/>
      <c r="B892" s="90"/>
      <c r="C892" s="90"/>
      <c r="D892" s="90"/>
      <c r="E892" s="90"/>
      <c r="F892" s="90"/>
      <c r="G892" s="90"/>
      <c r="H892" s="90"/>
      <c r="I892" s="90"/>
      <c r="J892" s="90"/>
      <c r="K892" s="90"/>
      <c r="L892" s="90"/>
      <c r="M892" s="90"/>
      <c r="N892" s="150"/>
      <c r="O892" s="140"/>
      <c r="P892" s="90"/>
      <c r="Q892" s="140"/>
      <c r="R892" s="90"/>
      <c r="S892" s="140"/>
      <c r="T892" s="90"/>
      <c r="U892" s="140"/>
      <c r="V892" s="90"/>
      <c r="W892" s="140"/>
      <c r="X892" s="90"/>
      <c r="Y892" s="140"/>
      <c r="Z892" s="90"/>
      <c r="AA892" s="140"/>
      <c r="AB892" s="90"/>
      <c r="AC892" s="140"/>
      <c r="AD892" s="90"/>
      <c r="AE892" s="140"/>
      <c r="AF892" s="178" t="str">
        <f t="shared" si="39"/>
        <v/>
      </c>
      <c r="AG892" s="52" t="b">
        <f t="shared" si="40"/>
        <v>0</v>
      </c>
      <c r="AH892" s="140"/>
      <c r="AI892" s="182" t="s">
        <v>36</v>
      </c>
      <c r="AJ892" s="93">
        <f t="shared" si="41"/>
        <v>0</v>
      </c>
      <c r="AK892" s="183" t="s">
        <v>54</v>
      </c>
    </row>
    <row r="893" spans="1:37" ht="30" customHeight="1">
      <c r="A893" s="90"/>
      <c r="B893" s="90"/>
      <c r="C893" s="90"/>
      <c r="D893" s="90"/>
      <c r="E893" s="90"/>
      <c r="F893" s="90"/>
      <c r="G893" s="90"/>
      <c r="H893" s="90"/>
      <c r="I893" s="90"/>
      <c r="J893" s="90"/>
      <c r="K893" s="90"/>
      <c r="L893" s="90"/>
      <c r="M893" s="90"/>
      <c r="N893" s="150"/>
      <c r="O893" s="140"/>
      <c r="P893" s="90"/>
      <c r="Q893" s="140"/>
      <c r="R893" s="90"/>
      <c r="S893" s="140"/>
      <c r="T893" s="90"/>
      <c r="U893" s="140"/>
      <c r="V893" s="90"/>
      <c r="W893" s="140"/>
      <c r="X893" s="90"/>
      <c r="Y893" s="140"/>
      <c r="Z893" s="90"/>
      <c r="AA893" s="140"/>
      <c r="AB893" s="90"/>
      <c r="AC893" s="140"/>
      <c r="AD893" s="90"/>
      <c r="AE893" s="140"/>
      <c r="AF893" s="178" t="str">
        <f t="shared" si="39"/>
        <v/>
      </c>
      <c r="AG893" s="52" t="b">
        <f t="shared" si="40"/>
        <v>0</v>
      </c>
      <c r="AH893" s="140"/>
      <c r="AI893" s="182" t="s">
        <v>36</v>
      </c>
      <c r="AJ893" s="93">
        <f t="shared" si="41"/>
        <v>0</v>
      </c>
      <c r="AK893" s="183" t="s">
        <v>54</v>
      </c>
    </row>
    <row r="894" spans="1:37" ht="30" customHeight="1">
      <c r="A894" s="90"/>
      <c r="B894" s="90"/>
      <c r="C894" s="90"/>
      <c r="D894" s="90"/>
      <c r="E894" s="90"/>
      <c r="F894" s="90"/>
      <c r="G894" s="90"/>
      <c r="H894" s="90"/>
      <c r="I894" s="90"/>
      <c r="J894" s="90"/>
      <c r="K894" s="90"/>
      <c r="L894" s="90"/>
      <c r="M894" s="90"/>
      <c r="N894" s="150"/>
      <c r="O894" s="140"/>
      <c r="P894" s="90"/>
      <c r="Q894" s="140"/>
      <c r="R894" s="90"/>
      <c r="S894" s="140"/>
      <c r="T894" s="90"/>
      <c r="U894" s="140"/>
      <c r="V894" s="90"/>
      <c r="W894" s="140"/>
      <c r="X894" s="90"/>
      <c r="Y894" s="140"/>
      <c r="Z894" s="90"/>
      <c r="AA894" s="140"/>
      <c r="AB894" s="90"/>
      <c r="AC894" s="140"/>
      <c r="AD894" s="90"/>
      <c r="AE894" s="140"/>
      <c r="AF894" s="178" t="str">
        <f t="shared" si="39"/>
        <v/>
      </c>
      <c r="AG894" s="52" t="b">
        <f t="shared" si="40"/>
        <v>0</v>
      </c>
      <c r="AH894" s="140"/>
      <c r="AI894" s="182" t="s">
        <v>36</v>
      </c>
      <c r="AJ894" s="93">
        <f t="shared" si="41"/>
        <v>0</v>
      </c>
      <c r="AK894" s="183" t="s">
        <v>54</v>
      </c>
    </row>
    <row r="895" spans="1:37" ht="30" customHeight="1">
      <c r="A895" s="90"/>
      <c r="B895" s="90"/>
      <c r="C895" s="90"/>
      <c r="D895" s="90"/>
      <c r="E895" s="90"/>
      <c r="F895" s="90"/>
      <c r="G895" s="90"/>
      <c r="H895" s="90"/>
      <c r="I895" s="90"/>
      <c r="J895" s="90"/>
      <c r="K895" s="90"/>
      <c r="L895" s="90"/>
      <c r="M895" s="90"/>
      <c r="N895" s="150"/>
      <c r="O895" s="140"/>
      <c r="P895" s="90"/>
      <c r="Q895" s="140"/>
      <c r="R895" s="90"/>
      <c r="S895" s="140"/>
      <c r="T895" s="90"/>
      <c r="U895" s="140"/>
      <c r="V895" s="90"/>
      <c r="W895" s="140"/>
      <c r="X895" s="90"/>
      <c r="Y895" s="140"/>
      <c r="Z895" s="90"/>
      <c r="AA895" s="140"/>
      <c r="AB895" s="90"/>
      <c r="AC895" s="140"/>
      <c r="AD895" s="90"/>
      <c r="AE895" s="140"/>
      <c r="AF895" s="178" t="str">
        <f t="shared" si="39"/>
        <v/>
      </c>
      <c r="AG895" s="52" t="b">
        <f t="shared" si="40"/>
        <v>0</v>
      </c>
      <c r="AH895" s="140"/>
      <c r="AI895" s="182" t="s">
        <v>36</v>
      </c>
      <c r="AJ895" s="93">
        <f t="shared" si="41"/>
        <v>0</v>
      </c>
      <c r="AK895" s="183" t="s">
        <v>54</v>
      </c>
    </row>
    <row r="896" spans="1:37" ht="30" customHeight="1">
      <c r="A896" s="90"/>
      <c r="B896" s="90"/>
      <c r="C896" s="90"/>
      <c r="D896" s="90"/>
      <c r="E896" s="90"/>
      <c r="F896" s="90"/>
      <c r="G896" s="90"/>
      <c r="H896" s="90"/>
      <c r="I896" s="90"/>
      <c r="J896" s="90"/>
      <c r="K896" s="90"/>
      <c r="L896" s="90"/>
      <c r="M896" s="90"/>
      <c r="N896" s="150"/>
      <c r="O896" s="140"/>
      <c r="P896" s="90"/>
      <c r="Q896" s="140"/>
      <c r="R896" s="90"/>
      <c r="S896" s="140"/>
      <c r="T896" s="90"/>
      <c r="U896" s="140"/>
      <c r="V896" s="90"/>
      <c r="W896" s="140"/>
      <c r="X896" s="90"/>
      <c r="Y896" s="140"/>
      <c r="Z896" s="90"/>
      <c r="AA896" s="140"/>
      <c r="AB896" s="90"/>
      <c r="AC896" s="140"/>
      <c r="AD896" s="90"/>
      <c r="AE896" s="140"/>
      <c r="AF896" s="178" t="str">
        <f t="shared" si="39"/>
        <v/>
      </c>
      <c r="AG896" s="52" t="b">
        <f t="shared" si="40"/>
        <v>0</v>
      </c>
      <c r="AH896" s="140"/>
      <c r="AI896" s="182" t="s">
        <v>36</v>
      </c>
      <c r="AJ896" s="93">
        <f t="shared" si="41"/>
        <v>0</v>
      </c>
      <c r="AK896" s="183" t="s">
        <v>54</v>
      </c>
    </row>
    <row r="897" spans="1:37" ht="30" customHeight="1">
      <c r="A897" s="90"/>
      <c r="B897" s="90"/>
      <c r="C897" s="90"/>
      <c r="D897" s="90"/>
      <c r="E897" s="90"/>
      <c r="F897" s="90"/>
      <c r="G897" s="90"/>
      <c r="H897" s="90"/>
      <c r="I897" s="90"/>
      <c r="J897" s="90"/>
      <c r="K897" s="90"/>
      <c r="L897" s="90"/>
      <c r="M897" s="90"/>
      <c r="N897" s="150"/>
      <c r="O897" s="140"/>
      <c r="P897" s="90"/>
      <c r="Q897" s="140"/>
      <c r="R897" s="90"/>
      <c r="S897" s="140"/>
      <c r="T897" s="90"/>
      <c r="U897" s="140"/>
      <c r="V897" s="90"/>
      <c r="W897" s="140"/>
      <c r="X897" s="90"/>
      <c r="Y897" s="140"/>
      <c r="Z897" s="90"/>
      <c r="AA897" s="140"/>
      <c r="AB897" s="90"/>
      <c r="AC897" s="140"/>
      <c r="AD897" s="90"/>
      <c r="AE897" s="140"/>
      <c r="AF897" s="178" t="str">
        <f t="shared" si="39"/>
        <v/>
      </c>
      <c r="AG897" s="52" t="b">
        <f t="shared" si="40"/>
        <v>0</v>
      </c>
      <c r="AH897" s="140"/>
      <c r="AI897" s="182" t="s">
        <v>36</v>
      </c>
      <c r="AJ897" s="93">
        <f t="shared" si="41"/>
        <v>0</v>
      </c>
      <c r="AK897" s="183" t="s">
        <v>54</v>
      </c>
    </row>
    <row r="898" spans="1:37" ht="30" customHeight="1">
      <c r="A898" s="90"/>
      <c r="B898" s="90"/>
      <c r="C898" s="90"/>
      <c r="D898" s="90"/>
      <c r="E898" s="90"/>
      <c r="F898" s="90"/>
      <c r="G898" s="90"/>
      <c r="H898" s="90"/>
      <c r="I898" s="90"/>
      <c r="J898" s="90"/>
      <c r="K898" s="90"/>
      <c r="L898" s="90"/>
      <c r="M898" s="90"/>
      <c r="N898" s="150"/>
      <c r="O898" s="140"/>
      <c r="P898" s="90"/>
      <c r="Q898" s="140"/>
      <c r="R898" s="90"/>
      <c r="S898" s="140"/>
      <c r="T898" s="90"/>
      <c r="U898" s="140"/>
      <c r="V898" s="90"/>
      <c r="W898" s="140"/>
      <c r="X898" s="90"/>
      <c r="Y898" s="140"/>
      <c r="Z898" s="90"/>
      <c r="AA898" s="140"/>
      <c r="AB898" s="90"/>
      <c r="AC898" s="140"/>
      <c r="AD898" s="90"/>
      <c r="AE898" s="140"/>
      <c r="AF898" s="178" t="str">
        <f t="shared" si="39"/>
        <v/>
      </c>
      <c r="AG898" s="52" t="b">
        <f t="shared" si="40"/>
        <v>0</v>
      </c>
      <c r="AH898" s="140"/>
      <c r="AI898" s="182" t="s">
        <v>36</v>
      </c>
      <c r="AJ898" s="93">
        <f t="shared" si="41"/>
        <v>0</v>
      </c>
      <c r="AK898" s="183" t="s">
        <v>54</v>
      </c>
    </row>
    <row r="899" spans="1:37" ht="30" customHeight="1">
      <c r="A899" s="90"/>
      <c r="B899" s="90"/>
      <c r="C899" s="90"/>
      <c r="D899" s="90"/>
      <c r="E899" s="90"/>
      <c r="F899" s="90"/>
      <c r="G899" s="90"/>
      <c r="H899" s="90"/>
      <c r="I899" s="90"/>
      <c r="J899" s="90"/>
      <c r="K899" s="90"/>
      <c r="L899" s="90"/>
      <c r="M899" s="90"/>
      <c r="N899" s="150"/>
      <c r="O899" s="140"/>
      <c r="P899" s="90"/>
      <c r="Q899" s="140"/>
      <c r="R899" s="90"/>
      <c r="S899" s="140"/>
      <c r="T899" s="90"/>
      <c r="U899" s="140"/>
      <c r="V899" s="90"/>
      <c r="W899" s="140"/>
      <c r="X899" s="90"/>
      <c r="Y899" s="140"/>
      <c r="Z899" s="90"/>
      <c r="AA899" s="140"/>
      <c r="AB899" s="90"/>
      <c r="AC899" s="140"/>
      <c r="AD899" s="90"/>
      <c r="AE899" s="140"/>
      <c r="AF899" s="178" t="str">
        <f t="shared" ref="AF899:AF962" si="42">IF(AND(O899="",Q899="",S899="",U899="",W899="",Y899="",AA899="",AC899=""),"",IF(OR(AND(O899&lt;&gt;"NA",O899&lt;&gt;"C",O899&lt;&gt;"NC",O899&lt;&gt;"SF",O899&lt;&gt;""),AND(Q899&lt;&gt;"NA",Q899&lt;&gt;"C",Q899&lt;&gt;"NC",Q899&lt;&gt;"SF",Q899&lt;&gt;""),AND(S899&lt;&gt;"NA",S899&lt;&gt;"C",S899&lt;&gt;"NC",S899&lt;&gt;"SF",S899&lt;&gt;""),AND(U899&lt;&gt;"NA",U899&lt;&gt;"C",U899&lt;&gt;"NC",U899&lt;&gt;"SF",U899&lt;&gt;""),AND(W899&lt;&gt;"NA",W899&lt;&gt;"C",W899&lt;&gt;"NC",W899&lt;&gt;"SF",W899&lt;&gt;""),AND(Y899&lt;&gt;"NA",Y899&lt;&gt;"C",Y899&lt;&gt;"NC",Y899&lt;&gt;"SF",Y899&lt;&gt;""),AND(AA899&lt;&gt;"NA",AA899&lt;&gt;"C",AA899&lt;&gt;"NC",AA899&lt;&gt;"SF",AA899&lt;&gt;""),AND(AC899&lt;&gt;"NA",AC899&lt;&gt;"C",AC899&lt;&gt;"NC",AC899&lt;&gt;"SF",AC899&lt;&gt;"")),"FALSO",IF(AND(O899="NA",Q899="NA",S899="NA",U899="NA",W899="NA",Y899="NA",AA899="NA",AC899="NA"),"NA",IF(OR(O899="NC",Q899="NC",S899="NC",U899="NC",W899="NC",Y899="NC",AA899="NC",AC899="NC",O899="SF",Q899="SF",S899="SF",U899="SF",W899="SF",Y899="SF",AA899="SF",AC899="SF"),"NC",IF(OR(O899="C",Q899="C",S899="C",U899="C",W899="C",Y899="C",AA899="C",AC899="C"),"C","")))))</f>
        <v/>
      </c>
      <c r="AG899" s="52" t="b">
        <f t="shared" ref="AG899:AG959" si="43">IF(AND(AE899="C",AF899="C"),"UTILIZOU O PDA CORRETAMENTE",IF(AND(AE899="C",AF899="NC"),"UTILIZOU O PDA CORRETAMENTE. NÃO HÁ FOTOS DE TODAS AS ETAPAS",IF(AND(AE899="NC",AF899="NC"),"NÃO UTILIZOU O PDA",IF(AND(AE899="NA",AF899="NA"),"NÃO AVALIADO POR FALHA DE SINCRONISMO"))))</f>
        <v>0</v>
      </c>
      <c r="AH899" s="140"/>
      <c r="AI899" s="182" t="s">
        <v>36</v>
      </c>
      <c r="AJ899" s="93">
        <f t="shared" ref="AJ899:AJ959" si="44">E899</f>
        <v>0</v>
      </c>
      <c r="AK899" s="183" t="s">
        <v>54</v>
      </c>
    </row>
    <row r="900" spans="1:37" ht="30" customHeight="1">
      <c r="A900" s="90"/>
      <c r="B900" s="90"/>
      <c r="C900" s="90"/>
      <c r="D900" s="90"/>
      <c r="E900" s="90"/>
      <c r="F900" s="90"/>
      <c r="G900" s="90"/>
      <c r="H900" s="90"/>
      <c r="I900" s="90"/>
      <c r="J900" s="90"/>
      <c r="K900" s="90"/>
      <c r="L900" s="90"/>
      <c r="M900" s="90"/>
      <c r="N900" s="150"/>
      <c r="O900" s="140"/>
      <c r="P900" s="90"/>
      <c r="Q900" s="140"/>
      <c r="R900" s="90"/>
      <c r="S900" s="140"/>
      <c r="T900" s="90"/>
      <c r="U900" s="140"/>
      <c r="V900" s="90"/>
      <c r="W900" s="140"/>
      <c r="X900" s="90"/>
      <c r="Y900" s="140"/>
      <c r="Z900" s="90"/>
      <c r="AA900" s="140"/>
      <c r="AB900" s="90"/>
      <c r="AC900" s="140"/>
      <c r="AD900" s="90"/>
      <c r="AE900" s="140"/>
      <c r="AF900" s="178" t="str">
        <f t="shared" si="42"/>
        <v/>
      </c>
      <c r="AG900" s="52" t="b">
        <f t="shared" si="43"/>
        <v>0</v>
      </c>
      <c r="AH900" s="140"/>
      <c r="AI900" s="182" t="s">
        <v>36</v>
      </c>
      <c r="AJ900" s="93">
        <f t="shared" si="44"/>
        <v>0</v>
      </c>
      <c r="AK900" s="183" t="s">
        <v>54</v>
      </c>
    </row>
    <row r="901" spans="1:37" ht="30" customHeight="1">
      <c r="A901" s="90"/>
      <c r="B901" s="90"/>
      <c r="C901" s="90"/>
      <c r="D901" s="90"/>
      <c r="E901" s="90"/>
      <c r="F901" s="90"/>
      <c r="G901" s="90"/>
      <c r="H901" s="90"/>
      <c r="I901" s="90"/>
      <c r="J901" s="90"/>
      <c r="K901" s="90"/>
      <c r="L901" s="90"/>
      <c r="M901" s="90"/>
      <c r="N901" s="150"/>
      <c r="O901" s="140"/>
      <c r="P901" s="90"/>
      <c r="Q901" s="140"/>
      <c r="R901" s="90"/>
      <c r="S901" s="140"/>
      <c r="T901" s="90"/>
      <c r="U901" s="140"/>
      <c r="V901" s="90"/>
      <c r="W901" s="140"/>
      <c r="X901" s="90"/>
      <c r="Y901" s="140"/>
      <c r="Z901" s="90"/>
      <c r="AA901" s="140"/>
      <c r="AB901" s="90"/>
      <c r="AC901" s="140"/>
      <c r="AD901" s="90"/>
      <c r="AE901" s="140"/>
      <c r="AF901" s="178" t="str">
        <f t="shared" si="42"/>
        <v/>
      </c>
      <c r="AG901" s="52" t="b">
        <f t="shared" si="43"/>
        <v>0</v>
      </c>
      <c r="AH901" s="140"/>
      <c r="AI901" s="182" t="s">
        <v>36</v>
      </c>
      <c r="AJ901" s="93">
        <f t="shared" si="44"/>
        <v>0</v>
      </c>
      <c r="AK901" s="183" t="s">
        <v>54</v>
      </c>
    </row>
    <row r="902" spans="1:37" ht="30" customHeight="1">
      <c r="A902" s="90"/>
      <c r="B902" s="90"/>
      <c r="C902" s="90"/>
      <c r="D902" s="90"/>
      <c r="E902" s="90"/>
      <c r="F902" s="90"/>
      <c r="G902" s="90"/>
      <c r="H902" s="90"/>
      <c r="I902" s="90"/>
      <c r="J902" s="90"/>
      <c r="K902" s="90"/>
      <c r="L902" s="90"/>
      <c r="M902" s="90"/>
      <c r="N902" s="150"/>
      <c r="O902" s="140"/>
      <c r="P902" s="90"/>
      <c r="Q902" s="140"/>
      <c r="R902" s="90"/>
      <c r="S902" s="140"/>
      <c r="T902" s="90"/>
      <c r="U902" s="140"/>
      <c r="V902" s="90"/>
      <c r="W902" s="140"/>
      <c r="X902" s="90"/>
      <c r="Y902" s="140"/>
      <c r="Z902" s="90"/>
      <c r="AA902" s="140"/>
      <c r="AB902" s="90"/>
      <c r="AC902" s="140"/>
      <c r="AD902" s="90"/>
      <c r="AE902" s="140"/>
      <c r="AF902" s="178" t="str">
        <f t="shared" si="42"/>
        <v/>
      </c>
      <c r="AG902" s="52" t="b">
        <f t="shared" si="43"/>
        <v>0</v>
      </c>
      <c r="AH902" s="140"/>
      <c r="AI902" s="182" t="s">
        <v>36</v>
      </c>
      <c r="AJ902" s="93">
        <f t="shared" si="44"/>
        <v>0</v>
      </c>
      <c r="AK902" s="183" t="s">
        <v>54</v>
      </c>
    </row>
    <row r="903" spans="1:37" ht="30" customHeight="1">
      <c r="A903" s="90"/>
      <c r="B903" s="90"/>
      <c r="C903" s="90"/>
      <c r="D903" s="90"/>
      <c r="E903" s="90"/>
      <c r="F903" s="90"/>
      <c r="G903" s="90"/>
      <c r="H903" s="90"/>
      <c r="I903" s="90"/>
      <c r="J903" s="90"/>
      <c r="K903" s="90"/>
      <c r="L903" s="90"/>
      <c r="M903" s="90"/>
      <c r="N903" s="150"/>
      <c r="O903" s="140"/>
      <c r="P903" s="90"/>
      <c r="Q903" s="140"/>
      <c r="R903" s="90"/>
      <c r="S903" s="140"/>
      <c r="T903" s="90"/>
      <c r="U903" s="140"/>
      <c r="V903" s="90"/>
      <c r="W903" s="140"/>
      <c r="X903" s="90"/>
      <c r="Y903" s="140"/>
      <c r="Z903" s="90"/>
      <c r="AA903" s="140"/>
      <c r="AB903" s="90"/>
      <c r="AC903" s="140"/>
      <c r="AD903" s="90"/>
      <c r="AE903" s="140"/>
      <c r="AF903" s="178" t="str">
        <f t="shared" si="42"/>
        <v/>
      </c>
      <c r="AG903" s="52" t="b">
        <f t="shared" si="43"/>
        <v>0</v>
      </c>
      <c r="AH903" s="140"/>
      <c r="AI903" s="182" t="s">
        <v>36</v>
      </c>
      <c r="AJ903" s="93">
        <f t="shared" si="44"/>
        <v>0</v>
      </c>
      <c r="AK903" s="183" t="s">
        <v>54</v>
      </c>
    </row>
    <row r="904" spans="1:37" ht="30" customHeight="1">
      <c r="A904" s="90"/>
      <c r="B904" s="90"/>
      <c r="C904" s="90"/>
      <c r="D904" s="90"/>
      <c r="E904" s="90"/>
      <c r="F904" s="90"/>
      <c r="G904" s="90"/>
      <c r="H904" s="90"/>
      <c r="I904" s="90"/>
      <c r="J904" s="90"/>
      <c r="K904" s="90"/>
      <c r="L904" s="90"/>
      <c r="M904" s="90"/>
      <c r="N904" s="150"/>
      <c r="O904" s="140"/>
      <c r="P904" s="90"/>
      <c r="Q904" s="140"/>
      <c r="R904" s="90"/>
      <c r="S904" s="140"/>
      <c r="T904" s="90"/>
      <c r="U904" s="140"/>
      <c r="V904" s="90"/>
      <c r="W904" s="140"/>
      <c r="X904" s="90"/>
      <c r="Y904" s="140"/>
      <c r="Z904" s="90"/>
      <c r="AA904" s="140"/>
      <c r="AB904" s="90"/>
      <c r="AC904" s="140"/>
      <c r="AD904" s="90"/>
      <c r="AE904" s="140"/>
      <c r="AF904" s="178" t="str">
        <f t="shared" si="42"/>
        <v/>
      </c>
      <c r="AG904" s="52" t="b">
        <f t="shared" si="43"/>
        <v>0</v>
      </c>
      <c r="AH904" s="140"/>
      <c r="AI904" s="182" t="s">
        <v>36</v>
      </c>
      <c r="AJ904" s="93">
        <f t="shared" si="44"/>
        <v>0</v>
      </c>
      <c r="AK904" s="183" t="s">
        <v>54</v>
      </c>
    </row>
    <row r="905" spans="1:37" ht="30" customHeight="1">
      <c r="A905" s="90"/>
      <c r="B905" s="90"/>
      <c r="C905" s="90"/>
      <c r="D905" s="90"/>
      <c r="E905" s="90"/>
      <c r="F905" s="90"/>
      <c r="G905" s="90"/>
      <c r="H905" s="90"/>
      <c r="I905" s="90"/>
      <c r="J905" s="90"/>
      <c r="K905" s="90"/>
      <c r="L905" s="90"/>
      <c r="M905" s="90"/>
      <c r="N905" s="150"/>
      <c r="O905" s="140"/>
      <c r="P905" s="90"/>
      <c r="Q905" s="140"/>
      <c r="R905" s="90"/>
      <c r="S905" s="140"/>
      <c r="T905" s="90"/>
      <c r="U905" s="140"/>
      <c r="V905" s="90"/>
      <c r="W905" s="140"/>
      <c r="X905" s="90"/>
      <c r="Y905" s="140"/>
      <c r="Z905" s="90"/>
      <c r="AA905" s="140"/>
      <c r="AB905" s="90"/>
      <c r="AC905" s="140"/>
      <c r="AD905" s="90"/>
      <c r="AE905" s="140"/>
      <c r="AF905" s="178" t="str">
        <f t="shared" si="42"/>
        <v/>
      </c>
      <c r="AG905" s="52" t="b">
        <f t="shared" si="43"/>
        <v>0</v>
      </c>
      <c r="AH905" s="140"/>
      <c r="AI905" s="182" t="s">
        <v>36</v>
      </c>
      <c r="AJ905" s="93">
        <f t="shared" si="44"/>
        <v>0</v>
      </c>
      <c r="AK905" s="183" t="s">
        <v>54</v>
      </c>
    </row>
    <row r="906" spans="1:37" ht="30" customHeight="1">
      <c r="A906" s="90"/>
      <c r="B906" s="90"/>
      <c r="C906" s="90"/>
      <c r="D906" s="90"/>
      <c r="E906" s="90"/>
      <c r="F906" s="90"/>
      <c r="G906" s="90"/>
      <c r="H906" s="90"/>
      <c r="I906" s="90"/>
      <c r="J906" s="90"/>
      <c r="K906" s="90"/>
      <c r="L906" s="90"/>
      <c r="M906" s="90"/>
      <c r="N906" s="150"/>
      <c r="O906" s="140"/>
      <c r="P906" s="90"/>
      <c r="Q906" s="140"/>
      <c r="R906" s="90"/>
      <c r="S906" s="140"/>
      <c r="T906" s="90"/>
      <c r="U906" s="140"/>
      <c r="V906" s="90"/>
      <c r="W906" s="140"/>
      <c r="X906" s="90"/>
      <c r="Y906" s="140"/>
      <c r="Z906" s="90"/>
      <c r="AA906" s="140"/>
      <c r="AB906" s="90"/>
      <c r="AC906" s="140"/>
      <c r="AD906" s="90"/>
      <c r="AE906" s="140"/>
      <c r="AF906" s="178" t="str">
        <f t="shared" si="42"/>
        <v/>
      </c>
      <c r="AG906" s="52" t="b">
        <f t="shared" si="43"/>
        <v>0</v>
      </c>
      <c r="AH906" s="140"/>
      <c r="AI906" s="182" t="s">
        <v>36</v>
      </c>
      <c r="AJ906" s="93">
        <f t="shared" si="44"/>
        <v>0</v>
      </c>
      <c r="AK906" s="183" t="s">
        <v>54</v>
      </c>
    </row>
    <row r="907" spans="1:37" ht="30" customHeight="1">
      <c r="A907" s="90"/>
      <c r="B907" s="90"/>
      <c r="C907" s="90"/>
      <c r="D907" s="90"/>
      <c r="E907" s="90"/>
      <c r="F907" s="90"/>
      <c r="G907" s="90"/>
      <c r="H907" s="90"/>
      <c r="I907" s="90"/>
      <c r="J907" s="90"/>
      <c r="K907" s="90"/>
      <c r="L907" s="90"/>
      <c r="M907" s="90"/>
      <c r="N907" s="150"/>
      <c r="O907" s="140"/>
      <c r="P907" s="90"/>
      <c r="Q907" s="140"/>
      <c r="R907" s="90"/>
      <c r="S907" s="140"/>
      <c r="T907" s="90"/>
      <c r="U907" s="140"/>
      <c r="V907" s="90"/>
      <c r="W907" s="140"/>
      <c r="X907" s="90"/>
      <c r="Y907" s="140"/>
      <c r="Z907" s="90"/>
      <c r="AA907" s="140"/>
      <c r="AB907" s="90"/>
      <c r="AC907" s="140"/>
      <c r="AD907" s="90"/>
      <c r="AE907" s="140"/>
      <c r="AF907" s="178" t="str">
        <f t="shared" si="42"/>
        <v/>
      </c>
      <c r="AG907" s="52" t="b">
        <f t="shared" si="43"/>
        <v>0</v>
      </c>
      <c r="AH907" s="140"/>
      <c r="AI907" s="182" t="s">
        <v>36</v>
      </c>
      <c r="AJ907" s="93">
        <f t="shared" si="44"/>
        <v>0</v>
      </c>
      <c r="AK907" s="183" t="s">
        <v>54</v>
      </c>
    </row>
    <row r="908" spans="1:37" ht="30" customHeight="1">
      <c r="A908" s="90"/>
      <c r="B908" s="90"/>
      <c r="C908" s="90"/>
      <c r="D908" s="90"/>
      <c r="E908" s="90"/>
      <c r="F908" s="90"/>
      <c r="G908" s="90"/>
      <c r="H908" s="90"/>
      <c r="I908" s="90"/>
      <c r="J908" s="90"/>
      <c r="K908" s="90"/>
      <c r="L908" s="90"/>
      <c r="M908" s="90"/>
      <c r="N908" s="150"/>
      <c r="O908" s="140"/>
      <c r="P908" s="90"/>
      <c r="Q908" s="140"/>
      <c r="R908" s="90"/>
      <c r="S908" s="140"/>
      <c r="T908" s="90"/>
      <c r="U908" s="140"/>
      <c r="V908" s="90"/>
      <c r="W908" s="140"/>
      <c r="X908" s="90"/>
      <c r="Y908" s="140"/>
      <c r="Z908" s="90"/>
      <c r="AA908" s="140"/>
      <c r="AB908" s="90"/>
      <c r="AC908" s="140"/>
      <c r="AD908" s="90"/>
      <c r="AE908" s="140"/>
      <c r="AF908" s="178" t="str">
        <f t="shared" si="42"/>
        <v/>
      </c>
      <c r="AG908" s="52" t="b">
        <f t="shared" si="43"/>
        <v>0</v>
      </c>
      <c r="AH908" s="140"/>
      <c r="AI908" s="182" t="s">
        <v>36</v>
      </c>
      <c r="AJ908" s="93">
        <f t="shared" si="44"/>
        <v>0</v>
      </c>
      <c r="AK908" s="183" t="s">
        <v>54</v>
      </c>
    </row>
    <row r="909" spans="1:37" ht="30" customHeight="1">
      <c r="A909" s="90"/>
      <c r="B909" s="90"/>
      <c r="C909" s="90"/>
      <c r="D909" s="90"/>
      <c r="E909" s="90"/>
      <c r="F909" s="90"/>
      <c r="G909" s="90"/>
      <c r="H909" s="90"/>
      <c r="I909" s="90"/>
      <c r="J909" s="90"/>
      <c r="K909" s="90"/>
      <c r="L909" s="90"/>
      <c r="M909" s="90"/>
      <c r="N909" s="150"/>
      <c r="O909" s="140"/>
      <c r="P909" s="90"/>
      <c r="Q909" s="140"/>
      <c r="R909" s="90"/>
      <c r="S909" s="140"/>
      <c r="T909" s="90"/>
      <c r="U909" s="140"/>
      <c r="V909" s="90"/>
      <c r="W909" s="140"/>
      <c r="X909" s="90"/>
      <c r="Y909" s="140"/>
      <c r="Z909" s="90"/>
      <c r="AA909" s="140"/>
      <c r="AB909" s="90"/>
      <c r="AC909" s="140"/>
      <c r="AD909" s="90"/>
      <c r="AE909" s="140"/>
      <c r="AF909" s="178" t="str">
        <f t="shared" si="42"/>
        <v/>
      </c>
      <c r="AG909" s="52" t="b">
        <f t="shared" si="43"/>
        <v>0</v>
      </c>
      <c r="AH909" s="140"/>
      <c r="AI909" s="182" t="s">
        <v>36</v>
      </c>
      <c r="AJ909" s="93">
        <f t="shared" si="44"/>
        <v>0</v>
      </c>
      <c r="AK909" s="183" t="s">
        <v>54</v>
      </c>
    </row>
    <row r="910" spans="1:37" ht="30" customHeight="1">
      <c r="A910" s="90"/>
      <c r="B910" s="90"/>
      <c r="C910" s="90"/>
      <c r="D910" s="90"/>
      <c r="E910" s="90"/>
      <c r="F910" s="90"/>
      <c r="G910" s="90"/>
      <c r="H910" s="90"/>
      <c r="I910" s="90"/>
      <c r="J910" s="90"/>
      <c r="K910" s="90"/>
      <c r="L910" s="90"/>
      <c r="M910" s="90"/>
      <c r="N910" s="150"/>
      <c r="O910" s="140"/>
      <c r="P910" s="90"/>
      <c r="Q910" s="140"/>
      <c r="R910" s="90"/>
      <c r="S910" s="140"/>
      <c r="T910" s="90"/>
      <c r="U910" s="140"/>
      <c r="V910" s="90"/>
      <c r="W910" s="140"/>
      <c r="X910" s="90"/>
      <c r="Y910" s="140"/>
      <c r="Z910" s="90"/>
      <c r="AA910" s="140"/>
      <c r="AB910" s="90"/>
      <c r="AC910" s="140"/>
      <c r="AD910" s="90"/>
      <c r="AE910" s="140"/>
      <c r="AF910" s="178" t="str">
        <f t="shared" si="42"/>
        <v/>
      </c>
      <c r="AG910" s="52" t="b">
        <f t="shared" si="43"/>
        <v>0</v>
      </c>
      <c r="AH910" s="140"/>
      <c r="AI910" s="182" t="s">
        <v>36</v>
      </c>
      <c r="AJ910" s="93">
        <f t="shared" si="44"/>
        <v>0</v>
      </c>
      <c r="AK910" s="183" t="s">
        <v>54</v>
      </c>
    </row>
    <row r="911" spans="1:37" ht="30" customHeight="1">
      <c r="A911" s="90"/>
      <c r="B911" s="90"/>
      <c r="C911" s="90"/>
      <c r="D911" s="90"/>
      <c r="E911" s="90"/>
      <c r="F911" s="90"/>
      <c r="G911" s="90"/>
      <c r="H911" s="90"/>
      <c r="I911" s="90"/>
      <c r="J911" s="90"/>
      <c r="K911" s="90"/>
      <c r="L911" s="90"/>
      <c r="M911" s="90"/>
      <c r="N911" s="150"/>
      <c r="O911" s="140"/>
      <c r="P911" s="90"/>
      <c r="Q911" s="140"/>
      <c r="R911" s="90"/>
      <c r="S911" s="140"/>
      <c r="T911" s="90"/>
      <c r="U911" s="140"/>
      <c r="V911" s="90"/>
      <c r="W911" s="140"/>
      <c r="X911" s="90"/>
      <c r="Y911" s="140"/>
      <c r="Z911" s="90"/>
      <c r="AA911" s="140"/>
      <c r="AB911" s="90"/>
      <c r="AC911" s="140"/>
      <c r="AD911" s="90"/>
      <c r="AE911" s="140"/>
      <c r="AF911" s="178" t="str">
        <f t="shared" si="42"/>
        <v/>
      </c>
      <c r="AG911" s="52" t="b">
        <f t="shared" si="43"/>
        <v>0</v>
      </c>
      <c r="AH911" s="140"/>
      <c r="AI911" s="182" t="s">
        <v>36</v>
      </c>
      <c r="AJ911" s="93">
        <f t="shared" si="44"/>
        <v>0</v>
      </c>
      <c r="AK911" s="183" t="s">
        <v>54</v>
      </c>
    </row>
    <row r="912" spans="1:37" ht="30" customHeight="1">
      <c r="A912" s="90"/>
      <c r="B912" s="90"/>
      <c r="C912" s="90"/>
      <c r="D912" s="90"/>
      <c r="E912" s="90"/>
      <c r="F912" s="90"/>
      <c r="G912" s="90"/>
      <c r="H912" s="90"/>
      <c r="I912" s="90"/>
      <c r="J912" s="90"/>
      <c r="K912" s="90"/>
      <c r="L912" s="90"/>
      <c r="M912" s="90"/>
      <c r="N912" s="150"/>
      <c r="O912" s="140"/>
      <c r="P912" s="90"/>
      <c r="Q912" s="140"/>
      <c r="R912" s="90"/>
      <c r="S912" s="140"/>
      <c r="T912" s="90"/>
      <c r="U912" s="140"/>
      <c r="V912" s="90"/>
      <c r="W912" s="140"/>
      <c r="X912" s="90"/>
      <c r="Y912" s="140"/>
      <c r="Z912" s="90"/>
      <c r="AA912" s="140"/>
      <c r="AB912" s="90"/>
      <c r="AC912" s="140"/>
      <c r="AD912" s="90"/>
      <c r="AE912" s="140"/>
      <c r="AF912" s="178" t="str">
        <f t="shared" si="42"/>
        <v/>
      </c>
      <c r="AG912" s="52" t="b">
        <f t="shared" si="43"/>
        <v>0</v>
      </c>
      <c r="AH912" s="140"/>
      <c r="AI912" s="182" t="s">
        <v>36</v>
      </c>
      <c r="AJ912" s="93">
        <f t="shared" si="44"/>
        <v>0</v>
      </c>
      <c r="AK912" s="183" t="s">
        <v>54</v>
      </c>
    </row>
    <row r="913" spans="1:37" ht="30" customHeight="1">
      <c r="A913" s="90"/>
      <c r="B913" s="90"/>
      <c r="C913" s="90"/>
      <c r="D913" s="90"/>
      <c r="E913" s="90"/>
      <c r="F913" s="90"/>
      <c r="G913" s="90"/>
      <c r="H913" s="90"/>
      <c r="I913" s="90"/>
      <c r="J913" s="90"/>
      <c r="K913" s="90"/>
      <c r="L913" s="90"/>
      <c r="M913" s="90"/>
      <c r="N913" s="150"/>
      <c r="O913" s="140"/>
      <c r="P913" s="90"/>
      <c r="Q913" s="140"/>
      <c r="R913" s="90"/>
      <c r="S913" s="140"/>
      <c r="T913" s="90"/>
      <c r="U913" s="140"/>
      <c r="V913" s="90"/>
      <c r="W913" s="140"/>
      <c r="X913" s="90"/>
      <c r="Y913" s="140"/>
      <c r="Z913" s="90"/>
      <c r="AA913" s="140"/>
      <c r="AB913" s="90"/>
      <c r="AC913" s="140"/>
      <c r="AD913" s="90"/>
      <c r="AE913" s="140"/>
      <c r="AF913" s="178" t="str">
        <f t="shared" si="42"/>
        <v/>
      </c>
      <c r="AG913" s="52" t="b">
        <f t="shared" si="43"/>
        <v>0</v>
      </c>
      <c r="AH913" s="140"/>
      <c r="AI913" s="182" t="s">
        <v>36</v>
      </c>
      <c r="AJ913" s="93">
        <f t="shared" si="44"/>
        <v>0</v>
      </c>
      <c r="AK913" s="183" t="s">
        <v>54</v>
      </c>
    </row>
    <row r="914" spans="1:37" ht="30" customHeight="1">
      <c r="A914" s="90"/>
      <c r="B914" s="90"/>
      <c r="C914" s="90"/>
      <c r="D914" s="90"/>
      <c r="E914" s="90"/>
      <c r="F914" s="90"/>
      <c r="G914" s="90"/>
      <c r="H914" s="90"/>
      <c r="I914" s="90"/>
      <c r="J914" s="90"/>
      <c r="K914" s="90"/>
      <c r="L914" s="90"/>
      <c r="M914" s="90"/>
      <c r="N914" s="150"/>
      <c r="O914" s="140"/>
      <c r="P914" s="90"/>
      <c r="Q914" s="140"/>
      <c r="R914" s="90"/>
      <c r="S914" s="140"/>
      <c r="T914" s="90"/>
      <c r="U914" s="140"/>
      <c r="V914" s="90"/>
      <c r="W914" s="140"/>
      <c r="X914" s="90"/>
      <c r="Y914" s="140"/>
      <c r="Z914" s="90"/>
      <c r="AA914" s="140"/>
      <c r="AB914" s="90"/>
      <c r="AC914" s="140"/>
      <c r="AD914" s="90"/>
      <c r="AE914" s="140"/>
      <c r="AF914" s="178" t="str">
        <f t="shared" si="42"/>
        <v/>
      </c>
      <c r="AG914" s="52" t="b">
        <f t="shared" si="43"/>
        <v>0</v>
      </c>
      <c r="AH914" s="140"/>
      <c r="AI914" s="182" t="s">
        <v>36</v>
      </c>
      <c r="AJ914" s="93">
        <f t="shared" si="44"/>
        <v>0</v>
      </c>
      <c r="AK914" s="183" t="s">
        <v>54</v>
      </c>
    </row>
    <row r="915" spans="1:37" ht="30" customHeight="1">
      <c r="A915" s="90"/>
      <c r="B915" s="90"/>
      <c r="C915" s="90"/>
      <c r="D915" s="90"/>
      <c r="E915" s="90"/>
      <c r="F915" s="90"/>
      <c r="G915" s="90"/>
      <c r="H915" s="90"/>
      <c r="I915" s="90"/>
      <c r="J915" s="90"/>
      <c r="K915" s="90"/>
      <c r="L915" s="90"/>
      <c r="M915" s="90"/>
      <c r="N915" s="150"/>
      <c r="O915" s="140"/>
      <c r="P915" s="90"/>
      <c r="Q915" s="140"/>
      <c r="R915" s="90"/>
      <c r="S915" s="140"/>
      <c r="T915" s="90"/>
      <c r="U915" s="140"/>
      <c r="V915" s="90"/>
      <c r="W915" s="140"/>
      <c r="X915" s="90"/>
      <c r="Y915" s="140"/>
      <c r="Z915" s="90"/>
      <c r="AA915" s="140"/>
      <c r="AB915" s="90"/>
      <c r="AC915" s="140"/>
      <c r="AD915" s="90"/>
      <c r="AE915" s="140"/>
      <c r="AF915" s="178" t="str">
        <f t="shared" si="42"/>
        <v/>
      </c>
      <c r="AG915" s="52" t="b">
        <f t="shared" si="43"/>
        <v>0</v>
      </c>
      <c r="AH915" s="140"/>
      <c r="AI915" s="182" t="s">
        <v>36</v>
      </c>
      <c r="AJ915" s="93">
        <f t="shared" si="44"/>
        <v>0</v>
      </c>
      <c r="AK915" s="183" t="s">
        <v>54</v>
      </c>
    </row>
    <row r="916" spans="1:37" ht="30" customHeight="1">
      <c r="A916" s="90"/>
      <c r="B916" s="90"/>
      <c r="C916" s="90"/>
      <c r="D916" s="90"/>
      <c r="E916" s="90"/>
      <c r="F916" s="90"/>
      <c r="G916" s="90"/>
      <c r="H916" s="90"/>
      <c r="I916" s="90"/>
      <c r="J916" s="90"/>
      <c r="K916" s="90"/>
      <c r="L916" s="90"/>
      <c r="M916" s="90"/>
      <c r="N916" s="150"/>
      <c r="O916" s="140"/>
      <c r="P916" s="90"/>
      <c r="Q916" s="140"/>
      <c r="R916" s="90"/>
      <c r="S916" s="140"/>
      <c r="T916" s="90"/>
      <c r="U916" s="140"/>
      <c r="V916" s="90"/>
      <c r="W916" s="140"/>
      <c r="X916" s="90"/>
      <c r="Y916" s="140"/>
      <c r="Z916" s="90"/>
      <c r="AA916" s="140"/>
      <c r="AB916" s="90"/>
      <c r="AC916" s="140"/>
      <c r="AD916" s="90"/>
      <c r="AE916" s="140"/>
      <c r="AF916" s="178" t="str">
        <f t="shared" si="42"/>
        <v/>
      </c>
      <c r="AG916" s="52" t="b">
        <f t="shared" si="43"/>
        <v>0</v>
      </c>
      <c r="AH916" s="140"/>
      <c r="AI916" s="182" t="s">
        <v>36</v>
      </c>
      <c r="AJ916" s="93">
        <f t="shared" si="44"/>
        <v>0</v>
      </c>
      <c r="AK916" s="183" t="s">
        <v>54</v>
      </c>
    </row>
    <row r="917" spans="1:37" ht="30" customHeight="1">
      <c r="A917" s="90"/>
      <c r="B917" s="90"/>
      <c r="C917" s="90"/>
      <c r="D917" s="90"/>
      <c r="E917" s="90"/>
      <c r="F917" s="90"/>
      <c r="G917" s="90"/>
      <c r="H917" s="90"/>
      <c r="I917" s="90"/>
      <c r="J917" s="90"/>
      <c r="K917" s="90"/>
      <c r="L917" s="90"/>
      <c r="M917" s="90"/>
      <c r="N917" s="150"/>
      <c r="O917" s="140"/>
      <c r="P917" s="90"/>
      <c r="Q917" s="140"/>
      <c r="R917" s="90"/>
      <c r="S917" s="140"/>
      <c r="T917" s="90"/>
      <c r="U917" s="140"/>
      <c r="V917" s="90"/>
      <c r="W917" s="140"/>
      <c r="X917" s="90"/>
      <c r="Y917" s="140"/>
      <c r="Z917" s="90"/>
      <c r="AA917" s="140"/>
      <c r="AB917" s="90"/>
      <c r="AC917" s="140"/>
      <c r="AD917" s="90"/>
      <c r="AE917" s="140"/>
      <c r="AF917" s="178" t="str">
        <f t="shared" si="42"/>
        <v/>
      </c>
      <c r="AG917" s="52" t="b">
        <f t="shared" si="43"/>
        <v>0</v>
      </c>
      <c r="AH917" s="140"/>
      <c r="AI917" s="182" t="s">
        <v>36</v>
      </c>
      <c r="AJ917" s="93">
        <f t="shared" si="44"/>
        <v>0</v>
      </c>
      <c r="AK917" s="183" t="s">
        <v>54</v>
      </c>
    </row>
    <row r="918" spans="1:37" ht="30" customHeight="1">
      <c r="A918" s="90"/>
      <c r="B918" s="90"/>
      <c r="C918" s="90"/>
      <c r="D918" s="90"/>
      <c r="E918" s="90"/>
      <c r="F918" s="90"/>
      <c r="G918" s="90"/>
      <c r="H918" s="90"/>
      <c r="I918" s="90"/>
      <c r="J918" s="90"/>
      <c r="K918" s="90"/>
      <c r="L918" s="90"/>
      <c r="M918" s="90"/>
      <c r="N918" s="150"/>
      <c r="O918" s="140"/>
      <c r="P918" s="90"/>
      <c r="Q918" s="140"/>
      <c r="R918" s="90"/>
      <c r="S918" s="140"/>
      <c r="T918" s="90"/>
      <c r="U918" s="140"/>
      <c r="V918" s="90"/>
      <c r="W918" s="140"/>
      <c r="X918" s="90"/>
      <c r="Y918" s="140"/>
      <c r="Z918" s="90"/>
      <c r="AA918" s="140"/>
      <c r="AB918" s="90"/>
      <c r="AC918" s="140"/>
      <c r="AD918" s="90"/>
      <c r="AE918" s="140"/>
      <c r="AF918" s="178" t="str">
        <f t="shared" si="42"/>
        <v/>
      </c>
      <c r="AG918" s="52" t="b">
        <f t="shared" si="43"/>
        <v>0</v>
      </c>
      <c r="AH918" s="140"/>
      <c r="AI918" s="182" t="s">
        <v>36</v>
      </c>
      <c r="AJ918" s="93">
        <f t="shared" si="44"/>
        <v>0</v>
      </c>
      <c r="AK918" s="183" t="s">
        <v>54</v>
      </c>
    </row>
    <row r="919" spans="1:37" ht="30" customHeight="1">
      <c r="A919" s="90"/>
      <c r="B919" s="90"/>
      <c r="C919" s="90"/>
      <c r="D919" s="90"/>
      <c r="E919" s="90"/>
      <c r="F919" s="90"/>
      <c r="G919" s="90"/>
      <c r="H919" s="90"/>
      <c r="I919" s="90"/>
      <c r="J919" s="90"/>
      <c r="K919" s="90"/>
      <c r="L919" s="90"/>
      <c r="M919" s="90"/>
      <c r="N919" s="150"/>
      <c r="O919" s="140"/>
      <c r="P919" s="90"/>
      <c r="Q919" s="140"/>
      <c r="R919" s="90"/>
      <c r="S919" s="140"/>
      <c r="T919" s="90"/>
      <c r="U919" s="140"/>
      <c r="V919" s="90"/>
      <c r="W919" s="140"/>
      <c r="X919" s="90"/>
      <c r="Y919" s="140"/>
      <c r="Z919" s="90"/>
      <c r="AA919" s="140"/>
      <c r="AB919" s="90"/>
      <c r="AC919" s="140"/>
      <c r="AD919" s="90"/>
      <c r="AE919" s="140"/>
      <c r="AF919" s="178" t="str">
        <f t="shared" si="42"/>
        <v/>
      </c>
      <c r="AG919" s="52" t="b">
        <f t="shared" si="43"/>
        <v>0</v>
      </c>
      <c r="AH919" s="140"/>
      <c r="AI919" s="182" t="s">
        <v>36</v>
      </c>
      <c r="AJ919" s="93">
        <f t="shared" si="44"/>
        <v>0</v>
      </c>
      <c r="AK919" s="183" t="s">
        <v>54</v>
      </c>
    </row>
    <row r="920" spans="1:37" ht="30" customHeight="1">
      <c r="A920" s="90"/>
      <c r="B920" s="90"/>
      <c r="C920" s="90"/>
      <c r="D920" s="90"/>
      <c r="E920" s="90"/>
      <c r="F920" s="90"/>
      <c r="G920" s="90"/>
      <c r="H920" s="90"/>
      <c r="I920" s="90"/>
      <c r="J920" s="90"/>
      <c r="K920" s="90"/>
      <c r="L920" s="90"/>
      <c r="M920" s="90"/>
      <c r="N920" s="150"/>
      <c r="O920" s="140"/>
      <c r="P920" s="90"/>
      <c r="Q920" s="140"/>
      <c r="R920" s="90"/>
      <c r="S920" s="140"/>
      <c r="T920" s="90"/>
      <c r="U920" s="140"/>
      <c r="V920" s="90"/>
      <c r="W920" s="140"/>
      <c r="X920" s="90"/>
      <c r="Y920" s="140"/>
      <c r="Z920" s="90"/>
      <c r="AA920" s="140"/>
      <c r="AB920" s="90"/>
      <c r="AC920" s="140"/>
      <c r="AD920" s="90"/>
      <c r="AE920" s="140"/>
      <c r="AF920" s="178" t="str">
        <f t="shared" si="42"/>
        <v/>
      </c>
      <c r="AG920" s="52" t="b">
        <f t="shared" si="43"/>
        <v>0</v>
      </c>
      <c r="AH920" s="140"/>
      <c r="AI920" s="182" t="s">
        <v>36</v>
      </c>
      <c r="AJ920" s="93">
        <f t="shared" si="44"/>
        <v>0</v>
      </c>
      <c r="AK920" s="183" t="s">
        <v>54</v>
      </c>
    </row>
    <row r="921" spans="1:37" ht="30" customHeight="1">
      <c r="A921" s="90"/>
      <c r="B921" s="90"/>
      <c r="C921" s="90"/>
      <c r="D921" s="90"/>
      <c r="E921" s="90"/>
      <c r="F921" s="90"/>
      <c r="G921" s="90"/>
      <c r="H921" s="90"/>
      <c r="I921" s="90"/>
      <c r="J921" s="90"/>
      <c r="K921" s="90"/>
      <c r="L921" s="90"/>
      <c r="M921" s="90"/>
      <c r="N921" s="150"/>
      <c r="O921" s="140"/>
      <c r="P921" s="90"/>
      <c r="Q921" s="140"/>
      <c r="R921" s="90"/>
      <c r="S921" s="140"/>
      <c r="T921" s="90"/>
      <c r="U921" s="140"/>
      <c r="V921" s="90"/>
      <c r="W921" s="140"/>
      <c r="X921" s="90"/>
      <c r="Y921" s="140"/>
      <c r="Z921" s="90"/>
      <c r="AA921" s="140"/>
      <c r="AB921" s="90"/>
      <c r="AC921" s="140"/>
      <c r="AD921" s="90"/>
      <c r="AE921" s="140"/>
      <c r="AF921" s="178" t="str">
        <f t="shared" si="42"/>
        <v/>
      </c>
      <c r="AG921" s="52" t="b">
        <f t="shared" si="43"/>
        <v>0</v>
      </c>
      <c r="AH921" s="140"/>
      <c r="AI921" s="182" t="s">
        <v>36</v>
      </c>
      <c r="AJ921" s="93">
        <f t="shared" si="44"/>
        <v>0</v>
      </c>
      <c r="AK921" s="183" t="s">
        <v>54</v>
      </c>
    </row>
    <row r="922" spans="1:37" ht="30" customHeight="1">
      <c r="A922" s="90"/>
      <c r="B922" s="90"/>
      <c r="C922" s="90"/>
      <c r="D922" s="90"/>
      <c r="E922" s="90"/>
      <c r="F922" s="90"/>
      <c r="G922" s="90"/>
      <c r="H922" s="90"/>
      <c r="I922" s="90"/>
      <c r="J922" s="90"/>
      <c r="K922" s="90"/>
      <c r="L922" s="90"/>
      <c r="M922" s="90"/>
      <c r="N922" s="150"/>
      <c r="O922" s="140"/>
      <c r="P922" s="90"/>
      <c r="Q922" s="140"/>
      <c r="R922" s="90"/>
      <c r="S922" s="140"/>
      <c r="T922" s="90"/>
      <c r="U922" s="140"/>
      <c r="V922" s="90"/>
      <c r="W922" s="140"/>
      <c r="X922" s="90"/>
      <c r="Y922" s="140"/>
      <c r="Z922" s="90"/>
      <c r="AA922" s="140"/>
      <c r="AB922" s="90"/>
      <c r="AC922" s="140"/>
      <c r="AD922" s="90"/>
      <c r="AE922" s="140"/>
      <c r="AF922" s="178" t="str">
        <f t="shared" si="42"/>
        <v/>
      </c>
      <c r="AG922" s="52" t="b">
        <f t="shared" si="43"/>
        <v>0</v>
      </c>
      <c r="AH922" s="140"/>
      <c r="AI922" s="182" t="s">
        <v>36</v>
      </c>
      <c r="AJ922" s="93">
        <f t="shared" si="44"/>
        <v>0</v>
      </c>
      <c r="AK922" s="183" t="s">
        <v>54</v>
      </c>
    </row>
    <row r="923" spans="1:37" ht="30" customHeight="1">
      <c r="A923" s="90"/>
      <c r="B923" s="90"/>
      <c r="C923" s="90"/>
      <c r="D923" s="90"/>
      <c r="E923" s="90"/>
      <c r="F923" s="90"/>
      <c r="G923" s="90"/>
      <c r="H923" s="90"/>
      <c r="I923" s="90"/>
      <c r="J923" s="90"/>
      <c r="K923" s="90"/>
      <c r="L923" s="90"/>
      <c r="M923" s="90"/>
      <c r="N923" s="150"/>
      <c r="O923" s="140"/>
      <c r="P923" s="90"/>
      <c r="Q923" s="140"/>
      <c r="R923" s="90"/>
      <c r="S923" s="140"/>
      <c r="T923" s="90"/>
      <c r="U923" s="140"/>
      <c r="V923" s="90"/>
      <c r="W923" s="140"/>
      <c r="X923" s="90"/>
      <c r="Y923" s="140"/>
      <c r="Z923" s="90"/>
      <c r="AA923" s="140"/>
      <c r="AB923" s="90"/>
      <c r="AC923" s="140"/>
      <c r="AD923" s="90"/>
      <c r="AE923" s="140"/>
      <c r="AF923" s="178" t="str">
        <f t="shared" si="42"/>
        <v/>
      </c>
      <c r="AG923" s="52" t="b">
        <f t="shared" si="43"/>
        <v>0</v>
      </c>
      <c r="AH923" s="140"/>
      <c r="AI923" s="182" t="s">
        <v>36</v>
      </c>
      <c r="AJ923" s="93">
        <f t="shared" si="44"/>
        <v>0</v>
      </c>
      <c r="AK923" s="183" t="s">
        <v>54</v>
      </c>
    </row>
    <row r="924" spans="1:37" ht="30" customHeight="1">
      <c r="A924" s="90"/>
      <c r="B924" s="90"/>
      <c r="C924" s="90"/>
      <c r="D924" s="90"/>
      <c r="E924" s="90"/>
      <c r="F924" s="90"/>
      <c r="G924" s="90"/>
      <c r="H924" s="90"/>
      <c r="I924" s="90"/>
      <c r="J924" s="90"/>
      <c r="K924" s="90"/>
      <c r="L924" s="90"/>
      <c r="M924" s="90"/>
      <c r="N924" s="150"/>
      <c r="O924" s="140"/>
      <c r="P924" s="90"/>
      <c r="Q924" s="140"/>
      <c r="R924" s="90"/>
      <c r="S924" s="140"/>
      <c r="T924" s="90"/>
      <c r="U924" s="140"/>
      <c r="V924" s="90"/>
      <c r="W924" s="140"/>
      <c r="X924" s="90"/>
      <c r="Y924" s="140"/>
      <c r="Z924" s="90"/>
      <c r="AA924" s="140"/>
      <c r="AB924" s="90"/>
      <c r="AC924" s="140"/>
      <c r="AD924" s="90"/>
      <c r="AE924" s="140"/>
      <c r="AF924" s="178" t="str">
        <f t="shared" si="42"/>
        <v/>
      </c>
      <c r="AG924" s="52" t="b">
        <f t="shared" si="43"/>
        <v>0</v>
      </c>
      <c r="AH924" s="140"/>
      <c r="AI924" s="182" t="s">
        <v>36</v>
      </c>
      <c r="AJ924" s="93">
        <f t="shared" si="44"/>
        <v>0</v>
      </c>
      <c r="AK924" s="183" t="s">
        <v>54</v>
      </c>
    </row>
    <row r="925" spans="1:37" ht="30" customHeight="1">
      <c r="A925" s="90"/>
      <c r="B925" s="90"/>
      <c r="C925" s="90"/>
      <c r="D925" s="90"/>
      <c r="E925" s="90"/>
      <c r="F925" s="90"/>
      <c r="G925" s="90"/>
      <c r="H925" s="90"/>
      <c r="I925" s="90"/>
      <c r="J925" s="90"/>
      <c r="K925" s="90"/>
      <c r="L925" s="90"/>
      <c r="M925" s="90"/>
      <c r="N925" s="150"/>
      <c r="O925" s="140"/>
      <c r="P925" s="90"/>
      <c r="Q925" s="140"/>
      <c r="R925" s="90"/>
      <c r="S925" s="140"/>
      <c r="T925" s="90"/>
      <c r="U925" s="140"/>
      <c r="V925" s="90"/>
      <c r="W925" s="140"/>
      <c r="X925" s="90"/>
      <c r="Y925" s="140"/>
      <c r="Z925" s="90"/>
      <c r="AA925" s="140"/>
      <c r="AB925" s="90"/>
      <c r="AC925" s="140"/>
      <c r="AD925" s="90"/>
      <c r="AE925" s="140"/>
      <c r="AF925" s="178" t="str">
        <f t="shared" si="42"/>
        <v/>
      </c>
      <c r="AG925" s="52" t="b">
        <f t="shared" si="43"/>
        <v>0</v>
      </c>
      <c r="AH925" s="140"/>
      <c r="AI925" s="182" t="s">
        <v>36</v>
      </c>
      <c r="AJ925" s="93">
        <f t="shared" si="44"/>
        <v>0</v>
      </c>
      <c r="AK925" s="183" t="s">
        <v>54</v>
      </c>
    </row>
    <row r="926" spans="1:37" ht="30" customHeight="1">
      <c r="A926" s="90"/>
      <c r="B926" s="90"/>
      <c r="C926" s="90"/>
      <c r="D926" s="90"/>
      <c r="E926" s="90"/>
      <c r="F926" s="90"/>
      <c r="G926" s="90"/>
      <c r="H926" s="90"/>
      <c r="I926" s="90"/>
      <c r="J926" s="90"/>
      <c r="K926" s="90"/>
      <c r="L926" s="90"/>
      <c r="M926" s="90"/>
      <c r="N926" s="150"/>
      <c r="O926" s="140"/>
      <c r="P926" s="90"/>
      <c r="Q926" s="140"/>
      <c r="R926" s="90"/>
      <c r="S926" s="140"/>
      <c r="T926" s="90"/>
      <c r="U926" s="140"/>
      <c r="V926" s="90"/>
      <c r="W926" s="140"/>
      <c r="X926" s="90"/>
      <c r="Y926" s="140"/>
      <c r="Z926" s="90"/>
      <c r="AA926" s="140"/>
      <c r="AB926" s="90"/>
      <c r="AC926" s="140"/>
      <c r="AD926" s="90"/>
      <c r="AE926" s="140"/>
      <c r="AF926" s="178" t="str">
        <f t="shared" si="42"/>
        <v/>
      </c>
      <c r="AG926" s="52" t="b">
        <f t="shared" si="43"/>
        <v>0</v>
      </c>
      <c r="AH926" s="140"/>
      <c r="AI926" s="182" t="s">
        <v>36</v>
      </c>
      <c r="AJ926" s="93">
        <f t="shared" si="44"/>
        <v>0</v>
      </c>
      <c r="AK926" s="183" t="s">
        <v>54</v>
      </c>
    </row>
    <row r="927" spans="1:37" ht="30" customHeight="1">
      <c r="A927" s="90"/>
      <c r="B927" s="90"/>
      <c r="C927" s="90"/>
      <c r="D927" s="90"/>
      <c r="E927" s="90"/>
      <c r="F927" s="90"/>
      <c r="G927" s="90"/>
      <c r="H927" s="90"/>
      <c r="I927" s="90"/>
      <c r="J927" s="90"/>
      <c r="K927" s="90"/>
      <c r="L927" s="90"/>
      <c r="M927" s="90"/>
      <c r="N927" s="150"/>
      <c r="O927" s="140"/>
      <c r="P927" s="90"/>
      <c r="Q927" s="140"/>
      <c r="R927" s="90"/>
      <c r="S927" s="140"/>
      <c r="T927" s="90"/>
      <c r="U927" s="140"/>
      <c r="V927" s="90"/>
      <c r="W927" s="140"/>
      <c r="X927" s="90"/>
      <c r="Y927" s="140"/>
      <c r="Z927" s="90"/>
      <c r="AA927" s="140"/>
      <c r="AB927" s="90"/>
      <c r="AC927" s="140"/>
      <c r="AD927" s="90"/>
      <c r="AE927" s="140"/>
      <c r="AF927" s="178" t="str">
        <f t="shared" si="42"/>
        <v/>
      </c>
      <c r="AG927" s="52" t="b">
        <f t="shared" si="43"/>
        <v>0</v>
      </c>
      <c r="AH927" s="140"/>
      <c r="AI927" s="182" t="s">
        <v>36</v>
      </c>
      <c r="AJ927" s="93">
        <f t="shared" si="44"/>
        <v>0</v>
      </c>
      <c r="AK927" s="183" t="s">
        <v>54</v>
      </c>
    </row>
    <row r="928" spans="1:37" ht="30" customHeight="1">
      <c r="A928" s="90"/>
      <c r="B928" s="90"/>
      <c r="C928" s="90"/>
      <c r="D928" s="90"/>
      <c r="E928" s="90"/>
      <c r="F928" s="90"/>
      <c r="G928" s="90"/>
      <c r="H928" s="90"/>
      <c r="I928" s="90"/>
      <c r="J928" s="90"/>
      <c r="K928" s="90"/>
      <c r="L928" s="90"/>
      <c r="M928" s="90"/>
      <c r="N928" s="150"/>
      <c r="O928" s="140"/>
      <c r="P928" s="90"/>
      <c r="Q928" s="140"/>
      <c r="R928" s="90"/>
      <c r="S928" s="140"/>
      <c r="T928" s="90"/>
      <c r="U928" s="140"/>
      <c r="V928" s="90"/>
      <c r="W928" s="140"/>
      <c r="X928" s="90"/>
      <c r="Y928" s="140"/>
      <c r="Z928" s="90"/>
      <c r="AA928" s="140"/>
      <c r="AB928" s="90"/>
      <c r="AC928" s="140"/>
      <c r="AD928" s="90"/>
      <c r="AE928" s="140"/>
      <c r="AF928" s="178" t="str">
        <f t="shared" si="42"/>
        <v/>
      </c>
      <c r="AG928" s="52" t="b">
        <f t="shared" si="43"/>
        <v>0</v>
      </c>
      <c r="AH928" s="140"/>
      <c r="AI928" s="182" t="s">
        <v>36</v>
      </c>
      <c r="AJ928" s="93">
        <f t="shared" si="44"/>
        <v>0</v>
      </c>
      <c r="AK928" s="183" t="s">
        <v>54</v>
      </c>
    </row>
    <row r="929" spans="1:37" ht="30" customHeight="1">
      <c r="A929" s="90"/>
      <c r="B929" s="90"/>
      <c r="C929" s="90"/>
      <c r="D929" s="90"/>
      <c r="E929" s="90"/>
      <c r="F929" s="90"/>
      <c r="G929" s="90"/>
      <c r="H929" s="90"/>
      <c r="I929" s="90"/>
      <c r="J929" s="90"/>
      <c r="K929" s="90"/>
      <c r="L929" s="90"/>
      <c r="M929" s="90"/>
      <c r="N929" s="150"/>
      <c r="O929" s="140"/>
      <c r="P929" s="90"/>
      <c r="Q929" s="140"/>
      <c r="R929" s="90"/>
      <c r="S929" s="140"/>
      <c r="T929" s="90"/>
      <c r="U929" s="140"/>
      <c r="V929" s="90"/>
      <c r="W929" s="140"/>
      <c r="X929" s="90"/>
      <c r="Y929" s="140"/>
      <c r="Z929" s="90"/>
      <c r="AA929" s="140"/>
      <c r="AB929" s="90"/>
      <c r="AC929" s="140"/>
      <c r="AD929" s="90"/>
      <c r="AE929" s="140"/>
      <c r="AF929" s="178" t="str">
        <f t="shared" si="42"/>
        <v/>
      </c>
      <c r="AG929" s="52" t="b">
        <f t="shared" si="43"/>
        <v>0</v>
      </c>
      <c r="AH929" s="140"/>
      <c r="AI929" s="182" t="s">
        <v>36</v>
      </c>
      <c r="AJ929" s="93">
        <f t="shared" si="44"/>
        <v>0</v>
      </c>
      <c r="AK929" s="183" t="s">
        <v>54</v>
      </c>
    </row>
    <row r="930" spans="1:37" ht="30" customHeight="1">
      <c r="A930" s="90"/>
      <c r="B930" s="90"/>
      <c r="C930" s="90"/>
      <c r="D930" s="90"/>
      <c r="E930" s="90"/>
      <c r="F930" s="90"/>
      <c r="G930" s="90"/>
      <c r="H930" s="90"/>
      <c r="I930" s="90"/>
      <c r="J930" s="90"/>
      <c r="K930" s="90"/>
      <c r="L930" s="90"/>
      <c r="M930" s="90"/>
      <c r="N930" s="150"/>
      <c r="O930" s="140"/>
      <c r="P930" s="90"/>
      <c r="Q930" s="140"/>
      <c r="R930" s="90"/>
      <c r="S930" s="140"/>
      <c r="T930" s="90"/>
      <c r="U930" s="140"/>
      <c r="V930" s="90"/>
      <c r="W930" s="140"/>
      <c r="X930" s="90"/>
      <c r="Y930" s="140"/>
      <c r="Z930" s="90"/>
      <c r="AA930" s="140"/>
      <c r="AB930" s="90"/>
      <c r="AC930" s="140"/>
      <c r="AD930" s="90"/>
      <c r="AE930" s="140"/>
      <c r="AF930" s="178" t="str">
        <f t="shared" si="42"/>
        <v/>
      </c>
      <c r="AG930" s="52" t="b">
        <f t="shared" si="43"/>
        <v>0</v>
      </c>
      <c r="AH930" s="140"/>
      <c r="AI930" s="182" t="s">
        <v>36</v>
      </c>
      <c r="AJ930" s="93">
        <f t="shared" si="44"/>
        <v>0</v>
      </c>
      <c r="AK930" s="183" t="s">
        <v>54</v>
      </c>
    </row>
    <row r="931" spans="1:37" ht="30" customHeight="1">
      <c r="A931" s="90"/>
      <c r="B931" s="90"/>
      <c r="C931" s="90"/>
      <c r="D931" s="90"/>
      <c r="E931" s="90"/>
      <c r="F931" s="90"/>
      <c r="G931" s="90"/>
      <c r="H931" s="90"/>
      <c r="I931" s="90"/>
      <c r="J931" s="90"/>
      <c r="K931" s="90"/>
      <c r="L931" s="90"/>
      <c r="M931" s="90"/>
      <c r="N931" s="150"/>
      <c r="O931" s="140"/>
      <c r="P931" s="90"/>
      <c r="Q931" s="140"/>
      <c r="R931" s="90"/>
      <c r="S931" s="140"/>
      <c r="T931" s="90"/>
      <c r="U931" s="140"/>
      <c r="V931" s="90"/>
      <c r="W931" s="140"/>
      <c r="X931" s="90"/>
      <c r="Y931" s="140"/>
      <c r="Z931" s="90"/>
      <c r="AA931" s="140"/>
      <c r="AB931" s="90"/>
      <c r="AC931" s="140"/>
      <c r="AD931" s="90"/>
      <c r="AE931" s="140"/>
      <c r="AF931" s="178" t="str">
        <f t="shared" si="42"/>
        <v/>
      </c>
      <c r="AG931" s="52" t="b">
        <f t="shared" si="43"/>
        <v>0</v>
      </c>
      <c r="AH931" s="140"/>
      <c r="AI931" s="182" t="s">
        <v>36</v>
      </c>
      <c r="AJ931" s="93">
        <f t="shared" si="44"/>
        <v>0</v>
      </c>
      <c r="AK931" s="183" t="s">
        <v>54</v>
      </c>
    </row>
    <row r="932" spans="1:37" ht="30" customHeight="1">
      <c r="A932" s="90"/>
      <c r="B932" s="90"/>
      <c r="C932" s="90"/>
      <c r="D932" s="90"/>
      <c r="E932" s="90"/>
      <c r="F932" s="90"/>
      <c r="G932" s="90"/>
      <c r="H932" s="90"/>
      <c r="I932" s="90"/>
      <c r="J932" s="90"/>
      <c r="K932" s="90"/>
      <c r="L932" s="90"/>
      <c r="M932" s="90"/>
      <c r="N932" s="150"/>
      <c r="O932" s="140"/>
      <c r="P932" s="90"/>
      <c r="Q932" s="140"/>
      <c r="R932" s="90"/>
      <c r="S932" s="140"/>
      <c r="T932" s="90"/>
      <c r="U932" s="140"/>
      <c r="V932" s="90"/>
      <c r="W932" s="140"/>
      <c r="X932" s="90"/>
      <c r="Y932" s="140"/>
      <c r="Z932" s="90"/>
      <c r="AA932" s="140"/>
      <c r="AB932" s="90"/>
      <c r="AC932" s="140"/>
      <c r="AD932" s="90"/>
      <c r="AE932" s="140"/>
      <c r="AF932" s="178" t="str">
        <f t="shared" si="42"/>
        <v/>
      </c>
      <c r="AG932" s="52" t="b">
        <f t="shared" si="43"/>
        <v>0</v>
      </c>
      <c r="AH932" s="140"/>
      <c r="AI932" s="182" t="s">
        <v>36</v>
      </c>
      <c r="AJ932" s="93">
        <f t="shared" si="44"/>
        <v>0</v>
      </c>
      <c r="AK932" s="183" t="s">
        <v>54</v>
      </c>
    </row>
    <row r="933" spans="1:37" ht="30" customHeight="1">
      <c r="A933" s="90"/>
      <c r="B933" s="90"/>
      <c r="C933" s="90"/>
      <c r="D933" s="90"/>
      <c r="E933" s="90"/>
      <c r="F933" s="90"/>
      <c r="G933" s="90"/>
      <c r="H933" s="90"/>
      <c r="I933" s="90"/>
      <c r="J933" s="90"/>
      <c r="K933" s="90"/>
      <c r="L933" s="90"/>
      <c r="M933" s="90"/>
      <c r="N933" s="150"/>
      <c r="O933" s="140"/>
      <c r="P933" s="90"/>
      <c r="Q933" s="140"/>
      <c r="R933" s="90"/>
      <c r="S933" s="140"/>
      <c r="T933" s="90"/>
      <c r="U933" s="140"/>
      <c r="V933" s="90"/>
      <c r="W933" s="140"/>
      <c r="X933" s="90"/>
      <c r="Y933" s="140"/>
      <c r="Z933" s="90"/>
      <c r="AA933" s="140"/>
      <c r="AB933" s="90"/>
      <c r="AC933" s="140"/>
      <c r="AD933" s="90"/>
      <c r="AE933" s="140"/>
      <c r="AF933" s="178" t="str">
        <f t="shared" si="42"/>
        <v/>
      </c>
      <c r="AG933" s="52" t="b">
        <f t="shared" si="43"/>
        <v>0</v>
      </c>
      <c r="AH933" s="140"/>
      <c r="AI933" s="182" t="s">
        <v>36</v>
      </c>
      <c r="AJ933" s="93">
        <f t="shared" si="44"/>
        <v>0</v>
      </c>
      <c r="AK933" s="183" t="s">
        <v>54</v>
      </c>
    </row>
    <row r="934" spans="1:37" ht="30" customHeight="1">
      <c r="A934" s="90"/>
      <c r="B934" s="90"/>
      <c r="C934" s="90"/>
      <c r="D934" s="90"/>
      <c r="E934" s="90"/>
      <c r="F934" s="90"/>
      <c r="G934" s="90"/>
      <c r="H934" s="90"/>
      <c r="I934" s="90"/>
      <c r="J934" s="90"/>
      <c r="K934" s="90"/>
      <c r="L934" s="90"/>
      <c r="M934" s="90"/>
      <c r="N934" s="150"/>
      <c r="O934" s="140"/>
      <c r="P934" s="90"/>
      <c r="Q934" s="140"/>
      <c r="R934" s="90"/>
      <c r="S934" s="140"/>
      <c r="T934" s="90"/>
      <c r="U934" s="140"/>
      <c r="V934" s="90"/>
      <c r="W934" s="140"/>
      <c r="X934" s="90"/>
      <c r="Y934" s="140"/>
      <c r="Z934" s="90"/>
      <c r="AA934" s="140"/>
      <c r="AB934" s="90"/>
      <c r="AC934" s="140"/>
      <c r="AD934" s="90"/>
      <c r="AE934" s="140"/>
      <c r="AF934" s="178" t="str">
        <f t="shared" si="42"/>
        <v/>
      </c>
      <c r="AG934" s="52" t="b">
        <f t="shared" si="43"/>
        <v>0</v>
      </c>
      <c r="AH934" s="140"/>
      <c r="AI934" s="182" t="s">
        <v>36</v>
      </c>
      <c r="AJ934" s="93">
        <f t="shared" si="44"/>
        <v>0</v>
      </c>
      <c r="AK934" s="183" t="s">
        <v>54</v>
      </c>
    </row>
    <row r="935" spans="1:37" ht="30" customHeight="1">
      <c r="A935" s="90"/>
      <c r="B935" s="90"/>
      <c r="C935" s="90"/>
      <c r="D935" s="90"/>
      <c r="E935" s="90"/>
      <c r="F935" s="90"/>
      <c r="G935" s="90"/>
      <c r="H935" s="90"/>
      <c r="I935" s="90"/>
      <c r="J935" s="90"/>
      <c r="K935" s="90"/>
      <c r="L935" s="90"/>
      <c r="M935" s="90"/>
      <c r="N935" s="150"/>
      <c r="O935" s="140"/>
      <c r="P935" s="90"/>
      <c r="Q935" s="140"/>
      <c r="R935" s="90"/>
      <c r="S935" s="140"/>
      <c r="T935" s="90"/>
      <c r="U935" s="140"/>
      <c r="V935" s="90"/>
      <c r="W935" s="140"/>
      <c r="X935" s="90"/>
      <c r="Y935" s="140"/>
      <c r="Z935" s="90"/>
      <c r="AA935" s="140"/>
      <c r="AB935" s="90"/>
      <c r="AC935" s="140"/>
      <c r="AD935" s="90"/>
      <c r="AE935" s="140"/>
      <c r="AF935" s="178" t="str">
        <f t="shared" si="42"/>
        <v/>
      </c>
      <c r="AG935" s="52" t="b">
        <f t="shared" si="43"/>
        <v>0</v>
      </c>
      <c r="AH935" s="140"/>
      <c r="AI935" s="182" t="s">
        <v>36</v>
      </c>
      <c r="AJ935" s="93">
        <f t="shared" si="44"/>
        <v>0</v>
      </c>
      <c r="AK935" s="183" t="s">
        <v>54</v>
      </c>
    </row>
    <row r="936" spans="1:37" ht="30" customHeight="1">
      <c r="A936" s="90"/>
      <c r="B936" s="90"/>
      <c r="C936" s="90"/>
      <c r="D936" s="90"/>
      <c r="E936" s="90"/>
      <c r="F936" s="90"/>
      <c r="G936" s="90"/>
      <c r="H936" s="90"/>
      <c r="I936" s="90"/>
      <c r="J936" s="90"/>
      <c r="K936" s="90"/>
      <c r="L936" s="90"/>
      <c r="M936" s="90"/>
      <c r="N936" s="150"/>
      <c r="O936" s="140"/>
      <c r="P936" s="90"/>
      <c r="Q936" s="140"/>
      <c r="R936" s="90"/>
      <c r="S936" s="140"/>
      <c r="T936" s="90"/>
      <c r="U936" s="140"/>
      <c r="V936" s="90"/>
      <c r="W936" s="140"/>
      <c r="X936" s="90"/>
      <c r="Y936" s="140"/>
      <c r="Z936" s="90"/>
      <c r="AA936" s="140"/>
      <c r="AB936" s="90"/>
      <c r="AC936" s="140"/>
      <c r="AD936" s="90"/>
      <c r="AE936" s="140"/>
      <c r="AF936" s="178" t="str">
        <f t="shared" si="42"/>
        <v/>
      </c>
      <c r="AG936" s="52" t="b">
        <f t="shared" si="43"/>
        <v>0</v>
      </c>
      <c r="AH936" s="140"/>
      <c r="AI936" s="182" t="s">
        <v>36</v>
      </c>
      <c r="AJ936" s="93">
        <f t="shared" si="44"/>
        <v>0</v>
      </c>
      <c r="AK936" s="183" t="s">
        <v>54</v>
      </c>
    </row>
    <row r="937" spans="1:37" ht="30" customHeight="1">
      <c r="A937" s="90"/>
      <c r="B937" s="90"/>
      <c r="C937" s="90"/>
      <c r="D937" s="90"/>
      <c r="E937" s="90"/>
      <c r="F937" s="90"/>
      <c r="G937" s="90"/>
      <c r="H937" s="90"/>
      <c r="I937" s="90"/>
      <c r="J937" s="90"/>
      <c r="K937" s="90"/>
      <c r="L937" s="90"/>
      <c r="M937" s="90"/>
      <c r="N937" s="150"/>
      <c r="O937" s="140"/>
      <c r="P937" s="90"/>
      <c r="Q937" s="140"/>
      <c r="R937" s="90"/>
      <c r="S937" s="140"/>
      <c r="T937" s="90"/>
      <c r="U937" s="140"/>
      <c r="V937" s="90"/>
      <c r="W937" s="140"/>
      <c r="X937" s="90"/>
      <c r="Y937" s="140"/>
      <c r="Z937" s="90"/>
      <c r="AA937" s="140"/>
      <c r="AB937" s="90"/>
      <c r="AC937" s="140"/>
      <c r="AD937" s="90"/>
      <c r="AE937" s="140"/>
      <c r="AF937" s="178" t="str">
        <f t="shared" si="42"/>
        <v/>
      </c>
      <c r="AG937" s="52" t="b">
        <f t="shared" si="43"/>
        <v>0</v>
      </c>
      <c r="AH937" s="140"/>
      <c r="AI937" s="182" t="s">
        <v>36</v>
      </c>
      <c r="AJ937" s="93">
        <f t="shared" si="44"/>
        <v>0</v>
      </c>
      <c r="AK937" s="183" t="s">
        <v>54</v>
      </c>
    </row>
    <row r="938" spans="1:37" ht="30" customHeight="1">
      <c r="A938" s="90"/>
      <c r="B938" s="90"/>
      <c r="C938" s="90"/>
      <c r="D938" s="90"/>
      <c r="E938" s="90"/>
      <c r="F938" s="90"/>
      <c r="G938" s="90"/>
      <c r="H938" s="90"/>
      <c r="I938" s="90"/>
      <c r="J938" s="90"/>
      <c r="K938" s="90"/>
      <c r="L938" s="90"/>
      <c r="M938" s="90"/>
      <c r="N938" s="150"/>
      <c r="O938" s="140"/>
      <c r="P938" s="90"/>
      <c r="Q938" s="140"/>
      <c r="R938" s="90"/>
      <c r="S938" s="140"/>
      <c r="T938" s="90"/>
      <c r="U938" s="140"/>
      <c r="V938" s="90"/>
      <c r="W938" s="140"/>
      <c r="X938" s="90"/>
      <c r="Y938" s="140"/>
      <c r="Z938" s="90"/>
      <c r="AA938" s="140"/>
      <c r="AB938" s="90"/>
      <c r="AC938" s="140"/>
      <c r="AD938" s="90"/>
      <c r="AE938" s="140"/>
      <c r="AF938" s="178" t="str">
        <f t="shared" si="42"/>
        <v/>
      </c>
      <c r="AG938" s="52" t="b">
        <f t="shared" si="43"/>
        <v>0</v>
      </c>
      <c r="AH938" s="140"/>
      <c r="AI938" s="182" t="s">
        <v>36</v>
      </c>
      <c r="AJ938" s="93">
        <f t="shared" si="44"/>
        <v>0</v>
      </c>
      <c r="AK938" s="183" t="s">
        <v>54</v>
      </c>
    </row>
    <row r="939" spans="1:37" ht="30" customHeight="1">
      <c r="A939" s="90"/>
      <c r="B939" s="90"/>
      <c r="C939" s="90"/>
      <c r="D939" s="90"/>
      <c r="E939" s="90"/>
      <c r="F939" s="90"/>
      <c r="G939" s="90"/>
      <c r="H939" s="90"/>
      <c r="I939" s="90"/>
      <c r="J939" s="90"/>
      <c r="K939" s="90"/>
      <c r="L939" s="90"/>
      <c r="M939" s="90"/>
      <c r="N939" s="150"/>
      <c r="O939" s="140"/>
      <c r="P939" s="90"/>
      <c r="Q939" s="140"/>
      <c r="R939" s="90"/>
      <c r="S939" s="140"/>
      <c r="T939" s="90"/>
      <c r="U939" s="140"/>
      <c r="V939" s="90"/>
      <c r="W939" s="140"/>
      <c r="X939" s="90"/>
      <c r="Y939" s="140"/>
      <c r="Z939" s="90"/>
      <c r="AA939" s="140"/>
      <c r="AB939" s="90"/>
      <c r="AC939" s="140"/>
      <c r="AD939" s="90"/>
      <c r="AE939" s="140"/>
      <c r="AF939" s="178" t="str">
        <f t="shared" si="42"/>
        <v/>
      </c>
      <c r="AG939" s="52" t="b">
        <f t="shared" si="43"/>
        <v>0</v>
      </c>
      <c r="AH939" s="140"/>
      <c r="AI939" s="182" t="s">
        <v>36</v>
      </c>
      <c r="AJ939" s="93">
        <f t="shared" si="44"/>
        <v>0</v>
      </c>
      <c r="AK939" s="183" t="s">
        <v>54</v>
      </c>
    </row>
    <row r="940" spans="1:37" ht="30" customHeight="1">
      <c r="A940" s="90"/>
      <c r="B940" s="90"/>
      <c r="C940" s="90"/>
      <c r="D940" s="90"/>
      <c r="E940" s="90"/>
      <c r="F940" s="90"/>
      <c r="G940" s="90"/>
      <c r="H940" s="90"/>
      <c r="I940" s="90"/>
      <c r="J940" s="90"/>
      <c r="K940" s="90"/>
      <c r="L940" s="90"/>
      <c r="M940" s="90"/>
      <c r="N940" s="150"/>
      <c r="O940" s="140"/>
      <c r="P940" s="90"/>
      <c r="Q940" s="140"/>
      <c r="R940" s="90"/>
      <c r="S940" s="140"/>
      <c r="T940" s="90"/>
      <c r="U940" s="140"/>
      <c r="V940" s="90"/>
      <c r="W940" s="140"/>
      <c r="X940" s="90"/>
      <c r="Y940" s="140"/>
      <c r="Z940" s="90"/>
      <c r="AA940" s="140"/>
      <c r="AB940" s="90"/>
      <c r="AC940" s="140"/>
      <c r="AD940" s="90"/>
      <c r="AE940" s="140"/>
      <c r="AF940" s="178" t="str">
        <f t="shared" si="42"/>
        <v/>
      </c>
      <c r="AG940" s="52" t="b">
        <f t="shared" si="43"/>
        <v>0</v>
      </c>
      <c r="AH940" s="140"/>
      <c r="AI940" s="182" t="s">
        <v>36</v>
      </c>
      <c r="AJ940" s="93">
        <f t="shared" si="44"/>
        <v>0</v>
      </c>
      <c r="AK940" s="183" t="s">
        <v>54</v>
      </c>
    </row>
    <row r="941" spans="1:37" ht="30" customHeight="1">
      <c r="A941" s="90"/>
      <c r="B941" s="90"/>
      <c r="C941" s="90"/>
      <c r="D941" s="90"/>
      <c r="E941" s="90"/>
      <c r="F941" s="90"/>
      <c r="G941" s="90"/>
      <c r="H941" s="90"/>
      <c r="I941" s="90"/>
      <c r="J941" s="90"/>
      <c r="K941" s="90"/>
      <c r="L941" s="90"/>
      <c r="M941" s="90"/>
      <c r="N941" s="150"/>
      <c r="O941" s="140"/>
      <c r="P941" s="90"/>
      <c r="Q941" s="140"/>
      <c r="R941" s="90"/>
      <c r="S941" s="140"/>
      <c r="T941" s="90"/>
      <c r="U941" s="140"/>
      <c r="V941" s="90"/>
      <c r="W941" s="140"/>
      <c r="X941" s="90"/>
      <c r="Y941" s="140"/>
      <c r="Z941" s="90"/>
      <c r="AA941" s="140"/>
      <c r="AB941" s="90"/>
      <c r="AC941" s="140"/>
      <c r="AD941" s="90"/>
      <c r="AE941" s="140"/>
      <c r="AF941" s="178" t="str">
        <f t="shared" si="42"/>
        <v/>
      </c>
      <c r="AG941" s="52" t="b">
        <f t="shared" si="43"/>
        <v>0</v>
      </c>
      <c r="AH941" s="140"/>
      <c r="AI941" s="182" t="s">
        <v>36</v>
      </c>
      <c r="AJ941" s="93">
        <f t="shared" si="44"/>
        <v>0</v>
      </c>
      <c r="AK941" s="183" t="s">
        <v>54</v>
      </c>
    </row>
    <row r="942" spans="1:37" ht="30" customHeight="1">
      <c r="A942" s="90"/>
      <c r="B942" s="90"/>
      <c r="C942" s="90"/>
      <c r="D942" s="90"/>
      <c r="E942" s="90"/>
      <c r="F942" s="90"/>
      <c r="G942" s="90"/>
      <c r="H942" s="90"/>
      <c r="I942" s="90"/>
      <c r="J942" s="90"/>
      <c r="K942" s="90"/>
      <c r="L942" s="90"/>
      <c r="M942" s="90"/>
      <c r="N942" s="150"/>
      <c r="O942" s="140"/>
      <c r="P942" s="90"/>
      <c r="Q942" s="140"/>
      <c r="R942" s="90"/>
      <c r="S942" s="140"/>
      <c r="T942" s="90"/>
      <c r="U942" s="140"/>
      <c r="V942" s="90"/>
      <c r="W942" s="140"/>
      <c r="X942" s="90"/>
      <c r="Y942" s="140"/>
      <c r="Z942" s="90"/>
      <c r="AA942" s="140"/>
      <c r="AB942" s="90"/>
      <c r="AC942" s="140"/>
      <c r="AD942" s="90"/>
      <c r="AE942" s="140"/>
      <c r="AF942" s="178" t="str">
        <f t="shared" si="42"/>
        <v/>
      </c>
      <c r="AG942" s="52" t="b">
        <f t="shared" si="43"/>
        <v>0</v>
      </c>
      <c r="AH942" s="140"/>
      <c r="AI942" s="182" t="s">
        <v>36</v>
      </c>
      <c r="AJ942" s="93">
        <f t="shared" si="44"/>
        <v>0</v>
      </c>
      <c r="AK942" s="183" t="s">
        <v>54</v>
      </c>
    </row>
    <row r="943" spans="1:37" ht="30" customHeight="1">
      <c r="A943" s="90"/>
      <c r="B943" s="90"/>
      <c r="C943" s="90"/>
      <c r="D943" s="90"/>
      <c r="E943" s="90"/>
      <c r="F943" s="90"/>
      <c r="G943" s="90"/>
      <c r="H943" s="90"/>
      <c r="I943" s="90"/>
      <c r="J943" s="90"/>
      <c r="K943" s="90"/>
      <c r="L943" s="90"/>
      <c r="M943" s="90"/>
      <c r="N943" s="150"/>
      <c r="O943" s="140"/>
      <c r="P943" s="90"/>
      <c r="Q943" s="140"/>
      <c r="R943" s="90"/>
      <c r="S943" s="140"/>
      <c r="T943" s="90"/>
      <c r="U943" s="140"/>
      <c r="V943" s="90"/>
      <c r="W943" s="140"/>
      <c r="X943" s="90"/>
      <c r="Y943" s="140"/>
      <c r="Z943" s="90"/>
      <c r="AA943" s="140"/>
      <c r="AB943" s="90"/>
      <c r="AC943" s="140"/>
      <c r="AD943" s="90"/>
      <c r="AE943" s="140"/>
      <c r="AF943" s="178" t="str">
        <f t="shared" si="42"/>
        <v/>
      </c>
      <c r="AG943" s="52" t="b">
        <f t="shared" si="43"/>
        <v>0</v>
      </c>
      <c r="AH943" s="140"/>
      <c r="AI943" s="182" t="s">
        <v>36</v>
      </c>
      <c r="AJ943" s="93">
        <f t="shared" si="44"/>
        <v>0</v>
      </c>
      <c r="AK943" s="183" t="s">
        <v>54</v>
      </c>
    </row>
    <row r="944" spans="1:37" ht="30" customHeight="1">
      <c r="A944" s="90"/>
      <c r="B944" s="90"/>
      <c r="C944" s="90"/>
      <c r="D944" s="90"/>
      <c r="E944" s="90"/>
      <c r="F944" s="90"/>
      <c r="G944" s="90"/>
      <c r="H944" s="90"/>
      <c r="I944" s="90"/>
      <c r="J944" s="90"/>
      <c r="K944" s="90"/>
      <c r="L944" s="90"/>
      <c r="M944" s="90"/>
      <c r="N944" s="150"/>
      <c r="O944" s="140"/>
      <c r="P944" s="90"/>
      <c r="Q944" s="140"/>
      <c r="R944" s="90"/>
      <c r="S944" s="140"/>
      <c r="T944" s="90"/>
      <c r="U944" s="140"/>
      <c r="V944" s="90"/>
      <c r="W944" s="140"/>
      <c r="X944" s="90"/>
      <c r="Y944" s="140"/>
      <c r="Z944" s="90"/>
      <c r="AA944" s="140"/>
      <c r="AB944" s="90"/>
      <c r="AC944" s="140"/>
      <c r="AD944" s="90"/>
      <c r="AE944" s="140"/>
      <c r="AF944" s="178" t="str">
        <f t="shared" si="42"/>
        <v/>
      </c>
      <c r="AG944" s="52" t="b">
        <f t="shared" si="43"/>
        <v>0</v>
      </c>
      <c r="AH944" s="140"/>
      <c r="AI944" s="182" t="s">
        <v>36</v>
      </c>
      <c r="AJ944" s="93">
        <f t="shared" si="44"/>
        <v>0</v>
      </c>
      <c r="AK944" s="183" t="s">
        <v>54</v>
      </c>
    </row>
    <row r="945" spans="1:37" ht="30" customHeight="1">
      <c r="A945" s="90"/>
      <c r="B945" s="90"/>
      <c r="C945" s="90"/>
      <c r="D945" s="90"/>
      <c r="E945" s="90"/>
      <c r="F945" s="90"/>
      <c r="G945" s="90"/>
      <c r="H945" s="90"/>
      <c r="I945" s="90"/>
      <c r="J945" s="90"/>
      <c r="K945" s="90"/>
      <c r="L945" s="90"/>
      <c r="M945" s="90"/>
      <c r="N945" s="150"/>
      <c r="O945" s="140"/>
      <c r="P945" s="90"/>
      <c r="Q945" s="140"/>
      <c r="R945" s="90"/>
      <c r="S945" s="140"/>
      <c r="T945" s="90"/>
      <c r="U945" s="140"/>
      <c r="V945" s="90"/>
      <c r="W945" s="140"/>
      <c r="X945" s="90"/>
      <c r="Y945" s="140"/>
      <c r="Z945" s="90"/>
      <c r="AA945" s="140"/>
      <c r="AB945" s="90"/>
      <c r="AC945" s="140"/>
      <c r="AD945" s="90"/>
      <c r="AE945" s="140"/>
      <c r="AF945" s="178" t="str">
        <f t="shared" si="42"/>
        <v/>
      </c>
      <c r="AG945" s="52" t="b">
        <f t="shared" si="43"/>
        <v>0</v>
      </c>
      <c r="AH945" s="140"/>
      <c r="AI945" s="182" t="s">
        <v>36</v>
      </c>
      <c r="AJ945" s="93">
        <f t="shared" si="44"/>
        <v>0</v>
      </c>
      <c r="AK945" s="183" t="s">
        <v>54</v>
      </c>
    </row>
    <row r="946" spans="1:37" ht="30" customHeight="1">
      <c r="A946" s="90"/>
      <c r="B946" s="90"/>
      <c r="C946" s="90"/>
      <c r="D946" s="90"/>
      <c r="E946" s="90"/>
      <c r="F946" s="90"/>
      <c r="G946" s="90"/>
      <c r="H946" s="90"/>
      <c r="I946" s="90"/>
      <c r="J946" s="90"/>
      <c r="K946" s="90"/>
      <c r="L946" s="90"/>
      <c r="M946" s="90"/>
      <c r="N946" s="150"/>
      <c r="O946" s="140"/>
      <c r="P946" s="90"/>
      <c r="Q946" s="140"/>
      <c r="R946" s="90"/>
      <c r="S946" s="140"/>
      <c r="T946" s="90"/>
      <c r="U946" s="140"/>
      <c r="V946" s="90"/>
      <c r="W946" s="140"/>
      <c r="X946" s="90"/>
      <c r="Y946" s="140"/>
      <c r="Z946" s="90"/>
      <c r="AA946" s="140"/>
      <c r="AB946" s="90"/>
      <c r="AC946" s="140"/>
      <c r="AD946" s="90"/>
      <c r="AE946" s="140"/>
      <c r="AF946" s="178" t="str">
        <f t="shared" si="42"/>
        <v/>
      </c>
      <c r="AG946" s="52" t="b">
        <f t="shared" si="43"/>
        <v>0</v>
      </c>
      <c r="AH946" s="140"/>
      <c r="AI946" s="182" t="s">
        <v>36</v>
      </c>
      <c r="AJ946" s="93">
        <f t="shared" si="44"/>
        <v>0</v>
      </c>
      <c r="AK946" s="183" t="s">
        <v>54</v>
      </c>
    </row>
    <row r="947" spans="1:37" ht="30" customHeight="1">
      <c r="A947" s="90"/>
      <c r="B947" s="90"/>
      <c r="C947" s="90"/>
      <c r="D947" s="90"/>
      <c r="E947" s="90"/>
      <c r="F947" s="90"/>
      <c r="G947" s="90"/>
      <c r="H947" s="90"/>
      <c r="I947" s="90"/>
      <c r="J947" s="90"/>
      <c r="K947" s="90"/>
      <c r="L947" s="90"/>
      <c r="M947" s="90"/>
      <c r="N947" s="150"/>
      <c r="O947" s="140"/>
      <c r="P947" s="90"/>
      <c r="Q947" s="140"/>
      <c r="R947" s="90"/>
      <c r="S947" s="140"/>
      <c r="T947" s="90"/>
      <c r="U947" s="140"/>
      <c r="V947" s="90"/>
      <c r="W947" s="140"/>
      <c r="X947" s="90"/>
      <c r="Y947" s="140"/>
      <c r="Z947" s="90"/>
      <c r="AA947" s="140"/>
      <c r="AB947" s="90"/>
      <c r="AC947" s="140"/>
      <c r="AD947" s="90"/>
      <c r="AE947" s="140"/>
      <c r="AF947" s="178" t="str">
        <f t="shared" si="42"/>
        <v/>
      </c>
      <c r="AG947" s="52" t="b">
        <f t="shared" si="43"/>
        <v>0</v>
      </c>
      <c r="AH947" s="140"/>
      <c r="AI947" s="182" t="s">
        <v>36</v>
      </c>
      <c r="AJ947" s="93">
        <f t="shared" si="44"/>
        <v>0</v>
      </c>
      <c r="AK947" s="183" t="s">
        <v>54</v>
      </c>
    </row>
    <row r="948" spans="1:37" ht="30" customHeight="1">
      <c r="A948" s="90"/>
      <c r="B948" s="90"/>
      <c r="C948" s="90"/>
      <c r="D948" s="90"/>
      <c r="E948" s="90"/>
      <c r="F948" s="90"/>
      <c r="G948" s="90"/>
      <c r="H948" s="90"/>
      <c r="I948" s="90"/>
      <c r="J948" s="90"/>
      <c r="K948" s="90"/>
      <c r="L948" s="90"/>
      <c r="M948" s="90"/>
      <c r="N948" s="150"/>
      <c r="O948" s="140"/>
      <c r="P948" s="90"/>
      <c r="Q948" s="140"/>
      <c r="R948" s="90"/>
      <c r="S948" s="140"/>
      <c r="T948" s="90"/>
      <c r="U948" s="140"/>
      <c r="V948" s="90"/>
      <c r="W948" s="140"/>
      <c r="X948" s="90"/>
      <c r="Y948" s="140"/>
      <c r="Z948" s="90"/>
      <c r="AA948" s="140"/>
      <c r="AB948" s="90"/>
      <c r="AC948" s="140"/>
      <c r="AD948" s="90"/>
      <c r="AE948" s="140"/>
      <c r="AF948" s="178" t="str">
        <f t="shared" si="42"/>
        <v/>
      </c>
      <c r="AG948" s="52" t="b">
        <f t="shared" si="43"/>
        <v>0</v>
      </c>
      <c r="AH948" s="140"/>
      <c r="AI948" s="182" t="s">
        <v>36</v>
      </c>
      <c r="AJ948" s="93">
        <f t="shared" si="44"/>
        <v>0</v>
      </c>
      <c r="AK948" s="183" t="s">
        <v>54</v>
      </c>
    </row>
    <row r="949" spans="1:37" ht="30" customHeight="1">
      <c r="A949" s="90"/>
      <c r="B949" s="90"/>
      <c r="C949" s="90"/>
      <c r="D949" s="90"/>
      <c r="E949" s="90"/>
      <c r="F949" s="90"/>
      <c r="G949" s="90"/>
      <c r="H949" s="90"/>
      <c r="I949" s="90"/>
      <c r="J949" s="90"/>
      <c r="K949" s="90"/>
      <c r="L949" s="90"/>
      <c r="M949" s="90"/>
      <c r="N949" s="150"/>
      <c r="O949" s="140"/>
      <c r="P949" s="90"/>
      <c r="Q949" s="140"/>
      <c r="R949" s="90"/>
      <c r="S949" s="140"/>
      <c r="T949" s="90"/>
      <c r="U949" s="140"/>
      <c r="V949" s="90"/>
      <c r="W949" s="140"/>
      <c r="X949" s="90"/>
      <c r="Y949" s="140"/>
      <c r="Z949" s="90"/>
      <c r="AA949" s="140"/>
      <c r="AB949" s="90"/>
      <c r="AC949" s="140"/>
      <c r="AD949" s="90"/>
      <c r="AE949" s="140"/>
      <c r="AF949" s="178" t="str">
        <f t="shared" si="42"/>
        <v/>
      </c>
      <c r="AG949" s="52" t="b">
        <f t="shared" si="43"/>
        <v>0</v>
      </c>
      <c r="AH949" s="140"/>
      <c r="AI949" s="182" t="s">
        <v>36</v>
      </c>
      <c r="AJ949" s="93">
        <f t="shared" si="44"/>
        <v>0</v>
      </c>
      <c r="AK949" s="183" t="s">
        <v>54</v>
      </c>
    </row>
    <row r="950" spans="1:37" ht="30" customHeight="1">
      <c r="A950" s="90"/>
      <c r="B950" s="90"/>
      <c r="C950" s="90"/>
      <c r="D950" s="90"/>
      <c r="E950" s="90"/>
      <c r="F950" s="90"/>
      <c r="G950" s="90"/>
      <c r="H950" s="90"/>
      <c r="I950" s="90"/>
      <c r="J950" s="90"/>
      <c r="K950" s="90"/>
      <c r="L950" s="90"/>
      <c r="M950" s="90"/>
      <c r="N950" s="150"/>
      <c r="O950" s="140"/>
      <c r="P950" s="90"/>
      <c r="Q950" s="140"/>
      <c r="R950" s="90"/>
      <c r="S950" s="140"/>
      <c r="T950" s="90"/>
      <c r="U950" s="140"/>
      <c r="V950" s="90"/>
      <c r="W950" s="140"/>
      <c r="X950" s="90"/>
      <c r="Y950" s="140"/>
      <c r="Z950" s="90"/>
      <c r="AA950" s="140"/>
      <c r="AB950" s="90"/>
      <c r="AC950" s="140"/>
      <c r="AD950" s="90"/>
      <c r="AE950" s="140"/>
      <c r="AF950" s="178" t="str">
        <f t="shared" si="42"/>
        <v/>
      </c>
      <c r="AG950" s="52" t="b">
        <f t="shared" si="43"/>
        <v>0</v>
      </c>
      <c r="AH950" s="140"/>
      <c r="AI950" s="182" t="s">
        <v>36</v>
      </c>
      <c r="AJ950" s="93">
        <f t="shared" si="44"/>
        <v>0</v>
      </c>
      <c r="AK950" s="183" t="s">
        <v>54</v>
      </c>
    </row>
    <row r="951" spans="1:37" ht="30" customHeight="1">
      <c r="A951" s="90"/>
      <c r="B951" s="90"/>
      <c r="C951" s="90"/>
      <c r="D951" s="90"/>
      <c r="E951" s="90"/>
      <c r="F951" s="90"/>
      <c r="G951" s="90"/>
      <c r="H951" s="90"/>
      <c r="I951" s="90"/>
      <c r="J951" s="90"/>
      <c r="K951" s="90"/>
      <c r="L951" s="90"/>
      <c r="M951" s="90"/>
      <c r="N951" s="150"/>
      <c r="O951" s="140"/>
      <c r="P951" s="90"/>
      <c r="Q951" s="140"/>
      <c r="R951" s="90"/>
      <c r="S951" s="140"/>
      <c r="T951" s="90"/>
      <c r="U951" s="140"/>
      <c r="V951" s="90"/>
      <c r="W951" s="140"/>
      <c r="X951" s="90"/>
      <c r="Y951" s="140"/>
      <c r="Z951" s="90"/>
      <c r="AA951" s="140"/>
      <c r="AB951" s="90"/>
      <c r="AC951" s="140"/>
      <c r="AD951" s="90"/>
      <c r="AE951" s="140"/>
      <c r="AF951" s="178" t="str">
        <f t="shared" si="42"/>
        <v/>
      </c>
      <c r="AG951" s="52" t="b">
        <f t="shared" si="43"/>
        <v>0</v>
      </c>
      <c r="AH951" s="140"/>
      <c r="AI951" s="182" t="s">
        <v>36</v>
      </c>
      <c r="AJ951" s="93">
        <f t="shared" si="44"/>
        <v>0</v>
      </c>
      <c r="AK951" s="183" t="s">
        <v>54</v>
      </c>
    </row>
    <row r="952" spans="1:37" ht="30" customHeight="1">
      <c r="A952" s="90"/>
      <c r="B952" s="90"/>
      <c r="C952" s="90"/>
      <c r="D952" s="90"/>
      <c r="E952" s="90"/>
      <c r="F952" s="90"/>
      <c r="G952" s="90"/>
      <c r="H952" s="90"/>
      <c r="I952" s="90"/>
      <c r="J952" s="90"/>
      <c r="K952" s="90"/>
      <c r="L952" s="90"/>
      <c r="M952" s="90"/>
      <c r="N952" s="150"/>
      <c r="O952" s="140"/>
      <c r="P952" s="90"/>
      <c r="Q952" s="140"/>
      <c r="R952" s="90"/>
      <c r="S952" s="140"/>
      <c r="T952" s="90"/>
      <c r="U952" s="140"/>
      <c r="V952" s="90"/>
      <c r="W952" s="140"/>
      <c r="X952" s="90"/>
      <c r="Y952" s="140"/>
      <c r="Z952" s="90"/>
      <c r="AA952" s="140"/>
      <c r="AB952" s="90"/>
      <c r="AC952" s="140"/>
      <c r="AD952" s="90"/>
      <c r="AE952" s="140"/>
      <c r="AF952" s="178" t="str">
        <f t="shared" si="42"/>
        <v/>
      </c>
      <c r="AG952" s="52" t="b">
        <f t="shared" si="43"/>
        <v>0</v>
      </c>
      <c r="AH952" s="140"/>
      <c r="AI952" s="182" t="s">
        <v>36</v>
      </c>
      <c r="AJ952" s="93">
        <f t="shared" si="44"/>
        <v>0</v>
      </c>
      <c r="AK952" s="183" t="s">
        <v>54</v>
      </c>
    </row>
    <row r="953" spans="1:37" ht="30" customHeight="1">
      <c r="A953" s="90"/>
      <c r="B953" s="90"/>
      <c r="C953" s="90"/>
      <c r="D953" s="90"/>
      <c r="E953" s="90"/>
      <c r="F953" s="90"/>
      <c r="G953" s="90"/>
      <c r="H953" s="90"/>
      <c r="I953" s="90"/>
      <c r="J953" s="90"/>
      <c r="K953" s="90"/>
      <c r="L953" s="90"/>
      <c r="M953" s="90"/>
      <c r="N953" s="150"/>
      <c r="O953" s="140"/>
      <c r="P953" s="90"/>
      <c r="Q953" s="140"/>
      <c r="R953" s="90"/>
      <c r="S953" s="140"/>
      <c r="T953" s="90"/>
      <c r="U953" s="140"/>
      <c r="V953" s="90"/>
      <c r="W953" s="140"/>
      <c r="X953" s="90"/>
      <c r="Y953" s="140"/>
      <c r="Z953" s="90"/>
      <c r="AA953" s="140"/>
      <c r="AB953" s="90"/>
      <c r="AC953" s="140"/>
      <c r="AD953" s="90"/>
      <c r="AE953" s="140"/>
      <c r="AF953" s="178" t="str">
        <f t="shared" si="42"/>
        <v/>
      </c>
      <c r="AG953" s="52" t="b">
        <f t="shared" si="43"/>
        <v>0</v>
      </c>
      <c r="AH953" s="140"/>
      <c r="AI953" s="182" t="s">
        <v>36</v>
      </c>
      <c r="AJ953" s="93">
        <f t="shared" si="44"/>
        <v>0</v>
      </c>
      <c r="AK953" s="183" t="s">
        <v>54</v>
      </c>
    </row>
    <row r="954" spans="1:37" ht="30" customHeight="1">
      <c r="A954" s="90"/>
      <c r="B954" s="90"/>
      <c r="C954" s="90"/>
      <c r="D954" s="90"/>
      <c r="E954" s="90"/>
      <c r="F954" s="90"/>
      <c r="G954" s="90"/>
      <c r="H954" s="90"/>
      <c r="I954" s="90"/>
      <c r="J954" s="90"/>
      <c r="K954" s="90"/>
      <c r="L954" s="90"/>
      <c r="M954" s="90"/>
      <c r="N954" s="150"/>
      <c r="O954" s="140"/>
      <c r="P954" s="90"/>
      <c r="Q954" s="140"/>
      <c r="R954" s="90"/>
      <c r="S954" s="140"/>
      <c r="T954" s="90"/>
      <c r="U954" s="140"/>
      <c r="V954" s="90"/>
      <c r="W954" s="140"/>
      <c r="X954" s="90"/>
      <c r="Y954" s="140"/>
      <c r="Z954" s="90"/>
      <c r="AA954" s="140"/>
      <c r="AB954" s="90"/>
      <c r="AC954" s="140"/>
      <c r="AD954" s="90"/>
      <c r="AE954" s="140"/>
      <c r="AF954" s="178" t="str">
        <f t="shared" si="42"/>
        <v/>
      </c>
      <c r="AG954" s="52" t="b">
        <f t="shared" si="43"/>
        <v>0</v>
      </c>
      <c r="AH954" s="140"/>
      <c r="AI954" s="182" t="s">
        <v>36</v>
      </c>
      <c r="AJ954" s="93">
        <f t="shared" si="44"/>
        <v>0</v>
      </c>
      <c r="AK954" s="183" t="s">
        <v>54</v>
      </c>
    </row>
    <row r="955" spans="1:37" ht="30" customHeight="1">
      <c r="A955" s="90"/>
      <c r="B955" s="90"/>
      <c r="C955" s="90"/>
      <c r="D955" s="90"/>
      <c r="E955" s="90"/>
      <c r="F955" s="90"/>
      <c r="G955" s="90"/>
      <c r="H955" s="90"/>
      <c r="I955" s="90"/>
      <c r="J955" s="90"/>
      <c r="K955" s="90"/>
      <c r="L955" s="90"/>
      <c r="M955" s="90"/>
      <c r="N955" s="150"/>
      <c r="O955" s="140"/>
      <c r="P955" s="90"/>
      <c r="Q955" s="140"/>
      <c r="R955" s="90"/>
      <c r="S955" s="140"/>
      <c r="T955" s="90"/>
      <c r="U955" s="140"/>
      <c r="V955" s="90"/>
      <c r="W955" s="140"/>
      <c r="X955" s="90"/>
      <c r="Y955" s="140"/>
      <c r="Z955" s="90"/>
      <c r="AA955" s="140"/>
      <c r="AB955" s="90"/>
      <c r="AC955" s="140"/>
      <c r="AD955" s="90"/>
      <c r="AE955" s="140"/>
      <c r="AF955" s="178" t="str">
        <f t="shared" si="42"/>
        <v/>
      </c>
      <c r="AG955" s="52" t="b">
        <f t="shared" si="43"/>
        <v>0</v>
      </c>
      <c r="AH955" s="140"/>
      <c r="AI955" s="182" t="s">
        <v>36</v>
      </c>
      <c r="AJ955" s="93">
        <f t="shared" si="44"/>
        <v>0</v>
      </c>
      <c r="AK955" s="183" t="s">
        <v>54</v>
      </c>
    </row>
    <row r="956" spans="1:37" ht="30" customHeight="1">
      <c r="A956" s="90"/>
      <c r="B956" s="90"/>
      <c r="C956" s="90"/>
      <c r="D956" s="90"/>
      <c r="E956" s="90"/>
      <c r="F956" s="90"/>
      <c r="G956" s="90"/>
      <c r="H956" s="90"/>
      <c r="I956" s="90"/>
      <c r="J956" s="90"/>
      <c r="K956" s="90"/>
      <c r="L956" s="90"/>
      <c r="M956" s="90"/>
      <c r="N956" s="150"/>
      <c r="O956" s="140"/>
      <c r="P956" s="90"/>
      <c r="Q956" s="140"/>
      <c r="R956" s="90"/>
      <c r="S956" s="140"/>
      <c r="T956" s="90"/>
      <c r="U956" s="140"/>
      <c r="V956" s="90"/>
      <c r="W956" s="140"/>
      <c r="X956" s="90"/>
      <c r="Y956" s="140"/>
      <c r="Z956" s="90"/>
      <c r="AA956" s="140"/>
      <c r="AB956" s="90"/>
      <c r="AC956" s="140"/>
      <c r="AD956" s="90"/>
      <c r="AE956" s="140"/>
      <c r="AF956" s="178" t="str">
        <f t="shared" si="42"/>
        <v/>
      </c>
      <c r="AG956" s="52" t="b">
        <f t="shared" si="43"/>
        <v>0</v>
      </c>
      <c r="AH956" s="140"/>
      <c r="AI956" s="182" t="s">
        <v>36</v>
      </c>
      <c r="AJ956" s="93">
        <f t="shared" si="44"/>
        <v>0</v>
      </c>
      <c r="AK956" s="183" t="s">
        <v>54</v>
      </c>
    </row>
    <row r="957" spans="1:37" ht="30" customHeight="1">
      <c r="A957" s="90"/>
      <c r="B957" s="90"/>
      <c r="C957" s="90"/>
      <c r="D957" s="90"/>
      <c r="E957" s="90"/>
      <c r="F957" s="90"/>
      <c r="G957" s="90"/>
      <c r="H957" s="90"/>
      <c r="I957" s="90"/>
      <c r="J957" s="90"/>
      <c r="K957" s="90"/>
      <c r="L957" s="90"/>
      <c r="M957" s="90"/>
      <c r="N957" s="150"/>
      <c r="O957" s="140"/>
      <c r="P957" s="90"/>
      <c r="Q957" s="140"/>
      <c r="R957" s="90"/>
      <c r="S957" s="140"/>
      <c r="T957" s="90"/>
      <c r="U957" s="140"/>
      <c r="V957" s="90"/>
      <c r="W957" s="140"/>
      <c r="X957" s="90"/>
      <c r="Y957" s="140"/>
      <c r="Z957" s="90"/>
      <c r="AA957" s="140"/>
      <c r="AB957" s="90"/>
      <c r="AC957" s="140"/>
      <c r="AD957" s="90"/>
      <c r="AE957" s="140"/>
      <c r="AF957" s="178" t="str">
        <f t="shared" si="42"/>
        <v/>
      </c>
      <c r="AG957" s="52" t="b">
        <f t="shared" si="43"/>
        <v>0</v>
      </c>
      <c r="AH957" s="140"/>
      <c r="AI957" s="182" t="s">
        <v>36</v>
      </c>
      <c r="AJ957" s="93">
        <f t="shared" si="44"/>
        <v>0</v>
      </c>
      <c r="AK957" s="183" t="s">
        <v>54</v>
      </c>
    </row>
    <row r="958" spans="1:37" ht="30" customHeight="1">
      <c r="A958" s="90"/>
      <c r="B958" s="90"/>
      <c r="C958" s="90"/>
      <c r="D958" s="90"/>
      <c r="E958" s="90"/>
      <c r="F958" s="90"/>
      <c r="G958" s="90"/>
      <c r="H958" s="90"/>
      <c r="I958" s="90"/>
      <c r="J958" s="90"/>
      <c r="K958" s="90"/>
      <c r="L958" s="90"/>
      <c r="M958" s="90"/>
      <c r="N958" s="150"/>
      <c r="O958" s="140"/>
      <c r="P958" s="90"/>
      <c r="Q958" s="140"/>
      <c r="R958" s="90"/>
      <c r="S958" s="140"/>
      <c r="T958" s="90"/>
      <c r="U958" s="140"/>
      <c r="V958" s="90"/>
      <c r="W958" s="140"/>
      <c r="X958" s="90"/>
      <c r="Y958" s="140"/>
      <c r="Z958" s="90"/>
      <c r="AA958" s="140"/>
      <c r="AB958" s="90"/>
      <c r="AC958" s="140"/>
      <c r="AD958" s="90"/>
      <c r="AE958" s="140"/>
      <c r="AF958" s="178" t="str">
        <f t="shared" si="42"/>
        <v/>
      </c>
      <c r="AG958" s="52" t="b">
        <f t="shared" si="43"/>
        <v>0</v>
      </c>
      <c r="AH958" s="140"/>
      <c r="AI958" s="182" t="s">
        <v>36</v>
      </c>
      <c r="AJ958" s="93">
        <f t="shared" si="44"/>
        <v>0</v>
      </c>
      <c r="AK958" s="183" t="s">
        <v>54</v>
      </c>
    </row>
    <row r="959" spans="1:37" ht="30" customHeight="1">
      <c r="A959" s="90"/>
      <c r="B959" s="90"/>
      <c r="C959" s="90"/>
      <c r="D959" s="90"/>
      <c r="E959" s="90"/>
      <c r="F959" s="90"/>
      <c r="G959" s="90"/>
      <c r="H959" s="90"/>
      <c r="I959" s="90"/>
      <c r="J959" s="90"/>
      <c r="K959" s="90"/>
      <c r="L959" s="90"/>
      <c r="M959" s="90"/>
      <c r="N959" s="150"/>
      <c r="O959" s="140"/>
      <c r="P959" s="90"/>
      <c r="Q959" s="140"/>
      <c r="R959" s="90"/>
      <c r="S959" s="140"/>
      <c r="T959" s="90"/>
      <c r="U959" s="140"/>
      <c r="V959" s="90"/>
      <c r="W959" s="140"/>
      <c r="X959" s="90"/>
      <c r="Y959" s="140"/>
      <c r="Z959" s="90"/>
      <c r="AA959" s="140"/>
      <c r="AB959" s="90"/>
      <c r="AC959" s="140"/>
      <c r="AD959" s="90"/>
      <c r="AE959" s="140"/>
      <c r="AF959" s="178" t="str">
        <f t="shared" si="42"/>
        <v/>
      </c>
      <c r="AG959" s="52" t="b">
        <f t="shared" si="43"/>
        <v>0</v>
      </c>
      <c r="AH959" s="140"/>
      <c r="AI959" s="182" t="s">
        <v>36</v>
      </c>
      <c r="AJ959" s="93">
        <f t="shared" si="44"/>
        <v>0</v>
      </c>
      <c r="AK959" s="183" t="s">
        <v>54</v>
      </c>
    </row>
    <row r="960" spans="1:37" ht="30" customHeight="1">
      <c r="A960" s="90"/>
      <c r="B960" s="90"/>
      <c r="C960" s="90"/>
      <c r="D960" s="90"/>
      <c r="E960" s="90"/>
      <c r="F960" s="90"/>
      <c r="G960" s="90"/>
      <c r="H960" s="90"/>
      <c r="I960" s="90"/>
      <c r="J960" s="90"/>
      <c r="K960" s="90"/>
      <c r="L960" s="90"/>
      <c r="M960" s="90"/>
      <c r="N960" s="150"/>
      <c r="O960" s="287"/>
      <c r="P960" s="90"/>
      <c r="Q960" s="140"/>
      <c r="R960" s="90"/>
      <c r="S960" s="140"/>
      <c r="T960" s="90"/>
      <c r="U960" s="140"/>
      <c r="V960" s="90"/>
      <c r="W960" s="140"/>
      <c r="X960" s="90"/>
      <c r="Y960" s="140"/>
      <c r="Z960" s="90"/>
      <c r="AA960" s="140"/>
      <c r="AB960" s="90"/>
      <c r="AC960" s="140"/>
      <c r="AD960" s="90"/>
      <c r="AE960" s="140"/>
      <c r="AF960" s="178" t="str">
        <f t="shared" si="42"/>
        <v/>
      </c>
      <c r="AG960" s="52" t="b">
        <f t="shared" ref="AG960:AG1000" si="45">IF(AND(AE960="C",AF960="C"),"UTILIZOU O PDA CORRETAMENTE",IF(AND(AE960="C",AF960="NC"),"UTILIZOU O PDA CORRETAMENTE. NÃO HÁ FOTOS DE TODAS AS ETAPAS",IF(AND(AE960="NC",AF960="NC"),"NÃO UTILIZOU O PDA",IF(AND(AE960="NA",AF960="NA"),"NÃO AVALIADO POR FALHA DE SINCRONISMO"))))</f>
        <v>0</v>
      </c>
      <c r="AH960" s="140"/>
      <c r="AI960" s="182" t="s">
        <v>36</v>
      </c>
      <c r="AJ960" s="93">
        <f t="shared" ref="AJ960:AJ1000" si="46">E960</f>
        <v>0</v>
      </c>
      <c r="AK960" s="183" t="s">
        <v>54</v>
      </c>
    </row>
    <row r="961" spans="1:37" ht="30" customHeight="1">
      <c r="A961" s="90"/>
      <c r="B961" s="90"/>
      <c r="C961" s="90"/>
      <c r="D961" s="90"/>
      <c r="E961" s="90"/>
      <c r="F961" s="90"/>
      <c r="G961" s="90"/>
      <c r="H961" s="90"/>
      <c r="I961" s="90"/>
      <c r="J961" s="90"/>
      <c r="K961" s="90"/>
      <c r="L961" s="90"/>
      <c r="M961" s="90"/>
      <c r="N961" s="150"/>
      <c r="O961" s="287"/>
      <c r="P961" s="90"/>
      <c r="Q961" s="140"/>
      <c r="R961" s="90"/>
      <c r="S961" s="140"/>
      <c r="T961" s="90"/>
      <c r="U961" s="140"/>
      <c r="V961" s="90"/>
      <c r="W961" s="140"/>
      <c r="X961" s="90"/>
      <c r="Y961" s="140"/>
      <c r="Z961" s="90"/>
      <c r="AA961" s="140"/>
      <c r="AB961" s="90"/>
      <c r="AC961" s="140"/>
      <c r="AD961" s="90"/>
      <c r="AE961" s="140"/>
      <c r="AF961" s="178" t="str">
        <f t="shared" si="42"/>
        <v/>
      </c>
      <c r="AG961" s="52" t="b">
        <f t="shared" si="45"/>
        <v>0</v>
      </c>
      <c r="AH961" s="140"/>
      <c r="AI961" s="182" t="s">
        <v>36</v>
      </c>
      <c r="AJ961" s="93">
        <f t="shared" si="46"/>
        <v>0</v>
      </c>
      <c r="AK961" s="183" t="s">
        <v>54</v>
      </c>
    </row>
    <row r="962" spans="1:37" ht="30" customHeight="1">
      <c r="A962" s="90"/>
      <c r="B962" s="90"/>
      <c r="C962" s="90"/>
      <c r="D962" s="90"/>
      <c r="E962" s="90"/>
      <c r="F962" s="90"/>
      <c r="G962" s="90"/>
      <c r="H962" s="90"/>
      <c r="I962" s="90"/>
      <c r="J962" s="90"/>
      <c r="K962" s="90"/>
      <c r="L962" s="90"/>
      <c r="M962" s="90"/>
      <c r="N962" s="150"/>
      <c r="O962" s="287"/>
      <c r="P962" s="90"/>
      <c r="Q962" s="140"/>
      <c r="R962" s="90"/>
      <c r="S962" s="140"/>
      <c r="T962" s="90"/>
      <c r="U962" s="140"/>
      <c r="V962" s="90"/>
      <c r="W962" s="140"/>
      <c r="X962" s="90"/>
      <c r="Y962" s="140"/>
      <c r="Z962" s="90"/>
      <c r="AA962" s="140"/>
      <c r="AB962" s="90"/>
      <c r="AC962" s="140"/>
      <c r="AD962" s="90"/>
      <c r="AE962" s="140"/>
      <c r="AF962" s="178" t="str">
        <f t="shared" si="42"/>
        <v/>
      </c>
      <c r="AG962" s="52" t="b">
        <f t="shared" si="45"/>
        <v>0</v>
      </c>
      <c r="AH962" s="140"/>
      <c r="AI962" s="182" t="s">
        <v>36</v>
      </c>
      <c r="AJ962" s="93">
        <f t="shared" si="46"/>
        <v>0</v>
      </c>
      <c r="AK962" s="183" t="s">
        <v>54</v>
      </c>
    </row>
    <row r="963" spans="1:37" ht="30" customHeight="1">
      <c r="A963" s="90"/>
      <c r="B963" s="90"/>
      <c r="C963" s="90"/>
      <c r="D963" s="90"/>
      <c r="E963" s="90"/>
      <c r="F963" s="90"/>
      <c r="G963" s="90"/>
      <c r="H963" s="90"/>
      <c r="I963" s="90"/>
      <c r="J963" s="90"/>
      <c r="K963" s="90"/>
      <c r="L963" s="90"/>
      <c r="M963" s="90"/>
      <c r="N963" s="150"/>
      <c r="O963" s="256"/>
      <c r="P963" s="90"/>
      <c r="Q963" s="140"/>
      <c r="R963" s="90"/>
      <c r="S963" s="140"/>
      <c r="T963" s="90"/>
      <c r="U963" s="140"/>
      <c r="V963" s="90"/>
      <c r="W963" s="140"/>
      <c r="X963" s="90"/>
      <c r="Y963" s="140"/>
      <c r="Z963" s="90"/>
      <c r="AA963" s="140"/>
      <c r="AB963" s="90"/>
      <c r="AC963" s="140"/>
      <c r="AD963" s="90"/>
      <c r="AE963" s="140"/>
      <c r="AF963" s="178" t="str">
        <f t="shared" ref="AF963:AF1000" si="47">IF(AND(O963="",Q963="",S963="",U963="",W963="",Y963="",AA963="",AC963=""),"",IF(OR(AND(O963&lt;&gt;"NA",O963&lt;&gt;"C",O963&lt;&gt;"NC",O963&lt;&gt;"SF",O963&lt;&gt;""),AND(Q963&lt;&gt;"NA",Q963&lt;&gt;"C",Q963&lt;&gt;"NC",Q963&lt;&gt;"SF",Q963&lt;&gt;""),AND(S963&lt;&gt;"NA",S963&lt;&gt;"C",S963&lt;&gt;"NC",S963&lt;&gt;"SF",S963&lt;&gt;""),AND(U963&lt;&gt;"NA",U963&lt;&gt;"C",U963&lt;&gt;"NC",U963&lt;&gt;"SF",U963&lt;&gt;""),AND(W963&lt;&gt;"NA",W963&lt;&gt;"C",W963&lt;&gt;"NC",W963&lt;&gt;"SF",W963&lt;&gt;""),AND(Y963&lt;&gt;"NA",Y963&lt;&gt;"C",Y963&lt;&gt;"NC",Y963&lt;&gt;"SF",Y963&lt;&gt;""),AND(AA963&lt;&gt;"NA",AA963&lt;&gt;"C",AA963&lt;&gt;"NC",AA963&lt;&gt;"SF",AA963&lt;&gt;""),AND(AC963&lt;&gt;"NA",AC963&lt;&gt;"C",AC963&lt;&gt;"NC",AC963&lt;&gt;"SF",AC963&lt;&gt;"")),"FALSO",IF(AND(O963="NA",Q963="NA",S963="NA",U963="NA",W963="NA",Y963="NA",AA963="NA",AC963="NA"),"NA",IF(OR(O963="NC",Q963="NC",S963="NC",U963="NC",W963="NC",Y963="NC",AA963="NC",AC963="NC",O963="SF",Q963="SF",S963="SF",U963="SF",W963="SF",Y963="SF",AA963="SF",AC963="SF"),"NC",IF(OR(O963="C",Q963="C",S963="C",U963="C",W963="C",Y963="C",AA963="C",AC963="C"),"C","")))))</f>
        <v/>
      </c>
      <c r="AG963" s="52" t="b">
        <f t="shared" si="45"/>
        <v>0</v>
      </c>
      <c r="AH963" s="140"/>
      <c r="AI963" s="182" t="s">
        <v>36</v>
      </c>
      <c r="AJ963" s="93">
        <f t="shared" si="46"/>
        <v>0</v>
      </c>
      <c r="AK963" s="183" t="s">
        <v>54</v>
      </c>
    </row>
    <row r="964" spans="1:37" ht="30" customHeight="1">
      <c r="A964" s="90"/>
      <c r="B964" s="90"/>
      <c r="C964" s="90"/>
      <c r="D964" s="90"/>
      <c r="E964" s="90"/>
      <c r="F964" s="90"/>
      <c r="G964" s="90"/>
      <c r="H964" s="90"/>
      <c r="I964" s="90"/>
      <c r="J964" s="90"/>
      <c r="K964" s="90"/>
      <c r="L964" s="90"/>
      <c r="M964" s="90"/>
      <c r="N964" s="150"/>
      <c r="O964" s="256"/>
      <c r="P964" s="90"/>
      <c r="Q964" s="140"/>
      <c r="R964" s="90"/>
      <c r="S964" s="140"/>
      <c r="T964" s="90"/>
      <c r="U964" s="140"/>
      <c r="V964" s="90"/>
      <c r="W964" s="140"/>
      <c r="X964" s="90"/>
      <c r="Y964" s="140"/>
      <c r="Z964" s="90"/>
      <c r="AA964" s="140"/>
      <c r="AB964" s="90"/>
      <c r="AC964" s="140"/>
      <c r="AD964" s="90"/>
      <c r="AE964" s="140"/>
      <c r="AF964" s="178" t="str">
        <f t="shared" si="47"/>
        <v/>
      </c>
      <c r="AG964" s="52" t="b">
        <f t="shared" si="45"/>
        <v>0</v>
      </c>
      <c r="AH964" s="140"/>
      <c r="AI964" s="182" t="s">
        <v>36</v>
      </c>
      <c r="AJ964" s="93">
        <f t="shared" si="46"/>
        <v>0</v>
      </c>
      <c r="AK964" s="183" t="s">
        <v>54</v>
      </c>
    </row>
    <row r="965" spans="1:37" ht="30" customHeight="1">
      <c r="A965" s="90"/>
      <c r="B965" s="90"/>
      <c r="C965" s="90"/>
      <c r="D965" s="90"/>
      <c r="E965" s="90"/>
      <c r="F965" s="90"/>
      <c r="G965" s="90"/>
      <c r="H965" s="90"/>
      <c r="I965" s="90"/>
      <c r="J965" s="90"/>
      <c r="K965" s="90"/>
      <c r="L965" s="90"/>
      <c r="M965" s="90"/>
      <c r="N965" s="150"/>
      <c r="O965" s="256"/>
      <c r="P965" s="90"/>
      <c r="Q965" s="140"/>
      <c r="R965" s="90"/>
      <c r="S965" s="140"/>
      <c r="T965" s="90"/>
      <c r="U965" s="140"/>
      <c r="V965" s="90"/>
      <c r="W965" s="140"/>
      <c r="X965" s="90"/>
      <c r="Y965" s="140"/>
      <c r="Z965" s="90"/>
      <c r="AA965" s="140"/>
      <c r="AB965" s="90"/>
      <c r="AC965" s="140"/>
      <c r="AD965" s="90"/>
      <c r="AE965" s="140"/>
      <c r="AF965" s="178" t="str">
        <f t="shared" si="47"/>
        <v/>
      </c>
      <c r="AG965" s="52" t="b">
        <f t="shared" si="45"/>
        <v>0</v>
      </c>
      <c r="AH965" s="140"/>
      <c r="AI965" s="182" t="s">
        <v>36</v>
      </c>
      <c r="AJ965" s="93">
        <f t="shared" si="46"/>
        <v>0</v>
      </c>
      <c r="AK965" s="183" t="s">
        <v>54</v>
      </c>
    </row>
    <row r="966" spans="1:37" ht="30" customHeight="1">
      <c r="A966" s="90"/>
      <c r="B966" s="90"/>
      <c r="C966" s="90"/>
      <c r="D966" s="90"/>
      <c r="E966" s="90"/>
      <c r="F966" s="90"/>
      <c r="G966" s="90"/>
      <c r="H966" s="90"/>
      <c r="I966" s="90"/>
      <c r="J966" s="90"/>
      <c r="K966" s="90"/>
      <c r="L966" s="90"/>
      <c r="M966" s="90"/>
      <c r="N966" s="150"/>
      <c r="O966" s="256"/>
      <c r="P966" s="90"/>
      <c r="Q966" s="140"/>
      <c r="R966" s="90"/>
      <c r="S966" s="140"/>
      <c r="T966" s="90"/>
      <c r="U966" s="140"/>
      <c r="V966" s="90"/>
      <c r="W966" s="140"/>
      <c r="X966" s="90"/>
      <c r="Y966" s="140"/>
      <c r="Z966" s="90"/>
      <c r="AA966" s="140"/>
      <c r="AB966" s="90"/>
      <c r="AC966" s="140"/>
      <c r="AD966" s="90"/>
      <c r="AE966" s="140"/>
      <c r="AF966" s="178" t="str">
        <f t="shared" si="47"/>
        <v/>
      </c>
      <c r="AG966" s="52" t="b">
        <f t="shared" si="45"/>
        <v>0</v>
      </c>
      <c r="AH966" s="140"/>
      <c r="AI966" s="182" t="s">
        <v>36</v>
      </c>
      <c r="AJ966" s="93">
        <f t="shared" si="46"/>
        <v>0</v>
      </c>
      <c r="AK966" s="183" t="s">
        <v>54</v>
      </c>
    </row>
    <row r="967" spans="1:37" ht="30" customHeight="1">
      <c r="A967" s="90"/>
      <c r="B967" s="90"/>
      <c r="C967" s="90"/>
      <c r="D967" s="90"/>
      <c r="E967" s="90"/>
      <c r="F967" s="90"/>
      <c r="G967" s="90"/>
      <c r="H967" s="90"/>
      <c r="I967" s="90"/>
      <c r="J967" s="90"/>
      <c r="K967" s="90"/>
      <c r="L967" s="90"/>
      <c r="M967" s="90"/>
      <c r="N967" s="150"/>
      <c r="O967" s="256"/>
      <c r="P967" s="90"/>
      <c r="Q967" s="140"/>
      <c r="R967" s="90"/>
      <c r="S967" s="140"/>
      <c r="T967" s="90"/>
      <c r="U967" s="140"/>
      <c r="V967" s="90"/>
      <c r="W967" s="140"/>
      <c r="X967" s="90"/>
      <c r="Y967" s="140"/>
      <c r="Z967" s="90"/>
      <c r="AA967" s="140"/>
      <c r="AB967" s="90"/>
      <c r="AC967" s="140"/>
      <c r="AD967" s="90"/>
      <c r="AE967" s="140"/>
      <c r="AF967" s="178" t="str">
        <f t="shared" si="47"/>
        <v/>
      </c>
      <c r="AG967" s="52" t="b">
        <f t="shared" si="45"/>
        <v>0</v>
      </c>
      <c r="AH967" s="140"/>
      <c r="AI967" s="182" t="s">
        <v>36</v>
      </c>
      <c r="AJ967" s="93">
        <f t="shared" si="46"/>
        <v>0</v>
      </c>
      <c r="AK967" s="183" t="s">
        <v>54</v>
      </c>
    </row>
    <row r="968" spans="1:37" ht="30" customHeight="1">
      <c r="A968" s="90"/>
      <c r="B968" s="90"/>
      <c r="C968" s="90"/>
      <c r="D968" s="90"/>
      <c r="E968" s="90"/>
      <c r="F968" s="90"/>
      <c r="G968" s="90"/>
      <c r="H968" s="90"/>
      <c r="I968" s="90"/>
      <c r="J968" s="90"/>
      <c r="K968" s="90"/>
      <c r="L968" s="90"/>
      <c r="M968" s="90"/>
      <c r="N968" s="150"/>
      <c r="O968" s="256"/>
      <c r="P968" s="90"/>
      <c r="Q968" s="140"/>
      <c r="R968" s="90"/>
      <c r="S968" s="140"/>
      <c r="T968" s="90"/>
      <c r="U968" s="140"/>
      <c r="V968" s="90"/>
      <c r="W968" s="140"/>
      <c r="X968" s="90"/>
      <c r="Y968" s="140"/>
      <c r="Z968" s="90"/>
      <c r="AA968" s="140"/>
      <c r="AB968" s="90"/>
      <c r="AC968" s="140"/>
      <c r="AD968" s="90"/>
      <c r="AE968" s="140"/>
      <c r="AF968" s="178" t="str">
        <f t="shared" si="47"/>
        <v/>
      </c>
      <c r="AG968" s="52" t="b">
        <f t="shared" si="45"/>
        <v>0</v>
      </c>
      <c r="AH968" s="140"/>
      <c r="AI968" s="182" t="s">
        <v>36</v>
      </c>
      <c r="AJ968" s="93">
        <f t="shared" si="46"/>
        <v>0</v>
      </c>
      <c r="AK968" s="183" t="s">
        <v>54</v>
      </c>
    </row>
    <row r="969" spans="1:37" ht="30" customHeight="1">
      <c r="A969" s="90"/>
      <c r="B969" s="90"/>
      <c r="C969" s="90"/>
      <c r="D969" s="90"/>
      <c r="E969" s="90"/>
      <c r="F969" s="90"/>
      <c r="G969" s="90"/>
      <c r="H969" s="90"/>
      <c r="I969" s="90"/>
      <c r="J969" s="90"/>
      <c r="K969" s="90"/>
      <c r="L969" s="90"/>
      <c r="M969" s="90"/>
      <c r="N969" s="150"/>
      <c r="O969" s="256"/>
      <c r="P969" s="90"/>
      <c r="Q969" s="140"/>
      <c r="R969" s="90"/>
      <c r="S969" s="140"/>
      <c r="T969" s="90"/>
      <c r="U969" s="140"/>
      <c r="V969" s="90"/>
      <c r="W969" s="140"/>
      <c r="X969" s="90"/>
      <c r="Y969" s="140"/>
      <c r="Z969" s="90"/>
      <c r="AA969" s="140"/>
      <c r="AB969" s="90"/>
      <c r="AC969" s="140"/>
      <c r="AD969" s="90"/>
      <c r="AE969" s="140"/>
      <c r="AF969" s="178" t="str">
        <f t="shared" si="47"/>
        <v/>
      </c>
      <c r="AG969" s="52" t="b">
        <f t="shared" si="45"/>
        <v>0</v>
      </c>
      <c r="AH969" s="140"/>
      <c r="AI969" s="182" t="s">
        <v>36</v>
      </c>
      <c r="AJ969" s="93">
        <f t="shared" si="46"/>
        <v>0</v>
      </c>
      <c r="AK969" s="183" t="s">
        <v>54</v>
      </c>
    </row>
    <row r="970" spans="1:37" ht="30" customHeight="1">
      <c r="A970" s="90"/>
      <c r="B970" s="90"/>
      <c r="C970" s="90"/>
      <c r="D970" s="90"/>
      <c r="E970" s="90"/>
      <c r="F970" s="90"/>
      <c r="G970" s="90"/>
      <c r="H970" s="90"/>
      <c r="I970" s="90"/>
      <c r="J970" s="90"/>
      <c r="K970" s="90"/>
      <c r="L970" s="90"/>
      <c r="M970" s="90"/>
      <c r="N970" s="150"/>
      <c r="O970" s="256"/>
      <c r="P970" s="90"/>
      <c r="Q970" s="140"/>
      <c r="R970" s="90"/>
      <c r="S970" s="140"/>
      <c r="T970" s="90"/>
      <c r="U970" s="140"/>
      <c r="V970" s="90"/>
      <c r="W970" s="140"/>
      <c r="X970" s="90"/>
      <c r="Y970" s="140"/>
      <c r="Z970" s="90"/>
      <c r="AA970" s="140"/>
      <c r="AB970" s="90"/>
      <c r="AC970" s="140"/>
      <c r="AD970" s="90"/>
      <c r="AE970" s="140"/>
      <c r="AF970" s="178" t="str">
        <f t="shared" si="47"/>
        <v/>
      </c>
      <c r="AG970" s="52" t="b">
        <f t="shared" si="45"/>
        <v>0</v>
      </c>
      <c r="AH970" s="140"/>
      <c r="AI970" s="182" t="s">
        <v>36</v>
      </c>
      <c r="AJ970" s="93">
        <f t="shared" si="46"/>
        <v>0</v>
      </c>
      <c r="AK970" s="183" t="s">
        <v>54</v>
      </c>
    </row>
    <row r="971" spans="1:37" ht="30" customHeight="1">
      <c r="A971" s="90"/>
      <c r="B971" s="90"/>
      <c r="C971" s="90"/>
      <c r="D971" s="90"/>
      <c r="E971" s="90"/>
      <c r="F971" s="90"/>
      <c r="G971" s="90"/>
      <c r="H971" s="90"/>
      <c r="I971" s="90"/>
      <c r="J971" s="90"/>
      <c r="K971" s="90"/>
      <c r="L971" s="90"/>
      <c r="M971" s="90"/>
      <c r="N971" s="150"/>
      <c r="O971" s="256"/>
      <c r="P971" s="90"/>
      <c r="Q971" s="140"/>
      <c r="R971" s="90"/>
      <c r="S971" s="140"/>
      <c r="T971" s="90"/>
      <c r="U971" s="140"/>
      <c r="V971" s="90"/>
      <c r="W971" s="140"/>
      <c r="X971" s="90"/>
      <c r="Y971" s="140"/>
      <c r="Z971" s="90"/>
      <c r="AA971" s="140"/>
      <c r="AB971" s="90"/>
      <c r="AC971" s="140"/>
      <c r="AD971" s="90"/>
      <c r="AE971" s="140"/>
      <c r="AF971" s="178" t="str">
        <f t="shared" si="47"/>
        <v/>
      </c>
      <c r="AG971" s="52" t="b">
        <f t="shared" si="45"/>
        <v>0</v>
      </c>
      <c r="AH971" s="140"/>
      <c r="AI971" s="182" t="s">
        <v>36</v>
      </c>
      <c r="AJ971" s="93">
        <f t="shared" si="46"/>
        <v>0</v>
      </c>
      <c r="AK971" s="183" t="s">
        <v>54</v>
      </c>
    </row>
    <row r="972" spans="1:37" ht="30" customHeight="1">
      <c r="A972" s="90"/>
      <c r="B972" s="90"/>
      <c r="C972" s="90"/>
      <c r="D972" s="90"/>
      <c r="E972" s="90"/>
      <c r="F972" s="90"/>
      <c r="G972" s="90"/>
      <c r="H972" s="90"/>
      <c r="I972" s="90"/>
      <c r="J972" s="90"/>
      <c r="K972" s="90"/>
      <c r="L972" s="90"/>
      <c r="M972" s="90"/>
      <c r="N972" s="150"/>
      <c r="O972" s="256"/>
      <c r="P972" s="90"/>
      <c r="Q972" s="140"/>
      <c r="R972" s="90"/>
      <c r="S972" s="140"/>
      <c r="T972" s="90"/>
      <c r="U972" s="140"/>
      <c r="V972" s="90"/>
      <c r="W972" s="140"/>
      <c r="X972" s="90"/>
      <c r="Y972" s="140"/>
      <c r="Z972" s="90"/>
      <c r="AA972" s="140"/>
      <c r="AB972" s="90"/>
      <c r="AC972" s="140"/>
      <c r="AD972" s="90"/>
      <c r="AE972" s="140"/>
      <c r="AF972" s="178" t="str">
        <f t="shared" si="47"/>
        <v/>
      </c>
      <c r="AG972" s="52" t="b">
        <f t="shared" si="45"/>
        <v>0</v>
      </c>
      <c r="AH972" s="140"/>
      <c r="AI972" s="182" t="s">
        <v>36</v>
      </c>
      <c r="AJ972" s="93">
        <f t="shared" si="46"/>
        <v>0</v>
      </c>
      <c r="AK972" s="183" t="s">
        <v>54</v>
      </c>
    </row>
    <row r="973" spans="1:37" ht="30" customHeight="1">
      <c r="A973" s="90"/>
      <c r="B973" s="90"/>
      <c r="C973" s="90"/>
      <c r="D973" s="90"/>
      <c r="E973" s="90"/>
      <c r="F973" s="90"/>
      <c r="G973" s="90"/>
      <c r="H973" s="90"/>
      <c r="I973" s="90"/>
      <c r="J973" s="90"/>
      <c r="K973" s="90"/>
      <c r="L973" s="90"/>
      <c r="M973" s="90"/>
      <c r="N973" s="150"/>
      <c r="O973" s="256"/>
      <c r="P973" s="90"/>
      <c r="Q973" s="140"/>
      <c r="R973" s="90"/>
      <c r="S973" s="140"/>
      <c r="T973" s="90"/>
      <c r="U973" s="140"/>
      <c r="V973" s="90"/>
      <c r="W973" s="140"/>
      <c r="X973" s="90"/>
      <c r="Y973" s="140"/>
      <c r="Z973" s="90"/>
      <c r="AA973" s="140"/>
      <c r="AB973" s="90"/>
      <c r="AC973" s="140"/>
      <c r="AD973" s="90"/>
      <c r="AE973" s="140"/>
      <c r="AF973" s="178" t="str">
        <f t="shared" si="47"/>
        <v/>
      </c>
      <c r="AG973" s="52" t="b">
        <f t="shared" si="45"/>
        <v>0</v>
      </c>
      <c r="AH973" s="140"/>
      <c r="AI973" s="182" t="s">
        <v>36</v>
      </c>
      <c r="AJ973" s="93">
        <f t="shared" si="46"/>
        <v>0</v>
      </c>
      <c r="AK973" s="183" t="s">
        <v>54</v>
      </c>
    </row>
    <row r="974" spans="1:37" ht="30" customHeight="1">
      <c r="A974" s="90"/>
      <c r="B974" s="90"/>
      <c r="C974" s="90"/>
      <c r="D974" s="90"/>
      <c r="E974" s="90"/>
      <c r="F974" s="90"/>
      <c r="G974" s="90"/>
      <c r="H974" s="90"/>
      <c r="I974" s="90"/>
      <c r="J974" s="90"/>
      <c r="K974" s="90"/>
      <c r="L974" s="90"/>
      <c r="M974" s="90"/>
      <c r="N974" s="150"/>
      <c r="O974" s="256"/>
      <c r="P974" s="90"/>
      <c r="Q974" s="140"/>
      <c r="R974" s="90"/>
      <c r="S974" s="140"/>
      <c r="T974" s="90"/>
      <c r="U974" s="140"/>
      <c r="V974" s="90"/>
      <c r="W974" s="140"/>
      <c r="X974" s="90"/>
      <c r="Y974" s="140"/>
      <c r="Z974" s="90"/>
      <c r="AA974" s="140"/>
      <c r="AB974" s="90"/>
      <c r="AC974" s="140"/>
      <c r="AD974" s="90"/>
      <c r="AE974" s="140"/>
      <c r="AF974" s="178" t="str">
        <f t="shared" si="47"/>
        <v/>
      </c>
      <c r="AG974" s="52" t="b">
        <f t="shared" si="45"/>
        <v>0</v>
      </c>
      <c r="AH974" s="140"/>
      <c r="AI974" s="182" t="s">
        <v>36</v>
      </c>
      <c r="AJ974" s="93">
        <f t="shared" si="46"/>
        <v>0</v>
      </c>
      <c r="AK974" s="183" t="s">
        <v>54</v>
      </c>
    </row>
    <row r="975" spans="1:37" ht="30" customHeight="1">
      <c r="A975" s="90"/>
      <c r="B975" s="90"/>
      <c r="C975" s="90"/>
      <c r="D975" s="90"/>
      <c r="E975" s="90"/>
      <c r="F975" s="90"/>
      <c r="G975" s="90"/>
      <c r="H975" s="90"/>
      <c r="I975" s="90"/>
      <c r="J975" s="90"/>
      <c r="K975" s="90"/>
      <c r="L975" s="90"/>
      <c r="M975" s="90"/>
      <c r="N975" s="150"/>
      <c r="O975" s="256"/>
      <c r="P975" s="90"/>
      <c r="Q975" s="140"/>
      <c r="R975" s="90"/>
      <c r="S975" s="140"/>
      <c r="T975" s="90"/>
      <c r="U975" s="140"/>
      <c r="V975" s="90"/>
      <c r="W975" s="140"/>
      <c r="X975" s="90"/>
      <c r="Y975" s="140"/>
      <c r="Z975" s="90"/>
      <c r="AA975" s="140"/>
      <c r="AB975" s="90"/>
      <c r="AC975" s="140"/>
      <c r="AD975" s="90"/>
      <c r="AE975" s="140"/>
      <c r="AF975" s="178" t="str">
        <f t="shared" si="47"/>
        <v/>
      </c>
      <c r="AG975" s="52" t="b">
        <f t="shared" si="45"/>
        <v>0</v>
      </c>
      <c r="AH975" s="140"/>
      <c r="AI975" s="182" t="s">
        <v>36</v>
      </c>
      <c r="AJ975" s="93">
        <f t="shared" si="46"/>
        <v>0</v>
      </c>
      <c r="AK975" s="183" t="s">
        <v>54</v>
      </c>
    </row>
    <row r="976" spans="1:37" ht="30" customHeight="1">
      <c r="A976" s="90"/>
      <c r="B976" s="90"/>
      <c r="C976" s="90"/>
      <c r="D976" s="90"/>
      <c r="E976" s="90"/>
      <c r="F976" s="90"/>
      <c r="G976" s="90"/>
      <c r="H976" s="90"/>
      <c r="I976" s="90"/>
      <c r="J976" s="90"/>
      <c r="K976" s="90"/>
      <c r="L976" s="90"/>
      <c r="M976" s="90"/>
      <c r="N976" s="150"/>
      <c r="O976" s="256"/>
      <c r="P976" s="90"/>
      <c r="Q976" s="140"/>
      <c r="R976" s="90"/>
      <c r="S976" s="140"/>
      <c r="T976" s="90"/>
      <c r="U976" s="140"/>
      <c r="V976" s="90"/>
      <c r="W976" s="140"/>
      <c r="X976" s="90"/>
      <c r="Y976" s="140"/>
      <c r="Z976" s="90"/>
      <c r="AA976" s="140"/>
      <c r="AB976" s="90"/>
      <c r="AC976" s="140"/>
      <c r="AD976" s="90"/>
      <c r="AE976" s="140"/>
      <c r="AF976" s="178" t="str">
        <f t="shared" si="47"/>
        <v/>
      </c>
      <c r="AG976" s="52" t="b">
        <f t="shared" si="45"/>
        <v>0</v>
      </c>
      <c r="AH976" s="140"/>
      <c r="AI976" s="182" t="s">
        <v>36</v>
      </c>
      <c r="AJ976" s="93">
        <f t="shared" si="46"/>
        <v>0</v>
      </c>
      <c r="AK976" s="183" t="s">
        <v>54</v>
      </c>
    </row>
    <row r="977" spans="1:37" ht="30" customHeight="1">
      <c r="A977" s="90"/>
      <c r="B977" s="90"/>
      <c r="C977" s="90"/>
      <c r="D977" s="90"/>
      <c r="E977" s="90"/>
      <c r="F977" s="90"/>
      <c r="G977" s="90"/>
      <c r="H977" s="90"/>
      <c r="I977" s="90"/>
      <c r="J977" s="90"/>
      <c r="K977" s="90"/>
      <c r="L977" s="90"/>
      <c r="M977" s="90"/>
      <c r="N977" s="150"/>
      <c r="O977" s="256"/>
      <c r="P977" s="90"/>
      <c r="Q977" s="140"/>
      <c r="R977" s="90"/>
      <c r="S977" s="140"/>
      <c r="T977" s="90"/>
      <c r="U977" s="140"/>
      <c r="V977" s="90"/>
      <c r="W977" s="140"/>
      <c r="X977" s="90"/>
      <c r="Y977" s="140"/>
      <c r="Z977" s="90"/>
      <c r="AA977" s="140"/>
      <c r="AB977" s="90"/>
      <c r="AC977" s="140"/>
      <c r="AD977" s="90"/>
      <c r="AE977" s="140"/>
      <c r="AF977" s="178" t="str">
        <f t="shared" si="47"/>
        <v/>
      </c>
      <c r="AG977" s="52" t="b">
        <f t="shared" si="45"/>
        <v>0</v>
      </c>
      <c r="AH977" s="140"/>
      <c r="AI977" s="182" t="s">
        <v>36</v>
      </c>
      <c r="AJ977" s="93">
        <f t="shared" si="46"/>
        <v>0</v>
      </c>
      <c r="AK977" s="183" t="s">
        <v>54</v>
      </c>
    </row>
    <row r="978" spans="1:37" ht="30" customHeight="1">
      <c r="A978" s="90"/>
      <c r="B978" s="90"/>
      <c r="C978" s="90"/>
      <c r="D978" s="90"/>
      <c r="E978" s="90"/>
      <c r="F978" s="90"/>
      <c r="G978" s="90"/>
      <c r="H978" s="90"/>
      <c r="I978" s="90"/>
      <c r="J978" s="90"/>
      <c r="K978" s="90"/>
      <c r="L978" s="90"/>
      <c r="M978" s="90"/>
      <c r="N978" s="150"/>
      <c r="O978" s="256"/>
      <c r="P978" s="90"/>
      <c r="Q978" s="140"/>
      <c r="R978" s="90"/>
      <c r="S978" s="140"/>
      <c r="T978" s="90"/>
      <c r="U978" s="140"/>
      <c r="V978" s="90"/>
      <c r="W978" s="140"/>
      <c r="X978" s="90"/>
      <c r="Y978" s="140"/>
      <c r="Z978" s="90"/>
      <c r="AA978" s="140"/>
      <c r="AB978" s="90"/>
      <c r="AC978" s="140"/>
      <c r="AD978" s="90"/>
      <c r="AE978" s="140"/>
      <c r="AF978" s="178" t="str">
        <f t="shared" si="47"/>
        <v/>
      </c>
      <c r="AG978" s="52" t="b">
        <f t="shared" si="45"/>
        <v>0</v>
      </c>
      <c r="AH978" s="140"/>
      <c r="AI978" s="182" t="s">
        <v>36</v>
      </c>
      <c r="AJ978" s="93">
        <f t="shared" si="46"/>
        <v>0</v>
      </c>
      <c r="AK978" s="183" t="s">
        <v>54</v>
      </c>
    </row>
    <row r="979" spans="1:37" ht="30" customHeight="1">
      <c r="A979" s="90"/>
      <c r="B979" s="90"/>
      <c r="C979" s="90"/>
      <c r="D979" s="90"/>
      <c r="E979" s="90"/>
      <c r="F979" s="90"/>
      <c r="G979" s="90"/>
      <c r="H979" s="90"/>
      <c r="I979" s="90"/>
      <c r="J979" s="90"/>
      <c r="K979" s="90"/>
      <c r="L979" s="90"/>
      <c r="M979" s="90"/>
      <c r="N979" s="150"/>
      <c r="O979" s="256"/>
      <c r="P979" s="90"/>
      <c r="Q979" s="140"/>
      <c r="R979" s="90"/>
      <c r="S979" s="140"/>
      <c r="T979" s="90"/>
      <c r="U979" s="140"/>
      <c r="V979" s="90"/>
      <c r="W979" s="140"/>
      <c r="X979" s="90"/>
      <c r="Y979" s="140"/>
      <c r="Z979" s="90"/>
      <c r="AA979" s="140"/>
      <c r="AB979" s="90"/>
      <c r="AC979" s="140"/>
      <c r="AD979" s="90"/>
      <c r="AE979" s="140"/>
      <c r="AF979" s="178" t="str">
        <f t="shared" si="47"/>
        <v/>
      </c>
      <c r="AG979" s="52" t="b">
        <f t="shared" si="45"/>
        <v>0</v>
      </c>
      <c r="AH979" s="140"/>
      <c r="AI979" s="182" t="s">
        <v>36</v>
      </c>
      <c r="AJ979" s="93">
        <f t="shared" si="46"/>
        <v>0</v>
      </c>
      <c r="AK979" s="183" t="s">
        <v>54</v>
      </c>
    </row>
    <row r="980" spans="1:37" ht="30" customHeight="1">
      <c r="A980" s="90"/>
      <c r="B980" s="90"/>
      <c r="C980" s="90"/>
      <c r="D980" s="90"/>
      <c r="E980" s="90"/>
      <c r="F980" s="90"/>
      <c r="G980" s="90"/>
      <c r="H980" s="90"/>
      <c r="I980" s="90"/>
      <c r="J980" s="90"/>
      <c r="K980" s="90"/>
      <c r="L980" s="90"/>
      <c r="M980" s="90"/>
      <c r="N980" s="150"/>
      <c r="O980" s="256"/>
      <c r="P980" s="90"/>
      <c r="Q980" s="140"/>
      <c r="R980" s="90"/>
      <c r="S980" s="140"/>
      <c r="T980" s="90"/>
      <c r="U980" s="140"/>
      <c r="V980" s="90"/>
      <c r="W980" s="140"/>
      <c r="X980" s="90"/>
      <c r="Y980" s="140"/>
      <c r="Z980" s="90"/>
      <c r="AA980" s="140"/>
      <c r="AB980" s="90"/>
      <c r="AC980" s="140"/>
      <c r="AD980" s="90"/>
      <c r="AE980" s="140"/>
      <c r="AF980" s="178" t="str">
        <f t="shared" si="47"/>
        <v/>
      </c>
      <c r="AG980" s="52" t="b">
        <f t="shared" si="45"/>
        <v>0</v>
      </c>
      <c r="AH980" s="140"/>
      <c r="AI980" s="182" t="s">
        <v>36</v>
      </c>
      <c r="AJ980" s="93">
        <f t="shared" si="46"/>
        <v>0</v>
      </c>
      <c r="AK980" s="183" t="s">
        <v>54</v>
      </c>
    </row>
    <row r="981" spans="1:37" ht="30" customHeight="1">
      <c r="A981" s="90"/>
      <c r="B981" s="90"/>
      <c r="C981" s="90"/>
      <c r="D981" s="90"/>
      <c r="E981" s="90"/>
      <c r="F981" s="90"/>
      <c r="G981" s="90"/>
      <c r="H981" s="90"/>
      <c r="I981" s="90"/>
      <c r="J981" s="90"/>
      <c r="K981" s="90"/>
      <c r="L981" s="90"/>
      <c r="M981" s="90"/>
      <c r="N981" s="150"/>
      <c r="O981" s="256"/>
      <c r="P981" s="90"/>
      <c r="Q981" s="140"/>
      <c r="R981" s="90"/>
      <c r="S981" s="140"/>
      <c r="T981" s="90"/>
      <c r="U981" s="140"/>
      <c r="V981" s="90"/>
      <c r="W981" s="140"/>
      <c r="X981" s="90"/>
      <c r="Y981" s="140"/>
      <c r="Z981" s="90"/>
      <c r="AA981" s="140"/>
      <c r="AB981" s="90"/>
      <c r="AC981" s="140"/>
      <c r="AD981" s="90"/>
      <c r="AE981" s="140"/>
      <c r="AF981" s="178" t="str">
        <f t="shared" si="47"/>
        <v/>
      </c>
      <c r="AG981" s="52" t="b">
        <f t="shared" si="45"/>
        <v>0</v>
      </c>
      <c r="AH981" s="140"/>
      <c r="AI981" s="182" t="s">
        <v>36</v>
      </c>
      <c r="AJ981" s="93">
        <f t="shared" si="46"/>
        <v>0</v>
      </c>
      <c r="AK981" s="183" t="s">
        <v>54</v>
      </c>
    </row>
    <row r="982" spans="1:37" ht="30" customHeight="1">
      <c r="A982" s="90"/>
      <c r="B982" s="90"/>
      <c r="C982" s="90"/>
      <c r="D982" s="90"/>
      <c r="E982" s="90"/>
      <c r="F982" s="90"/>
      <c r="G982" s="90"/>
      <c r="H982" s="90"/>
      <c r="I982" s="90"/>
      <c r="J982" s="90"/>
      <c r="K982" s="90"/>
      <c r="L982" s="90"/>
      <c r="M982" s="90"/>
      <c r="N982" s="150"/>
      <c r="O982" s="256"/>
      <c r="P982" s="90"/>
      <c r="Q982" s="140"/>
      <c r="R982" s="90"/>
      <c r="S982" s="140"/>
      <c r="T982" s="90"/>
      <c r="U982" s="140"/>
      <c r="V982" s="90"/>
      <c r="W982" s="140"/>
      <c r="X982" s="90"/>
      <c r="Y982" s="140"/>
      <c r="Z982" s="90"/>
      <c r="AA982" s="140"/>
      <c r="AB982" s="90"/>
      <c r="AC982" s="140"/>
      <c r="AD982" s="90"/>
      <c r="AE982" s="140"/>
      <c r="AF982" s="178" t="str">
        <f t="shared" si="47"/>
        <v/>
      </c>
      <c r="AG982" s="52" t="b">
        <f t="shared" si="45"/>
        <v>0</v>
      </c>
      <c r="AH982" s="140"/>
      <c r="AI982" s="182" t="s">
        <v>36</v>
      </c>
      <c r="AJ982" s="93">
        <f t="shared" si="46"/>
        <v>0</v>
      </c>
      <c r="AK982" s="183" t="s">
        <v>54</v>
      </c>
    </row>
    <row r="983" spans="1:37" ht="30" customHeight="1">
      <c r="A983" s="90"/>
      <c r="B983" s="90"/>
      <c r="C983" s="90"/>
      <c r="D983" s="90"/>
      <c r="E983" s="90"/>
      <c r="F983" s="90"/>
      <c r="G983" s="90"/>
      <c r="H983" s="90"/>
      <c r="I983" s="90"/>
      <c r="J983" s="90"/>
      <c r="K983" s="90"/>
      <c r="L983" s="90"/>
      <c r="M983" s="90"/>
      <c r="N983" s="150"/>
      <c r="O983" s="256"/>
      <c r="P983" s="90"/>
      <c r="Q983" s="140"/>
      <c r="R983" s="90"/>
      <c r="S983" s="140"/>
      <c r="T983" s="90"/>
      <c r="U983" s="140"/>
      <c r="V983" s="90"/>
      <c r="W983" s="140"/>
      <c r="X983" s="90"/>
      <c r="Y983" s="140"/>
      <c r="Z983" s="90"/>
      <c r="AA983" s="140"/>
      <c r="AB983" s="90"/>
      <c r="AC983" s="140"/>
      <c r="AD983" s="90"/>
      <c r="AE983" s="140"/>
      <c r="AF983" s="178" t="str">
        <f t="shared" si="47"/>
        <v/>
      </c>
      <c r="AG983" s="52" t="b">
        <f t="shared" si="45"/>
        <v>0</v>
      </c>
      <c r="AH983" s="140"/>
      <c r="AI983" s="182" t="s">
        <v>36</v>
      </c>
      <c r="AJ983" s="93">
        <f t="shared" si="46"/>
        <v>0</v>
      </c>
      <c r="AK983" s="183" t="s">
        <v>54</v>
      </c>
    </row>
    <row r="984" spans="1:37" ht="30" customHeight="1">
      <c r="A984" s="90"/>
      <c r="B984" s="90"/>
      <c r="C984" s="90"/>
      <c r="D984" s="90"/>
      <c r="E984" s="90"/>
      <c r="F984" s="90"/>
      <c r="G984" s="90"/>
      <c r="H984" s="90"/>
      <c r="I984" s="90"/>
      <c r="J984" s="90"/>
      <c r="K984" s="90"/>
      <c r="L984" s="90"/>
      <c r="M984" s="90"/>
      <c r="N984" s="150"/>
      <c r="O984" s="256"/>
      <c r="P984" s="90"/>
      <c r="Q984" s="140"/>
      <c r="R984" s="90"/>
      <c r="S984" s="140"/>
      <c r="T984" s="90"/>
      <c r="U984" s="140"/>
      <c r="V984" s="90"/>
      <c r="W984" s="140"/>
      <c r="X984" s="90"/>
      <c r="Y984" s="140"/>
      <c r="Z984" s="90"/>
      <c r="AA984" s="140"/>
      <c r="AB984" s="90"/>
      <c r="AC984" s="140"/>
      <c r="AD984" s="90"/>
      <c r="AE984" s="140"/>
      <c r="AF984" s="178" t="str">
        <f t="shared" si="47"/>
        <v/>
      </c>
      <c r="AG984" s="52" t="b">
        <f t="shared" si="45"/>
        <v>0</v>
      </c>
      <c r="AH984" s="140"/>
      <c r="AI984" s="182" t="s">
        <v>36</v>
      </c>
      <c r="AJ984" s="93">
        <f t="shared" si="46"/>
        <v>0</v>
      </c>
      <c r="AK984" s="183" t="s">
        <v>54</v>
      </c>
    </row>
    <row r="985" spans="1:37" ht="30" customHeight="1">
      <c r="A985" s="90"/>
      <c r="B985" s="90"/>
      <c r="C985" s="90"/>
      <c r="D985" s="90"/>
      <c r="E985" s="90"/>
      <c r="F985" s="90"/>
      <c r="G985" s="90"/>
      <c r="H985" s="90"/>
      <c r="I985" s="90"/>
      <c r="J985" s="90"/>
      <c r="K985" s="90"/>
      <c r="L985" s="90"/>
      <c r="M985" s="90"/>
      <c r="N985" s="150"/>
      <c r="O985" s="256"/>
      <c r="P985" s="90"/>
      <c r="Q985" s="140"/>
      <c r="R985" s="90"/>
      <c r="S985" s="140"/>
      <c r="T985" s="90"/>
      <c r="U985" s="140"/>
      <c r="V985" s="90"/>
      <c r="W985" s="140"/>
      <c r="X985" s="90"/>
      <c r="Y985" s="140"/>
      <c r="Z985" s="90"/>
      <c r="AA985" s="140"/>
      <c r="AB985" s="90"/>
      <c r="AC985" s="140"/>
      <c r="AD985" s="90"/>
      <c r="AE985" s="140"/>
      <c r="AF985" s="178" t="str">
        <f t="shared" si="47"/>
        <v/>
      </c>
      <c r="AG985" s="52" t="b">
        <f t="shared" si="45"/>
        <v>0</v>
      </c>
      <c r="AH985" s="140"/>
      <c r="AI985" s="182" t="s">
        <v>36</v>
      </c>
      <c r="AJ985" s="93">
        <f t="shared" si="46"/>
        <v>0</v>
      </c>
      <c r="AK985" s="183" t="s">
        <v>54</v>
      </c>
    </row>
    <row r="986" spans="1:37" ht="30" customHeight="1">
      <c r="A986" s="90"/>
      <c r="B986" s="90"/>
      <c r="C986" s="90"/>
      <c r="D986" s="90"/>
      <c r="E986" s="90"/>
      <c r="F986" s="90"/>
      <c r="G986" s="90"/>
      <c r="H986" s="90"/>
      <c r="I986" s="90"/>
      <c r="J986" s="90"/>
      <c r="K986" s="90"/>
      <c r="L986" s="90"/>
      <c r="M986" s="90"/>
      <c r="N986" s="150"/>
      <c r="O986" s="256"/>
      <c r="P986" s="90"/>
      <c r="Q986" s="140"/>
      <c r="R986" s="90"/>
      <c r="S986" s="140"/>
      <c r="T986" s="90"/>
      <c r="U986" s="140"/>
      <c r="V986" s="90"/>
      <c r="W986" s="140"/>
      <c r="X986" s="90"/>
      <c r="Y986" s="140"/>
      <c r="Z986" s="90"/>
      <c r="AA986" s="140"/>
      <c r="AB986" s="90"/>
      <c r="AC986" s="140"/>
      <c r="AD986" s="90"/>
      <c r="AE986" s="140"/>
      <c r="AF986" s="178" t="str">
        <f t="shared" si="47"/>
        <v/>
      </c>
      <c r="AG986" s="52" t="b">
        <f t="shared" si="45"/>
        <v>0</v>
      </c>
      <c r="AH986" s="140"/>
      <c r="AI986" s="182" t="s">
        <v>36</v>
      </c>
      <c r="AJ986" s="93">
        <f t="shared" si="46"/>
        <v>0</v>
      </c>
      <c r="AK986" s="183" t="s">
        <v>54</v>
      </c>
    </row>
    <row r="987" spans="1:37" ht="30" customHeight="1">
      <c r="A987" s="90"/>
      <c r="B987" s="90"/>
      <c r="C987" s="90"/>
      <c r="D987" s="90"/>
      <c r="E987" s="90"/>
      <c r="F987" s="90"/>
      <c r="G987" s="90"/>
      <c r="H987" s="90"/>
      <c r="I987" s="90"/>
      <c r="J987" s="90"/>
      <c r="K987" s="90"/>
      <c r="L987" s="90"/>
      <c r="M987" s="90"/>
      <c r="N987" s="150"/>
      <c r="O987" s="256"/>
      <c r="P987" s="90"/>
      <c r="Q987" s="140"/>
      <c r="R987" s="90"/>
      <c r="S987" s="140"/>
      <c r="T987" s="90"/>
      <c r="U987" s="140"/>
      <c r="V987" s="90"/>
      <c r="W987" s="140"/>
      <c r="X987" s="90"/>
      <c r="Y987" s="140"/>
      <c r="Z987" s="90"/>
      <c r="AA987" s="140"/>
      <c r="AB987" s="90"/>
      <c r="AC987" s="140"/>
      <c r="AD987" s="90"/>
      <c r="AE987" s="140"/>
      <c r="AF987" s="178" t="str">
        <f t="shared" si="47"/>
        <v/>
      </c>
      <c r="AG987" s="52" t="b">
        <f t="shared" si="45"/>
        <v>0</v>
      </c>
      <c r="AH987" s="140"/>
      <c r="AI987" s="182" t="s">
        <v>36</v>
      </c>
      <c r="AJ987" s="93">
        <f t="shared" si="46"/>
        <v>0</v>
      </c>
      <c r="AK987" s="183" t="s">
        <v>54</v>
      </c>
    </row>
    <row r="988" spans="1:37" ht="30" customHeight="1">
      <c r="A988" s="90"/>
      <c r="B988" s="90"/>
      <c r="C988" s="90"/>
      <c r="D988" s="90"/>
      <c r="E988" s="90"/>
      <c r="F988" s="90"/>
      <c r="G988" s="90"/>
      <c r="H988" s="90"/>
      <c r="I988" s="90"/>
      <c r="J988" s="90"/>
      <c r="K988" s="90"/>
      <c r="L988" s="90"/>
      <c r="M988" s="90"/>
      <c r="N988" s="150"/>
      <c r="O988" s="256"/>
      <c r="P988" s="90"/>
      <c r="Q988" s="140"/>
      <c r="R988" s="90"/>
      <c r="S988" s="140"/>
      <c r="T988" s="90"/>
      <c r="U988" s="140"/>
      <c r="V988" s="90"/>
      <c r="W988" s="140"/>
      <c r="X988" s="90"/>
      <c r="Y988" s="140"/>
      <c r="Z988" s="90"/>
      <c r="AA988" s="140"/>
      <c r="AB988" s="90"/>
      <c r="AC988" s="140"/>
      <c r="AD988" s="90"/>
      <c r="AE988" s="140"/>
      <c r="AF988" s="178" t="str">
        <f t="shared" si="47"/>
        <v/>
      </c>
      <c r="AG988" s="52" t="b">
        <f t="shared" si="45"/>
        <v>0</v>
      </c>
      <c r="AH988" s="140"/>
      <c r="AI988" s="182" t="s">
        <v>36</v>
      </c>
      <c r="AJ988" s="93">
        <f t="shared" si="46"/>
        <v>0</v>
      </c>
      <c r="AK988" s="183" t="s">
        <v>54</v>
      </c>
    </row>
    <row r="989" spans="1:37" ht="30" customHeight="1">
      <c r="A989" s="90"/>
      <c r="B989" s="90"/>
      <c r="C989" s="90"/>
      <c r="D989" s="90"/>
      <c r="E989" s="90"/>
      <c r="F989" s="90"/>
      <c r="G989" s="90"/>
      <c r="H989" s="90"/>
      <c r="I989" s="90"/>
      <c r="J989" s="90"/>
      <c r="K989" s="90"/>
      <c r="L989" s="90"/>
      <c r="M989" s="90"/>
      <c r="N989" s="150"/>
      <c r="O989" s="256"/>
      <c r="P989" s="90"/>
      <c r="Q989" s="140"/>
      <c r="R989" s="90"/>
      <c r="S989" s="140"/>
      <c r="T989" s="90"/>
      <c r="U989" s="140"/>
      <c r="V989" s="90"/>
      <c r="W989" s="140"/>
      <c r="X989" s="90"/>
      <c r="Y989" s="140"/>
      <c r="Z989" s="90"/>
      <c r="AA989" s="140"/>
      <c r="AB989" s="90"/>
      <c r="AC989" s="140"/>
      <c r="AD989" s="90"/>
      <c r="AE989" s="140"/>
      <c r="AF989" s="178" t="str">
        <f t="shared" si="47"/>
        <v/>
      </c>
      <c r="AG989" s="52" t="b">
        <f t="shared" si="45"/>
        <v>0</v>
      </c>
      <c r="AH989" s="140"/>
      <c r="AI989" s="182" t="s">
        <v>36</v>
      </c>
      <c r="AJ989" s="93">
        <f t="shared" si="46"/>
        <v>0</v>
      </c>
      <c r="AK989" s="183" t="s">
        <v>54</v>
      </c>
    </row>
    <row r="990" spans="1:37" ht="30" customHeight="1">
      <c r="A990" s="90"/>
      <c r="B990" s="90"/>
      <c r="C990" s="90"/>
      <c r="D990" s="90"/>
      <c r="E990" s="90"/>
      <c r="F990" s="90"/>
      <c r="G990" s="90"/>
      <c r="H990" s="90"/>
      <c r="I990" s="90"/>
      <c r="J990" s="90"/>
      <c r="K990" s="90"/>
      <c r="L990" s="90"/>
      <c r="M990" s="90"/>
      <c r="N990" s="150"/>
      <c r="O990" s="256"/>
      <c r="P990" s="90"/>
      <c r="Q990" s="140"/>
      <c r="R990" s="90"/>
      <c r="S990" s="140"/>
      <c r="T990" s="90"/>
      <c r="U990" s="140"/>
      <c r="V990" s="90"/>
      <c r="W990" s="140"/>
      <c r="X990" s="90"/>
      <c r="Y990" s="140"/>
      <c r="Z990" s="90"/>
      <c r="AA990" s="140"/>
      <c r="AB990" s="90"/>
      <c r="AC990" s="140"/>
      <c r="AD990" s="90"/>
      <c r="AE990" s="140"/>
      <c r="AF990" s="178" t="str">
        <f t="shared" si="47"/>
        <v/>
      </c>
      <c r="AG990" s="52" t="b">
        <f t="shared" si="45"/>
        <v>0</v>
      </c>
      <c r="AH990" s="140"/>
      <c r="AI990" s="182" t="s">
        <v>36</v>
      </c>
      <c r="AJ990" s="93">
        <f t="shared" si="46"/>
        <v>0</v>
      </c>
      <c r="AK990" s="183" t="s">
        <v>54</v>
      </c>
    </row>
    <row r="991" spans="1:37" ht="30" customHeight="1">
      <c r="A991" s="90"/>
      <c r="B991" s="90"/>
      <c r="C991" s="90"/>
      <c r="D991" s="90"/>
      <c r="E991" s="90"/>
      <c r="F991" s="90"/>
      <c r="G991" s="90"/>
      <c r="H991" s="90"/>
      <c r="I991" s="90"/>
      <c r="J991" s="90"/>
      <c r="K991" s="90"/>
      <c r="L991" s="90"/>
      <c r="M991" s="90"/>
      <c r="N991" s="150"/>
      <c r="O991" s="256"/>
      <c r="P991" s="90"/>
      <c r="Q991" s="140"/>
      <c r="R991" s="90"/>
      <c r="S991" s="140"/>
      <c r="T991" s="90"/>
      <c r="U991" s="140"/>
      <c r="V991" s="90"/>
      <c r="W991" s="140"/>
      <c r="X991" s="90"/>
      <c r="Y991" s="140"/>
      <c r="Z991" s="90"/>
      <c r="AA991" s="140"/>
      <c r="AB991" s="90"/>
      <c r="AC991" s="140"/>
      <c r="AD991" s="90"/>
      <c r="AE991" s="140"/>
      <c r="AF991" s="178" t="str">
        <f t="shared" si="47"/>
        <v/>
      </c>
      <c r="AG991" s="52" t="b">
        <f t="shared" si="45"/>
        <v>0</v>
      </c>
      <c r="AH991" s="140"/>
      <c r="AI991" s="182" t="s">
        <v>36</v>
      </c>
      <c r="AJ991" s="93">
        <f t="shared" si="46"/>
        <v>0</v>
      </c>
      <c r="AK991" s="183" t="s">
        <v>54</v>
      </c>
    </row>
    <row r="992" spans="1:37" ht="30" customHeight="1">
      <c r="A992" s="90"/>
      <c r="B992" s="90"/>
      <c r="C992" s="90"/>
      <c r="D992" s="90"/>
      <c r="E992" s="90"/>
      <c r="F992" s="90"/>
      <c r="G992" s="90"/>
      <c r="H992" s="90"/>
      <c r="I992" s="90"/>
      <c r="J992" s="90"/>
      <c r="K992" s="90"/>
      <c r="L992" s="90"/>
      <c r="M992" s="90"/>
      <c r="N992" s="150"/>
      <c r="O992" s="256"/>
      <c r="P992" s="90"/>
      <c r="Q992" s="140"/>
      <c r="R992" s="90"/>
      <c r="S992" s="140"/>
      <c r="T992" s="90"/>
      <c r="U992" s="140"/>
      <c r="V992" s="90"/>
      <c r="W992" s="140"/>
      <c r="X992" s="90"/>
      <c r="Y992" s="140"/>
      <c r="Z992" s="90"/>
      <c r="AA992" s="140"/>
      <c r="AB992" s="90"/>
      <c r="AC992" s="140"/>
      <c r="AD992" s="90"/>
      <c r="AE992" s="140"/>
      <c r="AF992" s="178" t="str">
        <f t="shared" si="47"/>
        <v/>
      </c>
      <c r="AG992" s="52" t="b">
        <f t="shared" si="45"/>
        <v>0</v>
      </c>
      <c r="AH992" s="140"/>
      <c r="AI992" s="182" t="s">
        <v>36</v>
      </c>
      <c r="AJ992" s="93">
        <f t="shared" si="46"/>
        <v>0</v>
      </c>
      <c r="AK992" s="183" t="s">
        <v>54</v>
      </c>
    </row>
    <row r="993" spans="1:37" ht="30" customHeight="1">
      <c r="A993" s="90"/>
      <c r="B993" s="90"/>
      <c r="C993" s="90"/>
      <c r="D993" s="90"/>
      <c r="E993" s="90"/>
      <c r="F993" s="90"/>
      <c r="G993" s="90"/>
      <c r="H993" s="90"/>
      <c r="I993" s="90"/>
      <c r="J993" s="90"/>
      <c r="K993" s="90"/>
      <c r="L993" s="90"/>
      <c r="M993" s="90"/>
      <c r="N993" s="150"/>
      <c r="O993" s="256"/>
      <c r="P993" s="90"/>
      <c r="Q993" s="140"/>
      <c r="R993" s="90"/>
      <c r="S993" s="140"/>
      <c r="T993" s="90"/>
      <c r="U993" s="140"/>
      <c r="V993" s="90"/>
      <c r="W993" s="140"/>
      <c r="X993" s="90"/>
      <c r="Y993" s="140"/>
      <c r="Z993" s="90"/>
      <c r="AA993" s="140"/>
      <c r="AB993" s="90"/>
      <c r="AC993" s="140"/>
      <c r="AD993" s="90"/>
      <c r="AE993" s="140"/>
      <c r="AF993" s="178" t="str">
        <f t="shared" si="47"/>
        <v/>
      </c>
      <c r="AG993" s="52" t="b">
        <f t="shared" si="45"/>
        <v>0</v>
      </c>
      <c r="AH993" s="140"/>
      <c r="AI993" s="182" t="s">
        <v>36</v>
      </c>
      <c r="AJ993" s="93">
        <f t="shared" si="46"/>
        <v>0</v>
      </c>
      <c r="AK993" s="183" t="s">
        <v>54</v>
      </c>
    </row>
    <row r="994" spans="1:37" ht="30" customHeight="1">
      <c r="A994" s="90"/>
      <c r="B994" s="90"/>
      <c r="C994" s="90"/>
      <c r="D994" s="90"/>
      <c r="E994" s="90"/>
      <c r="F994" s="90"/>
      <c r="G994" s="90"/>
      <c r="H994" s="90"/>
      <c r="I994" s="90"/>
      <c r="J994" s="90"/>
      <c r="K994" s="90"/>
      <c r="L994" s="90"/>
      <c r="M994" s="90"/>
      <c r="N994" s="150"/>
      <c r="O994" s="256"/>
      <c r="P994" s="90"/>
      <c r="Q994" s="140"/>
      <c r="R994" s="90"/>
      <c r="S994" s="140"/>
      <c r="T994" s="90"/>
      <c r="U994" s="140"/>
      <c r="V994" s="90"/>
      <c r="W994" s="140"/>
      <c r="X994" s="90"/>
      <c r="Y994" s="140"/>
      <c r="Z994" s="90"/>
      <c r="AA994" s="140"/>
      <c r="AB994" s="90"/>
      <c r="AC994" s="140"/>
      <c r="AD994" s="90"/>
      <c r="AE994" s="140"/>
      <c r="AF994" s="178" t="str">
        <f t="shared" si="47"/>
        <v/>
      </c>
      <c r="AG994" s="52" t="b">
        <f t="shared" si="45"/>
        <v>0</v>
      </c>
      <c r="AH994" s="140"/>
      <c r="AI994" s="182" t="s">
        <v>36</v>
      </c>
      <c r="AJ994" s="93">
        <f t="shared" si="46"/>
        <v>0</v>
      </c>
      <c r="AK994" s="183" t="s">
        <v>54</v>
      </c>
    </row>
    <row r="995" spans="1:37" ht="30" customHeight="1">
      <c r="A995" s="90"/>
      <c r="B995" s="90"/>
      <c r="C995" s="90"/>
      <c r="D995" s="90"/>
      <c r="E995" s="90"/>
      <c r="F995" s="90"/>
      <c r="G995" s="90"/>
      <c r="H995" s="90"/>
      <c r="I995" s="90"/>
      <c r="J995" s="90"/>
      <c r="K995" s="90"/>
      <c r="L995" s="90"/>
      <c r="M995" s="90"/>
      <c r="N995" s="150"/>
      <c r="O995" s="256"/>
      <c r="P995" s="90"/>
      <c r="Q995" s="140"/>
      <c r="R995" s="90"/>
      <c r="S995" s="140"/>
      <c r="T995" s="90"/>
      <c r="U995" s="140"/>
      <c r="V995" s="90"/>
      <c r="W995" s="140"/>
      <c r="X995" s="90"/>
      <c r="Y995" s="140"/>
      <c r="Z995" s="90"/>
      <c r="AA995" s="140"/>
      <c r="AB995" s="90"/>
      <c r="AC995" s="140"/>
      <c r="AD995" s="90"/>
      <c r="AE995" s="140"/>
      <c r="AF995" s="178" t="str">
        <f t="shared" si="47"/>
        <v/>
      </c>
      <c r="AG995" s="52" t="b">
        <f t="shared" si="45"/>
        <v>0</v>
      </c>
      <c r="AH995" s="140"/>
      <c r="AI995" s="182" t="s">
        <v>36</v>
      </c>
      <c r="AJ995" s="93">
        <f t="shared" si="46"/>
        <v>0</v>
      </c>
      <c r="AK995" s="183" t="s">
        <v>54</v>
      </c>
    </row>
    <row r="996" spans="1:37" ht="30" customHeight="1">
      <c r="A996" s="90"/>
      <c r="B996" s="90"/>
      <c r="C996" s="90"/>
      <c r="D996" s="90"/>
      <c r="E996" s="90"/>
      <c r="F996" s="90"/>
      <c r="G996" s="90"/>
      <c r="H996" s="90"/>
      <c r="I996" s="90"/>
      <c r="J996" s="90"/>
      <c r="K996" s="90"/>
      <c r="L996" s="90"/>
      <c r="M996" s="90"/>
      <c r="N996" s="150"/>
      <c r="O996" s="256"/>
      <c r="P996" s="90"/>
      <c r="Q996" s="140"/>
      <c r="R996" s="90"/>
      <c r="S996" s="140"/>
      <c r="T996" s="90"/>
      <c r="U996" s="140"/>
      <c r="V996" s="90"/>
      <c r="W996" s="140"/>
      <c r="X996" s="90"/>
      <c r="Y996" s="140"/>
      <c r="Z996" s="90"/>
      <c r="AA996" s="140"/>
      <c r="AB996" s="90"/>
      <c r="AC996" s="140"/>
      <c r="AD996" s="90"/>
      <c r="AE996" s="140"/>
      <c r="AF996" s="178" t="str">
        <f t="shared" si="47"/>
        <v/>
      </c>
      <c r="AG996" s="52" t="b">
        <f t="shared" si="45"/>
        <v>0</v>
      </c>
      <c r="AH996" s="140"/>
      <c r="AI996" s="182" t="s">
        <v>36</v>
      </c>
      <c r="AJ996" s="93">
        <f t="shared" si="46"/>
        <v>0</v>
      </c>
      <c r="AK996" s="183" t="s">
        <v>54</v>
      </c>
    </row>
    <row r="997" spans="1:37" ht="30" customHeight="1">
      <c r="A997" s="90"/>
      <c r="B997" s="90"/>
      <c r="C997" s="90"/>
      <c r="D997" s="90"/>
      <c r="E997" s="90"/>
      <c r="F997" s="90"/>
      <c r="G997" s="90"/>
      <c r="H997" s="90"/>
      <c r="I997" s="90"/>
      <c r="J997" s="90"/>
      <c r="K997" s="90"/>
      <c r="L997" s="90"/>
      <c r="M997" s="90"/>
      <c r="N997" s="150"/>
      <c r="O997" s="256"/>
      <c r="P997" s="90"/>
      <c r="Q997" s="140"/>
      <c r="R997" s="90"/>
      <c r="S997" s="140"/>
      <c r="T997" s="90"/>
      <c r="U997" s="140"/>
      <c r="V997" s="90"/>
      <c r="W997" s="140"/>
      <c r="X997" s="90"/>
      <c r="Y997" s="140"/>
      <c r="Z997" s="90"/>
      <c r="AA997" s="140"/>
      <c r="AB997" s="90"/>
      <c r="AC997" s="140"/>
      <c r="AD997" s="90"/>
      <c r="AE997" s="140"/>
      <c r="AF997" s="178" t="str">
        <f t="shared" si="47"/>
        <v/>
      </c>
      <c r="AG997" s="52" t="b">
        <f t="shared" si="45"/>
        <v>0</v>
      </c>
      <c r="AH997" s="140"/>
      <c r="AI997" s="182" t="s">
        <v>36</v>
      </c>
      <c r="AJ997" s="93">
        <f t="shared" si="46"/>
        <v>0</v>
      </c>
      <c r="AK997" s="183" t="s">
        <v>54</v>
      </c>
    </row>
    <row r="998" spans="1:37" ht="30" customHeight="1">
      <c r="A998" s="90"/>
      <c r="B998" s="90"/>
      <c r="C998" s="90"/>
      <c r="D998" s="90"/>
      <c r="E998" s="90"/>
      <c r="F998" s="90"/>
      <c r="G998" s="90"/>
      <c r="H998" s="90"/>
      <c r="I998" s="90"/>
      <c r="J998" s="90"/>
      <c r="K998" s="90"/>
      <c r="L998" s="90"/>
      <c r="M998" s="90"/>
      <c r="N998" s="150"/>
      <c r="O998" s="256"/>
      <c r="P998" s="90"/>
      <c r="Q998" s="140"/>
      <c r="R998" s="90"/>
      <c r="S998" s="140"/>
      <c r="T998" s="90"/>
      <c r="U998" s="140"/>
      <c r="V998" s="90"/>
      <c r="W998" s="140"/>
      <c r="X998" s="90"/>
      <c r="Y998" s="140"/>
      <c r="Z998" s="90"/>
      <c r="AA998" s="140"/>
      <c r="AB998" s="90"/>
      <c r="AC998" s="140"/>
      <c r="AD998" s="90"/>
      <c r="AE998" s="140"/>
      <c r="AF998" s="178" t="str">
        <f t="shared" si="47"/>
        <v/>
      </c>
      <c r="AG998" s="52" t="b">
        <f t="shared" si="45"/>
        <v>0</v>
      </c>
      <c r="AH998" s="140"/>
      <c r="AI998" s="182" t="s">
        <v>36</v>
      </c>
      <c r="AJ998" s="93">
        <f t="shared" si="46"/>
        <v>0</v>
      </c>
      <c r="AK998" s="183" t="s">
        <v>54</v>
      </c>
    </row>
    <row r="999" spans="1:37" ht="30" customHeight="1">
      <c r="A999" s="90"/>
      <c r="B999" s="90"/>
      <c r="C999" s="90"/>
      <c r="D999" s="90"/>
      <c r="E999" s="90"/>
      <c r="F999" s="90"/>
      <c r="G999" s="90"/>
      <c r="H999" s="90"/>
      <c r="I999" s="90"/>
      <c r="J999" s="90"/>
      <c r="K999" s="90"/>
      <c r="L999" s="90"/>
      <c r="M999" s="90"/>
      <c r="N999" s="150"/>
      <c r="O999" s="256"/>
      <c r="P999" s="90"/>
      <c r="Q999" s="140"/>
      <c r="R999" s="90"/>
      <c r="S999" s="140"/>
      <c r="T999" s="90"/>
      <c r="U999" s="140"/>
      <c r="V999" s="90"/>
      <c r="W999" s="140"/>
      <c r="X999" s="90"/>
      <c r="Y999" s="140"/>
      <c r="Z999" s="90"/>
      <c r="AA999" s="140"/>
      <c r="AB999" s="90"/>
      <c r="AC999" s="140"/>
      <c r="AD999" s="90"/>
      <c r="AE999" s="140"/>
      <c r="AF999" s="178" t="str">
        <f t="shared" si="47"/>
        <v/>
      </c>
      <c r="AG999" s="52" t="b">
        <f t="shared" si="45"/>
        <v>0</v>
      </c>
      <c r="AH999" s="140"/>
      <c r="AI999" s="182" t="s">
        <v>36</v>
      </c>
      <c r="AJ999" s="93">
        <f t="shared" si="46"/>
        <v>0</v>
      </c>
      <c r="AK999" s="183" t="s">
        <v>54</v>
      </c>
    </row>
    <row r="1000" spans="1:37" ht="30" customHeight="1">
      <c r="A1000" s="90"/>
      <c r="B1000" s="90"/>
      <c r="C1000" s="90"/>
      <c r="D1000" s="90"/>
      <c r="E1000" s="90"/>
      <c r="F1000" s="90"/>
      <c r="G1000" s="90"/>
      <c r="H1000" s="90"/>
      <c r="I1000" s="90"/>
      <c r="J1000" s="90"/>
      <c r="K1000" s="90"/>
      <c r="L1000" s="90"/>
      <c r="M1000" s="90"/>
      <c r="N1000" s="150"/>
      <c r="O1000" s="256"/>
      <c r="P1000" s="90"/>
      <c r="Q1000" s="140"/>
      <c r="R1000" s="90"/>
      <c r="S1000" s="140"/>
      <c r="T1000" s="90"/>
      <c r="U1000" s="140"/>
      <c r="V1000" s="90"/>
      <c r="W1000" s="140"/>
      <c r="X1000" s="90"/>
      <c r="Y1000" s="140"/>
      <c r="Z1000" s="90"/>
      <c r="AA1000" s="140"/>
      <c r="AB1000" s="90"/>
      <c r="AC1000" s="140"/>
      <c r="AD1000" s="90"/>
      <c r="AE1000" s="140"/>
      <c r="AF1000" s="178" t="str">
        <f t="shared" si="47"/>
        <v/>
      </c>
      <c r="AG1000" s="52" t="b">
        <f t="shared" si="45"/>
        <v>0</v>
      </c>
      <c r="AH1000" s="140"/>
      <c r="AI1000" s="182" t="s">
        <v>36</v>
      </c>
      <c r="AJ1000" s="93">
        <f t="shared" si="46"/>
        <v>0</v>
      </c>
      <c r="AK1000" s="183" t="s">
        <v>54</v>
      </c>
    </row>
  </sheetData>
  <autoFilter ref="A1:AK959" xr:uid="{00000000-0009-0000-0000-000005000000}"/>
  <conditionalFormatting sqref="A1 C1 E1">
    <cfRule type="duplicateValues" dxfId="512" priority="142"/>
  </conditionalFormatting>
  <conditionalFormatting sqref="Q42 Q45 O626:O649 AE213:AE1000 Q213:Q1000 S213:S1000 U213:U1000 W213:W1000 AA213:AA1000 AC213:AC1000 O651:O1000 AH3:AH1000 AF2:AF1000 O2:O624 Q104:Q208 S104:S208 U104:U208 W4:W208 AA4:AA208 AC4:AC208 AE3:AE208 Y4:Y208 Y213:Y1000">
    <cfRule type="expression" dxfId="511" priority="56">
      <formula>O2=""</formula>
    </cfRule>
    <cfRule type="expression" dxfId="510" priority="57" stopIfTrue="1">
      <formula>NOT(OR(O2="C",O2="NC",O2="SF",O2="NA"))</formula>
    </cfRule>
  </conditionalFormatting>
  <conditionalFormatting sqref="Q2 Q4 Q6 Q8 Q10 Q12 Q14 Q18 Q20 Q22 Q24 Q26 Q28 Q30 Q32 Q34 Q36 Q38 Q40 Q47 Q49 Q51 Q53 Q55 Q57 Q59 Q61 Q67 Q69 Q83 Q85 Q87 Q91 Q93 Q95 Q64:Q65 Q71:Q81">
    <cfRule type="expression" dxfId="509" priority="54">
      <formula>Q2=""</formula>
    </cfRule>
    <cfRule type="expression" dxfId="508" priority="55" stopIfTrue="1">
      <formula>NOT(OR(Q2="C",Q2="NC",Q2="SF",Q2="NA"))</formula>
    </cfRule>
  </conditionalFormatting>
  <conditionalFormatting sqref="Q5 Q7 Q9 Q11 Q13 Q19 Q21 Q23 Q25 Q27 Q29 Q31 Q33 Q35 Q37 Q39 Q41 Q44 Q46 Q48 Q50 Q52 Q54 Q56 Q58 Q60 Q66 Q68 Q70 Q82 Q84 Q86 Q92 Q94 Q62:Q63 Q96:Q103 Q15:Q17 Q88:Q90">
    <cfRule type="expression" dxfId="507" priority="52">
      <formula>Q5=""</formula>
    </cfRule>
    <cfRule type="expression" dxfId="506" priority="53" stopIfTrue="1">
      <formula>NOT(OR(Q5="C",Q5="NC",Q5="SF",Q5="NA"))</formula>
    </cfRule>
  </conditionalFormatting>
  <conditionalFormatting sqref="S2 S4 S6 S8 S10 S12 S14 S18 S20 S22 S24 S26 S28 S30 S32 S34 S36 S38 S40 S42:S43 S45 S47 S49 S51 S53 S55 S57 S59 S61 S67 S69 S83 S85 S87 S91 S93 S95 S64:S65 S71:S81">
    <cfRule type="expression" dxfId="505" priority="50">
      <formula>S2=""</formula>
    </cfRule>
    <cfRule type="expression" dxfId="504" priority="51" stopIfTrue="1">
      <formula>NOT(OR(S2="C",S2="NC",S2="SF",S2="NA"))</formula>
    </cfRule>
  </conditionalFormatting>
  <conditionalFormatting sqref="S5 S7 S9 S11 S13 S19 S21 S23 S25 S27 S29 S31 S33 S35 S37 S39 S41 S44 S46 S48 S50 S52 S54 S56 S58 S60 S66 S68 S70 S82 S84 S86 S92 S94 S62:S63 S96:S103 S15:S17 S88:S90">
    <cfRule type="expression" dxfId="503" priority="48">
      <formula>S5=""</formula>
    </cfRule>
    <cfRule type="expression" dxfId="502" priority="49" stopIfTrue="1">
      <formula>NOT(OR(S5="C",S5="NC",S5="SF",S5="NA"))</formula>
    </cfRule>
  </conditionalFormatting>
  <conditionalFormatting sqref="U2 U4 U6 U8 U10 U12 U14 U18 U20 U22 U24 U26 U28 U30 U32 U34 U36 U38 U40 U42:U43 U45 U47 U49 U51 U53 U55 U57 U59 U61 U67 U69 U83 U85 U87 U91 U93 U95 U64:U65 U71:U81">
    <cfRule type="expression" dxfId="501" priority="46">
      <formula>U2=""</formula>
    </cfRule>
    <cfRule type="expression" dxfId="500" priority="47" stopIfTrue="1">
      <formula>NOT(OR(U2="C",U2="NC",U2="SF",U2="NA"))</formula>
    </cfRule>
  </conditionalFormatting>
  <conditionalFormatting sqref="U5 U7 U9 U11 U13 U19 U21 U23 U25 U27 U29 U31 U33 U35 U37 U39 U41 U44 U46 U48 U50 U52 U54 U56 U58 U60 U66 U68 U70 U82 U84 U86 U92 U94 U62:U63 U96:U103 U15:U17 U88:U90">
    <cfRule type="expression" dxfId="499" priority="44">
      <formula>U5=""</formula>
    </cfRule>
    <cfRule type="expression" dxfId="498" priority="45" stopIfTrue="1">
      <formula>NOT(OR(U5="C",U5="NC",U5="SF",U5="NA"))</formula>
    </cfRule>
  </conditionalFormatting>
  <conditionalFormatting sqref="W2">
    <cfRule type="expression" dxfId="497" priority="42">
      <formula>W2=""</formula>
    </cfRule>
    <cfRule type="expression" dxfId="496" priority="43" stopIfTrue="1">
      <formula>NOT(OR(W2="C",W2="NC",W2="SF",W2="NA"))</formula>
    </cfRule>
  </conditionalFormatting>
  <conditionalFormatting sqref="Y2">
    <cfRule type="expression" dxfId="495" priority="38">
      <formula>Y2=""</formula>
    </cfRule>
    <cfRule type="expression" dxfId="494" priority="39" stopIfTrue="1">
      <formula>NOT(OR(Y2="C",Y2="NC",Y2="SF",Y2="NA"))</formula>
    </cfRule>
  </conditionalFormatting>
  <conditionalFormatting sqref="AC2">
    <cfRule type="expression" dxfId="493" priority="34">
      <formula>AC2=""</formula>
    </cfRule>
    <cfRule type="expression" dxfId="492" priority="35" stopIfTrue="1">
      <formula>NOT(OR(AC2="C",AC2="NC",AC2="SF",AC2="NA"))</formula>
    </cfRule>
  </conditionalFormatting>
  <conditionalFormatting sqref="AE2">
    <cfRule type="expression" dxfId="491" priority="30">
      <formula>AE2=""</formula>
    </cfRule>
    <cfRule type="expression" dxfId="490" priority="31" stopIfTrue="1">
      <formula>NOT(OR(AE2="C",AE2="NC",AE2="SF",AE2="NA"))</formula>
    </cfRule>
  </conditionalFormatting>
  <conditionalFormatting sqref="AH2">
    <cfRule type="expression" dxfId="489" priority="22">
      <formula>AH2=""</formula>
    </cfRule>
    <cfRule type="expression" dxfId="488" priority="23" stopIfTrue="1">
      <formula>NOT(OR(AH2="C",AH2="NC",AH2="SF",AH2="NA"))</formula>
    </cfRule>
  </conditionalFormatting>
  <conditionalFormatting sqref="U3 S3 Q3">
    <cfRule type="expression" dxfId="487" priority="18">
      <formula>Q3=""</formula>
    </cfRule>
    <cfRule type="expression" dxfId="486" priority="19" stopIfTrue="1">
      <formula>NOT(OR(Q3="C",Q3="NC",Q3="SF",Q3="NA"))</formula>
    </cfRule>
  </conditionalFormatting>
  <conditionalFormatting sqref="AC3 Y3 W3">
    <cfRule type="expression" dxfId="485" priority="14">
      <formula>W3=""</formula>
    </cfRule>
    <cfRule type="expression" dxfId="484" priority="15" stopIfTrue="1">
      <formula>NOT(OR(W3="C",W3="NC",W3="SF",W3="NA"))</formula>
    </cfRule>
  </conditionalFormatting>
  <conditionalFormatting sqref="AA2">
    <cfRule type="expression" dxfId="483" priority="12">
      <formula>AA2=""</formula>
    </cfRule>
    <cfRule type="expression" dxfId="482" priority="13" stopIfTrue="1">
      <formula>NOT(OR(AA2="C",AA2="NC",AA2="SF",AA2="NA"))</formula>
    </cfRule>
  </conditionalFormatting>
  <conditionalFormatting sqref="AA3">
    <cfRule type="expression" dxfId="481" priority="8">
      <formula>AA3=""</formula>
    </cfRule>
    <cfRule type="expression" dxfId="480" priority="9" stopIfTrue="1">
      <formula>NOT(OR(AA3="C",AA3="NC",AA3="SF",AA3="NA"))</formula>
    </cfRule>
  </conditionalFormatting>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59999389629810485"/>
    <pageSetUpPr fitToPage="1"/>
  </sheetPr>
  <dimension ref="A1:H14"/>
  <sheetViews>
    <sheetView zoomScale="55" zoomScaleNormal="55" zoomScaleSheetLayoutView="70" workbookViewId="0">
      <selection activeCell="B5" sqref="B5:G5"/>
    </sheetView>
  </sheetViews>
  <sheetFormatPr defaultColWidth="9.140625" defaultRowHeight="21" customHeight="1"/>
  <cols>
    <col min="1" max="1" width="5.7109375" style="96" customWidth="1"/>
    <col min="2" max="7" width="30.7109375" style="96" customWidth="1"/>
    <col min="8" max="8" width="5.7109375" style="96" customWidth="1"/>
    <col min="9" max="16384" width="9.140625" style="29"/>
  </cols>
  <sheetData>
    <row r="1" spans="1:8" s="33" customFormat="1" ht="35.1" customHeight="1">
      <c r="A1" s="374" t="s">
        <v>54</v>
      </c>
      <c r="B1" s="374"/>
      <c r="C1" s="374"/>
      <c r="D1" s="374"/>
      <c r="E1" s="374"/>
      <c r="F1" s="374"/>
      <c r="G1" s="374"/>
      <c r="H1" s="374"/>
    </row>
    <row r="2" spans="1:8" s="31" customFormat="1" ht="20.100000000000001" customHeight="1">
      <c r="A2" s="42"/>
      <c r="B2" s="42"/>
      <c r="C2" s="42"/>
      <c r="D2" s="42"/>
      <c r="E2" s="42"/>
      <c r="F2" s="42"/>
      <c r="G2" s="42"/>
      <c r="H2" s="43"/>
    </row>
    <row r="3" spans="1:8" s="18" customFormat="1" ht="35.1" customHeight="1">
      <c r="A3" s="380" t="s">
        <v>1514</v>
      </c>
      <c r="B3" s="380"/>
      <c r="C3" s="380"/>
      <c r="D3" s="380"/>
      <c r="E3" s="380"/>
      <c r="F3" s="380"/>
      <c r="G3" s="380"/>
      <c r="H3" s="380"/>
    </row>
    <row r="5" spans="1:8" ht="21" customHeight="1">
      <c r="B5" s="381" t="str">
        <f>'DADOS - PIRITUBA'!B73</f>
        <v>TESTE</v>
      </c>
      <c r="C5" s="381"/>
      <c r="D5" s="381"/>
      <c r="E5" s="381"/>
      <c r="F5" s="381"/>
      <c r="G5" s="381"/>
    </row>
    <row r="6" spans="1:8" ht="21" customHeight="1">
      <c r="B6" s="381" t="s">
        <v>1515</v>
      </c>
      <c r="C6" s="381"/>
      <c r="D6" s="141" t="s">
        <v>71</v>
      </c>
      <c r="E6" s="141" t="s">
        <v>1516</v>
      </c>
      <c r="F6" s="141" t="s">
        <v>56</v>
      </c>
      <c r="G6" s="141" t="s">
        <v>57</v>
      </c>
    </row>
    <row r="7" spans="1:8" ht="21" customHeight="1">
      <c r="B7" s="379" t="s">
        <v>61</v>
      </c>
      <c r="C7" s="379"/>
      <c r="D7" s="94">
        <f t="shared" ref="D7:D14" si="0">F7+G7+E7</f>
        <v>0</v>
      </c>
      <c r="E7" s="94">
        <f>COUNTIFS(ÁGUA!N:N,'EQUIPES - ÁGUA'!B5,ÁGUA!O:O,"SF")</f>
        <v>0</v>
      </c>
      <c r="F7" s="94">
        <f>COUNTIFS(ÁGUA!N:N,'EQUIPES - ÁGUA'!B5,ÁGUA!O:O,"c")</f>
        <v>0</v>
      </c>
      <c r="G7" s="94">
        <f>COUNTIFS(ÁGUA!N:N,'EQUIPES - ÁGUA'!B5,ÁGUA!O:O,"NC")</f>
        <v>0</v>
      </c>
    </row>
    <row r="8" spans="1:8" ht="21" customHeight="1">
      <c r="B8" s="379" t="s">
        <v>62</v>
      </c>
      <c r="C8" s="379"/>
      <c r="D8" s="94">
        <f t="shared" si="0"/>
        <v>0</v>
      </c>
      <c r="E8" s="94">
        <f>COUNTIFS(ÁGUA!N:N,'EQUIPES - ÁGUA'!B5,ÁGUA!Q:Q,"SF")</f>
        <v>0</v>
      </c>
      <c r="F8" s="94">
        <f>COUNTIFS(ÁGUA!N:N,'EQUIPES - ÁGUA'!B5,ÁGUA!Q:Q,"c")</f>
        <v>0</v>
      </c>
      <c r="G8" s="94">
        <f>COUNTIFS(ÁGUA!N:N,'EQUIPES - ÁGUA'!B5,ÁGUA!Q:Q,"NC")</f>
        <v>0</v>
      </c>
    </row>
    <row r="9" spans="1:8" ht="21" customHeight="1">
      <c r="B9" s="379" t="s">
        <v>63</v>
      </c>
      <c r="C9" s="379"/>
      <c r="D9" s="94">
        <f t="shared" si="0"/>
        <v>0</v>
      </c>
      <c r="E9" s="94">
        <f>COUNTIFS(ÁGUA!N:N,'EQUIPES - ÁGUA'!B5,ÁGUA!S:S,"SF")</f>
        <v>0</v>
      </c>
      <c r="F9" s="94">
        <f>COUNTIFS(ÁGUA!N:N,'EQUIPES - ÁGUA'!B5,ÁGUA!S:S,"c")</f>
        <v>0</v>
      </c>
      <c r="G9" s="94">
        <f>COUNTIFS(ÁGUA!N:N,'EQUIPES - ÁGUA'!B5,ÁGUA!S:S,"NC")</f>
        <v>0</v>
      </c>
    </row>
    <row r="10" spans="1:8" ht="21" customHeight="1">
      <c r="B10" s="379" t="s">
        <v>64</v>
      </c>
      <c r="C10" s="379"/>
      <c r="D10" s="94">
        <f t="shared" si="0"/>
        <v>0</v>
      </c>
      <c r="E10" s="94">
        <f>COUNTIFS(ÁGUA!N:N,'EQUIPES - ÁGUA'!B5,ÁGUA!U:U,"SF")</f>
        <v>0</v>
      </c>
      <c r="F10" s="94">
        <f>COUNTIFS(ÁGUA!N:N,'EQUIPES - ÁGUA'!B5,ÁGUA!U:U,"c")</f>
        <v>0</v>
      </c>
      <c r="G10" s="94">
        <f>COUNTIFS(ÁGUA!N:N,'EQUIPES - ÁGUA'!B5,ÁGUA!U:U,"NC")</f>
        <v>0</v>
      </c>
    </row>
    <row r="11" spans="1:8" ht="21" customHeight="1">
      <c r="B11" s="379" t="s">
        <v>65</v>
      </c>
      <c r="C11" s="379"/>
      <c r="D11" s="94">
        <f t="shared" si="0"/>
        <v>0</v>
      </c>
      <c r="E11" s="94">
        <f>COUNTIFS(ÁGUA!N:N,'EQUIPES - ÁGUA'!B5,ÁGUA!W:W,"SF")</f>
        <v>0</v>
      </c>
      <c r="F11" s="94">
        <f>COUNTIFS(ÁGUA!N:N,'EQUIPES - ÁGUA'!B5,ÁGUA!W:W,"c")</f>
        <v>0</v>
      </c>
      <c r="G11" s="94">
        <f>COUNTIFS(ÁGUA!N:N,'EQUIPES - ÁGUA'!B5,ÁGUA!W:W,"NC")</f>
        <v>0</v>
      </c>
    </row>
    <row r="12" spans="1:8" ht="21" customHeight="1">
      <c r="B12" s="379" t="s">
        <v>66</v>
      </c>
      <c r="C12" s="379"/>
      <c r="D12" s="94">
        <f t="shared" si="0"/>
        <v>0</v>
      </c>
      <c r="E12" s="94">
        <f>COUNTIFS(ÁGUA!N:N,'EQUIPES - ÁGUA'!B5,ÁGUA!Y:Y,"SF")</f>
        <v>0</v>
      </c>
      <c r="F12" s="94">
        <f>COUNTIFS(ÁGUA!N:N,'EQUIPES - ÁGUA'!B5,ÁGUA!Y:Y,"c")</f>
        <v>0</v>
      </c>
      <c r="G12" s="94">
        <f>COUNTIFS(ÁGUA!N:N,'EQUIPES - ÁGUA'!B5,ÁGUA!Y:Y,"NC")</f>
        <v>0</v>
      </c>
    </row>
    <row r="13" spans="1:8" ht="21" customHeight="1">
      <c r="B13" s="379" t="s">
        <v>67</v>
      </c>
      <c r="C13" s="379"/>
      <c r="D13" s="94">
        <f t="shared" si="0"/>
        <v>0</v>
      </c>
      <c r="E13" s="94">
        <f>COUNTIFS(ÁGUA!N:N,'EQUIPES - ÁGUA'!B5,ÁGUA!AA:AA,"SF")</f>
        <v>0</v>
      </c>
      <c r="F13" s="94">
        <f>COUNTIFS(ÁGUA!N:N,'EQUIPES - ÁGUA'!B5,ÁGUA!AA:AA,"c")</f>
        <v>0</v>
      </c>
      <c r="G13" s="94">
        <f>COUNTIFS(ÁGUA!N:N,'EQUIPES - ÁGUA'!B5,ÁGUA!AA:AA,"NC")</f>
        <v>0</v>
      </c>
    </row>
    <row r="14" spans="1:8" ht="21" customHeight="1">
      <c r="B14" s="379" t="s">
        <v>68</v>
      </c>
      <c r="C14" s="379"/>
      <c r="D14" s="94">
        <f t="shared" si="0"/>
        <v>0</v>
      </c>
      <c r="E14" s="94">
        <f>COUNTIFS(ÁGUA!N:N,'EQUIPES - ÁGUA'!B5,ÁGUA!AC:AC,"SF")</f>
        <v>0</v>
      </c>
      <c r="F14" s="94">
        <f>COUNTIFS(ÁGUA!N:N,'EQUIPES - ÁGUA'!B5,ÁGUA!AC:AC,"c")</f>
        <v>0</v>
      </c>
      <c r="G14" s="94">
        <f>COUNTIFS(ÁGUA!N:N,'EQUIPES - ÁGUA'!B5,ÁGUA!AC:AC,"NC")</f>
        <v>0</v>
      </c>
    </row>
  </sheetData>
  <mergeCells count="12">
    <mergeCell ref="B14:C14"/>
    <mergeCell ref="A1:H1"/>
    <mergeCell ref="A3:H3"/>
    <mergeCell ref="B5:G5"/>
    <mergeCell ref="B12:C12"/>
    <mergeCell ref="B13:C13"/>
    <mergeCell ref="B6:C6"/>
    <mergeCell ref="B7:C7"/>
    <mergeCell ref="B8:C8"/>
    <mergeCell ref="B9:C9"/>
    <mergeCell ref="B10:C10"/>
    <mergeCell ref="B11:C11"/>
  </mergeCells>
  <pageMargins left="0.25" right="0.25" top="0.75" bottom="0.75" header="0.3" footer="0.3"/>
  <pageSetup paperSize="9" scale="34"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P127"/>
  <sheetViews>
    <sheetView zoomScale="70" zoomScaleNormal="70" zoomScaleSheetLayoutView="70" workbookViewId="0">
      <selection activeCell="A3" sqref="A3"/>
    </sheetView>
  </sheetViews>
  <sheetFormatPr defaultColWidth="9.140625" defaultRowHeight="19.899999999999999" customHeight="1"/>
  <cols>
    <col min="1" max="7" width="37.7109375" style="18" customWidth="1"/>
    <col min="8" max="16384" width="9.140625" style="18"/>
  </cols>
  <sheetData>
    <row r="1" spans="1:7" s="33" customFormat="1" ht="35.1" customHeight="1">
      <c r="A1" s="382" t="s">
        <v>158</v>
      </c>
      <c r="B1" s="382"/>
      <c r="C1" s="382"/>
      <c r="D1" s="382"/>
      <c r="E1" s="382"/>
      <c r="F1" s="382"/>
    </row>
    <row r="2" spans="1:7" s="33" customFormat="1" ht="30" customHeight="1" thickBot="1">
      <c r="A2" s="42"/>
      <c r="B2" s="42"/>
      <c r="C2" s="42"/>
      <c r="D2" s="42"/>
      <c r="E2" s="42"/>
      <c r="F2" s="42"/>
    </row>
    <row r="3" spans="1:7" s="26" customFormat="1" ht="30" customHeight="1">
      <c r="B3" s="377" t="s">
        <v>159</v>
      </c>
      <c r="C3" s="378"/>
      <c r="D3" s="385" t="s">
        <v>71</v>
      </c>
      <c r="E3" s="378"/>
    </row>
    <row r="4" spans="1:7" s="27" customFormat="1" ht="30" customHeight="1" thickBot="1">
      <c r="B4" s="375">
        <f>COUNTIFS(ESGOTO!A:A,"ONMP - DIV MANUT SERV OPE PIRITUBA")</f>
        <v>293</v>
      </c>
      <c r="C4" s="376"/>
      <c r="D4" s="383">
        <f>'DADOS - PIRITUBA'!C27</f>
        <v>160</v>
      </c>
      <c r="E4" s="384"/>
    </row>
    <row r="5" spans="1:7" s="27" customFormat="1" ht="35.1" customHeight="1">
      <c r="B5" s="86" t="s">
        <v>160</v>
      </c>
      <c r="C5" s="87" t="s">
        <v>161</v>
      </c>
      <c r="D5" s="86" t="s">
        <v>162</v>
      </c>
      <c r="E5" s="87" t="s">
        <v>161</v>
      </c>
      <c r="F5" s="28"/>
      <c r="G5" s="27">
        <f>125/6</f>
        <v>20.833333333333332</v>
      </c>
    </row>
    <row r="6" spans="1:7" s="27" customFormat="1" ht="35.1" customHeight="1" thickBot="1">
      <c r="B6" s="85">
        <f>'DADOS - PIRITUBA'!C27+'GRÁFICOS - ESGOTO'!D8</f>
        <v>266</v>
      </c>
      <c r="C6" s="44">
        <f>IFERROR(B6/B4,"-")</f>
        <v>0.9078498293515358</v>
      </c>
      <c r="D6" s="85">
        <f>COUNTIFS(ESGOTO!O:O,"SF",ESGOTO!Q:Q,"SF",ESGOTO!S:S,"SF",ESGOTO!U:U,"SF",ESGOTO!W:W,"SF",ESGOTO!AC:AC,"SF")</f>
        <v>3</v>
      </c>
      <c r="E6" s="44">
        <f>IFERROR(D6/B4,"-")</f>
        <v>1.0238907849829351E-2</v>
      </c>
      <c r="F6" s="28"/>
    </row>
    <row r="7" spans="1:7" s="27" customFormat="1" ht="35.1" customHeight="1">
      <c r="B7" s="89" t="s">
        <v>163</v>
      </c>
      <c r="C7" s="88" t="s">
        <v>161</v>
      </c>
      <c r="D7" s="89" t="s">
        <v>164</v>
      </c>
      <c r="E7" s="88" t="s">
        <v>161</v>
      </c>
      <c r="F7" s="28"/>
    </row>
    <row r="8" spans="1:7" s="27" customFormat="1" ht="35.1" customHeight="1" thickBot="1">
      <c r="B8" s="85">
        <f>B4-B6</f>
        <v>27</v>
      </c>
      <c r="C8" s="44">
        <f>IFERROR(B8/B4,"-")</f>
        <v>9.2150170648464161E-2</v>
      </c>
      <c r="D8" s="85">
        <f>COUNTIFS(ESGOTO!O:O,"NA",ESGOTO!Q:Q,"NA",ESGOTO!S:S,"NA",ESGOTO!U:U,"NA",ESGOTO!W:W,"NA",ESGOTO!AC:AC,"NA")</f>
        <v>106</v>
      </c>
      <c r="E8" s="44">
        <f>IFERROR(D8/B4,"-")</f>
        <v>0.36177474402730375</v>
      </c>
      <c r="F8" s="28"/>
    </row>
    <row r="9" spans="1:7" s="27" customFormat="1" ht="20.100000000000001" customHeight="1">
      <c r="B9" s="24"/>
      <c r="C9" s="24"/>
      <c r="D9" s="28"/>
      <c r="E9" s="24"/>
      <c r="F9" s="28"/>
    </row>
    <row r="10" spans="1:7" s="27" customFormat="1" ht="20.100000000000001" customHeight="1">
      <c r="B10" s="24"/>
      <c r="C10" s="24"/>
      <c r="D10" s="28"/>
      <c r="E10" s="24"/>
      <c r="F10" s="28"/>
    </row>
    <row r="11" spans="1:7" s="27" customFormat="1" ht="35.1" customHeight="1">
      <c r="A11" s="382" t="s">
        <v>165</v>
      </c>
      <c r="B11" s="382"/>
      <c r="C11" s="382"/>
      <c r="D11" s="382"/>
      <c r="E11" s="382"/>
      <c r="F11" s="382"/>
      <c r="G11" s="382"/>
    </row>
    <row r="12" spans="1:7" s="27" customFormat="1" ht="19.899999999999999" customHeight="1">
      <c r="A12" s="24"/>
      <c r="F12" s="24"/>
    </row>
    <row r="13" spans="1:7" s="27" customFormat="1" ht="19.899999999999999" customHeight="1">
      <c r="A13" s="24"/>
      <c r="F13" s="24"/>
    </row>
    <row r="14" spans="1:7" s="27" customFormat="1" ht="19.899999999999999" customHeight="1">
      <c r="A14" s="24"/>
      <c r="B14" s="24"/>
      <c r="C14" s="24"/>
      <c r="D14" s="24"/>
      <c r="E14" s="24"/>
      <c r="F14" s="25"/>
    </row>
    <row r="40" spans="1:7" ht="35.1" customHeight="1">
      <c r="A40" s="382" t="s">
        <v>166</v>
      </c>
      <c r="B40" s="382"/>
      <c r="C40" s="382"/>
      <c r="D40" s="382"/>
      <c r="E40" s="382"/>
      <c r="F40" s="382"/>
      <c r="G40" s="382"/>
    </row>
    <row r="63" ht="19.5" customHeight="1"/>
    <row r="64" ht="19.5" customHeight="1"/>
    <row r="65" spans="1:7" ht="19.5" customHeight="1"/>
    <row r="66" spans="1:7" ht="19.5" customHeight="1"/>
    <row r="67" spans="1:7" ht="19.5" customHeight="1"/>
    <row r="68" spans="1:7" ht="19.5" customHeight="1"/>
    <row r="69" spans="1:7" s="33" customFormat="1" ht="35.1" customHeight="1">
      <c r="A69" s="382" t="s">
        <v>167</v>
      </c>
      <c r="B69" s="382"/>
      <c r="C69" s="382"/>
      <c r="D69" s="382"/>
      <c r="E69" s="382"/>
      <c r="F69" s="382"/>
      <c r="G69" s="382"/>
    </row>
    <row r="103" spans="1:16" s="35" customFormat="1" ht="35.1" customHeight="1">
      <c r="A103" s="382" t="s">
        <v>168</v>
      </c>
      <c r="B103" s="382"/>
      <c r="C103" s="382"/>
      <c r="D103" s="382"/>
      <c r="E103" s="382"/>
      <c r="F103" s="382"/>
      <c r="G103" s="382"/>
      <c r="H103" s="382"/>
      <c r="I103" s="382"/>
      <c r="J103" s="382"/>
      <c r="K103" s="382"/>
      <c r="L103" s="91"/>
      <c r="M103" s="91"/>
      <c r="N103" s="91"/>
      <c r="O103" s="91"/>
      <c r="P103" s="91"/>
    </row>
    <row r="127" spans="3:6" ht="19.899999999999999" customHeight="1">
      <c r="C127" s="19"/>
      <c r="D127" s="19"/>
      <c r="E127" s="19"/>
      <c r="F127" s="19"/>
    </row>
  </sheetData>
  <sheetProtection formatCells="0" formatColumns="0" formatRows="0" insertColumns="0" insertRows="0" insertHyperlinks="0" deleteColumns="0" deleteRows="0" sort="0" autoFilter="0" pivotTables="0"/>
  <mergeCells count="9">
    <mergeCell ref="A11:G11"/>
    <mergeCell ref="A40:G40"/>
    <mergeCell ref="A69:G69"/>
    <mergeCell ref="A103:K103"/>
    <mergeCell ref="A1:F1"/>
    <mergeCell ref="D4:E4"/>
    <mergeCell ref="D3:E3"/>
    <mergeCell ref="B4:C4"/>
    <mergeCell ref="B3:C3"/>
  </mergeCells>
  <pageMargins left="0.511811024" right="0.14000000000000001" top="0.78740157499999996" bottom="0.78740157499999996" header="0.31496062000000002" footer="0.31496062000000002"/>
  <pageSetup paperSize="9" scale="33"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249977111117893"/>
  </sheetPr>
  <dimension ref="A1:HJ998"/>
  <sheetViews>
    <sheetView tabSelected="1" topLeftCell="U1" zoomScale="55" zoomScaleNormal="55" workbookViewId="0">
      <pane ySplit="1" topLeftCell="Y244" activePane="bottomLeft" state="frozen"/>
      <selection pane="bottomLeft" activeCell="B294" sqref="B294"/>
      <selection activeCell="K1" sqref="K1"/>
    </sheetView>
  </sheetViews>
  <sheetFormatPr defaultColWidth="9.140625" defaultRowHeight="30" customHeight="1"/>
  <cols>
    <col min="1" max="1" width="61.7109375" style="14" bestFit="1" customWidth="1"/>
    <col min="2" max="2" width="25.28515625" style="14" bestFit="1" customWidth="1"/>
    <col min="3" max="3" width="50" style="14" bestFit="1" customWidth="1"/>
    <col min="4" max="4" width="20.140625" style="14" bestFit="1" customWidth="1"/>
    <col min="5" max="5" width="23.5703125" style="14" bestFit="1" customWidth="1"/>
    <col min="6" max="6" width="47.85546875" style="14" bestFit="1" customWidth="1"/>
    <col min="7" max="7" width="20.7109375" style="14" bestFit="1" customWidth="1"/>
    <col min="8" max="8" width="27.42578125" style="14" bestFit="1" customWidth="1"/>
    <col min="9" max="9" width="18.85546875" style="14" bestFit="1" customWidth="1"/>
    <col min="10" max="10" width="51.85546875" style="14" bestFit="1" customWidth="1"/>
    <col min="11" max="11" width="37.5703125" style="14" bestFit="1" customWidth="1"/>
    <col min="12" max="12" width="24.85546875" style="14" customWidth="1"/>
    <col min="13" max="13" width="23" style="14" customWidth="1"/>
    <col min="14" max="14" width="43.7109375" style="187" bestFit="1" customWidth="1"/>
    <col min="15" max="15" width="24.85546875" style="51" bestFit="1" customWidth="1"/>
    <col min="16" max="16" width="38.85546875" style="51" bestFit="1" customWidth="1"/>
    <col min="17" max="17" width="29.42578125" style="51" bestFit="1" customWidth="1"/>
    <col min="18" max="18" width="43" style="51" bestFit="1" customWidth="1"/>
    <col min="19" max="19" width="26.85546875" style="51" bestFit="1" customWidth="1"/>
    <col min="20" max="20" width="39.85546875" style="51" bestFit="1" customWidth="1"/>
    <col min="21" max="21" width="28" style="51" bestFit="1" customWidth="1"/>
    <col min="22" max="22" width="41.42578125" style="51" bestFit="1" customWidth="1"/>
    <col min="23" max="23" width="35" style="51" bestFit="1" customWidth="1"/>
    <col min="24" max="24" width="48" style="51" bestFit="1" customWidth="1"/>
    <col min="25" max="25" width="33.42578125" style="51" bestFit="1" customWidth="1"/>
    <col min="26" max="26" width="45.5703125" style="51" bestFit="1" customWidth="1"/>
    <col min="27" max="27" width="34.42578125" style="51" bestFit="1" customWidth="1"/>
    <col min="28" max="28" width="46.42578125" style="51" bestFit="1" customWidth="1"/>
    <col min="29" max="29" width="28" style="51" bestFit="1" customWidth="1"/>
    <col min="30" max="30" width="42" style="51" bestFit="1" customWidth="1"/>
    <col min="31" max="32" width="42.42578125" style="51" bestFit="1" customWidth="1"/>
    <col min="33" max="33" width="43.28515625" style="55" customWidth="1"/>
    <col min="34" max="34" width="41.42578125" style="51" customWidth="1"/>
    <col min="35" max="35" width="23.5703125" style="51" bestFit="1" customWidth="1"/>
    <col min="36" max="36" width="25.5703125" style="51" customWidth="1"/>
    <col min="37" max="37" width="55.42578125" style="51" customWidth="1"/>
    <col min="38" max="16384" width="9.140625" style="11"/>
  </cols>
  <sheetData>
    <row r="1" spans="1:218" s="51" customFormat="1" ht="33" customHeight="1">
      <c r="A1" s="231" t="s">
        <v>169</v>
      </c>
      <c r="B1" s="231" t="s">
        <v>170</v>
      </c>
      <c r="C1" s="231" t="s">
        <v>171</v>
      </c>
      <c r="D1" s="231" t="s">
        <v>172</v>
      </c>
      <c r="E1" s="231" t="s">
        <v>173</v>
      </c>
      <c r="F1" s="231" t="s">
        <v>174</v>
      </c>
      <c r="G1" s="231" t="s">
        <v>175</v>
      </c>
      <c r="H1" s="232" t="s">
        <v>176</v>
      </c>
      <c r="I1" s="232" t="s">
        <v>177</v>
      </c>
      <c r="J1" s="232" t="s">
        <v>178</v>
      </c>
      <c r="K1" s="232" t="s">
        <v>179</v>
      </c>
      <c r="L1" s="232" t="s">
        <v>180</v>
      </c>
      <c r="M1" s="232" t="s">
        <v>181</v>
      </c>
      <c r="N1" s="232" t="s">
        <v>1517</v>
      </c>
      <c r="O1" s="231" t="s">
        <v>61</v>
      </c>
      <c r="P1" s="233" t="s">
        <v>182</v>
      </c>
      <c r="Q1" s="233" t="s">
        <v>62</v>
      </c>
      <c r="R1" s="233" t="s">
        <v>183</v>
      </c>
      <c r="S1" s="233" t="s">
        <v>63</v>
      </c>
      <c r="T1" s="233" t="s">
        <v>184</v>
      </c>
      <c r="U1" s="233" t="s">
        <v>64</v>
      </c>
      <c r="V1" s="233" t="s">
        <v>185</v>
      </c>
      <c r="W1" s="233" t="s">
        <v>65</v>
      </c>
      <c r="X1" s="233" t="s">
        <v>186</v>
      </c>
      <c r="Y1" s="233" t="s">
        <v>78</v>
      </c>
      <c r="Z1" s="233" t="s">
        <v>1518</v>
      </c>
      <c r="AA1" s="233" t="s">
        <v>188</v>
      </c>
      <c r="AB1" s="233" t="s">
        <v>189</v>
      </c>
      <c r="AC1" s="233" t="s">
        <v>1519</v>
      </c>
      <c r="AD1" s="233" t="s">
        <v>1520</v>
      </c>
      <c r="AE1" s="233" t="s">
        <v>49</v>
      </c>
      <c r="AF1" s="233" t="s">
        <v>1521</v>
      </c>
      <c r="AG1" s="235" t="s">
        <v>193</v>
      </c>
      <c r="AH1" s="233" t="s">
        <v>53</v>
      </c>
      <c r="AI1" s="234" t="s">
        <v>195</v>
      </c>
      <c r="AJ1" s="234" t="s">
        <v>196</v>
      </c>
      <c r="AK1" s="234" t="s">
        <v>197</v>
      </c>
    </row>
    <row r="2" spans="1:218" s="211" customFormat="1" ht="30" customHeight="1">
      <c r="A2" s="197" t="s">
        <v>198</v>
      </c>
      <c r="B2" s="212">
        <v>2617609227</v>
      </c>
      <c r="C2" s="197" t="s">
        <v>131</v>
      </c>
      <c r="D2" s="197" t="s">
        <v>124</v>
      </c>
      <c r="E2" s="197" t="s">
        <v>35</v>
      </c>
      <c r="F2" s="197" t="s">
        <v>1522</v>
      </c>
      <c r="G2" s="197">
        <v>47</v>
      </c>
      <c r="H2" s="197" t="s">
        <v>1484</v>
      </c>
      <c r="I2" s="197" t="s">
        <v>598</v>
      </c>
      <c r="J2" s="197" t="s">
        <v>1523</v>
      </c>
      <c r="K2" s="197" t="s">
        <v>200</v>
      </c>
      <c r="L2" s="203">
        <v>46143.291666666664</v>
      </c>
      <c r="M2" s="203">
        <v>46143.292361111111</v>
      </c>
      <c r="N2" s="197" t="s">
        <v>1524</v>
      </c>
      <c r="O2" s="201" t="s">
        <v>207</v>
      </c>
      <c r="P2" s="294"/>
      <c r="Q2" s="221" t="s">
        <v>77</v>
      </c>
      <c r="R2" s="177"/>
      <c r="S2" s="221" t="s">
        <v>77</v>
      </c>
      <c r="T2" s="177"/>
      <c r="U2" s="221" t="s">
        <v>207</v>
      </c>
      <c r="V2" s="177"/>
      <c r="W2" s="221" t="s">
        <v>214</v>
      </c>
      <c r="X2" s="177"/>
      <c r="Y2" s="221" t="s">
        <v>77</v>
      </c>
      <c r="Z2" s="177"/>
      <c r="AA2" s="221" t="s">
        <v>214</v>
      </c>
      <c r="AB2" s="177"/>
      <c r="AC2" s="221" t="s">
        <v>207</v>
      </c>
      <c r="AD2" s="177"/>
      <c r="AE2" s="221" t="s">
        <v>207</v>
      </c>
      <c r="AF2" s="177" t="str">
        <f>IF(AND(O2="",Q2="",S2="",U2="",W2="",Y2="",AA2="",AC2=""),"",IF(OR(AND(O2&lt;&gt;"NA",O2&lt;&gt;"C",O2&lt;&gt;"NC",O2&lt;&gt;"SF",O2&lt;&gt;""),AND(Q2&lt;&gt;"NA",Q2&lt;&gt;"C",Q2&lt;&gt;"NC",Q2&lt;&gt;"SF",Q2&lt;&gt;""),AND(S2&lt;&gt;"NA",S2&lt;&gt;"C",S2&lt;&gt;"NC",S2&lt;&gt;"SF",S2&lt;&gt;""),AND(U2&lt;&gt;"NA",U2&lt;&gt;"C",U2&lt;&gt;"NC",U2&lt;&gt;"SF",U2&lt;&gt;""),AND(W2&lt;&gt;"NA",W2&lt;&gt;"C",W2&lt;&gt;"NC",W2&lt;&gt;"SF",W2&lt;&gt;""),AND(Y2&lt;&gt;"NA",Y2&lt;&gt;"C",Y2&lt;&gt;"NC",Y2&lt;&gt;"SF",Y2&lt;&gt;""),AND(AA2&lt;&gt;"NA",AA2&lt;&gt;"C",AA2&lt;&gt;"NC",AA2&lt;&gt;"SF",AA2&lt;&gt;""),AND(AC2&lt;&gt;"NA",AC2&lt;&gt;"C",AC2&lt;&gt;"NC",AC2&lt;&gt;"SF",AC2&lt;&gt;"")),"FALSO",IF(AND(O2="NA",Q2="NA",S2="NA",U2="NA",W2="NA",Y2="NA",AA2="NA",AC2="NA"),"NA",IF(OR(O2="NC",Q2="NC",S2="NC",U2="NC",W2="NC",Y2="NC",AA2="NC",AC2="NC",O2="SF",Q2="SF",S2="SF",U2="SF",W2="SF",Y2="SF",AA2="SF",AC2="SF"),"NC",IF(OR(O2="C",Q2="C",S2="C",U2="C",W2="C",Y2="C",AA2="C",AC2="C"),"C","")))))</f>
        <v>NC</v>
      </c>
      <c r="AG2" s="288" t="str">
        <f t="shared" ref="AG2:AG65" si="0">IF(AND(AE2="C",AF2="C"),"UTILIZOU O PDA CORRETAMENTE",IF(AND(AE2="C",AF2="NC"),"UTILIZOU O PDA CORRETAMENTE. NÃO HÁ FOTOS DE TODAS AS ETAPAS",IF(AND(AE2="NC",AF2="NC"),"NÃO UTILIZOU O PDA",IF(AND(AE2="NA",AF2="NA"),"NÃO AVALIADO POR FALHA DE SINCRONISMO"))))</f>
        <v>UTILIZOU O PDA CORRETAMENTE. NÃO HÁ FOTOS DE TODAS AS ETAPAS</v>
      </c>
      <c r="AH2" s="221" t="s">
        <v>207</v>
      </c>
      <c r="AI2" s="289" t="s">
        <v>36</v>
      </c>
      <c r="AJ2" s="289" t="str">
        <f>E2</f>
        <v>SÃO PAULO</v>
      </c>
      <c r="AK2" s="290" t="s">
        <v>75</v>
      </c>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1"/>
      <c r="CE2" s="51"/>
      <c r="CF2" s="51"/>
      <c r="CG2" s="51"/>
      <c r="CH2" s="51"/>
      <c r="CI2" s="51"/>
      <c r="CJ2" s="51"/>
      <c r="CK2" s="51"/>
      <c r="CL2" s="51"/>
      <c r="CM2" s="51"/>
      <c r="CN2" s="51"/>
      <c r="CO2" s="51"/>
      <c r="CP2" s="51"/>
      <c r="CQ2" s="51"/>
      <c r="CR2" s="51"/>
      <c r="CS2" s="51"/>
      <c r="CT2" s="51"/>
      <c r="CU2" s="51"/>
      <c r="CV2" s="51"/>
      <c r="CW2" s="51"/>
      <c r="CX2" s="51"/>
      <c r="CY2" s="51"/>
      <c r="CZ2" s="51"/>
      <c r="DA2" s="51"/>
      <c r="DB2" s="51"/>
      <c r="DC2" s="51"/>
      <c r="DD2" s="51"/>
      <c r="DE2" s="51"/>
      <c r="DF2" s="51"/>
      <c r="DG2" s="51"/>
      <c r="DH2" s="51"/>
      <c r="DI2" s="51"/>
      <c r="DJ2" s="51"/>
      <c r="DK2" s="51"/>
      <c r="DL2" s="51"/>
      <c r="DM2" s="51"/>
      <c r="DN2" s="51"/>
      <c r="DO2" s="51"/>
      <c r="DP2" s="51"/>
      <c r="DQ2" s="51"/>
      <c r="DR2" s="51"/>
      <c r="DS2" s="51"/>
      <c r="DT2" s="51"/>
      <c r="DU2" s="51"/>
      <c r="DV2" s="51"/>
      <c r="DW2" s="51"/>
      <c r="DX2" s="51"/>
      <c r="DY2" s="51"/>
      <c r="DZ2" s="51"/>
      <c r="EA2" s="51"/>
      <c r="EB2" s="51"/>
      <c r="EC2" s="51"/>
      <c r="ED2" s="51"/>
      <c r="EE2" s="51"/>
      <c r="EF2" s="51"/>
      <c r="EG2" s="51"/>
      <c r="EH2" s="51"/>
      <c r="EI2" s="51"/>
      <c r="EJ2" s="51"/>
      <c r="EK2" s="51"/>
      <c r="EL2" s="51"/>
      <c r="EM2" s="51"/>
      <c r="EN2" s="51"/>
      <c r="EO2" s="51"/>
      <c r="EP2" s="51"/>
      <c r="EQ2" s="51"/>
      <c r="ER2" s="51"/>
      <c r="ES2" s="51"/>
      <c r="ET2" s="51"/>
      <c r="EU2" s="51"/>
      <c r="EV2" s="51"/>
      <c r="EW2" s="51"/>
      <c r="EX2" s="51"/>
      <c r="EY2" s="51"/>
      <c r="EZ2" s="51"/>
      <c r="FA2" s="51"/>
      <c r="FB2" s="51"/>
      <c r="FC2" s="51"/>
      <c r="FD2" s="51"/>
      <c r="FE2" s="51"/>
      <c r="FF2" s="51"/>
      <c r="FG2" s="51"/>
      <c r="FH2" s="51"/>
      <c r="FI2" s="51"/>
      <c r="FJ2" s="51"/>
      <c r="FK2" s="51"/>
      <c r="FL2" s="51"/>
      <c r="FM2" s="51"/>
      <c r="FN2" s="51"/>
      <c r="FO2" s="51"/>
      <c r="FP2" s="51"/>
      <c r="FQ2" s="51"/>
      <c r="FR2" s="51"/>
      <c r="FS2" s="51"/>
      <c r="FT2" s="51"/>
      <c r="FU2" s="51"/>
      <c r="FV2" s="51"/>
      <c r="FW2" s="51"/>
      <c r="FX2" s="51"/>
      <c r="FY2" s="51"/>
      <c r="FZ2" s="51"/>
      <c r="GA2" s="51"/>
      <c r="GB2" s="51"/>
      <c r="GC2" s="51"/>
      <c r="GD2" s="51"/>
      <c r="GE2" s="51"/>
      <c r="GF2" s="51"/>
      <c r="GG2" s="51"/>
      <c r="GH2" s="51"/>
      <c r="GI2" s="51"/>
      <c r="GJ2" s="51"/>
      <c r="GK2" s="51"/>
      <c r="GL2" s="51"/>
      <c r="GM2" s="51"/>
      <c r="GN2" s="51"/>
      <c r="GO2" s="51"/>
      <c r="GP2" s="51"/>
      <c r="GQ2" s="51"/>
      <c r="GR2" s="51"/>
      <c r="GS2" s="51"/>
      <c r="GT2" s="51"/>
      <c r="GU2" s="51"/>
      <c r="GV2" s="51"/>
      <c r="GW2" s="51"/>
      <c r="GX2" s="51"/>
      <c r="GY2" s="51"/>
      <c r="GZ2" s="51"/>
      <c r="HA2" s="51"/>
      <c r="HB2" s="51"/>
      <c r="HC2" s="51"/>
      <c r="HD2" s="51"/>
      <c r="HE2" s="51"/>
      <c r="HF2" s="51"/>
      <c r="HG2" s="51"/>
      <c r="HH2" s="51"/>
      <c r="HI2" s="51"/>
      <c r="HJ2" s="51"/>
    </row>
    <row r="3" spans="1:218" s="213" customFormat="1" ht="30" customHeight="1">
      <c r="A3" s="197" t="s">
        <v>198</v>
      </c>
      <c r="B3" s="212">
        <v>2617582441</v>
      </c>
      <c r="C3" s="197" t="s">
        <v>136</v>
      </c>
      <c r="D3" s="197" t="s">
        <v>127</v>
      </c>
      <c r="E3" s="197" t="s">
        <v>35</v>
      </c>
      <c r="F3" s="197" t="s">
        <v>466</v>
      </c>
      <c r="G3" s="197">
        <v>104</v>
      </c>
      <c r="H3" s="197"/>
      <c r="I3" s="197" t="s">
        <v>467</v>
      </c>
      <c r="J3" s="197" t="s">
        <v>1525</v>
      </c>
      <c r="K3" s="197"/>
      <c r="L3" s="203">
        <v>46143.666666666664</v>
      </c>
      <c r="M3" s="203">
        <v>46143.667361111111</v>
      </c>
      <c r="N3" s="197" t="s">
        <v>309</v>
      </c>
      <c r="O3" s="201" t="s">
        <v>77</v>
      </c>
      <c r="P3" s="294"/>
      <c r="Q3" s="221" t="s">
        <v>77</v>
      </c>
      <c r="R3" s="177"/>
      <c r="S3" s="221" t="s">
        <v>77</v>
      </c>
      <c r="T3" s="177"/>
      <c r="U3" s="221" t="s">
        <v>77</v>
      </c>
      <c r="V3" s="177"/>
      <c r="W3" s="221" t="s">
        <v>77</v>
      </c>
      <c r="X3" s="177"/>
      <c r="Y3" s="221" t="s">
        <v>77</v>
      </c>
      <c r="Z3" s="177"/>
      <c r="AA3" s="221" t="s">
        <v>77</v>
      </c>
      <c r="AB3" s="177"/>
      <c r="AC3" s="221" t="s">
        <v>77</v>
      </c>
      <c r="AD3" s="177"/>
      <c r="AE3" s="221" t="s">
        <v>77</v>
      </c>
      <c r="AF3" s="137" t="str">
        <f t="shared" ref="AF3:AF66" si="1">IF(AND(O3="",Q3="",S3="",U3="",W3="",Y3="",AA3="",AC3=""),"",IF(OR(AND(O3&lt;&gt;"NA",O3&lt;&gt;"C",O3&lt;&gt;"NC",O3&lt;&gt;"SF",O3&lt;&gt;""),AND(Q3&lt;&gt;"NA",Q3&lt;&gt;"C",Q3&lt;&gt;"NC",Q3&lt;&gt;"SF",Q3&lt;&gt;""),AND(S3&lt;&gt;"NA",S3&lt;&gt;"C",S3&lt;&gt;"NC",S3&lt;&gt;"SF",S3&lt;&gt;""),AND(U3&lt;&gt;"NA",U3&lt;&gt;"C",U3&lt;&gt;"NC",U3&lt;&gt;"SF",U3&lt;&gt;""),AND(W3&lt;&gt;"NA",W3&lt;&gt;"C",W3&lt;&gt;"NC",W3&lt;&gt;"SF",W3&lt;&gt;""),AND(Y3&lt;&gt;"NA",Y3&lt;&gt;"C",Y3&lt;&gt;"NC",Y3&lt;&gt;"SF",Y3&lt;&gt;""),AND(AA3&lt;&gt;"NA",AA3&lt;&gt;"C",AA3&lt;&gt;"NC",AA3&lt;&gt;"SF",AA3&lt;&gt;""),AND(AC3&lt;&gt;"NA",AC3&lt;&gt;"C",AC3&lt;&gt;"NC",AC3&lt;&gt;"SF",AC3&lt;&gt;"")),"FALSO",IF(AND(O3="NA",Q3="NA",S3="NA",U3="NA",W3="NA",Y3="NA",AA3="NA",AC3="NA"),"NA",IF(OR(O3="NC",Q3="NC",S3="NC",U3="NC",W3="NC",Y3="NC",AA3="NC",AC3="NC",O3="SF",Q3="SF",S3="SF",U3="SF",W3="SF",Y3="SF",AA3="SF",AC3="SF"),"NC",IF(OR(O3="C",Q3="C",S3="C",U3="C",W3="C",Y3="C",AA3="C",AC3="C"),"C","")))))</f>
        <v>NA</v>
      </c>
      <c r="AG3" s="288" t="str">
        <f t="shared" si="0"/>
        <v>NÃO AVALIADO POR FALHA DE SINCRONISMO</v>
      </c>
      <c r="AH3" s="138" t="s">
        <v>207</v>
      </c>
      <c r="AI3" s="291" t="s">
        <v>36</v>
      </c>
      <c r="AJ3" s="291" t="str">
        <f t="shared" ref="AJ3:AJ45" si="2">E3</f>
        <v>SÃO PAULO</v>
      </c>
      <c r="AK3" s="292" t="s">
        <v>75</v>
      </c>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row>
    <row r="4" spans="1:218" s="213" customFormat="1" ht="30" customHeight="1">
      <c r="A4" s="197" t="s">
        <v>198</v>
      </c>
      <c r="B4" s="212">
        <v>2617933177</v>
      </c>
      <c r="C4" s="197" t="s">
        <v>137</v>
      </c>
      <c r="D4" s="197" t="s">
        <v>126</v>
      </c>
      <c r="E4" s="197" t="s">
        <v>35</v>
      </c>
      <c r="F4" s="197" t="s">
        <v>729</v>
      </c>
      <c r="G4" s="197">
        <v>61</v>
      </c>
      <c r="H4" s="197" t="s">
        <v>208</v>
      </c>
      <c r="I4" s="197" t="s">
        <v>515</v>
      </c>
      <c r="J4" s="197" t="s">
        <v>1526</v>
      </c>
      <c r="K4" s="197" t="s">
        <v>1527</v>
      </c>
      <c r="L4" s="203">
        <v>46143.404166666667</v>
      </c>
      <c r="M4" s="203">
        <v>46143.44027777778</v>
      </c>
      <c r="N4" s="197" t="s">
        <v>465</v>
      </c>
      <c r="O4" s="201" t="s">
        <v>207</v>
      </c>
      <c r="P4" s="295"/>
      <c r="Q4" s="138" t="s">
        <v>207</v>
      </c>
      <c r="R4" s="137"/>
      <c r="S4" s="138" t="s">
        <v>207</v>
      </c>
      <c r="T4" s="137"/>
      <c r="U4" s="138" t="s">
        <v>207</v>
      </c>
      <c r="V4" s="137"/>
      <c r="W4" s="138" t="s">
        <v>214</v>
      </c>
      <c r="X4" s="137"/>
      <c r="Y4" s="138" t="s">
        <v>77</v>
      </c>
      <c r="Z4" s="137"/>
      <c r="AA4" s="138" t="s">
        <v>214</v>
      </c>
      <c r="AB4" s="137"/>
      <c r="AC4" s="138" t="s">
        <v>215</v>
      </c>
      <c r="AD4" s="137" t="s">
        <v>882</v>
      </c>
      <c r="AE4" s="138" t="s">
        <v>207</v>
      </c>
      <c r="AF4" s="137" t="str">
        <f t="shared" si="1"/>
        <v>NC</v>
      </c>
      <c r="AG4" s="288" t="str">
        <f t="shared" si="0"/>
        <v>UTILIZOU O PDA CORRETAMENTE. NÃO HÁ FOTOS DE TODAS AS ETAPAS</v>
      </c>
      <c r="AH4" s="138" t="s">
        <v>207</v>
      </c>
      <c r="AI4" s="291" t="s">
        <v>36</v>
      </c>
      <c r="AJ4" s="291" t="str">
        <f t="shared" si="2"/>
        <v>SÃO PAULO</v>
      </c>
      <c r="AK4" s="292" t="s">
        <v>75</v>
      </c>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row>
    <row r="5" spans="1:218" s="213" customFormat="1" ht="30" customHeight="1">
      <c r="A5" s="197" t="s">
        <v>198</v>
      </c>
      <c r="B5" s="212">
        <v>2618106798</v>
      </c>
      <c r="C5" s="197" t="s">
        <v>137</v>
      </c>
      <c r="D5" s="197" t="s">
        <v>126</v>
      </c>
      <c r="E5" s="197" t="s">
        <v>35</v>
      </c>
      <c r="F5" s="197" t="s">
        <v>1528</v>
      </c>
      <c r="G5" s="197">
        <v>315</v>
      </c>
      <c r="H5" s="197" t="s">
        <v>207</v>
      </c>
      <c r="I5" s="197" t="s">
        <v>303</v>
      </c>
      <c r="J5" s="197" t="s">
        <v>1526</v>
      </c>
      <c r="K5" s="197" t="s">
        <v>1529</v>
      </c>
      <c r="L5" s="203">
        <v>46143.616666666669</v>
      </c>
      <c r="M5" s="203">
        <v>46143.678472222222</v>
      </c>
      <c r="N5" s="197" t="s">
        <v>465</v>
      </c>
      <c r="O5" s="201" t="s">
        <v>207</v>
      </c>
      <c r="P5" s="295"/>
      <c r="Q5" s="138" t="s">
        <v>215</v>
      </c>
      <c r="R5" s="137" t="s">
        <v>1530</v>
      </c>
      <c r="S5" s="138" t="s">
        <v>214</v>
      </c>
      <c r="T5" s="137"/>
      <c r="U5" s="138" t="s">
        <v>207</v>
      </c>
      <c r="V5" s="137"/>
      <c r="W5" s="138" t="s">
        <v>214</v>
      </c>
      <c r="X5" s="137"/>
      <c r="Y5" s="138" t="s">
        <v>77</v>
      </c>
      <c r="Z5" s="137"/>
      <c r="AA5" s="138" t="s">
        <v>214</v>
      </c>
      <c r="AB5" s="137"/>
      <c r="AC5" s="138" t="s">
        <v>215</v>
      </c>
      <c r="AD5" s="137" t="s">
        <v>882</v>
      </c>
      <c r="AE5" s="138" t="s">
        <v>207</v>
      </c>
      <c r="AF5" s="137" t="str">
        <f t="shared" si="1"/>
        <v>NC</v>
      </c>
      <c r="AG5" s="288" t="str">
        <f t="shared" si="0"/>
        <v>UTILIZOU O PDA CORRETAMENTE. NÃO HÁ FOTOS DE TODAS AS ETAPAS</v>
      </c>
      <c r="AH5" s="138" t="s">
        <v>207</v>
      </c>
      <c r="AI5" s="291" t="s">
        <v>36</v>
      </c>
      <c r="AJ5" s="291" t="str">
        <f t="shared" si="2"/>
        <v>SÃO PAULO</v>
      </c>
      <c r="AK5" s="292" t="s">
        <v>75</v>
      </c>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row>
    <row r="6" spans="1:218" s="213" customFormat="1" ht="30" customHeight="1">
      <c r="A6" s="197" t="s">
        <v>198</v>
      </c>
      <c r="B6" s="212">
        <v>2618108889</v>
      </c>
      <c r="C6" s="197" t="s">
        <v>131</v>
      </c>
      <c r="D6" s="197" t="s">
        <v>124</v>
      </c>
      <c r="E6" s="197" t="s">
        <v>35</v>
      </c>
      <c r="F6" s="197" t="s">
        <v>1531</v>
      </c>
      <c r="G6" s="197">
        <v>0</v>
      </c>
      <c r="H6" s="197"/>
      <c r="I6" s="197" t="s">
        <v>1532</v>
      </c>
      <c r="J6" s="197" t="s">
        <v>1523</v>
      </c>
      <c r="K6" s="197" t="s">
        <v>1533</v>
      </c>
      <c r="L6" s="203">
        <v>46143.379166666666</v>
      </c>
      <c r="M6" s="203">
        <v>46143.620833333334</v>
      </c>
      <c r="N6" s="197" t="s">
        <v>1524</v>
      </c>
      <c r="O6" s="201" t="s">
        <v>207</v>
      </c>
      <c r="P6" s="295"/>
      <c r="Q6" s="138" t="s">
        <v>215</v>
      </c>
      <c r="R6" s="137" t="s">
        <v>310</v>
      </c>
      <c r="S6" s="138" t="s">
        <v>214</v>
      </c>
      <c r="T6" s="137"/>
      <c r="U6" s="138" t="s">
        <v>214</v>
      </c>
      <c r="V6" s="137"/>
      <c r="W6" s="138" t="s">
        <v>214</v>
      </c>
      <c r="X6" s="137"/>
      <c r="Y6" s="138" t="s">
        <v>77</v>
      </c>
      <c r="Z6" s="137"/>
      <c r="AA6" s="138" t="s">
        <v>214</v>
      </c>
      <c r="AB6" s="137"/>
      <c r="AC6" s="138" t="s">
        <v>207</v>
      </c>
      <c r="AD6" s="137"/>
      <c r="AE6" s="138" t="s">
        <v>207</v>
      </c>
      <c r="AF6" s="137" t="str">
        <f t="shared" si="1"/>
        <v>NC</v>
      </c>
      <c r="AG6" s="288" t="str">
        <f t="shared" si="0"/>
        <v>UTILIZOU O PDA CORRETAMENTE. NÃO HÁ FOTOS DE TODAS AS ETAPAS</v>
      </c>
      <c r="AH6" s="138" t="s">
        <v>207</v>
      </c>
      <c r="AI6" s="291" t="s">
        <v>36</v>
      </c>
      <c r="AJ6" s="291" t="str">
        <f t="shared" si="2"/>
        <v>SÃO PAULO</v>
      </c>
      <c r="AK6" s="292" t="s">
        <v>75</v>
      </c>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row>
    <row r="7" spans="1:218" s="213" customFormat="1" ht="30" customHeight="1">
      <c r="A7" s="197" t="s">
        <v>198</v>
      </c>
      <c r="B7" s="212">
        <v>2617956571</v>
      </c>
      <c r="C7" s="197" t="s">
        <v>1534</v>
      </c>
      <c r="D7" s="197" t="s">
        <v>126</v>
      </c>
      <c r="E7" s="197" t="s">
        <v>35</v>
      </c>
      <c r="F7" s="197" t="s">
        <v>1535</v>
      </c>
      <c r="G7" s="197">
        <v>261</v>
      </c>
      <c r="H7" s="197" t="s">
        <v>208</v>
      </c>
      <c r="I7" s="197" t="s">
        <v>201</v>
      </c>
      <c r="J7" s="197" t="s">
        <v>1536</v>
      </c>
      <c r="K7" s="197" t="s">
        <v>200</v>
      </c>
      <c r="L7" s="203">
        <v>46143.291666666664</v>
      </c>
      <c r="M7" s="203">
        <v>46143.292361111111</v>
      </c>
      <c r="N7" s="197" t="s">
        <v>1537</v>
      </c>
      <c r="O7" s="201" t="s">
        <v>207</v>
      </c>
      <c r="P7" s="295"/>
      <c r="Q7" s="138" t="s">
        <v>215</v>
      </c>
      <c r="R7" s="137" t="s">
        <v>310</v>
      </c>
      <c r="S7" s="138" t="s">
        <v>214</v>
      </c>
      <c r="T7" s="137"/>
      <c r="U7" s="138" t="s">
        <v>207</v>
      </c>
      <c r="V7" s="137"/>
      <c r="W7" s="138" t="s">
        <v>214</v>
      </c>
      <c r="X7" s="137"/>
      <c r="Y7" s="138" t="s">
        <v>77</v>
      </c>
      <c r="Z7" s="137"/>
      <c r="AA7" s="138" t="s">
        <v>214</v>
      </c>
      <c r="AB7" s="137"/>
      <c r="AC7" s="138" t="s">
        <v>214</v>
      </c>
      <c r="AD7" s="137"/>
      <c r="AE7" s="138" t="s">
        <v>207</v>
      </c>
      <c r="AF7" s="137" t="str">
        <f t="shared" si="1"/>
        <v>NC</v>
      </c>
      <c r="AG7" s="288" t="str">
        <f t="shared" si="0"/>
        <v>UTILIZOU O PDA CORRETAMENTE. NÃO HÁ FOTOS DE TODAS AS ETAPAS</v>
      </c>
      <c r="AH7" s="138" t="s">
        <v>207</v>
      </c>
      <c r="AI7" s="291" t="s">
        <v>36</v>
      </c>
      <c r="AJ7" s="291" t="str">
        <f t="shared" si="2"/>
        <v>SÃO PAULO</v>
      </c>
      <c r="AK7" s="292" t="s">
        <v>75</v>
      </c>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row>
    <row r="8" spans="1:218" s="213" customFormat="1" ht="30" customHeight="1">
      <c r="A8" s="197" t="s">
        <v>198</v>
      </c>
      <c r="B8" s="212">
        <v>2617929454</v>
      </c>
      <c r="C8" s="197" t="s">
        <v>138</v>
      </c>
      <c r="D8" s="197" t="s">
        <v>124</v>
      </c>
      <c r="E8" s="197" t="s">
        <v>35</v>
      </c>
      <c r="F8" s="197" t="s">
        <v>1538</v>
      </c>
      <c r="G8" s="197">
        <v>113</v>
      </c>
      <c r="H8" s="197" t="s">
        <v>205</v>
      </c>
      <c r="I8" s="197" t="s">
        <v>701</v>
      </c>
      <c r="J8" s="197" t="s">
        <v>1539</v>
      </c>
      <c r="K8" s="197"/>
      <c r="L8" s="203">
        <v>46143.408333333333</v>
      </c>
      <c r="M8" s="203">
        <v>46143.506249999999</v>
      </c>
      <c r="N8" s="197" t="s">
        <v>1537</v>
      </c>
      <c r="O8" s="201" t="s">
        <v>207</v>
      </c>
      <c r="P8" s="295"/>
      <c r="Q8" s="138" t="s">
        <v>215</v>
      </c>
      <c r="R8" s="137" t="s">
        <v>1540</v>
      </c>
      <c r="S8" s="138" t="s">
        <v>214</v>
      </c>
      <c r="T8" s="137"/>
      <c r="U8" s="138" t="s">
        <v>207</v>
      </c>
      <c r="V8" s="137"/>
      <c r="W8" s="138" t="s">
        <v>214</v>
      </c>
      <c r="X8" s="137"/>
      <c r="Y8" s="138" t="s">
        <v>77</v>
      </c>
      <c r="Z8" s="137"/>
      <c r="AA8" s="138" t="s">
        <v>207</v>
      </c>
      <c r="AB8" s="137"/>
      <c r="AC8" s="138" t="s">
        <v>214</v>
      </c>
      <c r="AD8" s="137"/>
      <c r="AE8" s="138" t="s">
        <v>207</v>
      </c>
      <c r="AF8" s="137" t="str">
        <f t="shared" si="1"/>
        <v>NC</v>
      </c>
      <c r="AG8" s="288" t="str">
        <f t="shared" si="0"/>
        <v>UTILIZOU O PDA CORRETAMENTE. NÃO HÁ FOTOS DE TODAS AS ETAPAS</v>
      </c>
      <c r="AH8" s="138" t="s">
        <v>207</v>
      </c>
      <c r="AI8" s="291" t="s">
        <v>36</v>
      </c>
      <c r="AJ8" s="291" t="str">
        <f t="shared" si="2"/>
        <v>SÃO PAULO</v>
      </c>
      <c r="AK8" s="292" t="s">
        <v>75</v>
      </c>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row>
    <row r="9" spans="1:218" s="213" customFormat="1" ht="30" customHeight="1">
      <c r="A9" s="197" t="s">
        <v>198</v>
      </c>
      <c r="B9" s="212">
        <v>2618307064</v>
      </c>
      <c r="C9" s="197" t="s">
        <v>131</v>
      </c>
      <c r="D9" s="197" t="s">
        <v>124</v>
      </c>
      <c r="E9" s="197" t="s">
        <v>35</v>
      </c>
      <c r="F9" s="197" t="s">
        <v>334</v>
      </c>
      <c r="G9" s="197">
        <v>8</v>
      </c>
      <c r="H9" s="197" t="s">
        <v>335</v>
      </c>
      <c r="I9" s="197" t="s">
        <v>319</v>
      </c>
      <c r="J9" s="197" t="s">
        <v>1523</v>
      </c>
      <c r="K9" s="197" t="s">
        <v>1541</v>
      </c>
      <c r="L9" s="203">
        <v>46143.696527777778</v>
      </c>
      <c r="M9" s="203">
        <v>46143.82708333333</v>
      </c>
      <c r="N9" s="197" t="s">
        <v>1524</v>
      </c>
      <c r="O9" s="201" t="s">
        <v>207</v>
      </c>
      <c r="P9" s="295"/>
      <c r="Q9" s="138" t="s">
        <v>215</v>
      </c>
      <c r="R9" s="137" t="s">
        <v>1540</v>
      </c>
      <c r="S9" s="138" t="s">
        <v>214</v>
      </c>
      <c r="T9" s="137"/>
      <c r="U9" s="138" t="s">
        <v>207</v>
      </c>
      <c r="V9" s="137"/>
      <c r="W9" s="138" t="s">
        <v>214</v>
      </c>
      <c r="X9" s="137"/>
      <c r="Y9" s="138" t="s">
        <v>214</v>
      </c>
      <c r="Z9" s="137"/>
      <c r="AA9" s="138" t="s">
        <v>214</v>
      </c>
      <c r="AB9" s="137"/>
      <c r="AC9" s="138" t="s">
        <v>215</v>
      </c>
      <c r="AD9" s="137" t="s">
        <v>298</v>
      </c>
      <c r="AE9" s="138" t="s">
        <v>207</v>
      </c>
      <c r="AF9" s="137" t="str">
        <f t="shared" si="1"/>
        <v>NC</v>
      </c>
      <c r="AG9" s="288" t="str">
        <f t="shared" si="0"/>
        <v>UTILIZOU O PDA CORRETAMENTE. NÃO HÁ FOTOS DE TODAS AS ETAPAS</v>
      </c>
      <c r="AH9" s="138" t="s">
        <v>207</v>
      </c>
      <c r="AI9" s="291" t="s">
        <v>36</v>
      </c>
      <c r="AJ9" s="291" t="str">
        <f t="shared" si="2"/>
        <v>SÃO PAULO</v>
      </c>
      <c r="AK9" s="292" t="s">
        <v>75</v>
      </c>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row>
    <row r="10" spans="1:218" s="213" customFormat="1" ht="30" customHeight="1">
      <c r="A10" s="197" t="s">
        <v>198</v>
      </c>
      <c r="B10" s="212">
        <v>2618306834</v>
      </c>
      <c r="C10" s="197" t="s">
        <v>1542</v>
      </c>
      <c r="D10" s="197" t="s">
        <v>127</v>
      </c>
      <c r="E10" s="197" t="s">
        <v>35</v>
      </c>
      <c r="F10" s="197" t="s">
        <v>613</v>
      </c>
      <c r="G10" s="197">
        <v>43</v>
      </c>
      <c r="H10" s="197"/>
      <c r="I10" s="197" t="s">
        <v>614</v>
      </c>
      <c r="J10" s="197" t="s">
        <v>1543</v>
      </c>
      <c r="K10" s="197" t="s">
        <v>1544</v>
      </c>
      <c r="L10" s="203">
        <v>46144.40347222222</v>
      </c>
      <c r="M10" s="203">
        <v>46144.438194444447</v>
      </c>
      <c r="N10" s="197" t="s">
        <v>203</v>
      </c>
      <c r="O10" s="201" t="s">
        <v>207</v>
      </c>
      <c r="P10" s="295"/>
      <c r="Q10" s="138" t="s">
        <v>207</v>
      </c>
      <c r="R10" s="137"/>
      <c r="S10" s="138" t="s">
        <v>215</v>
      </c>
      <c r="T10" s="137" t="s">
        <v>275</v>
      </c>
      <c r="U10" s="138" t="s">
        <v>207</v>
      </c>
      <c r="V10" s="137"/>
      <c r="W10" s="138" t="s">
        <v>214</v>
      </c>
      <c r="X10" s="137"/>
      <c r="Y10" s="138" t="s">
        <v>77</v>
      </c>
      <c r="Z10" s="137"/>
      <c r="AA10" s="138" t="s">
        <v>214</v>
      </c>
      <c r="AB10" s="137"/>
      <c r="AC10" s="138" t="s">
        <v>215</v>
      </c>
      <c r="AD10" s="137" t="s">
        <v>1545</v>
      </c>
      <c r="AE10" s="138" t="s">
        <v>207</v>
      </c>
      <c r="AF10" s="137" t="str">
        <f t="shared" si="1"/>
        <v>NC</v>
      </c>
      <c r="AG10" s="288" t="str">
        <f t="shared" si="0"/>
        <v>UTILIZOU O PDA CORRETAMENTE. NÃO HÁ FOTOS DE TODAS AS ETAPAS</v>
      </c>
      <c r="AH10" s="138" t="s">
        <v>207</v>
      </c>
      <c r="AI10" s="291" t="s">
        <v>36</v>
      </c>
      <c r="AJ10" s="291" t="str">
        <f t="shared" si="2"/>
        <v>SÃO PAULO</v>
      </c>
      <c r="AK10" s="292" t="s">
        <v>75</v>
      </c>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row>
    <row r="11" spans="1:218" s="213" customFormat="1" ht="30" customHeight="1">
      <c r="A11" s="197" t="s">
        <v>198</v>
      </c>
      <c r="B11" s="212">
        <v>2618306807</v>
      </c>
      <c r="C11" s="197" t="s">
        <v>1542</v>
      </c>
      <c r="D11" s="197" t="s">
        <v>127</v>
      </c>
      <c r="E11" s="197" t="s">
        <v>35</v>
      </c>
      <c r="F11" s="197" t="s">
        <v>613</v>
      </c>
      <c r="G11" s="197">
        <v>65</v>
      </c>
      <c r="H11" s="197" t="s">
        <v>200</v>
      </c>
      <c r="I11" s="197" t="s">
        <v>614</v>
      </c>
      <c r="J11" s="197" t="s">
        <v>1543</v>
      </c>
      <c r="K11" s="197" t="s">
        <v>200</v>
      </c>
      <c r="L11" s="203">
        <v>46144.439583333333</v>
      </c>
      <c r="M11" s="203">
        <v>46144.440972222219</v>
      </c>
      <c r="N11" s="197" t="s">
        <v>203</v>
      </c>
      <c r="O11" s="201" t="s">
        <v>207</v>
      </c>
      <c r="P11" s="295"/>
      <c r="Q11" s="138" t="s">
        <v>207</v>
      </c>
      <c r="R11" s="137"/>
      <c r="S11" s="138" t="s">
        <v>214</v>
      </c>
      <c r="T11" s="137"/>
      <c r="U11" s="138" t="s">
        <v>207</v>
      </c>
      <c r="V11" s="137"/>
      <c r="W11" s="138" t="s">
        <v>214</v>
      </c>
      <c r="X11" s="137"/>
      <c r="Y11" s="138" t="s">
        <v>77</v>
      </c>
      <c r="Z11" s="137"/>
      <c r="AA11" s="138" t="s">
        <v>214</v>
      </c>
      <c r="AB11" s="137"/>
      <c r="AC11" s="138" t="s">
        <v>214</v>
      </c>
      <c r="AD11" s="137" t="s">
        <v>1545</v>
      </c>
      <c r="AE11" s="138" t="s">
        <v>207</v>
      </c>
      <c r="AF11" s="137" t="str">
        <f t="shared" si="1"/>
        <v>NC</v>
      </c>
      <c r="AG11" s="288" t="str">
        <f t="shared" si="0"/>
        <v>UTILIZOU O PDA CORRETAMENTE. NÃO HÁ FOTOS DE TODAS AS ETAPAS</v>
      </c>
      <c r="AH11" s="138" t="s">
        <v>207</v>
      </c>
      <c r="AI11" s="291" t="s">
        <v>36</v>
      </c>
      <c r="AJ11" s="291" t="str">
        <f t="shared" si="2"/>
        <v>SÃO PAULO</v>
      </c>
      <c r="AK11" s="292" t="s">
        <v>75</v>
      </c>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GY11" s="11"/>
      <c r="GZ11" s="11"/>
      <c r="HA11" s="11"/>
      <c r="HB11" s="11"/>
      <c r="HC11" s="11"/>
      <c r="HD11" s="11"/>
      <c r="HE11" s="11"/>
      <c r="HF11" s="11"/>
      <c r="HG11" s="11"/>
      <c r="HH11" s="11"/>
      <c r="HI11" s="11"/>
      <c r="HJ11" s="11"/>
    </row>
    <row r="12" spans="1:218" s="213" customFormat="1" ht="30" customHeight="1">
      <c r="A12" s="197" t="s">
        <v>198</v>
      </c>
      <c r="B12" s="212">
        <v>2618150461</v>
      </c>
      <c r="C12" s="197" t="s">
        <v>1534</v>
      </c>
      <c r="D12" s="197" t="s">
        <v>126</v>
      </c>
      <c r="E12" s="197" t="s">
        <v>35</v>
      </c>
      <c r="F12" s="197" t="s">
        <v>1419</v>
      </c>
      <c r="G12" s="197">
        <v>29</v>
      </c>
      <c r="H12" s="197"/>
      <c r="I12" s="197" t="s">
        <v>417</v>
      </c>
      <c r="J12" s="197" t="s">
        <v>1536</v>
      </c>
      <c r="K12" s="197"/>
      <c r="L12" s="203">
        <v>46144.291666666664</v>
      </c>
      <c r="M12" s="203">
        <v>46144.292361111111</v>
      </c>
      <c r="N12" s="197" t="s">
        <v>1546</v>
      </c>
      <c r="O12" s="201" t="s">
        <v>77</v>
      </c>
      <c r="P12" s="295"/>
      <c r="Q12" s="138" t="s">
        <v>77</v>
      </c>
      <c r="R12" s="137"/>
      <c r="S12" s="138" t="s">
        <v>77</v>
      </c>
      <c r="T12" s="137"/>
      <c r="U12" s="138" t="s">
        <v>77</v>
      </c>
      <c r="V12" s="137"/>
      <c r="W12" s="138" t="s">
        <v>77</v>
      </c>
      <c r="X12" s="137"/>
      <c r="Y12" s="138" t="s">
        <v>77</v>
      </c>
      <c r="Z12" s="137"/>
      <c r="AA12" s="138" t="s">
        <v>77</v>
      </c>
      <c r="AB12" s="137"/>
      <c r="AC12" s="138" t="s">
        <v>77</v>
      </c>
      <c r="AD12" s="137"/>
      <c r="AE12" s="138" t="s">
        <v>77</v>
      </c>
      <c r="AF12" s="137" t="str">
        <f t="shared" si="1"/>
        <v>NA</v>
      </c>
      <c r="AG12" s="288" t="str">
        <f t="shared" si="0"/>
        <v>NÃO AVALIADO POR FALHA DE SINCRONISMO</v>
      </c>
      <c r="AH12" s="138" t="s">
        <v>207</v>
      </c>
      <c r="AI12" s="291" t="s">
        <v>36</v>
      </c>
      <c r="AJ12" s="291" t="str">
        <f t="shared" si="2"/>
        <v>SÃO PAULO</v>
      </c>
      <c r="AK12" s="293" t="s">
        <v>75</v>
      </c>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row>
    <row r="13" spans="1:218" s="213" customFormat="1" ht="30" customHeight="1">
      <c r="A13" s="197" t="s">
        <v>198</v>
      </c>
      <c r="B13" s="212">
        <v>2618150461</v>
      </c>
      <c r="C13" s="197" t="s">
        <v>138</v>
      </c>
      <c r="D13" s="197" t="s">
        <v>124</v>
      </c>
      <c r="E13" s="197" t="s">
        <v>35</v>
      </c>
      <c r="F13" s="197" t="s">
        <v>1419</v>
      </c>
      <c r="G13" s="197">
        <v>29</v>
      </c>
      <c r="H13" s="197" t="s">
        <v>200</v>
      </c>
      <c r="I13" s="197" t="s">
        <v>417</v>
      </c>
      <c r="J13" s="197" t="s">
        <v>1539</v>
      </c>
      <c r="K13" s="197" t="s">
        <v>200</v>
      </c>
      <c r="L13" s="203">
        <v>46144.298611111109</v>
      </c>
      <c r="M13" s="203">
        <v>46144.299305555556</v>
      </c>
      <c r="N13" s="197" t="s">
        <v>1546</v>
      </c>
      <c r="O13" s="201" t="s">
        <v>77</v>
      </c>
      <c r="P13" s="295"/>
      <c r="Q13" s="138" t="s">
        <v>77</v>
      </c>
      <c r="R13" s="137"/>
      <c r="S13" s="138" t="s">
        <v>77</v>
      </c>
      <c r="T13" s="137"/>
      <c r="U13" s="138" t="s">
        <v>77</v>
      </c>
      <c r="V13" s="137"/>
      <c r="W13" s="138" t="s">
        <v>77</v>
      </c>
      <c r="X13" s="137"/>
      <c r="Y13" s="138" t="s">
        <v>77</v>
      </c>
      <c r="Z13" s="137"/>
      <c r="AA13" s="138" t="s">
        <v>77</v>
      </c>
      <c r="AB13" s="137"/>
      <c r="AC13" s="138" t="s">
        <v>77</v>
      </c>
      <c r="AD13" s="137"/>
      <c r="AE13" s="138" t="s">
        <v>77</v>
      </c>
      <c r="AF13" s="137" t="str">
        <f t="shared" si="1"/>
        <v>NA</v>
      </c>
      <c r="AG13" s="288" t="str">
        <f t="shared" si="0"/>
        <v>NÃO AVALIADO POR FALHA DE SINCRONISMO</v>
      </c>
      <c r="AH13" s="138" t="s">
        <v>207</v>
      </c>
      <c r="AI13" s="291" t="s">
        <v>36</v>
      </c>
      <c r="AJ13" s="291" t="str">
        <f t="shared" si="2"/>
        <v>SÃO PAULO</v>
      </c>
      <c r="AK13" s="292" t="s">
        <v>75</v>
      </c>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1"/>
      <c r="GN13" s="11"/>
      <c r="GO13" s="11"/>
      <c r="GP13" s="11"/>
      <c r="GQ13" s="11"/>
      <c r="GR13" s="11"/>
      <c r="GS13" s="11"/>
      <c r="GT13" s="11"/>
      <c r="GU13" s="11"/>
      <c r="GV13" s="11"/>
      <c r="GW13" s="11"/>
      <c r="GX13" s="11"/>
      <c r="GY13" s="11"/>
      <c r="GZ13" s="11"/>
      <c r="HA13" s="11"/>
      <c r="HB13" s="11"/>
      <c r="HC13" s="11"/>
      <c r="HD13" s="11"/>
      <c r="HE13" s="11"/>
      <c r="HF13" s="11"/>
      <c r="HG13" s="11"/>
      <c r="HH13" s="11"/>
      <c r="HI13" s="11"/>
      <c r="HJ13" s="11"/>
    </row>
    <row r="14" spans="1:218" s="213" customFormat="1" ht="30" customHeight="1">
      <c r="A14" s="197" t="s">
        <v>198</v>
      </c>
      <c r="B14" s="212">
        <v>2618417472</v>
      </c>
      <c r="C14" s="197" t="s">
        <v>1547</v>
      </c>
      <c r="D14" s="197" t="s">
        <v>124</v>
      </c>
      <c r="E14" s="197" t="s">
        <v>35</v>
      </c>
      <c r="F14" s="197" t="s">
        <v>1548</v>
      </c>
      <c r="G14" s="197">
        <v>40</v>
      </c>
      <c r="H14" s="197" t="s">
        <v>200</v>
      </c>
      <c r="I14" s="197" t="s">
        <v>287</v>
      </c>
      <c r="J14" s="197" t="s">
        <v>1549</v>
      </c>
      <c r="K14" s="197" t="s">
        <v>200</v>
      </c>
      <c r="L14" s="203">
        <v>46145.497916666667</v>
      </c>
      <c r="M14" s="203">
        <v>46145.506249999999</v>
      </c>
      <c r="N14" s="197" t="s">
        <v>1537</v>
      </c>
      <c r="O14" s="201" t="s">
        <v>207</v>
      </c>
      <c r="P14" s="295"/>
      <c r="Q14" s="138" t="s">
        <v>215</v>
      </c>
      <c r="R14" s="137" t="s">
        <v>1550</v>
      </c>
      <c r="S14" s="138" t="s">
        <v>77</v>
      </c>
      <c r="T14" s="137"/>
      <c r="U14" s="138" t="s">
        <v>207</v>
      </c>
      <c r="V14" s="137"/>
      <c r="W14" s="138" t="s">
        <v>214</v>
      </c>
      <c r="X14" s="137"/>
      <c r="Y14" s="138" t="s">
        <v>77</v>
      </c>
      <c r="Z14" s="137"/>
      <c r="AA14" s="138" t="s">
        <v>214</v>
      </c>
      <c r="AB14" s="137"/>
      <c r="AC14" s="138" t="s">
        <v>207</v>
      </c>
      <c r="AD14" s="137"/>
      <c r="AE14" s="138" t="s">
        <v>207</v>
      </c>
      <c r="AF14" s="137" t="str">
        <f t="shared" si="1"/>
        <v>NC</v>
      </c>
      <c r="AG14" s="288" t="str">
        <f t="shared" si="0"/>
        <v>UTILIZOU O PDA CORRETAMENTE. NÃO HÁ FOTOS DE TODAS AS ETAPAS</v>
      </c>
      <c r="AH14" s="138" t="s">
        <v>207</v>
      </c>
      <c r="AI14" s="291" t="s">
        <v>36</v>
      </c>
      <c r="AJ14" s="291" t="str">
        <f t="shared" si="2"/>
        <v>SÃO PAULO</v>
      </c>
      <c r="AK14" s="292" t="s">
        <v>75</v>
      </c>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row>
    <row r="15" spans="1:218" s="213" customFormat="1" ht="30" customHeight="1">
      <c r="A15" s="197" t="s">
        <v>198</v>
      </c>
      <c r="B15" s="212">
        <v>2618418756</v>
      </c>
      <c r="C15" s="197" t="s">
        <v>138</v>
      </c>
      <c r="D15" s="197" t="s">
        <v>124</v>
      </c>
      <c r="E15" s="197" t="s">
        <v>35</v>
      </c>
      <c r="F15" s="197" t="s">
        <v>1551</v>
      </c>
      <c r="G15" s="197">
        <v>229</v>
      </c>
      <c r="H15" s="197" t="s">
        <v>200</v>
      </c>
      <c r="I15" s="197" t="s">
        <v>290</v>
      </c>
      <c r="J15" s="197" t="s">
        <v>1539</v>
      </c>
      <c r="K15" s="197" t="s">
        <v>200</v>
      </c>
      <c r="L15" s="203">
        <v>46145.638888888891</v>
      </c>
      <c r="M15" s="203">
        <v>46145.740277777775</v>
      </c>
      <c r="N15" s="197" t="s">
        <v>1537</v>
      </c>
      <c r="O15" s="201" t="s">
        <v>207</v>
      </c>
      <c r="P15" s="295"/>
      <c r="Q15" s="138" t="s">
        <v>214</v>
      </c>
      <c r="R15" s="137"/>
      <c r="S15" s="138" t="s">
        <v>207</v>
      </c>
      <c r="T15" s="137"/>
      <c r="U15" s="138" t="s">
        <v>207</v>
      </c>
      <c r="V15" s="137"/>
      <c r="W15" s="138" t="s">
        <v>214</v>
      </c>
      <c r="X15" s="137"/>
      <c r="Y15" s="138" t="s">
        <v>214</v>
      </c>
      <c r="Z15" s="137"/>
      <c r="AA15" s="138" t="s">
        <v>207</v>
      </c>
      <c r="AB15" s="137"/>
      <c r="AC15" s="138" t="s">
        <v>215</v>
      </c>
      <c r="AD15" s="137" t="s">
        <v>441</v>
      </c>
      <c r="AE15" s="138" t="s">
        <v>207</v>
      </c>
      <c r="AF15" s="137" t="str">
        <f t="shared" si="1"/>
        <v>NC</v>
      </c>
      <c r="AG15" s="288" t="str">
        <f t="shared" si="0"/>
        <v>UTILIZOU O PDA CORRETAMENTE. NÃO HÁ FOTOS DE TODAS AS ETAPAS</v>
      </c>
      <c r="AH15" s="138" t="s">
        <v>207</v>
      </c>
      <c r="AI15" s="291" t="s">
        <v>36</v>
      </c>
      <c r="AJ15" s="291" t="str">
        <f t="shared" si="2"/>
        <v>SÃO PAULO</v>
      </c>
      <c r="AK15" s="292" t="s">
        <v>75</v>
      </c>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1"/>
      <c r="GN15" s="11"/>
      <c r="GO15" s="11"/>
      <c r="GP15" s="11"/>
      <c r="GQ15" s="11"/>
      <c r="GR15" s="11"/>
      <c r="GS15" s="11"/>
      <c r="GT15" s="11"/>
      <c r="GU15" s="11"/>
      <c r="GV15" s="11"/>
      <c r="GW15" s="11"/>
      <c r="GX15" s="11"/>
      <c r="GY15" s="11"/>
      <c r="GZ15" s="11"/>
      <c r="HA15" s="11"/>
      <c r="HB15" s="11"/>
      <c r="HC15" s="11"/>
      <c r="HD15" s="11"/>
      <c r="HE15" s="11"/>
      <c r="HF15" s="11"/>
      <c r="HG15" s="11"/>
      <c r="HH15" s="11"/>
      <c r="HI15" s="11"/>
      <c r="HJ15" s="11"/>
    </row>
    <row r="16" spans="1:218" s="213" customFormat="1" ht="30" customHeight="1">
      <c r="A16" s="197" t="s">
        <v>198</v>
      </c>
      <c r="B16" s="212">
        <v>2617995481</v>
      </c>
      <c r="C16" s="197" t="s">
        <v>134</v>
      </c>
      <c r="D16" s="197" t="s">
        <v>125</v>
      </c>
      <c r="E16" s="197" t="s">
        <v>35</v>
      </c>
      <c r="F16" s="197" t="s">
        <v>1552</v>
      </c>
      <c r="G16" s="197">
        <v>15</v>
      </c>
      <c r="H16" s="197"/>
      <c r="I16" s="197" t="s">
        <v>853</v>
      </c>
      <c r="J16" s="197" t="s">
        <v>134</v>
      </c>
      <c r="K16" s="197"/>
      <c r="L16" s="203">
        <v>46147.465277777781</v>
      </c>
      <c r="M16" s="203">
        <v>46147.613888888889</v>
      </c>
      <c r="N16" s="197" t="s">
        <v>465</v>
      </c>
      <c r="O16" s="201" t="s">
        <v>207</v>
      </c>
      <c r="P16" s="295"/>
      <c r="Q16" s="138" t="s">
        <v>215</v>
      </c>
      <c r="R16" s="137" t="s">
        <v>263</v>
      </c>
      <c r="S16" s="138" t="s">
        <v>214</v>
      </c>
      <c r="T16" s="137"/>
      <c r="U16" s="138" t="s">
        <v>77</v>
      </c>
      <c r="V16" s="137"/>
      <c r="W16" s="138" t="s">
        <v>214</v>
      </c>
      <c r="X16" s="137"/>
      <c r="Y16" s="138" t="s">
        <v>77</v>
      </c>
      <c r="Z16" s="137"/>
      <c r="AA16" s="138" t="s">
        <v>214</v>
      </c>
      <c r="AB16" s="137"/>
      <c r="AC16" s="138" t="s">
        <v>215</v>
      </c>
      <c r="AD16" s="137" t="s">
        <v>882</v>
      </c>
      <c r="AE16" s="138" t="s">
        <v>207</v>
      </c>
      <c r="AF16" s="137" t="str">
        <f t="shared" si="1"/>
        <v>NC</v>
      </c>
      <c r="AG16" s="288" t="str">
        <f t="shared" si="0"/>
        <v>UTILIZOU O PDA CORRETAMENTE. NÃO HÁ FOTOS DE TODAS AS ETAPAS</v>
      </c>
      <c r="AH16" s="138" t="s">
        <v>207</v>
      </c>
      <c r="AI16" s="291" t="s">
        <v>36</v>
      </c>
      <c r="AJ16" s="291" t="str">
        <f t="shared" si="2"/>
        <v>SÃO PAULO</v>
      </c>
      <c r="AK16" s="292" t="s">
        <v>75</v>
      </c>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row>
    <row r="17" spans="1:218" s="213" customFormat="1" ht="30" customHeight="1">
      <c r="A17" s="197" t="s">
        <v>198</v>
      </c>
      <c r="B17" s="212">
        <v>2618306153</v>
      </c>
      <c r="C17" s="197" t="s">
        <v>136</v>
      </c>
      <c r="D17" s="197" t="s">
        <v>127</v>
      </c>
      <c r="E17" s="197" t="s">
        <v>35</v>
      </c>
      <c r="F17" s="197" t="s">
        <v>498</v>
      </c>
      <c r="G17" s="197">
        <v>4778</v>
      </c>
      <c r="H17" s="197" t="s">
        <v>208</v>
      </c>
      <c r="I17" s="197" t="s">
        <v>1331</v>
      </c>
      <c r="J17" s="197" t="s">
        <v>1553</v>
      </c>
      <c r="K17" s="197" t="s">
        <v>200</v>
      </c>
      <c r="L17" s="203">
        <v>46146.660416666666</v>
      </c>
      <c r="M17" s="203">
        <v>46146.661805555559</v>
      </c>
      <c r="N17" s="197" t="s">
        <v>309</v>
      </c>
      <c r="O17" s="201" t="s">
        <v>207</v>
      </c>
      <c r="P17" s="295"/>
      <c r="Q17" s="138" t="s">
        <v>207</v>
      </c>
      <c r="R17" s="137"/>
      <c r="S17" s="138" t="s">
        <v>214</v>
      </c>
      <c r="T17" s="137"/>
      <c r="U17" s="138" t="s">
        <v>207</v>
      </c>
      <c r="V17" s="137"/>
      <c r="W17" s="138" t="s">
        <v>77</v>
      </c>
      <c r="X17" s="137"/>
      <c r="Y17" s="138" t="s">
        <v>77</v>
      </c>
      <c r="Z17" s="137"/>
      <c r="AA17" s="138" t="s">
        <v>77</v>
      </c>
      <c r="AB17" s="137"/>
      <c r="AC17" s="138" t="s">
        <v>215</v>
      </c>
      <c r="AD17" s="137" t="s">
        <v>1554</v>
      </c>
      <c r="AE17" s="138" t="s">
        <v>207</v>
      </c>
      <c r="AF17" s="137" t="str">
        <f t="shared" si="1"/>
        <v>NC</v>
      </c>
      <c r="AG17" s="288" t="str">
        <f t="shared" si="0"/>
        <v>UTILIZOU O PDA CORRETAMENTE. NÃO HÁ FOTOS DE TODAS AS ETAPAS</v>
      </c>
      <c r="AH17" s="138"/>
      <c r="AI17" s="291" t="s">
        <v>36</v>
      </c>
      <c r="AJ17" s="291" t="str">
        <f t="shared" si="2"/>
        <v>SÃO PAULO</v>
      </c>
      <c r="AK17" s="292" t="s">
        <v>75</v>
      </c>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11"/>
      <c r="EM17" s="11"/>
      <c r="EN17" s="11"/>
      <c r="EO17" s="11"/>
      <c r="EP17" s="11"/>
      <c r="EQ17" s="11"/>
      <c r="ER17" s="11"/>
      <c r="ES17" s="11"/>
      <c r="ET17" s="11"/>
      <c r="EU17" s="11"/>
      <c r="EV17" s="11"/>
      <c r="EW17" s="11"/>
      <c r="EX17" s="11"/>
      <c r="EY17" s="11"/>
      <c r="EZ17" s="11"/>
      <c r="FA17" s="11"/>
      <c r="FB17" s="11"/>
      <c r="FC17" s="11"/>
      <c r="FD17" s="11"/>
      <c r="FE17" s="11"/>
      <c r="FF17" s="11"/>
      <c r="FG17" s="11"/>
      <c r="FH17" s="11"/>
      <c r="FI17" s="11"/>
      <c r="FJ17" s="11"/>
      <c r="FK17" s="11"/>
      <c r="FL17" s="11"/>
      <c r="FM17" s="11"/>
      <c r="FN17" s="11"/>
      <c r="FO17" s="11"/>
      <c r="FP17" s="11"/>
      <c r="FQ17" s="11"/>
      <c r="FR17" s="11"/>
      <c r="FS17" s="11"/>
      <c r="FT17" s="11"/>
      <c r="FU17" s="11"/>
      <c r="FV17" s="11"/>
      <c r="FW17" s="11"/>
      <c r="FX17" s="11"/>
      <c r="FY17" s="11"/>
      <c r="FZ17" s="11"/>
      <c r="GA17" s="11"/>
      <c r="GB17" s="11"/>
      <c r="GC17" s="11"/>
      <c r="GD17" s="11"/>
      <c r="GE17" s="11"/>
      <c r="GF17" s="11"/>
      <c r="GG17" s="11"/>
      <c r="GH17" s="11"/>
      <c r="GI17" s="11"/>
      <c r="GJ17" s="11"/>
      <c r="GK17" s="11"/>
      <c r="GL17" s="11"/>
      <c r="GM17" s="11"/>
      <c r="GN17" s="11"/>
      <c r="GO17" s="11"/>
      <c r="GP17" s="11"/>
      <c r="GQ17" s="11"/>
      <c r="GR17" s="11"/>
      <c r="GS17" s="11"/>
      <c r="GT17" s="11"/>
      <c r="GU17" s="11"/>
      <c r="GV17" s="11"/>
      <c r="GW17" s="11"/>
      <c r="GX17" s="11"/>
      <c r="GY17" s="11"/>
      <c r="GZ17" s="11"/>
      <c r="HA17" s="11"/>
      <c r="HB17" s="11"/>
      <c r="HC17" s="11"/>
      <c r="HD17" s="11"/>
      <c r="HE17" s="11"/>
      <c r="HF17" s="11"/>
      <c r="HG17" s="11"/>
      <c r="HH17" s="11"/>
      <c r="HI17" s="11"/>
      <c r="HJ17" s="11"/>
    </row>
    <row r="18" spans="1:218" s="213" customFormat="1" ht="30" customHeight="1">
      <c r="A18" s="197" t="s">
        <v>198</v>
      </c>
      <c r="B18" s="212">
        <v>2618306174</v>
      </c>
      <c r="C18" s="197" t="s">
        <v>136</v>
      </c>
      <c r="D18" s="197" t="s">
        <v>127</v>
      </c>
      <c r="E18" s="197" t="s">
        <v>35</v>
      </c>
      <c r="F18" s="197" t="s">
        <v>498</v>
      </c>
      <c r="G18" s="197">
        <v>4725</v>
      </c>
      <c r="H18" s="197"/>
      <c r="I18" s="197" t="s">
        <v>1555</v>
      </c>
      <c r="J18" s="197" t="s">
        <v>1553</v>
      </c>
      <c r="K18" s="197"/>
      <c r="L18" s="203">
        <v>46146.700694444444</v>
      </c>
      <c r="M18" s="203">
        <v>46146.701388888891</v>
      </c>
      <c r="N18" s="197" t="s">
        <v>309</v>
      </c>
      <c r="O18" s="201" t="s">
        <v>207</v>
      </c>
      <c r="P18" s="295"/>
      <c r="Q18" s="138" t="s">
        <v>214</v>
      </c>
      <c r="R18" s="137"/>
      <c r="S18" s="138" t="s">
        <v>214</v>
      </c>
      <c r="T18" s="137"/>
      <c r="U18" s="138" t="s">
        <v>214</v>
      </c>
      <c r="V18" s="137"/>
      <c r="W18" s="138" t="s">
        <v>214</v>
      </c>
      <c r="X18" s="137"/>
      <c r="Y18" s="138" t="s">
        <v>214</v>
      </c>
      <c r="Z18" s="137"/>
      <c r="AA18" s="138" t="s">
        <v>214</v>
      </c>
      <c r="AB18" s="137"/>
      <c r="AC18" s="138" t="s">
        <v>214</v>
      </c>
      <c r="AD18" s="137"/>
      <c r="AE18" s="138" t="s">
        <v>207</v>
      </c>
      <c r="AF18" s="137" t="str">
        <f t="shared" si="1"/>
        <v>NC</v>
      </c>
      <c r="AG18" s="288" t="str">
        <f t="shared" si="0"/>
        <v>UTILIZOU O PDA CORRETAMENTE. NÃO HÁ FOTOS DE TODAS AS ETAPAS</v>
      </c>
      <c r="AH18" s="138"/>
      <c r="AI18" s="291" t="s">
        <v>36</v>
      </c>
      <c r="AJ18" s="291" t="str">
        <f t="shared" si="2"/>
        <v>SÃO PAULO</v>
      </c>
      <c r="AK18" s="292" t="s">
        <v>75</v>
      </c>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row>
    <row r="19" spans="1:218" s="213" customFormat="1" ht="30" customHeight="1">
      <c r="A19" s="197" t="s">
        <v>198</v>
      </c>
      <c r="B19" s="212">
        <v>2618418636</v>
      </c>
      <c r="C19" s="197" t="s">
        <v>130</v>
      </c>
      <c r="D19" s="197" t="s">
        <v>127</v>
      </c>
      <c r="E19" s="197" t="s">
        <v>35</v>
      </c>
      <c r="F19" s="197" t="s">
        <v>951</v>
      </c>
      <c r="G19" s="197">
        <v>145</v>
      </c>
      <c r="H19" s="197" t="s">
        <v>200</v>
      </c>
      <c r="I19" s="197" t="s">
        <v>853</v>
      </c>
      <c r="J19" s="197" t="s">
        <v>1556</v>
      </c>
      <c r="K19" s="197" t="s">
        <v>200</v>
      </c>
      <c r="L19" s="203">
        <v>46146.479166666664</v>
      </c>
      <c r="M19" s="203">
        <v>46146.479861111111</v>
      </c>
      <c r="N19" s="197" t="s">
        <v>309</v>
      </c>
      <c r="O19" s="201" t="s">
        <v>207</v>
      </c>
      <c r="P19" s="295"/>
      <c r="Q19" s="138" t="s">
        <v>215</v>
      </c>
      <c r="R19" s="137" t="s">
        <v>1557</v>
      </c>
      <c r="S19" s="138" t="s">
        <v>214</v>
      </c>
      <c r="T19" s="137"/>
      <c r="U19" s="138" t="s">
        <v>207</v>
      </c>
      <c r="V19" s="137"/>
      <c r="W19" s="138" t="s">
        <v>77</v>
      </c>
      <c r="X19" s="137"/>
      <c r="Y19" s="138" t="s">
        <v>77</v>
      </c>
      <c r="Z19" s="137"/>
      <c r="AA19" s="138" t="s">
        <v>77</v>
      </c>
      <c r="AB19" s="137"/>
      <c r="AC19" s="138" t="s">
        <v>214</v>
      </c>
      <c r="AD19" s="137"/>
      <c r="AE19" s="138" t="s">
        <v>207</v>
      </c>
      <c r="AF19" s="137" t="str">
        <f t="shared" si="1"/>
        <v>NC</v>
      </c>
      <c r="AG19" s="288" t="str">
        <f t="shared" si="0"/>
        <v>UTILIZOU O PDA CORRETAMENTE. NÃO HÁ FOTOS DE TODAS AS ETAPAS</v>
      </c>
      <c r="AH19" s="138"/>
      <c r="AI19" s="291" t="s">
        <v>36</v>
      </c>
      <c r="AJ19" s="291" t="str">
        <f t="shared" si="2"/>
        <v>SÃO PAULO</v>
      </c>
      <c r="AK19" s="292" t="s">
        <v>75</v>
      </c>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row>
    <row r="20" spans="1:218" s="213" customFormat="1" ht="30" customHeight="1">
      <c r="A20" s="197" t="s">
        <v>198</v>
      </c>
      <c r="B20" s="212">
        <v>2618416165</v>
      </c>
      <c r="C20" s="197" t="s">
        <v>136</v>
      </c>
      <c r="D20" s="197" t="s">
        <v>127</v>
      </c>
      <c r="E20" s="197" t="s">
        <v>35</v>
      </c>
      <c r="F20" s="197" t="s">
        <v>442</v>
      </c>
      <c r="G20" s="197">
        <v>89</v>
      </c>
      <c r="H20" s="197" t="s">
        <v>208</v>
      </c>
      <c r="I20" s="197" t="s">
        <v>220</v>
      </c>
      <c r="J20" s="197" t="s">
        <v>1525</v>
      </c>
      <c r="K20" s="197"/>
      <c r="L20" s="203">
        <v>46146.458333333336</v>
      </c>
      <c r="M20" s="203">
        <v>46146.51666666667</v>
      </c>
      <c r="N20" s="197" t="s">
        <v>203</v>
      </c>
      <c r="O20" s="201" t="s">
        <v>207</v>
      </c>
      <c r="P20" s="295"/>
      <c r="Q20" s="138" t="s">
        <v>207</v>
      </c>
      <c r="R20" s="137"/>
      <c r="S20" s="138" t="s">
        <v>214</v>
      </c>
      <c r="T20" s="137"/>
      <c r="U20" s="138" t="s">
        <v>207</v>
      </c>
      <c r="V20" s="137"/>
      <c r="W20" s="138" t="s">
        <v>77</v>
      </c>
      <c r="X20" s="137"/>
      <c r="Y20" s="138" t="s">
        <v>77</v>
      </c>
      <c r="Z20" s="137"/>
      <c r="AA20" s="138" t="s">
        <v>77</v>
      </c>
      <c r="AB20" s="137"/>
      <c r="AC20" s="138" t="s">
        <v>215</v>
      </c>
      <c r="AD20" s="137" t="s">
        <v>441</v>
      </c>
      <c r="AE20" s="138" t="s">
        <v>207</v>
      </c>
      <c r="AF20" s="137" t="str">
        <f t="shared" si="1"/>
        <v>NC</v>
      </c>
      <c r="AG20" s="288" t="str">
        <f t="shared" si="0"/>
        <v>UTILIZOU O PDA CORRETAMENTE. NÃO HÁ FOTOS DE TODAS AS ETAPAS</v>
      </c>
      <c r="AH20" s="138" t="s">
        <v>207</v>
      </c>
      <c r="AI20" s="291" t="s">
        <v>36</v>
      </c>
      <c r="AJ20" s="291" t="str">
        <f t="shared" si="2"/>
        <v>SÃO PAULO</v>
      </c>
      <c r="AK20" s="292" t="s">
        <v>75</v>
      </c>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row>
    <row r="21" spans="1:218" s="213" customFormat="1" ht="30" customHeight="1">
      <c r="A21" s="197" t="s">
        <v>198</v>
      </c>
      <c r="B21" s="212">
        <v>2618438431</v>
      </c>
      <c r="C21" s="197" t="s">
        <v>138</v>
      </c>
      <c r="D21" s="197" t="s">
        <v>124</v>
      </c>
      <c r="E21" s="197" t="s">
        <v>35</v>
      </c>
      <c r="F21" s="197" t="s">
        <v>1027</v>
      </c>
      <c r="G21" s="197">
        <v>553</v>
      </c>
      <c r="H21" s="197" t="s">
        <v>208</v>
      </c>
      <c r="I21" s="197" t="s">
        <v>355</v>
      </c>
      <c r="J21" s="197" t="s">
        <v>1539</v>
      </c>
      <c r="K21" s="204" t="s">
        <v>1558</v>
      </c>
      <c r="L21" s="203">
        <v>46146.412499999999</v>
      </c>
      <c r="M21" s="203">
        <v>46146.465277777781</v>
      </c>
      <c r="N21" s="197" t="s">
        <v>1546</v>
      </c>
      <c r="O21" s="201" t="s">
        <v>207</v>
      </c>
      <c r="P21" s="295"/>
      <c r="Q21" s="138" t="s">
        <v>215</v>
      </c>
      <c r="R21" s="137" t="s">
        <v>1557</v>
      </c>
      <c r="S21" s="138" t="s">
        <v>214</v>
      </c>
      <c r="T21" s="137"/>
      <c r="U21" s="138" t="s">
        <v>207</v>
      </c>
      <c r="V21" s="137"/>
      <c r="W21" s="138" t="s">
        <v>214</v>
      </c>
      <c r="X21" s="137"/>
      <c r="Y21" s="138" t="s">
        <v>77</v>
      </c>
      <c r="Z21" s="137"/>
      <c r="AA21" s="138" t="s">
        <v>207</v>
      </c>
      <c r="AB21" s="137"/>
      <c r="AC21" s="138" t="s">
        <v>215</v>
      </c>
      <c r="AD21" s="137" t="s">
        <v>216</v>
      </c>
      <c r="AE21" s="138" t="s">
        <v>207</v>
      </c>
      <c r="AF21" s="137" t="str">
        <f t="shared" si="1"/>
        <v>NC</v>
      </c>
      <c r="AG21" s="288" t="str">
        <f t="shared" si="0"/>
        <v>UTILIZOU O PDA CORRETAMENTE. NÃO HÁ FOTOS DE TODAS AS ETAPAS</v>
      </c>
      <c r="AH21" s="138" t="s">
        <v>207</v>
      </c>
      <c r="AI21" s="291" t="s">
        <v>36</v>
      </c>
      <c r="AJ21" s="291" t="str">
        <f t="shared" si="2"/>
        <v>SÃO PAULO</v>
      </c>
      <c r="AK21" s="292" t="s">
        <v>75</v>
      </c>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row>
    <row r="22" spans="1:218" s="213" customFormat="1" ht="30" customHeight="1">
      <c r="A22" s="197" t="s">
        <v>198</v>
      </c>
      <c r="B22" s="212">
        <v>2618448936</v>
      </c>
      <c r="C22" s="197" t="s">
        <v>138</v>
      </c>
      <c r="D22" s="197" t="s">
        <v>124</v>
      </c>
      <c r="E22" s="197" t="s">
        <v>35</v>
      </c>
      <c r="F22" s="197" t="s">
        <v>464</v>
      </c>
      <c r="G22" s="197">
        <v>13</v>
      </c>
      <c r="H22" s="197" t="s">
        <v>200</v>
      </c>
      <c r="I22" s="197" t="s">
        <v>230</v>
      </c>
      <c r="J22" s="197" t="s">
        <v>1539</v>
      </c>
      <c r="K22" s="197" t="s">
        <v>200</v>
      </c>
      <c r="L22" s="203">
        <v>46146.45208333333</v>
      </c>
      <c r="M22" s="203">
        <v>46146.640972222223</v>
      </c>
      <c r="N22" s="197" t="s">
        <v>465</v>
      </c>
      <c r="O22" s="201" t="s">
        <v>207</v>
      </c>
      <c r="P22" s="160"/>
      <c r="Q22" s="138" t="s">
        <v>215</v>
      </c>
      <c r="R22" s="54" t="s">
        <v>1559</v>
      </c>
      <c r="S22" s="138" t="s">
        <v>207</v>
      </c>
      <c r="T22" s="54"/>
      <c r="U22" s="138" t="s">
        <v>207</v>
      </c>
      <c r="V22" s="54"/>
      <c r="W22" s="138" t="s">
        <v>214</v>
      </c>
      <c r="X22" s="54"/>
      <c r="Y22" s="138" t="s">
        <v>207</v>
      </c>
      <c r="Z22" s="54"/>
      <c r="AA22" s="138" t="s">
        <v>214</v>
      </c>
      <c r="AB22" s="54"/>
      <c r="AC22" s="138" t="s">
        <v>215</v>
      </c>
      <c r="AD22" s="137" t="s">
        <v>216</v>
      </c>
      <c r="AE22" s="138" t="s">
        <v>207</v>
      </c>
      <c r="AF22" s="137" t="str">
        <f t="shared" si="1"/>
        <v>NC</v>
      </c>
      <c r="AG22" s="288" t="str">
        <f t="shared" si="0"/>
        <v>UTILIZOU O PDA CORRETAMENTE. NÃO HÁ FOTOS DE TODAS AS ETAPAS</v>
      </c>
      <c r="AH22" s="138" t="s">
        <v>207</v>
      </c>
      <c r="AI22" s="291" t="s">
        <v>36</v>
      </c>
      <c r="AJ22" s="291" t="str">
        <f t="shared" si="2"/>
        <v>SÃO PAULO</v>
      </c>
      <c r="AK22" s="292" t="s">
        <v>75</v>
      </c>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c r="EM22" s="11"/>
      <c r="EN22" s="11"/>
      <c r="EO22" s="11"/>
      <c r="EP22" s="11"/>
      <c r="EQ22" s="11"/>
      <c r="ER22" s="11"/>
      <c r="ES22" s="11"/>
      <c r="ET22" s="11"/>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c r="FZ22" s="11"/>
      <c r="GA22" s="11"/>
      <c r="GB22" s="11"/>
      <c r="GC22" s="11"/>
      <c r="GD22" s="11"/>
      <c r="GE22" s="11"/>
      <c r="GF22" s="11"/>
      <c r="GG22" s="11"/>
      <c r="GH22" s="11"/>
      <c r="GI22" s="11"/>
      <c r="GJ22" s="11"/>
      <c r="GK22" s="11"/>
      <c r="GL22" s="11"/>
      <c r="GM22" s="11"/>
      <c r="GN22" s="11"/>
      <c r="GO22" s="11"/>
      <c r="GP22" s="11"/>
      <c r="GQ22" s="11"/>
      <c r="GR22" s="11"/>
      <c r="GS22" s="11"/>
      <c r="GT22" s="11"/>
      <c r="GU22" s="11"/>
      <c r="GV22" s="11"/>
      <c r="GW22" s="11"/>
      <c r="GX22" s="11"/>
      <c r="GY22" s="11"/>
      <c r="GZ22" s="11"/>
      <c r="HA22" s="11"/>
      <c r="HB22" s="11"/>
      <c r="HC22" s="11"/>
      <c r="HD22" s="11"/>
      <c r="HE22" s="11"/>
      <c r="HF22" s="11"/>
      <c r="HG22" s="11"/>
      <c r="HH22" s="11"/>
      <c r="HI22" s="11"/>
      <c r="HJ22" s="11"/>
    </row>
    <row r="23" spans="1:218" s="213" customFormat="1" ht="30" customHeight="1">
      <c r="A23" s="197" t="s">
        <v>198</v>
      </c>
      <c r="B23" s="212">
        <v>2617928152</v>
      </c>
      <c r="C23" s="197" t="s">
        <v>136</v>
      </c>
      <c r="D23" s="197" t="s">
        <v>127</v>
      </c>
      <c r="E23" s="197" t="s">
        <v>35</v>
      </c>
      <c r="F23" s="197" t="s">
        <v>592</v>
      </c>
      <c r="G23" s="197">
        <v>639</v>
      </c>
      <c r="H23" s="197" t="s">
        <v>208</v>
      </c>
      <c r="I23" s="197" t="s">
        <v>357</v>
      </c>
      <c r="J23" s="197" t="s">
        <v>1525</v>
      </c>
      <c r="K23" s="197"/>
      <c r="L23" s="203">
        <v>46146.591666666667</v>
      </c>
      <c r="M23" s="203">
        <v>46146.620138888888</v>
      </c>
      <c r="N23" s="197" t="s">
        <v>203</v>
      </c>
      <c r="O23" s="201" t="s">
        <v>207</v>
      </c>
      <c r="P23" s="160"/>
      <c r="Q23" s="221" t="s">
        <v>207</v>
      </c>
      <c r="R23" s="54"/>
      <c r="S23" s="221" t="s">
        <v>214</v>
      </c>
      <c r="T23" s="54"/>
      <c r="U23" s="221" t="s">
        <v>207</v>
      </c>
      <c r="V23" s="54"/>
      <c r="W23" s="221" t="s">
        <v>77</v>
      </c>
      <c r="X23" s="54"/>
      <c r="Y23" s="221" t="s">
        <v>77</v>
      </c>
      <c r="Z23" s="54"/>
      <c r="AA23" s="221" t="s">
        <v>77</v>
      </c>
      <c r="AB23" s="54"/>
      <c r="AC23" s="221" t="s">
        <v>215</v>
      </c>
      <c r="AD23" s="137" t="s">
        <v>441</v>
      </c>
      <c r="AE23" s="221" t="s">
        <v>207</v>
      </c>
      <c r="AF23" s="137" t="str">
        <f t="shared" si="1"/>
        <v>NC</v>
      </c>
      <c r="AG23" s="288" t="str">
        <f t="shared" si="0"/>
        <v>UTILIZOU O PDA CORRETAMENTE. NÃO HÁ FOTOS DE TODAS AS ETAPAS</v>
      </c>
      <c r="AH23" s="221" t="s">
        <v>207</v>
      </c>
      <c r="AI23" s="291" t="s">
        <v>36</v>
      </c>
      <c r="AJ23" s="291" t="str">
        <f t="shared" si="2"/>
        <v>SÃO PAULO</v>
      </c>
      <c r="AK23" s="292" t="s">
        <v>75</v>
      </c>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c r="FR23" s="11"/>
      <c r="FS23" s="11"/>
      <c r="FT23" s="11"/>
      <c r="FU23" s="11"/>
      <c r="FV23" s="11"/>
      <c r="FW23" s="11"/>
      <c r="FX23" s="11"/>
      <c r="FY23" s="11"/>
      <c r="FZ23" s="11"/>
      <c r="GA23" s="11"/>
      <c r="GB23" s="11"/>
      <c r="GC23" s="11"/>
      <c r="GD23" s="11"/>
      <c r="GE23" s="11"/>
      <c r="GF23" s="11"/>
      <c r="GG23" s="11"/>
      <c r="GH23" s="11"/>
      <c r="GI23" s="11"/>
      <c r="GJ23" s="11"/>
      <c r="GK23" s="11"/>
      <c r="GL23" s="11"/>
      <c r="GM23" s="11"/>
      <c r="GN23" s="11"/>
      <c r="GO23" s="11"/>
      <c r="GP23" s="11"/>
      <c r="GQ23" s="11"/>
      <c r="GR23" s="11"/>
      <c r="GS23" s="11"/>
      <c r="GT23" s="11"/>
      <c r="GU23" s="11"/>
      <c r="GV23" s="11"/>
      <c r="GW23" s="11"/>
      <c r="GX23" s="11"/>
      <c r="GY23" s="11"/>
      <c r="GZ23" s="11"/>
      <c r="HA23" s="11"/>
      <c r="HB23" s="11"/>
      <c r="HC23" s="11"/>
      <c r="HD23" s="11"/>
      <c r="HE23" s="11"/>
      <c r="HF23" s="11"/>
      <c r="HG23" s="11"/>
      <c r="HH23" s="11"/>
      <c r="HI23" s="11"/>
      <c r="HJ23" s="11"/>
    </row>
    <row r="24" spans="1:218" s="213" customFormat="1" ht="30" customHeight="1">
      <c r="A24" s="197" t="s">
        <v>198</v>
      </c>
      <c r="B24" s="212">
        <v>2617965917</v>
      </c>
      <c r="C24" s="197" t="s">
        <v>136</v>
      </c>
      <c r="D24" s="197" t="s">
        <v>127</v>
      </c>
      <c r="E24" s="197" t="s">
        <v>35</v>
      </c>
      <c r="F24" s="197" t="s">
        <v>1560</v>
      </c>
      <c r="G24" s="197">
        <v>32</v>
      </c>
      <c r="H24" s="197" t="s">
        <v>257</v>
      </c>
      <c r="I24" s="197" t="s">
        <v>649</v>
      </c>
      <c r="J24" s="197" t="s">
        <v>1525</v>
      </c>
      <c r="K24" s="197" t="s">
        <v>200</v>
      </c>
      <c r="L24" s="203">
        <v>46146.650694444441</v>
      </c>
      <c r="M24" s="203">
        <v>46146.695138888892</v>
      </c>
      <c r="N24" s="197" t="s">
        <v>203</v>
      </c>
      <c r="O24" s="201" t="s">
        <v>207</v>
      </c>
      <c r="P24" s="160"/>
      <c r="Q24" s="138" t="s">
        <v>207</v>
      </c>
      <c r="R24" s="54"/>
      <c r="S24" s="138" t="s">
        <v>214</v>
      </c>
      <c r="T24" s="54"/>
      <c r="U24" s="138" t="s">
        <v>207</v>
      </c>
      <c r="V24" s="54"/>
      <c r="W24" s="138" t="s">
        <v>77</v>
      </c>
      <c r="X24" s="54"/>
      <c r="Y24" s="138" t="s">
        <v>77</v>
      </c>
      <c r="Z24" s="54"/>
      <c r="AA24" s="138" t="s">
        <v>77</v>
      </c>
      <c r="AB24" s="54"/>
      <c r="AC24" s="138" t="s">
        <v>215</v>
      </c>
      <c r="AD24" s="137" t="s">
        <v>441</v>
      </c>
      <c r="AE24" s="138" t="s">
        <v>207</v>
      </c>
      <c r="AF24" s="137" t="str">
        <f t="shared" si="1"/>
        <v>NC</v>
      </c>
      <c r="AG24" s="288" t="str">
        <f t="shared" si="0"/>
        <v>UTILIZOU O PDA CORRETAMENTE. NÃO HÁ FOTOS DE TODAS AS ETAPAS</v>
      </c>
      <c r="AH24" s="138" t="s">
        <v>207</v>
      </c>
      <c r="AI24" s="291" t="s">
        <v>36</v>
      </c>
      <c r="AJ24" s="291" t="str">
        <f t="shared" si="2"/>
        <v>SÃO PAULO</v>
      </c>
      <c r="AK24" s="292" t="s">
        <v>75</v>
      </c>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c r="EM24" s="11"/>
      <c r="EN24" s="11"/>
      <c r="EO24" s="11"/>
      <c r="EP24" s="11"/>
      <c r="EQ24" s="11"/>
      <c r="ER24" s="11"/>
      <c r="ES24" s="11"/>
      <c r="ET24" s="11"/>
      <c r="EU24" s="11"/>
      <c r="EV24" s="11"/>
      <c r="EW24" s="11"/>
      <c r="EX24" s="11"/>
      <c r="EY24" s="11"/>
      <c r="EZ24" s="11"/>
      <c r="FA24" s="11"/>
      <c r="FB24" s="11"/>
      <c r="FC24" s="11"/>
      <c r="FD24" s="11"/>
      <c r="FE24" s="11"/>
      <c r="FF24" s="11"/>
      <c r="FG24" s="11"/>
      <c r="FH24" s="11"/>
      <c r="FI24" s="11"/>
      <c r="FJ24" s="11"/>
      <c r="FK24" s="11"/>
      <c r="FL24" s="11"/>
      <c r="FM24" s="11"/>
      <c r="FN24" s="11"/>
      <c r="FO24" s="11"/>
      <c r="FP24" s="11"/>
      <c r="FQ24" s="11"/>
      <c r="FR24" s="11"/>
      <c r="FS24" s="11"/>
      <c r="FT24" s="11"/>
      <c r="FU24" s="11"/>
      <c r="FV24" s="11"/>
      <c r="FW24" s="11"/>
      <c r="FX24" s="11"/>
      <c r="FY24" s="11"/>
      <c r="FZ24" s="11"/>
      <c r="GA24" s="11"/>
      <c r="GB24" s="11"/>
      <c r="GC24" s="11"/>
      <c r="GD24" s="11"/>
      <c r="GE24" s="11"/>
      <c r="GF24" s="11"/>
      <c r="GG24" s="11"/>
      <c r="GH24" s="11"/>
      <c r="GI24" s="11"/>
      <c r="GJ24" s="11"/>
      <c r="GK24" s="11"/>
      <c r="GL24" s="11"/>
      <c r="GM24" s="11"/>
      <c r="GN24" s="11"/>
      <c r="GO24" s="11"/>
      <c r="GP24" s="11"/>
      <c r="GQ24" s="11"/>
      <c r="GR24" s="11"/>
      <c r="GS24" s="11"/>
      <c r="GT24" s="11"/>
      <c r="GU24" s="11"/>
      <c r="GV24" s="11"/>
      <c r="GW24" s="11"/>
      <c r="GX24" s="11"/>
      <c r="GY24" s="11"/>
      <c r="GZ24" s="11"/>
      <c r="HA24" s="11"/>
      <c r="HB24" s="11"/>
      <c r="HC24" s="11"/>
      <c r="HD24" s="11"/>
      <c r="HE24" s="11"/>
      <c r="HF24" s="11"/>
      <c r="HG24" s="11"/>
      <c r="HH24" s="11"/>
      <c r="HI24" s="11"/>
      <c r="HJ24" s="11"/>
    </row>
    <row r="25" spans="1:218" s="213" customFormat="1" ht="30" customHeight="1">
      <c r="A25" s="197" t="s">
        <v>198</v>
      </c>
      <c r="B25" s="212">
        <v>2617607881</v>
      </c>
      <c r="C25" s="197" t="s">
        <v>134</v>
      </c>
      <c r="D25" s="197" t="s">
        <v>125</v>
      </c>
      <c r="E25" s="197" t="s">
        <v>35</v>
      </c>
      <c r="F25" s="197" t="s">
        <v>572</v>
      </c>
      <c r="G25" s="197">
        <v>487</v>
      </c>
      <c r="H25" s="197" t="s">
        <v>200</v>
      </c>
      <c r="I25" s="197" t="s">
        <v>573</v>
      </c>
      <c r="J25" s="197" t="s">
        <v>134</v>
      </c>
      <c r="K25" s="197" t="s">
        <v>200</v>
      </c>
      <c r="L25" s="203">
        <v>46146.291666666664</v>
      </c>
      <c r="M25" s="203">
        <v>46146.292361111111</v>
      </c>
      <c r="N25" s="197" t="s">
        <v>1537</v>
      </c>
      <c r="O25" s="201" t="s">
        <v>77</v>
      </c>
      <c r="P25" s="160"/>
      <c r="Q25" s="138" t="s">
        <v>77</v>
      </c>
      <c r="R25" s="54"/>
      <c r="S25" s="138" t="s">
        <v>77</v>
      </c>
      <c r="T25" s="54"/>
      <c r="U25" s="138" t="s">
        <v>77</v>
      </c>
      <c r="V25" s="54"/>
      <c r="W25" s="138" t="s">
        <v>77</v>
      </c>
      <c r="X25" s="54"/>
      <c r="Y25" s="138" t="s">
        <v>77</v>
      </c>
      <c r="Z25" s="54"/>
      <c r="AA25" s="138" t="s">
        <v>77</v>
      </c>
      <c r="AB25" s="54"/>
      <c r="AC25" s="138" t="s">
        <v>77</v>
      </c>
      <c r="AD25" s="54"/>
      <c r="AE25" s="138" t="s">
        <v>77</v>
      </c>
      <c r="AF25" s="137" t="str">
        <f t="shared" si="1"/>
        <v>NA</v>
      </c>
      <c r="AG25" s="288" t="str">
        <f t="shared" si="0"/>
        <v>NÃO AVALIADO POR FALHA DE SINCRONISMO</v>
      </c>
      <c r="AH25" s="138" t="s">
        <v>207</v>
      </c>
      <c r="AI25" s="291" t="s">
        <v>36</v>
      </c>
      <c r="AJ25" s="291" t="str">
        <f t="shared" si="2"/>
        <v>SÃO PAULO</v>
      </c>
      <c r="AK25" s="292" t="s">
        <v>75</v>
      </c>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c r="EO25" s="11"/>
      <c r="EP25" s="11"/>
      <c r="EQ25" s="11"/>
      <c r="ER25" s="11"/>
      <c r="ES25" s="11"/>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c r="FR25" s="11"/>
      <c r="FS25" s="11"/>
      <c r="FT25" s="11"/>
      <c r="FU25" s="11"/>
      <c r="FV25" s="11"/>
      <c r="FW25" s="11"/>
      <c r="FX25" s="11"/>
      <c r="FY25" s="11"/>
      <c r="FZ25" s="11"/>
      <c r="GA25" s="11"/>
      <c r="GB25" s="11"/>
      <c r="GC25" s="11"/>
      <c r="GD25" s="11"/>
      <c r="GE25" s="11"/>
      <c r="GF25" s="11"/>
      <c r="GG25" s="11"/>
      <c r="GH25" s="11"/>
      <c r="GI25" s="11"/>
      <c r="GJ25" s="11"/>
      <c r="GK25" s="11"/>
      <c r="GL25" s="11"/>
      <c r="GM25" s="11"/>
      <c r="GN25" s="11"/>
      <c r="GO25" s="11"/>
      <c r="GP25" s="11"/>
      <c r="GQ25" s="11"/>
      <c r="GR25" s="11"/>
      <c r="GS25" s="11"/>
      <c r="GT25" s="11"/>
      <c r="GU25" s="11"/>
      <c r="GV25" s="11"/>
      <c r="GW25" s="11"/>
      <c r="GX25" s="11"/>
      <c r="GY25" s="11"/>
      <c r="GZ25" s="11"/>
      <c r="HA25" s="11"/>
      <c r="HB25" s="11"/>
      <c r="HC25" s="11"/>
      <c r="HD25" s="11"/>
      <c r="HE25" s="11"/>
      <c r="HF25" s="11"/>
      <c r="HG25" s="11"/>
      <c r="HH25" s="11"/>
      <c r="HI25" s="11"/>
      <c r="HJ25" s="11"/>
    </row>
    <row r="26" spans="1:218" s="213" customFormat="1" ht="30" customHeight="1">
      <c r="A26" s="197" t="s">
        <v>198</v>
      </c>
      <c r="B26" s="212">
        <v>2618122037</v>
      </c>
      <c r="C26" s="197" t="s">
        <v>133</v>
      </c>
      <c r="D26" s="197" t="s">
        <v>125</v>
      </c>
      <c r="E26" s="197" t="s">
        <v>35</v>
      </c>
      <c r="F26" s="197" t="s">
        <v>439</v>
      </c>
      <c r="G26" s="197">
        <v>947</v>
      </c>
      <c r="H26" s="197"/>
      <c r="I26" s="197" t="s">
        <v>440</v>
      </c>
      <c r="J26" s="197" t="s">
        <v>133</v>
      </c>
      <c r="K26" s="197" t="s">
        <v>1561</v>
      </c>
      <c r="L26" s="203">
        <v>46147.291666666664</v>
      </c>
      <c r="M26" s="203">
        <v>46147.292361111111</v>
      </c>
      <c r="N26" s="197" t="s">
        <v>1546</v>
      </c>
      <c r="O26" s="201" t="s">
        <v>77</v>
      </c>
      <c r="P26" s="160"/>
      <c r="Q26" s="138" t="s">
        <v>77</v>
      </c>
      <c r="R26" s="54"/>
      <c r="S26" s="138" t="s">
        <v>77</v>
      </c>
      <c r="T26" s="54"/>
      <c r="U26" s="138" t="s">
        <v>77</v>
      </c>
      <c r="V26" s="54"/>
      <c r="W26" s="138" t="s">
        <v>77</v>
      </c>
      <c r="X26" s="54"/>
      <c r="Y26" s="138" t="s">
        <v>77</v>
      </c>
      <c r="Z26" s="54"/>
      <c r="AA26" s="138" t="s">
        <v>77</v>
      </c>
      <c r="AB26" s="54"/>
      <c r="AC26" s="138" t="s">
        <v>77</v>
      </c>
      <c r="AD26" s="54"/>
      <c r="AE26" s="138" t="s">
        <v>77</v>
      </c>
      <c r="AF26" s="137" t="str">
        <f t="shared" si="1"/>
        <v>NA</v>
      </c>
      <c r="AG26" s="288" t="str">
        <f t="shared" si="0"/>
        <v>NÃO AVALIADO POR FALHA DE SINCRONISMO</v>
      </c>
      <c r="AH26" s="138" t="s">
        <v>207</v>
      </c>
      <c r="AI26" s="291" t="s">
        <v>36</v>
      </c>
      <c r="AJ26" s="291" t="str">
        <f t="shared" si="2"/>
        <v>SÃO PAULO</v>
      </c>
      <c r="AK26" s="292" t="s">
        <v>75</v>
      </c>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c r="CW26" s="11"/>
      <c r="CX26" s="11"/>
      <c r="CY26" s="11"/>
      <c r="CZ26" s="11"/>
      <c r="DA26" s="11"/>
      <c r="DB26" s="11"/>
      <c r="DC26" s="11"/>
      <c r="DD26" s="11"/>
      <c r="DE26" s="11"/>
      <c r="DF26" s="11"/>
      <c r="DG26" s="11"/>
      <c r="DH26" s="11"/>
      <c r="DI26" s="11"/>
      <c r="DJ26" s="11"/>
      <c r="DK26" s="11"/>
      <c r="DL26" s="11"/>
      <c r="DM26" s="11"/>
      <c r="DN26" s="11"/>
      <c r="DO26" s="11"/>
      <c r="DP26" s="11"/>
      <c r="DQ26" s="11"/>
      <c r="DR26" s="11"/>
      <c r="DS26" s="11"/>
      <c r="DT26" s="11"/>
      <c r="DU26" s="11"/>
      <c r="DV26" s="11"/>
      <c r="DW26" s="11"/>
      <c r="DX26" s="11"/>
      <c r="DY26" s="11"/>
      <c r="DZ26" s="11"/>
      <c r="EA26" s="11"/>
      <c r="EB26" s="11"/>
      <c r="EC26" s="11"/>
      <c r="ED26" s="11"/>
      <c r="EE26" s="11"/>
      <c r="EF26" s="11"/>
      <c r="EG26" s="11"/>
      <c r="EH26" s="11"/>
      <c r="EI26" s="11"/>
      <c r="EJ26" s="11"/>
      <c r="EK26" s="11"/>
      <c r="EL26" s="11"/>
      <c r="EM26" s="11"/>
      <c r="EN26" s="11"/>
      <c r="EO26" s="11"/>
      <c r="EP26" s="11"/>
      <c r="EQ26" s="11"/>
      <c r="ER26" s="11"/>
      <c r="ES26" s="11"/>
      <c r="ET26" s="11"/>
      <c r="EU26" s="11"/>
      <c r="EV26" s="11"/>
      <c r="EW26" s="11"/>
      <c r="EX26" s="11"/>
      <c r="EY26" s="11"/>
      <c r="EZ26" s="11"/>
      <c r="FA26" s="11"/>
      <c r="FB26" s="11"/>
      <c r="FC26" s="11"/>
      <c r="FD26" s="11"/>
      <c r="FE26" s="11"/>
      <c r="FF26" s="11"/>
      <c r="FG26" s="11"/>
      <c r="FH26" s="11"/>
      <c r="FI26" s="11"/>
      <c r="FJ26" s="11"/>
      <c r="FK26" s="11"/>
      <c r="FL26" s="11"/>
      <c r="FM26" s="11"/>
      <c r="FN26" s="11"/>
      <c r="FO26" s="11"/>
      <c r="FP26" s="11"/>
      <c r="FQ26" s="11"/>
      <c r="FR26" s="11"/>
      <c r="FS26" s="11"/>
      <c r="FT26" s="11"/>
      <c r="FU26" s="11"/>
      <c r="FV26" s="11"/>
      <c r="FW26" s="11"/>
      <c r="FX26" s="11"/>
      <c r="FY26" s="11"/>
      <c r="FZ26" s="11"/>
      <c r="GA26" s="11"/>
      <c r="GB26" s="11"/>
      <c r="GC26" s="11"/>
      <c r="GD26" s="11"/>
      <c r="GE26" s="11"/>
      <c r="GF26" s="11"/>
      <c r="GG26" s="11"/>
      <c r="GH26" s="11"/>
      <c r="GI26" s="11"/>
      <c r="GJ26" s="11"/>
      <c r="GK26" s="11"/>
      <c r="GL26" s="11"/>
      <c r="GM26" s="11"/>
      <c r="GN26" s="11"/>
      <c r="GO26" s="11"/>
      <c r="GP26" s="11"/>
      <c r="GQ26" s="11"/>
      <c r="GR26" s="11"/>
      <c r="GS26" s="11"/>
      <c r="GT26" s="11"/>
      <c r="GU26" s="11"/>
      <c r="GV26" s="11"/>
      <c r="GW26" s="11"/>
      <c r="GX26" s="11"/>
      <c r="GY26" s="11"/>
      <c r="GZ26" s="11"/>
      <c r="HA26" s="11"/>
      <c r="HB26" s="11"/>
      <c r="HC26" s="11"/>
      <c r="HD26" s="11"/>
      <c r="HE26" s="11"/>
      <c r="HF26" s="11"/>
      <c r="HG26" s="11"/>
      <c r="HH26" s="11"/>
      <c r="HI26" s="11"/>
      <c r="HJ26" s="11"/>
    </row>
    <row r="27" spans="1:218" s="213" customFormat="1" ht="30" customHeight="1">
      <c r="A27" s="197" t="s">
        <v>198</v>
      </c>
      <c r="B27" s="212">
        <v>2618473769</v>
      </c>
      <c r="C27" s="197" t="s">
        <v>138</v>
      </c>
      <c r="D27" s="197" t="s">
        <v>124</v>
      </c>
      <c r="E27" s="197" t="s">
        <v>35</v>
      </c>
      <c r="F27" s="197" t="s">
        <v>1562</v>
      </c>
      <c r="G27" s="197">
        <v>39</v>
      </c>
      <c r="H27" s="197" t="s">
        <v>200</v>
      </c>
      <c r="I27" s="197" t="s">
        <v>402</v>
      </c>
      <c r="J27" s="197" t="s">
        <v>1539</v>
      </c>
      <c r="K27" s="197" t="s">
        <v>1563</v>
      </c>
      <c r="L27" s="203">
        <v>46146.611111111109</v>
      </c>
      <c r="M27" s="203">
        <v>46146.611805555556</v>
      </c>
      <c r="N27" s="197" t="s">
        <v>1546</v>
      </c>
      <c r="O27" s="201" t="s">
        <v>77</v>
      </c>
      <c r="P27" s="160"/>
      <c r="Q27" s="138" t="s">
        <v>77</v>
      </c>
      <c r="R27" s="54"/>
      <c r="S27" s="138" t="s">
        <v>77</v>
      </c>
      <c r="T27" s="54"/>
      <c r="U27" s="138" t="s">
        <v>77</v>
      </c>
      <c r="V27" s="54"/>
      <c r="W27" s="138" t="s">
        <v>77</v>
      </c>
      <c r="X27" s="54"/>
      <c r="Y27" s="138" t="s">
        <v>77</v>
      </c>
      <c r="Z27" s="54"/>
      <c r="AA27" s="138" t="s">
        <v>77</v>
      </c>
      <c r="AB27" s="54"/>
      <c r="AC27" s="138" t="s">
        <v>77</v>
      </c>
      <c r="AD27" s="54"/>
      <c r="AE27" s="138" t="s">
        <v>77</v>
      </c>
      <c r="AF27" s="137" t="str">
        <f t="shared" si="1"/>
        <v>NA</v>
      </c>
      <c r="AG27" s="288" t="str">
        <f t="shared" si="0"/>
        <v>NÃO AVALIADO POR FALHA DE SINCRONISMO</v>
      </c>
      <c r="AH27" s="138" t="s">
        <v>207</v>
      </c>
      <c r="AI27" s="291" t="s">
        <v>36</v>
      </c>
      <c r="AJ27" s="291" t="str">
        <f t="shared" si="2"/>
        <v>SÃO PAULO</v>
      </c>
      <c r="AK27" s="292" t="s">
        <v>75</v>
      </c>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c r="GB27" s="11"/>
      <c r="GC27" s="11"/>
      <c r="GD27" s="11"/>
      <c r="GE27" s="11"/>
      <c r="GF27" s="11"/>
      <c r="GG27" s="11"/>
      <c r="GH27" s="11"/>
      <c r="GI27" s="11"/>
      <c r="GJ27" s="11"/>
      <c r="GK27" s="11"/>
      <c r="GL27" s="11"/>
      <c r="GM27" s="11"/>
      <c r="GN27" s="11"/>
      <c r="GO27" s="11"/>
      <c r="GP27" s="11"/>
      <c r="GQ27" s="11"/>
      <c r="GR27" s="11"/>
      <c r="GS27" s="11"/>
      <c r="GT27" s="11"/>
      <c r="GU27" s="11"/>
      <c r="GV27" s="11"/>
      <c r="GW27" s="11"/>
      <c r="GX27" s="11"/>
      <c r="GY27" s="11"/>
      <c r="GZ27" s="11"/>
      <c r="HA27" s="11"/>
      <c r="HB27" s="11"/>
      <c r="HC27" s="11"/>
      <c r="HD27" s="11"/>
      <c r="HE27" s="11"/>
      <c r="HF27" s="11"/>
      <c r="HG27" s="11"/>
      <c r="HH27" s="11"/>
      <c r="HI27" s="11"/>
      <c r="HJ27" s="11"/>
    </row>
    <row r="28" spans="1:218" s="213" customFormat="1" ht="30" customHeight="1">
      <c r="A28" s="197" t="s">
        <v>198</v>
      </c>
      <c r="B28" s="212">
        <v>2618448731</v>
      </c>
      <c r="C28" s="197" t="s">
        <v>138</v>
      </c>
      <c r="D28" s="197" t="s">
        <v>124</v>
      </c>
      <c r="E28" s="197" t="s">
        <v>35</v>
      </c>
      <c r="F28" s="197" t="s">
        <v>1564</v>
      </c>
      <c r="G28" s="197">
        <v>13</v>
      </c>
      <c r="H28" s="197" t="s">
        <v>200</v>
      </c>
      <c r="I28" s="197" t="s">
        <v>322</v>
      </c>
      <c r="J28" s="197" t="s">
        <v>1539</v>
      </c>
      <c r="K28" s="197" t="s">
        <v>200</v>
      </c>
      <c r="L28" s="203">
        <v>46146.631944444445</v>
      </c>
      <c r="M28" s="203">
        <v>46146.632638888892</v>
      </c>
      <c r="N28" s="197" t="s">
        <v>1565</v>
      </c>
      <c r="O28" s="201" t="s">
        <v>77</v>
      </c>
      <c r="P28" s="160"/>
      <c r="Q28" s="138" t="s">
        <v>77</v>
      </c>
      <c r="R28" s="54"/>
      <c r="S28" s="138" t="s">
        <v>77</v>
      </c>
      <c r="T28" s="54"/>
      <c r="U28" s="138" t="s">
        <v>77</v>
      </c>
      <c r="V28" s="54"/>
      <c r="W28" s="138" t="s">
        <v>77</v>
      </c>
      <c r="X28" s="54"/>
      <c r="Y28" s="138" t="s">
        <v>77</v>
      </c>
      <c r="Z28" s="54"/>
      <c r="AA28" s="138" t="s">
        <v>77</v>
      </c>
      <c r="AB28" s="54"/>
      <c r="AC28" s="138" t="s">
        <v>77</v>
      </c>
      <c r="AD28" s="54"/>
      <c r="AE28" s="138" t="s">
        <v>77</v>
      </c>
      <c r="AF28" s="137" t="str">
        <f t="shared" si="1"/>
        <v>NA</v>
      </c>
      <c r="AG28" s="288" t="str">
        <f t="shared" si="0"/>
        <v>NÃO AVALIADO POR FALHA DE SINCRONISMO</v>
      </c>
      <c r="AH28" s="138" t="s">
        <v>207</v>
      </c>
      <c r="AI28" s="291" t="s">
        <v>36</v>
      </c>
      <c r="AJ28" s="291" t="str">
        <f t="shared" si="2"/>
        <v>SÃO PAULO</v>
      </c>
      <c r="AK28" s="292" t="s">
        <v>75</v>
      </c>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c r="EO28" s="11"/>
      <c r="EP28" s="11"/>
      <c r="EQ28" s="11"/>
      <c r="ER28" s="11"/>
      <c r="ES28" s="11"/>
      <c r="ET28" s="11"/>
      <c r="EU28" s="11"/>
      <c r="EV28" s="11"/>
      <c r="EW28" s="11"/>
      <c r="EX28" s="11"/>
      <c r="EY28" s="11"/>
      <c r="EZ28" s="11"/>
      <c r="FA28" s="11"/>
      <c r="FB28" s="11"/>
      <c r="FC28" s="11"/>
      <c r="FD28" s="11"/>
      <c r="FE28" s="11"/>
      <c r="FF28" s="11"/>
      <c r="FG28" s="11"/>
      <c r="FH28" s="11"/>
      <c r="FI28" s="11"/>
      <c r="FJ28" s="11"/>
      <c r="FK28" s="11"/>
      <c r="FL28" s="11"/>
      <c r="FM28" s="11"/>
      <c r="FN28" s="11"/>
      <c r="FO28" s="11"/>
      <c r="FP28" s="11"/>
      <c r="FQ28" s="11"/>
      <c r="FR28" s="11"/>
      <c r="FS28" s="11"/>
      <c r="FT28" s="11"/>
      <c r="FU28" s="11"/>
      <c r="FV28" s="11"/>
      <c r="FW28" s="11"/>
      <c r="FX28" s="11"/>
      <c r="FY28" s="11"/>
      <c r="FZ28" s="11"/>
      <c r="GA28" s="11"/>
      <c r="GB28" s="11"/>
      <c r="GC28" s="11"/>
      <c r="GD28" s="11"/>
      <c r="GE28" s="11"/>
      <c r="GF28" s="11"/>
      <c r="GG28" s="11"/>
      <c r="GH28" s="11"/>
      <c r="GI28" s="11"/>
      <c r="GJ28" s="11"/>
      <c r="GK28" s="11"/>
      <c r="GL28" s="11"/>
      <c r="GM28" s="11"/>
      <c r="GN28" s="11"/>
      <c r="GO28" s="11"/>
      <c r="GP28" s="11"/>
      <c r="GQ28" s="11"/>
      <c r="GR28" s="11"/>
      <c r="GS28" s="11"/>
      <c r="GT28" s="11"/>
      <c r="GU28" s="11"/>
      <c r="GV28" s="11"/>
      <c r="GW28" s="11"/>
      <c r="GX28" s="11"/>
      <c r="GY28" s="11"/>
      <c r="GZ28" s="11"/>
      <c r="HA28" s="11"/>
      <c r="HB28" s="11"/>
      <c r="HC28" s="11"/>
      <c r="HD28" s="11"/>
      <c r="HE28" s="11"/>
      <c r="HF28" s="11"/>
      <c r="HG28" s="11"/>
      <c r="HH28" s="11"/>
      <c r="HI28" s="11"/>
      <c r="HJ28" s="11"/>
    </row>
    <row r="29" spans="1:218" s="213" customFormat="1" ht="30" customHeight="1">
      <c r="A29" s="197" t="s">
        <v>198</v>
      </c>
      <c r="B29" s="212">
        <v>2618418936</v>
      </c>
      <c r="C29" s="197" t="s">
        <v>131</v>
      </c>
      <c r="D29" s="197" t="s">
        <v>124</v>
      </c>
      <c r="E29" s="197" t="s">
        <v>35</v>
      </c>
      <c r="F29" s="197" t="s">
        <v>793</v>
      </c>
      <c r="G29" s="197">
        <v>421</v>
      </c>
      <c r="H29" s="197"/>
      <c r="I29" s="197" t="s">
        <v>615</v>
      </c>
      <c r="J29" s="197" t="s">
        <v>1523</v>
      </c>
      <c r="K29" s="197"/>
      <c r="L29" s="203">
        <v>46147.407638888886</v>
      </c>
      <c r="M29" s="203">
        <v>46147.633333333331</v>
      </c>
      <c r="N29" s="197" t="s">
        <v>1546</v>
      </c>
      <c r="O29" s="201" t="s">
        <v>207</v>
      </c>
      <c r="P29" s="160"/>
      <c r="Q29" s="138" t="s">
        <v>215</v>
      </c>
      <c r="R29" s="54" t="s">
        <v>1566</v>
      </c>
      <c r="S29" s="138" t="s">
        <v>214</v>
      </c>
      <c r="T29" s="54"/>
      <c r="U29" s="138" t="s">
        <v>207</v>
      </c>
      <c r="V29" s="54"/>
      <c r="W29" s="138" t="s">
        <v>214</v>
      </c>
      <c r="X29" s="54"/>
      <c r="Y29" s="138" t="s">
        <v>207</v>
      </c>
      <c r="Z29" s="54"/>
      <c r="AA29" s="138" t="s">
        <v>207</v>
      </c>
      <c r="AB29" s="54"/>
      <c r="AC29" s="138" t="s">
        <v>215</v>
      </c>
      <c r="AD29" s="54" t="s">
        <v>882</v>
      </c>
      <c r="AE29" s="138" t="s">
        <v>207</v>
      </c>
      <c r="AF29" s="137" t="str">
        <f t="shared" si="1"/>
        <v>NC</v>
      </c>
      <c r="AG29" s="288" t="str">
        <f t="shared" si="0"/>
        <v>UTILIZOU O PDA CORRETAMENTE. NÃO HÁ FOTOS DE TODAS AS ETAPAS</v>
      </c>
      <c r="AH29" s="138" t="s">
        <v>207</v>
      </c>
      <c r="AI29" s="291" t="s">
        <v>36</v>
      </c>
      <c r="AJ29" s="291" t="str">
        <f t="shared" si="2"/>
        <v>SÃO PAULO</v>
      </c>
      <c r="AK29" s="292" t="s">
        <v>75</v>
      </c>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c r="EO29" s="11"/>
      <c r="EP29" s="11"/>
      <c r="EQ29" s="11"/>
      <c r="ER29" s="11"/>
      <c r="ES29" s="11"/>
      <c r="ET29" s="11"/>
      <c r="EU29" s="11"/>
      <c r="EV29" s="11"/>
      <c r="EW29" s="11"/>
      <c r="EX29" s="11"/>
      <c r="EY29" s="11"/>
      <c r="EZ29" s="11"/>
      <c r="FA29" s="11"/>
      <c r="FB29" s="11"/>
      <c r="FC29" s="11"/>
      <c r="FD29" s="11"/>
      <c r="FE29" s="11"/>
      <c r="FF29" s="11"/>
      <c r="FG29" s="11"/>
      <c r="FH29" s="11"/>
      <c r="FI29" s="11"/>
      <c r="FJ29" s="11"/>
      <c r="FK29" s="11"/>
      <c r="FL29" s="11"/>
      <c r="FM29" s="11"/>
      <c r="FN29" s="11"/>
      <c r="FO29" s="11"/>
      <c r="FP29" s="11"/>
      <c r="FQ29" s="11"/>
      <c r="FR29" s="11"/>
      <c r="FS29" s="11"/>
      <c r="FT29" s="11"/>
      <c r="FU29" s="11"/>
      <c r="FV29" s="11"/>
      <c r="FW29" s="11"/>
      <c r="FX29" s="11"/>
      <c r="FY29" s="11"/>
      <c r="FZ29" s="11"/>
      <c r="GA29" s="11"/>
      <c r="GB29" s="11"/>
      <c r="GC29" s="11"/>
      <c r="GD29" s="11"/>
      <c r="GE29" s="11"/>
      <c r="GF29" s="11"/>
      <c r="GG29" s="11"/>
      <c r="GH29" s="11"/>
      <c r="GI29" s="11"/>
      <c r="GJ29" s="11"/>
      <c r="GK29" s="11"/>
      <c r="GL29" s="11"/>
      <c r="GM29" s="11"/>
      <c r="GN29" s="11"/>
      <c r="GO29" s="11"/>
      <c r="GP29" s="11"/>
      <c r="GQ29" s="11"/>
      <c r="GR29" s="11"/>
      <c r="GS29" s="11"/>
      <c r="GT29" s="11"/>
      <c r="GU29" s="11"/>
      <c r="GV29" s="11"/>
      <c r="GW29" s="11"/>
      <c r="GX29" s="11"/>
      <c r="GY29" s="11"/>
      <c r="GZ29" s="11"/>
      <c r="HA29" s="11"/>
      <c r="HB29" s="11"/>
      <c r="HC29" s="11"/>
      <c r="HD29" s="11"/>
      <c r="HE29" s="11"/>
      <c r="HF29" s="11"/>
      <c r="HG29" s="11"/>
      <c r="HH29" s="11"/>
      <c r="HI29" s="11"/>
      <c r="HJ29" s="11"/>
    </row>
    <row r="30" spans="1:218" s="213" customFormat="1" ht="30" customHeight="1">
      <c r="A30" s="197" t="s">
        <v>198</v>
      </c>
      <c r="B30" s="212">
        <v>2618477482</v>
      </c>
      <c r="C30" s="197" t="s">
        <v>138</v>
      </c>
      <c r="D30" s="197" t="s">
        <v>124</v>
      </c>
      <c r="E30" s="197" t="s">
        <v>35</v>
      </c>
      <c r="F30" s="197" t="s">
        <v>1567</v>
      </c>
      <c r="G30" s="197">
        <v>25</v>
      </c>
      <c r="H30" s="197" t="s">
        <v>380</v>
      </c>
      <c r="I30" s="197" t="s">
        <v>598</v>
      </c>
      <c r="J30" s="197" t="s">
        <v>1549</v>
      </c>
      <c r="K30" s="197" t="s">
        <v>200</v>
      </c>
      <c r="L30" s="203">
        <v>46147.381944444445</v>
      </c>
      <c r="M30" s="203">
        <v>46147.668055555558</v>
      </c>
      <c r="N30" s="197" t="s">
        <v>1524</v>
      </c>
      <c r="O30" s="201" t="s">
        <v>207</v>
      </c>
      <c r="P30" s="160"/>
      <c r="Q30" s="138" t="s">
        <v>77</v>
      </c>
      <c r="R30" s="54"/>
      <c r="S30" s="138" t="s">
        <v>214</v>
      </c>
      <c r="T30" s="54"/>
      <c r="U30" s="138" t="s">
        <v>207</v>
      </c>
      <c r="V30" s="54"/>
      <c r="W30" s="138" t="s">
        <v>214</v>
      </c>
      <c r="X30" s="54"/>
      <c r="Y30" s="138" t="s">
        <v>77</v>
      </c>
      <c r="Z30" s="54"/>
      <c r="AA30" s="138" t="s">
        <v>214</v>
      </c>
      <c r="AB30" s="54"/>
      <c r="AC30" s="138" t="s">
        <v>207</v>
      </c>
      <c r="AD30" s="54"/>
      <c r="AE30" s="138" t="s">
        <v>207</v>
      </c>
      <c r="AF30" s="137" t="str">
        <f t="shared" si="1"/>
        <v>NC</v>
      </c>
      <c r="AG30" s="288" t="str">
        <f t="shared" si="0"/>
        <v>UTILIZOU O PDA CORRETAMENTE. NÃO HÁ FOTOS DE TODAS AS ETAPAS</v>
      </c>
      <c r="AH30" s="138" t="s">
        <v>207</v>
      </c>
      <c r="AI30" s="291" t="s">
        <v>36</v>
      </c>
      <c r="AJ30" s="291" t="str">
        <f t="shared" si="2"/>
        <v>SÃO PAULO</v>
      </c>
      <c r="AK30" s="292" t="s">
        <v>75</v>
      </c>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11"/>
      <c r="EM30" s="11"/>
      <c r="EN30" s="11"/>
      <c r="EO30" s="11"/>
      <c r="EP30" s="11"/>
      <c r="EQ30" s="11"/>
      <c r="ER30" s="11"/>
      <c r="ES30" s="11"/>
      <c r="ET30" s="11"/>
      <c r="EU30" s="11"/>
      <c r="EV30" s="11"/>
      <c r="EW30" s="11"/>
      <c r="EX30" s="11"/>
      <c r="EY30" s="11"/>
      <c r="EZ30" s="11"/>
      <c r="FA30" s="11"/>
      <c r="FB30" s="11"/>
      <c r="FC30" s="11"/>
      <c r="FD30" s="11"/>
      <c r="FE30" s="11"/>
      <c r="FF30" s="11"/>
      <c r="FG30" s="11"/>
      <c r="FH30" s="11"/>
      <c r="FI30" s="11"/>
      <c r="FJ30" s="11"/>
      <c r="FK30" s="11"/>
      <c r="FL30" s="11"/>
      <c r="FM30" s="11"/>
      <c r="FN30" s="11"/>
      <c r="FO30" s="11"/>
      <c r="FP30" s="11"/>
      <c r="FQ30" s="11"/>
      <c r="FR30" s="11"/>
      <c r="FS30" s="11"/>
      <c r="FT30" s="11"/>
      <c r="FU30" s="11"/>
      <c r="FV30" s="11"/>
      <c r="FW30" s="11"/>
      <c r="FX30" s="11"/>
      <c r="FY30" s="11"/>
      <c r="FZ30" s="11"/>
      <c r="GA30" s="11"/>
      <c r="GB30" s="11"/>
      <c r="GC30" s="11"/>
      <c r="GD30" s="11"/>
      <c r="GE30" s="11"/>
      <c r="GF30" s="11"/>
      <c r="GG30" s="11"/>
      <c r="GH30" s="11"/>
      <c r="GI30" s="11"/>
      <c r="GJ30" s="11"/>
      <c r="GK30" s="11"/>
      <c r="GL30" s="11"/>
      <c r="GM30" s="11"/>
      <c r="GN30" s="11"/>
      <c r="GO30" s="11"/>
      <c r="GP30" s="11"/>
      <c r="GQ30" s="11"/>
      <c r="GR30" s="11"/>
      <c r="GS30" s="11"/>
      <c r="GT30" s="11"/>
      <c r="GU30" s="11"/>
      <c r="GV30" s="11"/>
      <c r="GW30" s="11"/>
      <c r="GX30" s="11"/>
      <c r="GY30" s="11"/>
      <c r="GZ30" s="11"/>
      <c r="HA30" s="11"/>
      <c r="HB30" s="11"/>
      <c r="HC30" s="11"/>
      <c r="HD30" s="11"/>
      <c r="HE30" s="11"/>
      <c r="HF30" s="11"/>
      <c r="HG30" s="11"/>
      <c r="HH30" s="11"/>
      <c r="HI30" s="11"/>
      <c r="HJ30" s="11"/>
    </row>
    <row r="31" spans="1:218" s="213" customFormat="1" ht="30" customHeight="1">
      <c r="A31" s="197" t="s">
        <v>198</v>
      </c>
      <c r="B31" s="212">
        <v>2618467021</v>
      </c>
      <c r="C31" s="197" t="s">
        <v>1547</v>
      </c>
      <c r="D31" s="197" t="s">
        <v>124</v>
      </c>
      <c r="E31" s="197" t="s">
        <v>35</v>
      </c>
      <c r="F31" s="197" t="s">
        <v>1158</v>
      </c>
      <c r="G31" s="197">
        <v>315</v>
      </c>
      <c r="H31" s="197"/>
      <c r="I31" s="197" t="s">
        <v>395</v>
      </c>
      <c r="J31" s="197" t="s">
        <v>1549</v>
      </c>
      <c r="K31" s="197"/>
      <c r="L31" s="203">
        <v>46147.445138888892</v>
      </c>
      <c r="M31" s="203">
        <v>46147.604166666664</v>
      </c>
      <c r="N31" s="197" t="s">
        <v>1537</v>
      </c>
      <c r="O31" s="201" t="s">
        <v>207</v>
      </c>
      <c r="P31" s="160"/>
      <c r="Q31" s="138" t="s">
        <v>214</v>
      </c>
      <c r="R31" s="54"/>
      <c r="S31" s="138" t="s">
        <v>214</v>
      </c>
      <c r="T31" s="54"/>
      <c r="U31" s="138" t="s">
        <v>207</v>
      </c>
      <c r="V31" s="54"/>
      <c r="W31" s="138" t="s">
        <v>214</v>
      </c>
      <c r="X31" s="54"/>
      <c r="Y31" s="138" t="s">
        <v>77</v>
      </c>
      <c r="Z31" s="54"/>
      <c r="AA31" s="138" t="s">
        <v>214</v>
      </c>
      <c r="AB31" s="54"/>
      <c r="AC31" s="138" t="s">
        <v>207</v>
      </c>
      <c r="AD31" s="54"/>
      <c r="AE31" s="138" t="s">
        <v>207</v>
      </c>
      <c r="AF31" s="137" t="str">
        <f t="shared" si="1"/>
        <v>NC</v>
      </c>
      <c r="AG31" s="288" t="str">
        <f t="shared" si="0"/>
        <v>UTILIZOU O PDA CORRETAMENTE. NÃO HÁ FOTOS DE TODAS AS ETAPAS</v>
      </c>
      <c r="AH31" s="138" t="s">
        <v>207</v>
      </c>
      <c r="AI31" s="291" t="s">
        <v>36</v>
      </c>
      <c r="AJ31" s="291" t="str">
        <f t="shared" si="2"/>
        <v>SÃO PAULO</v>
      </c>
      <c r="AK31" s="292" t="s">
        <v>75</v>
      </c>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c r="CW31" s="11"/>
      <c r="CX31" s="11"/>
      <c r="CY31" s="11"/>
      <c r="CZ31" s="11"/>
      <c r="DA31" s="11"/>
      <c r="DB31" s="11"/>
      <c r="DC31" s="11"/>
      <c r="DD31" s="11"/>
      <c r="DE31" s="11"/>
      <c r="DF31" s="11"/>
      <c r="DG31" s="11"/>
      <c r="DH31" s="11"/>
      <c r="DI31" s="11"/>
      <c r="DJ31" s="11"/>
      <c r="DK31" s="11"/>
      <c r="DL31" s="11"/>
      <c r="DM31" s="11"/>
      <c r="DN31" s="11"/>
      <c r="DO31" s="11"/>
      <c r="DP31" s="11"/>
      <c r="DQ31" s="11"/>
      <c r="DR31" s="11"/>
      <c r="DS31" s="11"/>
      <c r="DT31" s="11"/>
      <c r="DU31" s="11"/>
      <c r="DV31" s="11"/>
      <c r="DW31" s="11"/>
      <c r="DX31" s="11"/>
      <c r="DY31" s="11"/>
      <c r="DZ31" s="11"/>
      <c r="EA31" s="11"/>
      <c r="EB31" s="11"/>
      <c r="EC31" s="11"/>
      <c r="ED31" s="11"/>
      <c r="EE31" s="11"/>
      <c r="EF31" s="11"/>
      <c r="EG31" s="11"/>
      <c r="EH31" s="11"/>
      <c r="EI31" s="11"/>
      <c r="EJ31" s="11"/>
      <c r="EK31" s="11"/>
      <c r="EL31" s="11"/>
      <c r="EM31" s="11"/>
      <c r="EN31" s="11"/>
      <c r="EO31" s="11"/>
      <c r="EP31" s="11"/>
      <c r="EQ31" s="11"/>
      <c r="ER31" s="11"/>
      <c r="ES31" s="11"/>
      <c r="ET31" s="11"/>
      <c r="EU31" s="11"/>
      <c r="EV31" s="11"/>
      <c r="EW31" s="11"/>
      <c r="EX31" s="11"/>
      <c r="EY31" s="11"/>
      <c r="EZ31" s="11"/>
      <c r="FA31" s="11"/>
      <c r="FB31" s="11"/>
      <c r="FC31" s="11"/>
      <c r="FD31" s="11"/>
      <c r="FE31" s="11"/>
      <c r="FF31" s="11"/>
      <c r="FG31" s="11"/>
      <c r="FH31" s="11"/>
      <c r="FI31" s="11"/>
      <c r="FJ31" s="11"/>
      <c r="FK31" s="11"/>
      <c r="FL31" s="11"/>
      <c r="FM31" s="11"/>
      <c r="FN31" s="11"/>
      <c r="FO31" s="11"/>
      <c r="FP31" s="11"/>
      <c r="FQ31" s="11"/>
      <c r="FR31" s="11"/>
      <c r="FS31" s="11"/>
      <c r="FT31" s="11"/>
      <c r="FU31" s="11"/>
      <c r="FV31" s="11"/>
      <c r="FW31" s="11"/>
      <c r="FX31" s="11"/>
      <c r="FY31" s="11"/>
      <c r="FZ31" s="11"/>
      <c r="GA31" s="11"/>
      <c r="GB31" s="11"/>
      <c r="GC31" s="11"/>
      <c r="GD31" s="11"/>
      <c r="GE31" s="11"/>
      <c r="GF31" s="11"/>
      <c r="GG31" s="11"/>
      <c r="GH31" s="11"/>
      <c r="GI31" s="11"/>
      <c r="GJ31" s="11"/>
      <c r="GK31" s="11"/>
      <c r="GL31" s="11"/>
      <c r="GM31" s="11"/>
      <c r="GN31" s="11"/>
      <c r="GO31" s="11"/>
      <c r="GP31" s="11"/>
      <c r="GQ31" s="11"/>
      <c r="GR31" s="11"/>
      <c r="GS31" s="11"/>
      <c r="GT31" s="11"/>
      <c r="GU31" s="11"/>
      <c r="GV31" s="11"/>
      <c r="GW31" s="11"/>
      <c r="GX31" s="11"/>
      <c r="GY31" s="11"/>
      <c r="GZ31" s="11"/>
      <c r="HA31" s="11"/>
      <c r="HB31" s="11"/>
      <c r="HC31" s="11"/>
      <c r="HD31" s="11"/>
      <c r="HE31" s="11"/>
      <c r="HF31" s="11"/>
      <c r="HG31" s="11"/>
      <c r="HH31" s="11"/>
      <c r="HI31" s="11"/>
      <c r="HJ31" s="11"/>
    </row>
    <row r="32" spans="1:218" s="213" customFormat="1" ht="30" customHeight="1">
      <c r="A32" s="197" t="s">
        <v>198</v>
      </c>
      <c r="B32" s="212">
        <v>2618466224</v>
      </c>
      <c r="C32" s="197" t="s">
        <v>130</v>
      </c>
      <c r="D32" s="197" t="s">
        <v>127</v>
      </c>
      <c r="E32" s="197" t="s">
        <v>35</v>
      </c>
      <c r="F32" s="197" t="s">
        <v>1158</v>
      </c>
      <c r="G32" s="197">
        <v>315</v>
      </c>
      <c r="H32" s="197" t="s">
        <v>200</v>
      </c>
      <c r="I32" s="197" t="s">
        <v>395</v>
      </c>
      <c r="J32" s="197" t="s">
        <v>1568</v>
      </c>
      <c r="K32" s="197" t="s">
        <v>200</v>
      </c>
      <c r="L32" s="203">
        <v>46147.615972222222</v>
      </c>
      <c r="M32" s="203">
        <v>46147.618055555555</v>
      </c>
      <c r="N32" s="197" t="s">
        <v>1537</v>
      </c>
      <c r="O32" s="201" t="s">
        <v>214</v>
      </c>
      <c r="P32" s="160"/>
      <c r="Q32" s="138" t="s">
        <v>77</v>
      </c>
      <c r="R32" s="54"/>
      <c r="S32" s="138" t="s">
        <v>77</v>
      </c>
      <c r="T32" s="54"/>
      <c r="U32" s="138" t="s">
        <v>207</v>
      </c>
      <c r="V32" s="54"/>
      <c r="W32" s="138" t="s">
        <v>77</v>
      </c>
      <c r="X32" s="54"/>
      <c r="Y32" s="138" t="s">
        <v>77</v>
      </c>
      <c r="Z32" s="54"/>
      <c r="AA32" s="138" t="s">
        <v>77</v>
      </c>
      <c r="AB32" s="54"/>
      <c r="AC32" s="138" t="s">
        <v>207</v>
      </c>
      <c r="AD32" s="54"/>
      <c r="AE32" s="138" t="s">
        <v>207</v>
      </c>
      <c r="AF32" s="137" t="str">
        <f t="shared" si="1"/>
        <v>NC</v>
      </c>
      <c r="AG32" s="288" t="str">
        <f t="shared" si="0"/>
        <v>UTILIZOU O PDA CORRETAMENTE. NÃO HÁ FOTOS DE TODAS AS ETAPAS</v>
      </c>
      <c r="AH32" s="138" t="s">
        <v>207</v>
      </c>
      <c r="AI32" s="291" t="s">
        <v>36</v>
      </c>
      <c r="AJ32" s="291" t="str">
        <f t="shared" si="2"/>
        <v>SÃO PAULO</v>
      </c>
      <c r="AK32" s="292" t="s">
        <v>75</v>
      </c>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c r="CW32" s="11"/>
      <c r="CX32" s="11"/>
      <c r="CY32" s="11"/>
      <c r="CZ32" s="11"/>
      <c r="DA32" s="11"/>
      <c r="DB32" s="11"/>
      <c r="DC32" s="11"/>
      <c r="DD32" s="11"/>
      <c r="DE32" s="11"/>
      <c r="DF32" s="11"/>
      <c r="DG32" s="11"/>
      <c r="DH32" s="11"/>
      <c r="DI32" s="11"/>
      <c r="DJ32" s="11"/>
      <c r="DK32" s="11"/>
      <c r="DL32" s="11"/>
      <c r="DM32" s="11"/>
      <c r="DN32" s="11"/>
      <c r="DO32" s="11"/>
      <c r="DP32" s="11"/>
      <c r="DQ32" s="11"/>
      <c r="DR32" s="11"/>
      <c r="DS32" s="11"/>
      <c r="DT32" s="11"/>
      <c r="DU32" s="11"/>
      <c r="DV32" s="11"/>
      <c r="DW32" s="11"/>
      <c r="DX32" s="11"/>
      <c r="DY32" s="11"/>
      <c r="DZ32" s="11"/>
      <c r="EA32" s="11"/>
      <c r="EB32" s="11"/>
      <c r="EC32" s="11"/>
      <c r="ED32" s="11"/>
      <c r="EE32" s="11"/>
      <c r="EF32" s="11"/>
      <c r="EG32" s="11"/>
      <c r="EH32" s="11"/>
      <c r="EI32" s="11"/>
      <c r="EJ32" s="11"/>
      <c r="EK32" s="11"/>
      <c r="EL32" s="11"/>
      <c r="EM32" s="11"/>
      <c r="EN32" s="11"/>
      <c r="EO32" s="11"/>
      <c r="EP32" s="11"/>
      <c r="EQ32" s="11"/>
      <c r="ER32" s="11"/>
      <c r="ES32" s="11"/>
      <c r="ET32" s="11"/>
      <c r="EU32" s="11"/>
      <c r="EV32" s="11"/>
      <c r="EW32" s="11"/>
      <c r="EX32" s="11"/>
      <c r="EY32" s="11"/>
      <c r="EZ32" s="11"/>
      <c r="FA32" s="11"/>
      <c r="FB32" s="11"/>
      <c r="FC32" s="11"/>
      <c r="FD32" s="11"/>
      <c r="FE32" s="11"/>
      <c r="FF32" s="11"/>
      <c r="FG32" s="11"/>
      <c r="FH32" s="11"/>
      <c r="FI32" s="11"/>
      <c r="FJ32" s="11"/>
      <c r="FK32" s="11"/>
      <c r="FL32" s="11"/>
      <c r="FM32" s="11"/>
      <c r="FN32" s="11"/>
      <c r="FO32" s="11"/>
      <c r="FP32" s="11"/>
      <c r="FQ32" s="11"/>
      <c r="FR32" s="11"/>
      <c r="FS32" s="11"/>
      <c r="FT32" s="11"/>
      <c r="FU32" s="11"/>
      <c r="FV32" s="11"/>
      <c r="FW32" s="11"/>
      <c r="FX32" s="11"/>
      <c r="FY32" s="11"/>
      <c r="FZ32" s="11"/>
      <c r="GA32" s="11"/>
      <c r="GB32" s="11"/>
      <c r="GC32" s="11"/>
      <c r="GD32" s="11"/>
      <c r="GE32" s="11"/>
      <c r="GF32" s="11"/>
      <c r="GG32" s="11"/>
      <c r="GH32" s="11"/>
      <c r="GI32" s="11"/>
      <c r="GJ32" s="11"/>
      <c r="GK32" s="11"/>
      <c r="GL32" s="11"/>
      <c r="GM32" s="11"/>
      <c r="GN32" s="11"/>
      <c r="GO32" s="11"/>
      <c r="GP32" s="11"/>
      <c r="GQ32" s="11"/>
      <c r="GR32" s="11"/>
      <c r="GS32" s="11"/>
      <c r="GT32" s="11"/>
      <c r="GU32" s="11"/>
      <c r="GV32" s="11"/>
      <c r="GW32" s="11"/>
      <c r="GX32" s="11"/>
      <c r="GY32" s="11"/>
      <c r="GZ32" s="11"/>
      <c r="HA32" s="11"/>
      <c r="HB32" s="11"/>
      <c r="HC32" s="11"/>
      <c r="HD32" s="11"/>
      <c r="HE32" s="11"/>
      <c r="HF32" s="11"/>
      <c r="HG32" s="11"/>
      <c r="HH32" s="11"/>
      <c r="HI32" s="11"/>
      <c r="HJ32" s="11"/>
    </row>
    <row r="33" spans="1:218" s="213" customFormat="1" ht="30" customHeight="1">
      <c r="A33" s="197" t="s">
        <v>198</v>
      </c>
      <c r="B33" s="212">
        <v>2618115457</v>
      </c>
      <c r="C33" s="197" t="s">
        <v>136</v>
      </c>
      <c r="D33" s="197" t="s">
        <v>127</v>
      </c>
      <c r="E33" s="197" t="s">
        <v>35</v>
      </c>
      <c r="F33" s="197" t="s">
        <v>886</v>
      </c>
      <c r="G33" s="197">
        <v>44</v>
      </c>
      <c r="H33" s="197" t="s">
        <v>208</v>
      </c>
      <c r="I33" s="197" t="s">
        <v>515</v>
      </c>
      <c r="J33" s="197" t="s">
        <v>1525</v>
      </c>
      <c r="K33" s="197"/>
      <c r="L33" s="203">
        <v>46147.886111111111</v>
      </c>
      <c r="M33" s="203">
        <v>46147.887499999997</v>
      </c>
      <c r="N33" s="197" t="s">
        <v>309</v>
      </c>
      <c r="O33" s="201" t="s">
        <v>207</v>
      </c>
      <c r="P33" s="160"/>
      <c r="Q33" s="138" t="s">
        <v>214</v>
      </c>
      <c r="R33" s="54"/>
      <c r="S33" s="138" t="s">
        <v>214</v>
      </c>
      <c r="T33" s="54"/>
      <c r="U33" s="138" t="s">
        <v>207</v>
      </c>
      <c r="V33" s="54"/>
      <c r="W33" s="138" t="s">
        <v>77</v>
      </c>
      <c r="X33" s="54"/>
      <c r="Y33" s="138" t="s">
        <v>77</v>
      </c>
      <c r="Z33" s="54"/>
      <c r="AA33" s="138" t="s">
        <v>77</v>
      </c>
      <c r="AB33" s="54"/>
      <c r="AC33" s="138" t="s">
        <v>215</v>
      </c>
      <c r="AD33" s="54" t="s">
        <v>1545</v>
      </c>
      <c r="AE33" s="138" t="s">
        <v>207</v>
      </c>
      <c r="AF33" s="137" t="str">
        <f t="shared" si="1"/>
        <v>NC</v>
      </c>
      <c r="AG33" s="288" t="str">
        <f t="shared" si="0"/>
        <v>UTILIZOU O PDA CORRETAMENTE. NÃO HÁ FOTOS DE TODAS AS ETAPAS</v>
      </c>
      <c r="AH33" s="138" t="s">
        <v>207</v>
      </c>
      <c r="AI33" s="291" t="s">
        <v>36</v>
      </c>
      <c r="AJ33" s="291" t="str">
        <f t="shared" si="2"/>
        <v>SÃO PAULO</v>
      </c>
      <c r="AK33" s="292" t="s">
        <v>75</v>
      </c>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c r="EM33" s="11"/>
      <c r="EN33" s="11"/>
      <c r="EO33" s="11"/>
      <c r="EP33" s="11"/>
      <c r="EQ33" s="11"/>
      <c r="ER33" s="11"/>
      <c r="ES33" s="11"/>
      <c r="ET33" s="11"/>
      <c r="EU33" s="11"/>
      <c r="EV33" s="11"/>
      <c r="EW33" s="11"/>
      <c r="EX33" s="11"/>
      <c r="EY33" s="11"/>
      <c r="EZ33" s="11"/>
      <c r="FA33" s="11"/>
      <c r="FB33" s="11"/>
      <c r="FC33" s="11"/>
      <c r="FD33" s="11"/>
      <c r="FE33" s="11"/>
      <c r="FF33" s="11"/>
      <c r="FG33" s="11"/>
      <c r="FH33" s="11"/>
      <c r="FI33" s="11"/>
      <c r="FJ33" s="11"/>
      <c r="FK33" s="11"/>
      <c r="FL33" s="11"/>
      <c r="FM33" s="11"/>
      <c r="FN33" s="11"/>
      <c r="FO33" s="11"/>
      <c r="FP33" s="11"/>
      <c r="FQ33" s="11"/>
      <c r="FR33" s="11"/>
      <c r="FS33" s="11"/>
      <c r="FT33" s="11"/>
      <c r="FU33" s="11"/>
      <c r="FV33" s="11"/>
      <c r="FW33" s="11"/>
      <c r="FX33" s="11"/>
      <c r="FY33" s="11"/>
      <c r="FZ33" s="11"/>
      <c r="GA33" s="11"/>
      <c r="GB33" s="11"/>
      <c r="GC33" s="11"/>
      <c r="GD33" s="11"/>
      <c r="GE33" s="11"/>
      <c r="GF33" s="11"/>
      <c r="GG33" s="11"/>
      <c r="GH33" s="11"/>
      <c r="GI33" s="11"/>
      <c r="GJ33" s="11"/>
      <c r="GK33" s="11"/>
      <c r="GL33" s="11"/>
      <c r="GM33" s="11"/>
      <c r="GN33" s="11"/>
      <c r="GO33" s="11"/>
      <c r="GP33" s="11"/>
      <c r="GQ33" s="11"/>
      <c r="GR33" s="11"/>
      <c r="GS33" s="11"/>
      <c r="GT33" s="11"/>
      <c r="GU33" s="11"/>
      <c r="GV33" s="11"/>
      <c r="GW33" s="11"/>
      <c r="GX33" s="11"/>
      <c r="GY33" s="11"/>
      <c r="GZ33" s="11"/>
      <c r="HA33" s="11"/>
      <c r="HB33" s="11"/>
      <c r="HC33" s="11"/>
      <c r="HD33" s="11"/>
      <c r="HE33" s="11"/>
      <c r="HF33" s="11"/>
      <c r="HG33" s="11"/>
      <c r="HH33" s="11"/>
      <c r="HI33" s="11"/>
      <c r="HJ33" s="11"/>
    </row>
    <row r="34" spans="1:218" s="213" customFormat="1" ht="30" customHeight="1">
      <c r="A34" s="197" t="s">
        <v>198</v>
      </c>
      <c r="B34" s="212">
        <v>2618473502</v>
      </c>
      <c r="C34" s="197" t="s">
        <v>138</v>
      </c>
      <c r="D34" s="197" t="s">
        <v>124</v>
      </c>
      <c r="E34" s="197" t="s">
        <v>35</v>
      </c>
      <c r="F34" s="197" t="s">
        <v>1473</v>
      </c>
      <c r="G34" s="197">
        <v>133</v>
      </c>
      <c r="H34" s="197" t="s">
        <v>205</v>
      </c>
      <c r="I34" s="197" t="s">
        <v>571</v>
      </c>
      <c r="J34" s="197" t="s">
        <v>1539</v>
      </c>
      <c r="K34" s="197" t="s">
        <v>200</v>
      </c>
      <c r="L34" s="203">
        <v>46147.291666666664</v>
      </c>
      <c r="M34" s="203">
        <v>46147.292361111111</v>
      </c>
      <c r="N34" s="197" t="s">
        <v>1524</v>
      </c>
      <c r="O34" s="201" t="s">
        <v>77</v>
      </c>
      <c r="P34" s="160"/>
      <c r="Q34" s="138" t="s">
        <v>77</v>
      </c>
      <c r="R34" s="54"/>
      <c r="S34" s="138" t="s">
        <v>77</v>
      </c>
      <c r="T34" s="54"/>
      <c r="U34" s="138" t="s">
        <v>77</v>
      </c>
      <c r="V34" s="54"/>
      <c r="W34" s="138" t="s">
        <v>77</v>
      </c>
      <c r="X34" s="54"/>
      <c r="Y34" s="138" t="s">
        <v>77</v>
      </c>
      <c r="Z34" s="54"/>
      <c r="AA34" s="138" t="s">
        <v>77</v>
      </c>
      <c r="AB34" s="54"/>
      <c r="AC34" s="138" t="s">
        <v>77</v>
      </c>
      <c r="AD34" s="138"/>
      <c r="AE34" s="138" t="s">
        <v>77</v>
      </c>
      <c r="AF34" s="137" t="str">
        <f t="shared" si="1"/>
        <v>NA</v>
      </c>
      <c r="AG34" s="288" t="str">
        <f t="shared" si="0"/>
        <v>NÃO AVALIADO POR FALHA DE SINCRONISMO</v>
      </c>
      <c r="AH34" s="138" t="s">
        <v>207</v>
      </c>
      <c r="AI34" s="291" t="s">
        <v>36</v>
      </c>
      <c r="AJ34" s="291" t="str">
        <f t="shared" si="2"/>
        <v>SÃO PAULO</v>
      </c>
      <c r="AK34" s="292" t="s">
        <v>75</v>
      </c>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c r="EM34" s="11"/>
      <c r="EN34" s="11"/>
      <c r="EO34" s="11"/>
      <c r="EP34" s="11"/>
      <c r="EQ34" s="11"/>
      <c r="ER34" s="11"/>
      <c r="ES34" s="11"/>
      <c r="ET34" s="11"/>
      <c r="EU34" s="11"/>
      <c r="EV34" s="11"/>
      <c r="EW34" s="11"/>
      <c r="EX34" s="11"/>
      <c r="EY34" s="11"/>
      <c r="EZ34" s="11"/>
      <c r="FA34" s="11"/>
      <c r="FB34" s="11"/>
      <c r="FC34" s="11"/>
      <c r="FD34" s="11"/>
      <c r="FE34" s="11"/>
      <c r="FF34" s="11"/>
      <c r="FG34" s="11"/>
      <c r="FH34" s="11"/>
      <c r="FI34" s="11"/>
      <c r="FJ34" s="11"/>
      <c r="FK34" s="11"/>
      <c r="FL34" s="11"/>
      <c r="FM34" s="11"/>
      <c r="FN34" s="11"/>
      <c r="FO34" s="11"/>
      <c r="FP34" s="11"/>
      <c r="FQ34" s="11"/>
      <c r="FR34" s="11"/>
      <c r="FS34" s="11"/>
      <c r="FT34" s="11"/>
      <c r="FU34" s="11"/>
      <c r="FV34" s="11"/>
      <c r="FW34" s="11"/>
      <c r="FX34" s="11"/>
      <c r="FY34" s="11"/>
      <c r="FZ34" s="11"/>
      <c r="GA34" s="11"/>
      <c r="GB34" s="11"/>
      <c r="GC34" s="11"/>
      <c r="GD34" s="11"/>
      <c r="GE34" s="11"/>
      <c r="GF34" s="11"/>
      <c r="GG34" s="11"/>
      <c r="GH34" s="11"/>
      <c r="GI34" s="11"/>
      <c r="GJ34" s="11"/>
      <c r="GK34" s="11"/>
      <c r="GL34" s="11"/>
      <c r="GM34" s="11"/>
      <c r="GN34" s="11"/>
      <c r="GO34" s="11"/>
      <c r="GP34" s="11"/>
      <c r="GQ34" s="11"/>
      <c r="GR34" s="11"/>
      <c r="GS34" s="11"/>
      <c r="GT34" s="11"/>
      <c r="GU34" s="11"/>
      <c r="GV34" s="11"/>
      <c r="GW34" s="11"/>
      <c r="GX34" s="11"/>
      <c r="GY34" s="11"/>
      <c r="GZ34" s="11"/>
      <c r="HA34" s="11"/>
      <c r="HB34" s="11"/>
      <c r="HC34" s="11"/>
      <c r="HD34" s="11"/>
      <c r="HE34" s="11"/>
      <c r="HF34" s="11"/>
      <c r="HG34" s="11"/>
      <c r="HH34" s="11"/>
      <c r="HI34" s="11"/>
      <c r="HJ34" s="11"/>
    </row>
    <row r="35" spans="1:218" s="213" customFormat="1" ht="30" customHeight="1">
      <c r="A35" s="197" t="s">
        <v>198</v>
      </c>
      <c r="B35" s="212">
        <v>2617739526</v>
      </c>
      <c r="C35" s="197" t="s">
        <v>1569</v>
      </c>
      <c r="D35" s="197" t="s">
        <v>127</v>
      </c>
      <c r="E35" s="197" t="s">
        <v>35</v>
      </c>
      <c r="F35" s="197" t="s">
        <v>1458</v>
      </c>
      <c r="G35" s="197">
        <v>283</v>
      </c>
      <c r="H35" s="197"/>
      <c r="I35" s="197" t="s">
        <v>382</v>
      </c>
      <c r="J35" s="197" t="s">
        <v>1570</v>
      </c>
      <c r="K35" s="197" t="s">
        <v>1571</v>
      </c>
      <c r="L35" s="203">
        <v>46147.333333333336</v>
      </c>
      <c r="M35" s="203">
        <v>46147.340277777781</v>
      </c>
      <c r="N35" s="197" t="s">
        <v>1572</v>
      </c>
      <c r="O35" s="201" t="s">
        <v>77</v>
      </c>
      <c r="P35" s="160"/>
      <c r="Q35" s="138" t="s">
        <v>77</v>
      </c>
      <c r="R35" s="54"/>
      <c r="S35" s="138" t="s">
        <v>77</v>
      </c>
      <c r="T35" s="54"/>
      <c r="U35" s="138" t="s">
        <v>77</v>
      </c>
      <c r="V35" s="54"/>
      <c r="W35" s="138" t="s">
        <v>77</v>
      </c>
      <c r="X35" s="54"/>
      <c r="Y35" s="138" t="s">
        <v>77</v>
      </c>
      <c r="Z35" s="54"/>
      <c r="AA35" s="138" t="s">
        <v>77</v>
      </c>
      <c r="AB35" s="54"/>
      <c r="AC35" s="138" t="s">
        <v>77</v>
      </c>
      <c r="AD35" s="54"/>
      <c r="AE35" s="138" t="s">
        <v>77</v>
      </c>
      <c r="AF35" s="137" t="str">
        <f t="shared" si="1"/>
        <v>NA</v>
      </c>
      <c r="AG35" s="288" t="str">
        <f t="shared" si="0"/>
        <v>NÃO AVALIADO POR FALHA DE SINCRONISMO</v>
      </c>
      <c r="AH35" s="138"/>
      <c r="AI35" s="291" t="s">
        <v>36</v>
      </c>
      <c r="AJ35" s="291" t="str">
        <f t="shared" si="2"/>
        <v>SÃO PAULO</v>
      </c>
      <c r="AK35" s="292" t="s">
        <v>75</v>
      </c>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c r="GJ35" s="11"/>
      <c r="GK35" s="11"/>
      <c r="GL35" s="11"/>
      <c r="GM35" s="11"/>
      <c r="GN35" s="11"/>
      <c r="GO35" s="11"/>
      <c r="GP35" s="11"/>
      <c r="GQ35" s="11"/>
      <c r="GR35" s="11"/>
      <c r="GS35" s="11"/>
      <c r="GT35" s="11"/>
      <c r="GU35" s="11"/>
      <c r="GV35" s="11"/>
      <c r="GW35" s="11"/>
      <c r="GX35" s="11"/>
      <c r="GY35" s="11"/>
      <c r="GZ35" s="11"/>
      <c r="HA35" s="11"/>
      <c r="HB35" s="11"/>
      <c r="HC35" s="11"/>
      <c r="HD35" s="11"/>
      <c r="HE35" s="11"/>
      <c r="HF35" s="11"/>
      <c r="HG35" s="11"/>
      <c r="HH35" s="11"/>
      <c r="HI35" s="11"/>
      <c r="HJ35" s="11"/>
    </row>
    <row r="36" spans="1:218" s="213" customFormat="1" ht="30" customHeight="1">
      <c r="A36" s="197" t="s">
        <v>198</v>
      </c>
      <c r="B36" s="212">
        <v>2617740149</v>
      </c>
      <c r="C36" s="197" t="s">
        <v>1569</v>
      </c>
      <c r="D36" s="197" t="s">
        <v>127</v>
      </c>
      <c r="E36" s="197" t="s">
        <v>35</v>
      </c>
      <c r="F36" s="197" t="s">
        <v>1573</v>
      </c>
      <c r="G36" s="197">
        <v>445</v>
      </c>
      <c r="H36" s="197" t="s">
        <v>208</v>
      </c>
      <c r="I36" s="197" t="s">
        <v>241</v>
      </c>
      <c r="J36" s="197" t="s">
        <v>1570</v>
      </c>
      <c r="K36" s="197" t="s">
        <v>1574</v>
      </c>
      <c r="L36" s="203">
        <v>46147.333333333336</v>
      </c>
      <c r="M36" s="203">
        <v>46147.340277777781</v>
      </c>
      <c r="N36" s="197" t="s">
        <v>1572</v>
      </c>
      <c r="O36" s="201" t="s">
        <v>207</v>
      </c>
      <c r="P36" s="160"/>
      <c r="Q36" s="138" t="s">
        <v>214</v>
      </c>
      <c r="R36" s="54"/>
      <c r="S36" s="138" t="s">
        <v>77</v>
      </c>
      <c r="T36" s="54"/>
      <c r="U36" s="138" t="s">
        <v>207</v>
      </c>
      <c r="V36" s="54"/>
      <c r="W36" s="138" t="s">
        <v>214</v>
      </c>
      <c r="X36" s="54"/>
      <c r="Y36" s="138" t="s">
        <v>77</v>
      </c>
      <c r="Z36" s="54"/>
      <c r="AA36" s="138" t="s">
        <v>77</v>
      </c>
      <c r="AB36" s="54"/>
      <c r="AC36" s="138" t="s">
        <v>207</v>
      </c>
      <c r="AD36" s="54"/>
      <c r="AE36" s="138" t="s">
        <v>207</v>
      </c>
      <c r="AF36" s="137" t="str">
        <f t="shared" si="1"/>
        <v>NC</v>
      </c>
      <c r="AG36" s="288" t="str">
        <f t="shared" si="0"/>
        <v>UTILIZOU O PDA CORRETAMENTE. NÃO HÁ FOTOS DE TODAS AS ETAPAS</v>
      </c>
      <c r="AH36" s="138"/>
      <c r="AI36" s="291" t="s">
        <v>36</v>
      </c>
      <c r="AJ36" s="291" t="str">
        <f t="shared" si="2"/>
        <v>SÃO PAULO</v>
      </c>
      <c r="AK36" s="292" t="s">
        <v>75</v>
      </c>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1"/>
      <c r="GN36" s="11"/>
      <c r="GO36" s="11"/>
      <c r="GP36" s="11"/>
      <c r="GQ36" s="11"/>
      <c r="GR36" s="11"/>
      <c r="GS36" s="11"/>
      <c r="GT36" s="11"/>
      <c r="GU36" s="11"/>
      <c r="GV36" s="11"/>
      <c r="GW36" s="11"/>
      <c r="GX36" s="11"/>
      <c r="GY36" s="11"/>
      <c r="GZ36" s="11"/>
      <c r="HA36" s="11"/>
      <c r="HB36" s="11"/>
      <c r="HC36" s="11"/>
      <c r="HD36" s="11"/>
      <c r="HE36" s="11"/>
      <c r="HF36" s="11"/>
      <c r="HG36" s="11"/>
      <c r="HH36" s="11"/>
      <c r="HI36" s="11"/>
      <c r="HJ36" s="11"/>
    </row>
    <row r="37" spans="1:218" s="213" customFormat="1" ht="30" customHeight="1">
      <c r="A37" s="197" t="s">
        <v>198</v>
      </c>
      <c r="B37" s="212">
        <v>2617732617</v>
      </c>
      <c r="C37" s="197" t="s">
        <v>1569</v>
      </c>
      <c r="D37" s="197" t="s">
        <v>127</v>
      </c>
      <c r="E37" s="197" t="s">
        <v>35</v>
      </c>
      <c r="F37" s="197" t="s">
        <v>1575</v>
      </c>
      <c r="G37" s="197">
        <v>186</v>
      </c>
      <c r="H37" s="197" t="s">
        <v>208</v>
      </c>
      <c r="I37" s="197" t="s">
        <v>241</v>
      </c>
      <c r="J37" s="197" t="s">
        <v>1570</v>
      </c>
      <c r="K37" s="197" t="s">
        <v>1576</v>
      </c>
      <c r="L37" s="203">
        <v>46147.333333333336</v>
      </c>
      <c r="M37" s="203">
        <v>46147.347222222219</v>
      </c>
      <c r="N37" s="197" t="s">
        <v>1572</v>
      </c>
      <c r="O37" s="201" t="s">
        <v>214</v>
      </c>
      <c r="P37" s="160"/>
      <c r="Q37" s="138" t="s">
        <v>77</v>
      </c>
      <c r="R37" s="54"/>
      <c r="S37" s="138" t="s">
        <v>214</v>
      </c>
      <c r="T37" s="54"/>
      <c r="U37" s="138" t="s">
        <v>207</v>
      </c>
      <c r="V37" s="54"/>
      <c r="W37" s="138" t="s">
        <v>214</v>
      </c>
      <c r="X37" s="54"/>
      <c r="Y37" s="138" t="s">
        <v>214</v>
      </c>
      <c r="Z37" s="54"/>
      <c r="AA37" s="138" t="s">
        <v>214</v>
      </c>
      <c r="AB37" s="54"/>
      <c r="AC37" s="138" t="s">
        <v>207</v>
      </c>
      <c r="AD37" s="54"/>
      <c r="AE37" s="138" t="s">
        <v>207</v>
      </c>
      <c r="AF37" s="137" t="str">
        <f t="shared" si="1"/>
        <v>NC</v>
      </c>
      <c r="AG37" s="288" t="str">
        <f t="shared" si="0"/>
        <v>UTILIZOU O PDA CORRETAMENTE. NÃO HÁ FOTOS DE TODAS AS ETAPAS</v>
      </c>
      <c r="AH37" s="138"/>
      <c r="AI37" s="291" t="s">
        <v>36</v>
      </c>
      <c r="AJ37" s="291" t="str">
        <f t="shared" si="2"/>
        <v>SÃO PAULO</v>
      </c>
      <c r="AK37" s="292" t="s">
        <v>75</v>
      </c>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1"/>
      <c r="GN37" s="11"/>
      <c r="GO37" s="11"/>
      <c r="GP37" s="11"/>
      <c r="GQ37" s="11"/>
      <c r="GR37" s="11"/>
      <c r="GS37" s="11"/>
      <c r="GT37" s="11"/>
      <c r="GU37" s="11"/>
      <c r="GV37" s="11"/>
      <c r="GW37" s="11"/>
      <c r="GX37" s="11"/>
      <c r="GY37" s="11"/>
      <c r="GZ37" s="11"/>
      <c r="HA37" s="11"/>
      <c r="HB37" s="11"/>
      <c r="HC37" s="11"/>
      <c r="HD37" s="11"/>
      <c r="HE37" s="11"/>
      <c r="HF37" s="11"/>
      <c r="HG37" s="11"/>
      <c r="HH37" s="11"/>
      <c r="HI37" s="11"/>
      <c r="HJ37" s="11"/>
    </row>
    <row r="38" spans="1:218" s="213" customFormat="1" ht="30" customHeight="1">
      <c r="A38" s="197" t="s">
        <v>198</v>
      </c>
      <c r="B38" s="212">
        <v>2618633464</v>
      </c>
      <c r="C38" s="197" t="s">
        <v>1569</v>
      </c>
      <c r="D38" s="197" t="s">
        <v>127</v>
      </c>
      <c r="E38" s="197" t="s">
        <v>35</v>
      </c>
      <c r="F38" s="197" t="s">
        <v>1577</v>
      </c>
      <c r="G38" s="197">
        <v>121</v>
      </c>
      <c r="H38" s="197" t="s">
        <v>200</v>
      </c>
      <c r="I38" s="197" t="s">
        <v>1480</v>
      </c>
      <c r="J38" s="197" t="s">
        <v>1570</v>
      </c>
      <c r="K38" s="204" t="s">
        <v>1578</v>
      </c>
      <c r="L38" s="203">
        <v>46148.94027777778</v>
      </c>
      <c r="M38" s="203">
        <v>46148.941666666666</v>
      </c>
      <c r="N38" s="197" t="s">
        <v>1572</v>
      </c>
      <c r="O38" s="201" t="s">
        <v>215</v>
      </c>
      <c r="P38" s="160" t="s">
        <v>227</v>
      </c>
      <c r="Q38" s="138" t="s">
        <v>215</v>
      </c>
      <c r="R38" s="54" t="s">
        <v>227</v>
      </c>
      <c r="S38" s="138" t="s">
        <v>215</v>
      </c>
      <c r="T38" s="54" t="s">
        <v>227</v>
      </c>
      <c r="U38" s="138" t="s">
        <v>215</v>
      </c>
      <c r="V38" s="54" t="s">
        <v>227</v>
      </c>
      <c r="W38" s="138" t="s">
        <v>215</v>
      </c>
      <c r="X38" s="54" t="s">
        <v>227</v>
      </c>
      <c r="Y38" s="138" t="s">
        <v>215</v>
      </c>
      <c r="Z38" s="54" t="s">
        <v>227</v>
      </c>
      <c r="AA38" s="138" t="s">
        <v>215</v>
      </c>
      <c r="AB38" s="54" t="s">
        <v>227</v>
      </c>
      <c r="AC38" s="138" t="s">
        <v>215</v>
      </c>
      <c r="AD38" s="54" t="s">
        <v>227</v>
      </c>
      <c r="AE38" s="138" t="s">
        <v>215</v>
      </c>
      <c r="AF38" s="137" t="str">
        <f t="shared" si="1"/>
        <v>NC</v>
      </c>
      <c r="AG38" s="288" t="str">
        <f t="shared" si="0"/>
        <v>NÃO UTILIZOU O PDA</v>
      </c>
      <c r="AH38" s="138"/>
      <c r="AI38" s="291" t="s">
        <v>36</v>
      </c>
      <c r="AJ38" s="291" t="str">
        <f t="shared" si="2"/>
        <v>SÃO PAULO</v>
      </c>
      <c r="AK38" s="292" t="s">
        <v>75</v>
      </c>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c r="GJ38" s="11"/>
      <c r="GK38" s="11"/>
      <c r="GL38" s="11"/>
      <c r="GM38" s="11"/>
      <c r="GN38" s="11"/>
      <c r="GO38" s="11"/>
      <c r="GP38" s="11"/>
      <c r="GQ38" s="11"/>
      <c r="GR38" s="11"/>
      <c r="GS38" s="11"/>
      <c r="GT38" s="11"/>
      <c r="GU38" s="11"/>
      <c r="GV38" s="11"/>
      <c r="GW38" s="11"/>
      <c r="GX38" s="11"/>
      <c r="GY38" s="11"/>
      <c r="GZ38" s="11"/>
      <c r="HA38" s="11"/>
      <c r="HB38" s="11"/>
      <c r="HC38" s="11"/>
      <c r="HD38" s="11"/>
      <c r="HE38" s="11"/>
      <c r="HF38" s="11"/>
      <c r="HG38" s="11"/>
      <c r="HH38" s="11"/>
      <c r="HI38" s="11"/>
      <c r="HJ38" s="11"/>
    </row>
    <row r="39" spans="1:218" s="213" customFormat="1" ht="30" customHeight="1">
      <c r="A39" s="197" t="s">
        <v>198</v>
      </c>
      <c r="B39" s="212">
        <v>2618630633</v>
      </c>
      <c r="C39" s="197" t="s">
        <v>1569</v>
      </c>
      <c r="D39" s="197" t="s">
        <v>127</v>
      </c>
      <c r="E39" s="197" t="s">
        <v>35</v>
      </c>
      <c r="F39" s="197" t="s">
        <v>597</v>
      </c>
      <c r="G39" s="197">
        <v>1874</v>
      </c>
      <c r="H39" s="197"/>
      <c r="I39" s="197" t="s">
        <v>1480</v>
      </c>
      <c r="J39" s="197" t="s">
        <v>1570</v>
      </c>
      <c r="K39" s="204" t="s">
        <v>1579</v>
      </c>
      <c r="L39" s="203">
        <v>46147.465277777781</v>
      </c>
      <c r="M39" s="203">
        <v>46147.530555555553</v>
      </c>
      <c r="N39" s="197" t="s">
        <v>1572</v>
      </c>
      <c r="O39" s="201" t="s">
        <v>214</v>
      </c>
      <c r="P39" s="160"/>
      <c r="Q39" s="138" t="s">
        <v>214</v>
      </c>
      <c r="R39" s="54"/>
      <c r="S39" s="138" t="s">
        <v>214</v>
      </c>
      <c r="T39" s="54"/>
      <c r="U39" s="138" t="s">
        <v>207</v>
      </c>
      <c r="V39" s="54"/>
      <c r="W39" s="138" t="s">
        <v>77</v>
      </c>
      <c r="X39" s="54"/>
      <c r="Y39" s="138" t="s">
        <v>77</v>
      </c>
      <c r="Z39" s="54"/>
      <c r="AA39" s="138" t="s">
        <v>77</v>
      </c>
      <c r="AB39" s="54"/>
      <c r="AC39" s="138" t="s">
        <v>215</v>
      </c>
      <c r="AD39" s="54" t="s">
        <v>298</v>
      </c>
      <c r="AE39" s="138" t="s">
        <v>207</v>
      </c>
      <c r="AF39" s="137" t="str">
        <f t="shared" si="1"/>
        <v>NC</v>
      </c>
      <c r="AG39" s="288" t="str">
        <f t="shared" si="0"/>
        <v>UTILIZOU O PDA CORRETAMENTE. NÃO HÁ FOTOS DE TODAS AS ETAPAS</v>
      </c>
      <c r="AH39" s="138"/>
      <c r="AI39" s="291" t="s">
        <v>36</v>
      </c>
      <c r="AJ39" s="291" t="str">
        <f t="shared" si="2"/>
        <v>SÃO PAULO</v>
      </c>
      <c r="AK39" s="292" t="s">
        <v>75</v>
      </c>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c r="EO39" s="11"/>
      <c r="EP39" s="11"/>
      <c r="EQ39" s="11"/>
      <c r="ER39" s="11"/>
      <c r="ES39" s="11"/>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c r="GJ39" s="11"/>
      <c r="GK39" s="11"/>
      <c r="GL39" s="11"/>
      <c r="GM39" s="11"/>
      <c r="GN39" s="11"/>
      <c r="GO39" s="11"/>
      <c r="GP39" s="11"/>
      <c r="GQ39" s="11"/>
      <c r="GR39" s="11"/>
      <c r="GS39" s="11"/>
      <c r="GT39" s="11"/>
      <c r="GU39" s="11"/>
      <c r="GV39" s="11"/>
      <c r="GW39" s="11"/>
      <c r="GX39" s="11"/>
      <c r="GY39" s="11"/>
      <c r="GZ39" s="11"/>
      <c r="HA39" s="11"/>
      <c r="HB39" s="11"/>
      <c r="HC39" s="11"/>
      <c r="HD39" s="11"/>
      <c r="HE39" s="11"/>
      <c r="HF39" s="11"/>
      <c r="HG39" s="11"/>
      <c r="HH39" s="11"/>
      <c r="HI39" s="11"/>
      <c r="HJ39" s="11"/>
    </row>
    <row r="40" spans="1:218" s="213" customFormat="1" ht="30" customHeight="1">
      <c r="A40" s="197" t="s">
        <v>198</v>
      </c>
      <c r="B40" s="212">
        <v>2618631071</v>
      </c>
      <c r="C40" s="197" t="s">
        <v>1569</v>
      </c>
      <c r="D40" s="197" t="s">
        <v>127</v>
      </c>
      <c r="E40" s="197" t="s">
        <v>35</v>
      </c>
      <c r="F40" s="197" t="s">
        <v>1580</v>
      </c>
      <c r="G40" s="197">
        <v>370</v>
      </c>
      <c r="H40" s="197" t="s">
        <v>200</v>
      </c>
      <c r="I40" s="197" t="s">
        <v>1480</v>
      </c>
      <c r="J40" s="197" t="s">
        <v>1570</v>
      </c>
      <c r="K40" s="204" t="s">
        <v>1581</v>
      </c>
      <c r="L40" s="203">
        <v>46147.613194444442</v>
      </c>
      <c r="M40" s="203">
        <v>46147.638194444444</v>
      </c>
      <c r="N40" s="197" t="s">
        <v>1572</v>
      </c>
      <c r="O40" s="201" t="s">
        <v>207</v>
      </c>
      <c r="P40" s="160"/>
      <c r="Q40" s="138" t="s">
        <v>214</v>
      </c>
      <c r="R40" s="54"/>
      <c r="S40" s="138" t="s">
        <v>77</v>
      </c>
      <c r="T40" s="54"/>
      <c r="U40" s="138" t="s">
        <v>77</v>
      </c>
      <c r="V40" s="54"/>
      <c r="W40" s="138" t="s">
        <v>77</v>
      </c>
      <c r="X40" s="54"/>
      <c r="Y40" s="138" t="s">
        <v>77</v>
      </c>
      <c r="Z40" s="54"/>
      <c r="AA40" s="138" t="s">
        <v>77</v>
      </c>
      <c r="AB40" s="54"/>
      <c r="AC40" s="138" t="s">
        <v>207</v>
      </c>
      <c r="AD40" s="54"/>
      <c r="AE40" s="138" t="s">
        <v>207</v>
      </c>
      <c r="AF40" s="137" t="str">
        <f t="shared" si="1"/>
        <v>NC</v>
      </c>
      <c r="AG40" s="288" t="str">
        <f t="shared" si="0"/>
        <v>UTILIZOU O PDA CORRETAMENTE. NÃO HÁ FOTOS DE TODAS AS ETAPAS</v>
      </c>
      <c r="AH40" s="138"/>
      <c r="AI40" s="291" t="s">
        <v>36</v>
      </c>
      <c r="AJ40" s="291" t="str">
        <f t="shared" si="2"/>
        <v>SÃO PAULO</v>
      </c>
      <c r="AK40" s="292" t="s">
        <v>75</v>
      </c>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1"/>
      <c r="GN40" s="11"/>
      <c r="GO40" s="11"/>
      <c r="GP40" s="11"/>
      <c r="GQ40" s="11"/>
      <c r="GR40" s="11"/>
      <c r="GS40" s="11"/>
      <c r="GT40" s="11"/>
      <c r="GU40" s="11"/>
      <c r="GV40" s="11"/>
      <c r="GW40" s="11"/>
      <c r="GX40" s="11"/>
      <c r="GY40" s="11"/>
      <c r="GZ40" s="11"/>
      <c r="HA40" s="11"/>
      <c r="HB40" s="11"/>
      <c r="HC40" s="11"/>
      <c r="HD40" s="11"/>
      <c r="HE40" s="11"/>
      <c r="HF40" s="11"/>
      <c r="HG40" s="11"/>
      <c r="HH40" s="11"/>
      <c r="HI40" s="11"/>
      <c r="HJ40" s="11"/>
    </row>
    <row r="41" spans="1:218" s="213" customFormat="1" ht="30" customHeight="1">
      <c r="A41" s="197" t="s">
        <v>198</v>
      </c>
      <c r="B41" s="212">
        <v>2618467021</v>
      </c>
      <c r="C41" s="197" t="s">
        <v>130</v>
      </c>
      <c r="D41" s="197" t="s">
        <v>127</v>
      </c>
      <c r="E41" s="197" t="s">
        <v>35</v>
      </c>
      <c r="F41" s="197" t="s">
        <v>1158</v>
      </c>
      <c r="G41" s="197">
        <v>315</v>
      </c>
      <c r="H41" s="197" t="s">
        <v>200</v>
      </c>
      <c r="I41" s="197" t="s">
        <v>395</v>
      </c>
      <c r="J41" s="197" t="s">
        <v>1568</v>
      </c>
      <c r="K41" s="197" t="s">
        <v>200</v>
      </c>
      <c r="L41" s="203">
        <v>46147.620138888888</v>
      </c>
      <c r="M41" s="203">
        <v>46147.62222222222</v>
      </c>
      <c r="N41" s="197" t="s">
        <v>1537</v>
      </c>
      <c r="O41" s="201" t="s">
        <v>207</v>
      </c>
      <c r="P41" s="160"/>
      <c r="Q41" s="138" t="s">
        <v>214</v>
      </c>
      <c r="R41" s="54"/>
      <c r="S41" s="138" t="s">
        <v>214</v>
      </c>
      <c r="T41" s="54"/>
      <c r="U41" s="138" t="s">
        <v>207</v>
      </c>
      <c r="V41" s="54"/>
      <c r="W41" s="138" t="s">
        <v>77</v>
      </c>
      <c r="X41" s="54"/>
      <c r="Y41" s="138" t="s">
        <v>77</v>
      </c>
      <c r="Z41" s="54"/>
      <c r="AA41" s="138" t="s">
        <v>77</v>
      </c>
      <c r="AB41" s="54"/>
      <c r="AC41" s="138" t="s">
        <v>207</v>
      </c>
      <c r="AD41" s="54"/>
      <c r="AE41" s="138" t="s">
        <v>207</v>
      </c>
      <c r="AF41" s="137" t="str">
        <f t="shared" si="1"/>
        <v>NC</v>
      </c>
      <c r="AG41" s="288" t="str">
        <f t="shared" si="0"/>
        <v>UTILIZOU O PDA CORRETAMENTE. NÃO HÁ FOTOS DE TODAS AS ETAPAS</v>
      </c>
      <c r="AH41" s="138" t="s">
        <v>207</v>
      </c>
      <c r="AI41" s="291" t="s">
        <v>36</v>
      </c>
      <c r="AJ41" s="291" t="str">
        <f t="shared" si="2"/>
        <v>SÃO PAULO</v>
      </c>
      <c r="AK41" s="292" t="s">
        <v>75</v>
      </c>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c r="GJ41" s="11"/>
      <c r="GK41" s="11"/>
      <c r="GL41" s="11"/>
      <c r="GM41" s="11"/>
      <c r="GN41" s="11"/>
      <c r="GO41" s="11"/>
      <c r="GP41" s="11"/>
      <c r="GQ41" s="11"/>
      <c r="GR41" s="11"/>
      <c r="GS41" s="11"/>
      <c r="GT41" s="11"/>
      <c r="GU41" s="11"/>
      <c r="GV41" s="11"/>
      <c r="GW41" s="11"/>
      <c r="GX41" s="11"/>
      <c r="GY41" s="11"/>
      <c r="GZ41" s="11"/>
      <c r="HA41" s="11"/>
      <c r="HB41" s="11"/>
      <c r="HC41" s="11"/>
      <c r="HD41" s="11"/>
      <c r="HE41" s="11"/>
      <c r="HF41" s="11"/>
      <c r="HG41" s="11"/>
      <c r="HH41" s="11"/>
      <c r="HI41" s="11"/>
      <c r="HJ41" s="11"/>
    </row>
    <row r="42" spans="1:218" s="213" customFormat="1" ht="30" customHeight="1">
      <c r="A42" s="197" t="s">
        <v>198</v>
      </c>
      <c r="B42" s="212">
        <v>2618754568</v>
      </c>
      <c r="C42" s="197" t="s">
        <v>136</v>
      </c>
      <c r="D42" s="197" t="s">
        <v>127</v>
      </c>
      <c r="E42" s="197" t="s">
        <v>35</v>
      </c>
      <c r="F42" s="197" t="s">
        <v>534</v>
      </c>
      <c r="G42" s="197">
        <v>110</v>
      </c>
      <c r="H42" s="197" t="s">
        <v>200</v>
      </c>
      <c r="I42" s="197" t="s">
        <v>479</v>
      </c>
      <c r="J42" s="197" t="s">
        <v>1525</v>
      </c>
      <c r="K42" s="197" t="s">
        <v>200</v>
      </c>
      <c r="L42" s="203">
        <v>46147.899305555555</v>
      </c>
      <c r="M42" s="203">
        <v>46148.634027777778</v>
      </c>
      <c r="N42" s="197" t="s">
        <v>309</v>
      </c>
      <c r="O42" s="201" t="s">
        <v>77</v>
      </c>
      <c r="P42" s="160"/>
      <c r="Q42" s="138" t="s">
        <v>77</v>
      </c>
      <c r="R42" s="54"/>
      <c r="S42" s="138" t="s">
        <v>77</v>
      </c>
      <c r="T42" s="54"/>
      <c r="U42" s="138" t="s">
        <v>77</v>
      </c>
      <c r="V42" s="54"/>
      <c r="W42" s="138" t="s">
        <v>77</v>
      </c>
      <c r="X42" s="54"/>
      <c r="Y42" s="138" t="s">
        <v>77</v>
      </c>
      <c r="Z42" s="54"/>
      <c r="AA42" s="138" t="s">
        <v>77</v>
      </c>
      <c r="AB42" s="54"/>
      <c r="AC42" s="138" t="s">
        <v>77</v>
      </c>
      <c r="AD42" s="54"/>
      <c r="AE42" s="138" t="s">
        <v>77</v>
      </c>
      <c r="AF42" s="137" t="str">
        <f t="shared" si="1"/>
        <v>NA</v>
      </c>
      <c r="AG42" s="288" t="str">
        <f t="shared" si="0"/>
        <v>NÃO AVALIADO POR FALHA DE SINCRONISMO</v>
      </c>
      <c r="AH42" s="138"/>
      <c r="AI42" s="291" t="s">
        <v>36</v>
      </c>
      <c r="AJ42" s="291" t="str">
        <f t="shared" si="2"/>
        <v>SÃO PAULO</v>
      </c>
      <c r="AK42" s="292" t="s">
        <v>75</v>
      </c>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c r="GJ42" s="11"/>
      <c r="GK42" s="11"/>
      <c r="GL42" s="11"/>
      <c r="GM42" s="11"/>
      <c r="GN42" s="11"/>
      <c r="GO42" s="11"/>
      <c r="GP42" s="11"/>
      <c r="GQ42" s="11"/>
      <c r="GR42" s="11"/>
      <c r="GS42" s="11"/>
      <c r="GT42" s="11"/>
      <c r="GU42" s="11"/>
      <c r="GV42" s="11"/>
      <c r="GW42" s="11"/>
      <c r="GX42" s="11"/>
      <c r="GY42" s="11"/>
      <c r="GZ42" s="11"/>
      <c r="HA42" s="11"/>
      <c r="HB42" s="11"/>
      <c r="HC42" s="11"/>
      <c r="HD42" s="11"/>
      <c r="HE42" s="11"/>
      <c r="HF42" s="11"/>
      <c r="HG42" s="11"/>
      <c r="HH42" s="11"/>
      <c r="HI42" s="11"/>
      <c r="HJ42" s="11"/>
    </row>
    <row r="43" spans="1:218" s="213" customFormat="1" ht="30" customHeight="1">
      <c r="A43" s="197" t="s">
        <v>198</v>
      </c>
      <c r="B43" s="212">
        <v>2618714076</v>
      </c>
      <c r="C43" s="197" t="s">
        <v>138</v>
      </c>
      <c r="D43" s="197" t="s">
        <v>124</v>
      </c>
      <c r="E43" s="197" t="s">
        <v>35</v>
      </c>
      <c r="F43" s="197" t="s">
        <v>1582</v>
      </c>
      <c r="G43" s="197">
        <v>31</v>
      </c>
      <c r="H43" s="197"/>
      <c r="I43" s="197" t="s">
        <v>355</v>
      </c>
      <c r="J43" s="197" t="s">
        <v>1539</v>
      </c>
      <c r="K43" s="197" t="s">
        <v>1583</v>
      </c>
      <c r="L43" s="203">
        <v>46148.394444444442</v>
      </c>
      <c r="M43" s="203">
        <v>46148.461111111108</v>
      </c>
      <c r="N43" s="197" t="s">
        <v>1546</v>
      </c>
      <c r="O43" s="201" t="s">
        <v>207</v>
      </c>
      <c r="P43" s="160"/>
      <c r="Q43" s="138" t="s">
        <v>214</v>
      </c>
      <c r="R43" s="54"/>
      <c r="S43" s="138" t="s">
        <v>214</v>
      </c>
      <c r="T43" s="54"/>
      <c r="U43" s="138" t="s">
        <v>207</v>
      </c>
      <c r="V43" s="54"/>
      <c r="W43" s="138" t="s">
        <v>214</v>
      </c>
      <c r="X43" s="54"/>
      <c r="Y43" s="138" t="s">
        <v>77</v>
      </c>
      <c r="Z43" s="54"/>
      <c r="AA43" s="138" t="s">
        <v>214</v>
      </c>
      <c r="AB43" s="54"/>
      <c r="AC43" s="138" t="s">
        <v>214</v>
      </c>
      <c r="AD43" s="54"/>
      <c r="AE43" s="138" t="s">
        <v>207</v>
      </c>
      <c r="AF43" s="137" t="str">
        <f t="shared" si="1"/>
        <v>NC</v>
      </c>
      <c r="AG43" s="288" t="str">
        <f t="shared" si="0"/>
        <v>UTILIZOU O PDA CORRETAMENTE. NÃO HÁ FOTOS DE TODAS AS ETAPAS</v>
      </c>
      <c r="AH43" s="138" t="s">
        <v>207</v>
      </c>
      <c r="AI43" s="291" t="s">
        <v>36</v>
      </c>
      <c r="AJ43" s="291" t="str">
        <f t="shared" si="2"/>
        <v>SÃO PAULO</v>
      </c>
      <c r="AK43" s="292" t="s">
        <v>75</v>
      </c>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1"/>
      <c r="GN43" s="11"/>
      <c r="GO43" s="11"/>
      <c r="GP43" s="11"/>
      <c r="GQ43" s="11"/>
      <c r="GR43" s="11"/>
      <c r="GS43" s="11"/>
      <c r="GT43" s="11"/>
      <c r="GU43" s="11"/>
      <c r="GV43" s="11"/>
      <c r="GW43" s="11"/>
      <c r="GX43" s="11"/>
      <c r="GY43" s="11"/>
      <c r="GZ43" s="11"/>
      <c r="HA43" s="11"/>
      <c r="HB43" s="11"/>
      <c r="HC43" s="11"/>
      <c r="HD43" s="11"/>
      <c r="HE43" s="11"/>
      <c r="HF43" s="11"/>
      <c r="HG43" s="11"/>
      <c r="HH43" s="11"/>
      <c r="HI43" s="11"/>
      <c r="HJ43" s="11"/>
    </row>
    <row r="44" spans="1:218" s="213" customFormat="1" ht="30" customHeight="1">
      <c r="A44" s="197" t="s">
        <v>198</v>
      </c>
      <c r="B44" s="212">
        <v>2618715060</v>
      </c>
      <c r="C44" s="197" t="s">
        <v>138</v>
      </c>
      <c r="D44" s="197" t="s">
        <v>124</v>
      </c>
      <c r="E44" s="197" t="s">
        <v>35</v>
      </c>
      <c r="F44" s="197" t="s">
        <v>1584</v>
      </c>
      <c r="G44" s="197">
        <v>6</v>
      </c>
      <c r="H44" s="197" t="s">
        <v>329</v>
      </c>
      <c r="I44" s="197" t="s">
        <v>319</v>
      </c>
      <c r="J44" s="197" t="s">
        <v>1539</v>
      </c>
      <c r="K44" s="197" t="s">
        <v>200</v>
      </c>
      <c r="L44" s="203">
        <v>46148.395833333336</v>
      </c>
      <c r="M44" s="203">
        <v>46148.719444444447</v>
      </c>
      <c r="N44" s="197" t="s">
        <v>1524</v>
      </c>
      <c r="O44" s="201" t="s">
        <v>207</v>
      </c>
      <c r="P44" s="160"/>
      <c r="Q44" s="138" t="s">
        <v>215</v>
      </c>
      <c r="R44" s="54" t="s">
        <v>310</v>
      </c>
      <c r="S44" s="138" t="s">
        <v>207</v>
      </c>
      <c r="T44" s="54"/>
      <c r="U44" s="138" t="s">
        <v>207</v>
      </c>
      <c r="V44" s="54"/>
      <c r="W44" s="138" t="s">
        <v>207</v>
      </c>
      <c r="X44" s="54"/>
      <c r="Y44" s="138" t="s">
        <v>77</v>
      </c>
      <c r="Z44" s="54"/>
      <c r="AA44" s="138" t="s">
        <v>207</v>
      </c>
      <c r="AB44" s="54"/>
      <c r="AC44" s="138" t="s">
        <v>207</v>
      </c>
      <c r="AD44" s="54"/>
      <c r="AE44" s="138" t="s">
        <v>207</v>
      </c>
      <c r="AF44" s="137" t="str">
        <f t="shared" si="1"/>
        <v>NC</v>
      </c>
      <c r="AG44" s="288" t="str">
        <f t="shared" si="0"/>
        <v>UTILIZOU O PDA CORRETAMENTE. NÃO HÁ FOTOS DE TODAS AS ETAPAS</v>
      </c>
      <c r="AH44" s="138" t="s">
        <v>207</v>
      </c>
      <c r="AI44" s="291" t="s">
        <v>36</v>
      </c>
      <c r="AJ44" s="291" t="str">
        <f t="shared" si="2"/>
        <v>SÃO PAULO</v>
      </c>
      <c r="AK44" s="292" t="s">
        <v>75</v>
      </c>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1"/>
      <c r="GN44" s="11"/>
      <c r="GO44" s="11"/>
      <c r="GP44" s="11"/>
      <c r="GQ44" s="11"/>
      <c r="GR44" s="11"/>
      <c r="GS44" s="11"/>
      <c r="GT44" s="11"/>
      <c r="GU44" s="11"/>
      <c r="GV44" s="11"/>
      <c r="GW44" s="11"/>
      <c r="GX44" s="11"/>
      <c r="GY44" s="11"/>
      <c r="GZ44" s="11"/>
      <c r="HA44" s="11"/>
      <c r="HB44" s="11"/>
      <c r="HC44" s="11"/>
      <c r="HD44" s="11"/>
      <c r="HE44" s="11"/>
      <c r="HF44" s="11"/>
      <c r="HG44" s="11"/>
      <c r="HH44" s="11"/>
      <c r="HI44" s="11"/>
      <c r="HJ44" s="11"/>
    </row>
    <row r="45" spans="1:218" s="213" customFormat="1" ht="30" customHeight="1">
      <c r="A45" s="197" t="s">
        <v>198</v>
      </c>
      <c r="B45" s="212">
        <v>2618717136</v>
      </c>
      <c r="C45" s="197" t="s">
        <v>136</v>
      </c>
      <c r="D45" s="197" t="s">
        <v>127</v>
      </c>
      <c r="E45" s="197" t="s">
        <v>35</v>
      </c>
      <c r="F45" s="197" t="s">
        <v>1585</v>
      </c>
      <c r="G45" s="197">
        <v>202</v>
      </c>
      <c r="H45" s="197" t="s">
        <v>200</v>
      </c>
      <c r="I45" s="197" t="s">
        <v>717</v>
      </c>
      <c r="J45" s="197" t="s">
        <v>1553</v>
      </c>
      <c r="K45" s="197" t="s">
        <v>200</v>
      </c>
      <c r="L45" s="203">
        <v>46148.683333333334</v>
      </c>
      <c r="M45" s="203">
        <v>46148.730555555558</v>
      </c>
      <c r="N45" s="197" t="s">
        <v>309</v>
      </c>
      <c r="O45" s="201" t="s">
        <v>207</v>
      </c>
      <c r="P45" s="160"/>
      <c r="Q45" s="138" t="s">
        <v>207</v>
      </c>
      <c r="R45" s="54"/>
      <c r="S45" s="138" t="s">
        <v>214</v>
      </c>
      <c r="T45" s="54"/>
      <c r="U45" s="138" t="s">
        <v>207</v>
      </c>
      <c r="V45" s="54"/>
      <c r="W45" s="138" t="s">
        <v>77</v>
      </c>
      <c r="X45" s="54"/>
      <c r="Y45" s="138" t="s">
        <v>77</v>
      </c>
      <c r="Z45" s="54"/>
      <c r="AA45" s="138" t="s">
        <v>77</v>
      </c>
      <c r="AB45" s="54"/>
      <c r="AC45" s="138" t="s">
        <v>215</v>
      </c>
      <c r="AD45" s="54" t="s">
        <v>1545</v>
      </c>
      <c r="AE45" s="138" t="s">
        <v>207</v>
      </c>
      <c r="AF45" s="137" t="str">
        <f t="shared" si="1"/>
        <v>NC</v>
      </c>
      <c r="AG45" s="288" t="str">
        <f t="shared" si="0"/>
        <v>UTILIZOU O PDA CORRETAMENTE. NÃO HÁ FOTOS DE TODAS AS ETAPAS</v>
      </c>
      <c r="AH45" s="138" t="s">
        <v>207</v>
      </c>
      <c r="AI45" s="291" t="s">
        <v>36</v>
      </c>
      <c r="AJ45" s="291" t="str">
        <f t="shared" si="2"/>
        <v>SÃO PAULO</v>
      </c>
      <c r="AK45" s="292" t="s">
        <v>75</v>
      </c>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c r="DG45" s="11"/>
      <c r="DH45" s="11"/>
      <c r="DI45" s="11"/>
      <c r="DJ45" s="11"/>
      <c r="DK45" s="11"/>
      <c r="DL45" s="11"/>
      <c r="DM45" s="11"/>
      <c r="DN45" s="11"/>
      <c r="DO45" s="11"/>
      <c r="DP45" s="11"/>
      <c r="DQ45" s="11"/>
      <c r="DR45" s="11"/>
      <c r="DS45" s="11"/>
      <c r="DT45" s="11"/>
      <c r="DU45" s="11"/>
      <c r="DV45" s="11"/>
      <c r="DW45" s="11"/>
      <c r="DX45" s="11"/>
      <c r="DY45" s="11"/>
      <c r="DZ45" s="11"/>
      <c r="EA45" s="11"/>
      <c r="EB45" s="11"/>
      <c r="EC45" s="11"/>
      <c r="ED45" s="11"/>
      <c r="EE45" s="11"/>
      <c r="EF45" s="11"/>
      <c r="EG45" s="11"/>
      <c r="EH45" s="11"/>
      <c r="EI45" s="11"/>
      <c r="EJ45" s="11"/>
      <c r="EK45" s="11"/>
      <c r="EL45" s="11"/>
      <c r="EM45" s="11"/>
      <c r="EN45" s="11"/>
      <c r="EO45" s="11"/>
      <c r="EP45" s="11"/>
      <c r="EQ45" s="11"/>
      <c r="ER45" s="11"/>
      <c r="ES45" s="11"/>
      <c r="ET45" s="11"/>
      <c r="EU45" s="11"/>
      <c r="EV45" s="11"/>
      <c r="EW45" s="11"/>
      <c r="EX45" s="11"/>
      <c r="EY45" s="11"/>
      <c r="EZ45" s="11"/>
      <c r="FA45" s="11"/>
      <c r="FB45" s="11"/>
      <c r="FC45" s="11"/>
      <c r="FD45" s="11"/>
      <c r="FE45" s="11"/>
      <c r="FF45" s="11"/>
      <c r="FG45" s="11"/>
      <c r="FH45" s="11"/>
      <c r="FI45" s="11"/>
      <c r="FJ45" s="11"/>
      <c r="FK45" s="11"/>
      <c r="FL45" s="11"/>
      <c r="FM45" s="11"/>
      <c r="FN45" s="11"/>
      <c r="FO45" s="11"/>
      <c r="FP45" s="11"/>
      <c r="FQ45" s="11"/>
      <c r="FR45" s="11"/>
      <c r="FS45" s="11"/>
      <c r="FT45" s="11"/>
      <c r="FU45" s="11"/>
      <c r="FV45" s="11"/>
      <c r="FW45" s="11"/>
      <c r="FX45" s="11"/>
      <c r="FY45" s="11"/>
      <c r="FZ45" s="11"/>
      <c r="GA45" s="11"/>
      <c r="GB45" s="11"/>
      <c r="GC45" s="11"/>
      <c r="GD45" s="11"/>
      <c r="GE45" s="11"/>
      <c r="GF45" s="11"/>
      <c r="GG45" s="11"/>
      <c r="GH45" s="11"/>
      <c r="GI45" s="11"/>
      <c r="GJ45" s="11"/>
      <c r="GK45" s="11"/>
      <c r="GL45" s="11"/>
      <c r="GM45" s="11"/>
      <c r="GN45" s="11"/>
      <c r="GO45" s="11"/>
      <c r="GP45" s="11"/>
      <c r="GQ45" s="11"/>
      <c r="GR45" s="11"/>
      <c r="GS45" s="11"/>
      <c r="GT45" s="11"/>
      <c r="GU45" s="11"/>
      <c r="GV45" s="11"/>
      <c r="GW45" s="11"/>
      <c r="GX45" s="11"/>
      <c r="GY45" s="11"/>
      <c r="GZ45" s="11"/>
      <c r="HA45" s="11"/>
      <c r="HB45" s="11"/>
      <c r="HC45" s="11"/>
      <c r="HD45" s="11"/>
      <c r="HE45" s="11"/>
      <c r="HF45" s="11"/>
      <c r="HG45" s="11"/>
      <c r="HH45" s="11"/>
      <c r="HI45" s="11"/>
      <c r="HJ45" s="11"/>
    </row>
    <row r="46" spans="1:218" s="213" customFormat="1" ht="30" customHeight="1">
      <c r="A46" s="197" t="s">
        <v>198</v>
      </c>
      <c r="B46" s="212">
        <v>2618717283</v>
      </c>
      <c r="C46" s="197" t="s">
        <v>136</v>
      </c>
      <c r="D46" s="197" t="s">
        <v>127</v>
      </c>
      <c r="E46" s="197" t="s">
        <v>35</v>
      </c>
      <c r="F46" s="197" t="s">
        <v>1585</v>
      </c>
      <c r="G46" s="197">
        <v>226</v>
      </c>
      <c r="H46" s="197" t="s">
        <v>208</v>
      </c>
      <c r="I46" s="197" t="s">
        <v>717</v>
      </c>
      <c r="J46" s="197" t="s">
        <v>1525</v>
      </c>
      <c r="K46" s="197" t="s">
        <v>1586</v>
      </c>
      <c r="L46" s="203">
        <v>46148.615972222222</v>
      </c>
      <c r="M46" s="203">
        <v>46148.618750000001</v>
      </c>
      <c r="N46" s="197" t="s">
        <v>309</v>
      </c>
      <c r="O46" s="197" t="s">
        <v>207</v>
      </c>
      <c r="P46" s="160"/>
      <c r="Q46" s="138" t="s">
        <v>207</v>
      </c>
      <c r="R46" s="54"/>
      <c r="S46" s="138" t="s">
        <v>214</v>
      </c>
      <c r="T46" s="54"/>
      <c r="U46" s="138" t="s">
        <v>207</v>
      </c>
      <c r="V46" s="54"/>
      <c r="W46" s="138" t="s">
        <v>77</v>
      </c>
      <c r="X46" s="54"/>
      <c r="Y46" s="138" t="s">
        <v>77</v>
      </c>
      <c r="Z46" s="54"/>
      <c r="AA46" s="138" t="s">
        <v>77</v>
      </c>
      <c r="AB46" s="54"/>
      <c r="AC46" s="138" t="s">
        <v>215</v>
      </c>
      <c r="AD46" s="54" t="s">
        <v>1545</v>
      </c>
      <c r="AE46" s="138" t="s">
        <v>207</v>
      </c>
      <c r="AF46" s="137" t="str">
        <f t="shared" si="1"/>
        <v>NC</v>
      </c>
      <c r="AG46" s="288" t="str">
        <f t="shared" si="0"/>
        <v>UTILIZOU O PDA CORRETAMENTE. NÃO HÁ FOTOS DE TODAS AS ETAPAS</v>
      </c>
      <c r="AH46" s="138" t="s">
        <v>207</v>
      </c>
      <c r="AI46" s="291" t="s">
        <v>36</v>
      </c>
      <c r="AJ46" s="291" t="str">
        <f t="shared" ref="AJ46:AJ97" si="3">E46</f>
        <v>SÃO PAULO</v>
      </c>
      <c r="AK46" s="292" t="s">
        <v>75</v>
      </c>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1"/>
      <c r="GN46" s="11"/>
      <c r="GO46" s="11"/>
      <c r="GP46" s="11"/>
      <c r="GQ46" s="11"/>
      <c r="GR46" s="11"/>
      <c r="GS46" s="11"/>
      <c r="GT46" s="11"/>
      <c r="GU46" s="11"/>
      <c r="GV46" s="11"/>
      <c r="GW46" s="11"/>
      <c r="GX46" s="11"/>
      <c r="GY46" s="11"/>
      <c r="GZ46" s="11"/>
      <c r="HA46" s="11"/>
      <c r="HB46" s="11"/>
      <c r="HC46" s="11"/>
      <c r="HD46" s="11"/>
      <c r="HE46" s="11"/>
      <c r="HF46" s="11"/>
      <c r="HG46" s="11"/>
      <c r="HH46" s="11"/>
      <c r="HI46" s="11"/>
      <c r="HJ46" s="11"/>
    </row>
    <row r="47" spans="1:218" s="213" customFormat="1" ht="30" customHeight="1">
      <c r="A47" s="197" t="s">
        <v>198</v>
      </c>
      <c r="B47" s="212">
        <v>2618717372</v>
      </c>
      <c r="C47" s="197" t="s">
        <v>136</v>
      </c>
      <c r="D47" s="197" t="s">
        <v>127</v>
      </c>
      <c r="E47" s="197" t="s">
        <v>35</v>
      </c>
      <c r="F47" s="197" t="s">
        <v>1585</v>
      </c>
      <c r="G47" s="197">
        <v>260</v>
      </c>
      <c r="H47" s="197" t="s">
        <v>205</v>
      </c>
      <c r="I47" s="197" t="s">
        <v>717</v>
      </c>
      <c r="J47" s="197" t="s">
        <v>1525</v>
      </c>
      <c r="K47" s="197" t="s">
        <v>200</v>
      </c>
      <c r="L47" s="203">
        <v>46148.652777777781</v>
      </c>
      <c r="M47" s="203">
        <v>46148.65347222222</v>
      </c>
      <c r="N47" s="197" t="s">
        <v>309</v>
      </c>
      <c r="O47" s="201" t="s">
        <v>207</v>
      </c>
      <c r="P47" s="160"/>
      <c r="Q47" s="138" t="s">
        <v>207</v>
      </c>
      <c r="R47" s="54"/>
      <c r="S47" s="138" t="s">
        <v>214</v>
      </c>
      <c r="T47" s="54"/>
      <c r="U47" s="138" t="s">
        <v>207</v>
      </c>
      <c r="V47" s="54"/>
      <c r="W47" s="138" t="s">
        <v>77</v>
      </c>
      <c r="X47" s="54"/>
      <c r="Y47" s="138" t="s">
        <v>77</v>
      </c>
      <c r="Z47" s="54"/>
      <c r="AA47" s="138" t="s">
        <v>77</v>
      </c>
      <c r="AB47" s="54"/>
      <c r="AC47" s="138" t="s">
        <v>215</v>
      </c>
      <c r="AD47" s="54" t="s">
        <v>430</v>
      </c>
      <c r="AE47" s="138" t="s">
        <v>207</v>
      </c>
      <c r="AF47" s="137" t="str">
        <f t="shared" si="1"/>
        <v>NC</v>
      </c>
      <c r="AG47" s="288" t="str">
        <f t="shared" si="0"/>
        <v>UTILIZOU O PDA CORRETAMENTE. NÃO HÁ FOTOS DE TODAS AS ETAPAS</v>
      </c>
      <c r="AH47" s="138" t="s">
        <v>207</v>
      </c>
      <c r="AI47" s="291" t="s">
        <v>36</v>
      </c>
      <c r="AJ47" s="291" t="str">
        <f t="shared" si="3"/>
        <v>SÃO PAULO</v>
      </c>
      <c r="AK47" s="292" t="s">
        <v>75</v>
      </c>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c r="EO47" s="11"/>
      <c r="EP47" s="11"/>
      <c r="EQ47" s="11"/>
      <c r="ER47" s="11"/>
      <c r="ES47" s="11"/>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c r="GJ47" s="11"/>
      <c r="GK47" s="11"/>
      <c r="GL47" s="11"/>
      <c r="GM47" s="11"/>
      <c r="GN47" s="11"/>
      <c r="GO47" s="11"/>
      <c r="GP47" s="11"/>
      <c r="GQ47" s="11"/>
      <c r="GR47" s="11"/>
      <c r="GS47" s="11"/>
      <c r="GT47" s="11"/>
      <c r="GU47" s="11"/>
      <c r="GV47" s="11"/>
      <c r="GW47" s="11"/>
      <c r="GX47" s="11"/>
      <c r="GY47" s="11"/>
      <c r="GZ47" s="11"/>
      <c r="HA47" s="11"/>
      <c r="HB47" s="11"/>
      <c r="HC47" s="11"/>
      <c r="HD47" s="11"/>
      <c r="HE47" s="11"/>
      <c r="HF47" s="11"/>
      <c r="HG47" s="11"/>
      <c r="HH47" s="11"/>
      <c r="HI47" s="11"/>
      <c r="HJ47" s="11"/>
    </row>
    <row r="48" spans="1:218" s="213" customFormat="1" ht="30" customHeight="1">
      <c r="A48" s="197" t="s">
        <v>198</v>
      </c>
      <c r="B48" s="212">
        <v>2618885497</v>
      </c>
      <c r="C48" s="197" t="s">
        <v>1569</v>
      </c>
      <c r="D48" s="197" t="s">
        <v>127</v>
      </c>
      <c r="E48" s="197" t="s">
        <v>35</v>
      </c>
      <c r="F48" s="197" t="s">
        <v>1587</v>
      </c>
      <c r="G48" s="197">
        <v>21</v>
      </c>
      <c r="H48" s="197" t="s">
        <v>200</v>
      </c>
      <c r="I48" s="197" t="s">
        <v>411</v>
      </c>
      <c r="J48" s="197" t="s">
        <v>1570</v>
      </c>
      <c r="K48" s="204" t="s">
        <v>1588</v>
      </c>
      <c r="L48" s="203">
        <v>46148.592361111114</v>
      </c>
      <c r="M48" s="203">
        <v>46148.604861111111</v>
      </c>
      <c r="N48" s="197" t="s">
        <v>1572</v>
      </c>
      <c r="O48" s="201" t="s">
        <v>207</v>
      </c>
      <c r="P48" s="160"/>
      <c r="Q48" s="138" t="s">
        <v>215</v>
      </c>
      <c r="R48" s="54" t="s">
        <v>263</v>
      </c>
      <c r="S48" s="138" t="s">
        <v>77</v>
      </c>
      <c r="T48" s="54"/>
      <c r="U48" s="138" t="s">
        <v>77</v>
      </c>
      <c r="V48" s="54"/>
      <c r="W48" s="138" t="s">
        <v>77</v>
      </c>
      <c r="X48" s="54"/>
      <c r="Y48" s="138" t="s">
        <v>77</v>
      </c>
      <c r="Z48" s="54"/>
      <c r="AA48" s="138" t="s">
        <v>77</v>
      </c>
      <c r="AB48" s="54"/>
      <c r="AC48" s="138" t="s">
        <v>207</v>
      </c>
      <c r="AD48" s="54"/>
      <c r="AE48" s="138" t="s">
        <v>207</v>
      </c>
      <c r="AF48" s="137" t="str">
        <f t="shared" si="1"/>
        <v>NC</v>
      </c>
      <c r="AG48" s="288" t="str">
        <f t="shared" si="0"/>
        <v>UTILIZOU O PDA CORRETAMENTE. NÃO HÁ FOTOS DE TODAS AS ETAPAS</v>
      </c>
      <c r="AH48" s="138"/>
      <c r="AI48" s="291" t="s">
        <v>36</v>
      </c>
      <c r="AJ48" s="291" t="str">
        <f t="shared" si="3"/>
        <v>SÃO PAULO</v>
      </c>
      <c r="AK48" s="292" t="s">
        <v>75</v>
      </c>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1"/>
      <c r="DE48" s="11"/>
      <c r="DF48" s="11"/>
      <c r="DG48" s="11"/>
      <c r="DH48" s="11"/>
      <c r="DI48" s="11"/>
      <c r="DJ48" s="11"/>
      <c r="DK48" s="11"/>
      <c r="DL48" s="11"/>
      <c r="DM48" s="11"/>
      <c r="DN48" s="11"/>
      <c r="DO48" s="11"/>
      <c r="DP48" s="11"/>
      <c r="DQ48" s="11"/>
      <c r="DR48" s="11"/>
      <c r="DS48" s="11"/>
      <c r="DT48" s="11"/>
      <c r="DU48" s="11"/>
      <c r="DV48" s="11"/>
      <c r="DW48" s="11"/>
      <c r="DX48" s="11"/>
      <c r="DY48" s="11"/>
      <c r="DZ48" s="11"/>
      <c r="EA48" s="11"/>
      <c r="EB48" s="11"/>
      <c r="EC48" s="11"/>
      <c r="ED48" s="11"/>
      <c r="EE48" s="11"/>
      <c r="EF48" s="11"/>
      <c r="EG48" s="11"/>
      <c r="EH48" s="11"/>
      <c r="EI48" s="11"/>
      <c r="EJ48" s="11"/>
      <c r="EK48" s="11"/>
      <c r="EL48" s="11"/>
      <c r="EM48" s="11"/>
      <c r="EN48" s="11"/>
      <c r="EO48" s="11"/>
      <c r="EP48" s="11"/>
      <c r="EQ48" s="11"/>
      <c r="ER48" s="11"/>
      <c r="ES48" s="11"/>
      <c r="ET48" s="11"/>
      <c r="EU48" s="11"/>
      <c r="EV48" s="11"/>
      <c r="EW48" s="11"/>
      <c r="EX48" s="11"/>
      <c r="EY48" s="11"/>
      <c r="EZ48" s="11"/>
      <c r="FA48" s="11"/>
      <c r="FB48" s="11"/>
      <c r="FC48" s="11"/>
      <c r="FD48" s="11"/>
      <c r="FE48" s="11"/>
      <c r="FF48" s="11"/>
      <c r="FG48" s="11"/>
      <c r="FH48" s="11"/>
      <c r="FI48" s="11"/>
      <c r="FJ48" s="11"/>
      <c r="FK48" s="11"/>
      <c r="FL48" s="11"/>
      <c r="FM48" s="11"/>
      <c r="FN48" s="11"/>
      <c r="FO48" s="11"/>
      <c r="FP48" s="11"/>
      <c r="FQ48" s="11"/>
      <c r="FR48" s="11"/>
      <c r="FS48" s="11"/>
      <c r="FT48" s="11"/>
      <c r="FU48" s="11"/>
      <c r="FV48" s="11"/>
      <c r="FW48" s="11"/>
      <c r="FX48" s="11"/>
      <c r="FY48" s="11"/>
      <c r="FZ48" s="11"/>
      <c r="GA48" s="11"/>
      <c r="GB48" s="11"/>
      <c r="GC48" s="11"/>
      <c r="GD48" s="11"/>
      <c r="GE48" s="11"/>
      <c r="GF48" s="11"/>
      <c r="GG48" s="11"/>
      <c r="GH48" s="11"/>
      <c r="GI48" s="11"/>
      <c r="GJ48" s="11"/>
      <c r="GK48" s="11"/>
      <c r="GL48" s="11"/>
      <c r="GM48" s="11"/>
      <c r="GN48" s="11"/>
      <c r="GO48" s="11"/>
      <c r="GP48" s="11"/>
      <c r="GQ48" s="11"/>
      <c r="GR48" s="11"/>
      <c r="GS48" s="11"/>
      <c r="GT48" s="11"/>
      <c r="GU48" s="11"/>
      <c r="GV48" s="11"/>
      <c r="GW48" s="11"/>
      <c r="GX48" s="11"/>
      <c r="GY48" s="11"/>
      <c r="GZ48" s="11"/>
      <c r="HA48" s="11"/>
      <c r="HB48" s="11"/>
      <c r="HC48" s="11"/>
      <c r="HD48" s="11"/>
      <c r="HE48" s="11"/>
      <c r="HF48" s="11"/>
      <c r="HG48" s="11"/>
      <c r="HH48" s="11"/>
      <c r="HI48" s="11"/>
      <c r="HJ48" s="11"/>
    </row>
    <row r="49" spans="1:218" s="213" customFormat="1" ht="30" customHeight="1">
      <c r="A49" s="197" t="s">
        <v>198</v>
      </c>
      <c r="B49" s="212">
        <v>2618885395</v>
      </c>
      <c r="C49" s="197" t="s">
        <v>1569</v>
      </c>
      <c r="D49" s="197" t="s">
        <v>127</v>
      </c>
      <c r="E49" s="197" t="s">
        <v>35</v>
      </c>
      <c r="F49" s="197" t="s">
        <v>1589</v>
      </c>
      <c r="G49" s="197">
        <v>214</v>
      </c>
      <c r="H49" s="197"/>
      <c r="I49" s="197" t="s">
        <v>1480</v>
      </c>
      <c r="J49" s="197" t="s">
        <v>1570</v>
      </c>
      <c r="K49" s="204" t="s">
        <v>1578</v>
      </c>
      <c r="L49" s="203">
        <v>46148.942361111112</v>
      </c>
      <c r="M49" s="203">
        <v>46148.946527777778</v>
      </c>
      <c r="N49" s="197" t="s">
        <v>1572</v>
      </c>
      <c r="O49" s="201" t="s">
        <v>215</v>
      </c>
      <c r="P49" s="160" t="s">
        <v>227</v>
      </c>
      <c r="Q49" s="138" t="s">
        <v>215</v>
      </c>
      <c r="R49" s="54" t="s">
        <v>227</v>
      </c>
      <c r="S49" s="138" t="s">
        <v>215</v>
      </c>
      <c r="T49" s="54" t="s">
        <v>227</v>
      </c>
      <c r="U49" s="138" t="s">
        <v>215</v>
      </c>
      <c r="V49" s="54" t="s">
        <v>227</v>
      </c>
      <c r="W49" s="138" t="s">
        <v>215</v>
      </c>
      <c r="X49" s="54" t="s">
        <v>227</v>
      </c>
      <c r="Y49" s="138" t="s">
        <v>215</v>
      </c>
      <c r="Z49" s="54" t="s">
        <v>227</v>
      </c>
      <c r="AA49" s="138" t="s">
        <v>215</v>
      </c>
      <c r="AB49" s="54" t="s">
        <v>227</v>
      </c>
      <c r="AC49" s="138" t="s">
        <v>215</v>
      </c>
      <c r="AD49" s="54" t="s">
        <v>227</v>
      </c>
      <c r="AE49" s="138" t="s">
        <v>215</v>
      </c>
      <c r="AF49" s="137" t="str">
        <f t="shared" si="1"/>
        <v>NC</v>
      </c>
      <c r="AG49" s="288" t="str">
        <f t="shared" si="0"/>
        <v>NÃO UTILIZOU O PDA</v>
      </c>
      <c r="AH49" s="138"/>
      <c r="AI49" s="291" t="s">
        <v>36</v>
      </c>
      <c r="AJ49" s="291" t="str">
        <f t="shared" si="3"/>
        <v>SÃO PAULO</v>
      </c>
      <c r="AK49" s="292" t="s">
        <v>75</v>
      </c>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c r="DE49" s="11"/>
      <c r="DF49" s="11"/>
      <c r="DG49" s="11"/>
      <c r="DH49" s="11"/>
      <c r="DI49" s="11"/>
      <c r="DJ49" s="11"/>
      <c r="DK49" s="11"/>
      <c r="DL49" s="11"/>
      <c r="DM49" s="11"/>
      <c r="DN49" s="11"/>
      <c r="DO49" s="11"/>
      <c r="DP49" s="11"/>
      <c r="DQ49" s="11"/>
      <c r="DR49" s="11"/>
      <c r="DS49" s="11"/>
      <c r="DT49" s="11"/>
      <c r="DU49" s="11"/>
      <c r="DV49" s="11"/>
      <c r="DW49" s="11"/>
      <c r="DX49" s="11"/>
      <c r="DY49" s="11"/>
      <c r="DZ49" s="11"/>
      <c r="EA49" s="11"/>
      <c r="EB49" s="11"/>
      <c r="EC49" s="11"/>
      <c r="ED49" s="11"/>
      <c r="EE49" s="11"/>
      <c r="EF49" s="11"/>
      <c r="EG49" s="11"/>
      <c r="EH49" s="11"/>
      <c r="EI49" s="11"/>
      <c r="EJ49" s="11"/>
      <c r="EK49" s="11"/>
      <c r="EL49" s="11"/>
      <c r="EM49" s="11"/>
      <c r="EN49" s="11"/>
      <c r="EO49" s="11"/>
      <c r="EP49" s="11"/>
      <c r="EQ49" s="11"/>
      <c r="ER49" s="11"/>
      <c r="ES49" s="11"/>
      <c r="ET49" s="11"/>
      <c r="EU49" s="11"/>
      <c r="EV49" s="11"/>
      <c r="EW49" s="11"/>
      <c r="EX49" s="11"/>
      <c r="EY49" s="11"/>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c r="GB49" s="11"/>
      <c r="GC49" s="11"/>
      <c r="GD49" s="11"/>
      <c r="GE49" s="11"/>
      <c r="GF49" s="11"/>
      <c r="GG49" s="11"/>
      <c r="GH49" s="11"/>
      <c r="GI49" s="11"/>
      <c r="GJ49" s="11"/>
      <c r="GK49" s="11"/>
      <c r="GL49" s="11"/>
      <c r="GM49" s="11"/>
      <c r="GN49" s="11"/>
      <c r="GO49" s="11"/>
      <c r="GP49" s="11"/>
      <c r="GQ49" s="11"/>
      <c r="GR49" s="11"/>
      <c r="GS49" s="11"/>
      <c r="GT49" s="11"/>
      <c r="GU49" s="11"/>
      <c r="GV49" s="11"/>
      <c r="GW49" s="11"/>
      <c r="GX49" s="11"/>
      <c r="GY49" s="11"/>
      <c r="GZ49" s="11"/>
      <c r="HA49" s="11"/>
      <c r="HB49" s="11"/>
      <c r="HC49" s="11"/>
      <c r="HD49" s="11"/>
      <c r="HE49" s="11"/>
      <c r="HF49" s="11"/>
      <c r="HG49" s="11"/>
      <c r="HH49" s="11"/>
      <c r="HI49" s="11"/>
      <c r="HJ49" s="11"/>
    </row>
    <row r="50" spans="1:218" s="213" customFormat="1" ht="30" customHeight="1">
      <c r="A50" s="197" t="s">
        <v>198</v>
      </c>
      <c r="B50" s="212">
        <v>2618885874</v>
      </c>
      <c r="C50" s="197" t="s">
        <v>1569</v>
      </c>
      <c r="D50" s="197" t="s">
        <v>127</v>
      </c>
      <c r="E50" s="197" t="s">
        <v>35</v>
      </c>
      <c r="F50" s="197" t="s">
        <v>1587</v>
      </c>
      <c r="G50" s="197">
        <v>93</v>
      </c>
      <c r="H50" s="197" t="s">
        <v>200</v>
      </c>
      <c r="I50" s="197" t="s">
        <v>411</v>
      </c>
      <c r="J50" s="197" t="s">
        <v>1570</v>
      </c>
      <c r="K50" s="204" t="s">
        <v>1581</v>
      </c>
      <c r="L50" s="203">
        <v>46148.607638888891</v>
      </c>
      <c r="M50" s="203">
        <v>46148.618750000001</v>
      </c>
      <c r="N50" s="197" t="s">
        <v>1572</v>
      </c>
      <c r="O50" s="201" t="s">
        <v>207</v>
      </c>
      <c r="P50" s="160"/>
      <c r="Q50" s="138" t="s">
        <v>215</v>
      </c>
      <c r="R50" s="54" t="s">
        <v>263</v>
      </c>
      <c r="S50" s="138" t="s">
        <v>77</v>
      </c>
      <c r="T50" s="54"/>
      <c r="U50" s="138" t="s">
        <v>77</v>
      </c>
      <c r="V50" s="54"/>
      <c r="W50" s="138" t="s">
        <v>77</v>
      </c>
      <c r="X50" s="54"/>
      <c r="Y50" s="138" t="s">
        <v>77</v>
      </c>
      <c r="Z50" s="54"/>
      <c r="AA50" s="138" t="s">
        <v>77</v>
      </c>
      <c r="AB50" s="54"/>
      <c r="AC50" s="138" t="s">
        <v>207</v>
      </c>
      <c r="AD50" s="54"/>
      <c r="AE50" s="138" t="s">
        <v>207</v>
      </c>
      <c r="AF50" s="137" t="str">
        <f t="shared" si="1"/>
        <v>NC</v>
      </c>
      <c r="AG50" s="288" t="str">
        <f t="shared" si="0"/>
        <v>UTILIZOU O PDA CORRETAMENTE. NÃO HÁ FOTOS DE TODAS AS ETAPAS</v>
      </c>
      <c r="AH50" s="138"/>
      <c r="AI50" s="291" t="s">
        <v>36</v>
      </c>
      <c r="AJ50" s="291" t="str">
        <f t="shared" si="3"/>
        <v>SÃO PAULO</v>
      </c>
      <c r="AK50" s="292" t="s">
        <v>75</v>
      </c>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11"/>
      <c r="EW50" s="11"/>
      <c r="EX50" s="11"/>
      <c r="EY50" s="11"/>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1"/>
      <c r="GN50" s="11"/>
      <c r="GO50" s="11"/>
      <c r="GP50" s="11"/>
      <c r="GQ50" s="11"/>
      <c r="GR50" s="11"/>
      <c r="GS50" s="11"/>
      <c r="GT50" s="11"/>
      <c r="GU50" s="11"/>
      <c r="GV50" s="11"/>
      <c r="GW50" s="11"/>
      <c r="GX50" s="11"/>
      <c r="GY50" s="11"/>
      <c r="GZ50" s="11"/>
      <c r="HA50" s="11"/>
      <c r="HB50" s="11"/>
      <c r="HC50" s="11"/>
      <c r="HD50" s="11"/>
      <c r="HE50" s="11"/>
      <c r="HF50" s="11"/>
      <c r="HG50" s="11"/>
      <c r="HH50" s="11"/>
      <c r="HI50" s="11"/>
      <c r="HJ50" s="11"/>
    </row>
    <row r="51" spans="1:218" s="213" customFormat="1" ht="30" customHeight="1">
      <c r="A51" s="197" t="s">
        <v>198</v>
      </c>
      <c r="B51" s="212">
        <v>2618885957</v>
      </c>
      <c r="C51" s="197" t="s">
        <v>1569</v>
      </c>
      <c r="D51" s="197" t="s">
        <v>127</v>
      </c>
      <c r="E51" s="197" t="s">
        <v>35</v>
      </c>
      <c r="F51" s="197" t="s">
        <v>1590</v>
      </c>
      <c r="G51" s="197">
        <v>23</v>
      </c>
      <c r="H51" s="197"/>
      <c r="I51" s="197" t="s">
        <v>357</v>
      </c>
      <c r="J51" s="197" t="s">
        <v>1570</v>
      </c>
      <c r="K51" s="204" t="s">
        <v>1578</v>
      </c>
      <c r="L51" s="203">
        <v>46148.634027777778</v>
      </c>
      <c r="M51" s="203">
        <v>46148.656944444447</v>
      </c>
      <c r="N51" s="197" t="s">
        <v>1572</v>
      </c>
      <c r="O51" s="201" t="s">
        <v>207</v>
      </c>
      <c r="P51" s="160"/>
      <c r="Q51" s="138" t="s">
        <v>215</v>
      </c>
      <c r="R51" s="54" t="s">
        <v>263</v>
      </c>
      <c r="S51" s="138" t="s">
        <v>77</v>
      </c>
      <c r="T51" s="54"/>
      <c r="U51" s="138" t="s">
        <v>77</v>
      </c>
      <c r="V51" s="54"/>
      <c r="W51" s="138" t="s">
        <v>77</v>
      </c>
      <c r="X51" s="54"/>
      <c r="Y51" s="138" t="s">
        <v>77</v>
      </c>
      <c r="Z51" s="54"/>
      <c r="AA51" s="138" t="s">
        <v>77</v>
      </c>
      <c r="AB51" s="54"/>
      <c r="AC51" s="138" t="s">
        <v>207</v>
      </c>
      <c r="AD51" s="54"/>
      <c r="AE51" s="138" t="s">
        <v>207</v>
      </c>
      <c r="AF51" s="137" t="str">
        <f t="shared" si="1"/>
        <v>NC</v>
      </c>
      <c r="AG51" s="288" t="str">
        <f t="shared" si="0"/>
        <v>UTILIZOU O PDA CORRETAMENTE. NÃO HÁ FOTOS DE TODAS AS ETAPAS</v>
      </c>
      <c r="AH51" s="138"/>
      <c r="AI51" s="291" t="s">
        <v>36</v>
      </c>
      <c r="AJ51" s="291" t="str">
        <f t="shared" si="3"/>
        <v>SÃO PAULO</v>
      </c>
      <c r="AK51" s="292" t="s">
        <v>75</v>
      </c>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c r="DE51" s="11"/>
      <c r="DF51" s="11"/>
      <c r="DG51" s="11"/>
      <c r="DH51" s="11"/>
      <c r="DI51" s="11"/>
      <c r="DJ51" s="11"/>
      <c r="DK51" s="11"/>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11"/>
      <c r="EM51" s="11"/>
      <c r="EN51" s="11"/>
      <c r="EO51" s="11"/>
      <c r="EP51" s="11"/>
      <c r="EQ51" s="11"/>
      <c r="ER51" s="11"/>
      <c r="ES51" s="11"/>
      <c r="ET51" s="11"/>
      <c r="EU51" s="11"/>
      <c r="EV51" s="11"/>
      <c r="EW51" s="11"/>
      <c r="EX51" s="11"/>
      <c r="EY51" s="11"/>
      <c r="EZ51" s="11"/>
      <c r="FA51" s="11"/>
      <c r="FB51" s="11"/>
      <c r="FC51" s="11"/>
      <c r="FD51" s="11"/>
      <c r="FE51" s="11"/>
      <c r="FF51" s="11"/>
      <c r="FG51" s="11"/>
      <c r="FH51" s="11"/>
      <c r="FI51" s="11"/>
      <c r="FJ51" s="11"/>
      <c r="FK51" s="11"/>
      <c r="FL51" s="11"/>
      <c r="FM51" s="11"/>
      <c r="FN51" s="11"/>
      <c r="FO51" s="11"/>
      <c r="FP51" s="11"/>
      <c r="FQ51" s="11"/>
      <c r="FR51" s="11"/>
      <c r="FS51" s="11"/>
      <c r="FT51" s="11"/>
      <c r="FU51" s="11"/>
      <c r="FV51" s="11"/>
      <c r="FW51" s="11"/>
      <c r="FX51" s="11"/>
      <c r="FY51" s="11"/>
      <c r="FZ51" s="11"/>
      <c r="GA51" s="11"/>
      <c r="GB51" s="11"/>
      <c r="GC51" s="11"/>
      <c r="GD51" s="11"/>
      <c r="GE51" s="11"/>
      <c r="GF51" s="11"/>
      <c r="GG51" s="11"/>
      <c r="GH51" s="11"/>
      <c r="GI51" s="11"/>
      <c r="GJ51" s="11"/>
      <c r="GK51" s="11"/>
      <c r="GL51" s="11"/>
      <c r="GM51" s="11"/>
      <c r="GN51" s="11"/>
      <c r="GO51" s="11"/>
      <c r="GP51" s="11"/>
      <c r="GQ51" s="11"/>
      <c r="GR51" s="11"/>
      <c r="GS51" s="11"/>
      <c r="GT51" s="11"/>
      <c r="GU51" s="11"/>
      <c r="GV51" s="11"/>
      <c r="GW51" s="11"/>
      <c r="GX51" s="11"/>
      <c r="GY51" s="11"/>
      <c r="GZ51" s="11"/>
      <c r="HA51" s="11"/>
      <c r="HB51" s="11"/>
      <c r="HC51" s="11"/>
      <c r="HD51" s="11"/>
      <c r="HE51" s="11"/>
      <c r="HF51" s="11"/>
      <c r="HG51" s="11"/>
      <c r="HH51" s="11"/>
      <c r="HI51" s="11"/>
      <c r="HJ51" s="11"/>
    </row>
    <row r="52" spans="1:218" s="213" customFormat="1" ht="30" customHeight="1">
      <c r="A52" s="197" t="s">
        <v>198</v>
      </c>
      <c r="B52" s="212">
        <v>2618896084</v>
      </c>
      <c r="C52" s="197" t="s">
        <v>133</v>
      </c>
      <c r="D52" s="197" t="s">
        <v>125</v>
      </c>
      <c r="E52" s="197" t="s">
        <v>35</v>
      </c>
      <c r="F52" s="197" t="s">
        <v>1024</v>
      </c>
      <c r="G52" s="197">
        <v>265</v>
      </c>
      <c r="H52" s="197" t="s">
        <v>208</v>
      </c>
      <c r="I52" s="197" t="s">
        <v>1105</v>
      </c>
      <c r="J52" s="197" t="s">
        <v>133</v>
      </c>
      <c r="K52" s="197" t="s">
        <v>1591</v>
      </c>
      <c r="L52" s="203">
        <v>46148.57916666667</v>
      </c>
      <c r="M52" s="203">
        <v>46148.62777777778</v>
      </c>
      <c r="N52" s="197" t="s">
        <v>1546</v>
      </c>
      <c r="O52" s="201" t="s">
        <v>207</v>
      </c>
      <c r="P52" s="160"/>
      <c r="Q52" s="138" t="s">
        <v>215</v>
      </c>
      <c r="R52" s="54" t="s">
        <v>263</v>
      </c>
      <c r="S52" s="138" t="s">
        <v>214</v>
      </c>
      <c r="T52" s="54"/>
      <c r="U52" s="138" t="s">
        <v>207</v>
      </c>
      <c r="V52" s="54"/>
      <c r="W52" s="138" t="s">
        <v>214</v>
      </c>
      <c r="X52" s="54"/>
      <c r="Y52" s="138" t="s">
        <v>77</v>
      </c>
      <c r="Z52" s="54"/>
      <c r="AA52" s="138" t="s">
        <v>214</v>
      </c>
      <c r="AB52" s="54"/>
      <c r="AC52" s="138" t="s">
        <v>207</v>
      </c>
      <c r="AD52" s="54"/>
      <c r="AE52" s="138" t="s">
        <v>207</v>
      </c>
      <c r="AF52" s="137" t="str">
        <f t="shared" si="1"/>
        <v>NC</v>
      </c>
      <c r="AG52" s="288" t="str">
        <f t="shared" si="0"/>
        <v>UTILIZOU O PDA CORRETAMENTE. NÃO HÁ FOTOS DE TODAS AS ETAPAS</v>
      </c>
      <c r="AH52" s="138" t="s">
        <v>207</v>
      </c>
      <c r="AI52" s="291" t="s">
        <v>36</v>
      </c>
      <c r="AJ52" s="291" t="str">
        <f t="shared" si="3"/>
        <v>SÃO PAULO</v>
      </c>
      <c r="AK52" s="292" t="s">
        <v>75</v>
      </c>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11"/>
      <c r="EM52" s="11"/>
      <c r="EN52" s="11"/>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c r="GB52" s="11"/>
      <c r="GC52" s="11"/>
      <c r="GD52" s="11"/>
      <c r="GE52" s="11"/>
      <c r="GF52" s="11"/>
      <c r="GG52" s="11"/>
      <c r="GH52" s="11"/>
      <c r="GI52" s="11"/>
      <c r="GJ52" s="11"/>
      <c r="GK52" s="11"/>
      <c r="GL52" s="11"/>
      <c r="GM52" s="11"/>
      <c r="GN52" s="11"/>
      <c r="GO52" s="11"/>
      <c r="GP52" s="11"/>
      <c r="GQ52" s="11"/>
      <c r="GR52" s="11"/>
      <c r="GS52" s="11"/>
      <c r="GT52" s="11"/>
      <c r="GU52" s="11"/>
      <c r="GV52" s="11"/>
      <c r="GW52" s="11"/>
      <c r="GX52" s="11"/>
      <c r="GY52" s="11"/>
      <c r="GZ52" s="11"/>
      <c r="HA52" s="11"/>
      <c r="HB52" s="11"/>
      <c r="HC52" s="11"/>
      <c r="HD52" s="11"/>
      <c r="HE52" s="11"/>
      <c r="HF52" s="11"/>
      <c r="HG52" s="11"/>
      <c r="HH52" s="11"/>
      <c r="HI52" s="11"/>
      <c r="HJ52" s="11"/>
    </row>
    <row r="53" spans="1:218" s="213" customFormat="1" ht="30" customHeight="1">
      <c r="A53" s="197" t="s">
        <v>198</v>
      </c>
      <c r="B53" s="212">
        <v>2618904763</v>
      </c>
      <c r="C53" s="197" t="s">
        <v>1592</v>
      </c>
      <c r="D53" s="197" t="s">
        <v>126</v>
      </c>
      <c r="E53" s="197" t="s">
        <v>35</v>
      </c>
      <c r="F53" s="197" t="s">
        <v>410</v>
      </c>
      <c r="G53" s="197">
        <v>107</v>
      </c>
      <c r="H53" s="197"/>
      <c r="I53" s="197" t="s">
        <v>411</v>
      </c>
      <c r="J53" s="197" t="s">
        <v>1593</v>
      </c>
      <c r="K53" s="197"/>
      <c r="L53" s="203">
        <v>46148.666666666664</v>
      </c>
      <c r="M53" s="203">
        <v>46148.667361111111</v>
      </c>
      <c r="N53" s="197" t="s">
        <v>1565</v>
      </c>
      <c r="O53" s="201" t="s">
        <v>77</v>
      </c>
      <c r="P53" s="160"/>
      <c r="Q53" s="138" t="s">
        <v>77</v>
      </c>
      <c r="R53" s="54"/>
      <c r="S53" s="138" t="s">
        <v>77</v>
      </c>
      <c r="T53" s="54"/>
      <c r="U53" s="138" t="s">
        <v>77</v>
      </c>
      <c r="V53" s="54"/>
      <c r="W53" s="138" t="s">
        <v>77</v>
      </c>
      <c r="X53" s="54"/>
      <c r="Y53" s="138" t="s">
        <v>77</v>
      </c>
      <c r="Z53" s="54"/>
      <c r="AA53" s="138" t="s">
        <v>77</v>
      </c>
      <c r="AB53" s="54"/>
      <c r="AC53" s="138" t="s">
        <v>77</v>
      </c>
      <c r="AD53" s="54"/>
      <c r="AE53" s="138" t="s">
        <v>77</v>
      </c>
      <c r="AF53" s="137" t="str">
        <f t="shared" si="1"/>
        <v>NA</v>
      </c>
      <c r="AG53" s="288" t="str">
        <f t="shared" si="0"/>
        <v>NÃO AVALIADO POR FALHA DE SINCRONISMO</v>
      </c>
      <c r="AH53" s="138" t="s">
        <v>207</v>
      </c>
      <c r="AI53" s="291" t="s">
        <v>36</v>
      </c>
      <c r="AJ53" s="291" t="str">
        <f t="shared" si="3"/>
        <v>SÃO PAULO</v>
      </c>
      <c r="AK53" s="292" t="s">
        <v>75</v>
      </c>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1"/>
      <c r="DE53" s="11"/>
      <c r="DF53" s="11"/>
      <c r="DG53" s="11"/>
      <c r="DH53" s="11"/>
      <c r="DI53" s="11"/>
      <c r="DJ53" s="11"/>
      <c r="DK53" s="11"/>
      <c r="DL53" s="11"/>
      <c r="DM53" s="11"/>
      <c r="DN53" s="11"/>
      <c r="DO53" s="11"/>
      <c r="DP53" s="11"/>
      <c r="DQ53" s="11"/>
      <c r="DR53" s="11"/>
      <c r="DS53" s="11"/>
      <c r="DT53" s="11"/>
      <c r="DU53" s="11"/>
      <c r="DV53" s="11"/>
      <c r="DW53" s="11"/>
      <c r="DX53" s="11"/>
      <c r="DY53" s="11"/>
      <c r="DZ53" s="11"/>
      <c r="EA53" s="11"/>
      <c r="EB53" s="11"/>
      <c r="EC53" s="11"/>
      <c r="ED53" s="11"/>
      <c r="EE53" s="11"/>
      <c r="EF53" s="11"/>
      <c r="EG53" s="11"/>
      <c r="EH53" s="11"/>
      <c r="EI53" s="11"/>
      <c r="EJ53" s="11"/>
      <c r="EK53" s="11"/>
      <c r="EL53" s="11"/>
      <c r="EM53" s="11"/>
      <c r="EN53" s="11"/>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c r="FZ53" s="11"/>
      <c r="GA53" s="11"/>
      <c r="GB53" s="11"/>
      <c r="GC53" s="11"/>
      <c r="GD53" s="11"/>
      <c r="GE53" s="11"/>
      <c r="GF53" s="11"/>
      <c r="GG53" s="11"/>
      <c r="GH53" s="11"/>
      <c r="GI53" s="11"/>
      <c r="GJ53" s="11"/>
      <c r="GK53" s="11"/>
      <c r="GL53" s="11"/>
      <c r="GM53" s="11"/>
      <c r="GN53" s="11"/>
      <c r="GO53" s="11"/>
      <c r="GP53" s="11"/>
      <c r="GQ53" s="11"/>
      <c r="GR53" s="11"/>
      <c r="GS53" s="11"/>
      <c r="GT53" s="11"/>
      <c r="GU53" s="11"/>
      <c r="GV53" s="11"/>
      <c r="GW53" s="11"/>
      <c r="GX53" s="11"/>
      <c r="GY53" s="11"/>
      <c r="GZ53" s="11"/>
      <c r="HA53" s="11"/>
      <c r="HB53" s="11"/>
      <c r="HC53" s="11"/>
      <c r="HD53" s="11"/>
      <c r="HE53" s="11"/>
      <c r="HF53" s="11"/>
      <c r="HG53" s="11"/>
      <c r="HH53" s="11"/>
      <c r="HI53" s="11"/>
      <c r="HJ53" s="11"/>
    </row>
    <row r="54" spans="1:218" s="213" customFormat="1" ht="30" customHeight="1">
      <c r="A54" s="197" t="s">
        <v>198</v>
      </c>
      <c r="B54" s="212">
        <v>2618904494</v>
      </c>
      <c r="C54" s="197" t="s">
        <v>1592</v>
      </c>
      <c r="D54" s="197" t="s">
        <v>126</v>
      </c>
      <c r="E54" s="197" t="s">
        <v>35</v>
      </c>
      <c r="F54" s="197" t="s">
        <v>410</v>
      </c>
      <c r="G54" s="197">
        <v>123</v>
      </c>
      <c r="H54" s="197" t="s">
        <v>208</v>
      </c>
      <c r="I54" s="197" t="s">
        <v>411</v>
      </c>
      <c r="J54" s="197" t="s">
        <v>1593</v>
      </c>
      <c r="K54" s="197" t="s">
        <v>200</v>
      </c>
      <c r="L54" s="203">
        <v>46148.666666666664</v>
      </c>
      <c r="M54" s="203">
        <v>46148.667361111111</v>
      </c>
      <c r="N54" s="197" t="s">
        <v>1565</v>
      </c>
      <c r="O54" s="201" t="s">
        <v>77</v>
      </c>
      <c r="P54" s="160"/>
      <c r="Q54" s="138" t="s">
        <v>77</v>
      </c>
      <c r="R54" s="54"/>
      <c r="S54" s="138" t="s">
        <v>77</v>
      </c>
      <c r="T54" s="54"/>
      <c r="U54" s="138" t="s">
        <v>77</v>
      </c>
      <c r="V54" s="54"/>
      <c r="W54" s="138" t="s">
        <v>77</v>
      </c>
      <c r="X54" s="54"/>
      <c r="Y54" s="138" t="s">
        <v>77</v>
      </c>
      <c r="Z54" s="54"/>
      <c r="AA54" s="138" t="s">
        <v>77</v>
      </c>
      <c r="AB54" s="54"/>
      <c r="AC54" s="138" t="s">
        <v>77</v>
      </c>
      <c r="AD54" s="54"/>
      <c r="AE54" s="138" t="s">
        <v>77</v>
      </c>
      <c r="AF54" s="137" t="str">
        <f t="shared" si="1"/>
        <v>NA</v>
      </c>
      <c r="AG54" s="288" t="str">
        <f t="shared" si="0"/>
        <v>NÃO AVALIADO POR FALHA DE SINCRONISMO</v>
      </c>
      <c r="AH54" s="138" t="s">
        <v>207</v>
      </c>
      <c r="AI54" s="291" t="s">
        <v>36</v>
      </c>
      <c r="AJ54" s="291" t="str">
        <f t="shared" si="3"/>
        <v>SÃO PAULO</v>
      </c>
      <c r="AK54" s="292" t="s">
        <v>75</v>
      </c>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c r="GB54" s="11"/>
      <c r="GC54" s="11"/>
      <c r="GD54" s="11"/>
      <c r="GE54" s="11"/>
      <c r="GF54" s="11"/>
      <c r="GG54" s="11"/>
      <c r="GH54" s="11"/>
      <c r="GI54" s="11"/>
      <c r="GJ54" s="11"/>
      <c r="GK54" s="11"/>
      <c r="GL54" s="11"/>
      <c r="GM54" s="11"/>
      <c r="GN54" s="11"/>
      <c r="GO54" s="11"/>
      <c r="GP54" s="11"/>
      <c r="GQ54" s="11"/>
      <c r="GR54" s="11"/>
      <c r="GS54" s="11"/>
      <c r="GT54" s="11"/>
      <c r="GU54" s="11"/>
      <c r="GV54" s="11"/>
      <c r="GW54" s="11"/>
      <c r="GX54" s="11"/>
      <c r="GY54" s="11"/>
      <c r="GZ54" s="11"/>
      <c r="HA54" s="11"/>
      <c r="HB54" s="11"/>
      <c r="HC54" s="11"/>
      <c r="HD54" s="11"/>
      <c r="HE54" s="11"/>
      <c r="HF54" s="11"/>
      <c r="HG54" s="11"/>
      <c r="HH54" s="11"/>
      <c r="HI54" s="11"/>
      <c r="HJ54" s="11"/>
    </row>
    <row r="55" spans="1:218" s="213" customFormat="1" ht="30" customHeight="1">
      <c r="A55" s="197" t="s">
        <v>198</v>
      </c>
      <c r="B55" s="212">
        <v>2618904580</v>
      </c>
      <c r="C55" s="197" t="s">
        <v>1592</v>
      </c>
      <c r="D55" s="197" t="s">
        <v>126</v>
      </c>
      <c r="E55" s="197" t="s">
        <v>35</v>
      </c>
      <c r="F55" s="197" t="s">
        <v>410</v>
      </c>
      <c r="G55" s="197">
        <v>129</v>
      </c>
      <c r="H55" s="197"/>
      <c r="I55" s="197" t="s">
        <v>411</v>
      </c>
      <c r="J55" s="197" t="s">
        <v>1593</v>
      </c>
      <c r="K55" s="197"/>
      <c r="L55" s="203">
        <v>46148.666666666664</v>
      </c>
      <c r="M55" s="203">
        <v>46148.667361111111</v>
      </c>
      <c r="N55" s="197" t="s">
        <v>1565</v>
      </c>
      <c r="O55" s="201" t="s">
        <v>77</v>
      </c>
      <c r="P55" s="160"/>
      <c r="Q55" s="138" t="s">
        <v>77</v>
      </c>
      <c r="R55" s="54"/>
      <c r="S55" s="138" t="s">
        <v>77</v>
      </c>
      <c r="T55" s="54"/>
      <c r="U55" s="138" t="s">
        <v>77</v>
      </c>
      <c r="V55" s="54"/>
      <c r="W55" s="138" t="s">
        <v>77</v>
      </c>
      <c r="X55" s="54"/>
      <c r="Y55" s="138" t="s">
        <v>77</v>
      </c>
      <c r="Z55" s="54"/>
      <c r="AA55" s="138" t="s">
        <v>77</v>
      </c>
      <c r="AB55" s="54"/>
      <c r="AC55" s="138" t="s">
        <v>77</v>
      </c>
      <c r="AD55" s="54"/>
      <c r="AE55" s="138" t="s">
        <v>77</v>
      </c>
      <c r="AF55" s="137" t="str">
        <f t="shared" si="1"/>
        <v>NA</v>
      </c>
      <c r="AG55" s="288" t="str">
        <f t="shared" si="0"/>
        <v>NÃO AVALIADO POR FALHA DE SINCRONISMO</v>
      </c>
      <c r="AH55" s="138" t="s">
        <v>207</v>
      </c>
      <c r="AI55" s="291" t="s">
        <v>36</v>
      </c>
      <c r="AJ55" s="291" t="str">
        <f t="shared" si="3"/>
        <v>SÃO PAULO</v>
      </c>
      <c r="AK55" s="292" t="s">
        <v>75</v>
      </c>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row>
    <row r="56" spans="1:218" s="213" customFormat="1" ht="30" customHeight="1">
      <c r="A56" s="197" t="s">
        <v>198</v>
      </c>
      <c r="B56" s="212">
        <v>2618904399</v>
      </c>
      <c r="C56" s="197" t="s">
        <v>1592</v>
      </c>
      <c r="D56" s="197" t="s">
        <v>126</v>
      </c>
      <c r="E56" s="197" t="s">
        <v>35</v>
      </c>
      <c r="F56" s="197" t="s">
        <v>410</v>
      </c>
      <c r="G56" s="197">
        <v>131</v>
      </c>
      <c r="H56" s="197" t="s">
        <v>200</v>
      </c>
      <c r="I56" s="197" t="s">
        <v>411</v>
      </c>
      <c r="J56" s="197" t="s">
        <v>1593</v>
      </c>
      <c r="K56" s="197" t="s">
        <v>200</v>
      </c>
      <c r="L56" s="203">
        <v>46148.666666666664</v>
      </c>
      <c r="M56" s="203">
        <v>46148.667361111111</v>
      </c>
      <c r="N56" s="197" t="s">
        <v>1565</v>
      </c>
      <c r="O56" s="201" t="s">
        <v>77</v>
      </c>
      <c r="P56" s="160"/>
      <c r="Q56" s="138" t="s">
        <v>77</v>
      </c>
      <c r="R56" s="54"/>
      <c r="S56" s="138" t="s">
        <v>77</v>
      </c>
      <c r="T56" s="54"/>
      <c r="U56" s="138" t="s">
        <v>77</v>
      </c>
      <c r="V56" s="54"/>
      <c r="W56" s="138" t="s">
        <v>77</v>
      </c>
      <c r="X56" s="54"/>
      <c r="Y56" s="138" t="s">
        <v>77</v>
      </c>
      <c r="Z56" s="54"/>
      <c r="AA56" s="138" t="s">
        <v>77</v>
      </c>
      <c r="AB56" s="54"/>
      <c r="AC56" s="138" t="s">
        <v>77</v>
      </c>
      <c r="AD56" s="54"/>
      <c r="AE56" s="138" t="s">
        <v>77</v>
      </c>
      <c r="AF56" s="137" t="str">
        <f t="shared" si="1"/>
        <v>NA</v>
      </c>
      <c r="AG56" s="288" t="str">
        <f t="shared" si="0"/>
        <v>NÃO AVALIADO POR FALHA DE SINCRONISMO</v>
      </c>
      <c r="AH56" s="138" t="s">
        <v>207</v>
      </c>
      <c r="AI56" s="291" t="s">
        <v>36</v>
      </c>
      <c r="AJ56" s="291" t="str">
        <f t="shared" si="3"/>
        <v>SÃO PAULO</v>
      </c>
      <c r="AK56" s="292" t="s">
        <v>75</v>
      </c>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row>
    <row r="57" spans="1:218" s="213" customFormat="1" ht="30" customHeight="1">
      <c r="A57" s="197" t="s">
        <v>198</v>
      </c>
      <c r="B57" s="212">
        <v>2618905257</v>
      </c>
      <c r="C57" s="197" t="s">
        <v>1592</v>
      </c>
      <c r="D57" s="197" t="s">
        <v>126</v>
      </c>
      <c r="E57" s="197" t="s">
        <v>35</v>
      </c>
      <c r="F57" s="197" t="s">
        <v>410</v>
      </c>
      <c r="G57" s="197">
        <v>81</v>
      </c>
      <c r="H57" s="197"/>
      <c r="I57" s="197" t="s">
        <v>411</v>
      </c>
      <c r="J57" s="197" t="s">
        <v>1593</v>
      </c>
      <c r="K57" s="197"/>
      <c r="L57" s="203">
        <v>46148.625</v>
      </c>
      <c r="M57" s="203">
        <v>46148.625694444447</v>
      </c>
      <c r="N57" s="197" t="s">
        <v>1565</v>
      </c>
      <c r="O57" s="201" t="s">
        <v>77</v>
      </c>
      <c r="P57" s="160"/>
      <c r="Q57" s="138" t="s">
        <v>77</v>
      </c>
      <c r="R57" s="54"/>
      <c r="S57" s="138" t="s">
        <v>77</v>
      </c>
      <c r="T57" s="54"/>
      <c r="U57" s="138" t="s">
        <v>77</v>
      </c>
      <c r="V57" s="54"/>
      <c r="W57" s="138" t="s">
        <v>77</v>
      </c>
      <c r="X57" s="54"/>
      <c r="Y57" s="138" t="s">
        <v>77</v>
      </c>
      <c r="Z57" s="54"/>
      <c r="AA57" s="138" t="s">
        <v>77</v>
      </c>
      <c r="AB57" s="54"/>
      <c r="AC57" s="138" t="s">
        <v>77</v>
      </c>
      <c r="AD57" s="54"/>
      <c r="AE57" s="138" t="s">
        <v>77</v>
      </c>
      <c r="AF57" s="137" t="str">
        <f t="shared" si="1"/>
        <v>NA</v>
      </c>
      <c r="AG57" s="288" t="str">
        <f t="shared" si="0"/>
        <v>NÃO AVALIADO POR FALHA DE SINCRONISMO</v>
      </c>
      <c r="AH57" s="138" t="s">
        <v>207</v>
      </c>
      <c r="AI57" s="291" t="s">
        <v>36</v>
      </c>
      <c r="AJ57" s="291" t="str">
        <f t="shared" si="3"/>
        <v>SÃO PAULO</v>
      </c>
      <c r="AK57" s="292" t="s">
        <v>75</v>
      </c>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row>
    <row r="58" spans="1:218" s="213" customFormat="1" ht="30" customHeight="1">
      <c r="A58" s="197" t="s">
        <v>198</v>
      </c>
      <c r="B58" s="212">
        <v>2618904315</v>
      </c>
      <c r="C58" s="197" t="s">
        <v>1592</v>
      </c>
      <c r="D58" s="197" t="s">
        <v>126</v>
      </c>
      <c r="E58" s="197" t="s">
        <v>35</v>
      </c>
      <c r="F58" s="197" t="s">
        <v>410</v>
      </c>
      <c r="G58" s="197">
        <v>139</v>
      </c>
      <c r="H58" s="197" t="s">
        <v>200</v>
      </c>
      <c r="I58" s="197" t="s">
        <v>411</v>
      </c>
      <c r="J58" s="197" t="s">
        <v>1593</v>
      </c>
      <c r="K58" s="197" t="s">
        <v>200</v>
      </c>
      <c r="L58" s="203">
        <v>46148.666666666664</v>
      </c>
      <c r="M58" s="203">
        <v>46148.667361111111</v>
      </c>
      <c r="N58" s="197" t="s">
        <v>1565</v>
      </c>
      <c r="O58" s="201" t="s">
        <v>77</v>
      </c>
      <c r="P58" s="160"/>
      <c r="Q58" s="138" t="s">
        <v>77</v>
      </c>
      <c r="R58" s="54"/>
      <c r="S58" s="138" t="s">
        <v>77</v>
      </c>
      <c r="T58" s="54"/>
      <c r="U58" s="138" t="s">
        <v>77</v>
      </c>
      <c r="V58" s="54"/>
      <c r="W58" s="138" t="s">
        <v>77</v>
      </c>
      <c r="X58" s="54"/>
      <c r="Y58" s="138" t="s">
        <v>77</v>
      </c>
      <c r="Z58" s="54"/>
      <c r="AA58" s="138" t="s">
        <v>77</v>
      </c>
      <c r="AB58" s="54"/>
      <c r="AC58" s="138" t="s">
        <v>77</v>
      </c>
      <c r="AD58" s="54"/>
      <c r="AE58" s="138" t="s">
        <v>77</v>
      </c>
      <c r="AF58" s="137" t="str">
        <f t="shared" si="1"/>
        <v>NA</v>
      </c>
      <c r="AG58" s="288" t="str">
        <f t="shared" si="0"/>
        <v>NÃO AVALIADO POR FALHA DE SINCRONISMO</v>
      </c>
      <c r="AH58" s="138" t="s">
        <v>207</v>
      </c>
      <c r="AI58" s="291" t="s">
        <v>36</v>
      </c>
      <c r="AJ58" s="291" t="str">
        <f t="shared" si="3"/>
        <v>SÃO PAULO</v>
      </c>
      <c r="AK58" s="292" t="s">
        <v>75</v>
      </c>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row>
    <row r="59" spans="1:218" s="213" customFormat="1" ht="30" customHeight="1">
      <c r="A59" s="197" t="s">
        <v>198</v>
      </c>
      <c r="B59" s="212">
        <v>2618904982</v>
      </c>
      <c r="C59" s="197" t="s">
        <v>1592</v>
      </c>
      <c r="D59" s="197" t="s">
        <v>126</v>
      </c>
      <c r="E59" s="197" t="s">
        <v>35</v>
      </c>
      <c r="F59" s="197" t="s">
        <v>410</v>
      </c>
      <c r="G59" s="197">
        <v>97</v>
      </c>
      <c r="H59" s="197"/>
      <c r="I59" s="197" t="s">
        <v>411</v>
      </c>
      <c r="J59" s="197" t="s">
        <v>1593</v>
      </c>
      <c r="K59" s="197"/>
      <c r="L59" s="203">
        <v>46148.625</v>
      </c>
      <c r="M59" s="203">
        <v>46148.625694444447</v>
      </c>
      <c r="N59" s="197" t="s">
        <v>1565</v>
      </c>
      <c r="O59" s="201" t="s">
        <v>77</v>
      </c>
      <c r="P59" s="160"/>
      <c r="Q59" s="138" t="s">
        <v>77</v>
      </c>
      <c r="R59" s="54"/>
      <c r="S59" s="138" t="s">
        <v>77</v>
      </c>
      <c r="T59" s="54"/>
      <c r="U59" s="138" t="s">
        <v>77</v>
      </c>
      <c r="V59" s="54"/>
      <c r="W59" s="138" t="s">
        <v>77</v>
      </c>
      <c r="X59" s="54"/>
      <c r="Y59" s="138" t="s">
        <v>77</v>
      </c>
      <c r="Z59" s="54"/>
      <c r="AA59" s="138" t="s">
        <v>77</v>
      </c>
      <c r="AB59" s="54"/>
      <c r="AC59" s="138" t="s">
        <v>77</v>
      </c>
      <c r="AD59" s="54"/>
      <c r="AE59" s="138" t="s">
        <v>77</v>
      </c>
      <c r="AF59" s="137" t="str">
        <f t="shared" si="1"/>
        <v>NA</v>
      </c>
      <c r="AG59" s="288" t="str">
        <f t="shared" si="0"/>
        <v>NÃO AVALIADO POR FALHA DE SINCRONISMO</v>
      </c>
      <c r="AH59" s="138" t="s">
        <v>207</v>
      </c>
      <c r="AI59" s="291" t="s">
        <v>36</v>
      </c>
      <c r="AJ59" s="291" t="str">
        <f t="shared" si="3"/>
        <v>SÃO PAULO</v>
      </c>
      <c r="AK59" s="292" t="s">
        <v>75</v>
      </c>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c r="EO59" s="11"/>
      <c r="EP59" s="11"/>
      <c r="EQ59" s="11"/>
      <c r="ER59" s="11"/>
      <c r="ES59" s="11"/>
      <c r="ET59" s="11"/>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11"/>
      <c r="GF59" s="11"/>
      <c r="GG59" s="11"/>
      <c r="GH59" s="11"/>
      <c r="GI59" s="11"/>
      <c r="GJ59" s="11"/>
      <c r="GK59" s="11"/>
      <c r="GL59" s="11"/>
      <c r="GM59" s="11"/>
      <c r="GN59" s="11"/>
      <c r="GO59" s="11"/>
      <c r="GP59" s="11"/>
      <c r="GQ59" s="11"/>
      <c r="GR59" s="11"/>
      <c r="GS59" s="11"/>
      <c r="GT59" s="11"/>
      <c r="GU59" s="11"/>
      <c r="GV59" s="11"/>
      <c r="GW59" s="11"/>
      <c r="GX59" s="11"/>
      <c r="GY59" s="11"/>
      <c r="GZ59" s="11"/>
      <c r="HA59" s="11"/>
      <c r="HB59" s="11"/>
      <c r="HC59" s="11"/>
      <c r="HD59" s="11"/>
      <c r="HE59" s="11"/>
      <c r="HF59" s="11"/>
      <c r="HG59" s="11"/>
      <c r="HH59" s="11"/>
      <c r="HI59" s="11"/>
      <c r="HJ59" s="11"/>
    </row>
    <row r="60" spans="1:218" s="213" customFormat="1" ht="30" customHeight="1">
      <c r="A60" s="197" t="s">
        <v>198</v>
      </c>
      <c r="B60" s="212">
        <v>2618905056</v>
      </c>
      <c r="C60" s="197" t="s">
        <v>1592</v>
      </c>
      <c r="D60" s="197" t="s">
        <v>126</v>
      </c>
      <c r="E60" s="197" t="s">
        <v>35</v>
      </c>
      <c r="F60" s="197" t="s">
        <v>410</v>
      </c>
      <c r="G60" s="197">
        <v>89</v>
      </c>
      <c r="H60" s="197" t="s">
        <v>200</v>
      </c>
      <c r="I60" s="197" t="s">
        <v>411</v>
      </c>
      <c r="J60" s="197" t="s">
        <v>1593</v>
      </c>
      <c r="K60" s="197" t="s">
        <v>200</v>
      </c>
      <c r="L60" s="203">
        <v>46148.625</v>
      </c>
      <c r="M60" s="203">
        <v>46148.625694444447</v>
      </c>
      <c r="N60" s="197" t="s">
        <v>1565</v>
      </c>
      <c r="O60" s="201" t="s">
        <v>77</v>
      </c>
      <c r="P60" s="160"/>
      <c r="Q60" s="138" t="s">
        <v>77</v>
      </c>
      <c r="R60" s="54"/>
      <c r="S60" s="138" t="s">
        <v>77</v>
      </c>
      <c r="T60" s="54"/>
      <c r="U60" s="138" t="s">
        <v>77</v>
      </c>
      <c r="V60" s="54"/>
      <c r="W60" s="138" t="s">
        <v>77</v>
      </c>
      <c r="X60" s="54"/>
      <c r="Y60" s="138" t="s">
        <v>77</v>
      </c>
      <c r="Z60" s="54"/>
      <c r="AA60" s="138" t="s">
        <v>77</v>
      </c>
      <c r="AB60" s="54"/>
      <c r="AC60" s="138" t="s">
        <v>77</v>
      </c>
      <c r="AD60" s="54"/>
      <c r="AE60" s="138" t="s">
        <v>77</v>
      </c>
      <c r="AF60" s="137" t="str">
        <f t="shared" si="1"/>
        <v>NA</v>
      </c>
      <c r="AG60" s="288" t="str">
        <f t="shared" si="0"/>
        <v>NÃO AVALIADO POR FALHA DE SINCRONISMO</v>
      </c>
      <c r="AH60" s="138" t="s">
        <v>207</v>
      </c>
      <c r="AI60" s="291" t="s">
        <v>36</v>
      </c>
      <c r="AJ60" s="291" t="str">
        <f t="shared" si="3"/>
        <v>SÃO PAULO</v>
      </c>
      <c r="AK60" s="292" t="s">
        <v>75</v>
      </c>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c r="DA60" s="11"/>
      <c r="DB60" s="11"/>
      <c r="DC60" s="11"/>
      <c r="DD60" s="11"/>
      <c r="DE60" s="11"/>
      <c r="DF60" s="11"/>
      <c r="DG60" s="11"/>
      <c r="DH60" s="11"/>
      <c r="DI60" s="11"/>
      <c r="DJ60" s="11"/>
      <c r="DK60" s="11"/>
      <c r="DL60" s="11"/>
      <c r="DM60" s="11"/>
      <c r="DN60" s="11"/>
      <c r="DO60" s="11"/>
      <c r="DP60" s="11"/>
      <c r="DQ60" s="11"/>
      <c r="DR60" s="11"/>
      <c r="DS60" s="11"/>
      <c r="DT60" s="11"/>
      <c r="DU60" s="11"/>
      <c r="DV60" s="11"/>
      <c r="DW60" s="11"/>
      <c r="DX60" s="11"/>
      <c r="DY60" s="11"/>
      <c r="DZ60" s="11"/>
      <c r="EA60" s="11"/>
      <c r="EB60" s="11"/>
      <c r="EC60" s="11"/>
      <c r="ED60" s="11"/>
      <c r="EE60" s="11"/>
      <c r="EF60" s="11"/>
      <c r="EG60" s="11"/>
      <c r="EH60" s="11"/>
      <c r="EI60" s="11"/>
      <c r="EJ60" s="11"/>
      <c r="EK60" s="11"/>
      <c r="EL60" s="11"/>
      <c r="EM60" s="11"/>
      <c r="EN60" s="11"/>
      <c r="EO60" s="11"/>
      <c r="EP60" s="11"/>
      <c r="EQ60" s="11"/>
      <c r="ER60" s="11"/>
      <c r="ES60" s="11"/>
      <c r="ET60" s="11"/>
      <c r="EU60" s="11"/>
      <c r="EV60" s="11"/>
      <c r="EW60" s="11"/>
      <c r="EX60" s="11"/>
      <c r="EY60" s="11"/>
      <c r="EZ60" s="11"/>
      <c r="FA60" s="11"/>
      <c r="FB60" s="11"/>
      <c r="FC60" s="11"/>
      <c r="FD60" s="11"/>
      <c r="FE60" s="11"/>
      <c r="FF60" s="11"/>
      <c r="FG60" s="11"/>
      <c r="FH60" s="11"/>
      <c r="FI60" s="11"/>
      <c r="FJ60" s="11"/>
      <c r="FK60" s="11"/>
      <c r="FL60" s="11"/>
      <c r="FM60" s="11"/>
      <c r="FN60" s="11"/>
      <c r="FO60" s="11"/>
      <c r="FP60" s="11"/>
      <c r="FQ60" s="11"/>
      <c r="FR60" s="11"/>
      <c r="FS60" s="11"/>
      <c r="FT60" s="11"/>
      <c r="FU60" s="11"/>
      <c r="FV60" s="11"/>
      <c r="FW60" s="11"/>
      <c r="FX60" s="11"/>
      <c r="FY60" s="11"/>
      <c r="FZ60" s="11"/>
      <c r="GA60" s="11"/>
      <c r="GB60" s="11"/>
      <c r="GC60" s="11"/>
      <c r="GD60" s="11"/>
      <c r="GE60" s="11"/>
      <c r="GF60" s="11"/>
      <c r="GG60" s="11"/>
      <c r="GH60" s="11"/>
      <c r="GI60" s="11"/>
      <c r="GJ60" s="11"/>
      <c r="GK60" s="11"/>
      <c r="GL60" s="11"/>
      <c r="GM60" s="11"/>
      <c r="GN60" s="11"/>
      <c r="GO60" s="11"/>
      <c r="GP60" s="11"/>
      <c r="GQ60" s="11"/>
      <c r="GR60" s="11"/>
      <c r="GS60" s="11"/>
      <c r="GT60" s="11"/>
      <c r="GU60" s="11"/>
      <c r="GV60" s="11"/>
      <c r="GW60" s="11"/>
      <c r="GX60" s="11"/>
      <c r="GY60" s="11"/>
      <c r="GZ60" s="11"/>
      <c r="HA60" s="11"/>
      <c r="HB60" s="11"/>
      <c r="HC60" s="11"/>
      <c r="HD60" s="11"/>
      <c r="HE60" s="11"/>
      <c r="HF60" s="11"/>
      <c r="HG60" s="11"/>
      <c r="HH60" s="11"/>
      <c r="HI60" s="11"/>
      <c r="HJ60" s="11"/>
    </row>
    <row r="61" spans="1:218" s="213" customFormat="1" ht="30" customHeight="1">
      <c r="A61" s="197" t="s">
        <v>198</v>
      </c>
      <c r="B61" s="212">
        <v>2618904667</v>
      </c>
      <c r="C61" s="197" t="s">
        <v>1592</v>
      </c>
      <c r="D61" s="197" t="s">
        <v>126</v>
      </c>
      <c r="E61" s="197" t="s">
        <v>35</v>
      </c>
      <c r="F61" s="197" t="s">
        <v>410</v>
      </c>
      <c r="G61" s="197">
        <v>115</v>
      </c>
      <c r="H61" s="197"/>
      <c r="I61" s="197" t="s">
        <v>411</v>
      </c>
      <c r="J61" s="197" t="s">
        <v>1593</v>
      </c>
      <c r="K61" s="197"/>
      <c r="L61" s="203">
        <v>46148.666666666664</v>
      </c>
      <c r="M61" s="203">
        <v>46148.667361111111</v>
      </c>
      <c r="N61" s="197" t="s">
        <v>1565</v>
      </c>
      <c r="O61" s="201" t="s">
        <v>77</v>
      </c>
      <c r="P61" s="160"/>
      <c r="Q61" s="138" t="s">
        <v>77</v>
      </c>
      <c r="R61" s="54"/>
      <c r="S61" s="138" t="s">
        <v>77</v>
      </c>
      <c r="T61" s="54"/>
      <c r="U61" s="138" t="s">
        <v>77</v>
      </c>
      <c r="V61" s="54"/>
      <c r="W61" s="138" t="s">
        <v>77</v>
      </c>
      <c r="X61" s="54"/>
      <c r="Y61" s="138" t="s">
        <v>77</v>
      </c>
      <c r="Z61" s="54"/>
      <c r="AA61" s="138" t="s">
        <v>77</v>
      </c>
      <c r="AB61" s="54"/>
      <c r="AC61" s="138" t="s">
        <v>77</v>
      </c>
      <c r="AD61" s="54"/>
      <c r="AE61" s="138" t="s">
        <v>77</v>
      </c>
      <c r="AF61" s="137" t="str">
        <f t="shared" si="1"/>
        <v>NA</v>
      </c>
      <c r="AG61" s="288" t="str">
        <f t="shared" si="0"/>
        <v>NÃO AVALIADO POR FALHA DE SINCRONISMO</v>
      </c>
      <c r="AH61" s="138" t="s">
        <v>207</v>
      </c>
      <c r="AI61" s="291" t="s">
        <v>36</v>
      </c>
      <c r="AJ61" s="291" t="str">
        <f t="shared" si="3"/>
        <v>SÃO PAULO</v>
      </c>
      <c r="AK61" s="292" t="s">
        <v>75</v>
      </c>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11"/>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11"/>
      <c r="GF61" s="11"/>
      <c r="GG61" s="11"/>
      <c r="GH61" s="11"/>
      <c r="GI61" s="11"/>
      <c r="GJ61" s="11"/>
      <c r="GK61" s="11"/>
      <c r="GL61" s="11"/>
      <c r="GM61" s="11"/>
      <c r="GN61" s="11"/>
      <c r="GO61" s="11"/>
      <c r="GP61" s="11"/>
      <c r="GQ61" s="11"/>
      <c r="GR61" s="11"/>
      <c r="GS61" s="11"/>
      <c r="GT61" s="11"/>
      <c r="GU61" s="11"/>
      <c r="GV61" s="11"/>
      <c r="GW61" s="11"/>
      <c r="GX61" s="11"/>
      <c r="GY61" s="11"/>
      <c r="GZ61" s="11"/>
      <c r="HA61" s="11"/>
      <c r="HB61" s="11"/>
      <c r="HC61" s="11"/>
      <c r="HD61" s="11"/>
      <c r="HE61" s="11"/>
      <c r="HF61" s="11"/>
      <c r="HG61" s="11"/>
      <c r="HH61" s="11"/>
      <c r="HI61" s="11"/>
      <c r="HJ61" s="11"/>
    </row>
    <row r="62" spans="1:218" s="213" customFormat="1" ht="30" customHeight="1">
      <c r="A62" s="197" t="s">
        <v>198</v>
      </c>
      <c r="B62" s="212">
        <v>2618905449</v>
      </c>
      <c r="C62" s="197" t="s">
        <v>1592</v>
      </c>
      <c r="D62" s="197" t="s">
        <v>126</v>
      </c>
      <c r="E62" s="197" t="s">
        <v>35</v>
      </c>
      <c r="F62" s="197" t="s">
        <v>410</v>
      </c>
      <c r="G62" s="197">
        <v>77</v>
      </c>
      <c r="H62" s="197" t="s">
        <v>200</v>
      </c>
      <c r="I62" s="197" t="s">
        <v>411</v>
      </c>
      <c r="J62" s="197" t="s">
        <v>1593</v>
      </c>
      <c r="K62" s="197" t="s">
        <v>200</v>
      </c>
      <c r="L62" s="203">
        <v>46148.666666666664</v>
      </c>
      <c r="M62" s="203">
        <v>46148.667361111111</v>
      </c>
      <c r="N62" s="197" t="s">
        <v>1565</v>
      </c>
      <c r="O62" s="201" t="s">
        <v>77</v>
      </c>
      <c r="P62" s="160"/>
      <c r="Q62" s="138" t="s">
        <v>77</v>
      </c>
      <c r="R62" s="54"/>
      <c r="S62" s="138" t="s">
        <v>77</v>
      </c>
      <c r="T62" s="54"/>
      <c r="U62" s="138" t="s">
        <v>77</v>
      </c>
      <c r="V62" s="54"/>
      <c r="W62" s="138" t="s">
        <v>77</v>
      </c>
      <c r="X62" s="54"/>
      <c r="Y62" s="138" t="s">
        <v>77</v>
      </c>
      <c r="Z62" s="54"/>
      <c r="AA62" s="138" t="s">
        <v>77</v>
      </c>
      <c r="AB62" s="54"/>
      <c r="AC62" s="138" t="s">
        <v>77</v>
      </c>
      <c r="AD62" s="54"/>
      <c r="AE62" s="138" t="s">
        <v>77</v>
      </c>
      <c r="AF62" s="137" t="str">
        <f t="shared" si="1"/>
        <v>NA</v>
      </c>
      <c r="AG62" s="288" t="str">
        <f t="shared" si="0"/>
        <v>NÃO AVALIADO POR FALHA DE SINCRONISMO</v>
      </c>
      <c r="AH62" s="138" t="s">
        <v>207</v>
      </c>
      <c r="AI62" s="291" t="s">
        <v>36</v>
      </c>
      <c r="AJ62" s="291" t="str">
        <f t="shared" si="3"/>
        <v>SÃO PAULO</v>
      </c>
      <c r="AK62" s="292" t="s">
        <v>75</v>
      </c>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c r="DA62" s="11"/>
      <c r="DB62" s="11"/>
      <c r="DC62" s="11"/>
      <c r="DD62" s="11"/>
      <c r="DE62" s="11"/>
      <c r="DF62" s="11"/>
      <c r="DG62" s="11"/>
      <c r="DH62" s="11"/>
      <c r="DI62" s="11"/>
      <c r="DJ62" s="11"/>
      <c r="DK62" s="11"/>
      <c r="DL62" s="11"/>
      <c r="DM62" s="11"/>
      <c r="DN62" s="11"/>
      <c r="DO62" s="11"/>
      <c r="DP62" s="11"/>
      <c r="DQ62" s="11"/>
      <c r="DR62" s="11"/>
      <c r="DS62" s="11"/>
      <c r="DT62" s="11"/>
      <c r="DU62" s="11"/>
      <c r="DV62" s="11"/>
      <c r="DW62" s="11"/>
      <c r="DX62" s="11"/>
      <c r="DY62" s="11"/>
      <c r="DZ62" s="11"/>
      <c r="EA62" s="11"/>
      <c r="EB62" s="11"/>
      <c r="EC62" s="11"/>
      <c r="ED62" s="11"/>
      <c r="EE62" s="11"/>
      <c r="EF62" s="11"/>
      <c r="EG62" s="11"/>
      <c r="EH62" s="11"/>
      <c r="EI62" s="11"/>
      <c r="EJ62" s="11"/>
      <c r="EK62" s="11"/>
      <c r="EL62" s="11"/>
      <c r="EM62" s="11"/>
      <c r="EN62" s="11"/>
      <c r="EO62" s="11"/>
      <c r="EP62" s="11"/>
      <c r="EQ62" s="11"/>
      <c r="ER62" s="11"/>
      <c r="ES62" s="11"/>
      <c r="ET62" s="11"/>
      <c r="EU62" s="11"/>
      <c r="EV62" s="11"/>
      <c r="EW62" s="11"/>
      <c r="EX62" s="11"/>
      <c r="EY62" s="11"/>
      <c r="EZ62" s="11"/>
      <c r="FA62" s="11"/>
      <c r="FB62" s="11"/>
      <c r="FC62" s="11"/>
      <c r="FD62" s="11"/>
      <c r="FE62" s="11"/>
      <c r="FF62" s="11"/>
      <c r="FG62" s="11"/>
      <c r="FH62" s="11"/>
      <c r="FI62" s="11"/>
      <c r="FJ62" s="11"/>
      <c r="FK62" s="11"/>
      <c r="FL62" s="11"/>
      <c r="FM62" s="11"/>
      <c r="FN62" s="11"/>
      <c r="FO62" s="11"/>
      <c r="FP62" s="11"/>
      <c r="FQ62" s="11"/>
      <c r="FR62" s="11"/>
      <c r="FS62" s="11"/>
      <c r="FT62" s="11"/>
      <c r="FU62" s="11"/>
      <c r="FV62" s="11"/>
      <c r="FW62" s="11"/>
      <c r="FX62" s="11"/>
      <c r="FY62" s="11"/>
      <c r="FZ62" s="11"/>
      <c r="GA62" s="11"/>
      <c r="GB62" s="11"/>
      <c r="GC62" s="11"/>
      <c r="GD62" s="11"/>
      <c r="GE62" s="11"/>
      <c r="GF62" s="11"/>
      <c r="GG62" s="11"/>
      <c r="GH62" s="11"/>
      <c r="GI62" s="11"/>
      <c r="GJ62" s="11"/>
      <c r="GK62" s="11"/>
      <c r="GL62" s="11"/>
      <c r="GM62" s="11"/>
      <c r="GN62" s="11"/>
      <c r="GO62" s="11"/>
      <c r="GP62" s="11"/>
      <c r="GQ62" s="11"/>
      <c r="GR62" s="11"/>
      <c r="GS62" s="11"/>
      <c r="GT62" s="11"/>
      <c r="GU62" s="11"/>
      <c r="GV62" s="11"/>
      <c r="GW62" s="11"/>
      <c r="GX62" s="11"/>
      <c r="GY62" s="11"/>
      <c r="GZ62" s="11"/>
      <c r="HA62" s="11"/>
      <c r="HB62" s="11"/>
      <c r="HC62" s="11"/>
      <c r="HD62" s="11"/>
      <c r="HE62" s="11"/>
      <c r="HF62" s="11"/>
      <c r="HG62" s="11"/>
      <c r="HH62" s="11"/>
      <c r="HI62" s="11"/>
      <c r="HJ62" s="11"/>
    </row>
    <row r="63" spans="1:218" s="213" customFormat="1" ht="30" customHeight="1">
      <c r="A63" s="197" t="s">
        <v>198</v>
      </c>
      <c r="B63" s="212">
        <v>2618905130</v>
      </c>
      <c r="C63" s="197" t="s">
        <v>1592</v>
      </c>
      <c r="D63" s="197" t="s">
        <v>126</v>
      </c>
      <c r="E63" s="197" t="s">
        <v>35</v>
      </c>
      <c r="F63" s="197" t="s">
        <v>410</v>
      </c>
      <c r="G63" s="197">
        <v>85</v>
      </c>
      <c r="H63" s="197"/>
      <c r="I63" s="197" t="s">
        <v>411</v>
      </c>
      <c r="J63" s="197" t="s">
        <v>1593</v>
      </c>
      <c r="K63" s="197"/>
      <c r="L63" s="203">
        <v>46148.625</v>
      </c>
      <c r="M63" s="203">
        <v>46148.625694444447</v>
      </c>
      <c r="N63" s="197" t="s">
        <v>1565</v>
      </c>
      <c r="O63" s="201" t="s">
        <v>77</v>
      </c>
      <c r="P63" s="160"/>
      <c r="Q63" s="138" t="s">
        <v>77</v>
      </c>
      <c r="R63" s="54"/>
      <c r="S63" s="138" t="s">
        <v>77</v>
      </c>
      <c r="T63" s="54"/>
      <c r="U63" s="138" t="s">
        <v>77</v>
      </c>
      <c r="V63" s="54"/>
      <c r="W63" s="138" t="s">
        <v>77</v>
      </c>
      <c r="X63" s="54"/>
      <c r="Y63" s="138" t="s">
        <v>77</v>
      </c>
      <c r="Z63" s="54"/>
      <c r="AA63" s="138" t="s">
        <v>77</v>
      </c>
      <c r="AB63" s="54"/>
      <c r="AC63" s="138" t="s">
        <v>77</v>
      </c>
      <c r="AD63" s="54"/>
      <c r="AE63" s="138" t="s">
        <v>77</v>
      </c>
      <c r="AF63" s="137" t="str">
        <f t="shared" si="1"/>
        <v>NA</v>
      </c>
      <c r="AG63" s="288" t="str">
        <f t="shared" si="0"/>
        <v>NÃO AVALIADO POR FALHA DE SINCRONISMO</v>
      </c>
      <c r="AH63" s="138" t="s">
        <v>207</v>
      </c>
      <c r="AI63" s="291" t="s">
        <v>36</v>
      </c>
      <c r="AJ63" s="291" t="str">
        <f t="shared" si="3"/>
        <v>SÃO PAULO</v>
      </c>
      <c r="AK63" s="292" t="s">
        <v>75</v>
      </c>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c r="EL63" s="11"/>
      <c r="EM63" s="11"/>
      <c r="EN63" s="11"/>
      <c r="EO63" s="11"/>
      <c r="EP63" s="11"/>
      <c r="EQ63" s="11"/>
      <c r="ER63" s="11"/>
      <c r="ES63" s="11"/>
      <c r="ET63" s="11"/>
      <c r="EU63" s="11"/>
      <c r="EV63" s="11"/>
      <c r="EW63" s="11"/>
      <c r="EX63" s="11"/>
      <c r="EY63" s="11"/>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B63" s="11"/>
      <c r="GC63" s="11"/>
      <c r="GD63" s="11"/>
      <c r="GE63" s="11"/>
      <c r="GF63" s="11"/>
      <c r="GG63" s="11"/>
      <c r="GH63" s="11"/>
      <c r="GI63" s="11"/>
      <c r="GJ63" s="11"/>
      <c r="GK63" s="11"/>
      <c r="GL63" s="11"/>
      <c r="GM63" s="11"/>
      <c r="GN63" s="11"/>
      <c r="GO63" s="11"/>
      <c r="GP63" s="11"/>
      <c r="GQ63" s="11"/>
      <c r="GR63" s="11"/>
      <c r="GS63" s="11"/>
      <c r="GT63" s="11"/>
      <c r="GU63" s="11"/>
      <c r="GV63" s="11"/>
      <c r="GW63" s="11"/>
      <c r="GX63" s="11"/>
      <c r="GY63" s="11"/>
      <c r="GZ63" s="11"/>
      <c r="HA63" s="11"/>
      <c r="HB63" s="11"/>
      <c r="HC63" s="11"/>
      <c r="HD63" s="11"/>
      <c r="HE63" s="11"/>
      <c r="HF63" s="11"/>
      <c r="HG63" s="11"/>
      <c r="HH63" s="11"/>
      <c r="HI63" s="11"/>
      <c r="HJ63" s="11"/>
    </row>
    <row r="64" spans="1:218" s="213" customFormat="1" ht="30" customHeight="1">
      <c r="A64" s="197" t="s">
        <v>198</v>
      </c>
      <c r="B64" s="212">
        <v>2618905393</v>
      </c>
      <c r="C64" s="197" t="s">
        <v>1592</v>
      </c>
      <c r="D64" s="197" t="s">
        <v>126</v>
      </c>
      <c r="E64" s="197" t="s">
        <v>35</v>
      </c>
      <c r="F64" s="197" t="s">
        <v>410</v>
      </c>
      <c r="G64" s="197">
        <v>60</v>
      </c>
      <c r="H64" s="197" t="s">
        <v>200</v>
      </c>
      <c r="I64" s="197" t="s">
        <v>411</v>
      </c>
      <c r="J64" s="197" t="s">
        <v>1593</v>
      </c>
      <c r="K64" s="197" t="s">
        <v>200</v>
      </c>
      <c r="L64" s="203">
        <v>46148.666666666664</v>
      </c>
      <c r="M64" s="203">
        <v>46148.667361111111</v>
      </c>
      <c r="N64" s="197" t="s">
        <v>1565</v>
      </c>
      <c r="O64" s="201" t="s">
        <v>77</v>
      </c>
      <c r="P64" s="160"/>
      <c r="Q64" s="138" t="s">
        <v>77</v>
      </c>
      <c r="R64" s="54"/>
      <c r="S64" s="138" t="s">
        <v>77</v>
      </c>
      <c r="T64" s="54"/>
      <c r="U64" s="138" t="s">
        <v>77</v>
      </c>
      <c r="V64" s="54"/>
      <c r="W64" s="138" t="s">
        <v>77</v>
      </c>
      <c r="X64" s="54"/>
      <c r="Y64" s="138" t="s">
        <v>77</v>
      </c>
      <c r="Z64" s="54"/>
      <c r="AA64" s="138" t="s">
        <v>77</v>
      </c>
      <c r="AB64" s="54"/>
      <c r="AC64" s="138" t="s">
        <v>77</v>
      </c>
      <c r="AD64" s="54"/>
      <c r="AE64" s="138" t="s">
        <v>77</v>
      </c>
      <c r="AF64" s="137" t="str">
        <f t="shared" si="1"/>
        <v>NA</v>
      </c>
      <c r="AG64" s="288" t="str">
        <f t="shared" si="0"/>
        <v>NÃO AVALIADO POR FALHA DE SINCRONISMO</v>
      </c>
      <c r="AH64" s="138" t="s">
        <v>207</v>
      </c>
      <c r="AI64" s="291" t="s">
        <v>36</v>
      </c>
      <c r="AJ64" s="291" t="str">
        <f t="shared" si="3"/>
        <v>SÃO PAULO</v>
      </c>
      <c r="AK64" s="293" t="s">
        <v>75</v>
      </c>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U64" s="11"/>
      <c r="CV64" s="11"/>
      <c r="CW64" s="11"/>
      <c r="CX64" s="11"/>
      <c r="CY64" s="11"/>
      <c r="CZ64" s="11"/>
      <c r="DA64" s="11"/>
      <c r="DB64" s="11"/>
      <c r="DC64" s="11"/>
      <c r="DD64" s="11"/>
      <c r="DE64" s="11"/>
      <c r="DF64" s="11"/>
      <c r="DG64" s="11"/>
      <c r="DH64" s="11"/>
      <c r="DI64" s="11"/>
      <c r="DJ64" s="11"/>
      <c r="DK64" s="11"/>
      <c r="DL64" s="11"/>
      <c r="DM64" s="11"/>
      <c r="DN64" s="11"/>
      <c r="DO64" s="11"/>
      <c r="DP64" s="11"/>
      <c r="DQ64" s="11"/>
      <c r="DR64" s="11"/>
      <c r="DS64" s="11"/>
      <c r="DT64" s="11"/>
      <c r="DU64" s="11"/>
      <c r="DV64" s="11"/>
      <c r="DW64" s="11"/>
      <c r="DX64" s="11"/>
      <c r="DY64" s="11"/>
      <c r="DZ64" s="11"/>
      <c r="EA64" s="11"/>
      <c r="EB64" s="11"/>
      <c r="EC64" s="11"/>
      <c r="ED64" s="11"/>
      <c r="EE64" s="11"/>
      <c r="EF64" s="11"/>
      <c r="EG64" s="11"/>
      <c r="EH64" s="11"/>
      <c r="EI64" s="11"/>
      <c r="EJ64" s="11"/>
      <c r="EK64" s="11"/>
      <c r="EL64" s="11"/>
      <c r="EM64" s="11"/>
      <c r="EN64" s="11"/>
      <c r="EO64" s="11"/>
      <c r="EP64" s="11"/>
      <c r="EQ64" s="11"/>
      <c r="ER64" s="11"/>
      <c r="ES64" s="11"/>
      <c r="ET64" s="11"/>
      <c r="EU64" s="11"/>
      <c r="EV64" s="11"/>
      <c r="EW64" s="11"/>
      <c r="EX64" s="11"/>
      <c r="EY64" s="11"/>
      <c r="EZ64" s="11"/>
      <c r="FA64" s="11"/>
      <c r="FB64" s="11"/>
      <c r="FC64" s="11"/>
      <c r="FD64" s="11"/>
      <c r="FE64" s="11"/>
      <c r="FF64" s="11"/>
      <c r="FG64" s="11"/>
      <c r="FH64" s="11"/>
      <c r="FI64" s="11"/>
      <c r="FJ64" s="11"/>
      <c r="FK64" s="11"/>
      <c r="FL64" s="11"/>
      <c r="FM64" s="11"/>
      <c r="FN64" s="11"/>
      <c r="FO64" s="11"/>
      <c r="FP64" s="11"/>
      <c r="FQ64" s="11"/>
      <c r="FR64" s="11"/>
      <c r="FS64" s="11"/>
      <c r="FT64" s="11"/>
      <c r="FU64" s="11"/>
      <c r="FV64" s="11"/>
      <c r="FW64" s="11"/>
      <c r="FX64" s="11"/>
      <c r="FY64" s="11"/>
      <c r="FZ64" s="11"/>
      <c r="GA64" s="11"/>
      <c r="GB64" s="11"/>
      <c r="GC64" s="11"/>
      <c r="GD64" s="11"/>
      <c r="GE64" s="11"/>
      <c r="GF64" s="11"/>
      <c r="GG64" s="11"/>
      <c r="GH64" s="11"/>
      <c r="GI64" s="11"/>
      <c r="GJ64" s="11"/>
      <c r="GK64" s="11"/>
      <c r="GL64" s="11"/>
      <c r="GM64" s="11"/>
      <c r="GN64" s="11"/>
      <c r="GO64" s="11"/>
      <c r="GP64" s="11"/>
      <c r="GQ64" s="11"/>
      <c r="GR64" s="11"/>
      <c r="GS64" s="11"/>
      <c r="GT64" s="11"/>
      <c r="GU64" s="11"/>
      <c r="GV64" s="11"/>
      <c r="GW64" s="11"/>
      <c r="GX64" s="11"/>
      <c r="GY64" s="11"/>
      <c r="GZ64" s="11"/>
      <c r="HA64" s="11"/>
      <c r="HB64" s="11"/>
      <c r="HC64" s="11"/>
      <c r="HD64" s="11"/>
      <c r="HE64" s="11"/>
      <c r="HF64" s="11"/>
      <c r="HG64" s="11"/>
      <c r="HH64" s="11"/>
      <c r="HI64" s="11"/>
      <c r="HJ64" s="11"/>
    </row>
    <row r="65" spans="1:37" ht="30" customHeight="1">
      <c r="A65" s="197" t="s">
        <v>198</v>
      </c>
      <c r="B65" s="197">
        <v>2618905564</v>
      </c>
      <c r="C65" s="197" t="s">
        <v>1592</v>
      </c>
      <c r="D65" s="197" t="s">
        <v>126</v>
      </c>
      <c r="E65" s="197" t="s">
        <v>35</v>
      </c>
      <c r="F65" s="197" t="s">
        <v>746</v>
      </c>
      <c r="G65" s="197">
        <v>158</v>
      </c>
      <c r="H65" s="197" t="s">
        <v>208</v>
      </c>
      <c r="I65" s="197" t="s">
        <v>411</v>
      </c>
      <c r="J65" s="197" t="s">
        <v>1593</v>
      </c>
      <c r="K65" s="197" t="s">
        <v>1594</v>
      </c>
      <c r="L65" s="203">
        <v>46148.666666666664</v>
      </c>
      <c r="M65" s="203">
        <v>46148.667361111111</v>
      </c>
      <c r="N65" s="197" t="s">
        <v>1565</v>
      </c>
      <c r="O65" s="201" t="s">
        <v>77</v>
      </c>
      <c r="P65" s="160"/>
      <c r="Q65" s="138" t="s">
        <v>77</v>
      </c>
      <c r="R65" s="54"/>
      <c r="S65" s="138" t="s">
        <v>77</v>
      </c>
      <c r="T65" s="54"/>
      <c r="U65" s="138" t="s">
        <v>77</v>
      </c>
      <c r="V65" s="54"/>
      <c r="W65" s="138" t="s">
        <v>77</v>
      </c>
      <c r="X65" s="54"/>
      <c r="Y65" s="138" t="s">
        <v>77</v>
      </c>
      <c r="Z65" s="54"/>
      <c r="AA65" s="138" t="s">
        <v>77</v>
      </c>
      <c r="AB65" s="54"/>
      <c r="AC65" s="138" t="s">
        <v>77</v>
      </c>
      <c r="AD65" s="54"/>
      <c r="AE65" s="138" t="s">
        <v>77</v>
      </c>
      <c r="AF65" s="137" t="str">
        <f t="shared" si="1"/>
        <v>NA</v>
      </c>
      <c r="AG65" s="179" t="str">
        <f t="shared" si="0"/>
        <v>NÃO AVALIADO POR FALHA DE SINCRONISMO</v>
      </c>
      <c r="AH65" s="138" t="s">
        <v>207</v>
      </c>
      <c r="AI65" s="145" t="s">
        <v>36</v>
      </c>
      <c r="AJ65" s="145" t="str">
        <f t="shared" si="3"/>
        <v>SÃO PAULO</v>
      </c>
      <c r="AK65" s="146" t="s">
        <v>75</v>
      </c>
    </row>
    <row r="66" spans="1:37" ht="30" customHeight="1">
      <c r="A66" s="197" t="s">
        <v>198</v>
      </c>
      <c r="B66" s="197">
        <v>2618920120</v>
      </c>
      <c r="C66" s="197" t="s">
        <v>138</v>
      </c>
      <c r="D66" s="197" t="s">
        <v>124</v>
      </c>
      <c r="E66" s="197" t="s">
        <v>35</v>
      </c>
      <c r="F66" s="197" t="s">
        <v>1595</v>
      </c>
      <c r="G66" s="197">
        <v>110</v>
      </c>
      <c r="H66" s="197" t="s">
        <v>200</v>
      </c>
      <c r="I66" s="197" t="s">
        <v>1532</v>
      </c>
      <c r="J66" s="197" t="s">
        <v>1539</v>
      </c>
      <c r="K66" s="197" t="s">
        <v>200</v>
      </c>
      <c r="L66" s="203">
        <v>46149.419444444444</v>
      </c>
      <c r="M66" s="203">
        <v>46149.460416666669</v>
      </c>
      <c r="N66" s="197" t="s">
        <v>1546</v>
      </c>
      <c r="O66" s="201" t="s">
        <v>207</v>
      </c>
      <c r="P66" s="160"/>
      <c r="Q66" s="138" t="s">
        <v>215</v>
      </c>
      <c r="R66" s="54" t="s">
        <v>1550</v>
      </c>
      <c r="S66" s="138" t="s">
        <v>214</v>
      </c>
      <c r="T66" s="54"/>
      <c r="U66" s="138" t="s">
        <v>207</v>
      </c>
      <c r="V66" s="54"/>
      <c r="W66" s="138" t="s">
        <v>207</v>
      </c>
      <c r="X66" s="54"/>
      <c r="Y66" s="138" t="s">
        <v>77</v>
      </c>
      <c r="Z66" s="54"/>
      <c r="AA66" s="138" t="s">
        <v>207</v>
      </c>
      <c r="AB66" s="54"/>
      <c r="AC66" s="138" t="s">
        <v>215</v>
      </c>
      <c r="AD66" s="54" t="s">
        <v>1596</v>
      </c>
      <c r="AE66" s="138" t="s">
        <v>207</v>
      </c>
      <c r="AF66" s="137" t="str">
        <f t="shared" si="1"/>
        <v>NC</v>
      </c>
      <c r="AG66" s="179" t="str">
        <f t="shared" ref="AG66:AG129" si="4">IF(AND(AE66="C",AF66="C"),"UTILIZOU O PDA CORRETAMENTE",IF(AND(AE66="C",AF66="NC"),"UTILIZOU O PDA CORRETAMENTE. NÃO HÁ FOTOS DE TODAS AS ETAPAS",IF(AND(AE66="NC",AF66="NC"),"NÃO UTILIZOU O PDA",IF(AND(AE66="NA",AF66="NA"),"NÃO AVALIADO POR FALHA DE SINCRONISMO"))))</f>
        <v>UTILIZOU O PDA CORRETAMENTE. NÃO HÁ FOTOS DE TODAS AS ETAPAS</v>
      </c>
      <c r="AH66" s="138" t="s">
        <v>207</v>
      </c>
      <c r="AI66" s="145" t="s">
        <v>36</v>
      </c>
      <c r="AJ66" s="145" t="str">
        <f t="shared" si="3"/>
        <v>SÃO PAULO</v>
      </c>
      <c r="AK66" s="59" t="s">
        <v>75</v>
      </c>
    </row>
    <row r="67" spans="1:37" ht="30" customHeight="1">
      <c r="A67" s="197" t="s">
        <v>198</v>
      </c>
      <c r="B67" s="197">
        <v>2618740811</v>
      </c>
      <c r="C67" s="197" t="s">
        <v>135</v>
      </c>
      <c r="D67" s="197" t="s">
        <v>125</v>
      </c>
      <c r="E67" s="197" t="s">
        <v>35</v>
      </c>
      <c r="F67" s="197" t="s">
        <v>543</v>
      </c>
      <c r="G67" s="197">
        <v>115</v>
      </c>
      <c r="H67" s="197"/>
      <c r="I67" s="197" t="s">
        <v>300</v>
      </c>
      <c r="J67" s="197" t="s">
        <v>135</v>
      </c>
      <c r="K67" s="197"/>
      <c r="L67" s="203">
        <v>46149.595138888886</v>
      </c>
      <c r="M67" s="203">
        <v>46149.718055555553</v>
      </c>
      <c r="N67" s="197" t="s">
        <v>1524</v>
      </c>
      <c r="O67" s="201" t="s">
        <v>207</v>
      </c>
      <c r="P67" s="160"/>
      <c r="Q67" s="138" t="s">
        <v>207</v>
      </c>
      <c r="R67" s="54"/>
      <c r="S67" s="138" t="s">
        <v>207</v>
      </c>
      <c r="T67" s="54"/>
      <c r="U67" s="138" t="s">
        <v>207</v>
      </c>
      <c r="V67" s="54"/>
      <c r="W67" s="138" t="s">
        <v>207</v>
      </c>
      <c r="X67" s="54"/>
      <c r="Y67" s="138" t="s">
        <v>207</v>
      </c>
      <c r="Z67" s="54"/>
      <c r="AA67" s="138" t="s">
        <v>207</v>
      </c>
      <c r="AB67" s="54"/>
      <c r="AC67" s="138" t="s">
        <v>215</v>
      </c>
      <c r="AD67" s="54" t="s">
        <v>1545</v>
      </c>
      <c r="AE67" s="138" t="s">
        <v>207</v>
      </c>
      <c r="AF67" s="137" t="str">
        <f t="shared" ref="AF67:AF130" si="5">IF(AND(O67="",Q67="",S67="",U67="",W67="",Y67="",AA67="",AC67=""),"",IF(OR(AND(O67&lt;&gt;"NA",O67&lt;&gt;"C",O67&lt;&gt;"NC",O67&lt;&gt;"SF",O67&lt;&gt;""),AND(Q67&lt;&gt;"NA",Q67&lt;&gt;"C",Q67&lt;&gt;"NC",Q67&lt;&gt;"SF",Q67&lt;&gt;""),AND(S67&lt;&gt;"NA",S67&lt;&gt;"C",S67&lt;&gt;"NC",S67&lt;&gt;"SF",S67&lt;&gt;""),AND(U67&lt;&gt;"NA",U67&lt;&gt;"C",U67&lt;&gt;"NC",U67&lt;&gt;"SF",U67&lt;&gt;""),AND(W67&lt;&gt;"NA",W67&lt;&gt;"C",W67&lt;&gt;"NC",W67&lt;&gt;"SF",W67&lt;&gt;""),AND(Y67&lt;&gt;"NA",Y67&lt;&gt;"C",Y67&lt;&gt;"NC",Y67&lt;&gt;"SF",Y67&lt;&gt;""),AND(AA67&lt;&gt;"NA",AA67&lt;&gt;"C",AA67&lt;&gt;"NC",AA67&lt;&gt;"SF",AA67&lt;&gt;""),AND(AC67&lt;&gt;"NA",AC67&lt;&gt;"C",AC67&lt;&gt;"NC",AC67&lt;&gt;"SF",AC67&lt;&gt;"")),"FALSO",IF(AND(O67="NA",Q67="NA",S67="NA",U67="NA",W67="NA",Y67="NA",AA67="NA",AC67="NA"),"NA",IF(OR(O67="NC",Q67="NC",S67="NC",U67="NC",W67="NC",Y67="NC",AA67="NC",AC67="NC",O67="SF",Q67="SF",S67="SF",U67="SF",W67="SF",Y67="SF",AA67="SF",AC67="SF"),"NC",IF(OR(O67="C",Q67="C",S67="C",U67="C",W67="C",Y67="C",AA67="C",AC67="C"),"C","")))))</f>
        <v>NC</v>
      </c>
      <c r="AG67" s="179" t="str">
        <f t="shared" si="4"/>
        <v>UTILIZOU O PDA CORRETAMENTE. NÃO HÁ FOTOS DE TODAS AS ETAPAS</v>
      </c>
      <c r="AH67" s="138" t="s">
        <v>207</v>
      </c>
      <c r="AI67" s="145" t="s">
        <v>36</v>
      </c>
      <c r="AJ67" s="145" t="str">
        <f t="shared" si="3"/>
        <v>SÃO PAULO</v>
      </c>
      <c r="AK67" s="59" t="s">
        <v>75</v>
      </c>
    </row>
    <row r="68" spans="1:37" ht="30" customHeight="1">
      <c r="A68" s="197" t="s">
        <v>198</v>
      </c>
      <c r="B68" s="197">
        <v>2618717529</v>
      </c>
      <c r="C68" s="197" t="s">
        <v>136</v>
      </c>
      <c r="D68" s="197" t="s">
        <v>127</v>
      </c>
      <c r="E68" s="197" t="s">
        <v>35</v>
      </c>
      <c r="F68" s="197" t="s">
        <v>519</v>
      </c>
      <c r="G68" s="197">
        <v>10</v>
      </c>
      <c r="H68" s="197" t="s">
        <v>208</v>
      </c>
      <c r="I68" s="197" t="s">
        <v>338</v>
      </c>
      <c r="J68" s="197" t="s">
        <v>1553</v>
      </c>
      <c r="K68" s="197" t="s">
        <v>1597</v>
      </c>
      <c r="L68" s="203">
        <v>46149.444444444445</v>
      </c>
      <c r="M68" s="203">
        <v>46149.464583333334</v>
      </c>
      <c r="N68" s="197" t="s">
        <v>309</v>
      </c>
      <c r="O68" s="201" t="s">
        <v>207</v>
      </c>
      <c r="P68" s="60"/>
      <c r="Q68" s="138" t="s">
        <v>207</v>
      </c>
      <c r="R68" s="57"/>
      <c r="S68" s="138" t="s">
        <v>77</v>
      </c>
      <c r="T68" s="57"/>
      <c r="U68" s="138" t="s">
        <v>77</v>
      </c>
      <c r="V68" s="57"/>
      <c r="W68" s="138" t="s">
        <v>77</v>
      </c>
      <c r="X68" s="57"/>
      <c r="Y68" s="138" t="s">
        <v>77</v>
      </c>
      <c r="Z68" s="57"/>
      <c r="AA68" s="138" t="s">
        <v>77</v>
      </c>
      <c r="AB68" s="57"/>
      <c r="AC68" s="138" t="s">
        <v>207</v>
      </c>
      <c r="AD68" s="57"/>
      <c r="AE68" s="138" t="s">
        <v>207</v>
      </c>
      <c r="AF68" s="137" t="str">
        <f t="shared" si="5"/>
        <v>C</v>
      </c>
      <c r="AG68" s="179" t="str">
        <f t="shared" si="4"/>
        <v>UTILIZOU O PDA CORRETAMENTE</v>
      </c>
      <c r="AH68" s="138"/>
      <c r="AI68" s="145" t="s">
        <v>36</v>
      </c>
      <c r="AJ68" s="145" t="str">
        <f t="shared" si="3"/>
        <v>SÃO PAULO</v>
      </c>
      <c r="AK68" s="59" t="s">
        <v>75</v>
      </c>
    </row>
    <row r="69" spans="1:37" ht="30" customHeight="1">
      <c r="A69" s="197" t="s">
        <v>198</v>
      </c>
      <c r="B69" s="197">
        <v>2618887480</v>
      </c>
      <c r="C69" s="197" t="s">
        <v>136</v>
      </c>
      <c r="D69" s="197" t="s">
        <v>127</v>
      </c>
      <c r="E69" s="197" t="s">
        <v>35</v>
      </c>
      <c r="F69" s="197" t="s">
        <v>577</v>
      </c>
      <c r="G69" s="197">
        <v>266</v>
      </c>
      <c r="H69" s="197" t="s">
        <v>491</v>
      </c>
      <c r="I69" s="197" t="s">
        <v>433</v>
      </c>
      <c r="J69" s="197" t="s">
        <v>1598</v>
      </c>
      <c r="K69" s="197"/>
      <c r="L69" s="203">
        <v>46149.609027777777</v>
      </c>
      <c r="M69" s="203">
        <v>46149.61041666667</v>
      </c>
      <c r="N69" s="197" t="s">
        <v>309</v>
      </c>
      <c r="O69" s="201" t="s">
        <v>207</v>
      </c>
      <c r="P69" s="9"/>
      <c r="Q69" s="138" t="s">
        <v>207</v>
      </c>
      <c r="R69" s="90"/>
      <c r="S69" s="138" t="s">
        <v>77</v>
      </c>
      <c r="T69" s="90"/>
      <c r="U69" s="138" t="s">
        <v>77</v>
      </c>
      <c r="V69" s="90"/>
      <c r="W69" s="138" t="s">
        <v>77</v>
      </c>
      <c r="X69" s="90"/>
      <c r="Y69" s="138" t="s">
        <v>77</v>
      </c>
      <c r="Z69" s="90"/>
      <c r="AA69" s="138" t="s">
        <v>77</v>
      </c>
      <c r="AB69" s="90"/>
      <c r="AC69" s="138" t="s">
        <v>215</v>
      </c>
      <c r="AD69" s="90" t="s">
        <v>1545</v>
      </c>
      <c r="AE69" s="138" t="s">
        <v>207</v>
      </c>
      <c r="AF69" s="137" t="str">
        <f t="shared" si="5"/>
        <v>NC</v>
      </c>
      <c r="AG69" s="179" t="str">
        <f t="shared" si="4"/>
        <v>UTILIZOU O PDA CORRETAMENTE. NÃO HÁ FOTOS DE TODAS AS ETAPAS</v>
      </c>
      <c r="AH69" s="138" t="s">
        <v>207</v>
      </c>
      <c r="AI69" s="147" t="s">
        <v>36</v>
      </c>
      <c r="AJ69" s="145" t="str">
        <f t="shared" si="3"/>
        <v>SÃO PAULO</v>
      </c>
      <c r="AK69" s="148" t="s">
        <v>75</v>
      </c>
    </row>
    <row r="70" spans="1:37" ht="30" customHeight="1">
      <c r="A70" s="197" t="s">
        <v>198</v>
      </c>
      <c r="B70" s="197">
        <v>2618904865</v>
      </c>
      <c r="C70" s="197" t="s">
        <v>1599</v>
      </c>
      <c r="D70" s="197" t="s">
        <v>127</v>
      </c>
      <c r="E70" s="197" t="s">
        <v>35</v>
      </c>
      <c r="F70" s="197" t="s">
        <v>410</v>
      </c>
      <c r="G70" s="197">
        <v>107</v>
      </c>
      <c r="H70" s="197" t="s">
        <v>200</v>
      </c>
      <c r="I70" s="197" t="s">
        <v>411</v>
      </c>
      <c r="J70" s="197" t="s">
        <v>1600</v>
      </c>
      <c r="K70" s="197" t="s">
        <v>200</v>
      </c>
      <c r="L70" s="203">
        <v>46150.5</v>
      </c>
      <c r="M70" s="203">
        <v>46150.500694444447</v>
      </c>
      <c r="N70" s="197" t="s">
        <v>1572</v>
      </c>
      <c r="O70" s="201" t="s">
        <v>77</v>
      </c>
      <c r="P70" s="9"/>
      <c r="Q70" s="138" t="s">
        <v>77</v>
      </c>
      <c r="R70" s="90"/>
      <c r="S70" s="138" t="s">
        <v>77</v>
      </c>
      <c r="T70" s="90"/>
      <c r="U70" s="138" t="s">
        <v>77</v>
      </c>
      <c r="V70" s="90"/>
      <c r="W70" s="138" t="s">
        <v>77</v>
      </c>
      <c r="X70" s="90"/>
      <c r="Y70" s="138" t="s">
        <v>77</v>
      </c>
      <c r="Z70" s="90"/>
      <c r="AA70" s="138" t="s">
        <v>77</v>
      </c>
      <c r="AB70" s="90"/>
      <c r="AC70" s="138" t="s">
        <v>77</v>
      </c>
      <c r="AD70" s="90"/>
      <c r="AE70" s="138" t="s">
        <v>77</v>
      </c>
      <c r="AF70" s="137" t="str">
        <f t="shared" si="5"/>
        <v>NA</v>
      </c>
      <c r="AG70" s="179" t="str">
        <f t="shared" si="4"/>
        <v>NÃO AVALIADO POR FALHA DE SINCRONISMO</v>
      </c>
      <c r="AH70" s="138" t="s">
        <v>207</v>
      </c>
      <c r="AI70" s="147" t="s">
        <v>36</v>
      </c>
      <c r="AJ70" s="145" t="str">
        <f t="shared" si="3"/>
        <v>SÃO PAULO</v>
      </c>
      <c r="AK70" s="148" t="s">
        <v>75</v>
      </c>
    </row>
    <row r="71" spans="1:37" ht="30" customHeight="1">
      <c r="A71" s="197" t="s">
        <v>198</v>
      </c>
      <c r="B71" s="197">
        <v>2619154571</v>
      </c>
      <c r="C71" s="197" t="s">
        <v>1569</v>
      </c>
      <c r="D71" s="197" t="s">
        <v>127</v>
      </c>
      <c r="E71" s="197" t="s">
        <v>35</v>
      </c>
      <c r="F71" s="197" t="s">
        <v>1601</v>
      </c>
      <c r="G71" s="197">
        <v>320</v>
      </c>
      <c r="H71" s="197"/>
      <c r="I71" s="197" t="s">
        <v>253</v>
      </c>
      <c r="J71" s="197" t="s">
        <v>1570</v>
      </c>
      <c r="K71" s="204" t="s">
        <v>1602</v>
      </c>
      <c r="L71" s="203">
        <v>46151.038888888892</v>
      </c>
      <c r="M71" s="203">
        <v>46151.041666666664</v>
      </c>
      <c r="N71" s="197" t="s">
        <v>1572</v>
      </c>
      <c r="O71" s="201" t="s">
        <v>215</v>
      </c>
      <c r="P71" s="9" t="s">
        <v>227</v>
      </c>
      <c r="Q71" s="201" t="s">
        <v>215</v>
      </c>
      <c r="R71" s="9" t="s">
        <v>227</v>
      </c>
      <c r="S71" s="201" t="s">
        <v>215</v>
      </c>
      <c r="T71" s="9" t="s">
        <v>227</v>
      </c>
      <c r="U71" s="201" t="s">
        <v>215</v>
      </c>
      <c r="V71" s="90" t="s">
        <v>227</v>
      </c>
      <c r="W71" s="201" t="s">
        <v>215</v>
      </c>
      <c r="X71" s="90" t="s">
        <v>227</v>
      </c>
      <c r="Y71" s="201" t="s">
        <v>215</v>
      </c>
      <c r="Z71" s="90" t="s">
        <v>227</v>
      </c>
      <c r="AA71" s="201" t="s">
        <v>215</v>
      </c>
      <c r="AB71" s="90" t="s">
        <v>227</v>
      </c>
      <c r="AC71" s="201" t="s">
        <v>215</v>
      </c>
      <c r="AD71" s="90" t="s">
        <v>227</v>
      </c>
      <c r="AE71" s="201" t="s">
        <v>215</v>
      </c>
      <c r="AF71" s="137" t="str">
        <f t="shared" si="5"/>
        <v>NC</v>
      </c>
      <c r="AG71" s="179" t="str">
        <f t="shared" si="4"/>
        <v>NÃO UTILIZOU O PDA</v>
      </c>
      <c r="AH71" s="138"/>
      <c r="AI71" s="147" t="s">
        <v>36</v>
      </c>
      <c r="AJ71" s="145" t="str">
        <f t="shared" si="3"/>
        <v>SÃO PAULO</v>
      </c>
      <c r="AK71" s="148" t="s">
        <v>75</v>
      </c>
    </row>
    <row r="72" spans="1:37" ht="30" customHeight="1">
      <c r="A72" s="197" t="s">
        <v>198</v>
      </c>
      <c r="B72" s="197">
        <v>2619155089</v>
      </c>
      <c r="C72" s="197" t="s">
        <v>1569</v>
      </c>
      <c r="D72" s="197" t="s">
        <v>127</v>
      </c>
      <c r="E72" s="197" t="s">
        <v>35</v>
      </c>
      <c r="F72" s="197" t="s">
        <v>1551</v>
      </c>
      <c r="G72" s="197">
        <v>518</v>
      </c>
      <c r="H72" s="197" t="s">
        <v>200</v>
      </c>
      <c r="I72" s="197" t="s">
        <v>290</v>
      </c>
      <c r="J72" s="197" t="s">
        <v>1570</v>
      </c>
      <c r="K72" s="204" t="s">
        <v>1603</v>
      </c>
      <c r="L72" s="203">
        <v>46149.465277777781</v>
      </c>
      <c r="M72" s="203">
        <v>46149.479166666664</v>
      </c>
      <c r="N72" s="197" t="s">
        <v>1572</v>
      </c>
      <c r="O72" s="201" t="s">
        <v>207</v>
      </c>
      <c r="P72" s="9"/>
      <c r="Q72" s="138" t="s">
        <v>215</v>
      </c>
      <c r="R72" s="90" t="s">
        <v>1604</v>
      </c>
      <c r="S72" s="138" t="s">
        <v>77</v>
      </c>
      <c r="T72" s="90"/>
      <c r="U72" s="138" t="s">
        <v>77</v>
      </c>
      <c r="V72" s="90"/>
      <c r="W72" s="138" t="s">
        <v>77</v>
      </c>
      <c r="X72" s="90"/>
      <c r="Y72" s="138" t="s">
        <v>77</v>
      </c>
      <c r="Z72" s="90"/>
      <c r="AA72" s="138" t="s">
        <v>77</v>
      </c>
      <c r="AB72" s="90"/>
      <c r="AC72" s="138" t="s">
        <v>207</v>
      </c>
      <c r="AD72" s="90"/>
      <c r="AE72" s="138" t="s">
        <v>207</v>
      </c>
      <c r="AF72" s="137" t="str">
        <f t="shared" si="5"/>
        <v>NC</v>
      </c>
      <c r="AG72" s="179" t="str">
        <f t="shared" si="4"/>
        <v>UTILIZOU O PDA CORRETAMENTE. NÃO HÁ FOTOS DE TODAS AS ETAPAS</v>
      </c>
      <c r="AH72" s="138"/>
      <c r="AI72" s="147" t="s">
        <v>36</v>
      </c>
      <c r="AJ72" s="145" t="str">
        <f t="shared" si="3"/>
        <v>SÃO PAULO</v>
      </c>
      <c r="AK72" s="148" t="s">
        <v>75</v>
      </c>
    </row>
    <row r="73" spans="1:37" ht="30" customHeight="1">
      <c r="A73" s="197" t="s">
        <v>198</v>
      </c>
      <c r="B73" s="197">
        <v>2619154638</v>
      </c>
      <c r="C73" s="197" t="s">
        <v>1569</v>
      </c>
      <c r="D73" s="197" t="s">
        <v>127</v>
      </c>
      <c r="E73" s="197" t="s">
        <v>35</v>
      </c>
      <c r="F73" s="197" t="s">
        <v>375</v>
      </c>
      <c r="G73" s="197">
        <v>853</v>
      </c>
      <c r="H73" s="197"/>
      <c r="I73" s="197" t="s">
        <v>376</v>
      </c>
      <c r="J73" s="197" t="s">
        <v>1570</v>
      </c>
      <c r="K73" s="204" t="s">
        <v>1581</v>
      </c>
      <c r="L73" s="203">
        <v>46149.45</v>
      </c>
      <c r="M73" s="203">
        <v>46149.461111111108</v>
      </c>
      <c r="N73" s="197" t="s">
        <v>1572</v>
      </c>
      <c r="O73" s="201" t="s">
        <v>207</v>
      </c>
      <c r="P73" s="9"/>
      <c r="Q73" s="140" t="s">
        <v>214</v>
      </c>
      <c r="R73" s="90"/>
      <c r="S73" s="140" t="s">
        <v>77</v>
      </c>
      <c r="T73" s="90"/>
      <c r="U73" s="140" t="s">
        <v>77</v>
      </c>
      <c r="V73" s="90"/>
      <c r="W73" s="140" t="s">
        <v>77</v>
      </c>
      <c r="X73" s="90"/>
      <c r="Y73" s="140" t="s">
        <v>77</v>
      </c>
      <c r="Z73" s="90"/>
      <c r="AA73" s="140" t="s">
        <v>77</v>
      </c>
      <c r="AB73" s="90"/>
      <c r="AC73" s="140" t="s">
        <v>207</v>
      </c>
      <c r="AD73" s="90"/>
      <c r="AE73" s="140" t="s">
        <v>207</v>
      </c>
      <c r="AF73" s="137" t="str">
        <f t="shared" si="5"/>
        <v>NC</v>
      </c>
      <c r="AG73" s="179" t="str">
        <f t="shared" si="4"/>
        <v>UTILIZOU O PDA CORRETAMENTE. NÃO HÁ FOTOS DE TODAS AS ETAPAS</v>
      </c>
      <c r="AH73" s="140"/>
      <c r="AI73" s="147" t="s">
        <v>36</v>
      </c>
      <c r="AJ73" s="145" t="str">
        <f t="shared" si="3"/>
        <v>SÃO PAULO</v>
      </c>
      <c r="AK73" s="148" t="s">
        <v>75</v>
      </c>
    </row>
    <row r="74" spans="1:37" ht="30" customHeight="1">
      <c r="A74" s="197" t="s">
        <v>198</v>
      </c>
      <c r="B74" s="197">
        <v>2619158841</v>
      </c>
      <c r="C74" s="197" t="s">
        <v>136</v>
      </c>
      <c r="D74" s="197" t="s">
        <v>127</v>
      </c>
      <c r="E74" s="197" t="s">
        <v>35</v>
      </c>
      <c r="F74" s="197" t="s">
        <v>1605</v>
      </c>
      <c r="G74" s="197">
        <v>7</v>
      </c>
      <c r="H74" s="197" t="s">
        <v>401</v>
      </c>
      <c r="I74" s="197" t="s">
        <v>497</v>
      </c>
      <c r="J74" s="197" t="s">
        <v>1525</v>
      </c>
      <c r="K74" s="197" t="s">
        <v>200</v>
      </c>
      <c r="L74" s="203">
        <v>46149.595833333333</v>
      </c>
      <c r="M74" s="203">
        <v>46149.636805555558</v>
      </c>
      <c r="N74" s="197" t="s">
        <v>203</v>
      </c>
      <c r="O74" s="201" t="s">
        <v>207</v>
      </c>
      <c r="P74" s="9"/>
      <c r="Q74" s="140" t="s">
        <v>215</v>
      </c>
      <c r="R74" s="90" t="s">
        <v>1606</v>
      </c>
      <c r="S74" s="140" t="s">
        <v>77</v>
      </c>
      <c r="T74" s="90"/>
      <c r="U74" s="140" t="s">
        <v>207</v>
      </c>
      <c r="V74" s="90"/>
      <c r="W74" s="140" t="s">
        <v>77</v>
      </c>
      <c r="X74" s="90"/>
      <c r="Y74" s="140" t="s">
        <v>77</v>
      </c>
      <c r="Z74" s="90"/>
      <c r="AA74" s="140" t="s">
        <v>77</v>
      </c>
      <c r="AB74" s="90"/>
      <c r="AC74" s="140" t="s">
        <v>215</v>
      </c>
      <c r="AD74" s="90" t="s">
        <v>298</v>
      </c>
      <c r="AE74" s="140" t="s">
        <v>207</v>
      </c>
      <c r="AF74" s="137" t="str">
        <f t="shared" si="5"/>
        <v>NC</v>
      </c>
      <c r="AG74" s="179" t="str">
        <f t="shared" si="4"/>
        <v>UTILIZOU O PDA CORRETAMENTE. NÃO HÁ FOTOS DE TODAS AS ETAPAS</v>
      </c>
      <c r="AH74" s="140" t="s">
        <v>207</v>
      </c>
      <c r="AI74" s="147" t="s">
        <v>36</v>
      </c>
      <c r="AJ74" s="145" t="str">
        <f t="shared" si="3"/>
        <v>SÃO PAULO</v>
      </c>
      <c r="AK74" s="148" t="s">
        <v>75</v>
      </c>
    </row>
    <row r="75" spans="1:37" ht="30" customHeight="1">
      <c r="A75" s="197" t="s">
        <v>198</v>
      </c>
      <c r="B75" s="197">
        <v>2619150849</v>
      </c>
      <c r="C75" s="197" t="s">
        <v>137</v>
      </c>
      <c r="D75" s="197" t="s">
        <v>126</v>
      </c>
      <c r="E75" s="197" t="s">
        <v>35</v>
      </c>
      <c r="F75" s="197" t="s">
        <v>1607</v>
      </c>
      <c r="G75" s="197">
        <v>0</v>
      </c>
      <c r="H75" s="197"/>
      <c r="I75" s="197" t="s">
        <v>510</v>
      </c>
      <c r="J75" s="197" t="s">
        <v>1526</v>
      </c>
      <c r="K75" s="197" t="s">
        <v>1608</v>
      </c>
      <c r="L75" s="203">
        <v>46149.587500000001</v>
      </c>
      <c r="M75" s="203">
        <v>46149.59097222222</v>
      </c>
      <c r="N75" s="197" t="s">
        <v>1524</v>
      </c>
      <c r="O75" s="201" t="s">
        <v>77</v>
      </c>
      <c r="P75" s="9"/>
      <c r="Q75" s="140" t="s">
        <v>77</v>
      </c>
      <c r="R75" s="90"/>
      <c r="S75" s="140" t="s">
        <v>77</v>
      </c>
      <c r="T75" s="90"/>
      <c r="U75" s="140" t="s">
        <v>77</v>
      </c>
      <c r="V75" s="90"/>
      <c r="W75" s="140" t="s">
        <v>77</v>
      </c>
      <c r="X75" s="90"/>
      <c r="Y75" s="140" t="s">
        <v>77</v>
      </c>
      <c r="Z75" s="90"/>
      <c r="AA75" s="140" t="s">
        <v>77</v>
      </c>
      <c r="AB75" s="90"/>
      <c r="AC75" s="140" t="s">
        <v>77</v>
      </c>
      <c r="AD75" s="90"/>
      <c r="AE75" s="140" t="s">
        <v>77</v>
      </c>
      <c r="AF75" s="137" t="str">
        <f t="shared" si="5"/>
        <v>NA</v>
      </c>
      <c r="AG75" s="179" t="str">
        <f t="shared" si="4"/>
        <v>NÃO AVALIADO POR FALHA DE SINCRONISMO</v>
      </c>
      <c r="AH75" s="140" t="s">
        <v>207</v>
      </c>
      <c r="AI75" s="147" t="s">
        <v>36</v>
      </c>
      <c r="AJ75" s="145" t="str">
        <f t="shared" si="3"/>
        <v>SÃO PAULO</v>
      </c>
      <c r="AK75" s="148" t="s">
        <v>75</v>
      </c>
    </row>
    <row r="76" spans="1:37" ht="30" customHeight="1">
      <c r="A76" s="197" t="s">
        <v>198</v>
      </c>
      <c r="B76" s="197">
        <v>2619135366</v>
      </c>
      <c r="C76" s="197" t="s">
        <v>138</v>
      </c>
      <c r="D76" s="197" t="s">
        <v>124</v>
      </c>
      <c r="E76" s="197" t="s">
        <v>35</v>
      </c>
      <c r="F76" s="197" t="s">
        <v>998</v>
      </c>
      <c r="G76" s="197">
        <v>63</v>
      </c>
      <c r="H76" s="197" t="s">
        <v>208</v>
      </c>
      <c r="I76" s="197" t="s">
        <v>515</v>
      </c>
      <c r="J76" s="197" t="s">
        <v>1539</v>
      </c>
      <c r="K76" s="204" t="s">
        <v>1609</v>
      </c>
      <c r="L76" s="203">
        <v>46149.568055555559</v>
      </c>
      <c r="M76" s="203">
        <v>46149.599305555559</v>
      </c>
      <c r="N76" s="197" t="s">
        <v>1546</v>
      </c>
      <c r="O76" s="201" t="s">
        <v>207</v>
      </c>
      <c r="P76" s="9"/>
      <c r="Q76" s="140" t="s">
        <v>215</v>
      </c>
      <c r="R76" s="90"/>
      <c r="S76" s="140" t="s">
        <v>214</v>
      </c>
      <c r="T76" s="90"/>
      <c r="U76" s="140" t="s">
        <v>215</v>
      </c>
      <c r="V76" s="90" t="s">
        <v>236</v>
      </c>
      <c r="W76" s="140" t="s">
        <v>214</v>
      </c>
      <c r="X76" s="90"/>
      <c r="Y76" s="140" t="s">
        <v>214</v>
      </c>
      <c r="Z76" s="90"/>
      <c r="AA76" s="140" t="s">
        <v>214</v>
      </c>
      <c r="AB76" s="90"/>
      <c r="AC76" s="140" t="s">
        <v>215</v>
      </c>
      <c r="AD76" s="90" t="s">
        <v>298</v>
      </c>
      <c r="AE76" s="140" t="s">
        <v>207</v>
      </c>
      <c r="AF76" s="137" t="str">
        <f t="shared" si="5"/>
        <v>NC</v>
      </c>
      <c r="AG76" s="179" t="str">
        <f t="shared" si="4"/>
        <v>UTILIZOU O PDA CORRETAMENTE. NÃO HÁ FOTOS DE TODAS AS ETAPAS</v>
      </c>
      <c r="AH76" s="140" t="s">
        <v>207</v>
      </c>
      <c r="AI76" s="147" t="s">
        <v>36</v>
      </c>
      <c r="AJ76" s="145" t="str">
        <f t="shared" si="3"/>
        <v>SÃO PAULO</v>
      </c>
      <c r="AK76" s="148" t="s">
        <v>75</v>
      </c>
    </row>
    <row r="77" spans="1:37" ht="30" customHeight="1">
      <c r="A77" s="197" t="s">
        <v>198</v>
      </c>
      <c r="B77" s="197">
        <v>2618753465</v>
      </c>
      <c r="C77" s="197" t="s">
        <v>138</v>
      </c>
      <c r="D77" s="197" t="s">
        <v>124</v>
      </c>
      <c r="E77" s="197" t="s">
        <v>35</v>
      </c>
      <c r="F77" s="197" t="s">
        <v>1610</v>
      </c>
      <c r="G77" s="197">
        <v>20</v>
      </c>
      <c r="H77" s="197"/>
      <c r="I77" s="197" t="s">
        <v>1611</v>
      </c>
      <c r="J77" s="197" t="s">
        <v>1539</v>
      </c>
      <c r="K77" s="197"/>
      <c r="L77" s="203">
        <v>46149.298611111109</v>
      </c>
      <c r="M77" s="203">
        <v>46149.299305555556</v>
      </c>
      <c r="N77" s="197" t="s">
        <v>465</v>
      </c>
      <c r="O77" s="201" t="s">
        <v>77</v>
      </c>
      <c r="P77" s="9"/>
      <c r="Q77" s="140" t="s">
        <v>77</v>
      </c>
      <c r="R77" s="90"/>
      <c r="S77" s="140" t="s">
        <v>77</v>
      </c>
      <c r="T77" s="90"/>
      <c r="U77" s="140" t="s">
        <v>77</v>
      </c>
      <c r="V77" s="90"/>
      <c r="W77" s="140" t="s">
        <v>77</v>
      </c>
      <c r="X77" s="90"/>
      <c r="Y77" s="140" t="s">
        <v>77</v>
      </c>
      <c r="Z77" s="90"/>
      <c r="AA77" s="140" t="s">
        <v>77</v>
      </c>
      <c r="AB77" s="90"/>
      <c r="AC77" s="140" t="s">
        <v>77</v>
      </c>
      <c r="AD77" s="90"/>
      <c r="AE77" s="140" t="s">
        <v>77</v>
      </c>
      <c r="AF77" s="137" t="str">
        <f t="shared" si="5"/>
        <v>NA</v>
      </c>
      <c r="AG77" s="179" t="str">
        <f t="shared" si="4"/>
        <v>NÃO AVALIADO POR FALHA DE SINCRONISMO</v>
      </c>
      <c r="AH77" s="140" t="s">
        <v>207</v>
      </c>
      <c r="AI77" s="147" t="s">
        <v>36</v>
      </c>
      <c r="AJ77" s="145" t="str">
        <f t="shared" si="3"/>
        <v>SÃO PAULO</v>
      </c>
      <c r="AK77" s="148" t="s">
        <v>75</v>
      </c>
    </row>
    <row r="78" spans="1:37" ht="30" customHeight="1">
      <c r="A78" s="197" t="s">
        <v>198</v>
      </c>
      <c r="B78" s="197">
        <v>2618900666</v>
      </c>
      <c r="C78" s="197" t="s">
        <v>1612</v>
      </c>
      <c r="D78" s="197" t="s">
        <v>127</v>
      </c>
      <c r="E78" s="197" t="s">
        <v>35</v>
      </c>
      <c r="F78" s="197" t="s">
        <v>1610</v>
      </c>
      <c r="G78" s="197">
        <v>21</v>
      </c>
      <c r="H78" s="197" t="s">
        <v>200</v>
      </c>
      <c r="I78" s="197" t="s">
        <v>1611</v>
      </c>
      <c r="J78" s="197" t="s">
        <v>1613</v>
      </c>
      <c r="K78" s="197" t="s">
        <v>1614</v>
      </c>
      <c r="L78" s="203">
        <v>46149.669444444444</v>
      </c>
      <c r="M78" s="203">
        <v>46149.67291666667</v>
      </c>
      <c r="N78" s="197" t="s">
        <v>465</v>
      </c>
      <c r="O78" s="201" t="s">
        <v>77</v>
      </c>
      <c r="P78" s="9"/>
      <c r="Q78" s="140" t="s">
        <v>77</v>
      </c>
      <c r="R78" s="90"/>
      <c r="S78" s="140" t="s">
        <v>77</v>
      </c>
      <c r="T78" s="90"/>
      <c r="U78" s="140" t="s">
        <v>77</v>
      </c>
      <c r="V78" s="90"/>
      <c r="W78" s="140" t="s">
        <v>77</v>
      </c>
      <c r="X78" s="90"/>
      <c r="Y78" s="140" t="s">
        <v>77</v>
      </c>
      <c r="Z78" s="90"/>
      <c r="AA78" s="140" t="s">
        <v>77</v>
      </c>
      <c r="AB78" s="90"/>
      <c r="AC78" s="140" t="s">
        <v>77</v>
      </c>
      <c r="AD78" s="90"/>
      <c r="AE78" s="140" t="s">
        <v>77</v>
      </c>
      <c r="AF78" s="137" t="str">
        <f t="shared" si="5"/>
        <v>NA</v>
      </c>
      <c r="AG78" s="179" t="str">
        <f t="shared" si="4"/>
        <v>NÃO AVALIADO POR FALHA DE SINCRONISMO</v>
      </c>
      <c r="AH78" s="140" t="s">
        <v>207</v>
      </c>
      <c r="AI78" s="147" t="s">
        <v>36</v>
      </c>
      <c r="AJ78" s="145" t="str">
        <f t="shared" si="3"/>
        <v>SÃO PAULO</v>
      </c>
      <c r="AK78" s="148" t="s">
        <v>75</v>
      </c>
    </row>
    <row r="79" spans="1:37" ht="30" customHeight="1">
      <c r="A79" s="197" t="s">
        <v>198</v>
      </c>
      <c r="B79" s="197">
        <v>2618698124</v>
      </c>
      <c r="C79" s="197" t="s">
        <v>137</v>
      </c>
      <c r="D79" s="197" t="s">
        <v>126</v>
      </c>
      <c r="E79" s="197" t="s">
        <v>35</v>
      </c>
      <c r="F79" s="197" t="s">
        <v>1610</v>
      </c>
      <c r="G79" s="197">
        <v>21</v>
      </c>
      <c r="H79" s="197" t="s">
        <v>200</v>
      </c>
      <c r="I79" s="197" t="s">
        <v>1611</v>
      </c>
      <c r="J79" s="197" t="s">
        <v>1526</v>
      </c>
      <c r="K79" s="197" t="s">
        <v>200</v>
      </c>
      <c r="L79" s="203">
        <v>46149.691666666666</v>
      </c>
      <c r="M79" s="203">
        <v>46149.691666666666</v>
      </c>
      <c r="N79" s="197" t="s">
        <v>465</v>
      </c>
      <c r="O79" s="201" t="s">
        <v>207</v>
      </c>
      <c r="P79" s="9"/>
      <c r="Q79" s="140" t="s">
        <v>215</v>
      </c>
      <c r="R79" s="90" t="s">
        <v>1615</v>
      </c>
      <c r="S79" s="140" t="s">
        <v>214</v>
      </c>
      <c r="T79" s="90"/>
      <c r="U79" s="140" t="s">
        <v>207</v>
      </c>
      <c r="V79" s="90"/>
      <c r="W79" s="140" t="s">
        <v>77</v>
      </c>
      <c r="X79" s="90"/>
      <c r="Y79" s="140" t="s">
        <v>77</v>
      </c>
      <c r="Z79" s="90"/>
      <c r="AA79" s="140" t="s">
        <v>77</v>
      </c>
      <c r="AB79" s="90"/>
      <c r="AC79" s="140" t="s">
        <v>214</v>
      </c>
      <c r="AD79" s="90"/>
      <c r="AE79" s="140" t="s">
        <v>207</v>
      </c>
      <c r="AF79" s="137" t="str">
        <f t="shared" si="5"/>
        <v>NC</v>
      </c>
      <c r="AG79" s="179" t="str">
        <f t="shared" si="4"/>
        <v>UTILIZOU O PDA CORRETAMENTE. NÃO HÁ FOTOS DE TODAS AS ETAPAS</v>
      </c>
      <c r="AH79" s="140" t="s">
        <v>207</v>
      </c>
      <c r="AI79" s="147" t="s">
        <v>36</v>
      </c>
      <c r="AJ79" s="145" t="str">
        <f t="shared" si="3"/>
        <v>SÃO PAULO</v>
      </c>
      <c r="AK79" s="148" t="s">
        <v>75</v>
      </c>
    </row>
    <row r="80" spans="1:37" ht="30" customHeight="1">
      <c r="A80" s="197" t="s">
        <v>198</v>
      </c>
      <c r="B80" s="212">
        <v>2618698124</v>
      </c>
      <c r="C80" s="197" t="s">
        <v>131</v>
      </c>
      <c r="D80" s="197" t="s">
        <v>124</v>
      </c>
      <c r="E80" s="197" t="s">
        <v>35</v>
      </c>
      <c r="F80" s="197" t="s">
        <v>1610</v>
      </c>
      <c r="G80" s="197">
        <v>21</v>
      </c>
      <c r="H80" s="197"/>
      <c r="I80" s="197" t="s">
        <v>1611</v>
      </c>
      <c r="J80" s="197" t="s">
        <v>1523</v>
      </c>
      <c r="K80" s="197"/>
      <c r="L80" s="203">
        <v>46149.692361111112</v>
      </c>
      <c r="M80" s="203">
        <v>46149.695833333331</v>
      </c>
      <c r="N80" s="197" t="s">
        <v>465</v>
      </c>
      <c r="O80" s="201" t="s">
        <v>214</v>
      </c>
      <c r="P80" s="9"/>
      <c r="Q80" s="140" t="s">
        <v>214</v>
      </c>
      <c r="R80" s="90"/>
      <c r="S80" s="140" t="s">
        <v>214</v>
      </c>
      <c r="T80" s="90"/>
      <c r="U80" s="140" t="s">
        <v>214</v>
      </c>
      <c r="V80" s="90"/>
      <c r="W80" s="140" t="s">
        <v>214</v>
      </c>
      <c r="X80" s="90"/>
      <c r="Y80" s="140" t="s">
        <v>214</v>
      </c>
      <c r="Z80" s="90"/>
      <c r="AA80" s="140" t="s">
        <v>214</v>
      </c>
      <c r="AB80" s="90"/>
      <c r="AC80" s="140" t="s">
        <v>214</v>
      </c>
      <c r="AD80" s="90"/>
      <c r="AE80" s="140" t="s">
        <v>215</v>
      </c>
      <c r="AF80" s="137" t="str">
        <f t="shared" si="5"/>
        <v>NC</v>
      </c>
      <c r="AG80" s="179" t="str">
        <f t="shared" si="4"/>
        <v>NÃO UTILIZOU O PDA</v>
      </c>
      <c r="AH80" s="140" t="s">
        <v>207</v>
      </c>
      <c r="AI80" s="147" t="s">
        <v>36</v>
      </c>
      <c r="AJ80" s="145" t="str">
        <f t="shared" si="3"/>
        <v>SÃO PAULO</v>
      </c>
      <c r="AK80" s="148" t="s">
        <v>75</v>
      </c>
    </row>
    <row r="81" spans="1:37" ht="30" customHeight="1">
      <c r="A81" s="197" t="s">
        <v>198</v>
      </c>
      <c r="B81" s="212">
        <v>2618604027</v>
      </c>
      <c r="C81" s="197" t="s">
        <v>1616</v>
      </c>
      <c r="D81" s="197" t="s">
        <v>127</v>
      </c>
      <c r="E81" s="197" t="s">
        <v>35</v>
      </c>
      <c r="F81" s="197" t="s">
        <v>1585</v>
      </c>
      <c r="G81" s="197">
        <v>226</v>
      </c>
      <c r="H81" s="197" t="s">
        <v>208</v>
      </c>
      <c r="I81" s="197" t="s">
        <v>717</v>
      </c>
      <c r="J81" s="197" t="s">
        <v>1617</v>
      </c>
      <c r="K81" s="197"/>
      <c r="L81" s="203">
        <v>46150.326388888891</v>
      </c>
      <c r="M81" s="203">
        <v>46150.32708333333</v>
      </c>
      <c r="N81" s="197" t="s">
        <v>309</v>
      </c>
      <c r="O81" s="201" t="s">
        <v>207</v>
      </c>
      <c r="P81" s="9"/>
      <c r="Q81" s="140" t="s">
        <v>214</v>
      </c>
      <c r="R81" s="90"/>
      <c r="S81" s="140" t="s">
        <v>214</v>
      </c>
      <c r="T81" s="90"/>
      <c r="U81" s="140" t="s">
        <v>214</v>
      </c>
      <c r="V81" s="90"/>
      <c r="W81" s="140" t="s">
        <v>214</v>
      </c>
      <c r="X81" s="90"/>
      <c r="Y81" s="140" t="s">
        <v>77</v>
      </c>
      <c r="Z81" s="90"/>
      <c r="AA81" s="140" t="s">
        <v>214</v>
      </c>
      <c r="AB81" s="90"/>
      <c r="AC81" s="140" t="s">
        <v>214</v>
      </c>
      <c r="AD81" s="90"/>
      <c r="AE81" s="140" t="s">
        <v>207</v>
      </c>
      <c r="AF81" s="137" t="str">
        <f t="shared" si="5"/>
        <v>NC</v>
      </c>
      <c r="AG81" s="179" t="str">
        <f t="shared" si="4"/>
        <v>UTILIZOU O PDA CORRETAMENTE. NÃO HÁ FOTOS DE TODAS AS ETAPAS</v>
      </c>
      <c r="AH81" s="140"/>
      <c r="AI81" s="147" t="s">
        <v>36</v>
      </c>
      <c r="AJ81" s="145" t="str">
        <f t="shared" si="3"/>
        <v>SÃO PAULO</v>
      </c>
      <c r="AK81" s="148" t="s">
        <v>75</v>
      </c>
    </row>
    <row r="82" spans="1:37" ht="30" customHeight="1">
      <c r="A82" s="197" t="s">
        <v>198</v>
      </c>
      <c r="B82" s="212">
        <v>2618604443</v>
      </c>
      <c r="C82" s="197" t="s">
        <v>1616</v>
      </c>
      <c r="D82" s="197" t="s">
        <v>127</v>
      </c>
      <c r="E82" s="197" t="s">
        <v>35</v>
      </c>
      <c r="F82" s="197" t="s">
        <v>519</v>
      </c>
      <c r="G82" s="197">
        <v>10</v>
      </c>
      <c r="H82" s="197" t="s">
        <v>208</v>
      </c>
      <c r="I82" s="197" t="s">
        <v>338</v>
      </c>
      <c r="J82" s="197" t="s">
        <v>1617</v>
      </c>
      <c r="K82" s="197" t="s">
        <v>200</v>
      </c>
      <c r="L82" s="203">
        <v>46150.336805555555</v>
      </c>
      <c r="M82" s="203">
        <v>46150.337500000001</v>
      </c>
      <c r="N82" s="197" t="s">
        <v>309</v>
      </c>
      <c r="O82" s="201" t="s">
        <v>207</v>
      </c>
      <c r="P82" s="9"/>
      <c r="Q82" s="140" t="s">
        <v>214</v>
      </c>
      <c r="R82" s="90"/>
      <c r="S82" s="140" t="s">
        <v>214</v>
      </c>
      <c r="T82" s="90"/>
      <c r="U82" s="140" t="s">
        <v>214</v>
      </c>
      <c r="V82" s="90"/>
      <c r="W82" s="140" t="s">
        <v>214</v>
      </c>
      <c r="X82" s="90"/>
      <c r="Y82" s="140" t="s">
        <v>77</v>
      </c>
      <c r="Z82" s="90"/>
      <c r="AA82" s="140" t="s">
        <v>214</v>
      </c>
      <c r="AB82" s="90"/>
      <c r="AC82" s="140" t="s">
        <v>214</v>
      </c>
      <c r="AD82" s="90"/>
      <c r="AE82" s="140" t="s">
        <v>207</v>
      </c>
      <c r="AF82" s="137" t="str">
        <f t="shared" si="5"/>
        <v>NC</v>
      </c>
      <c r="AG82" s="179" t="str">
        <f t="shared" si="4"/>
        <v>UTILIZOU O PDA CORRETAMENTE. NÃO HÁ FOTOS DE TODAS AS ETAPAS</v>
      </c>
      <c r="AH82" s="140"/>
      <c r="AI82" s="147" t="s">
        <v>36</v>
      </c>
      <c r="AJ82" s="145" t="str">
        <f t="shared" si="3"/>
        <v>SÃO PAULO</v>
      </c>
      <c r="AK82" s="148" t="s">
        <v>75</v>
      </c>
    </row>
    <row r="83" spans="1:37" ht="30" customHeight="1">
      <c r="A83" s="197" t="s">
        <v>198</v>
      </c>
      <c r="B83" s="212">
        <v>2618603493</v>
      </c>
      <c r="C83" s="197" t="s">
        <v>1616</v>
      </c>
      <c r="D83" s="197" t="s">
        <v>127</v>
      </c>
      <c r="E83" s="197" t="s">
        <v>35</v>
      </c>
      <c r="F83" s="197" t="s">
        <v>1585</v>
      </c>
      <c r="G83" s="197">
        <v>202</v>
      </c>
      <c r="H83" s="197"/>
      <c r="I83" s="197" t="s">
        <v>717</v>
      </c>
      <c r="J83" s="197" t="s">
        <v>1617</v>
      </c>
      <c r="K83" s="197"/>
      <c r="L83" s="203">
        <v>46150.326388888891</v>
      </c>
      <c r="M83" s="203">
        <v>46150.32708333333</v>
      </c>
      <c r="N83" s="197" t="s">
        <v>309</v>
      </c>
      <c r="O83" s="201" t="s">
        <v>207</v>
      </c>
      <c r="P83" s="9"/>
      <c r="Q83" s="140" t="s">
        <v>214</v>
      </c>
      <c r="R83" s="90"/>
      <c r="S83" s="140" t="s">
        <v>214</v>
      </c>
      <c r="T83" s="90"/>
      <c r="U83" s="140" t="s">
        <v>214</v>
      </c>
      <c r="V83" s="90"/>
      <c r="W83" s="140" t="s">
        <v>214</v>
      </c>
      <c r="X83" s="90"/>
      <c r="Y83" s="140" t="s">
        <v>77</v>
      </c>
      <c r="Z83" s="90"/>
      <c r="AA83" s="140" t="s">
        <v>214</v>
      </c>
      <c r="AB83" s="90"/>
      <c r="AC83" s="140" t="s">
        <v>214</v>
      </c>
      <c r="AD83" s="90"/>
      <c r="AE83" s="140" t="s">
        <v>207</v>
      </c>
      <c r="AF83" s="137" t="str">
        <f t="shared" si="5"/>
        <v>NC</v>
      </c>
      <c r="AG83" s="179" t="str">
        <f t="shared" si="4"/>
        <v>UTILIZOU O PDA CORRETAMENTE. NÃO HÁ FOTOS DE TODAS AS ETAPAS</v>
      </c>
      <c r="AH83" s="140"/>
      <c r="AI83" s="147" t="s">
        <v>36</v>
      </c>
      <c r="AJ83" s="145" t="str">
        <f t="shared" si="3"/>
        <v>SÃO PAULO</v>
      </c>
      <c r="AK83" s="148" t="s">
        <v>75</v>
      </c>
    </row>
    <row r="84" spans="1:37" ht="30" customHeight="1">
      <c r="A84" s="197" t="s">
        <v>198</v>
      </c>
      <c r="B84" s="212">
        <v>2619135334</v>
      </c>
      <c r="C84" s="197" t="s">
        <v>138</v>
      </c>
      <c r="D84" s="197" t="s">
        <v>124</v>
      </c>
      <c r="E84" s="197" t="s">
        <v>35</v>
      </c>
      <c r="F84" s="197" t="s">
        <v>1618</v>
      </c>
      <c r="G84" s="197">
        <v>162</v>
      </c>
      <c r="H84" s="197" t="s">
        <v>200</v>
      </c>
      <c r="I84" s="197" t="s">
        <v>515</v>
      </c>
      <c r="J84" s="197" t="s">
        <v>1539</v>
      </c>
      <c r="K84" s="197" t="s">
        <v>1619</v>
      </c>
      <c r="L84" s="203">
        <v>46150.425000000003</v>
      </c>
      <c r="M84" s="203">
        <v>46150.580555555556</v>
      </c>
      <c r="N84" s="197" t="s">
        <v>1524</v>
      </c>
      <c r="O84" s="201" t="s">
        <v>215</v>
      </c>
      <c r="P84" s="9" t="s">
        <v>227</v>
      </c>
      <c r="Q84" s="140" t="s">
        <v>215</v>
      </c>
      <c r="R84" s="9" t="s">
        <v>227</v>
      </c>
      <c r="S84" s="140" t="s">
        <v>215</v>
      </c>
      <c r="T84" s="9" t="s">
        <v>227</v>
      </c>
      <c r="U84" s="140" t="s">
        <v>215</v>
      </c>
      <c r="V84" s="9" t="s">
        <v>227</v>
      </c>
      <c r="W84" s="140" t="s">
        <v>215</v>
      </c>
      <c r="X84" s="9" t="s">
        <v>227</v>
      </c>
      <c r="Y84" s="140" t="s">
        <v>215</v>
      </c>
      <c r="Z84" s="9" t="s">
        <v>227</v>
      </c>
      <c r="AA84" s="140" t="s">
        <v>215</v>
      </c>
      <c r="AB84" s="9" t="s">
        <v>227</v>
      </c>
      <c r="AC84" s="140" t="s">
        <v>215</v>
      </c>
      <c r="AD84" s="9" t="s">
        <v>227</v>
      </c>
      <c r="AE84" s="140" t="s">
        <v>215</v>
      </c>
      <c r="AF84" s="137" t="str">
        <f t="shared" si="5"/>
        <v>NC</v>
      </c>
      <c r="AG84" s="179" t="str">
        <f t="shared" si="4"/>
        <v>NÃO UTILIZOU O PDA</v>
      </c>
      <c r="AH84" s="140"/>
      <c r="AI84" s="147" t="s">
        <v>36</v>
      </c>
      <c r="AJ84" s="145" t="str">
        <f t="shared" si="3"/>
        <v>SÃO PAULO</v>
      </c>
      <c r="AK84" s="148" t="s">
        <v>75</v>
      </c>
    </row>
    <row r="85" spans="1:37" ht="30" customHeight="1">
      <c r="A85" s="197" t="s">
        <v>198</v>
      </c>
      <c r="B85" s="212">
        <v>2619170637</v>
      </c>
      <c r="C85" s="197" t="s">
        <v>131</v>
      </c>
      <c r="D85" s="197" t="s">
        <v>124</v>
      </c>
      <c r="E85" s="197" t="s">
        <v>35</v>
      </c>
      <c r="F85" s="197" t="s">
        <v>613</v>
      </c>
      <c r="G85" s="197">
        <v>37</v>
      </c>
      <c r="H85" s="197"/>
      <c r="I85" s="197" t="s">
        <v>614</v>
      </c>
      <c r="J85" s="197" t="s">
        <v>1523</v>
      </c>
      <c r="K85" s="197" t="s">
        <v>1620</v>
      </c>
      <c r="L85" s="203">
        <v>46150.601388888892</v>
      </c>
      <c r="M85" s="203">
        <v>46150.678472222222</v>
      </c>
      <c r="N85" s="197" t="s">
        <v>1524</v>
      </c>
      <c r="O85" s="201" t="s">
        <v>207</v>
      </c>
      <c r="P85" s="9"/>
      <c r="Q85" s="140" t="s">
        <v>215</v>
      </c>
      <c r="R85" s="90" t="s">
        <v>1606</v>
      </c>
      <c r="S85" s="140" t="s">
        <v>207</v>
      </c>
      <c r="T85" s="90"/>
      <c r="U85" s="140" t="s">
        <v>207</v>
      </c>
      <c r="V85" s="90"/>
      <c r="W85" s="140" t="s">
        <v>207</v>
      </c>
      <c r="X85" s="90"/>
      <c r="Y85" s="140" t="s">
        <v>214</v>
      </c>
      <c r="Z85" s="90"/>
      <c r="AA85" s="140" t="s">
        <v>207</v>
      </c>
      <c r="AB85" s="90"/>
      <c r="AC85" s="140" t="s">
        <v>215</v>
      </c>
      <c r="AD85" s="90" t="s">
        <v>1545</v>
      </c>
      <c r="AE85" s="140" t="s">
        <v>207</v>
      </c>
      <c r="AF85" s="137" t="str">
        <f t="shared" si="5"/>
        <v>NC</v>
      </c>
      <c r="AG85" s="179" t="str">
        <f t="shared" si="4"/>
        <v>UTILIZOU O PDA CORRETAMENTE. NÃO HÁ FOTOS DE TODAS AS ETAPAS</v>
      </c>
      <c r="AH85" s="140" t="s">
        <v>207</v>
      </c>
      <c r="AI85" s="147" t="s">
        <v>36</v>
      </c>
      <c r="AJ85" s="145" t="str">
        <f t="shared" si="3"/>
        <v>SÃO PAULO</v>
      </c>
      <c r="AK85" s="148" t="s">
        <v>75</v>
      </c>
    </row>
    <row r="86" spans="1:37" ht="30" customHeight="1">
      <c r="A86" s="197" t="s">
        <v>198</v>
      </c>
      <c r="B86" s="212">
        <v>2619176784</v>
      </c>
      <c r="C86" s="197" t="s">
        <v>138</v>
      </c>
      <c r="D86" s="197" t="s">
        <v>124</v>
      </c>
      <c r="E86" s="197" t="s">
        <v>35</v>
      </c>
      <c r="F86" s="197" t="s">
        <v>1621</v>
      </c>
      <c r="G86" s="197">
        <v>249</v>
      </c>
      <c r="H86" s="197" t="s">
        <v>200</v>
      </c>
      <c r="I86" s="197" t="s">
        <v>634</v>
      </c>
      <c r="J86" s="197" t="s">
        <v>1539</v>
      </c>
      <c r="K86" s="197" t="s">
        <v>1622</v>
      </c>
      <c r="L86" s="203">
        <v>46150.631249999999</v>
      </c>
      <c r="M86" s="203">
        <v>46150.661111111112</v>
      </c>
      <c r="N86" s="197" t="s">
        <v>1546</v>
      </c>
      <c r="O86" s="201" t="s">
        <v>77</v>
      </c>
      <c r="P86" s="9"/>
      <c r="Q86" s="140" t="s">
        <v>77</v>
      </c>
      <c r="R86" s="90"/>
      <c r="S86" s="140" t="s">
        <v>77</v>
      </c>
      <c r="T86" s="90"/>
      <c r="U86" s="140" t="s">
        <v>77</v>
      </c>
      <c r="V86" s="90"/>
      <c r="W86" s="140" t="s">
        <v>77</v>
      </c>
      <c r="X86" s="90"/>
      <c r="Y86" s="140" t="s">
        <v>77</v>
      </c>
      <c r="Z86" s="90"/>
      <c r="AA86" s="140" t="s">
        <v>77</v>
      </c>
      <c r="AB86" s="90"/>
      <c r="AC86" s="140" t="s">
        <v>77</v>
      </c>
      <c r="AD86" s="90"/>
      <c r="AE86" s="140" t="s">
        <v>77</v>
      </c>
      <c r="AF86" s="137" t="str">
        <f t="shared" si="5"/>
        <v>NA</v>
      </c>
      <c r="AG86" s="179" t="str">
        <f t="shared" si="4"/>
        <v>NÃO AVALIADO POR FALHA DE SINCRONISMO</v>
      </c>
      <c r="AH86" s="140" t="s">
        <v>207</v>
      </c>
      <c r="AI86" s="147" t="s">
        <v>36</v>
      </c>
      <c r="AJ86" s="145" t="str">
        <f t="shared" si="3"/>
        <v>SÃO PAULO</v>
      </c>
      <c r="AK86" s="148" t="s">
        <v>75</v>
      </c>
    </row>
    <row r="87" spans="1:37" ht="30" customHeight="1">
      <c r="A87" s="197" t="s">
        <v>198</v>
      </c>
      <c r="B87" s="212">
        <v>2619162815</v>
      </c>
      <c r="C87" s="197" t="s">
        <v>138</v>
      </c>
      <c r="D87" s="197" t="s">
        <v>124</v>
      </c>
      <c r="E87" s="197" t="s">
        <v>35</v>
      </c>
      <c r="F87" s="197" t="s">
        <v>570</v>
      </c>
      <c r="G87" s="197">
        <v>364</v>
      </c>
      <c r="H87" s="197" t="s">
        <v>208</v>
      </c>
      <c r="I87" s="197" t="s">
        <v>571</v>
      </c>
      <c r="J87" s="197" t="s">
        <v>1539</v>
      </c>
      <c r="K87" s="204" t="s">
        <v>1623</v>
      </c>
      <c r="L87" s="203">
        <v>46150.395833333336</v>
      </c>
      <c r="M87" s="203">
        <v>46150.590277777781</v>
      </c>
      <c r="N87" s="197" t="s">
        <v>1546</v>
      </c>
      <c r="O87" s="201" t="s">
        <v>207</v>
      </c>
      <c r="P87" s="9"/>
      <c r="Q87" s="140" t="s">
        <v>214</v>
      </c>
      <c r="R87" s="90"/>
      <c r="S87" s="140" t="s">
        <v>214</v>
      </c>
      <c r="T87" s="90"/>
      <c r="U87" s="140" t="s">
        <v>207</v>
      </c>
      <c r="V87" s="90"/>
      <c r="W87" s="140" t="s">
        <v>214</v>
      </c>
      <c r="X87" s="90"/>
      <c r="Y87" s="140" t="s">
        <v>77</v>
      </c>
      <c r="Z87" s="90"/>
      <c r="AA87" s="140" t="s">
        <v>207</v>
      </c>
      <c r="AB87" s="90"/>
      <c r="AC87" s="140" t="s">
        <v>207</v>
      </c>
      <c r="AD87" s="90"/>
      <c r="AE87" s="140" t="s">
        <v>207</v>
      </c>
      <c r="AF87" s="137" t="str">
        <f t="shared" si="5"/>
        <v>NC</v>
      </c>
      <c r="AG87" s="179" t="str">
        <f t="shared" si="4"/>
        <v>UTILIZOU O PDA CORRETAMENTE. NÃO HÁ FOTOS DE TODAS AS ETAPAS</v>
      </c>
      <c r="AH87" s="140" t="s">
        <v>207</v>
      </c>
      <c r="AI87" s="147" t="s">
        <v>36</v>
      </c>
      <c r="AJ87" s="145" t="str">
        <f t="shared" si="3"/>
        <v>SÃO PAULO</v>
      </c>
      <c r="AK87" s="148" t="s">
        <v>75</v>
      </c>
    </row>
    <row r="88" spans="1:37" ht="30" customHeight="1">
      <c r="A88" s="197" t="s">
        <v>198</v>
      </c>
      <c r="B88" s="212">
        <v>2618604286</v>
      </c>
      <c r="C88" s="197" t="s">
        <v>1616</v>
      </c>
      <c r="D88" s="197" t="s">
        <v>127</v>
      </c>
      <c r="E88" s="197" t="s">
        <v>35</v>
      </c>
      <c r="F88" s="197" t="s">
        <v>1585</v>
      </c>
      <c r="G88" s="197">
        <v>312</v>
      </c>
      <c r="H88" s="197" t="s">
        <v>347</v>
      </c>
      <c r="I88" s="197" t="s">
        <v>717</v>
      </c>
      <c r="J88" s="197" t="s">
        <v>1624</v>
      </c>
      <c r="K88" s="197" t="s">
        <v>200</v>
      </c>
      <c r="L88" s="203">
        <v>46150.434027777781</v>
      </c>
      <c r="M88" s="203">
        <v>46150.475694444445</v>
      </c>
      <c r="N88" s="197" t="s">
        <v>203</v>
      </c>
      <c r="O88" s="201" t="s">
        <v>207</v>
      </c>
      <c r="P88" s="9"/>
      <c r="Q88" s="140" t="s">
        <v>207</v>
      </c>
      <c r="R88" s="90"/>
      <c r="S88" s="140" t="s">
        <v>214</v>
      </c>
      <c r="T88" s="90"/>
      <c r="U88" s="140" t="s">
        <v>207</v>
      </c>
      <c r="V88" s="90"/>
      <c r="W88" s="140" t="s">
        <v>77</v>
      </c>
      <c r="X88" s="90"/>
      <c r="Y88" s="140" t="s">
        <v>77</v>
      </c>
      <c r="Z88" s="90"/>
      <c r="AA88" s="140" t="s">
        <v>77</v>
      </c>
      <c r="AB88" s="90"/>
      <c r="AC88" s="140" t="s">
        <v>215</v>
      </c>
      <c r="AD88" s="90" t="s">
        <v>1554</v>
      </c>
      <c r="AE88" s="140" t="s">
        <v>207</v>
      </c>
      <c r="AF88" s="137" t="str">
        <f t="shared" si="5"/>
        <v>NC</v>
      </c>
      <c r="AG88" s="179" t="str">
        <f t="shared" si="4"/>
        <v>UTILIZOU O PDA CORRETAMENTE. NÃO HÁ FOTOS DE TODAS AS ETAPAS</v>
      </c>
      <c r="AH88" s="140" t="s">
        <v>207</v>
      </c>
      <c r="AI88" s="147" t="s">
        <v>36</v>
      </c>
      <c r="AJ88" s="145" t="str">
        <f t="shared" si="3"/>
        <v>SÃO PAULO</v>
      </c>
      <c r="AK88" s="148" t="s">
        <v>75</v>
      </c>
    </row>
    <row r="89" spans="1:37" ht="30" customHeight="1">
      <c r="A89" s="197" t="s">
        <v>198</v>
      </c>
      <c r="B89" s="212">
        <v>2619149872</v>
      </c>
      <c r="C89" s="197" t="s">
        <v>136</v>
      </c>
      <c r="D89" s="197" t="s">
        <v>127</v>
      </c>
      <c r="E89" s="197" t="s">
        <v>35</v>
      </c>
      <c r="F89" s="197" t="s">
        <v>1625</v>
      </c>
      <c r="G89" s="197">
        <v>64</v>
      </c>
      <c r="H89" s="197"/>
      <c r="I89" s="197" t="s">
        <v>501</v>
      </c>
      <c r="J89" s="197" t="s">
        <v>1525</v>
      </c>
      <c r="K89" s="197"/>
      <c r="L89" s="203">
        <v>46150.552777777775</v>
      </c>
      <c r="M89" s="203">
        <v>46150.609722222223</v>
      </c>
      <c r="N89" s="197" t="s">
        <v>203</v>
      </c>
      <c r="O89" s="201" t="s">
        <v>207</v>
      </c>
      <c r="P89" s="9"/>
      <c r="Q89" s="140" t="s">
        <v>214</v>
      </c>
      <c r="R89" s="90" t="s">
        <v>1626</v>
      </c>
      <c r="S89" s="140" t="s">
        <v>214</v>
      </c>
      <c r="T89" s="90"/>
      <c r="U89" s="140" t="s">
        <v>207</v>
      </c>
      <c r="V89" s="90"/>
      <c r="W89" s="140" t="s">
        <v>77</v>
      </c>
      <c r="X89" s="90"/>
      <c r="Y89" s="140" t="s">
        <v>77</v>
      </c>
      <c r="Z89" s="90"/>
      <c r="AA89" s="140" t="s">
        <v>77</v>
      </c>
      <c r="AB89" s="90"/>
      <c r="AC89" s="140" t="s">
        <v>215</v>
      </c>
      <c r="AD89" s="90" t="s">
        <v>1554</v>
      </c>
      <c r="AE89" s="140" t="s">
        <v>207</v>
      </c>
      <c r="AF89" s="137" t="str">
        <f t="shared" si="5"/>
        <v>NC</v>
      </c>
      <c r="AG89" s="179" t="str">
        <f t="shared" si="4"/>
        <v>UTILIZOU O PDA CORRETAMENTE. NÃO HÁ FOTOS DE TODAS AS ETAPAS</v>
      </c>
      <c r="AH89" s="140" t="s">
        <v>207</v>
      </c>
      <c r="AI89" s="147" t="s">
        <v>36</v>
      </c>
      <c r="AJ89" s="145" t="str">
        <f t="shared" si="3"/>
        <v>SÃO PAULO</v>
      </c>
      <c r="AK89" s="148" t="s">
        <v>75</v>
      </c>
    </row>
    <row r="90" spans="1:37" ht="30" customHeight="1">
      <c r="A90" s="197" t="s">
        <v>198</v>
      </c>
      <c r="B90" s="212">
        <v>2619323006</v>
      </c>
      <c r="C90" s="197" t="s">
        <v>1569</v>
      </c>
      <c r="D90" s="197" t="s">
        <v>127</v>
      </c>
      <c r="E90" s="197" t="s">
        <v>35</v>
      </c>
      <c r="F90" s="197" t="s">
        <v>1627</v>
      </c>
      <c r="G90" s="197">
        <v>92</v>
      </c>
      <c r="H90" s="197"/>
      <c r="I90" s="197" t="s">
        <v>689</v>
      </c>
      <c r="J90" s="197" t="s">
        <v>1570</v>
      </c>
      <c r="K90" s="204" t="s">
        <v>1628</v>
      </c>
      <c r="L90" s="203">
        <v>46150.459027777775</v>
      </c>
      <c r="M90" s="203">
        <v>46150.505555555559</v>
      </c>
      <c r="N90" s="197" t="s">
        <v>1572</v>
      </c>
      <c r="O90" s="201" t="s">
        <v>207</v>
      </c>
      <c r="P90" s="9"/>
      <c r="Q90" s="140" t="s">
        <v>214</v>
      </c>
      <c r="R90" s="90"/>
      <c r="S90" s="140" t="s">
        <v>77</v>
      </c>
      <c r="T90" s="90"/>
      <c r="U90" s="140" t="s">
        <v>207</v>
      </c>
      <c r="V90" s="90"/>
      <c r="W90" s="140" t="s">
        <v>77</v>
      </c>
      <c r="X90" s="90"/>
      <c r="Y90" s="140" t="s">
        <v>77</v>
      </c>
      <c r="Z90" s="90"/>
      <c r="AA90" s="140" t="s">
        <v>77</v>
      </c>
      <c r="AB90" s="90"/>
      <c r="AC90" s="140" t="s">
        <v>207</v>
      </c>
      <c r="AD90" s="90"/>
      <c r="AE90" s="140" t="s">
        <v>207</v>
      </c>
      <c r="AF90" s="137" t="str">
        <f t="shared" si="5"/>
        <v>NC</v>
      </c>
      <c r="AG90" s="179" t="str">
        <f t="shared" si="4"/>
        <v>UTILIZOU O PDA CORRETAMENTE. NÃO HÁ FOTOS DE TODAS AS ETAPAS</v>
      </c>
      <c r="AH90" s="140"/>
      <c r="AI90" s="147" t="s">
        <v>36</v>
      </c>
      <c r="AJ90" s="145" t="str">
        <f t="shared" si="3"/>
        <v>SÃO PAULO</v>
      </c>
      <c r="AK90" s="148" t="s">
        <v>75</v>
      </c>
    </row>
    <row r="91" spans="1:37" ht="30" customHeight="1">
      <c r="A91" s="197" t="s">
        <v>198</v>
      </c>
      <c r="B91" s="212">
        <v>2619323588</v>
      </c>
      <c r="C91" s="197" t="s">
        <v>1569</v>
      </c>
      <c r="D91" s="197" t="s">
        <v>127</v>
      </c>
      <c r="E91" s="197" t="s">
        <v>35</v>
      </c>
      <c r="F91" s="197" t="s">
        <v>1629</v>
      </c>
      <c r="G91" s="197">
        <v>69</v>
      </c>
      <c r="H91" s="197" t="s">
        <v>200</v>
      </c>
      <c r="I91" s="197" t="s">
        <v>510</v>
      </c>
      <c r="J91" s="197" t="s">
        <v>1570</v>
      </c>
      <c r="K91" s="204" t="s">
        <v>1581</v>
      </c>
      <c r="L91" s="203">
        <v>46150.513888888891</v>
      </c>
      <c r="M91" s="203">
        <v>46150.527083333334</v>
      </c>
      <c r="N91" s="197" t="s">
        <v>1572</v>
      </c>
      <c r="O91" s="201" t="s">
        <v>214</v>
      </c>
      <c r="P91" s="9"/>
      <c r="Q91" s="140" t="s">
        <v>214</v>
      </c>
      <c r="R91" s="90"/>
      <c r="S91" s="140" t="s">
        <v>77</v>
      </c>
      <c r="T91" s="90"/>
      <c r="U91" s="140" t="s">
        <v>77</v>
      </c>
      <c r="V91" s="90"/>
      <c r="W91" s="140" t="s">
        <v>77</v>
      </c>
      <c r="X91" s="90"/>
      <c r="Y91" s="140" t="s">
        <v>77</v>
      </c>
      <c r="Z91" s="90"/>
      <c r="AA91" s="140" t="s">
        <v>77</v>
      </c>
      <c r="AB91" s="90"/>
      <c r="AC91" s="140" t="s">
        <v>207</v>
      </c>
      <c r="AD91" s="90"/>
      <c r="AE91" s="140" t="s">
        <v>207</v>
      </c>
      <c r="AF91" s="137" t="str">
        <f t="shared" si="5"/>
        <v>NC</v>
      </c>
      <c r="AG91" s="179" t="str">
        <f t="shared" si="4"/>
        <v>UTILIZOU O PDA CORRETAMENTE. NÃO HÁ FOTOS DE TODAS AS ETAPAS</v>
      </c>
      <c r="AH91" s="140"/>
      <c r="AI91" s="147" t="s">
        <v>36</v>
      </c>
      <c r="AJ91" s="145" t="str">
        <f t="shared" si="3"/>
        <v>SÃO PAULO</v>
      </c>
      <c r="AK91" s="148" t="s">
        <v>75</v>
      </c>
    </row>
    <row r="92" spans="1:37" ht="30" customHeight="1">
      <c r="A92" s="197" t="s">
        <v>198</v>
      </c>
      <c r="B92" s="212">
        <v>2619324492</v>
      </c>
      <c r="C92" s="197" t="s">
        <v>1569</v>
      </c>
      <c r="D92" s="197" t="s">
        <v>127</v>
      </c>
      <c r="E92" s="197" t="s">
        <v>35</v>
      </c>
      <c r="F92" s="197" t="s">
        <v>1630</v>
      </c>
      <c r="G92" s="197">
        <v>17</v>
      </c>
      <c r="H92" s="197"/>
      <c r="I92" s="197" t="s">
        <v>510</v>
      </c>
      <c r="J92" s="197" t="s">
        <v>1570</v>
      </c>
      <c r="K92" s="204" t="s">
        <v>1631</v>
      </c>
      <c r="L92" s="203">
        <v>46150.530555555553</v>
      </c>
      <c r="M92" s="203">
        <v>46150.537499999999</v>
      </c>
      <c r="N92" s="197" t="s">
        <v>1572</v>
      </c>
      <c r="O92" s="201" t="s">
        <v>214</v>
      </c>
      <c r="P92" s="9"/>
      <c r="Q92" s="140" t="s">
        <v>214</v>
      </c>
      <c r="R92" s="90"/>
      <c r="S92" s="140" t="s">
        <v>77</v>
      </c>
      <c r="T92" s="90"/>
      <c r="U92" s="140" t="s">
        <v>77</v>
      </c>
      <c r="V92" s="90"/>
      <c r="W92" s="140" t="s">
        <v>77</v>
      </c>
      <c r="X92" s="90"/>
      <c r="Y92" s="140" t="s">
        <v>77</v>
      </c>
      <c r="Z92" s="90"/>
      <c r="AA92" s="140" t="s">
        <v>77</v>
      </c>
      <c r="AB92" s="90"/>
      <c r="AC92" s="140" t="s">
        <v>207</v>
      </c>
      <c r="AD92" s="90"/>
      <c r="AE92" s="140" t="s">
        <v>207</v>
      </c>
      <c r="AF92" s="137" t="str">
        <f t="shared" si="5"/>
        <v>NC</v>
      </c>
      <c r="AG92" s="179" t="str">
        <f t="shared" si="4"/>
        <v>UTILIZOU O PDA CORRETAMENTE. NÃO HÁ FOTOS DE TODAS AS ETAPAS</v>
      </c>
      <c r="AH92" s="140"/>
      <c r="AI92" s="147" t="s">
        <v>36</v>
      </c>
      <c r="AJ92" s="145" t="str">
        <f t="shared" si="3"/>
        <v>SÃO PAULO</v>
      </c>
      <c r="AK92" s="148" t="s">
        <v>75</v>
      </c>
    </row>
    <row r="93" spans="1:37" ht="30" customHeight="1">
      <c r="A93" s="197" t="s">
        <v>198</v>
      </c>
      <c r="B93" s="212">
        <v>2618877359</v>
      </c>
      <c r="C93" s="197" t="s">
        <v>1612</v>
      </c>
      <c r="D93" s="197" t="s">
        <v>127</v>
      </c>
      <c r="E93" s="197" t="s">
        <v>35</v>
      </c>
      <c r="F93" s="197" t="s">
        <v>572</v>
      </c>
      <c r="G93" s="197">
        <v>487</v>
      </c>
      <c r="H93" s="197" t="s">
        <v>200</v>
      </c>
      <c r="I93" s="197" t="s">
        <v>573</v>
      </c>
      <c r="J93" s="197" t="s">
        <v>1613</v>
      </c>
      <c r="K93" s="197" t="s">
        <v>200</v>
      </c>
      <c r="L93" s="203">
        <v>46150.583333333336</v>
      </c>
      <c r="M93" s="203">
        <v>46150.584027777775</v>
      </c>
      <c r="N93" s="197" t="s">
        <v>1537</v>
      </c>
      <c r="O93" s="201" t="s">
        <v>77</v>
      </c>
      <c r="P93" s="9"/>
      <c r="Q93" s="140" t="s">
        <v>77</v>
      </c>
      <c r="R93" s="90"/>
      <c r="S93" s="140" t="s">
        <v>77</v>
      </c>
      <c r="T93" s="90"/>
      <c r="U93" s="140" t="s">
        <v>77</v>
      </c>
      <c r="V93" s="90"/>
      <c r="W93" s="140" t="s">
        <v>77</v>
      </c>
      <c r="X93" s="90"/>
      <c r="Y93" s="140" t="s">
        <v>77</v>
      </c>
      <c r="Z93" s="90"/>
      <c r="AA93" s="140" t="s">
        <v>77</v>
      </c>
      <c r="AB93" s="90"/>
      <c r="AC93" s="140" t="s">
        <v>77</v>
      </c>
      <c r="AD93" s="90"/>
      <c r="AE93" s="140" t="s">
        <v>77</v>
      </c>
      <c r="AF93" s="137" t="str">
        <f t="shared" si="5"/>
        <v>NA</v>
      </c>
      <c r="AG93" s="179" t="str">
        <f t="shared" si="4"/>
        <v>NÃO AVALIADO POR FALHA DE SINCRONISMO</v>
      </c>
      <c r="AH93" s="140" t="s">
        <v>207</v>
      </c>
      <c r="AI93" s="147" t="s">
        <v>36</v>
      </c>
      <c r="AJ93" s="145" t="str">
        <f t="shared" si="3"/>
        <v>SÃO PAULO</v>
      </c>
      <c r="AK93" s="148" t="s">
        <v>75</v>
      </c>
    </row>
    <row r="94" spans="1:37" ht="30" customHeight="1">
      <c r="A94" s="197" t="s">
        <v>198</v>
      </c>
      <c r="B94" s="212">
        <v>2617785919</v>
      </c>
      <c r="C94" s="197" t="s">
        <v>1632</v>
      </c>
      <c r="D94" s="197" t="s">
        <v>128</v>
      </c>
      <c r="E94" s="197" t="s">
        <v>35</v>
      </c>
      <c r="F94" s="197" t="s">
        <v>572</v>
      </c>
      <c r="G94" s="197">
        <v>487</v>
      </c>
      <c r="H94" s="197"/>
      <c r="I94" s="197" t="s">
        <v>573</v>
      </c>
      <c r="J94" s="197" t="s">
        <v>1633</v>
      </c>
      <c r="K94" s="197" t="s">
        <v>1634</v>
      </c>
      <c r="L94" s="203">
        <v>46150.583333333336</v>
      </c>
      <c r="M94" s="203">
        <v>46150.584027777775</v>
      </c>
      <c r="N94" s="197" t="s">
        <v>1537</v>
      </c>
      <c r="O94" s="201" t="s">
        <v>77</v>
      </c>
      <c r="P94" s="9"/>
      <c r="Q94" s="140" t="s">
        <v>77</v>
      </c>
      <c r="R94" s="90"/>
      <c r="S94" s="140" t="s">
        <v>77</v>
      </c>
      <c r="T94" s="90"/>
      <c r="U94" s="140" t="s">
        <v>77</v>
      </c>
      <c r="V94" s="90"/>
      <c r="W94" s="140" t="s">
        <v>77</v>
      </c>
      <c r="X94" s="90"/>
      <c r="Y94" s="140" t="s">
        <v>77</v>
      </c>
      <c r="Z94" s="90"/>
      <c r="AA94" s="140" t="s">
        <v>77</v>
      </c>
      <c r="AB94" s="90"/>
      <c r="AC94" s="140" t="s">
        <v>77</v>
      </c>
      <c r="AD94" s="90"/>
      <c r="AE94" s="140" t="s">
        <v>77</v>
      </c>
      <c r="AF94" s="137" t="str">
        <f t="shared" si="5"/>
        <v>NA</v>
      </c>
      <c r="AG94" s="179" t="str">
        <f t="shared" si="4"/>
        <v>NÃO AVALIADO POR FALHA DE SINCRONISMO</v>
      </c>
      <c r="AH94" s="140" t="s">
        <v>207</v>
      </c>
      <c r="AI94" s="147" t="s">
        <v>36</v>
      </c>
      <c r="AJ94" s="145" t="str">
        <f t="shared" si="3"/>
        <v>SÃO PAULO</v>
      </c>
      <c r="AK94" s="148" t="s">
        <v>75</v>
      </c>
    </row>
    <row r="95" spans="1:37" ht="30" customHeight="1">
      <c r="A95" s="197" t="s">
        <v>198</v>
      </c>
      <c r="B95" s="212">
        <v>2618877668</v>
      </c>
      <c r="C95" s="197" t="s">
        <v>1612</v>
      </c>
      <c r="D95" s="197" t="s">
        <v>127</v>
      </c>
      <c r="E95" s="197" t="s">
        <v>35</v>
      </c>
      <c r="F95" s="197" t="s">
        <v>572</v>
      </c>
      <c r="G95" s="197">
        <v>555</v>
      </c>
      <c r="H95" s="197" t="s">
        <v>200</v>
      </c>
      <c r="I95" s="197" t="s">
        <v>573</v>
      </c>
      <c r="J95" s="197" t="s">
        <v>1613</v>
      </c>
      <c r="K95" s="197" t="s">
        <v>200</v>
      </c>
      <c r="L95" s="203">
        <v>46150.583333333336</v>
      </c>
      <c r="M95" s="203">
        <v>46150.584027777775</v>
      </c>
      <c r="N95" s="197" t="s">
        <v>1537</v>
      </c>
      <c r="O95" s="201" t="s">
        <v>77</v>
      </c>
      <c r="P95" s="9"/>
      <c r="Q95" s="140" t="s">
        <v>77</v>
      </c>
      <c r="R95" s="90"/>
      <c r="S95" s="140" t="s">
        <v>77</v>
      </c>
      <c r="T95" s="90"/>
      <c r="U95" s="140" t="s">
        <v>77</v>
      </c>
      <c r="V95" s="90"/>
      <c r="W95" s="140" t="s">
        <v>77</v>
      </c>
      <c r="X95" s="90"/>
      <c r="Y95" s="140" t="s">
        <v>77</v>
      </c>
      <c r="Z95" s="90"/>
      <c r="AA95" s="140" t="s">
        <v>77</v>
      </c>
      <c r="AB95" s="90"/>
      <c r="AC95" s="140" t="s">
        <v>77</v>
      </c>
      <c r="AD95" s="90"/>
      <c r="AE95" s="140" t="s">
        <v>77</v>
      </c>
      <c r="AF95" s="137" t="str">
        <f t="shared" si="5"/>
        <v>NA</v>
      </c>
      <c r="AG95" s="179" t="str">
        <f t="shared" si="4"/>
        <v>NÃO AVALIADO POR FALHA DE SINCRONISMO</v>
      </c>
      <c r="AH95" s="140" t="s">
        <v>207</v>
      </c>
      <c r="AI95" s="147" t="s">
        <v>36</v>
      </c>
      <c r="AJ95" s="145" t="str">
        <f t="shared" si="3"/>
        <v>SÃO PAULO</v>
      </c>
      <c r="AK95" s="148" t="s">
        <v>75</v>
      </c>
    </row>
    <row r="96" spans="1:37" ht="30" customHeight="1">
      <c r="A96" s="197" t="s">
        <v>198</v>
      </c>
      <c r="B96" s="212">
        <v>2619346841</v>
      </c>
      <c r="C96" s="197" t="s">
        <v>138</v>
      </c>
      <c r="D96" s="197" t="s">
        <v>124</v>
      </c>
      <c r="E96" s="197" t="s">
        <v>35</v>
      </c>
      <c r="F96" s="197" t="s">
        <v>1168</v>
      </c>
      <c r="G96" s="197">
        <v>35</v>
      </c>
      <c r="H96" s="197"/>
      <c r="I96" s="197" t="s">
        <v>319</v>
      </c>
      <c r="J96" s="197" t="s">
        <v>1539</v>
      </c>
      <c r="K96" s="197" t="s">
        <v>1619</v>
      </c>
      <c r="L96" s="203">
        <v>46151.583333333336</v>
      </c>
      <c r="M96" s="203">
        <v>46151.75277777778</v>
      </c>
      <c r="N96" s="197" t="s">
        <v>1524</v>
      </c>
      <c r="O96" s="201" t="s">
        <v>207</v>
      </c>
      <c r="P96" s="9"/>
      <c r="Q96" s="140" t="s">
        <v>215</v>
      </c>
      <c r="R96" s="90" t="s">
        <v>1635</v>
      </c>
      <c r="S96" s="140" t="s">
        <v>207</v>
      </c>
      <c r="T96" s="90"/>
      <c r="U96" s="140" t="s">
        <v>207</v>
      </c>
      <c r="V96" s="90"/>
      <c r="W96" s="140" t="s">
        <v>207</v>
      </c>
      <c r="X96" s="90"/>
      <c r="Y96" s="140" t="s">
        <v>214</v>
      </c>
      <c r="Z96" s="90"/>
      <c r="AA96" s="140" t="s">
        <v>207</v>
      </c>
      <c r="AB96" s="90"/>
      <c r="AC96" s="140" t="s">
        <v>215</v>
      </c>
      <c r="AD96" s="90" t="s">
        <v>298</v>
      </c>
      <c r="AE96" s="140" t="s">
        <v>207</v>
      </c>
      <c r="AF96" s="137" t="str">
        <f t="shared" si="5"/>
        <v>NC</v>
      </c>
      <c r="AG96" s="179" t="str">
        <f t="shared" si="4"/>
        <v>UTILIZOU O PDA CORRETAMENTE. NÃO HÁ FOTOS DE TODAS AS ETAPAS</v>
      </c>
      <c r="AH96" s="140" t="s">
        <v>207</v>
      </c>
      <c r="AI96" s="147" t="s">
        <v>36</v>
      </c>
      <c r="AJ96" s="145" t="str">
        <f t="shared" si="3"/>
        <v>SÃO PAULO</v>
      </c>
      <c r="AK96" s="148" t="s">
        <v>75</v>
      </c>
    </row>
    <row r="97" spans="1:37" ht="30" customHeight="1">
      <c r="A97" s="197" t="s">
        <v>198</v>
      </c>
      <c r="B97" s="212">
        <v>2618885219</v>
      </c>
      <c r="C97" s="197" t="s">
        <v>134</v>
      </c>
      <c r="D97" s="197" t="s">
        <v>125</v>
      </c>
      <c r="E97" s="197" t="s">
        <v>35</v>
      </c>
      <c r="F97" s="197" t="s">
        <v>1636</v>
      </c>
      <c r="G97" s="197">
        <v>588</v>
      </c>
      <c r="H97" s="197" t="s">
        <v>200</v>
      </c>
      <c r="I97" s="197" t="s">
        <v>482</v>
      </c>
      <c r="J97" s="197" t="s">
        <v>134</v>
      </c>
      <c r="K97" s="197" t="s">
        <v>200</v>
      </c>
      <c r="L97" s="203">
        <v>46152.291666666664</v>
      </c>
      <c r="M97" s="203">
        <v>46152.292361111111</v>
      </c>
      <c r="N97" s="197" t="s">
        <v>465</v>
      </c>
      <c r="O97" s="201" t="s">
        <v>207</v>
      </c>
      <c r="P97" s="9"/>
      <c r="Q97" s="140" t="s">
        <v>207</v>
      </c>
      <c r="R97" s="90"/>
      <c r="S97" s="140" t="s">
        <v>207</v>
      </c>
      <c r="T97" s="90"/>
      <c r="U97" s="140" t="s">
        <v>207</v>
      </c>
      <c r="V97" s="90"/>
      <c r="W97" s="140" t="s">
        <v>207</v>
      </c>
      <c r="X97" s="90"/>
      <c r="Y97" s="140" t="s">
        <v>77</v>
      </c>
      <c r="Z97" s="90"/>
      <c r="AA97" s="140" t="s">
        <v>207</v>
      </c>
      <c r="AB97" s="90"/>
      <c r="AC97" s="140" t="s">
        <v>215</v>
      </c>
      <c r="AD97" s="90" t="s">
        <v>882</v>
      </c>
      <c r="AE97" s="140" t="s">
        <v>207</v>
      </c>
      <c r="AF97" s="137" t="str">
        <f t="shared" si="5"/>
        <v>NC</v>
      </c>
      <c r="AG97" s="179" t="str">
        <f t="shared" si="4"/>
        <v>UTILIZOU O PDA CORRETAMENTE. NÃO HÁ FOTOS DE TODAS AS ETAPAS</v>
      </c>
      <c r="AH97" s="140" t="s">
        <v>207</v>
      </c>
      <c r="AI97" s="147" t="s">
        <v>36</v>
      </c>
      <c r="AJ97" s="145" t="str">
        <f t="shared" si="3"/>
        <v>SÃO PAULO</v>
      </c>
      <c r="AK97" s="148" t="s">
        <v>75</v>
      </c>
    </row>
    <row r="98" spans="1:37" ht="30" customHeight="1">
      <c r="A98" s="197" t="s">
        <v>198</v>
      </c>
      <c r="B98" s="212">
        <v>2619179554</v>
      </c>
      <c r="C98" s="197" t="s">
        <v>136</v>
      </c>
      <c r="D98" s="197" t="s">
        <v>127</v>
      </c>
      <c r="E98" s="197" t="s">
        <v>35</v>
      </c>
      <c r="F98" s="197" t="s">
        <v>961</v>
      </c>
      <c r="G98" s="197">
        <v>0</v>
      </c>
      <c r="H98" s="197" t="s">
        <v>200</v>
      </c>
      <c r="I98" s="197" t="s">
        <v>1480</v>
      </c>
      <c r="J98" s="197" t="s">
        <v>1525</v>
      </c>
      <c r="K98" s="197" t="s">
        <v>200</v>
      </c>
      <c r="L98" s="203">
        <v>46153.586111111108</v>
      </c>
      <c r="M98" s="203">
        <v>46153.638194444444</v>
      </c>
      <c r="N98" s="197" t="s">
        <v>203</v>
      </c>
      <c r="O98" s="201" t="s">
        <v>207</v>
      </c>
      <c r="P98" s="9"/>
      <c r="Q98" s="140" t="s">
        <v>207</v>
      </c>
      <c r="R98" s="90"/>
      <c r="S98" s="140" t="s">
        <v>214</v>
      </c>
      <c r="T98" s="90"/>
      <c r="U98" s="140" t="s">
        <v>207</v>
      </c>
      <c r="V98" s="90"/>
      <c r="W98" s="140" t="s">
        <v>77</v>
      </c>
      <c r="X98" s="90"/>
      <c r="Y98" s="140" t="s">
        <v>77</v>
      </c>
      <c r="Z98" s="90"/>
      <c r="AA98" s="140" t="s">
        <v>77</v>
      </c>
      <c r="AB98" s="90"/>
      <c r="AC98" s="140" t="s">
        <v>207</v>
      </c>
      <c r="AD98" s="90"/>
      <c r="AE98" s="140" t="s">
        <v>207</v>
      </c>
      <c r="AF98" s="137" t="str">
        <f t="shared" si="5"/>
        <v>NC</v>
      </c>
      <c r="AG98" s="179" t="str">
        <f t="shared" si="4"/>
        <v>UTILIZOU O PDA CORRETAMENTE. NÃO HÁ FOTOS DE TODAS AS ETAPAS</v>
      </c>
      <c r="AH98" s="140" t="s">
        <v>207</v>
      </c>
      <c r="AI98" s="147" t="s">
        <v>36</v>
      </c>
      <c r="AJ98" s="145" t="str">
        <f t="shared" ref="AJ98:AJ161" si="6">E98</f>
        <v>SÃO PAULO</v>
      </c>
      <c r="AK98" s="148" t="s">
        <v>75</v>
      </c>
    </row>
    <row r="99" spans="1:37" ht="30" customHeight="1">
      <c r="A99" s="197" t="s">
        <v>198</v>
      </c>
      <c r="B99" s="212">
        <v>2619779992</v>
      </c>
      <c r="C99" s="197" t="s">
        <v>1616</v>
      </c>
      <c r="D99" s="197" t="s">
        <v>127</v>
      </c>
      <c r="E99" s="197" t="s">
        <v>35</v>
      </c>
      <c r="F99" s="197" t="s">
        <v>1637</v>
      </c>
      <c r="G99" s="197">
        <v>680</v>
      </c>
      <c r="H99" s="197" t="s">
        <v>208</v>
      </c>
      <c r="I99" s="197" t="s">
        <v>253</v>
      </c>
      <c r="J99" s="197" t="s">
        <v>1624</v>
      </c>
      <c r="K99" s="197"/>
      <c r="L99" s="203">
        <v>46153.63958333333</v>
      </c>
      <c r="M99" s="203">
        <v>46153.640972222223</v>
      </c>
      <c r="N99" s="197" t="s">
        <v>203</v>
      </c>
      <c r="O99" s="201" t="s">
        <v>207</v>
      </c>
      <c r="P99" s="9"/>
      <c r="Q99" s="140" t="s">
        <v>215</v>
      </c>
      <c r="R99" s="90" t="s">
        <v>1638</v>
      </c>
      <c r="S99" s="140" t="s">
        <v>214</v>
      </c>
      <c r="T99" s="90"/>
      <c r="U99" s="140" t="s">
        <v>207</v>
      </c>
      <c r="V99" s="90"/>
      <c r="W99" s="140" t="s">
        <v>77</v>
      </c>
      <c r="X99" s="90"/>
      <c r="Y99" s="140" t="s">
        <v>77</v>
      </c>
      <c r="Z99" s="90"/>
      <c r="AA99" s="140" t="s">
        <v>77</v>
      </c>
      <c r="AB99" s="90"/>
      <c r="AC99" s="140" t="s">
        <v>207</v>
      </c>
      <c r="AD99" s="90" t="s">
        <v>298</v>
      </c>
      <c r="AE99" s="140" t="s">
        <v>207</v>
      </c>
      <c r="AF99" s="137" t="str">
        <f t="shared" si="5"/>
        <v>NC</v>
      </c>
      <c r="AG99" s="179" t="str">
        <f t="shared" si="4"/>
        <v>UTILIZOU O PDA CORRETAMENTE. NÃO HÁ FOTOS DE TODAS AS ETAPAS</v>
      </c>
      <c r="AH99" s="140" t="s">
        <v>207</v>
      </c>
      <c r="AI99" s="147" t="s">
        <v>36</v>
      </c>
      <c r="AJ99" s="145" t="str">
        <f t="shared" si="6"/>
        <v>SÃO PAULO</v>
      </c>
      <c r="AK99" s="148" t="s">
        <v>75</v>
      </c>
    </row>
    <row r="100" spans="1:37" ht="30" customHeight="1">
      <c r="A100" s="197" t="s">
        <v>198</v>
      </c>
      <c r="B100" s="212">
        <v>2619790241</v>
      </c>
      <c r="C100" s="197" t="s">
        <v>138</v>
      </c>
      <c r="D100" s="197" t="s">
        <v>124</v>
      </c>
      <c r="E100" s="197" t="s">
        <v>35</v>
      </c>
      <c r="F100" s="197" t="s">
        <v>622</v>
      </c>
      <c r="G100" s="197">
        <v>185</v>
      </c>
      <c r="H100" s="197" t="s">
        <v>208</v>
      </c>
      <c r="I100" s="197" t="s">
        <v>433</v>
      </c>
      <c r="J100" s="197" t="s">
        <v>1539</v>
      </c>
      <c r="K100" s="197" t="s">
        <v>200</v>
      </c>
      <c r="L100" s="203">
        <v>46153.557638888888</v>
      </c>
      <c r="M100" s="203">
        <v>46153.697916666664</v>
      </c>
      <c r="N100" s="197" t="s">
        <v>465</v>
      </c>
      <c r="O100" s="201" t="s">
        <v>207</v>
      </c>
      <c r="P100" s="9"/>
      <c r="Q100" s="140" t="s">
        <v>215</v>
      </c>
      <c r="R100" s="276" t="s">
        <v>1626</v>
      </c>
      <c r="S100" s="140" t="s">
        <v>207</v>
      </c>
      <c r="T100" s="90"/>
      <c r="U100" s="140" t="s">
        <v>214</v>
      </c>
      <c r="V100" s="90"/>
      <c r="W100" s="140" t="s">
        <v>214</v>
      </c>
      <c r="X100" s="90"/>
      <c r="Y100" s="140" t="s">
        <v>77</v>
      </c>
      <c r="Z100" s="90"/>
      <c r="AA100" s="140" t="s">
        <v>214</v>
      </c>
      <c r="AB100" s="90"/>
      <c r="AC100" s="140" t="s">
        <v>214</v>
      </c>
      <c r="AD100" s="90"/>
      <c r="AE100" s="140" t="s">
        <v>207</v>
      </c>
      <c r="AF100" s="137" t="str">
        <f t="shared" si="5"/>
        <v>NC</v>
      </c>
      <c r="AG100" s="179" t="str">
        <f t="shared" si="4"/>
        <v>UTILIZOU O PDA CORRETAMENTE. NÃO HÁ FOTOS DE TODAS AS ETAPAS</v>
      </c>
      <c r="AH100" s="140" t="s">
        <v>207</v>
      </c>
      <c r="AI100" s="147" t="s">
        <v>36</v>
      </c>
      <c r="AJ100" s="145" t="str">
        <f t="shared" si="6"/>
        <v>SÃO PAULO</v>
      </c>
      <c r="AK100" s="148" t="s">
        <v>75</v>
      </c>
    </row>
    <row r="101" spans="1:37" ht="30" customHeight="1">
      <c r="A101" s="197" t="s">
        <v>198</v>
      </c>
      <c r="B101" s="212">
        <v>2619790626</v>
      </c>
      <c r="C101" s="197" t="s">
        <v>136</v>
      </c>
      <c r="D101" s="197" t="s">
        <v>127</v>
      </c>
      <c r="E101" s="197" t="s">
        <v>35</v>
      </c>
      <c r="F101" s="197" t="s">
        <v>1639</v>
      </c>
      <c r="G101" s="197">
        <v>140</v>
      </c>
      <c r="H101" s="197"/>
      <c r="I101" s="197" t="s">
        <v>386</v>
      </c>
      <c r="J101" s="197" t="s">
        <v>1525</v>
      </c>
      <c r="K101" s="197"/>
      <c r="L101" s="203">
        <v>46153.462500000001</v>
      </c>
      <c r="M101" s="203">
        <v>46153.504861111112</v>
      </c>
      <c r="N101" s="197" t="s">
        <v>203</v>
      </c>
      <c r="O101" s="201" t="s">
        <v>207</v>
      </c>
      <c r="P101" s="9"/>
      <c r="Q101" s="140" t="s">
        <v>215</v>
      </c>
      <c r="R101" s="90" t="s">
        <v>1635</v>
      </c>
      <c r="S101" s="140" t="s">
        <v>214</v>
      </c>
      <c r="T101" s="90"/>
      <c r="U101" s="140" t="s">
        <v>207</v>
      </c>
      <c r="V101" s="90"/>
      <c r="W101" s="140" t="s">
        <v>77</v>
      </c>
      <c r="X101" s="90"/>
      <c r="Y101" s="140" t="s">
        <v>77</v>
      </c>
      <c r="Z101" s="90"/>
      <c r="AA101" s="140" t="s">
        <v>77</v>
      </c>
      <c r="AB101" s="90"/>
      <c r="AC101" s="140" t="s">
        <v>215</v>
      </c>
      <c r="AD101" s="90" t="s">
        <v>882</v>
      </c>
      <c r="AE101" s="140" t="s">
        <v>207</v>
      </c>
      <c r="AF101" s="137" t="str">
        <f t="shared" si="5"/>
        <v>NC</v>
      </c>
      <c r="AG101" s="179" t="str">
        <f t="shared" si="4"/>
        <v>UTILIZOU O PDA CORRETAMENTE. NÃO HÁ FOTOS DE TODAS AS ETAPAS</v>
      </c>
      <c r="AH101" s="140" t="s">
        <v>207</v>
      </c>
      <c r="AI101" s="147" t="s">
        <v>36</v>
      </c>
      <c r="AJ101" s="145" t="str">
        <f t="shared" si="6"/>
        <v>SÃO PAULO</v>
      </c>
      <c r="AK101" s="148" t="s">
        <v>75</v>
      </c>
    </row>
    <row r="102" spans="1:37" ht="30" customHeight="1">
      <c r="A102" s="197" t="s">
        <v>198</v>
      </c>
      <c r="B102" s="212">
        <v>2619797564</v>
      </c>
      <c r="C102" s="197" t="s">
        <v>138</v>
      </c>
      <c r="D102" s="197" t="s">
        <v>124</v>
      </c>
      <c r="E102" s="197" t="s">
        <v>35</v>
      </c>
      <c r="F102" s="197" t="s">
        <v>1640</v>
      </c>
      <c r="G102" s="197">
        <v>19</v>
      </c>
      <c r="H102" s="197" t="s">
        <v>200</v>
      </c>
      <c r="I102" s="197" t="s">
        <v>708</v>
      </c>
      <c r="J102" s="197" t="s">
        <v>1539</v>
      </c>
      <c r="K102" s="197" t="s">
        <v>1641</v>
      </c>
      <c r="L102" s="203">
        <v>46153.477083333331</v>
      </c>
      <c r="M102" s="203">
        <v>46153.502083333333</v>
      </c>
      <c r="N102" s="197" t="s">
        <v>1546</v>
      </c>
      <c r="O102" s="201" t="s">
        <v>214</v>
      </c>
      <c r="P102" s="9"/>
      <c r="Q102" s="140" t="s">
        <v>214</v>
      </c>
      <c r="R102" s="90"/>
      <c r="S102" s="140" t="s">
        <v>214</v>
      </c>
      <c r="T102" s="90"/>
      <c r="U102" s="140" t="s">
        <v>214</v>
      </c>
      <c r="V102" s="90"/>
      <c r="W102" s="140" t="s">
        <v>214</v>
      </c>
      <c r="X102" s="90"/>
      <c r="Y102" s="140" t="s">
        <v>214</v>
      </c>
      <c r="Z102" s="90"/>
      <c r="AA102" s="140" t="s">
        <v>207</v>
      </c>
      <c r="AB102" s="90"/>
      <c r="AC102" s="140" t="s">
        <v>214</v>
      </c>
      <c r="AD102" s="90"/>
      <c r="AE102" s="140" t="s">
        <v>207</v>
      </c>
      <c r="AF102" s="137" t="str">
        <f t="shared" si="5"/>
        <v>NC</v>
      </c>
      <c r="AG102" s="179" t="str">
        <f t="shared" si="4"/>
        <v>UTILIZOU O PDA CORRETAMENTE. NÃO HÁ FOTOS DE TODAS AS ETAPAS</v>
      </c>
      <c r="AH102" s="140" t="s">
        <v>207</v>
      </c>
      <c r="AI102" s="147" t="s">
        <v>36</v>
      </c>
      <c r="AJ102" s="145" t="str">
        <f t="shared" si="6"/>
        <v>SÃO PAULO</v>
      </c>
      <c r="AK102" s="148" t="s">
        <v>75</v>
      </c>
    </row>
    <row r="103" spans="1:37" ht="30" customHeight="1">
      <c r="A103" s="197" t="s">
        <v>198</v>
      </c>
      <c r="B103" s="212">
        <v>2619812989</v>
      </c>
      <c r="C103" s="197" t="s">
        <v>138</v>
      </c>
      <c r="D103" s="197" t="s">
        <v>124</v>
      </c>
      <c r="E103" s="197" t="s">
        <v>35</v>
      </c>
      <c r="F103" s="197" t="s">
        <v>1642</v>
      </c>
      <c r="G103" s="197">
        <v>4</v>
      </c>
      <c r="H103" s="197" t="s">
        <v>207</v>
      </c>
      <c r="I103" s="197" t="s">
        <v>567</v>
      </c>
      <c r="J103" s="197" t="s">
        <v>1539</v>
      </c>
      <c r="K103" s="197" t="s">
        <v>1619</v>
      </c>
      <c r="L103" s="203">
        <v>46153.546527777777</v>
      </c>
      <c r="M103" s="203">
        <v>46153.614583333336</v>
      </c>
      <c r="N103" s="197" t="s">
        <v>1524</v>
      </c>
      <c r="O103" s="201" t="s">
        <v>207</v>
      </c>
      <c r="P103" s="9"/>
      <c r="Q103" s="140" t="s">
        <v>207</v>
      </c>
      <c r="R103" s="90"/>
      <c r="S103" s="140" t="s">
        <v>207</v>
      </c>
      <c r="T103" s="90"/>
      <c r="U103" s="140" t="s">
        <v>207</v>
      </c>
      <c r="V103" s="90"/>
      <c r="W103" s="140" t="s">
        <v>207</v>
      </c>
      <c r="X103" s="90"/>
      <c r="Y103" s="140" t="s">
        <v>214</v>
      </c>
      <c r="Z103" s="90"/>
      <c r="AA103" s="140" t="s">
        <v>207</v>
      </c>
      <c r="AB103" s="90"/>
      <c r="AC103" s="140" t="s">
        <v>215</v>
      </c>
      <c r="AD103" s="90" t="s">
        <v>1545</v>
      </c>
      <c r="AE103" s="140" t="s">
        <v>207</v>
      </c>
      <c r="AF103" s="137" t="str">
        <f t="shared" si="5"/>
        <v>NC</v>
      </c>
      <c r="AG103" s="179" t="str">
        <f t="shared" si="4"/>
        <v>UTILIZOU O PDA CORRETAMENTE. NÃO HÁ FOTOS DE TODAS AS ETAPAS</v>
      </c>
      <c r="AH103" s="140" t="s">
        <v>207</v>
      </c>
      <c r="AI103" s="147" t="s">
        <v>36</v>
      </c>
      <c r="AJ103" s="145" t="str">
        <f t="shared" si="6"/>
        <v>SÃO PAULO</v>
      </c>
      <c r="AK103" s="148" t="s">
        <v>75</v>
      </c>
    </row>
    <row r="104" spans="1:37" ht="30" customHeight="1">
      <c r="A104" s="197" t="s">
        <v>198</v>
      </c>
      <c r="B104" s="212">
        <v>2619789782</v>
      </c>
      <c r="C104" s="197" t="s">
        <v>138</v>
      </c>
      <c r="D104" s="197" t="s">
        <v>124</v>
      </c>
      <c r="E104" s="197" t="s">
        <v>35</v>
      </c>
      <c r="F104" s="197" t="s">
        <v>597</v>
      </c>
      <c r="G104" s="197">
        <v>331</v>
      </c>
      <c r="H104" s="197" t="s">
        <v>208</v>
      </c>
      <c r="I104" s="197" t="s">
        <v>598</v>
      </c>
      <c r="J104" s="197" t="s">
        <v>1539</v>
      </c>
      <c r="K104" s="204" t="s">
        <v>1643</v>
      </c>
      <c r="L104" s="203">
        <v>46153.611111111109</v>
      </c>
      <c r="M104" s="203">
        <v>46153.727083333331</v>
      </c>
      <c r="N104" s="197" t="s">
        <v>1546</v>
      </c>
      <c r="O104" s="201" t="s">
        <v>207</v>
      </c>
      <c r="P104" s="9"/>
      <c r="Q104" s="140" t="s">
        <v>214</v>
      </c>
      <c r="R104" s="90"/>
      <c r="S104" s="140" t="s">
        <v>214</v>
      </c>
      <c r="T104" s="90"/>
      <c r="U104" s="140" t="s">
        <v>207</v>
      </c>
      <c r="V104" s="90"/>
      <c r="W104" s="140" t="s">
        <v>214</v>
      </c>
      <c r="X104" s="90"/>
      <c r="Y104" s="140" t="s">
        <v>214</v>
      </c>
      <c r="Z104" s="90"/>
      <c r="AA104" s="140" t="s">
        <v>207</v>
      </c>
      <c r="AB104" s="90"/>
      <c r="AC104" s="140" t="s">
        <v>214</v>
      </c>
      <c r="AD104" s="90"/>
      <c r="AE104" s="140" t="s">
        <v>207</v>
      </c>
      <c r="AF104" s="137" t="str">
        <f t="shared" si="5"/>
        <v>NC</v>
      </c>
      <c r="AG104" s="179" t="str">
        <f t="shared" si="4"/>
        <v>UTILIZOU O PDA CORRETAMENTE. NÃO HÁ FOTOS DE TODAS AS ETAPAS</v>
      </c>
      <c r="AH104" s="140" t="s">
        <v>207</v>
      </c>
      <c r="AI104" s="147" t="s">
        <v>36</v>
      </c>
      <c r="AJ104" s="145" t="str">
        <f t="shared" si="6"/>
        <v>SÃO PAULO</v>
      </c>
      <c r="AK104" s="148" t="s">
        <v>75</v>
      </c>
    </row>
    <row r="105" spans="1:37" ht="30" customHeight="1">
      <c r="A105" s="197" t="s">
        <v>198</v>
      </c>
      <c r="B105" s="212">
        <v>2619854691</v>
      </c>
      <c r="C105" s="197" t="s">
        <v>136</v>
      </c>
      <c r="D105" s="197" t="s">
        <v>127</v>
      </c>
      <c r="E105" s="197" t="s">
        <v>35</v>
      </c>
      <c r="F105" s="197" t="s">
        <v>713</v>
      </c>
      <c r="G105" s="197">
        <v>36</v>
      </c>
      <c r="H105" s="197" t="s">
        <v>205</v>
      </c>
      <c r="I105" s="197" t="s">
        <v>634</v>
      </c>
      <c r="J105" s="197" t="s">
        <v>1525</v>
      </c>
      <c r="K105" s="197" t="s">
        <v>200</v>
      </c>
      <c r="L105" s="203">
        <v>46153.625</v>
      </c>
      <c r="M105" s="203">
        <v>46153.625694444447</v>
      </c>
      <c r="N105" s="197" t="s">
        <v>309</v>
      </c>
      <c r="O105" s="201" t="s">
        <v>77</v>
      </c>
      <c r="P105" s="9"/>
      <c r="Q105" s="140" t="s">
        <v>77</v>
      </c>
      <c r="R105" s="90"/>
      <c r="S105" s="140" t="s">
        <v>77</v>
      </c>
      <c r="T105" s="90"/>
      <c r="U105" s="140" t="s">
        <v>77</v>
      </c>
      <c r="V105" s="90"/>
      <c r="W105" s="140" t="s">
        <v>77</v>
      </c>
      <c r="X105" s="90"/>
      <c r="Y105" s="140" t="s">
        <v>77</v>
      </c>
      <c r="Z105" s="90"/>
      <c r="AA105" s="140" t="s">
        <v>77</v>
      </c>
      <c r="AB105" s="90"/>
      <c r="AC105" s="140" t="s">
        <v>77</v>
      </c>
      <c r="AD105" s="90"/>
      <c r="AE105" s="140" t="s">
        <v>77</v>
      </c>
      <c r="AF105" s="137" t="str">
        <f t="shared" si="5"/>
        <v>NA</v>
      </c>
      <c r="AG105" s="179" t="str">
        <f t="shared" si="4"/>
        <v>NÃO AVALIADO POR FALHA DE SINCRONISMO</v>
      </c>
      <c r="AH105" s="140" t="s">
        <v>207</v>
      </c>
      <c r="AI105" s="147" t="s">
        <v>36</v>
      </c>
      <c r="AJ105" s="145" t="str">
        <f t="shared" si="6"/>
        <v>SÃO PAULO</v>
      </c>
      <c r="AK105" s="148" t="s">
        <v>75</v>
      </c>
    </row>
    <row r="106" spans="1:37" ht="30" customHeight="1">
      <c r="A106" s="197" t="s">
        <v>198</v>
      </c>
      <c r="B106" s="197">
        <v>2619835002</v>
      </c>
      <c r="C106" s="197" t="s">
        <v>1592</v>
      </c>
      <c r="D106" s="197" t="s">
        <v>126</v>
      </c>
      <c r="E106" s="197" t="s">
        <v>35</v>
      </c>
      <c r="F106" s="197" t="s">
        <v>650</v>
      </c>
      <c r="G106" s="197">
        <v>1136</v>
      </c>
      <c r="H106" s="197"/>
      <c r="I106" s="197" t="s">
        <v>408</v>
      </c>
      <c r="J106" s="197" t="s">
        <v>1593</v>
      </c>
      <c r="K106" s="197" t="s">
        <v>1644</v>
      </c>
      <c r="L106" s="203">
        <v>46154.267361111109</v>
      </c>
      <c r="M106" s="203">
        <v>46154.324305555558</v>
      </c>
      <c r="N106" s="197" t="s">
        <v>706</v>
      </c>
      <c r="O106" s="201" t="s">
        <v>77</v>
      </c>
      <c r="P106" s="9"/>
      <c r="Q106" s="201" t="s">
        <v>77</v>
      </c>
      <c r="R106" s="90"/>
      <c r="S106" s="201" t="s">
        <v>77</v>
      </c>
      <c r="T106" s="90"/>
      <c r="U106" s="201" t="s">
        <v>77</v>
      </c>
      <c r="V106" s="90"/>
      <c r="W106" s="201" t="s">
        <v>77</v>
      </c>
      <c r="X106" s="90"/>
      <c r="Y106" s="201" t="s">
        <v>77</v>
      </c>
      <c r="Z106" s="90"/>
      <c r="AA106" s="201" t="s">
        <v>77</v>
      </c>
      <c r="AB106" s="90"/>
      <c r="AC106" s="201" t="s">
        <v>77</v>
      </c>
      <c r="AD106" s="90"/>
      <c r="AE106" s="201" t="s">
        <v>77</v>
      </c>
      <c r="AF106" s="137" t="str">
        <f t="shared" si="5"/>
        <v>NA</v>
      </c>
      <c r="AG106" s="179" t="str">
        <f t="shared" si="4"/>
        <v>NÃO AVALIADO POR FALHA DE SINCRONISMO</v>
      </c>
      <c r="AH106" s="140"/>
      <c r="AI106" s="147" t="s">
        <v>36</v>
      </c>
      <c r="AJ106" s="145" t="str">
        <f t="shared" si="6"/>
        <v>SÃO PAULO</v>
      </c>
      <c r="AK106" s="148" t="s">
        <v>75</v>
      </c>
    </row>
    <row r="107" spans="1:37" ht="30" customHeight="1">
      <c r="A107" s="197" t="s">
        <v>198</v>
      </c>
      <c r="B107" s="197">
        <v>2619835248</v>
      </c>
      <c r="C107" s="197" t="s">
        <v>1592</v>
      </c>
      <c r="D107" s="197" t="s">
        <v>126</v>
      </c>
      <c r="E107" s="197" t="s">
        <v>35</v>
      </c>
      <c r="F107" s="197" t="s">
        <v>650</v>
      </c>
      <c r="G107" s="197">
        <v>1154</v>
      </c>
      <c r="H107" s="197" t="s">
        <v>200</v>
      </c>
      <c r="I107" s="197" t="s">
        <v>408</v>
      </c>
      <c r="J107" s="197" t="s">
        <v>1593</v>
      </c>
      <c r="K107" s="197" t="s">
        <v>1644</v>
      </c>
      <c r="L107" s="203">
        <v>46154.347222222219</v>
      </c>
      <c r="M107" s="203">
        <v>46154.409722222219</v>
      </c>
      <c r="N107" s="197" t="s">
        <v>706</v>
      </c>
      <c r="O107" s="201" t="s">
        <v>77</v>
      </c>
      <c r="P107" s="9"/>
      <c r="Q107" s="201" t="s">
        <v>77</v>
      </c>
      <c r="R107" s="90"/>
      <c r="S107" s="201" t="s">
        <v>77</v>
      </c>
      <c r="T107" s="90"/>
      <c r="U107" s="201" t="s">
        <v>77</v>
      </c>
      <c r="V107" s="90"/>
      <c r="W107" s="201" t="s">
        <v>77</v>
      </c>
      <c r="X107" s="90"/>
      <c r="Y107" s="201" t="s">
        <v>77</v>
      </c>
      <c r="Z107" s="90"/>
      <c r="AA107" s="201" t="s">
        <v>77</v>
      </c>
      <c r="AB107" s="90"/>
      <c r="AC107" s="201" t="s">
        <v>77</v>
      </c>
      <c r="AD107" s="90"/>
      <c r="AE107" s="201" t="s">
        <v>77</v>
      </c>
      <c r="AF107" s="137" t="str">
        <f t="shared" si="5"/>
        <v>NA</v>
      </c>
      <c r="AG107" s="179" t="str">
        <f t="shared" si="4"/>
        <v>NÃO AVALIADO POR FALHA DE SINCRONISMO</v>
      </c>
      <c r="AH107" s="140"/>
      <c r="AI107" s="147" t="s">
        <v>36</v>
      </c>
      <c r="AJ107" s="145" t="str">
        <f t="shared" si="6"/>
        <v>SÃO PAULO</v>
      </c>
      <c r="AK107" s="148" t="s">
        <v>75</v>
      </c>
    </row>
    <row r="108" spans="1:37" ht="30" customHeight="1">
      <c r="A108" s="197" t="s">
        <v>198</v>
      </c>
      <c r="B108" s="197">
        <v>2619834846</v>
      </c>
      <c r="C108" s="197" t="s">
        <v>1592</v>
      </c>
      <c r="D108" s="197" t="s">
        <v>126</v>
      </c>
      <c r="E108" s="197" t="s">
        <v>35</v>
      </c>
      <c r="F108" s="197" t="s">
        <v>650</v>
      </c>
      <c r="G108" s="197">
        <v>1140</v>
      </c>
      <c r="H108" s="197" t="s">
        <v>208</v>
      </c>
      <c r="I108" s="197" t="s">
        <v>408</v>
      </c>
      <c r="J108" s="197" t="s">
        <v>1593</v>
      </c>
      <c r="K108" s="197" t="s">
        <v>1644</v>
      </c>
      <c r="L108" s="203">
        <v>46154.274305555555</v>
      </c>
      <c r="M108" s="203">
        <v>46154.318749999999</v>
      </c>
      <c r="N108" s="197" t="s">
        <v>706</v>
      </c>
      <c r="O108" s="201" t="s">
        <v>77</v>
      </c>
      <c r="P108" s="9"/>
      <c r="Q108" s="201" t="s">
        <v>77</v>
      </c>
      <c r="R108" s="90"/>
      <c r="S108" s="201" t="s">
        <v>77</v>
      </c>
      <c r="T108" s="90"/>
      <c r="U108" s="201" t="s">
        <v>77</v>
      </c>
      <c r="V108" s="90"/>
      <c r="W108" s="201" t="s">
        <v>77</v>
      </c>
      <c r="X108" s="90"/>
      <c r="Y108" s="201" t="s">
        <v>77</v>
      </c>
      <c r="Z108" s="90"/>
      <c r="AA108" s="201" t="s">
        <v>77</v>
      </c>
      <c r="AB108" s="90"/>
      <c r="AC108" s="201" t="s">
        <v>77</v>
      </c>
      <c r="AD108" s="90"/>
      <c r="AE108" s="201" t="s">
        <v>77</v>
      </c>
      <c r="AF108" s="137" t="str">
        <f t="shared" si="5"/>
        <v>NA</v>
      </c>
      <c r="AG108" s="179" t="str">
        <f t="shared" si="4"/>
        <v>NÃO AVALIADO POR FALHA DE SINCRONISMO</v>
      </c>
      <c r="AH108" s="140"/>
      <c r="AI108" s="147" t="s">
        <v>36</v>
      </c>
      <c r="AJ108" s="145" t="str">
        <f t="shared" si="6"/>
        <v>SÃO PAULO</v>
      </c>
      <c r="AK108" s="148" t="s">
        <v>75</v>
      </c>
    </row>
    <row r="109" spans="1:37" ht="30" customHeight="1">
      <c r="A109" s="197" t="s">
        <v>198</v>
      </c>
      <c r="B109" s="212">
        <v>2619836152</v>
      </c>
      <c r="C109" s="197" t="s">
        <v>1592</v>
      </c>
      <c r="D109" s="197" t="s">
        <v>126</v>
      </c>
      <c r="E109" s="197" t="s">
        <v>35</v>
      </c>
      <c r="F109" s="197" t="s">
        <v>1430</v>
      </c>
      <c r="G109" s="197">
        <v>424</v>
      </c>
      <c r="H109" s="197" t="s">
        <v>208</v>
      </c>
      <c r="I109" s="197" t="s">
        <v>408</v>
      </c>
      <c r="J109" s="197" t="s">
        <v>1593</v>
      </c>
      <c r="K109" s="197" t="s">
        <v>1645</v>
      </c>
      <c r="L109" s="203">
        <v>46154.409722222219</v>
      </c>
      <c r="M109" s="203">
        <v>46154.451388888891</v>
      </c>
      <c r="N109" s="197" t="s">
        <v>706</v>
      </c>
      <c r="O109" s="201" t="s">
        <v>77</v>
      </c>
      <c r="P109" s="9"/>
      <c r="Q109" s="140" t="s">
        <v>77</v>
      </c>
      <c r="R109" s="90"/>
      <c r="S109" s="140" t="s">
        <v>77</v>
      </c>
      <c r="T109" s="90"/>
      <c r="U109" s="140" t="s">
        <v>77</v>
      </c>
      <c r="V109" s="90"/>
      <c r="W109" s="140" t="s">
        <v>77</v>
      </c>
      <c r="X109" s="90"/>
      <c r="Y109" s="140" t="s">
        <v>77</v>
      </c>
      <c r="Z109" s="90"/>
      <c r="AA109" s="140" t="s">
        <v>77</v>
      </c>
      <c r="AB109" s="90"/>
      <c r="AC109" s="140" t="s">
        <v>77</v>
      </c>
      <c r="AD109" s="90"/>
      <c r="AE109" s="140" t="s">
        <v>77</v>
      </c>
      <c r="AF109" s="137" t="str">
        <f t="shared" si="5"/>
        <v>NA</v>
      </c>
      <c r="AG109" s="179" t="str">
        <f t="shared" si="4"/>
        <v>NÃO AVALIADO POR FALHA DE SINCRONISMO</v>
      </c>
      <c r="AH109" s="140" t="s">
        <v>207</v>
      </c>
      <c r="AI109" s="147" t="s">
        <v>36</v>
      </c>
      <c r="AJ109" s="145" t="str">
        <f t="shared" si="6"/>
        <v>SÃO PAULO</v>
      </c>
      <c r="AK109" s="148" t="s">
        <v>75</v>
      </c>
    </row>
    <row r="110" spans="1:37" ht="30" customHeight="1">
      <c r="A110" s="197" t="s">
        <v>198</v>
      </c>
      <c r="B110" s="212">
        <v>2619837141</v>
      </c>
      <c r="C110" s="197" t="s">
        <v>1592</v>
      </c>
      <c r="D110" s="197" t="s">
        <v>126</v>
      </c>
      <c r="E110" s="197" t="s">
        <v>35</v>
      </c>
      <c r="F110" s="197" t="s">
        <v>1430</v>
      </c>
      <c r="G110" s="197">
        <v>425</v>
      </c>
      <c r="H110" s="197" t="s">
        <v>1450</v>
      </c>
      <c r="I110" s="197" t="s">
        <v>408</v>
      </c>
      <c r="J110" s="197" t="s">
        <v>1593</v>
      </c>
      <c r="K110" s="197" t="s">
        <v>1646</v>
      </c>
      <c r="L110" s="203">
        <v>46154.427083333336</v>
      </c>
      <c r="M110" s="203">
        <v>46154.46875</v>
      </c>
      <c r="N110" s="197" t="s">
        <v>706</v>
      </c>
      <c r="O110" s="201" t="s">
        <v>77</v>
      </c>
      <c r="P110" s="9"/>
      <c r="Q110" s="140" t="s">
        <v>77</v>
      </c>
      <c r="R110" s="90"/>
      <c r="S110" s="140" t="s">
        <v>77</v>
      </c>
      <c r="T110" s="90"/>
      <c r="U110" s="140" t="s">
        <v>77</v>
      </c>
      <c r="V110" s="90"/>
      <c r="W110" s="140" t="s">
        <v>77</v>
      </c>
      <c r="X110" s="90"/>
      <c r="Y110" s="140" t="s">
        <v>77</v>
      </c>
      <c r="Z110" s="90"/>
      <c r="AA110" s="140" t="s">
        <v>77</v>
      </c>
      <c r="AB110" s="90"/>
      <c r="AC110" s="140" t="s">
        <v>77</v>
      </c>
      <c r="AD110" s="90"/>
      <c r="AE110" s="140" t="s">
        <v>77</v>
      </c>
      <c r="AF110" s="137" t="str">
        <f t="shared" si="5"/>
        <v>NA</v>
      </c>
      <c r="AG110" s="179" t="str">
        <f t="shared" si="4"/>
        <v>NÃO AVALIADO POR FALHA DE SINCRONISMO</v>
      </c>
      <c r="AH110" s="140" t="s">
        <v>207</v>
      </c>
      <c r="AI110" s="147" t="s">
        <v>36</v>
      </c>
      <c r="AJ110" s="145" t="str">
        <f t="shared" si="6"/>
        <v>SÃO PAULO</v>
      </c>
      <c r="AK110" s="148" t="s">
        <v>75</v>
      </c>
    </row>
    <row r="111" spans="1:37" ht="30" customHeight="1">
      <c r="A111" s="197" t="s">
        <v>198</v>
      </c>
      <c r="B111" s="212">
        <v>2619836562</v>
      </c>
      <c r="C111" s="197" t="s">
        <v>1592</v>
      </c>
      <c r="D111" s="197" t="s">
        <v>126</v>
      </c>
      <c r="E111" s="197" t="s">
        <v>35</v>
      </c>
      <c r="F111" s="197" t="s">
        <v>1430</v>
      </c>
      <c r="G111" s="197">
        <v>412</v>
      </c>
      <c r="H111" s="197" t="s">
        <v>205</v>
      </c>
      <c r="I111" s="197" t="s">
        <v>408</v>
      </c>
      <c r="J111" s="197" t="s">
        <v>1593</v>
      </c>
      <c r="K111" s="197" t="s">
        <v>1646</v>
      </c>
      <c r="L111" s="203">
        <v>46154.413194444445</v>
      </c>
      <c r="M111" s="203">
        <v>46154.458333333336</v>
      </c>
      <c r="N111" s="197" t="s">
        <v>706</v>
      </c>
      <c r="O111" s="201" t="s">
        <v>77</v>
      </c>
      <c r="P111" s="9"/>
      <c r="Q111" s="140" t="s">
        <v>77</v>
      </c>
      <c r="R111" s="90"/>
      <c r="S111" s="140" t="s">
        <v>77</v>
      </c>
      <c r="T111" s="90"/>
      <c r="U111" s="140" t="s">
        <v>77</v>
      </c>
      <c r="V111" s="90"/>
      <c r="W111" s="140" t="s">
        <v>77</v>
      </c>
      <c r="X111" s="90"/>
      <c r="Y111" s="140" t="s">
        <v>77</v>
      </c>
      <c r="Z111" s="90"/>
      <c r="AA111" s="140" t="s">
        <v>77</v>
      </c>
      <c r="AB111" s="90"/>
      <c r="AC111" s="140" t="s">
        <v>77</v>
      </c>
      <c r="AD111" s="90"/>
      <c r="AE111" s="140" t="s">
        <v>77</v>
      </c>
      <c r="AF111" s="137" t="str">
        <f t="shared" si="5"/>
        <v>NA</v>
      </c>
      <c r="AG111" s="179" t="str">
        <f t="shared" si="4"/>
        <v>NÃO AVALIADO POR FALHA DE SINCRONISMO</v>
      </c>
      <c r="AH111" s="140" t="s">
        <v>207</v>
      </c>
      <c r="AI111" s="147" t="s">
        <v>36</v>
      </c>
      <c r="AJ111" s="145" t="str">
        <f t="shared" si="6"/>
        <v>SÃO PAULO</v>
      </c>
      <c r="AK111" s="148" t="s">
        <v>75</v>
      </c>
    </row>
    <row r="112" spans="1:37" ht="30" customHeight="1">
      <c r="A112" s="197" t="s">
        <v>198</v>
      </c>
      <c r="B112" s="212">
        <v>2619835977</v>
      </c>
      <c r="C112" s="197" t="s">
        <v>1592</v>
      </c>
      <c r="D112" s="197" t="s">
        <v>126</v>
      </c>
      <c r="E112" s="197" t="s">
        <v>35</v>
      </c>
      <c r="F112" s="197" t="s">
        <v>1430</v>
      </c>
      <c r="G112" s="197">
        <v>416</v>
      </c>
      <c r="H112" s="197"/>
      <c r="I112" s="197" t="s">
        <v>408</v>
      </c>
      <c r="J112" s="197" t="s">
        <v>1593</v>
      </c>
      <c r="K112" s="197" t="s">
        <v>1645</v>
      </c>
      <c r="L112" s="203">
        <v>46154.402777777781</v>
      </c>
      <c r="M112" s="203">
        <v>46154.444444444445</v>
      </c>
      <c r="N112" s="197" t="s">
        <v>706</v>
      </c>
      <c r="O112" s="201" t="s">
        <v>77</v>
      </c>
      <c r="P112" s="9"/>
      <c r="Q112" s="140" t="s">
        <v>77</v>
      </c>
      <c r="R112" s="90"/>
      <c r="S112" s="140" t="s">
        <v>77</v>
      </c>
      <c r="T112" s="90"/>
      <c r="U112" s="140" t="s">
        <v>77</v>
      </c>
      <c r="V112" s="90"/>
      <c r="W112" s="140" t="s">
        <v>77</v>
      </c>
      <c r="X112" s="90"/>
      <c r="Y112" s="140" t="s">
        <v>77</v>
      </c>
      <c r="Z112" s="90"/>
      <c r="AA112" s="140" t="s">
        <v>77</v>
      </c>
      <c r="AB112" s="90"/>
      <c r="AC112" s="140" t="s">
        <v>77</v>
      </c>
      <c r="AD112" s="90"/>
      <c r="AE112" s="140" t="s">
        <v>77</v>
      </c>
      <c r="AF112" s="137" t="str">
        <f t="shared" si="5"/>
        <v>NA</v>
      </c>
      <c r="AG112" s="179" t="str">
        <f t="shared" si="4"/>
        <v>NÃO AVALIADO POR FALHA DE SINCRONISMO</v>
      </c>
      <c r="AH112" s="140" t="s">
        <v>207</v>
      </c>
      <c r="AI112" s="147" t="s">
        <v>36</v>
      </c>
      <c r="AJ112" s="145" t="str">
        <f t="shared" si="6"/>
        <v>SÃO PAULO</v>
      </c>
      <c r="AK112" s="148" t="s">
        <v>75</v>
      </c>
    </row>
    <row r="113" spans="1:37" ht="30" customHeight="1">
      <c r="A113" s="197" t="s">
        <v>198</v>
      </c>
      <c r="B113" s="212">
        <v>2619835663</v>
      </c>
      <c r="C113" s="197" t="s">
        <v>1592</v>
      </c>
      <c r="D113" s="197" t="s">
        <v>126</v>
      </c>
      <c r="E113" s="197" t="s">
        <v>35</v>
      </c>
      <c r="F113" s="197" t="s">
        <v>1430</v>
      </c>
      <c r="G113" s="197">
        <v>654</v>
      </c>
      <c r="H113" s="197" t="s">
        <v>205</v>
      </c>
      <c r="I113" s="197" t="s">
        <v>408</v>
      </c>
      <c r="J113" s="197" t="s">
        <v>1593</v>
      </c>
      <c r="K113" s="197" t="s">
        <v>1647</v>
      </c>
      <c r="L113" s="203">
        <v>46154.395833333336</v>
      </c>
      <c r="M113" s="203">
        <v>46154.44027777778</v>
      </c>
      <c r="N113" s="197" t="s">
        <v>706</v>
      </c>
      <c r="O113" s="201" t="s">
        <v>77</v>
      </c>
      <c r="P113" s="9"/>
      <c r="Q113" s="140" t="s">
        <v>77</v>
      </c>
      <c r="R113" s="90"/>
      <c r="S113" s="140" t="s">
        <v>77</v>
      </c>
      <c r="T113" s="90"/>
      <c r="U113" s="140" t="s">
        <v>77</v>
      </c>
      <c r="V113" s="90"/>
      <c r="W113" s="140" t="s">
        <v>77</v>
      </c>
      <c r="X113" s="90"/>
      <c r="Y113" s="140" t="s">
        <v>77</v>
      </c>
      <c r="Z113" s="90"/>
      <c r="AA113" s="140" t="s">
        <v>77</v>
      </c>
      <c r="AB113" s="90"/>
      <c r="AC113" s="140" t="s">
        <v>77</v>
      </c>
      <c r="AD113" s="90"/>
      <c r="AE113" s="140" t="s">
        <v>77</v>
      </c>
      <c r="AF113" s="137" t="str">
        <f t="shared" si="5"/>
        <v>NA</v>
      </c>
      <c r="AG113" s="179" t="str">
        <f t="shared" si="4"/>
        <v>NÃO AVALIADO POR FALHA DE SINCRONISMO</v>
      </c>
      <c r="AH113" s="140" t="s">
        <v>207</v>
      </c>
      <c r="AI113" s="147" t="s">
        <v>36</v>
      </c>
      <c r="AJ113" s="145" t="str">
        <f t="shared" si="6"/>
        <v>SÃO PAULO</v>
      </c>
      <c r="AK113" s="148" t="s">
        <v>75</v>
      </c>
    </row>
    <row r="114" spans="1:37" ht="30" customHeight="1">
      <c r="A114" s="197" t="s">
        <v>198</v>
      </c>
      <c r="B114" s="212">
        <v>2619836327</v>
      </c>
      <c r="C114" s="197" t="s">
        <v>1592</v>
      </c>
      <c r="D114" s="197" t="s">
        <v>126</v>
      </c>
      <c r="E114" s="197" t="s">
        <v>35</v>
      </c>
      <c r="F114" s="197" t="s">
        <v>1430</v>
      </c>
      <c r="G114" s="197">
        <v>424</v>
      </c>
      <c r="H114" s="197" t="s">
        <v>325</v>
      </c>
      <c r="I114" s="197" t="s">
        <v>408</v>
      </c>
      <c r="J114" s="197" t="s">
        <v>1593</v>
      </c>
      <c r="K114" s="197" t="s">
        <v>1646</v>
      </c>
      <c r="L114" s="203">
        <v>46154.413194444445</v>
      </c>
      <c r="M114" s="203">
        <v>46154.456250000003</v>
      </c>
      <c r="N114" s="197" t="s">
        <v>706</v>
      </c>
      <c r="O114" s="201" t="s">
        <v>77</v>
      </c>
      <c r="P114" s="9"/>
      <c r="Q114" s="140" t="s">
        <v>77</v>
      </c>
      <c r="R114" s="90"/>
      <c r="S114" s="140" t="s">
        <v>77</v>
      </c>
      <c r="T114" s="90"/>
      <c r="U114" s="140" t="s">
        <v>77</v>
      </c>
      <c r="V114" s="90"/>
      <c r="W114" s="140" t="s">
        <v>77</v>
      </c>
      <c r="X114" s="90"/>
      <c r="Y114" s="140" t="s">
        <v>77</v>
      </c>
      <c r="Z114" s="90"/>
      <c r="AA114" s="140" t="s">
        <v>77</v>
      </c>
      <c r="AB114" s="90"/>
      <c r="AC114" s="140" t="s">
        <v>77</v>
      </c>
      <c r="AD114" s="90"/>
      <c r="AE114" s="140" t="s">
        <v>77</v>
      </c>
      <c r="AF114" s="137" t="str">
        <f t="shared" si="5"/>
        <v>NA</v>
      </c>
      <c r="AG114" s="179" t="str">
        <f t="shared" si="4"/>
        <v>NÃO AVALIADO POR FALHA DE SINCRONISMO</v>
      </c>
      <c r="AH114" s="140" t="s">
        <v>207</v>
      </c>
      <c r="AI114" s="147" t="s">
        <v>36</v>
      </c>
      <c r="AJ114" s="145" t="str">
        <f t="shared" si="6"/>
        <v>SÃO PAULO</v>
      </c>
      <c r="AK114" s="148" t="s">
        <v>75</v>
      </c>
    </row>
    <row r="115" spans="1:37" ht="30" customHeight="1">
      <c r="A115" s="197" t="s">
        <v>198</v>
      </c>
      <c r="B115" s="212">
        <v>2619838180</v>
      </c>
      <c r="C115" s="197" t="s">
        <v>1592</v>
      </c>
      <c r="D115" s="197" t="s">
        <v>126</v>
      </c>
      <c r="E115" s="197" t="s">
        <v>35</v>
      </c>
      <c r="F115" s="197" t="s">
        <v>1430</v>
      </c>
      <c r="G115" s="197">
        <v>173</v>
      </c>
      <c r="H115" s="197" t="s">
        <v>200</v>
      </c>
      <c r="I115" s="197" t="s">
        <v>408</v>
      </c>
      <c r="J115" s="197" t="s">
        <v>1593</v>
      </c>
      <c r="K115" s="197" t="s">
        <v>1646</v>
      </c>
      <c r="L115" s="203">
        <v>46154.430555555555</v>
      </c>
      <c r="M115" s="203">
        <v>46154.474999999999</v>
      </c>
      <c r="N115" s="197" t="s">
        <v>706</v>
      </c>
      <c r="O115" s="201" t="s">
        <v>77</v>
      </c>
      <c r="P115" s="9"/>
      <c r="Q115" s="140" t="s">
        <v>77</v>
      </c>
      <c r="R115" s="90"/>
      <c r="S115" s="140" t="s">
        <v>77</v>
      </c>
      <c r="T115" s="90"/>
      <c r="U115" s="140" t="s">
        <v>77</v>
      </c>
      <c r="V115" s="90"/>
      <c r="W115" s="140" t="s">
        <v>77</v>
      </c>
      <c r="X115" s="90"/>
      <c r="Y115" s="140" t="s">
        <v>77</v>
      </c>
      <c r="Z115" s="90"/>
      <c r="AA115" s="140" t="s">
        <v>77</v>
      </c>
      <c r="AB115" s="90"/>
      <c r="AC115" s="140" t="s">
        <v>77</v>
      </c>
      <c r="AD115" s="90"/>
      <c r="AE115" s="140" t="s">
        <v>77</v>
      </c>
      <c r="AF115" s="137" t="str">
        <f t="shared" si="5"/>
        <v>NA</v>
      </c>
      <c r="AG115" s="179" t="str">
        <f t="shared" si="4"/>
        <v>NÃO AVALIADO POR FALHA DE SINCRONISMO</v>
      </c>
      <c r="AH115" s="140" t="s">
        <v>207</v>
      </c>
      <c r="AI115" s="147" t="s">
        <v>36</v>
      </c>
      <c r="AJ115" s="145" t="str">
        <f t="shared" si="6"/>
        <v>SÃO PAULO</v>
      </c>
      <c r="AK115" s="148" t="s">
        <v>75</v>
      </c>
    </row>
    <row r="116" spans="1:37" ht="30" customHeight="1">
      <c r="A116" s="197" t="s">
        <v>198</v>
      </c>
      <c r="B116" s="212">
        <v>2619835477</v>
      </c>
      <c r="C116" s="197" t="s">
        <v>1592</v>
      </c>
      <c r="D116" s="197" t="s">
        <v>126</v>
      </c>
      <c r="E116" s="197" t="s">
        <v>35</v>
      </c>
      <c r="F116" s="197" t="s">
        <v>1430</v>
      </c>
      <c r="G116" s="197">
        <v>658</v>
      </c>
      <c r="H116" s="197" t="s">
        <v>205</v>
      </c>
      <c r="I116" s="197" t="s">
        <v>408</v>
      </c>
      <c r="J116" s="197" t="s">
        <v>1593</v>
      </c>
      <c r="K116" s="197" t="s">
        <v>1648</v>
      </c>
      <c r="L116" s="203">
        <v>46154.381944444445</v>
      </c>
      <c r="M116" s="203">
        <v>46154.422222222223</v>
      </c>
      <c r="N116" s="197" t="s">
        <v>706</v>
      </c>
      <c r="O116" s="201" t="s">
        <v>77</v>
      </c>
      <c r="P116" s="9"/>
      <c r="Q116" s="140" t="s">
        <v>77</v>
      </c>
      <c r="R116" s="90"/>
      <c r="S116" s="140" t="s">
        <v>77</v>
      </c>
      <c r="T116" s="90"/>
      <c r="U116" s="140" t="s">
        <v>77</v>
      </c>
      <c r="V116" s="90"/>
      <c r="W116" s="140" t="s">
        <v>77</v>
      </c>
      <c r="X116" s="90"/>
      <c r="Y116" s="140" t="s">
        <v>77</v>
      </c>
      <c r="Z116" s="90"/>
      <c r="AA116" s="140" t="s">
        <v>77</v>
      </c>
      <c r="AB116" s="90"/>
      <c r="AC116" s="140" t="s">
        <v>77</v>
      </c>
      <c r="AD116" s="90"/>
      <c r="AE116" s="140" t="s">
        <v>77</v>
      </c>
      <c r="AF116" s="137" t="str">
        <f t="shared" si="5"/>
        <v>NA</v>
      </c>
      <c r="AG116" s="179" t="str">
        <f t="shared" si="4"/>
        <v>NÃO AVALIADO POR FALHA DE SINCRONISMO</v>
      </c>
      <c r="AH116" s="140" t="s">
        <v>207</v>
      </c>
      <c r="AI116" s="147" t="s">
        <v>36</v>
      </c>
      <c r="AJ116" s="145" t="str">
        <f t="shared" si="6"/>
        <v>SÃO PAULO</v>
      </c>
      <c r="AK116" s="148" t="s">
        <v>75</v>
      </c>
    </row>
    <row r="117" spans="1:37" ht="30" customHeight="1">
      <c r="A117" s="197" t="s">
        <v>198</v>
      </c>
      <c r="B117" s="212">
        <v>2619847367</v>
      </c>
      <c r="C117" s="197" t="s">
        <v>1592</v>
      </c>
      <c r="D117" s="197" t="s">
        <v>126</v>
      </c>
      <c r="E117" s="197" t="s">
        <v>35</v>
      </c>
      <c r="F117" s="197" t="s">
        <v>1649</v>
      </c>
      <c r="G117" s="197">
        <v>104</v>
      </c>
      <c r="H117" s="197" t="s">
        <v>200</v>
      </c>
      <c r="I117" s="197" t="s">
        <v>281</v>
      </c>
      <c r="J117" s="197" t="s">
        <v>1593</v>
      </c>
      <c r="K117" s="197" t="s">
        <v>1650</v>
      </c>
      <c r="L117" s="203">
        <v>46154.4375</v>
      </c>
      <c r="M117" s="203">
        <v>46154.478472222225</v>
      </c>
      <c r="N117" s="197" t="s">
        <v>706</v>
      </c>
      <c r="O117" s="201" t="s">
        <v>77</v>
      </c>
      <c r="P117" s="9"/>
      <c r="Q117" s="140" t="s">
        <v>77</v>
      </c>
      <c r="R117" s="90"/>
      <c r="S117" s="140" t="s">
        <v>77</v>
      </c>
      <c r="T117" s="90"/>
      <c r="U117" s="140" t="s">
        <v>77</v>
      </c>
      <c r="V117" s="90"/>
      <c r="W117" s="140" t="s">
        <v>77</v>
      </c>
      <c r="X117" s="90"/>
      <c r="Y117" s="140" t="s">
        <v>77</v>
      </c>
      <c r="Z117" s="90"/>
      <c r="AA117" s="140" t="s">
        <v>77</v>
      </c>
      <c r="AB117" s="90"/>
      <c r="AC117" s="140" t="s">
        <v>77</v>
      </c>
      <c r="AD117" s="90"/>
      <c r="AE117" s="140" t="s">
        <v>77</v>
      </c>
      <c r="AF117" s="137" t="str">
        <f t="shared" si="5"/>
        <v>NA</v>
      </c>
      <c r="AG117" s="179" t="str">
        <f t="shared" si="4"/>
        <v>NÃO AVALIADO POR FALHA DE SINCRONISMO</v>
      </c>
      <c r="AH117" s="140" t="s">
        <v>207</v>
      </c>
      <c r="AI117" s="147" t="s">
        <v>36</v>
      </c>
      <c r="AJ117" s="145" t="str">
        <f t="shared" si="6"/>
        <v>SÃO PAULO</v>
      </c>
      <c r="AK117" s="148" t="s">
        <v>75</v>
      </c>
    </row>
    <row r="118" spans="1:37" ht="30" customHeight="1">
      <c r="A118" s="197" t="s">
        <v>198</v>
      </c>
      <c r="B118" s="212">
        <v>2619478126</v>
      </c>
      <c r="C118" s="197" t="s">
        <v>136</v>
      </c>
      <c r="D118" s="197" t="s">
        <v>127</v>
      </c>
      <c r="E118" s="197" t="s">
        <v>35</v>
      </c>
      <c r="F118" s="197" t="s">
        <v>731</v>
      </c>
      <c r="G118" s="197">
        <v>206</v>
      </c>
      <c r="H118" s="197"/>
      <c r="I118" s="197" t="s">
        <v>548</v>
      </c>
      <c r="J118" s="197" t="s">
        <v>1553</v>
      </c>
      <c r="K118" s="197"/>
      <c r="L118" s="203">
        <v>46154.475694444445</v>
      </c>
      <c r="M118" s="203">
        <v>46154.476388888892</v>
      </c>
      <c r="N118" s="197" t="s">
        <v>309</v>
      </c>
      <c r="O118" s="201" t="s">
        <v>207</v>
      </c>
      <c r="P118" s="9"/>
      <c r="Q118" s="140" t="s">
        <v>207</v>
      </c>
      <c r="R118" s="90"/>
      <c r="S118" s="140" t="s">
        <v>77</v>
      </c>
      <c r="T118" s="90"/>
      <c r="U118" s="140" t="s">
        <v>207</v>
      </c>
      <c r="V118" s="90"/>
      <c r="W118" s="140" t="s">
        <v>77</v>
      </c>
      <c r="X118" s="90"/>
      <c r="Y118" s="140" t="s">
        <v>77</v>
      </c>
      <c r="Z118" s="90"/>
      <c r="AA118" s="140" t="s">
        <v>77</v>
      </c>
      <c r="AB118" s="90"/>
      <c r="AC118" s="140" t="s">
        <v>215</v>
      </c>
      <c r="AD118" s="90" t="s">
        <v>532</v>
      </c>
      <c r="AE118" s="140" t="s">
        <v>207</v>
      </c>
      <c r="AF118" s="137" t="str">
        <f t="shared" si="5"/>
        <v>NC</v>
      </c>
      <c r="AG118" s="179" t="str">
        <f t="shared" si="4"/>
        <v>UTILIZOU O PDA CORRETAMENTE. NÃO HÁ FOTOS DE TODAS AS ETAPAS</v>
      </c>
      <c r="AH118" s="140"/>
      <c r="AI118" s="147" t="s">
        <v>36</v>
      </c>
      <c r="AJ118" s="145" t="str">
        <f t="shared" si="6"/>
        <v>SÃO PAULO</v>
      </c>
      <c r="AK118" s="148" t="s">
        <v>75</v>
      </c>
    </row>
    <row r="119" spans="1:37" ht="30" customHeight="1">
      <c r="A119" s="197" t="s">
        <v>198</v>
      </c>
      <c r="B119" s="212">
        <v>2618717358</v>
      </c>
      <c r="C119" s="197" t="s">
        <v>1651</v>
      </c>
      <c r="D119" s="197" t="s">
        <v>125</v>
      </c>
      <c r="E119" s="197" t="s">
        <v>35</v>
      </c>
      <c r="F119" s="197" t="s">
        <v>1493</v>
      </c>
      <c r="G119" s="197">
        <v>6</v>
      </c>
      <c r="H119" s="197"/>
      <c r="I119" s="197" t="s">
        <v>853</v>
      </c>
      <c r="J119" s="197" t="s">
        <v>1652</v>
      </c>
      <c r="K119" s="197"/>
      <c r="L119" s="203">
        <v>46154.415277777778</v>
      </c>
      <c r="M119" s="203">
        <v>46154.585416666669</v>
      </c>
      <c r="N119" s="197" t="s">
        <v>1546</v>
      </c>
      <c r="O119" s="201" t="s">
        <v>207</v>
      </c>
      <c r="P119" s="9"/>
      <c r="Q119" s="140" t="s">
        <v>214</v>
      </c>
      <c r="R119" s="90"/>
      <c r="S119" s="140" t="s">
        <v>214</v>
      </c>
      <c r="T119" s="90"/>
      <c r="U119" s="140" t="s">
        <v>207</v>
      </c>
      <c r="V119" s="90"/>
      <c r="W119" s="140" t="s">
        <v>207</v>
      </c>
      <c r="X119" s="90"/>
      <c r="Y119" s="140" t="s">
        <v>207</v>
      </c>
      <c r="Z119" s="90"/>
      <c r="AA119" s="140" t="s">
        <v>207</v>
      </c>
      <c r="AB119" s="90"/>
      <c r="AC119" s="140" t="s">
        <v>215</v>
      </c>
      <c r="AD119" s="90" t="s">
        <v>532</v>
      </c>
      <c r="AE119" s="140" t="s">
        <v>207</v>
      </c>
      <c r="AF119" s="137" t="str">
        <f t="shared" si="5"/>
        <v>NC</v>
      </c>
      <c r="AG119" s="179" t="str">
        <f t="shared" si="4"/>
        <v>UTILIZOU O PDA CORRETAMENTE. NÃO HÁ FOTOS DE TODAS AS ETAPAS</v>
      </c>
      <c r="AH119" s="140" t="s">
        <v>207</v>
      </c>
      <c r="AI119" s="147" t="s">
        <v>36</v>
      </c>
      <c r="AJ119" s="145" t="str">
        <f t="shared" si="6"/>
        <v>SÃO PAULO</v>
      </c>
      <c r="AK119" s="148" t="s">
        <v>75</v>
      </c>
    </row>
    <row r="120" spans="1:37" ht="30" customHeight="1">
      <c r="A120" s="197" t="s">
        <v>198</v>
      </c>
      <c r="B120" s="212">
        <v>2619877524</v>
      </c>
      <c r="C120" s="197" t="s">
        <v>135</v>
      </c>
      <c r="D120" s="197" t="s">
        <v>125</v>
      </c>
      <c r="E120" s="197" t="s">
        <v>35</v>
      </c>
      <c r="F120" s="197" t="s">
        <v>951</v>
      </c>
      <c r="G120" s="197">
        <v>69</v>
      </c>
      <c r="H120" s="197" t="s">
        <v>200</v>
      </c>
      <c r="I120" s="197" t="s">
        <v>853</v>
      </c>
      <c r="J120" s="197" t="s">
        <v>135</v>
      </c>
      <c r="K120" s="197" t="s">
        <v>200</v>
      </c>
      <c r="L120" s="203">
        <v>46154.445833333331</v>
      </c>
      <c r="M120" s="203">
        <v>46154.625</v>
      </c>
      <c r="N120" s="197" t="s">
        <v>465</v>
      </c>
      <c r="O120" s="201" t="s">
        <v>215</v>
      </c>
      <c r="P120" s="9" t="s">
        <v>227</v>
      </c>
      <c r="Q120" s="201" t="s">
        <v>215</v>
      </c>
      <c r="R120" s="9" t="s">
        <v>227</v>
      </c>
      <c r="S120" s="201" t="s">
        <v>215</v>
      </c>
      <c r="T120" s="9" t="s">
        <v>227</v>
      </c>
      <c r="U120" s="201" t="s">
        <v>215</v>
      </c>
      <c r="V120" s="9" t="s">
        <v>227</v>
      </c>
      <c r="W120" s="201" t="s">
        <v>215</v>
      </c>
      <c r="X120" s="9" t="s">
        <v>227</v>
      </c>
      <c r="Y120" s="201" t="s">
        <v>215</v>
      </c>
      <c r="Z120" s="9" t="s">
        <v>227</v>
      </c>
      <c r="AA120" s="201" t="s">
        <v>215</v>
      </c>
      <c r="AB120" s="9" t="s">
        <v>227</v>
      </c>
      <c r="AC120" s="201" t="s">
        <v>215</v>
      </c>
      <c r="AD120" s="9" t="s">
        <v>227</v>
      </c>
      <c r="AE120" s="201" t="s">
        <v>215</v>
      </c>
      <c r="AF120" s="137" t="str">
        <f t="shared" si="5"/>
        <v>NC</v>
      </c>
      <c r="AG120" s="179" t="str">
        <f t="shared" si="4"/>
        <v>NÃO UTILIZOU O PDA</v>
      </c>
      <c r="AH120" s="140" t="s">
        <v>207</v>
      </c>
      <c r="AI120" s="147" t="s">
        <v>36</v>
      </c>
      <c r="AJ120" s="145" t="str">
        <f t="shared" si="6"/>
        <v>SÃO PAULO</v>
      </c>
      <c r="AK120" s="148" t="s">
        <v>75</v>
      </c>
    </row>
    <row r="121" spans="1:37" ht="30" customHeight="1">
      <c r="A121" s="197" t="s">
        <v>198</v>
      </c>
      <c r="B121" s="212">
        <v>2619969627</v>
      </c>
      <c r="C121" s="197" t="s">
        <v>1592</v>
      </c>
      <c r="D121" s="197" t="s">
        <v>126</v>
      </c>
      <c r="E121" s="197" t="s">
        <v>35</v>
      </c>
      <c r="F121" s="197" t="s">
        <v>1653</v>
      </c>
      <c r="G121" s="197">
        <v>145</v>
      </c>
      <c r="H121" s="197" t="s">
        <v>200</v>
      </c>
      <c r="I121" s="197" t="s">
        <v>558</v>
      </c>
      <c r="J121" s="197" t="s">
        <v>1593</v>
      </c>
      <c r="K121" s="197" t="s">
        <v>200</v>
      </c>
      <c r="L121" s="203">
        <v>46154.625</v>
      </c>
      <c r="M121" s="203">
        <v>46154.625694444447</v>
      </c>
      <c r="N121" s="197" t="s">
        <v>1537</v>
      </c>
      <c r="O121" s="201" t="s">
        <v>77</v>
      </c>
      <c r="P121" s="9"/>
      <c r="Q121" s="140" t="s">
        <v>77</v>
      </c>
      <c r="R121" s="90"/>
      <c r="S121" s="140" t="s">
        <v>77</v>
      </c>
      <c r="T121" s="90"/>
      <c r="U121" s="140" t="s">
        <v>77</v>
      </c>
      <c r="V121" s="90"/>
      <c r="W121" s="140" t="s">
        <v>77</v>
      </c>
      <c r="X121" s="90"/>
      <c r="Y121" s="140" t="s">
        <v>77</v>
      </c>
      <c r="Z121" s="90"/>
      <c r="AA121" s="140" t="s">
        <v>77</v>
      </c>
      <c r="AB121" s="90"/>
      <c r="AC121" s="140" t="s">
        <v>77</v>
      </c>
      <c r="AD121" s="90"/>
      <c r="AE121" s="140" t="s">
        <v>77</v>
      </c>
      <c r="AF121" s="137" t="str">
        <f t="shared" si="5"/>
        <v>NA</v>
      </c>
      <c r="AG121" s="179" t="str">
        <f t="shared" si="4"/>
        <v>NÃO AVALIADO POR FALHA DE SINCRONISMO</v>
      </c>
      <c r="AH121" s="140" t="s">
        <v>207</v>
      </c>
      <c r="AI121" s="147" t="s">
        <v>36</v>
      </c>
      <c r="AJ121" s="145" t="str">
        <f t="shared" si="6"/>
        <v>SÃO PAULO</v>
      </c>
      <c r="AK121" s="148" t="s">
        <v>75</v>
      </c>
    </row>
    <row r="122" spans="1:37" ht="30" customHeight="1">
      <c r="A122" s="197" t="s">
        <v>198</v>
      </c>
      <c r="B122" s="212">
        <v>2619970007</v>
      </c>
      <c r="C122" s="197" t="s">
        <v>1592</v>
      </c>
      <c r="D122" s="197" t="s">
        <v>126</v>
      </c>
      <c r="E122" s="197" t="s">
        <v>35</v>
      </c>
      <c r="F122" s="197" t="s">
        <v>1653</v>
      </c>
      <c r="G122" s="197">
        <v>132</v>
      </c>
      <c r="H122" s="197"/>
      <c r="I122" s="197" t="s">
        <v>558</v>
      </c>
      <c r="J122" s="197" t="s">
        <v>1593</v>
      </c>
      <c r="K122" s="197"/>
      <c r="L122" s="203">
        <v>46154.625</v>
      </c>
      <c r="M122" s="203">
        <v>46154.625694444447</v>
      </c>
      <c r="N122" s="197" t="s">
        <v>1537</v>
      </c>
      <c r="O122" s="201" t="s">
        <v>77</v>
      </c>
      <c r="P122" s="9"/>
      <c r="Q122" s="140" t="s">
        <v>77</v>
      </c>
      <c r="R122" s="90"/>
      <c r="S122" s="140" t="s">
        <v>77</v>
      </c>
      <c r="T122" s="90"/>
      <c r="U122" s="140" t="s">
        <v>77</v>
      </c>
      <c r="V122" s="90"/>
      <c r="W122" s="140" t="s">
        <v>77</v>
      </c>
      <c r="X122" s="90"/>
      <c r="Y122" s="140" t="s">
        <v>77</v>
      </c>
      <c r="Z122" s="90"/>
      <c r="AA122" s="140" t="s">
        <v>77</v>
      </c>
      <c r="AB122" s="90"/>
      <c r="AC122" s="140" t="s">
        <v>77</v>
      </c>
      <c r="AD122" s="90"/>
      <c r="AE122" s="140" t="s">
        <v>77</v>
      </c>
      <c r="AF122" s="137" t="str">
        <f t="shared" si="5"/>
        <v>NA</v>
      </c>
      <c r="AG122" s="179" t="str">
        <f t="shared" si="4"/>
        <v>NÃO AVALIADO POR FALHA DE SINCRONISMO</v>
      </c>
      <c r="AH122" s="140" t="s">
        <v>207</v>
      </c>
      <c r="AI122" s="147" t="s">
        <v>36</v>
      </c>
      <c r="AJ122" s="145" t="str">
        <f t="shared" si="6"/>
        <v>SÃO PAULO</v>
      </c>
      <c r="AK122" s="148" t="s">
        <v>75</v>
      </c>
    </row>
    <row r="123" spans="1:37" ht="30" customHeight="1">
      <c r="A123" s="197" t="s">
        <v>198</v>
      </c>
      <c r="B123" s="212">
        <v>2619961581</v>
      </c>
      <c r="C123" s="197" t="s">
        <v>1592</v>
      </c>
      <c r="D123" s="197" t="s">
        <v>126</v>
      </c>
      <c r="E123" s="197" t="s">
        <v>35</v>
      </c>
      <c r="F123" s="197" t="s">
        <v>410</v>
      </c>
      <c r="G123" s="197">
        <v>75</v>
      </c>
      <c r="H123" s="197" t="s">
        <v>200</v>
      </c>
      <c r="I123" s="197" t="s">
        <v>411</v>
      </c>
      <c r="J123" s="197" t="s">
        <v>1593</v>
      </c>
      <c r="K123" s="197" t="s">
        <v>200</v>
      </c>
      <c r="L123" s="203">
        <v>46154.625</v>
      </c>
      <c r="M123" s="203">
        <v>46154.625694444447</v>
      </c>
      <c r="N123" s="197" t="s">
        <v>1565</v>
      </c>
      <c r="O123" s="201" t="s">
        <v>77</v>
      </c>
      <c r="P123" s="9"/>
      <c r="Q123" s="140" t="s">
        <v>77</v>
      </c>
      <c r="R123" s="90"/>
      <c r="S123" s="140" t="s">
        <v>77</v>
      </c>
      <c r="T123" s="90"/>
      <c r="U123" s="140" t="s">
        <v>77</v>
      </c>
      <c r="V123" s="90"/>
      <c r="W123" s="140" t="s">
        <v>77</v>
      </c>
      <c r="X123" s="90"/>
      <c r="Y123" s="140" t="s">
        <v>77</v>
      </c>
      <c r="Z123" s="90"/>
      <c r="AA123" s="140" t="s">
        <v>77</v>
      </c>
      <c r="AB123" s="90"/>
      <c r="AC123" s="140" t="s">
        <v>77</v>
      </c>
      <c r="AD123" s="90"/>
      <c r="AE123" s="140" t="s">
        <v>77</v>
      </c>
      <c r="AF123" s="137" t="str">
        <f t="shared" si="5"/>
        <v>NA</v>
      </c>
      <c r="AG123" s="179" t="str">
        <f t="shared" si="4"/>
        <v>NÃO AVALIADO POR FALHA DE SINCRONISMO</v>
      </c>
      <c r="AH123" s="140" t="s">
        <v>207</v>
      </c>
      <c r="AI123" s="147" t="s">
        <v>36</v>
      </c>
      <c r="AJ123" s="145" t="str">
        <f t="shared" si="6"/>
        <v>SÃO PAULO</v>
      </c>
      <c r="AK123" s="148" t="s">
        <v>75</v>
      </c>
    </row>
    <row r="124" spans="1:37" ht="30" customHeight="1">
      <c r="A124" s="197" t="s">
        <v>198</v>
      </c>
      <c r="B124" s="212">
        <v>2619962301</v>
      </c>
      <c r="C124" s="197" t="s">
        <v>1592</v>
      </c>
      <c r="D124" s="197" t="s">
        <v>126</v>
      </c>
      <c r="E124" s="197" t="s">
        <v>35</v>
      </c>
      <c r="F124" s="197" t="s">
        <v>410</v>
      </c>
      <c r="G124" s="197">
        <v>67</v>
      </c>
      <c r="H124" s="197"/>
      <c r="I124" s="197" t="s">
        <v>411</v>
      </c>
      <c r="J124" s="197" t="s">
        <v>1593</v>
      </c>
      <c r="K124" s="197"/>
      <c r="L124" s="203">
        <v>46154.625</v>
      </c>
      <c r="M124" s="203">
        <v>46154.625694444447</v>
      </c>
      <c r="N124" s="197" t="s">
        <v>1565</v>
      </c>
      <c r="O124" s="201" t="s">
        <v>77</v>
      </c>
      <c r="P124" s="9"/>
      <c r="Q124" s="140" t="s">
        <v>77</v>
      </c>
      <c r="R124" s="90"/>
      <c r="S124" s="140" t="s">
        <v>77</v>
      </c>
      <c r="T124" s="90"/>
      <c r="U124" s="140" t="s">
        <v>77</v>
      </c>
      <c r="V124" s="90"/>
      <c r="W124" s="140" t="s">
        <v>77</v>
      </c>
      <c r="X124" s="90"/>
      <c r="Y124" s="140" t="s">
        <v>77</v>
      </c>
      <c r="Z124" s="90"/>
      <c r="AA124" s="140" t="s">
        <v>77</v>
      </c>
      <c r="AB124" s="90"/>
      <c r="AC124" s="140" t="s">
        <v>77</v>
      </c>
      <c r="AD124" s="90"/>
      <c r="AE124" s="140" t="s">
        <v>77</v>
      </c>
      <c r="AF124" s="137" t="str">
        <f t="shared" si="5"/>
        <v>NA</v>
      </c>
      <c r="AG124" s="179" t="str">
        <f t="shared" si="4"/>
        <v>NÃO AVALIADO POR FALHA DE SINCRONISMO</v>
      </c>
      <c r="AH124" s="140" t="s">
        <v>207</v>
      </c>
      <c r="AI124" s="147" t="s">
        <v>36</v>
      </c>
      <c r="AJ124" s="145" t="str">
        <f t="shared" si="6"/>
        <v>SÃO PAULO</v>
      </c>
      <c r="AK124" s="148" t="s">
        <v>75</v>
      </c>
    </row>
    <row r="125" spans="1:37" ht="30" customHeight="1">
      <c r="A125" s="197" t="s">
        <v>198</v>
      </c>
      <c r="B125" s="212">
        <v>2619961850</v>
      </c>
      <c r="C125" s="197" t="s">
        <v>1592</v>
      </c>
      <c r="D125" s="197" t="s">
        <v>126</v>
      </c>
      <c r="E125" s="197" t="s">
        <v>35</v>
      </c>
      <c r="F125" s="197" t="s">
        <v>410</v>
      </c>
      <c r="G125" s="197">
        <v>69</v>
      </c>
      <c r="H125" s="197" t="s">
        <v>200</v>
      </c>
      <c r="I125" s="197" t="s">
        <v>411</v>
      </c>
      <c r="J125" s="197" t="s">
        <v>1593</v>
      </c>
      <c r="K125" s="197" t="s">
        <v>200</v>
      </c>
      <c r="L125" s="203">
        <v>46154.625</v>
      </c>
      <c r="M125" s="203">
        <v>46154.625694444447</v>
      </c>
      <c r="N125" s="197" t="s">
        <v>1565</v>
      </c>
      <c r="O125" s="201" t="s">
        <v>77</v>
      </c>
      <c r="P125" s="9"/>
      <c r="Q125" s="140" t="s">
        <v>77</v>
      </c>
      <c r="R125" s="90"/>
      <c r="S125" s="140" t="s">
        <v>77</v>
      </c>
      <c r="T125" s="90"/>
      <c r="U125" s="140" t="s">
        <v>77</v>
      </c>
      <c r="V125" s="90"/>
      <c r="W125" s="140" t="s">
        <v>77</v>
      </c>
      <c r="X125" s="90"/>
      <c r="Y125" s="140" t="s">
        <v>77</v>
      </c>
      <c r="Z125" s="90"/>
      <c r="AA125" s="140" t="s">
        <v>77</v>
      </c>
      <c r="AB125" s="90"/>
      <c r="AC125" s="140" t="s">
        <v>77</v>
      </c>
      <c r="AD125" s="90"/>
      <c r="AE125" s="140" t="s">
        <v>77</v>
      </c>
      <c r="AF125" s="137" t="str">
        <f t="shared" si="5"/>
        <v>NA</v>
      </c>
      <c r="AG125" s="179" t="str">
        <f t="shared" si="4"/>
        <v>NÃO AVALIADO POR FALHA DE SINCRONISMO</v>
      </c>
      <c r="AH125" s="140" t="s">
        <v>207</v>
      </c>
      <c r="AI125" s="147" t="s">
        <v>36</v>
      </c>
      <c r="AJ125" s="145" t="str">
        <f t="shared" si="6"/>
        <v>SÃO PAULO</v>
      </c>
      <c r="AK125" s="148" t="s">
        <v>75</v>
      </c>
    </row>
    <row r="126" spans="1:37" ht="30" customHeight="1">
      <c r="A126" s="197" t="s">
        <v>198</v>
      </c>
      <c r="B126" s="212">
        <v>2619965952</v>
      </c>
      <c r="C126" s="197" t="s">
        <v>1592</v>
      </c>
      <c r="D126" s="197" t="s">
        <v>126</v>
      </c>
      <c r="E126" s="197" t="s">
        <v>35</v>
      </c>
      <c r="F126" s="197" t="s">
        <v>410</v>
      </c>
      <c r="G126" s="197">
        <v>49</v>
      </c>
      <c r="H126" s="197"/>
      <c r="I126" s="197" t="s">
        <v>411</v>
      </c>
      <c r="J126" s="197" t="s">
        <v>1593</v>
      </c>
      <c r="K126" s="197"/>
      <c r="L126" s="203">
        <v>46154.666666666664</v>
      </c>
      <c r="M126" s="203">
        <v>46154.667361111111</v>
      </c>
      <c r="N126" s="197" t="s">
        <v>1565</v>
      </c>
      <c r="O126" s="201" t="s">
        <v>77</v>
      </c>
      <c r="P126" s="9"/>
      <c r="Q126" s="140" t="s">
        <v>77</v>
      </c>
      <c r="R126" s="90"/>
      <c r="S126" s="140" t="s">
        <v>77</v>
      </c>
      <c r="T126" s="90"/>
      <c r="U126" s="140" t="s">
        <v>77</v>
      </c>
      <c r="V126" s="90"/>
      <c r="W126" s="140" t="s">
        <v>77</v>
      </c>
      <c r="X126" s="90"/>
      <c r="Y126" s="140" t="s">
        <v>77</v>
      </c>
      <c r="Z126" s="90"/>
      <c r="AA126" s="140" t="s">
        <v>77</v>
      </c>
      <c r="AB126" s="90"/>
      <c r="AC126" s="140" t="s">
        <v>77</v>
      </c>
      <c r="AD126" s="90"/>
      <c r="AE126" s="140" t="s">
        <v>77</v>
      </c>
      <c r="AF126" s="137" t="str">
        <f t="shared" si="5"/>
        <v>NA</v>
      </c>
      <c r="AG126" s="179" t="str">
        <f t="shared" si="4"/>
        <v>NÃO AVALIADO POR FALHA DE SINCRONISMO</v>
      </c>
      <c r="AH126" s="140" t="s">
        <v>207</v>
      </c>
      <c r="AI126" s="147" t="s">
        <v>36</v>
      </c>
      <c r="AJ126" s="145" t="str">
        <f t="shared" si="6"/>
        <v>SÃO PAULO</v>
      </c>
      <c r="AK126" s="148" t="s">
        <v>75</v>
      </c>
    </row>
    <row r="127" spans="1:37" ht="30" customHeight="1">
      <c r="A127" s="197" t="s">
        <v>198</v>
      </c>
      <c r="B127" s="212">
        <v>2619961964</v>
      </c>
      <c r="C127" s="197" t="s">
        <v>1592</v>
      </c>
      <c r="D127" s="197" t="s">
        <v>126</v>
      </c>
      <c r="E127" s="197" t="s">
        <v>35</v>
      </c>
      <c r="F127" s="197" t="s">
        <v>410</v>
      </c>
      <c r="G127" s="197">
        <v>54</v>
      </c>
      <c r="H127" s="197" t="s">
        <v>200</v>
      </c>
      <c r="I127" s="197" t="s">
        <v>411</v>
      </c>
      <c r="J127" s="197" t="s">
        <v>1593</v>
      </c>
      <c r="K127" s="197" t="s">
        <v>200</v>
      </c>
      <c r="L127" s="203">
        <v>46154.625</v>
      </c>
      <c r="M127" s="203">
        <v>46154.625694444447</v>
      </c>
      <c r="N127" s="197" t="s">
        <v>1565</v>
      </c>
      <c r="O127" s="201" t="s">
        <v>77</v>
      </c>
      <c r="P127" s="9"/>
      <c r="Q127" s="140" t="s">
        <v>77</v>
      </c>
      <c r="R127" s="90"/>
      <c r="S127" s="140" t="s">
        <v>77</v>
      </c>
      <c r="T127" s="90"/>
      <c r="U127" s="140" t="s">
        <v>77</v>
      </c>
      <c r="V127" s="90"/>
      <c r="W127" s="140" t="s">
        <v>77</v>
      </c>
      <c r="X127" s="90"/>
      <c r="Y127" s="140" t="s">
        <v>77</v>
      </c>
      <c r="Z127" s="90"/>
      <c r="AA127" s="140" t="s">
        <v>77</v>
      </c>
      <c r="AB127" s="90"/>
      <c r="AC127" s="140" t="s">
        <v>77</v>
      </c>
      <c r="AD127" s="90"/>
      <c r="AE127" s="140" t="s">
        <v>77</v>
      </c>
      <c r="AF127" s="137" t="str">
        <f t="shared" si="5"/>
        <v>NA</v>
      </c>
      <c r="AG127" s="179" t="str">
        <f t="shared" si="4"/>
        <v>NÃO AVALIADO POR FALHA DE SINCRONISMO</v>
      </c>
      <c r="AH127" s="140" t="s">
        <v>207</v>
      </c>
      <c r="AI127" s="147" t="s">
        <v>36</v>
      </c>
      <c r="AJ127" s="145" t="str">
        <f t="shared" si="6"/>
        <v>SÃO PAULO</v>
      </c>
      <c r="AK127" s="148" t="s">
        <v>75</v>
      </c>
    </row>
    <row r="128" spans="1:37" ht="30" customHeight="1">
      <c r="A128" s="197" t="s">
        <v>198</v>
      </c>
      <c r="B128" s="212">
        <v>2619963249</v>
      </c>
      <c r="C128" s="197" t="s">
        <v>1592</v>
      </c>
      <c r="D128" s="197" t="s">
        <v>126</v>
      </c>
      <c r="E128" s="197" t="s">
        <v>35</v>
      </c>
      <c r="F128" s="197" t="s">
        <v>410</v>
      </c>
      <c r="G128" s="197">
        <v>63</v>
      </c>
      <c r="H128" s="197"/>
      <c r="I128" s="197" t="s">
        <v>411</v>
      </c>
      <c r="J128" s="197" t="s">
        <v>1593</v>
      </c>
      <c r="K128" s="197"/>
      <c r="L128" s="203">
        <v>46154.625</v>
      </c>
      <c r="M128" s="203">
        <v>46154.625694444447</v>
      </c>
      <c r="N128" s="197" t="s">
        <v>1565</v>
      </c>
      <c r="O128" s="201" t="s">
        <v>77</v>
      </c>
      <c r="P128" s="9"/>
      <c r="Q128" s="140" t="s">
        <v>77</v>
      </c>
      <c r="R128" s="90"/>
      <c r="S128" s="140" t="s">
        <v>77</v>
      </c>
      <c r="T128" s="90"/>
      <c r="U128" s="140" t="s">
        <v>77</v>
      </c>
      <c r="V128" s="90"/>
      <c r="W128" s="140" t="s">
        <v>77</v>
      </c>
      <c r="X128" s="90"/>
      <c r="Y128" s="140" t="s">
        <v>77</v>
      </c>
      <c r="Z128" s="90"/>
      <c r="AA128" s="140" t="s">
        <v>77</v>
      </c>
      <c r="AB128" s="90"/>
      <c r="AC128" s="140" t="s">
        <v>77</v>
      </c>
      <c r="AD128" s="90"/>
      <c r="AE128" s="140" t="s">
        <v>77</v>
      </c>
      <c r="AF128" s="137" t="str">
        <f t="shared" si="5"/>
        <v>NA</v>
      </c>
      <c r="AG128" s="179" t="str">
        <f t="shared" si="4"/>
        <v>NÃO AVALIADO POR FALHA DE SINCRONISMO</v>
      </c>
      <c r="AH128" s="140" t="s">
        <v>207</v>
      </c>
      <c r="AI128" s="147" t="s">
        <v>36</v>
      </c>
      <c r="AJ128" s="145" t="str">
        <f t="shared" si="6"/>
        <v>SÃO PAULO</v>
      </c>
      <c r="AK128" s="148" t="s">
        <v>75</v>
      </c>
    </row>
    <row r="129" spans="1:37" ht="30" customHeight="1">
      <c r="A129" s="197" t="s">
        <v>198</v>
      </c>
      <c r="B129" s="212">
        <v>2619969209</v>
      </c>
      <c r="C129" s="197" t="s">
        <v>1592</v>
      </c>
      <c r="D129" s="197" t="s">
        <v>126</v>
      </c>
      <c r="E129" s="197" t="s">
        <v>35</v>
      </c>
      <c r="F129" s="197" t="s">
        <v>410</v>
      </c>
      <c r="G129" s="197">
        <v>37</v>
      </c>
      <c r="H129" s="197" t="s">
        <v>200</v>
      </c>
      <c r="I129" s="197" t="s">
        <v>411</v>
      </c>
      <c r="J129" s="197" t="s">
        <v>1593</v>
      </c>
      <c r="K129" s="197" t="s">
        <v>200</v>
      </c>
      <c r="L129" s="203">
        <v>46154.666666666664</v>
      </c>
      <c r="M129" s="203">
        <v>46154.667361111111</v>
      </c>
      <c r="N129" s="197" t="s">
        <v>1565</v>
      </c>
      <c r="O129" s="201" t="s">
        <v>77</v>
      </c>
      <c r="P129" s="9"/>
      <c r="Q129" s="140" t="s">
        <v>77</v>
      </c>
      <c r="R129" s="90"/>
      <c r="S129" s="140" t="s">
        <v>77</v>
      </c>
      <c r="T129" s="90"/>
      <c r="U129" s="140" t="s">
        <v>77</v>
      </c>
      <c r="V129" s="90"/>
      <c r="W129" s="140" t="s">
        <v>77</v>
      </c>
      <c r="X129" s="90"/>
      <c r="Y129" s="140" t="s">
        <v>77</v>
      </c>
      <c r="Z129" s="90"/>
      <c r="AA129" s="140" t="s">
        <v>77</v>
      </c>
      <c r="AB129" s="90"/>
      <c r="AC129" s="140" t="s">
        <v>77</v>
      </c>
      <c r="AD129" s="90"/>
      <c r="AE129" s="140" t="s">
        <v>77</v>
      </c>
      <c r="AF129" s="137" t="str">
        <f t="shared" si="5"/>
        <v>NA</v>
      </c>
      <c r="AG129" s="179" t="str">
        <f t="shared" si="4"/>
        <v>NÃO AVALIADO POR FALHA DE SINCRONISMO</v>
      </c>
      <c r="AH129" s="140" t="s">
        <v>207</v>
      </c>
      <c r="AI129" s="147" t="s">
        <v>36</v>
      </c>
      <c r="AJ129" s="145" t="str">
        <f t="shared" si="6"/>
        <v>SÃO PAULO</v>
      </c>
      <c r="AK129" s="148" t="s">
        <v>75</v>
      </c>
    </row>
    <row r="130" spans="1:37" ht="30" customHeight="1">
      <c r="A130" s="197" t="s">
        <v>198</v>
      </c>
      <c r="B130" s="212">
        <v>2619964361</v>
      </c>
      <c r="C130" s="197" t="s">
        <v>1592</v>
      </c>
      <c r="D130" s="197" t="s">
        <v>126</v>
      </c>
      <c r="E130" s="197" t="s">
        <v>35</v>
      </c>
      <c r="F130" s="197" t="s">
        <v>410</v>
      </c>
      <c r="G130" s="197">
        <v>59</v>
      </c>
      <c r="H130" s="197"/>
      <c r="I130" s="197" t="s">
        <v>411</v>
      </c>
      <c r="J130" s="197" t="s">
        <v>1593</v>
      </c>
      <c r="K130" s="197"/>
      <c r="L130" s="203">
        <v>46154.625</v>
      </c>
      <c r="M130" s="203">
        <v>46154.625694444447</v>
      </c>
      <c r="N130" s="197" t="s">
        <v>1565</v>
      </c>
      <c r="O130" s="201" t="s">
        <v>77</v>
      </c>
      <c r="P130" s="9"/>
      <c r="Q130" s="140" t="s">
        <v>77</v>
      </c>
      <c r="R130" s="90"/>
      <c r="S130" s="140" t="s">
        <v>77</v>
      </c>
      <c r="T130" s="90"/>
      <c r="U130" s="140" t="s">
        <v>77</v>
      </c>
      <c r="V130" s="90"/>
      <c r="W130" s="140" t="s">
        <v>77</v>
      </c>
      <c r="X130" s="90"/>
      <c r="Y130" s="140" t="s">
        <v>77</v>
      </c>
      <c r="Z130" s="90"/>
      <c r="AA130" s="140" t="s">
        <v>77</v>
      </c>
      <c r="AB130" s="90"/>
      <c r="AC130" s="140" t="s">
        <v>77</v>
      </c>
      <c r="AD130" s="90"/>
      <c r="AE130" s="140" t="s">
        <v>77</v>
      </c>
      <c r="AF130" s="137" t="str">
        <f t="shared" si="5"/>
        <v>NA</v>
      </c>
      <c r="AG130" s="179" t="str">
        <f t="shared" ref="AG130:AG159" si="7">IF(AND(AE130="C",AF130="C"),"UTILIZOU O PDA CORRETAMENTE",IF(AND(AE130="C",AF130="NC"),"UTILIZOU O PDA CORRETAMENTE. NÃO HÁ FOTOS DE TODAS AS ETAPAS",IF(AND(AE130="NC",AF130="NC"),"NÃO UTILIZOU O PDA",IF(AND(AE130="NA",AF130="NA"),"NÃO AVALIADO POR FALHA DE SINCRONISMO"))))</f>
        <v>NÃO AVALIADO POR FALHA DE SINCRONISMO</v>
      </c>
      <c r="AH130" s="140" t="s">
        <v>207</v>
      </c>
      <c r="AI130" s="147" t="s">
        <v>36</v>
      </c>
      <c r="AJ130" s="145" t="str">
        <f t="shared" si="6"/>
        <v>SÃO PAULO</v>
      </c>
      <c r="AK130" s="148" t="s">
        <v>75</v>
      </c>
    </row>
    <row r="131" spans="1:37" ht="30" customHeight="1">
      <c r="A131" s="197" t="s">
        <v>198</v>
      </c>
      <c r="B131" s="212">
        <v>2619969035</v>
      </c>
      <c r="C131" s="197" t="s">
        <v>1592</v>
      </c>
      <c r="D131" s="197" t="s">
        <v>126</v>
      </c>
      <c r="E131" s="197" t="s">
        <v>35</v>
      </c>
      <c r="F131" s="197" t="s">
        <v>410</v>
      </c>
      <c r="G131" s="197">
        <v>43</v>
      </c>
      <c r="H131" s="197" t="s">
        <v>200</v>
      </c>
      <c r="I131" s="197" t="s">
        <v>411</v>
      </c>
      <c r="J131" s="197" t="s">
        <v>1593</v>
      </c>
      <c r="K131" s="197" t="s">
        <v>200</v>
      </c>
      <c r="L131" s="203">
        <v>46154.666666666664</v>
      </c>
      <c r="M131" s="203">
        <v>46154.667361111111</v>
      </c>
      <c r="N131" s="197" t="s">
        <v>1565</v>
      </c>
      <c r="O131" s="201" t="s">
        <v>77</v>
      </c>
      <c r="P131" s="9"/>
      <c r="Q131" s="140" t="s">
        <v>77</v>
      </c>
      <c r="R131" s="90"/>
      <c r="S131" s="140" t="s">
        <v>77</v>
      </c>
      <c r="T131" s="90"/>
      <c r="U131" s="140" t="s">
        <v>77</v>
      </c>
      <c r="V131" s="90"/>
      <c r="W131" s="140" t="s">
        <v>77</v>
      </c>
      <c r="X131" s="90"/>
      <c r="Y131" s="140" t="s">
        <v>77</v>
      </c>
      <c r="Z131" s="90"/>
      <c r="AA131" s="140" t="s">
        <v>77</v>
      </c>
      <c r="AB131" s="90"/>
      <c r="AC131" s="140" t="s">
        <v>77</v>
      </c>
      <c r="AD131" s="90"/>
      <c r="AE131" s="140" t="s">
        <v>77</v>
      </c>
      <c r="AF131" s="137" t="str">
        <f t="shared" ref="AF131:AF196" si="8">IF(AND(O131="",Q131="",S131="",U131="",W131="",Y131="",AA131="",AC131=""),"",IF(OR(AND(O131&lt;&gt;"NA",O131&lt;&gt;"C",O131&lt;&gt;"NC",O131&lt;&gt;"SF",O131&lt;&gt;""),AND(Q131&lt;&gt;"NA",Q131&lt;&gt;"C",Q131&lt;&gt;"NC",Q131&lt;&gt;"SF",Q131&lt;&gt;""),AND(S131&lt;&gt;"NA",S131&lt;&gt;"C",S131&lt;&gt;"NC",S131&lt;&gt;"SF",S131&lt;&gt;""),AND(U131&lt;&gt;"NA",U131&lt;&gt;"C",U131&lt;&gt;"NC",U131&lt;&gt;"SF",U131&lt;&gt;""),AND(W131&lt;&gt;"NA",W131&lt;&gt;"C",W131&lt;&gt;"NC",W131&lt;&gt;"SF",W131&lt;&gt;""),AND(Y131&lt;&gt;"NA",Y131&lt;&gt;"C",Y131&lt;&gt;"NC",Y131&lt;&gt;"SF",Y131&lt;&gt;""),AND(AA131&lt;&gt;"NA",AA131&lt;&gt;"C",AA131&lt;&gt;"NC",AA131&lt;&gt;"SF",AA131&lt;&gt;""),AND(AC131&lt;&gt;"NA",AC131&lt;&gt;"C",AC131&lt;&gt;"NC",AC131&lt;&gt;"SF",AC131&lt;&gt;"")),"FALSO",IF(AND(O131="NA",Q131="NA",S131="NA",U131="NA",W131="NA",Y131="NA",AA131="NA",AC131="NA"),"NA",IF(OR(O131="NC",Q131="NC",S131="NC",U131="NC",W131="NC",Y131="NC",AA131="NC",AC131="NC",O131="SF",Q131="SF",S131="SF",U131="SF",W131="SF",Y131="SF",AA131="SF",AC131="SF"),"NC",IF(OR(O131="C",Q131="C",S131="C",U131="C",W131="C",Y131="C",AA131="C",AC131="C"),"C","")))))</f>
        <v>NA</v>
      </c>
      <c r="AG131" s="179" t="str">
        <f t="shared" si="7"/>
        <v>NÃO AVALIADO POR FALHA DE SINCRONISMO</v>
      </c>
      <c r="AH131" s="140" t="s">
        <v>207</v>
      </c>
      <c r="AI131" s="147" t="s">
        <v>36</v>
      </c>
      <c r="AJ131" s="145" t="str">
        <f t="shared" si="6"/>
        <v>SÃO PAULO</v>
      </c>
      <c r="AK131" s="148" t="s">
        <v>75</v>
      </c>
    </row>
    <row r="132" spans="1:37" ht="30" customHeight="1">
      <c r="A132" s="197" t="s">
        <v>198</v>
      </c>
      <c r="B132" s="212">
        <v>2619968691</v>
      </c>
      <c r="C132" s="197" t="s">
        <v>1592</v>
      </c>
      <c r="D132" s="197" t="s">
        <v>126</v>
      </c>
      <c r="E132" s="197" t="s">
        <v>35</v>
      </c>
      <c r="F132" s="197" t="s">
        <v>410</v>
      </c>
      <c r="G132" s="197">
        <v>47</v>
      </c>
      <c r="H132" s="197"/>
      <c r="I132" s="197" t="s">
        <v>411</v>
      </c>
      <c r="J132" s="197" t="s">
        <v>1593</v>
      </c>
      <c r="K132" s="197"/>
      <c r="L132" s="203">
        <v>46154.666666666664</v>
      </c>
      <c r="M132" s="203">
        <v>46154.667361111111</v>
      </c>
      <c r="N132" s="197" t="s">
        <v>1565</v>
      </c>
      <c r="O132" s="201" t="s">
        <v>77</v>
      </c>
      <c r="P132" s="9"/>
      <c r="Q132" s="140" t="s">
        <v>77</v>
      </c>
      <c r="R132" s="90"/>
      <c r="S132" s="140" t="s">
        <v>77</v>
      </c>
      <c r="T132" s="90"/>
      <c r="U132" s="140" t="s">
        <v>77</v>
      </c>
      <c r="V132" s="90"/>
      <c r="W132" s="140" t="s">
        <v>77</v>
      </c>
      <c r="X132" s="90"/>
      <c r="Y132" s="140" t="s">
        <v>77</v>
      </c>
      <c r="Z132" s="90"/>
      <c r="AA132" s="140" t="s">
        <v>77</v>
      </c>
      <c r="AB132" s="90"/>
      <c r="AC132" s="140" t="s">
        <v>77</v>
      </c>
      <c r="AD132" s="90"/>
      <c r="AE132" s="140" t="s">
        <v>77</v>
      </c>
      <c r="AF132" s="137" t="str">
        <f t="shared" si="8"/>
        <v>NA</v>
      </c>
      <c r="AG132" s="179" t="str">
        <f t="shared" si="7"/>
        <v>NÃO AVALIADO POR FALHA DE SINCRONISMO</v>
      </c>
      <c r="AH132" s="140" t="s">
        <v>207</v>
      </c>
      <c r="AI132" s="147" t="s">
        <v>36</v>
      </c>
      <c r="AJ132" s="145" t="str">
        <f t="shared" si="6"/>
        <v>SÃO PAULO</v>
      </c>
      <c r="AK132" s="148" t="s">
        <v>75</v>
      </c>
    </row>
    <row r="133" spans="1:37" ht="30" customHeight="1">
      <c r="A133" s="197" t="s">
        <v>198</v>
      </c>
      <c r="B133" s="212">
        <v>2619965159</v>
      </c>
      <c r="C133" s="197" t="s">
        <v>1592</v>
      </c>
      <c r="D133" s="197" t="s">
        <v>126</v>
      </c>
      <c r="E133" s="197" t="s">
        <v>35</v>
      </c>
      <c r="F133" s="197" t="s">
        <v>410</v>
      </c>
      <c r="G133" s="197">
        <v>58</v>
      </c>
      <c r="H133" s="197" t="s">
        <v>200</v>
      </c>
      <c r="I133" s="197" t="s">
        <v>411</v>
      </c>
      <c r="J133" s="197" t="s">
        <v>1593</v>
      </c>
      <c r="K133" s="197" t="s">
        <v>200</v>
      </c>
      <c r="L133" s="203">
        <v>46154.666666666664</v>
      </c>
      <c r="M133" s="203">
        <v>46154.667361111111</v>
      </c>
      <c r="N133" s="197" t="s">
        <v>1565</v>
      </c>
      <c r="O133" s="201" t="s">
        <v>77</v>
      </c>
      <c r="P133" s="9"/>
      <c r="Q133" s="140" t="s">
        <v>77</v>
      </c>
      <c r="R133" s="90"/>
      <c r="S133" s="140" t="s">
        <v>77</v>
      </c>
      <c r="T133" s="90"/>
      <c r="U133" s="140" t="s">
        <v>77</v>
      </c>
      <c r="V133" s="90"/>
      <c r="W133" s="140" t="s">
        <v>77</v>
      </c>
      <c r="X133" s="90"/>
      <c r="Y133" s="140" t="s">
        <v>77</v>
      </c>
      <c r="Z133" s="90"/>
      <c r="AA133" s="140" t="s">
        <v>77</v>
      </c>
      <c r="AB133" s="90"/>
      <c r="AC133" s="140" t="s">
        <v>77</v>
      </c>
      <c r="AD133" s="90"/>
      <c r="AE133" s="140" t="s">
        <v>77</v>
      </c>
      <c r="AF133" s="137" t="str">
        <f t="shared" si="8"/>
        <v>NA</v>
      </c>
      <c r="AG133" s="179" t="str">
        <f t="shared" si="7"/>
        <v>NÃO AVALIADO POR FALHA DE SINCRONISMO</v>
      </c>
      <c r="AH133" s="140" t="s">
        <v>207</v>
      </c>
      <c r="AI133" s="147" t="s">
        <v>36</v>
      </c>
      <c r="AJ133" s="145" t="str">
        <f t="shared" si="6"/>
        <v>SÃO PAULO</v>
      </c>
      <c r="AK133" s="148" t="s">
        <v>75</v>
      </c>
    </row>
    <row r="134" spans="1:37" ht="30" customHeight="1">
      <c r="A134" s="197" t="s">
        <v>198</v>
      </c>
      <c r="B134" s="212">
        <v>2619962056</v>
      </c>
      <c r="C134" s="197" t="s">
        <v>1592</v>
      </c>
      <c r="D134" s="197" t="s">
        <v>126</v>
      </c>
      <c r="E134" s="197" t="s">
        <v>35</v>
      </c>
      <c r="F134" s="197" t="s">
        <v>410</v>
      </c>
      <c r="G134" s="197">
        <v>72</v>
      </c>
      <c r="H134" s="197"/>
      <c r="I134" s="197" t="s">
        <v>411</v>
      </c>
      <c r="J134" s="197" t="s">
        <v>1593</v>
      </c>
      <c r="K134" s="197"/>
      <c r="L134" s="203">
        <v>46154.625</v>
      </c>
      <c r="M134" s="203">
        <v>46154.625694444447</v>
      </c>
      <c r="N134" s="197" t="s">
        <v>1565</v>
      </c>
      <c r="O134" s="201" t="s">
        <v>77</v>
      </c>
      <c r="P134" s="9"/>
      <c r="Q134" s="140" t="s">
        <v>77</v>
      </c>
      <c r="R134" s="90"/>
      <c r="S134" s="140" t="s">
        <v>77</v>
      </c>
      <c r="T134" s="90"/>
      <c r="U134" s="140" t="s">
        <v>77</v>
      </c>
      <c r="V134" s="90"/>
      <c r="W134" s="140" t="s">
        <v>77</v>
      </c>
      <c r="X134" s="90"/>
      <c r="Y134" s="140" t="s">
        <v>77</v>
      </c>
      <c r="Z134" s="90"/>
      <c r="AA134" s="140" t="s">
        <v>77</v>
      </c>
      <c r="AB134" s="90"/>
      <c r="AC134" s="140" t="s">
        <v>77</v>
      </c>
      <c r="AD134" s="90"/>
      <c r="AE134" s="140" t="s">
        <v>77</v>
      </c>
      <c r="AF134" s="137" t="str">
        <f t="shared" si="8"/>
        <v>NA</v>
      </c>
      <c r="AG134" s="179" t="str">
        <f t="shared" si="7"/>
        <v>NÃO AVALIADO POR FALHA DE SINCRONISMO</v>
      </c>
      <c r="AH134" s="140" t="s">
        <v>207</v>
      </c>
      <c r="AI134" s="147" t="s">
        <v>36</v>
      </c>
      <c r="AJ134" s="145" t="str">
        <f t="shared" si="6"/>
        <v>SÃO PAULO</v>
      </c>
      <c r="AK134" s="148" t="s">
        <v>75</v>
      </c>
    </row>
    <row r="135" spans="1:37" ht="30" customHeight="1">
      <c r="A135" s="197" t="s">
        <v>198</v>
      </c>
      <c r="B135" s="212">
        <v>2619965527</v>
      </c>
      <c r="C135" s="197" t="s">
        <v>1592</v>
      </c>
      <c r="D135" s="197" t="s">
        <v>126</v>
      </c>
      <c r="E135" s="197" t="s">
        <v>35</v>
      </c>
      <c r="F135" s="197" t="s">
        <v>410</v>
      </c>
      <c r="G135" s="197">
        <v>55</v>
      </c>
      <c r="H135" s="197" t="s">
        <v>200</v>
      </c>
      <c r="I135" s="197" t="s">
        <v>411</v>
      </c>
      <c r="J135" s="197" t="s">
        <v>1593</v>
      </c>
      <c r="K135" s="197" t="s">
        <v>200</v>
      </c>
      <c r="L135" s="203">
        <v>46154.666666666664</v>
      </c>
      <c r="M135" s="203">
        <v>46154.667361111111</v>
      </c>
      <c r="N135" s="197" t="s">
        <v>1565</v>
      </c>
      <c r="O135" s="201" t="s">
        <v>77</v>
      </c>
      <c r="P135" s="9"/>
      <c r="Q135" s="140" t="s">
        <v>77</v>
      </c>
      <c r="R135" s="90"/>
      <c r="S135" s="140" t="s">
        <v>77</v>
      </c>
      <c r="T135" s="90"/>
      <c r="U135" s="140" t="s">
        <v>77</v>
      </c>
      <c r="V135" s="90"/>
      <c r="W135" s="140" t="s">
        <v>77</v>
      </c>
      <c r="X135" s="90"/>
      <c r="Y135" s="140" t="s">
        <v>77</v>
      </c>
      <c r="Z135" s="90"/>
      <c r="AA135" s="140" t="s">
        <v>77</v>
      </c>
      <c r="AB135" s="90"/>
      <c r="AC135" s="140" t="s">
        <v>77</v>
      </c>
      <c r="AD135" s="90"/>
      <c r="AE135" s="140" t="s">
        <v>77</v>
      </c>
      <c r="AF135" s="137" t="str">
        <f t="shared" si="8"/>
        <v>NA</v>
      </c>
      <c r="AG135" s="179" t="str">
        <f t="shared" si="7"/>
        <v>NÃO AVALIADO POR FALHA DE SINCRONISMO</v>
      </c>
      <c r="AH135" s="140" t="s">
        <v>207</v>
      </c>
      <c r="AI135" s="147" t="s">
        <v>36</v>
      </c>
      <c r="AJ135" s="145" t="str">
        <f t="shared" si="6"/>
        <v>SÃO PAULO</v>
      </c>
      <c r="AK135" s="148" t="s">
        <v>75</v>
      </c>
    </row>
    <row r="136" spans="1:37" ht="30" customHeight="1">
      <c r="A136" s="197" t="s">
        <v>198</v>
      </c>
      <c r="B136" s="212">
        <v>2619966507</v>
      </c>
      <c r="C136" s="197" t="s">
        <v>1592</v>
      </c>
      <c r="D136" s="197" t="s">
        <v>126</v>
      </c>
      <c r="E136" s="197" t="s">
        <v>35</v>
      </c>
      <c r="F136" s="197" t="s">
        <v>410</v>
      </c>
      <c r="G136" s="197">
        <v>46</v>
      </c>
      <c r="H136" s="197"/>
      <c r="I136" s="197" t="s">
        <v>411</v>
      </c>
      <c r="J136" s="197" t="s">
        <v>1593</v>
      </c>
      <c r="K136" s="197"/>
      <c r="L136" s="203">
        <v>46154.625</v>
      </c>
      <c r="M136" s="203">
        <v>46154.666666666664</v>
      </c>
      <c r="N136" s="197" t="s">
        <v>1565</v>
      </c>
      <c r="O136" s="201" t="s">
        <v>77</v>
      </c>
      <c r="P136" s="9"/>
      <c r="Q136" s="140" t="s">
        <v>77</v>
      </c>
      <c r="R136" s="90"/>
      <c r="S136" s="140" t="s">
        <v>77</v>
      </c>
      <c r="T136" s="90"/>
      <c r="U136" s="140" t="s">
        <v>77</v>
      </c>
      <c r="V136" s="90"/>
      <c r="W136" s="140" t="s">
        <v>77</v>
      </c>
      <c r="X136" s="90"/>
      <c r="Y136" s="140" t="s">
        <v>77</v>
      </c>
      <c r="Z136" s="90"/>
      <c r="AA136" s="140" t="s">
        <v>77</v>
      </c>
      <c r="AB136" s="90"/>
      <c r="AC136" s="140" t="s">
        <v>77</v>
      </c>
      <c r="AD136" s="90"/>
      <c r="AE136" s="140" t="s">
        <v>77</v>
      </c>
      <c r="AF136" s="137" t="str">
        <f t="shared" si="8"/>
        <v>NA</v>
      </c>
      <c r="AG136" s="179" t="str">
        <f t="shared" si="7"/>
        <v>NÃO AVALIADO POR FALHA DE SINCRONISMO</v>
      </c>
      <c r="AH136" s="140" t="s">
        <v>207</v>
      </c>
      <c r="AI136" s="147" t="s">
        <v>36</v>
      </c>
      <c r="AJ136" s="145" t="str">
        <f t="shared" si="6"/>
        <v>SÃO PAULO</v>
      </c>
      <c r="AK136" s="148" t="s">
        <v>75</v>
      </c>
    </row>
    <row r="137" spans="1:37" ht="30" customHeight="1">
      <c r="A137" s="197" t="s">
        <v>198</v>
      </c>
      <c r="B137" s="212">
        <v>2619962178</v>
      </c>
      <c r="C137" s="197" t="s">
        <v>1592</v>
      </c>
      <c r="D137" s="197" t="s">
        <v>126</v>
      </c>
      <c r="E137" s="197" t="s">
        <v>35</v>
      </c>
      <c r="F137" s="197" t="s">
        <v>410</v>
      </c>
      <c r="G137" s="197">
        <v>64</v>
      </c>
      <c r="H137" s="197" t="s">
        <v>200</v>
      </c>
      <c r="I137" s="197" t="s">
        <v>411</v>
      </c>
      <c r="J137" s="197" t="s">
        <v>1593</v>
      </c>
      <c r="K137" s="197" t="s">
        <v>200</v>
      </c>
      <c r="L137" s="203">
        <v>46154.625</v>
      </c>
      <c r="M137" s="203">
        <v>46154.625694444447</v>
      </c>
      <c r="N137" s="197" t="s">
        <v>1565</v>
      </c>
      <c r="O137" s="201" t="s">
        <v>77</v>
      </c>
      <c r="P137" s="9"/>
      <c r="Q137" s="140" t="s">
        <v>77</v>
      </c>
      <c r="R137" s="90"/>
      <c r="S137" s="140" t="s">
        <v>77</v>
      </c>
      <c r="T137" s="90"/>
      <c r="U137" s="140" t="s">
        <v>77</v>
      </c>
      <c r="V137" s="90"/>
      <c r="W137" s="140" t="s">
        <v>77</v>
      </c>
      <c r="X137" s="90"/>
      <c r="Y137" s="140" t="s">
        <v>77</v>
      </c>
      <c r="Z137" s="90"/>
      <c r="AA137" s="140" t="s">
        <v>77</v>
      </c>
      <c r="AB137" s="90"/>
      <c r="AC137" s="140" t="s">
        <v>77</v>
      </c>
      <c r="AD137" s="90"/>
      <c r="AE137" s="140" t="s">
        <v>77</v>
      </c>
      <c r="AF137" s="137" t="str">
        <f t="shared" si="8"/>
        <v>NA</v>
      </c>
      <c r="AG137" s="179" t="str">
        <f t="shared" si="7"/>
        <v>NÃO AVALIADO POR FALHA DE SINCRONISMO</v>
      </c>
      <c r="AH137" s="140" t="s">
        <v>207</v>
      </c>
      <c r="AI137" s="147" t="s">
        <v>36</v>
      </c>
      <c r="AJ137" s="145" t="str">
        <f t="shared" si="6"/>
        <v>SÃO PAULO</v>
      </c>
      <c r="AK137" s="148" t="s">
        <v>75</v>
      </c>
    </row>
    <row r="138" spans="1:37" ht="30" customHeight="1">
      <c r="A138" s="176" t="s">
        <v>198</v>
      </c>
      <c r="B138" s="215">
        <v>2620072770</v>
      </c>
      <c r="C138" s="154" t="s">
        <v>131</v>
      </c>
      <c r="D138" s="154" t="s">
        <v>124</v>
      </c>
      <c r="E138" s="154" t="s">
        <v>35</v>
      </c>
      <c r="F138" s="154" t="s">
        <v>1522</v>
      </c>
      <c r="G138" s="154">
        <v>45</v>
      </c>
      <c r="H138" s="154" t="s">
        <v>200</v>
      </c>
      <c r="I138" s="154" t="s">
        <v>598</v>
      </c>
      <c r="J138" s="154" t="s">
        <v>1523</v>
      </c>
      <c r="K138" s="154" t="s">
        <v>200</v>
      </c>
      <c r="L138" s="154" t="s">
        <v>834</v>
      </c>
      <c r="M138" s="154" t="s">
        <v>1654</v>
      </c>
      <c r="N138" s="154" t="s">
        <v>1524</v>
      </c>
      <c r="O138" s="202" t="s">
        <v>207</v>
      </c>
      <c r="P138" s="90"/>
      <c r="Q138" s="140" t="s">
        <v>77</v>
      </c>
      <c r="R138" s="90"/>
      <c r="S138" s="140" t="s">
        <v>214</v>
      </c>
      <c r="T138" s="90"/>
      <c r="U138" s="140" t="s">
        <v>207</v>
      </c>
      <c r="V138" s="90"/>
      <c r="W138" s="140" t="s">
        <v>214</v>
      </c>
      <c r="X138" s="90"/>
      <c r="Y138" s="140" t="s">
        <v>214</v>
      </c>
      <c r="Z138" s="90"/>
      <c r="AA138" s="140" t="s">
        <v>214</v>
      </c>
      <c r="AB138" s="90"/>
      <c r="AC138" s="140" t="s">
        <v>207</v>
      </c>
      <c r="AD138" s="90"/>
      <c r="AE138" s="140" t="s">
        <v>207</v>
      </c>
      <c r="AF138" s="137" t="str">
        <f t="shared" si="8"/>
        <v>NC</v>
      </c>
      <c r="AG138" s="179" t="str">
        <f t="shared" si="7"/>
        <v>UTILIZOU O PDA CORRETAMENTE. NÃO HÁ FOTOS DE TODAS AS ETAPAS</v>
      </c>
      <c r="AH138" s="140" t="s">
        <v>207</v>
      </c>
      <c r="AI138" s="147" t="s">
        <v>36</v>
      </c>
      <c r="AJ138" s="145" t="str">
        <f t="shared" si="6"/>
        <v>SÃO PAULO</v>
      </c>
      <c r="AK138" s="148" t="s">
        <v>75</v>
      </c>
    </row>
    <row r="139" spans="1:37" ht="30" customHeight="1">
      <c r="A139" s="161" t="s">
        <v>198</v>
      </c>
      <c r="B139" s="216">
        <v>2620079504</v>
      </c>
      <c r="C139" s="155" t="s">
        <v>131</v>
      </c>
      <c r="D139" s="155" t="s">
        <v>124</v>
      </c>
      <c r="E139" s="155" t="s">
        <v>35</v>
      </c>
      <c r="F139" s="155" t="s">
        <v>1655</v>
      </c>
      <c r="G139" s="155">
        <v>30</v>
      </c>
      <c r="H139" s="155" t="s">
        <v>208</v>
      </c>
      <c r="I139" s="155" t="s">
        <v>433</v>
      </c>
      <c r="J139" s="155" t="s">
        <v>1523</v>
      </c>
      <c r="K139" s="155" t="s">
        <v>1656</v>
      </c>
      <c r="L139" s="155" t="s">
        <v>1657</v>
      </c>
      <c r="M139" s="155" t="s">
        <v>1658</v>
      </c>
      <c r="N139" s="155" t="s">
        <v>465</v>
      </c>
      <c r="O139" s="152" t="s">
        <v>207</v>
      </c>
      <c r="P139" s="90"/>
      <c r="Q139" s="140" t="s">
        <v>214</v>
      </c>
      <c r="R139" s="90"/>
      <c r="S139" s="140" t="s">
        <v>214</v>
      </c>
      <c r="T139" s="90"/>
      <c r="U139" s="140" t="s">
        <v>207</v>
      </c>
      <c r="V139" s="90"/>
      <c r="W139" s="140" t="s">
        <v>77</v>
      </c>
      <c r="X139" s="90"/>
      <c r="Y139" s="140" t="s">
        <v>77</v>
      </c>
      <c r="Z139" s="90"/>
      <c r="AA139" s="140" t="s">
        <v>77</v>
      </c>
      <c r="AB139" s="90"/>
      <c r="AC139" s="140" t="s">
        <v>207</v>
      </c>
      <c r="AD139" s="90"/>
      <c r="AE139" s="140" t="s">
        <v>207</v>
      </c>
      <c r="AF139" s="137" t="str">
        <f t="shared" si="8"/>
        <v>NC</v>
      </c>
      <c r="AG139" s="179" t="str">
        <f t="shared" si="7"/>
        <v>UTILIZOU O PDA CORRETAMENTE. NÃO HÁ FOTOS DE TODAS AS ETAPAS</v>
      </c>
      <c r="AH139" s="140" t="s">
        <v>207</v>
      </c>
      <c r="AI139" s="147" t="s">
        <v>36</v>
      </c>
      <c r="AJ139" s="145" t="str">
        <f t="shared" si="6"/>
        <v>SÃO PAULO</v>
      </c>
      <c r="AK139" s="148" t="s">
        <v>75</v>
      </c>
    </row>
    <row r="140" spans="1:37" ht="30" customHeight="1">
      <c r="A140" s="161" t="s">
        <v>198</v>
      </c>
      <c r="B140" s="216">
        <v>2619829652</v>
      </c>
      <c r="C140" s="155" t="s">
        <v>136</v>
      </c>
      <c r="D140" s="155" t="s">
        <v>127</v>
      </c>
      <c r="E140" s="155" t="s">
        <v>35</v>
      </c>
      <c r="F140" s="155" t="s">
        <v>1473</v>
      </c>
      <c r="G140" s="155">
        <v>153</v>
      </c>
      <c r="H140" s="155" t="s">
        <v>200</v>
      </c>
      <c r="I140" s="155" t="s">
        <v>571</v>
      </c>
      <c r="J140" s="155" t="s">
        <v>1525</v>
      </c>
      <c r="K140" s="155" t="s">
        <v>200</v>
      </c>
      <c r="L140" s="155" t="s">
        <v>794</v>
      </c>
      <c r="M140" s="155" t="s">
        <v>795</v>
      </c>
      <c r="N140" s="155" t="s">
        <v>309</v>
      </c>
      <c r="O140" s="152" t="s">
        <v>77</v>
      </c>
      <c r="P140" s="90"/>
      <c r="Q140" s="140" t="s">
        <v>77</v>
      </c>
      <c r="R140" s="90"/>
      <c r="S140" s="140" t="s">
        <v>77</v>
      </c>
      <c r="T140" s="90"/>
      <c r="U140" s="140" t="s">
        <v>77</v>
      </c>
      <c r="V140" s="90"/>
      <c r="W140" s="140" t="s">
        <v>77</v>
      </c>
      <c r="X140" s="90"/>
      <c r="Y140" s="140" t="s">
        <v>77</v>
      </c>
      <c r="Z140" s="90"/>
      <c r="AA140" s="140" t="s">
        <v>77</v>
      </c>
      <c r="AB140" s="90"/>
      <c r="AC140" s="140" t="s">
        <v>77</v>
      </c>
      <c r="AD140" s="90"/>
      <c r="AE140" s="140" t="s">
        <v>77</v>
      </c>
      <c r="AF140" s="137" t="str">
        <f t="shared" si="8"/>
        <v>NA</v>
      </c>
      <c r="AG140" s="179" t="str">
        <f t="shared" si="7"/>
        <v>NÃO AVALIADO POR FALHA DE SINCRONISMO</v>
      </c>
      <c r="AH140" s="140"/>
      <c r="AI140" s="147" t="s">
        <v>36</v>
      </c>
      <c r="AJ140" s="145" t="str">
        <f t="shared" si="6"/>
        <v>SÃO PAULO</v>
      </c>
      <c r="AK140" s="148" t="s">
        <v>75</v>
      </c>
    </row>
    <row r="141" spans="1:37" ht="30" customHeight="1">
      <c r="A141" s="161" t="s">
        <v>198</v>
      </c>
      <c r="B141" s="216">
        <v>2620185831</v>
      </c>
      <c r="C141" s="241" t="s">
        <v>1569</v>
      </c>
      <c r="D141" s="155" t="s">
        <v>127</v>
      </c>
      <c r="E141" s="155" t="s">
        <v>35</v>
      </c>
      <c r="F141" s="155" t="s">
        <v>1659</v>
      </c>
      <c r="G141" s="155">
        <v>139</v>
      </c>
      <c r="H141" s="155" t="s">
        <v>208</v>
      </c>
      <c r="I141" s="155" t="s">
        <v>411</v>
      </c>
      <c r="J141" s="155" t="s">
        <v>1570</v>
      </c>
      <c r="K141" s="155" t="s">
        <v>200</v>
      </c>
      <c r="L141" s="155" t="s">
        <v>1660</v>
      </c>
      <c r="M141" s="155" t="s">
        <v>1661</v>
      </c>
      <c r="N141" s="155" t="s">
        <v>1537</v>
      </c>
      <c r="O141" s="152" t="s">
        <v>207</v>
      </c>
      <c r="P141" s="90"/>
      <c r="Q141" s="140" t="s">
        <v>207</v>
      </c>
      <c r="R141" s="90"/>
      <c r="S141" s="140" t="s">
        <v>207</v>
      </c>
      <c r="T141" s="90"/>
      <c r="U141" s="140" t="s">
        <v>207</v>
      </c>
      <c r="V141" s="90"/>
      <c r="W141" s="140" t="s">
        <v>207</v>
      </c>
      <c r="X141" s="90"/>
      <c r="Y141" s="140" t="s">
        <v>207</v>
      </c>
      <c r="Z141" s="90"/>
      <c r="AA141" s="140" t="s">
        <v>207</v>
      </c>
      <c r="AB141" s="90"/>
      <c r="AC141" s="140" t="s">
        <v>207</v>
      </c>
      <c r="AD141" s="90"/>
      <c r="AE141" s="140" t="s">
        <v>207</v>
      </c>
      <c r="AF141" s="137" t="str">
        <f t="shared" si="8"/>
        <v>C</v>
      </c>
      <c r="AG141" s="179" t="str">
        <f t="shared" si="7"/>
        <v>UTILIZOU O PDA CORRETAMENTE</v>
      </c>
      <c r="AH141" s="140" t="s">
        <v>207</v>
      </c>
      <c r="AI141" s="147" t="s">
        <v>36</v>
      </c>
      <c r="AJ141" s="145" t="str">
        <f t="shared" si="6"/>
        <v>SÃO PAULO</v>
      </c>
      <c r="AK141" s="148" t="s">
        <v>75</v>
      </c>
    </row>
    <row r="142" spans="1:37" ht="30" customHeight="1">
      <c r="A142" s="161" t="s">
        <v>198</v>
      </c>
      <c r="B142" s="216">
        <v>2619940088</v>
      </c>
      <c r="C142" s="155" t="s">
        <v>136</v>
      </c>
      <c r="D142" s="155" t="s">
        <v>127</v>
      </c>
      <c r="E142" s="155" t="s">
        <v>35</v>
      </c>
      <c r="F142" s="155" t="s">
        <v>703</v>
      </c>
      <c r="G142" s="155">
        <v>0</v>
      </c>
      <c r="H142" s="155" t="s">
        <v>200</v>
      </c>
      <c r="I142" s="155" t="s">
        <v>241</v>
      </c>
      <c r="J142" s="155" t="s">
        <v>1525</v>
      </c>
      <c r="K142" s="155" t="s">
        <v>200</v>
      </c>
      <c r="L142" s="155" t="s">
        <v>794</v>
      </c>
      <c r="M142" s="155" t="s">
        <v>795</v>
      </c>
      <c r="N142" s="155" t="s">
        <v>309</v>
      </c>
      <c r="O142" s="152" t="s">
        <v>77</v>
      </c>
      <c r="P142" s="90"/>
      <c r="Q142" s="140" t="s">
        <v>77</v>
      </c>
      <c r="R142" s="90"/>
      <c r="S142" s="140" t="s">
        <v>77</v>
      </c>
      <c r="T142" s="90"/>
      <c r="U142" s="140" t="s">
        <v>77</v>
      </c>
      <c r="V142" s="90"/>
      <c r="W142" s="140" t="s">
        <v>77</v>
      </c>
      <c r="X142" s="90"/>
      <c r="Y142" s="140" t="s">
        <v>77</v>
      </c>
      <c r="Z142" s="90"/>
      <c r="AA142" s="140" t="s">
        <v>77</v>
      </c>
      <c r="AB142" s="90"/>
      <c r="AC142" s="140" t="s">
        <v>77</v>
      </c>
      <c r="AD142" s="90"/>
      <c r="AE142" s="140" t="s">
        <v>77</v>
      </c>
      <c r="AF142" s="137" t="str">
        <f t="shared" si="8"/>
        <v>NA</v>
      </c>
      <c r="AG142" s="179" t="str">
        <f t="shared" si="7"/>
        <v>NÃO AVALIADO POR FALHA DE SINCRONISMO</v>
      </c>
      <c r="AH142" s="140" t="s">
        <v>207</v>
      </c>
      <c r="AI142" s="147" t="s">
        <v>36</v>
      </c>
      <c r="AJ142" s="145" t="str">
        <f t="shared" si="6"/>
        <v>SÃO PAULO</v>
      </c>
      <c r="AK142" s="148" t="s">
        <v>75</v>
      </c>
    </row>
    <row r="143" spans="1:37" ht="30" customHeight="1">
      <c r="A143" s="161" t="s">
        <v>198</v>
      </c>
      <c r="B143" s="216">
        <v>2620195561</v>
      </c>
      <c r="C143" s="155" t="s">
        <v>136</v>
      </c>
      <c r="D143" s="155" t="s">
        <v>127</v>
      </c>
      <c r="E143" s="155" t="s">
        <v>35</v>
      </c>
      <c r="F143" s="155" t="s">
        <v>1378</v>
      </c>
      <c r="G143" s="155">
        <v>37</v>
      </c>
      <c r="H143" s="155" t="s">
        <v>200</v>
      </c>
      <c r="I143" s="155" t="s">
        <v>303</v>
      </c>
      <c r="J143" s="155" t="s">
        <v>1553</v>
      </c>
      <c r="K143" s="155" t="s">
        <v>200</v>
      </c>
      <c r="L143" s="155" t="s">
        <v>782</v>
      </c>
      <c r="M143" s="155" t="s">
        <v>1662</v>
      </c>
      <c r="N143" s="155" t="s">
        <v>309</v>
      </c>
      <c r="O143" s="152" t="s">
        <v>207</v>
      </c>
      <c r="P143" s="90"/>
      <c r="Q143" s="140" t="s">
        <v>207</v>
      </c>
      <c r="R143" s="90"/>
      <c r="S143" s="140" t="s">
        <v>214</v>
      </c>
      <c r="T143" s="90"/>
      <c r="U143" s="140" t="s">
        <v>207</v>
      </c>
      <c r="V143" s="90"/>
      <c r="W143" s="140" t="s">
        <v>214</v>
      </c>
      <c r="X143" s="90"/>
      <c r="Y143" s="140" t="s">
        <v>77</v>
      </c>
      <c r="Z143" s="90"/>
      <c r="AA143" s="140" t="s">
        <v>214</v>
      </c>
      <c r="AB143" s="90"/>
      <c r="AC143" s="140" t="s">
        <v>215</v>
      </c>
      <c r="AD143" s="90" t="s">
        <v>1663</v>
      </c>
      <c r="AE143" s="140" t="s">
        <v>207</v>
      </c>
      <c r="AF143" s="137" t="str">
        <f t="shared" si="8"/>
        <v>NC</v>
      </c>
      <c r="AG143" s="179" t="str">
        <f t="shared" si="7"/>
        <v>UTILIZOU O PDA CORRETAMENTE. NÃO HÁ FOTOS DE TODAS AS ETAPAS</v>
      </c>
      <c r="AH143" s="140"/>
      <c r="AI143" s="147" t="s">
        <v>36</v>
      </c>
      <c r="AJ143" s="145" t="str">
        <f t="shared" si="6"/>
        <v>SÃO PAULO</v>
      </c>
      <c r="AK143" s="148" t="s">
        <v>75</v>
      </c>
    </row>
    <row r="144" spans="1:37" ht="30" customHeight="1">
      <c r="A144" s="161" t="s">
        <v>198</v>
      </c>
      <c r="B144" s="216">
        <v>2620125512</v>
      </c>
      <c r="C144" s="155" t="s">
        <v>136</v>
      </c>
      <c r="D144" s="155" t="s">
        <v>127</v>
      </c>
      <c r="E144" s="155" t="s">
        <v>35</v>
      </c>
      <c r="F144" s="155" t="s">
        <v>1664</v>
      </c>
      <c r="G144" s="155">
        <v>126</v>
      </c>
      <c r="H144" s="155" t="s">
        <v>200</v>
      </c>
      <c r="I144" s="155" t="s">
        <v>392</v>
      </c>
      <c r="J144" s="155" t="s">
        <v>1525</v>
      </c>
      <c r="K144" s="155" t="s">
        <v>200</v>
      </c>
      <c r="L144" s="155" t="s">
        <v>1665</v>
      </c>
      <c r="M144" s="155" t="s">
        <v>1666</v>
      </c>
      <c r="N144" s="155" t="s">
        <v>203</v>
      </c>
      <c r="O144" s="152" t="s">
        <v>77</v>
      </c>
      <c r="P144" s="90"/>
      <c r="Q144" s="140" t="s">
        <v>77</v>
      </c>
      <c r="R144" s="90"/>
      <c r="S144" s="140" t="s">
        <v>77</v>
      </c>
      <c r="T144" s="90"/>
      <c r="U144" s="140" t="s">
        <v>77</v>
      </c>
      <c r="V144" s="90"/>
      <c r="W144" s="140" t="s">
        <v>77</v>
      </c>
      <c r="X144" s="90"/>
      <c r="Y144" s="140" t="s">
        <v>77</v>
      </c>
      <c r="Z144" s="90"/>
      <c r="AA144" s="140" t="s">
        <v>77</v>
      </c>
      <c r="AB144" s="90"/>
      <c r="AC144" s="140" t="s">
        <v>77</v>
      </c>
      <c r="AD144" s="90"/>
      <c r="AE144" s="140" t="s">
        <v>77</v>
      </c>
      <c r="AF144" s="137" t="str">
        <f t="shared" si="8"/>
        <v>NA</v>
      </c>
      <c r="AG144" s="179" t="str">
        <f t="shared" si="7"/>
        <v>NÃO AVALIADO POR FALHA DE SINCRONISMO</v>
      </c>
      <c r="AH144" s="140" t="s">
        <v>207</v>
      </c>
      <c r="AI144" s="147" t="s">
        <v>36</v>
      </c>
      <c r="AJ144" s="145" t="str">
        <f t="shared" si="6"/>
        <v>SÃO PAULO</v>
      </c>
      <c r="AK144" s="148" t="s">
        <v>75</v>
      </c>
    </row>
    <row r="145" spans="1:37" ht="30" customHeight="1">
      <c r="A145" s="161" t="s">
        <v>198</v>
      </c>
      <c r="B145" s="216">
        <v>2620125644</v>
      </c>
      <c r="C145" s="155" t="s">
        <v>136</v>
      </c>
      <c r="D145" s="155" t="s">
        <v>127</v>
      </c>
      <c r="E145" s="155" t="s">
        <v>35</v>
      </c>
      <c r="F145" s="155" t="s">
        <v>1664</v>
      </c>
      <c r="G145" s="155">
        <v>0</v>
      </c>
      <c r="H145" s="155" t="s">
        <v>200</v>
      </c>
      <c r="I145" s="155" t="s">
        <v>271</v>
      </c>
      <c r="J145" s="155" t="s">
        <v>1525</v>
      </c>
      <c r="K145" s="155" t="s">
        <v>200</v>
      </c>
      <c r="L145" s="155" t="s">
        <v>1667</v>
      </c>
      <c r="M145" s="155" t="s">
        <v>1668</v>
      </c>
      <c r="N145" s="155" t="s">
        <v>203</v>
      </c>
      <c r="O145" s="152" t="s">
        <v>77</v>
      </c>
      <c r="P145" s="90"/>
      <c r="Q145" s="140" t="s">
        <v>77</v>
      </c>
      <c r="R145" s="90"/>
      <c r="S145" s="140" t="s">
        <v>77</v>
      </c>
      <c r="T145" s="90"/>
      <c r="U145" s="140" t="s">
        <v>77</v>
      </c>
      <c r="V145" s="90"/>
      <c r="W145" s="140" t="s">
        <v>77</v>
      </c>
      <c r="X145" s="90"/>
      <c r="Y145" s="140" t="s">
        <v>77</v>
      </c>
      <c r="Z145" s="90"/>
      <c r="AA145" s="140" t="s">
        <v>77</v>
      </c>
      <c r="AB145" s="90"/>
      <c r="AC145" s="140" t="s">
        <v>77</v>
      </c>
      <c r="AD145" s="90"/>
      <c r="AE145" s="140" t="s">
        <v>77</v>
      </c>
      <c r="AF145" s="137" t="str">
        <f t="shared" si="8"/>
        <v>NA</v>
      </c>
      <c r="AG145" s="179" t="str">
        <f t="shared" si="7"/>
        <v>NÃO AVALIADO POR FALHA DE SINCRONISMO</v>
      </c>
      <c r="AH145" s="140" t="s">
        <v>207</v>
      </c>
      <c r="AI145" s="147" t="s">
        <v>36</v>
      </c>
      <c r="AJ145" s="145" t="str">
        <f t="shared" si="6"/>
        <v>SÃO PAULO</v>
      </c>
      <c r="AK145" s="148" t="s">
        <v>75</v>
      </c>
    </row>
    <row r="146" spans="1:37" ht="30" customHeight="1">
      <c r="A146" s="176" t="s">
        <v>198</v>
      </c>
      <c r="B146" s="215">
        <v>2619949737</v>
      </c>
      <c r="C146" s="154" t="s">
        <v>134</v>
      </c>
      <c r="D146" s="154" t="s">
        <v>125</v>
      </c>
      <c r="E146" s="154" t="s">
        <v>35</v>
      </c>
      <c r="F146" s="154" t="s">
        <v>871</v>
      </c>
      <c r="G146" s="154">
        <v>1</v>
      </c>
      <c r="H146" s="154" t="s">
        <v>325</v>
      </c>
      <c r="I146" s="154" t="s">
        <v>873</v>
      </c>
      <c r="J146" s="154" t="s">
        <v>134</v>
      </c>
      <c r="K146" s="154" t="s">
        <v>200</v>
      </c>
      <c r="L146" s="154" t="s">
        <v>1669</v>
      </c>
      <c r="M146" s="154" t="s">
        <v>1670</v>
      </c>
      <c r="N146" s="154" t="s">
        <v>1546</v>
      </c>
      <c r="O146" s="152" t="s">
        <v>207</v>
      </c>
      <c r="P146" s="90"/>
      <c r="Q146" s="140" t="s">
        <v>214</v>
      </c>
      <c r="R146" s="90"/>
      <c r="S146" s="140" t="s">
        <v>214</v>
      </c>
      <c r="T146" s="90"/>
      <c r="U146" s="140" t="s">
        <v>207</v>
      </c>
      <c r="V146" s="90"/>
      <c r="W146" s="140" t="s">
        <v>214</v>
      </c>
      <c r="X146" s="90"/>
      <c r="Y146" s="140" t="s">
        <v>77</v>
      </c>
      <c r="Z146" s="90"/>
      <c r="AA146" s="140" t="s">
        <v>214</v>
      </c>
      <c r="AB146" s="90"/>
      <c r="AC146" s="140" t="s">
        <v>214</v>
      </c>
      <c r="AD146" s="90"/>
      <c r="AE146" s="140" t="s">
        <v>207</v>
      </c>
      <c r="AF146" s="137" t="str">
        <f t="shared" si="8"/>
        <v>NC</v>
      </c>
      <c r="AG146" s="179" t="str">
        <f t="shared" si="7"/>
        <v>UTILIZOU O PDA CORRETAMENTE. NÃO HÁ FOTOS DE TODAS AS ETAPAS</v>
      </c>
      <c r="AH146" s="140" t="s">
        <v>207</v>
      </c>
      <c r="AI146" s="147" t="s">
        <v>36</v>
      </c>
      <c r="AJ146" s="145" t="str">
        <f t="shared" si="6"/>
        <v>SÃO PAULO</v>
      </c>
      <c r="AK146" s="148" t="s">
        <v>75</v>
      </c>
    </row>
    <row r="147" spans="1:37" ht="30" customHeight="1">
      <c r="A147" s="161" t="s">
        <v>198</v>
      </c>
      <c r="B147" s="216">
        <v>2620205044</v>
      </c>
      <c r="C147" s="155" t="s">
        <v>136</v>
      </c>
      <c r="D147" s="155" t="s">
        <v>127</v>
      </c>
      <c r="E147" s="155" t="s">
        <v>35</v>
      </c>
      <c r="F147" s="155" t="s">
        <v>1671</v>
      </c>
      <c r="G147" s="155">
        <v>136</v>
      </c>
      <c r="H147" s="155" t="s">
        <v>200</v>
      </c>
      <c r="I147" s="155" t="s">
        <v>598</v>
      </c>
      <c r="J147" s="155" t="s">
        <v>1525</v>
      </c>
      <c r="K147" s="155" t="s">
        <v>200</v>
      </c>
      <c r="L147" s="155" t="s">
        <v>1672</v>
      </c>
      <c r="M147" s="155" t="s">
        <v>1673</v>
      </c>
      <c r="N147" s="155" t="s">
        <v>309</v>
      </c>
      <c r="O147" s="152" t="s">
        <v>77</v>
      </c>
      <c r="P147" s="90"/>
      <c r="Q147" s="140" t="s">
        <v>77</v>
      </c>
      <c r="R147" s="90"/>
      <c r="S147" s="140" t="s">
        <v>77</v>
      </c>
      <c r="T147" s="90"/>
      <c r="U147" s="140" t="s">
        <v>77</v>
      </c>
      <c r="V147" s="90"/>
      <c r="W147" s="140" t="s">
        <v>77</v>
      </c>
      <c r="X147" s="90"/>
      <c r="Y147" s="140" t="s">
        <v>77</v>
      </c>
      <c r="Z147" s="90"/>
      <c r="AA147" s="140" t="s">
        <v>77</v>
      </c>
      <c r="AB147" s="90"/>
      <c r="AC147" s="140" t="s">
        <v>77</v>
      </c>
      <c r="AD147" s="90"/>
      <c r="AE147" s="140" t="s">
        <v>77</v>
      </c>
      <c r="AF147" s="137" t="str">
        <f t="shared" si="8"/>
        <v>NA</v>
      </c>
      <c r="AG147" s="179" t="str">
        <f t="shared" si="7"/>
        <v>NÃO AVALIADO POR FALHA DE SINCRONISMO</v>
      </c>
      <c r="AH147" s="140" t="s">
        <v>207</v>
      </c>
      <c r="AI147" s="147" t="s">
        <v>36</v>
      </c>
      <c r="AJ147" s="145" t="str">
        <f t="shared" si="6"/>
        <v>SÃO PAULO</v>
      </c>
      <c r="AK147" s="148" t="s">
        <v>75</v>
      </c>
    </row>
    <row r="148" spans="1:37" ht="30" customHeight="1">
      <c r="A148" s="161" t="s">
        <v>198</v>
      </c>
      <c r="B148" s="216">
        <v>2620187861</v>
      </c>
      <c r="C148" s="155" t="s">
        <v>136</v>
      </c>
      <c r="D148" s="155" t="s">
        <v>127</v>
      </c>
      <c r="E148" s="155" t="s">
        <v>35</v>
      </c>
      <c r="F148" s="155" t="s">
        <v>1674</v>
      </c>
      <c r="G148" s="155">
        <v>239</v>
      </c>
      <c r="H148" s="155" t="s">
        <v>200</v>
      </c>
      <c r="I148" s="155" t="s">
        <v>440</v>
      </c>
      <c r="J148" s="155" t="s">
        <v>1553</v>
      </c>
      <c r="K148" s="155" t="s">
        <v>200</v>
      </c>
      <c r="L148" s="155" t="s">
        <v>1675</v>
      </c>
      <c r="M148" s="155" t="s">
        <v>1676</v>
      </c>
      <c r="N148" s="155" t="s">
        <v>309</v>
      </c>
      <c r="O148" s="152" t="s">
        <v>207</v>
      </c>
      <c r="P148" s="90"/>
      <c r="Q148" s="140" t="s">
        <v>207</v>
      </c>
      <c r="R148" s="90"/>
      <c r="S148" s="140" t="s">
        <v>77</v>
      </c>
      <c r="T148" s="90"/>
      <c r="U148" s="140" t="s">
        <v>207</v>
      </c>
      <c r="V148" s="90"/>
      <c r="W148" s="140" t="s">
        <v>77</v>
      </c>
      <c r="X148" s="90"/>
      <c r="Y148" s="140" t="s">
        <v>77</v>
      </c>
      <c r="Z148" s="90"/>
      <c r="AA148" s="140" t="s">
        <v>77</v>
      </c>
      <c r="AB148" s="90"/>
      <c r="AC148" s="140" t="s">
        <v>207</v>
      </c>
      <c r="AD148" s="90"/>
      <c r="AE148" s="140" t="s">
        <v>207</v>
      </c>
      <c r="AF148" s="137" t="str">
        <f t="shared" si="8"/>
        <v>C</v>
      </c>
      <c r="AG148" s="179" t="str">
        <f t="shared" si="7"/>
        <v>UTILIZOU O PDA CORRETAMENTE</v>
      </c>
      <c r="AH148" s="140"/>
      <c r="AI148" s="147" t="s">
        <v>36</v>
      </c>
      <c r="AJ148" s="145" t="str">
        <f t="shared" si="6"/>
        <v>SÃO PAULO</v>
      </c>
      <c r="AK148" s="148" t="s">
        <v>75</v>
      </c>
    </row>
    <row r="149" spans="1:37" ht="30" customHeight="1">
      <c r="A149" s="161" t="s">
        <v>198</v>
      </c>
      <c r="B149" s="216">
        <v>2619154945</v>
      </c>
      <c r="C149" s="155" t="s">
        <v>1569</v>
      </c>
      <c r="D149" s="155" t="s">
        <v>127</v>
      </c>
      <c r="E149" s="155" t="s">
        <v>35</v>
      </c>
      <c r="F149" s="155" t="s">
        <v>1677</v>
      </c>
      <c r="G149" s="155">
        <v>41</v>
      </c>
      <c r="H149" s="155" t="s">
        <v>208</v>
      </c>
      <c r="I149" s="155" t="s">
        <v>290</v>
      </c>
      <c r="J149" s="155" t="s">
        <v>1570</v>
      </c>
      <c r="K149" s="155" t="s">
        <v>1678</v>
      </c>
      <c r="L149" s="155" t="s">
        <v>1679</v>
      </c>
      <c r="M149" s="155" t="s">
        <v>1680</v>
      </c>
      <c r="N149" s="155" t="s">
        <v>1572</v>
      </c>
      <c r="O149" s="152" t="s">
        <v>207</v>
      </c>
      <c r="P149" s="90"/>
      <c r="Q149" s="140" t="s">
        <v>207</v>
      </c>
      <c r="R149" s="90"/>
      <c r="S149" s="140" t="s">
        <v>207</v>
      </c>
      <c r="T149" s="90"/>
      <c r="U149" s="140" t="s">
        <v>207</v>
      </c>
      <c r="V149" s="90"/>
      <c r="W149" s="140" t="s">
        <v>207</v>
      </c>
      <c r="X149" s="90"/>
      <c r="Y149" s="140" t="s">
        <v>207</v>
      </c>
      <c r="Z149" s="90"/>
      <c r="AA149" s="140" t="s">
        <v>207</v>
      </c>
      <c r="AB149" s="90"/>
      <c r="AC149" s="140" t="s">
        <v>207</v>
      </c>
      <c r="AD149" s="90"/>
      <c r="AE149" s="140" t="s">
        <v>207</v>
      </c>
      <c r="AF149" s="137" t="str">
        <f>IF(AND(O149="",Q149="",S149="",U149="",W149="",Y149="",AA149="",AC149=""),"",IF(OR(AND(O149&lt;&gt;"NA",O149&lt;&gt;"C",O149&lt;&gt;"NC",O149&lt;&gt;"SF",O149&lt;&gt;""),AND(Q149&lt;&gt;"NA",Q149&lt;&gt;"C",Q149&lt;&gt;"NC",Q149&lt;&gt;"SF",Q149&lt;&gt;""),AND(S149&lt;&gt;"NA",S149&lt;&gt;"C",S149&lt;&gt;"NC",S149&lt;&gt;"SF",S149&lt;&gt;""),AND(U149&lt;&gt;"NA",U149&lt;&gt;"C",U149&lt;&gt;"NC",U149&lt;&gt;"SF",U149&lt;&gt;""),AND(W149&lt;&gt;"NA",W149&lt;&gt;"C",W149&lt;&gt;"NC",W149&lt;&gt;"SF",W149&lt;&gt;""),AND(Y149&lt;&gt;"NA",Y149&lt;&gt;"C",Y149&lt;&gt;"NC",Y149&lt;&gt;"SF",Y149&lt;&gt;""),AND(AA149&lt;&gt;"NA",AA149&lt;&gt;"C",AA149&lt;&gt;"NC",AA149&lt;&gt;"SF",AA149&lt;&gt;""),AND(AC149&lt;&gt;"NA",AC149&lt;&gt;"C",AC149&lt;&gt;"NC",AC149&lt;&gt;"SF",AC149&lt;&gt;"")),"FALSO",IF(AND(O149="NA",Q149="NA",S149="NA",U149="NA",W149="NA",Y149="NA",AA149="NA",AC149="NA"),"NA",IF(OR(O149="NC",Q149="NC",S149="NC",U149="NC",W149="NC",Y149="NC",AA149="NC",AC149="NC",O149="SF",Q149="SF",S149="SF",U149="SF",W149="SF",Y149="SF",AA149="SF",AC149="SF"),"NC",IF(OR(O149="C",Q149="C",S149="C",U149="C",W149="C",Y149="C",AA149="C",AC149="C"),"C","")))))</f>
        <v>C</v>
      </c>
      <c r="AG149" s="179" t="str">
        <f t="shared" si="7"/>
        <v>UTILIZOU O PDA CORRETAMENTE</v>
      </c>
      <c r="AH149" s="140"/>
      <c r="AI149" s="147" t="s">
        <v>36</v>
      </c>
      <c r="AJ149" s="145" t="str">
        <f t="shared" si="6"/>
        <v>SÃO PAULO</v>
      </c>
      <c r="AK149" s="148" t="s">
        <v>75</v>
      </c>
    </row>
    <row r="150" spans="1:37" ht="30" customHeight="1">
      <c r="A150" s="161" t="s">
        <v>198</v>
      </c>
      <c r="B150" s="216">
        <v>2620344255</v>
      </c>
      <c r="C150" s="241" t="s">
        <v>131</v>
      </c>
      <c r="D150" s="155" t="s">
        <v>124</v>
      </c>
      <c r="E150" s="155" t="s">
        <v>35</v>
      </c>
      <c r="F150" s="155" t="s">
        <v>1659</v>
      </c>
      <c r="G150" s="155">
        <v>88</v>
      </c>
      <c r="H150" s="155" t="s">
        <v>200</v>
      </c>
      <c r="I150" s="155" t="s">
        <v>411</v>
      </c>
      <c r="J150" s="155" t="s">
        <v>1523</v>
      </c>
      <c r="K150" s="155" t="s">
        <v>200</v>
      </c>
      <c r="L150" s="155" t="s">
        <v>1681</v>
      </c>
      <c r="M150" s="155" t="s">
        <v>1682</v>
      </c>
      <c r="N150" s="155" t="s">
        <v>1537</v>
      </c>
      <c r="O150" s="152" t="s">
        <v>207</v>
      </c>
      <c r="P150" s="90"/>
      <c r="Q150" s="140" t="s">
        <v>207</v>
      </c>
      <c r="R150" s="90"/>
      <c r="S150" s="140" t="s">
        <v>207</v>
      </c>
      <c r="T150" s="90"/>
      <c r="U150" s="140" t="s">
        <v>207</v>
      </c>
      <c r="V150" s="90"/>
      <c r="W150" s="140" t="s">
        <v>207</v>
      </c>
      <c r="X150" s="90"/>
      <c r="Y150" s="140" t="s">
        <v>207</v>
      </c>
      <c r="Z150" s="90"/>
      <c r="AA150" s="140" t="s">
        <v>207</v>
      </c>
      <c r="AB150" s="90"/>
      <c r="AC150" s="140" t="s">
        <v>207</v>
      </c>
      <c r="AD150" s="90"/>
      <c r="AE150" s="140" t="s">
        <v>207</v>
      </c>
      <c r="AF150" s="137" t="str">
        <f t="shared" si="8"/>
        <v>C</v>
      </c>
      <c r="AG150" s="179" t="str">
        <f t="shared" si="7"/>
        <v>UTILIZOU O PDA CORRETAMENTE</v>
      </c>
      <c r="AH150" s="140" t="s">
        <v>207</v>
      </c>
      <c r="AI150" s="147" t="s">
        <v>36</v>
      </c>
      <c r="AJ150" s="145" t="str">
        <f t="shared" si="6"/>
        <v>SÃO PAULO</v>
      </c>
      <c r="AK150" s="148" t="s">
        <v>75</v>
      </c>
    </row>
    <row r="151" spans="1:37" ht="30" customHeight="1">
      <c r="A151" s="161" t="s">
        <v>198</v>
      </c>
      <c r="B151" s="216">
        <v>2620344527</v>
      </c>
      <c r="C151" s="241" t="s">
        <v>1547</v>
      </c>
      <c r="D151" s="155" t="s">
        <v>124</v>
      </c>
      <c r="E151" s="155" t="s">
        <v>35</v>
      </c>
      <c r="F151" s="155" t="s">
        <v>1659</v>
      </c>
      <c r="G151" s="155">
        <v>88</v>
      </c>
      <c r="H151" s="155" t="s">
        <v>200</v>
      </c>
      <c r="I151" s="155" t="s">
        <v>411</v>
      </c>
      <c r="J151" s="155" t="s">
        <v>1549</v>
      </c>
      <c r="K151" s="155" t="s">
        <v>200</v>
      </c>
      <c r="L151" s="155" t="s">
        <v>1683</v>
      </c>
      <c r="M151" s="155" t="s">
        <v>1684</v>
      </c>
      <c r="N151" s="155" t="s">
        <v>1537</v>
      </c>
      <c r="O151" s="152" t="s">
        <v>207</v>
      </c>
      <c r="P151" s="90"/>
      <c r="Q151" s="140" t="s">
        <v>207</v>
      </c>
      <c r="R151" s="90"/>
      <c r="S151" s="140" t="s">
        <v>207</v>
      </c>
      <c r="T151" s="90"/>
      <c r="U151" s="140" t="s">
        <v>207</v>
      </c>
      <c r="V151" s="90"/>
      <c r="W151" s="140" t="s">
        <v>207</v>
      </c>
      <c r="X151" s="90"/>
      <c r="Y151" s="140" t="s">
        <v>207</v>
      </c>
      <c r="Z151" s="90"/>
      <c r="AA151" s="140" t="s">
        <v>207</v>
      </c>
      <c r="AB151" s="90"/>
      <c r="AC151" s="140" t="s">
        <v>207</v>
      </c>
      <c r="AD151" s="90"/>
      <c r="AE151" s="140" t="s">
        <v>207</v>
      </c>
      <c r="AF151" s="137" t="str">
        <f t="shared" si="8"/>
        <v>C</v>
      </c>
      <c r="AG151" s="179" t="str">
        <f t="shared" si="7"/>
        <v>UTILIZOU O PDA CORRETAMENTE</v>
      </c>
      <c r="AH151" s="140" t="s">
        <v>207</v>
      </c>
      <c r="AI151" s="147" t="s">
        <v>36</v>
      </c>
      <c r="AJ151" s="145" t="str">
        <f t="shared" si="6"/>
        <v>SÃO PAULO</v>
      </c>
      <c r="AK151" s="148" t="s">
        <v>75</v>
      </c>
    </row>
    <row r="152" spans="1:37" ht="30" customHeight="1">
      <c r="A152" s="161" t="s">
        <v>198</v>
      </c>
      <c r="B152" s="216">
        <v>2620344715</v>
      </c>
      <c r="C152" s="155" t="s">
        <v>131</v>
      </c>
      <c r="D152" s="155" t="s">
        <v>124</v>
      </c>
      <c r="E152" s="155" t="s">
        <v>35</v>
      </c>
      <c r="F152" s="155" t="s">
        <v>1685</v>
      </c>
      <c r="G152" s="155">
        <v>139</v>
      </c>
      <c r="H152" s="155" t="s">
        <v>200</v>
      </c>
      <c r="I152" s="155" t="s">
        <v>411</v>
      </c>
      <c r="J152" s="155" t="s">
        <v>1523</v>
      </c>
      <c r="K152" s="155" t="s">
        <v>200</v>
      </c>
      <c r="L152" s="155" t="s">
        <v>1683</v>
      </c>
      <c r="M152" s="155" t="s">
        <v>1684</v>
      </c>
      <c r="N152" s="155" t="s">
        <v>1537</v>
      </c>
      <c r="O152" s="152" t="s">
        <v>77</v>
      </c>
      <c r="P152" s="90"/>
      <c r="Q152" s="140" t="s">
        <v>77</v>
      </c>
      <c r="R152" s="90"/>
      <c r="S152" s="140" t="s">
        <v>77</v>
      </c>
      <c r="T152" s="90"/>
      <c r="U152" s="140" t="s">
        <v>77</v>
      </c>
      <c r="V152" s="90"/>
      <c r="W152" s="140" t="s">
        <v>77</v>
      </c>
      <c r="X152" s="90"/>
      <c r="Y152" s="140" t="s">
        <v>77</v>
      </c>
      <c r="Z152" s="90"/>
      <c r="AA152" s="140" t="s">
        <v>77</v>
      </c>
      <c r="AB152" s="90"/>
      <c r="AC152" s="140" t="s">
        <v>77</v>
      </c>
      <c r="AD152" s="90"/>
      <c r="AE152" s="140" t="s">
        <v>77</v>
      </c>
      <c r="AF152" s="137" t="str">
        <f t="shared" si="8"/>
        <v>NA</v>
      </c>
      <c r="AG152" s="179" t="str">
        <f t="shared" si="7"/>
        <v>NÃO AVALIADO POR FALHA DE SINCRONISMO</v>
      </c>
      <c r="AH152" s="140" t="s">
        <v>207</v>
      </c>
      <c r="AI152" s="147" t="s">
        <v>36</v>
      </c>
      <c r="AJ152" s="145" t="str">
        <f t="shared" si="6"/>
        <v>SÃO PAULO</v>
      </c>
      <c r="AK152" s="148" t="s">
        <v>75</v>
      </c>
    </row>
    <row r="153" spans="1:37" ht="30" customHeight="1">
      <c r="A153" s="161" t="s">
        <v>198</v>
      </c>
      <c r="B153" s="216">
        <v>2620375996</v>
      </c>
      <c r="C153" s="155" t="s">
        <v>136</v>
      </c>
      <c r="D153" s="155" t="s">
        <v>127</v>
      </c>
      <c r="E153" s="155" t="s">
        <v>35</v>
      </c>
      <c r="F153" s="155" t="s">
        <v>624</v>
      </c>
      <c r="G153" s="155">
        <v>38</v>
      </c>
      <c r="H153" s="155" t="s">
        <v>200</v>
      </c>
      <c r="I153" s="155" t="s">
        <v>625</v>
      </c>
      <c r="J153" s="155" t="s">
        <v>1553</v>
      </c>
      <c r="K153" s="155" t="s">
        <v>1686</v>
      </c>
      <c r="L153" s="155" t="s">
        <v>1687</v>
      </c>
      <c r="M153" s="155" t="s">
        <v>1688</v>
      </c>
      <c r="N153" s="155" t="s">
        <v>309</v>
      </c>
      <c r="O153" s="152" t="s">
        <v>207</v>
      </c>
      <c r="P153" s="90"/>
      <c r="Q153" s="140" t="s">
        <v>215</v>
      </c>
      <c r="R153" s="90" t="s">
        <v>1606</v>
      </c>
      <c r="S153" s="140" t="s">
        <v>77</v>
      </c>
      <c r="T153" s="90"/>
      <c r="U153" s="140" t="s">
        <v>215</v>
      </c>
      <c r="V153" s="90" t="s">
        <v>236</v>
      </c>
      <c r="W153" s="140" t="s">
        <v>77</v>
      </c>
      <c r="X153" s="90"/>
      <c r="Y153" s="140" t="s">
        <v>77</v>
      </c>
      <c r="Z153" s="90"/>
      <c r="AA153" s="140" t="s">
        <v>77</v>
      </c>
      <c r="AB153" s="90"/>
      <c r="AC153" s="140" t="s">
        <v>215</v>
      </c>
      <c r="AD153" s="90" t="s">
        <v>1545</v>
      </c>
      <c r="AE153" s="140" t="s">
        <v>207</v>
      </c>
      <c r="AF153" s="137" t="str">
        <f t="shared" si="8"/>
        <v>NC</v>
      </c>
      <c r="AG153" s="179" t="str">
        <f t="shared" si="7"/>
        <v>UTILIZOU O PDA CORRETAMENTE. NÃO HÁ FOTOS DE TODAS AS ETAPAS</v>
      </c>
      <c r="AH153" s="140"/>
      <c r="AI153" s="147" t="s">
        <v>36</v>
      </c>
      <c r="AJ153" s="145" t="str">
        <f t="shared" si="6"/>
        <v>SÃO PAULO</v>
      </c>
      <c r="AK153" s="148" t="s">
        <v>75</v>
      </c>
    </row>
    <row r="154" spans="1:37" ht="30" customHeight="1">
      <c r="A154" s="161" t="s">
        <v>198</v>
      </c>
      <c r="B154" s="216">
        <v>2620381288</v>
      </c>
      <c r="C154" s="155" t="s">
        <v>1592</v>
      </c>
      <c r="D154" s="155" t="s">
        <v>126</v>
      </c>
      <c r="E154" s="155" t="s">
        <v>35</v>
      </c>
      <c r="F154" s="155" t="s">
        <v>638</v>
      </c>
      <c r="G154" s="155">
        <v>9</v>
      </c>
      <c r="H154" s="155" t="s">
        <v>620</v>
      </c>
      <c r="I154" s="155" t="s">
        <v>447</v>
      </c>
      <c r="J154" s="155" t="s">
        <v>1593</v>
      </c>
      <c r="K154" s="155" t="s">
        <v>1689</v>
      </c>
      <c r="L154" s="155" t="s">
        <v>861</v>
      </c>
      <c r="M154" s="155" t="s">
        <v>1690</v>
      </c>
      <c r="N154" s="155" t="s">
        <v>465</v>
      </c>
      <c r="O154" s="152" t="s">
        <v>215</v>
      </c>
      <c r="P154" s="90" t="s">
        <v>227</v>
      </c>
      <c r="Q154" s="152" t="s">
        <v>215</v>
      </c>
      <c r="R154" s="90" t="s">
        <v>227</v>
      </c>
      <c r="S154" s="152" t="s">
        <v>215</v>
      </c>
      <c r="T154" s="90" t="s">
        <v>227</v>
      </c>
      <c r="U154" s="152" t="s">
        <v>215</v>
      </c>
      <c r="V154" s="90" t="s">
        <v>227</v>
      </c>
      <c r="W154" s="152" t="s">
        <v>215</v>
      </c>
      <c r="X154" s="90" t="s">
        <v>227</v>
      </c>
      <c r="Y154" s="152" t="s">
        <v>215</v>
      </c>
      <c r="Z154" s="90" t="s">
        <v>227</v>
      </c>
      <c r="AA154" s="152" t="s">
        <v>215</v>
      </c>
      <c r="AB154" s="90" t="s">
        <v>227</v>
      </c>
      <c r="AC154" s="152" t="s">
        <v>215</v>
      </c>
      <c r="AD154" s="90" t="s">
        <v>227</v>
      </c>
      <c r="AE154" s="152" t="s">
        <v>215</v>
      </c>
      <c r="AF154" s="137" t="str">
        <f t="shared" si="8"/>
        <v>NC</v>
      </c>
      <c r="AG154" s="179" t="str">
        <f t="shared" si="7"/>
        <v>NÃO UTILIZOU O PDA</v>
      </c>
      <c r="AH154" s="140" t="s">
        <v>207</v>
      </c>
      <c r="AI154" s="147" t="s">
        <v>36</v>
      </c>
      <c r="AJ154" s="145" t="str">
        <f t="shared" si="6"/>
        <v>SÃO PAULO</v>
      </c>
      <c r="AK154" s="148" t="s">
        <v>75</v>
      </c>
    </row>
    <row r="155" spans="1:37" ht="30" customHeight="1">
      <c r="A155" s="161" t="s">
        <v>198</v>
      </c>
      <c r="B155" s="216">
        <v>2620381169</v>
      </c>
      <c r="C155" s="155" t="s">
        <v>131</v>
      </c>
      <c r="D155" s="155" t="s">
        <v>124</v>
      </c>
      <c r="E155" s="155" t="s">
        <v>35</v>
      </c>
      <c r="F155" s="155" t="s">
        <v>638</v>
      </c>
      <c r="G155" s="155">
        <v>9</v>
      </c>
      <c r="H155" s="155" t="s">
        <v>620</v>
      </c>
      <c r="I155" s="155" t="s">
        <v>447</v>
      </c>
      <c r="J155" s="155" t="s">
        <v>1523</v>
      </c>
      <c r="K155" s="155" t="s">
        <v>200</v>
      </c>
      <c r="L155" s="155" t="s">
        <v>1691</v>
      </c>
      <c r="M155" s="155" t="s">
        <v>1692</v>
      </c>
      <c r="N155" s="155" t="s">
        <v>465</v>
      </c>
      <c r="O155" s="152" t="s">
        <v>215</v>
      </c>
      <c r="P155" s="90" t="s">
        <v>227</v>
      </c>
      <c r="Q155" s="152" t="s">
        <v>215</v>
      </c>
      <c r="R155" s="90" t="s">
        <v>227</v>
      </c>
      <c r="S155" s="152" t="s">
        <v>215</v>
      </c>
      <c r="T155" s="90" t="s">
        <v>227</v>
      </c>
      <c r="U155" s="152" t="s">
        <v>215</v>
      </c>
      <c r="V155" s="90" t="s">
        <v>227</v>
      </c>
      <c r="W155" s="152" t="s">
        <v>215</v>
      </c>
      <c r="X155" s="90" t="s">
        <v>227</v>
      </c>
      <c r="Y155" s="152" t="s">
        <v>215</v>
      </c>
      <c r="Z155" s="90" t="s">
        <v>227</v>
      </c>
      <c r="AA155" s="152" t="s">
        <v>215</v>
      </c>
      <c r="AB155" s="90" t="s">
        <v>227</v>
      </c>
      <c r="AC155" s="152" t="s">
        <v>215</v>
      </c>
      <c r="AD155" s="90" t="s">
        <v>227</v>
      </c>
      <c r="AE155" s="152" t="s">
        <v>215</v>
      </c>
      <c r="AF155" s="137" t="str">
        <f t="shared" si="8"/>
        <v>NC</v>
      </c>
      <c r="AG155" s="179" t="str">
        <f t="shared" si="7"/>
        <v>NÃO UTILIZOU O PDA</v>
      </c>
      <c r="AH155" s="140" t="s">
        <v>207</v>
      </c>
      <c r="AI155" s="147" t="s">
        <v>36</v>
      </c>
      <c r="AJ155" s="145" t="str">
        <f t="shared" si="6"/>
        <v>SÃO PAULO</v>
      </c>
      <c r="AK155" s="148" t="s">
        <v>75</v>
      </c>
    </row>
    <row r="156" spans="1:37" ht="30" customHeight="1">
      <c r="A156" s="176" t="s">
        <v>198</v>
      </c>
      <c r="B156" s="215">
        <v>2620029638</v>
      </c>
      <c r="C156" s="154" t="s">
        <v>133</v>
      </c>
      <c r="D156" s="154" t="s">
        <v>125</v>
      </c>
      <c r="E156" s="154" t="s">
        <v>35</v>
      </c>
      <c r="F156" s="154" t="s">
        <v>638</v>
      </c>
      <c r="G156" s="154">
        <v>9</v>
      </c>
      <c r="H156" s="154" t="s">
        <v>620</v>
      </c>
      <c r="I156" s="154" t="s">
        <v>447</v>
      </c>
      <c r="J156" s="154" t="s">
        <v>133</v>
      </c>
      <c r="K156" s="154" t="s">
        <v>200</v>
      </c>
      <c r="L156" s="154" t="s">
        <v>1693</v>
      </c>
      <c r="M156" s="154" t="s">
        <v>1000</v>
      </c>
      <c r="N156" s="154" t="s">
        <v>465</v>
      </c>
      <c r="O156" s="152" t="s">
        <v>207</v>
      </c>
      <c r="P156" s="90"/>
      <c r="Q156" s="140" t="s">
        <v>207</v>
      </c>
      <c r="R156" s="90"/>
      <c r="S156" s="140" t="s">
        <v>214</v>
      </c>
      <c r="T156" s="90"/>
      <c r="U156" s="140" t="s">
        <v>207</v>
      </c>
      <c r="V156" s="90"/>
      <c r="W156" s="140" t="s">
        <v>214</v>
      </c>
      <c r="X156" s="90"/>
      <c r="Y156" s="140" t="s">
        <v>77</v>
      </c>
      <c r="Z156" s="90"/>
      <c r="AA156" s="140" t="s">
        <v>214</v>
      </c>
      <c r="AB156" s="90"/>
      <c r="AC156" s="140" t="s">
        <v>215</v>
      </c>
      <c r="AD156" s="90" t="s">
        <v>532</v>
      </c>
      <c r="AE156" s="140" t="s">
        <v>207</v>
      </c>
      <c r="AF156" s="137" t="str">
        <f t="shared" si="8"/>
        <v>NC</v>
      </c>
      <c r="AG156" s="179" t="str">
        <f t="shared" si="7"/>
        <v>UTILIZOU O PDA CORRETAMENTE. NÃO HÁ FOTOS DE TODAS AS ETAPAS</v>
      </c>
      <c r="AH156" s="140" t="s">
        <v>207</v>
      </c>
      <c r="AI156" s="147" t="s">
        <v>36</v>
      </c>
      <c r="AJ156" s="145" t="str">
        <f t="shared" si="6"/>
        <v>SÃO PAULO</v>
      </c>
      <c r="AK156" s="148" t="s">
        <v>75</v>
      </c>
    </row>
    <row r="157" spans="1:37" ht="30" customHeight="1">
      <c r="A157" s="161" t="s">
        <v>198</v>
      </c>
      <c r="B157" s="216">
        <v>2620371941</v>
      </c>
      <c r="C157" s="155" t="s">
        <v>135</v>
      </c>
      <c r="D157" s="155" t="s">
        <v>125</v>
      </c>
      <c r="E157" s="155" t="s">
        <v>35</v>
      </c>
      <c r="F157" s="155" t="s">
        <v>1236</v>
      </c>
      <c r="G157" s="155">
        <v>66</v>
      </c>
      <c r="H157" s="155" t="s">
        <v>200</v>
      </c>
      <c r="I157" s="155" t="s">
        <v>392</v>
      </c>
      <c r="J157" s="155" t="s">
        <v>135</v>
      </c>
      <c r="K157" s="155" t="s">
        <v>200</v>
      </c>
      <c r="L157" s="155" t="s">
        <v>1694</v>
      </c>
      <c r="M157" s="155" t="s">
        <v>1695</v>
      </c>
      <c r="N157" s="155" t="s">
        <v>1524</v>
      </c>
      <c r="O157" s="152" t="s">
        <v>207</v>
      </c>
      <c r="P157" s="90"/>
      <c r="Q157" s="140" t="s">
        <v>215</v>
      </c>
      <c r="R157" s="90" t="s">
        <v>1606</v>
      </c>
      <c r="S157" s="140" t="s">
        <v>207</v>
      </c>
      <c r="T157" s="90"/>
      <c r="U157" s="140" t="s">
        <v>207</v>
      </c>
      <c r="V157" s="90"/>
      <c r="W157" s="140" t="s">
        <v>207</v>
      </c>
      <c r="X157" s="90"/>
      <c r="Y157" s="140" t="s">
        <v>214</v>
      </c>
      <c r="Z157" s="90"/>
      <c r="AA157" s="140" t="s">
        <v>207</v>
      </c>
      <c r="AB157" s="90"/>
      <c r="AC157" s="140" t="s">
        <v>215</v>
      </c>
      <c r="AD157" s="90" t="s">
        <v>532</v>
      </c>
      <c r="AE157" s="140" t="s">
        <v>207</v>
      </c>
      <c r="AF157" s="137" t="str">
        <f t="shared" si="8"/>
        <v>NC</v>
      </c>
      <c r="AG157" s="179" t="str">
        <f t="shared" si="7"/>
        <v>UTILIZOU O PDA CORRETAMENTE. NÃO HÁ FOTOS DE TODAS AS ETAPAS</v>
      </c>
      <c r="AH157" s="140" t="s">
        <v>207</v>
      </c>
      <c r="AI157" s="147" t="s">
        <v>36</v>
      </c>
      <c r="AJ157" s="145" t="str">
        <f t="shared" si="6"/>
        <v>SÃO PAULO</v>
      </c>
      <c r="AK157" s="148" t="s">
        <v>75</v>
      </c>
    </row>
    <row r="158" spans="1:37" ht="30" customHeight="1">
      <c r="A158" s="161" t="s">
        <v>198</v>
      </c>
      <c r="B158" s="216">
        <v>2620363329</v>
      </c>
      <c r="C158" s="155" t="s">
        <v>1547</v>
      </c>
      <c r="D158" s="155" t="s">
        <v>124</v>
      </c>
      <c r="E158" s="155" t="s">
        <v>35</v>
      </c>
      <c r="F158" s="155" t="s">
        <v>1696</v>
      </c>
      <c r="G158" s="155">
        <v>263</v>
      </c>
      <c r="H158" s="155" t="s">
        <v>325</v>
      </c>
      <c r="I158" s="155" t="s">
        <v>433</v>
      </c>
      <c r="J158" s="155" t="s">
        <v>1549</v>
      </c>
      <c r="K158" s="155" t="s">
        <v>200</v>
      </c>
      <c r="L158" s="155" t="s">
        <v>1697</v>
      </c>
      <c r="M158" s="155" t="s">
        <v>1067</v>
      </c>
      <c r="N158" s="155" t="s">
        <v>1546</v>
      </c>
      <c r="O158" s="152" t="s">
        <v>207</v>
      </c>
      <c r="P158" s="90"/>
      <c r="Q158" s="140" t="s">
        <v>214</v>
      </c>
      <c r="R158" s="90"/>
      <c r="S158" s="140" t="s">
        <v>214</v>
      </c>
      <c r="T158" s="90"/>
      <c r="U158" s="140" t="s">
        <v>207</v>
      </c>
      <c r="V158" s="90"/>
      <c r="W158" s="140" t="s">
        <v>207</v>
      </c>
      <c r="X158" s="90"/>
      <c r="Y158" s="140" t="s">
        <v>77</v>
      </c>
      <c r="Z158" s="90"/>
      <c r="AA158" s="140" t="s">
        <v>214</v>
      </c>
      <c r="AB158" s="90"/>
      <c r="AC158" s="140" t="s">
        <v>215</v>
      </c>
      <c r="AD158" s="90" t="s">
        <v>532</v>
      </c>
      <c r="AE158" s="140" t="s">
        <v>207</v>
      </c>
      <c r="AF158" s="137" t="str">
        <f t="shared" si="8"/>
        <v>NC</v>
      </c>
      <c r="AG158" s="179" t="str">
        <f t="shared" si="7"/>
        <v>UTILIZOU O PDA CORRETAMENTE. NÃO HÁ FOTOS DE TODAS AS ETAPAS</v>
      </c>
      <c r="AH158" s="140" t="s">
        <v>207</v>
      </c>
      <c r="AI158" s="147" t="s">
        <v>36</v>
      </c>
      <c r="AJ158" s="145" t="str">
        <f t="shared" si="6"/>
        <v>SÃO PAULO</v>
      </c>
      <c r="AK158" s="148" t="s">
        <v>75</v>
      </c>
    </row>
    <row r="159" spans="1:37" ht="30" customHeight="1">
      <c r="A159" s="161" t="s">
        <v>198</v>
      </c>
      <c r="B159" s="216">
        <v>2620364826</v>
      </c>
      <c r="C159" s="155" t="s">
        <v>138</v>
      </c>
      <c r="D159" s="155" t="s">
        <v>124</v>
      </c>
      <c r="E159" s="155" t="s">
        <v>35</v>
      </c>
      <c r="F159" s="155" t="s">
        <v>659</v>
      </c>
      <c r="G159" s="155">
        <v>492</v>
      </c>
      <c r="H159" s="155" t="s">
        <v>205</v>
      </c>
      <c r="I159" s="155" t="s">
        <v>536</v>
      </c>
      <c r="J159" s="155" t="s">
        <v>1539</v>
      </c>
      <c r="K159" s="206" t="s">
        <v>1698</v>
      </c>
      <c r="L159" s="155" t="s">
        <v>1699</v>
      </c>
      <c r="M159" s="155" t="s">
        <v>1700</v>
      </c>
      <c r="N159" s="155" t="s">
        <v>1546</v>
      </c>
      <c r="O159" s="152" t="s">
        <v>207</v>
      </c>
      <c r="P159" s="90"/>
      <c r="Q159" s="140" t="s">
        <v>214</v>
      </c>
      <c r="R159" s="90"/>
      <c r="S159" s="140" t="s">
        <v>214</v>
      </c>
      <c r="T159" s="90"/>
      <c r="U159" s="140" t="s">
        <v>207</v>
      </c>
      <c r="V159" s="90"/>
      <c r="W159" s="140" t="s">
        <v>214</v>
      </c>
      <c r="X159" s="90"/>
      <c r="Y159" s="140" t="s">
        <v>214</v>
      </c>
      <c r="Z159" s="90"/>
      <c r="AA159" s="140" t="s">
        <v>214</v>
      </c>
      <c r="AB159" s="90"/>
      <c r="AC159" s="140" t="s">
        <v>207</v>
      </c>
      <c r="AD159" s="90"/>
      <c r="AE159" s="140" t="s">
        <v>207</v>
      </c>
      <c r="AF159" s="137" t="str">
        <f t="shared" si="8"/>
        <v>NC</v>
      </c>
      <c r="AG159" s="179" t="str">
        <f t="shared" si="7"/>
        <v>UTILIZOU O PDA CORRETAMENTE. NÃO HÁ FOTOS DE TODAS AS ETAPAS</v>
      </c>
      <c r="AH159" s="140" t="s">
        <v>207</v>
      </c>
      <c r="AI159" s="147" t="s">
        <v>36</v>
      </c>
      <c r="AJ159" s="145" t="str">
        <f t="shared" si="6"/>
        <v>SÃO PAULO</v>
      </c>
      <c r="AK159" s="148" t="s">
        <v>75</v>
      </c>
    </row>
    <row r="160" spans="1:37" ht="30" customHeight="1">
      <c r="A160" s="161" t="s">
        <v>198</v>
      </c>
      <c r="B160" s="216">
        <v>2620517273</v>
      </c>
      <c r="C160" s="155" t="s">
        <v>136</v>
      </c>
      <c r="D160" s="155" t="s">
        <v>127</v>
      </c>
      <c r="E160" s="155" t="s">
        <v>35</v>
      </c>
      <c r="F160" s="155" t="s">
        <v>1701</v>
      </c>
      <c r="G160" s="155">
        <v>164</v>
      </c>
      <c r="H160" s="155" t="s">
        <v>200</v>
      </c>
      <c r="I160" s="155" t="s">
        <v>1480</v>
      </c>
      <c r="J160" s="155" t="s">
        <v>1525</v>
      </c>
      <c r="K160" s="155" t="s">
        <v>200</v>
      </c>
      <c r="L160" s="155" t="s">
        <v>1702</v>
      </c>
      <c r="M160" s="155" t="s">
        <v>1703</v>
      </c>
      <c r="N160" s="155" t="s">
        <v>203</v>
      </c>
      <c r="O160" s="152" t="s">
        <v>207</v>
      </c>
      <c r="P160" s="90"/>
      <c r="Q160" s="140" t="s">
        <v>207</v>
      </c>
      <c r="R160" s="90"/>
      <c r="S160" s="140" t="s">
        <v>214</v>
      </c>
      <c r="T160" s="90"/>
      <c r="U160" s="140" t="s">
        <v>207</v>
      </c>
      <c r="V160" s="90"/>
      <c r="W160" s="140" t="s">
        <v>77</v>
      </c>
      <c r="X160" s="90"/>
      <c r="Y160" s="140" t="s">
        <v>77</v>
      </c>
      <c r="Z160" s="90"/>
      <c r="AA160" s="140" t="s">
        <v>77</v>
      </c>
      <c r="AB160" s="90"/>
      <c r="AC160" s="140" t="s">
        <v>215</v>
      </c>
      <c r="AD160" s="90" t="s">
        <v>882</v>
      </c>
      <c r="AE160" s="140" t="s">
        <v>207</v>
      </c>
      <c r="AF160" s="137" t="str">
        <f t="shared" si="8"/>
        <v>NC</v>
      </c>
      <c r="AG160" s="179" t="str">
        <f t="shared" ref="AG160:AG195" si="9">IF(AND(AE160="C",AF160="C"),"UTILIZOU O PDA CORRETAMENTE",IF(AND(AE160="C",AF160="NC"),"UTILIZOU O PDA CORRETAMENTE. NÃO HÁ FOTOS DE TODAS AS ETAPAS",IF(AND(AE160="NC",AF160="NC"),"NÃO UTILIZOU O PDA",IF(AND(AE160="NA",AF160="NA"),"NÃO AVALIADO POR FALHA DE SINCRONISMO"))))</f>
        <v>UTILIZOU O PDA CORRETAMENTE. NÃO HÁ FOTOS DE TODAS AS ETAPAS</v>
      </c>
      <c r="AH160" s="140" t="s">
        <v>207</v>
      </c>
      <c r="AI160" s="147" t="s">
        <v>36</v>
      </c>
      <c r="AJ160" s="145" t="str">
        <f t="shared" si="6"/>
        <v>SÃO PAULO</v>
      </c>
      <c r="AK160" s="148" t="s">
        <v>75</v>
      </c>
    </row>
    <row r="161" spans="1:37" ht="30" customHeight="1">
      <c r="A161" s="161" t="s">
        <v>198</v>
      </c>
      <c r="B161" s="216">
        <v>2620517468</v>
      </c>
      <c r="C161" s="155" t="s">
        <v>136</v>
      </c>
      <c r="D161" s="155" t="s">
        <v>127</v>
      </c>
      <c r="E161" s="155" t="s">
        <v>35</v>
      </c>
      <c r="F161" s="155" t="s">
        <v>1701</v>
      </c>
      <c r="G161" s="155">
        <v>85</v>
      </c>
      <c r="H161" s="155" t="s">
        <v>200</v>
      </c>
      <c r="I161" s="155" t="s">
        <v>1480</v>
      </c>
      <c r="J161" s="155" t="s">
        <v>1525</v>
      </c>
      <c r="K161" s="155" t="s">
        <v>200</v>
      </c>
      <c r="L161" s="155" t="s">
        <v>1704</v>
      </c>
      <c r="M161" s="155" t="s">
        <v>1705</v>
      </c>
      <c r="N161" s="155" t="s">
        <v>203</v>
      </c>
      <c r="O161" s="152" t="s">
        <v>207</v>
      </c>
      <c r="P161" s="90"/>
      <c r="Q161" s="140" t="s">
        <v>207</v>
      </c>
      <c r="R161" s="90"/>
      <c r="S161" s="140" t="s">
        <v>214</v>
      </c>
      <c r="T161" s="90"/>
      <c r="U161" s="140" t="s">
        <v>207</v>
      </c>
      <c r="V161" s="90"/>
      <c r="W161" s="140" t="s">
        <v>77</v>
      </c>
      <c r="X161" s="90"/>
      <c r="Y161" s="140" t="s">
        <v>77</v>
      </c>
      <c r="Z161" s="90"/>
      <c r="AA161" s="140" t="s">
        <v>77</v>
      </c>
      <c r="AB161" s="90"/>
      <c r="AC161" s="140" t="s">
        <v>215</v>
      </c>
      <c r="AD161" s="90" t="s">
        <v>882</v>
      </c>
      <c r="AE161" s="140" t="s">
        <v>207</v>
      </c>
      <c r="AF161" s="137" t="str">
        <f t="shared" si="8"/>
        <v>NC</v>
      </c>
      <c r="AG161" s="179" t="str">
        <f t="shared" si="9"/>
        <v>UTILIZOU O PDA CORRETAMENTE. NÃO HÁ FOTOS DE TODAS AS ETAPAS</v>
      </c>
      <c r="AH161" s="140" t="s">
        <v>207</v>
      </c>
      <c r="AI161" s="147" t="s">
        <v>36</v>
      </c>
      <c r="AJ161" s="145" t="str">
        <f t="shared" si="6"/>
        <v>SÃO PAULO</v>
      </c>
      <c r="AK161" s="148" t="s">
        <v>75</v>
      </c>
    </row>
    <row r="162" spans="1:37" ht="30" customHeight="1">
      <c r="A162" s="161" t="s">
        <v>198</v>
      </c>
      <c r="B162" s="216">
        <v>2619963877</v>
      </c>
      <c r="C162" s="155" t="s">
        <v>1569</v>
      </c>
      <c r="D162" s="155" t="s">
        <v>127</v>
      </c>
      <c r="E162" s="155" t="s">
        <v>35</v>
      </c>
      <c r="F162" s="155" t="s">
        <v>1706</v>
      </c>
      <c r="G162" s="155">
        <v>154</v>
      </c>
      <c r="H162" s="155" t="s">
        <v>200</v>
      </c>
      <c r="I162" s="155" t="s">
        <v>510</v>
      </c>
      <c r="J162" s="155" t="s">
        <v>1570</v>
      </c>
      <c r="K162" s="206" t="s">
        <v>1581</v>
      </c>
      <c r="L162" s="155" t="s">
        <v>1707</v>
      </c>
      <c r="M162" s="155" t="s">
        <v>1708</v>
      </c>
      <c r="N162" s="155" t="s">
        <v>1572</v>
      </c>
      <c r="O162" s="152" t="s">
        <v>215</v>
      </c>
      <c r="P162" s="90" t="s">
        <v>227</v>
      </c>
      <c r="Q162" s="152" t="s">
        <v>215</v>
      </c>
      <c r="R162" s="90" t="s">
        <v>227</v>
      </c>
      <c r="S162" s="152" t="s">
        <v>215</v>
      </c>
      <c r="T162" s="90" t="s">
        <v>227</v>
      </c>
      <c r="U162" s="152" t="s">
        <v>215</v>
      </c>
      <c r="V162" s="90" t="s">
        <v>227</v>
      </c>
      <c r="W162" s="152" t="s">
        <v>215</v>
      </c>
      <c r="X162" s="90" t="s">
        <v>227</v>
      </c>
      <c r="Y162" s="152" t="s">
        <v>215</v>
      </c>
      <c r="Z162" s="90" t="s">
        <v>227</v>
      </c>
      <c r="AA162" s="152" t="s">
        <v>215</v>
      </c>
      <c r="AB162" s="90" t="s">
        <v>227</v>
      </c>
      <c r="AC162" s="152" t="s">
        <v>215</v>
      </c>
      <c r="AD162" s="90" t="s">
        <v>227</v>
      </c>
      <c r="AE162" s="152" t="s">
        <v>215</v>
      </c>
      <c r="AF162" s="152" t="s">
        <v>215</v>
      </c>
      <c r="AG162" s="179" t="str">
        <f t="shared" si="9"/>
        <v>NÃO UTILIZOU O PDA</v>
      </c>
      <c r="AH162" s="140"/>
      <c r="AI162" s="147" t="s">
        <v>36</v>
      </c>
      <c r="AJ162" s="145" t="str">
        <f t="shared" ref="AJ162:AJ224" si="10">E162</f>
        <v>SÃO PAULO</v>
      </c>
      <c r="AK162" s="148" t="s">
        <v>75</v>
      </c>
    </row>
    <row r="163" spans="1:37" ht="30" customHeight="1">
      <c r="A163" s="161" t="s">
        <v>198</v>
      </c>
      <c r="B163" s="216">
        <v>2619965836</v>
      </c>
      <c r="C163" s="155" t="s">
        <v>1569</v>
      </c>
      <c r="D163" s="155" t="s">
        <v>127</v>
      </c>
      <c r="E163" s="155" t="s">
        <v>35</v>
      </c>
      <c r="F163" s="155" t="s">
        <v>1637</v>
      </c>
      <c r="G163" s="155">
        <v>680</v>
      </c>
      <c r="H163" s="155" t="s">
        <v>208</v>
      </c>
      <c r="I163" s="155" t="s">
        <v>253</v>
      </c>
      <c r="J163" s="155" t="s">
        <v>1570</v>
      </c>
      <c r="K163" s="206" t="s">
        <v>1709</v>
      </c>
      <c r="L163" s="155" t="s">
        <v>1710</v>
      </c>
      <c r="M163" s="155" t="s">
        <v>1711</v>
      </c>
      <c r="N163" s="155" t="s">
        <v>1572</v>
      </c>
      <c r="O163" s="152" t="s">
        <v>207</v>
      </c>
      <c r="P163" s="90"/>
      <c r="Q163" s="140" t="s">
        <v>214</v>
      </c>
      <c r="R163" s="90"/>
      <c r="S163" s="140" t="s">
        <v>77</v>
      </c>
      <c r="T163" s="90"/>
      <c r="U163" s="140" t="s">
        <v>77</v>
      </c>
      <c r="V163" s="90"/>
      <c r="W163" s="140" t="s">
        <v>77</v>
      </c>
      <c r="X163" s="90"/>
      <c r="Y163" s="140" t="s">
        <v>77</v>
      </c>
      <c r="Z163" s="90"/>
      <c r="AA163" s="140" t="s">
        <v>77</v>
      </c>
      <c r="AB163" s="90"/>
      <c r="AC163" s="140" t="s">
        <v>207</v>
      </c>
      <c r="AD163" s="90"/>
      <c r="AE163" s="140" t="s">
        <v>207</v>
      </c>
      <c r="AF163" s="137" t="str">
        <f t="shared" si="8"/>
        <v>NC</v>
      </c>
      <c r="AG163" s="179" t="str">
        <f t="shared" si="9"/>
        <v>UTILIZOU O PDA CORRETAMENTE. NÃO HÁ FOTOS DE TODAS AS ETAPAS</v>
      </c>
      <c r="AH163" s="140"/>
      <c r="AI163" s="147" t="s">
        <v>36</v>
      </c>
      <c r="AJ163" s="145" t="str">
        <f t="shared" si="10"/>
        <v>SÃO PAULO</v>
      </c>
      <c r="AK163" s="148" t="s">
        <v>75</v>
      </c>
    </row>
    <row r="164" spans="1:37" ht="30" customHeight="1">
      <c r="A164" s="161" t="s">
        <v>198</v>
      </c>
      <c r="B164" s="216">
        <v>2619965083</v>
      </c>
      <c r="C164" s="155" t="s">
        <v>1569</v>
      </c>
      <c r="D164" s="155" t="s">
        <v>127</v>
      </c>
      <c r="E164" s="155" t="s">
        <v>35</v>
      </c>
      <c r="F164" s="155" t="s">
        <v>1712</v>
      </c>
      <c r="G164" s="155">
        <v>4</v>
      </c>
      <c r="H164" s="155" t="s">
        <v>200</v>
      </c>
      <c r="I164" s="155" t="s">
        <v>300</v>
      </c>
      <c r="J164" s="155" t="s">
        <v>1570</v>
      </c>
      <c r="K164" s="206" t="s">
        <v>1581</v>
      </c>
      <c r="L164" s="155" t="s">
        <v>1713</v>
      </c>
      <c r="M164" s="155" t="s">
        <v>1714</v>
      </c>
      <c r="N164" s="155" t="s">
        <v>1572</v>
      </c>
      <c r="O164" s="152" t="s">
        <v>215</v>
      </c>
      <c r="P164" s="90" t="s">
        <v>227</v>
      </c>
      <c r="Q164" s="152" t="s">
        <v>215</v>
      </c>
      <c r="R164" s="90" t="s">
        <v>227</v>
      </c>
      <c r="S164" s="152" t="s">
        <v>215</v>
      </c>
      <c r="T164" s="90" t="s">
        <v>227</v>
      </c>
      <c r="U164" s="152" t="s">
        <v>215</v>
      </c>
      <c r="V164" s="90" t="s">
        <v>227</v>
      </c>
      <c r="W164" s="152" t="s">
        <v>215</v>
      </c>
      <c r="X164" s="90" t="s">
        <v>227</v>
      </c>
      <c r="Y164" s="152" t="s">
        <v>215</v>
      </c>
      <c r="Z164" s="90" t="s">
        <v>227</v>
      </c>
      <c r="AA164" s="152" t="s">
        <v>215</v>
      </c>
      <c r="AB164" s="90" t="s">
        <v>227</v>
      </c>
      <c r="AC164" s="152" t="s">
        <v>215</v>
      </c>
      <c r="AD164" s="90" t="s">
        <v>227</v>
      </c>
      <c r="AE164" s="152" t="s">
        <v>215</v>
      </c>
      <c r="AF164" s="137" t="str">
        <f t="shared" si="8"/>
        <v>NC</v>
      </c>
      <c r="AG164" s="179" t="str">
        <f t="shared" si="9"/>
        <v>NÃO UTILIZOU O PDA</v>
      </c>
      <c r="AH164" s="140"/>
      <c r="AI164" s="147" t="s">
        <v>36</v>
      </c>
      <c r="AJ164" s="145" t="str">
        <f t="shared" si="10"/>
        <v>SÃO PAULO</v>
      </c>
      <c r="AK164" s="148" t="s">
        <v>75</v>
      </c>
    </row>
    <row r="165" spans="1:37" ht="30" customHeight="1">
      <c r="A165" s="161" t="s">
        <v>198</v>
      </c>
      <c r="B165" s="216">
        <v>2619965542</v>
      </c>
      <c r="C165" s="155" t="s">
        <v>1569</v>
      </c>
      <c r="D165" s="155" t="s">
        <v>127</v>
      </c>
      <c r="E165" s="155" t="s">
        <v>35</v>
      </c>
      <c r="F165" s="155" t="s">
        <v>1712</v>
      </c>
      <c r="G165" s="155">
        <v>94</v>
      </c>
      <c r="H165" s="155" t="s">
        <v>200</v>
      </c>
      <c r="I165" s="155" t="s">
        <v>300</v>
      </c>
      <c r="J165" s="155" t="s">
        <v>1570</v>
      </c>
      <c r="K165" s="206" t="s">
        <v>1581</v>
      </c>
      <c r="L165" s="155" t="s">
        <v>1715</v>
      </c>
      <c r="M165" s="155" t="s">
        <v>1716</v>
      </c>
      <c r="N165" s="155" t="s">
        <v>1572</v>
      </c>
      <c r="O165" s="152" t="s">
        <v>215</v>
      </c>
      <c r="P165" s="90" t="s">
        <v>227</v>
      </c>
      <c r="Q165" s="152" t="s">
        <v>215</v>
      </c>
      <c r="R165" s="90" t="s">
        <v>227</v>
      </c>
      <c r="S165" s="152" t="s">
        <v>215</v>
      </c>
      <c r="T165" s="90" t="s">
        <v>227</v>
      </c>
      <c r="U165" s="152" t="s">
        <v>215</v>
      </c>
      <c r="V165" s="90" t="s">
        <v>227</v>
      </c>
      <c r="W165" s="152" t="s">
        <v>215</v>
      </c>
      <c r="X165" s="90" t="s">
        <v>227</v>
      </c>
      <c r="Y165" s="152" t="s">
        <v>215</v>
      </c>
      <c r="Z165" s="90" t="s">
        <v>227</v>
      </c>
      <c r="AA165" s="152" t="s">
        <v>215</v>
      </c>
      <c r="AB165" s="90" t="s">
        <v>227</v>
      </c>
      <c r="AC165" s="152" t="s">
        <v>215</v>
      </c>
      <c r="AD165" s="90" t="s">
        <v>227</v>
      </c>
      <c r="AE165" s="152" t="s">
        <v>215</v>
      </c>
      <c r="AF165" s="137" t="str">
        <f t="shared" si="8"/>
        <v>NC</v>
      </c>
      <c r="AG165" s="179" t="str">
        <f t="shared" si="9"/>
        <v>NÃO UTILIZOU O PDA</v>
      </c>
      <c r="AH165" s="140"/>
      <c r="AI165" s="147" t="s">
        <v>36</v>
      </c>
      <c r="AJ165" s="145" t="str">
        <f t="shared" si="10"/>
        <v>SÃO PAULO</v>
      </c>
      <c r="AK165" s="148" t="s">
        <v>75</v>
      </c>
    </row>
    <row r="166" spans="1:37" ht="30" customHeight="1">
      <c r="A166" s="161" t="s">
        <v>198</v>
      </c>
      <c r="B166" s="216">
        <v>2619962483</v>
      </c>
      <c r="C166" s="155" t="s">
        <v>1569</v>
      </c>
      <c r="D166" s="155" t="s">
        <v>127</v>
      </c>
      <c r="E166" s="155" t="s">
        <v>35</v>
      </c>
      <c r="F166" s="155" t="s">
        <v>1629</v>
      </c>
      <c r="G166" s="155">
        <v>554</v>
      </c>
      <c r="H166" s="155" t="s">
        <v>200</v>
      </c>
      <c r="I166" s="155" t="s">
        <v>510</v>
      </c>
      <c r="J166" s="155" t="s">
        <v>1570</v>
      </c>
      <c r="K166" s="206" t="s">
        <v>1581</v>
      </c>
      <c r="L166" s="155" t="s">
        <v>1717</v>
      </c>
      <c r="M166" s="155" t="s">
        <v>1718</v>
      </c>
      <c r="N166" s="155" t="s">
        <v>1572</v>
      </c>
      <c r="O166" s="152" t="s">
        <v>215</v>
      </c>
      <c r="P166" s="90" t="s">
        <v>227</v>
      </c>
      <c r="Q166" s="152" t="s">
        <v>215</v>
      </c>
      <c r="R166" s="90" t="s">
        <v>227</v>
      </c>
      <c r="S166" s="152" t="s">
        <v>215</v>
      </c>
      <c r="T166" s="90" t="s">
        <v>227</v>
      </c>
      <c r="U166" s="152" t="s">
        <v>215</v>
      </c>
      <c r="V166" s="90" t="s">
        <v>227</v>
      </c>
      <c r="W166" s="152" t="s">
        <v>215</v>
      </c>
      <c r="X166" s="90" t="s">
        <v>227</v>
      </c>
      <c r="Y166" s="152" t="s">
        <v>215</v>
      </c>
      <c r="Z166" s="90" t="s">
        <v>227</v>
      </c>
      <c r="AA166" s="152" t="s">
        <v>215</v>
      </c>
      <c r="AB166" s="90" t="s">
        <v>227</v>
      </c>
      <c r="AC166" s="152" t="s">
        <v>215</v>
      </c>
      <c r="AD166" s="90" t="s">
        <v>227</v>
      </c>
      <c r="AE166" s="152" t="s">
        <v>215</v>
      </c>
      <c r="AF166" s="137" t="str">
        <f t="shared" si="8"/>
        <v>NC</v>
      </c>
      <c r="AG166" s="179" t="str">
        <f t="shared" si="9"/>
        <v>NÃO UTILIZOU O PDA</v>
      </c>
      <c r="AH166" s="140"/>
      <c r="AI166" s="147" t="s">
        <v>36</v>
      </c>
      <c r="AJ166" s="145" t="str">
        <f t="shared" si="10"/>
        <v>SÃO PAULO</v>
      </c>
      <c r="AK166" s="148" t="s">
        <v>75</v>
      </c>
    </row>
    <row r="167" spans="1:37" ht="30" customHeight="1">
      <c r="A167" s="161" t="s">
        <v>198</v>
      </c>
      <c r="B167" s="216">
        <v>2619963507</v>
      </c>
      <c r="C167" s="155" t="s">
        <v>1569</v>
      </c>
      <c r="D167" s="155" t="s">
        <v>127</v>
      </c>
      <c r="E167" s="155" t="s">
        <v>35</v>
      </c>
      <c r="F167" s="155" t="s">
        <v>1706</v>
      </c>
      <c r="G167" s="155">
        <v>42</v>
      </c>
      <c r="H167" s="155" t="s">
        <v>200</v>
      </c>
      <c r="I167" s="155" t="s">
        <v>510</v>
      </c>
      <c r="J167" s="155" t="s">
        <v>1570</v>
      </c>
      <c r="K167" s="206" t="s">
        <v>1719</v>
      </c>
      <c r="L167" s="155" t="s">
        <v>1720</v>
      </c>
      <c r="M167" s="155" t="s">
        <v>1721</v>
      </c>
      <c r="N167" s="155" t="s">
        <v>1572</v>
      </c>
      <c r="O167" s="152" t="s">
        <v>215</v>
      </c>
      <c r="P167" s="90" t="s">
        <v>227</v>
      </c>
      <c r="Q167" s="152" t="s">
        <v>215</v>
      </c>
      <c r="R167" s="90" t="s">
        <v>227</v>
      </c>
      <c r="S167" s="152" t="s">
        <v>215</v>
      </c>
      <c r="T167" s="90" t="s">
        <v>227</v>
      </c>
      <c r="U167" s="152" t="s">
        <v>215</v>
      </c>
      <c r="V167" s="90" t="s">
        <v>227</v>
      </c>
      <c r="W167" s="152" t="s">
        <v>215</v>
      </c>
      <c r="X167" s="90" t="s">
        <v>227</v>
      </c>
      <c r="Y167" s="152" t="s">
        <v>215</v>
      </c>
      <c r="Z167" s="90" t="s">
        <v>227</v>
      </c>
      <c r="AA167" s="152" t="s">
        <v>215</v>
      </c>
      <c r="AB167" s="90" t="s">
        <v>227</v>
      </c>
      <c r="AC167" s="152" t="s">
        <v>215</v>
      </c>
      <c r="AD167" s="90" t="s">
        <v>227</v>
      </c>
      <c r="AE167" s="152" t="s">
        <v>215</v>
      </c>
      <c r="AF167" s="137" t="str">
        <f t="shared" si="8"/>
        <v>NC</v>
      </c>
      <c r="AG167" s="179" t="str">
        <f t="shared" si="9"/>
        <v>NÃO UTILIZOU O PDA</v>
      </c>
      <c r="AH167" s="140"/>
      <c r="AI167" s="147" t="s">
        <v>36</v>
      </c>
      <c r="AJ167" s="145" t="str">
        <f t="shared" si="10"/>
        <v>SÃO PAULO</v>
      </c>
      <c r="AK167" s="148" t="s">
        <v>75</v>
      </c>
    </row>
    <row r="168" spans="1:37" ht="30" customHeight="1">
      <c r="A168" s="161" t="s">
        <v>198</v>
      </c>
      <c r="B168" s="216">
        <v>2619964599</v>
      </c>
      <c r="C168" s="155" t="s">
        <v>1569</v>
      </c>
      <c r="D168" s="155" t="s">
        <v>127</v>
      </c>
      <c r="E168" s="155" t="s">
        <v>35</v>
      </c>
      <c r="F168" s="155" t="s">
        <v>1722</v>
      </c>
      <c r="G168" s="155">
        <v>463</v>
      </c>
      <c r="H168" s="155" t="s">
        <v>200</v>
      </c>
      <c r="I168" s="155" t="s">
        <v>510</v>
      </c>
      <c r="J168" s="155" t="s">
        <v>1570</v>
      </c>
      <c r="K168" s="206" t="s">
        <v>1578</v>
      </c>
      <c r="L168" s="155" t="s">
        <v>1723</v>
      </c>
      <c r="M168" s="155" t="s">
        <v>1724</v>
      </c>
      <c r="N168" s="155" t="s">
        <v>1572</v>
      </c>
      <c r="O168" s="152" t="s">
        <v>215</v>
      </c>
      <c r="P168" s="90" t="s">
        <v>227</v>
      </c>
      <c r="Q168" s="152" t="s">
        <v>215</v>
      </c>
      <c r="R168" s="90" t="s">
        <v>227</v>
      </c>
      <c r="S168" s="152" t="s">
        <v>215</v>
      </c>
      <c r="T168" s="90" t="s">
        <v>227</v>
      </c>
      <c r="U168" s="152" t="s">
        <v>215</v>
      </c>
      <c r="V168" s="90" t="s">
        <v>227</v>
      </c>
      <c r="W168" s="152" t="s">
        <v>215</v>
      </c>
      <c r="X168" s="90" t="s">
        <v>227</v>
      </c>
      <c r="Y168" s="152" t="s">
        <v>215</v>
      </c>
      <c r="Z168" s="90" t="s">
        <v>227</v>
      </c>
      <c r="AA168" s="152" t="s">
        <v>215</v>
      </c>
      <c r="AB168" s="90" t="s">
        <v>227</v>
      </c>
      <c r="AC168" s="152" t="s">
        <v>215</v>
      </c>
      <c r="AD168" s="90" t="s">
        <v>227</v>
      </c>
      <c r="AE168" s="152" t="s">
        <v>215</v>
      </c>
      <c r="AF168" s="137" t="str">
        <f t="shared" si="8"/>
        <v>NC</v>
      </c>
      <c r="AG168" s="179" t="str">
        <f t="shared" si="9"/>
        <v>NÃO UTILIZOU O PDA</v>
      </c>
      <c r="AH168" s="140"/>
      <c r="AI168" s="147" t="s">
        <v>36</v>
      </c>
      <c r="AJ168" s="145" t="str">
        <f t="shared" si="10"/>
        <v>SÃO PAULO</v>
      </c>
      <c r="AK168" s="148" t="s">
        <v>75</v>
      </c>
    </row>
    <row r="169" spans="1:37" ht="30" customHeight="1">
      <c r="A169" s="161" t="s">
        <v>198</v>
      </c>
      <c r="B169" s="216">
        <v>2619964750</v>
      </c>
      <c r="C169" s="155" t="s">
        <v>1569</v>
      </c>
      <c r="D169" s="155" t="s">
        <v>127</v>
      </c>
      <c r="E169" s="155" t="s">
        <v>35</v>
      </c>
      <c r="F169" s="155" t="s">
        <v>1725</v>
      </c>
      <c r="G169" s="155">
        <v>184</v>
      </c>
      <c r="H169" s="155" t="s">
        <v>200</v>
      </c>
      <c r="I169" s="155" t="s">
        <v>510</v>
      </c>
      <c r="J169" s="155" t="s">
        <v>1570</v>
      </c>
      <c r="K169" s="206" t="s">
        <v>1581</v>
      </c>
      <c r="L169" s="155" t="s">
        <v>1726</v>
      </c>
      <c r="M169" s="155" t="s">
        <v>1727</v>
      </c>
      <c r="N169" s="155" t="s">
        <v>1572</v>
      </c>
      <c r="O169" s="152" t="s">
        <v>215</v>
      </c>
      <c r="P169" s="90" t="s">
        <v>227</v>
      </c>
      <c r="Q169" s="152" t="s">
        <v>215</v>
      </c>
      <c r="R169" s="90" t="s">
        <v>227</v>
      </c>
      <c r="S169" s="152" t="s">
        <v>215</v>
      </c>
      <c r="T169" s="90" t="s">
        <v>227</v>
      </c>
      <c r="U169" s="152" t="s">
        <v>215</v>
      </c>
      <c r="V169" s="90" t="s">
        <v>227</v>
      </c>
      <c r="W169" s="152" t="s">
        <v>215</v>
      </c>
      <c r="X169" s="90" t="s">
        <v>227</v>
      </c>
      <c r="Y169" s="152" t="s">
        <v>215</v>
      </c>
      <c r="Z169" s="90" t="s">
        <v>227</v>
      </c>
      <c r="AA169" s="152" t="s">
        <v>215</v>
      </c>
      <c r="AB169" s="90" t="s">
        <v>227</v>
      </c>
      <c r="AC169" s="152" t="s">
        <v>215</v>
      </c>
      <c r="AD169" s="90" t="s">
        <v>227</v>
      </c>
      <c r="AE169" s="152" t="s">
        <v>215</v>
      </c>
      <c r="AF169" s="137" t="str">
        <f t="shared" si="8"/>
        <v>NC</v>
      </c>
      <c r="AG169" s="179" t="str">
        <f t="shared" si="9"/>
        <v>NÃO UTILIZOU O PDA</v>
      </c>
      <c r="AH169" s="140"/>
      <c r="AI169" s="147" t="s">
        <v>36</v>
      </c>
      <c r="AJ169" s="145" t="str">
        <f t="shared" si="10"/>
        <v>SÃO PAULO</v>
      </c>
      <c r="AK169" s="148" t="s">
        <v>75</v>
      </c>
    </row>
    <row r="170" spans="1:37" ht="30" customHeight="1">
      <c r="A170" s="161" t="s">
        <v>198</v>
      </c>
      <c r="B170" s="216">
        <v>2620207880</v>
      </c>
      <c r="C170" s="155" t="s">
        <v>135</v>
      </c>
      <c r="D170" s="155" t="s">
        <v>125</v>
      </c>
      <c r="E170" s="155" t="s">
        <v>35</v>
      </c>
      <c r="F170" s="155" t="s">
        <v>696</v>
      </c>
      <c r="G170" s="155">
        <v>225</v>
      </c>
      <c r="H170" s="155" t="s">
        <v>200</v>
      </c>
      <c r="I170" s="155" t="s">
        <v>614</v>
      </c>
      <c r="J170" s="155" t="s">
        <v>135</v>
      </c>
      <c r="K170" s="155" t="s">
        <v>200</v>
      </c>
      <c r="L170" s="155" t="s">
        <v>1728</v>
      </c>
      <c r="M170" s="155" t="s">
        <v>1729</v>
      </c>
      <c r="N170" s="155" t="s">
        <v>1546</v>
      </c>
      <c r="O170" s="152" t="s">
        <v>77</v>
      </c>
      <c r="P170" s="90"/>
      <c r="Q170" s="140" t="s">
        <v>77</v>
      </c>
      <c r="R170" s="90"/>
      <c r="S170" s="140" t="s">
        <v>77</v>
      </c>
      <c r="T170" s="90"/>
      <c r="U170" s="140" t="s">
        <v>77</v>
      </c>
      <c r="V170" s="90"/>
      <c r="W170" s="140" t="s">
        <v>77</v>
      </c>
      <c r="X170" s="90"/>
      <c r="Y170" s="140" t="s">
        <v>77</v>
      </c>
      <c r="Z170" s="90"/>
      <c r="AA170" s="140" t="s">
        <v>77</v>
      </c>
      <c r="AB170" s="90"/>
      <c r="AC170" s="140" t="s">
        <v>77</v>
      </c>
      <c r="AD170" s="90"/>
      <c r="AE170" s="140" t="s">
        <v>77</v>
      </c>
      <c r="AF170" s="137" t="str">
        <f t="shared" si="8"/>
        <v>NA</v>
      </c>
      <c r="AG170" s="179" t="str">
        <f t="shared" si="9"/>
        <v>NÃO AVALIADO POR FALHA DE SINCRONISMO</v>
      </c>
      <c r="AH170" s="140" t="s">
        <v>207</v>
      </c>
      <c r="AI170" s="147" t="s">
        <v>36</v>
      </c>
      <c r="AJ170" s="145" t="str">
        <f t="shared" si="10"/>
        <v>SÃO PAULO</v>
      </c>
      <c r="AK170" s="148" t="s">
        <v>75</v>
      </c>
    </row>
    <row r="171" spans="1:37" ht="30" customHeight="1">
      <c r="A171" s="161" t="s">
        <v>198</v>
      </c>
      <c r="B171" s="216">
        <v>2620571095</v>
      </c>
      <c r="C171" s="155" t="s">
        <v>136</v>
      </c>
      <c r="D171" s="155" t="s">
        <v>127</v>
      </c>
      <c r="E171" s="155" t="s">
        <v>35</v>
      </c>
      <c r="F171" s="155" t="s">
        <v>1730</v>
      </c>
      <c r="G171" s="155">
        <v>124</v>
      </c>
      <c r="H171" s="155" t="s">
        <v>208</v>
      </c>
      <c r="I171" s="155" t="s">
        <v>1731</v>
      </c>
      <c r="J171" s="155" t="s">
        <v>1525</v>
      </c>
      <c r="K171" s="155" t="s">
        <v>200</v>
      </c>
      <c r="L171" s="155" t="s">
        <v>1732</v>
      </c>
      <c r="M171" s="155" t="s">
        <v>1733</v>
      </c>
      <c r="N171" s="155" t="s">
        <v>309</v>
      </c>
      <c r="O171" s="152" t="s">
        <v>207</v>
      </c>
      <c r="P171" s="90"/>
      <c r="Q171" s="140" t="s">
        <v>207</v>
      </c>
      <c r="R171" s="90"/>
      <c r="S171" s="140" t="s">
        <v>77</v>
      </c>
      <c r="T171" s="90"/>
      <c r="U171" s="140" t="s">
        <v>77</v>
      </c>
      <c r="V171" s="90"/>
      <c r="W171" s="140" t="s">
        <v>77</v>
      </c>
      <c r="X171" s="90"/>
      <c r="Y171" s="140" t="s">
        <v>77</v>
      </c>
      <c r="Z171" s="90"/>
      <c r="AA171" s="140" t="s">
        <v>77</v>
      </c>
      <c r="AB171" s="90"/>
      <c r="AC171" s="140" t="s">
        <v>207</v>
      </c>
      <c r="AD171" s="90"/>
      <c r="AE171" s="140" t="s">
        <v>207</v>
      </c>
      <c r="AF171" s="137" t="str">
        <f t="shared" si="8"/>
        <v>C</v>
      </c>
      <c r="AG171" s="179" t="str">
        <f t="shared" si="9"/>
        <v>UTILIZOU O PDA CORRETAMENTE</v>
      </c>
      <c r="AH171" s="140"/>
      <c r="AI171" s="147" t="s">
        <v>36</v>
      </c>
      <c r="AJ171" s="145" t="str">
        <f t="shared" si="10"/>
        <v>SÃO PAULO</v>
      </c>
      <c r="AK171" s="148" t="s">
        <v>75</v>
      </c>
    </row>
    <row r="172" spans="1:37" ht="30" customHeight="1">
      <c r="A172" s="161" t="s">
        <v>198</v>
      </c>
      <c r="B172" s="216">
        <v>2620582285</v>
      </c>
      <c r="C172" s="155" t="s">
        <v>136</v>
      </c>
      <c r="D172" s="155" t="s">
        <v>127</v>
      </c>
      <c r="E172" s="155" t="s">
        <v>35</v>
      </c>
      <c r="F172" s="155" t="s">
        <v>687</v>
      </c>
      <c r="G172" s="155">
        <v>0</v>
      </c>
      <c r="H172" s="155" t="s">
        <v>200</v>
      </c>
      <c r="I172" s="155" t="s">
        <v>373</v>
      </c>
      <c r="J172" s="155" t="s">
        <v>1553</v>
      </c>
      <c r="K172" s="155" t="s">
        <v>200</v>
      </c>
      <c r="L172" s="155" t="s">
        <v>1703</v>
      </c>
      <c r="M172" s="155" t="s">
        <v>1734</v>
      </c>
      <c r="N172" s="155" t="s">
        <v>309</v>
      </c>
      <c r="O172" s="152" t="s">
        <v>77</v>
      </c>
      <c r="P172" s="90"/>
      <c r="Q172" s="140" t="s">
        <v>77</v>
      </c>
      <c r="R172" s="90"/>
      <c r="S172" s="140" t="s">
        <v>77</v>
      </c>
      <c r="T172" s="90"/>
      <c r="U172" s="140" t="s">
        <v>77</v>
      </c>
      <c r="V172" s="90"/>
      <c r="W172" s="140" t="s">
        <v>77</v>
      </c>
      <c r="X172" s="90"/>
      <c r="Y172" s="140" t="s">
        <v>77</v>
      </c>
      <c r="Z172" s="90"/>
      <c r="AA172" s="140" t="s">
        <v>77</v>
      </c>
      <c r="AB172" s="90"/>
      <c r="AC172" s="140" t="s">
        <v>77</v>
      </c>
      <c r="AD172" s="90"/>
      <c r="AE172" s="140" t="s">
        <v>77</v>
      </c>
      <c r="AF172" s="137" t="str">
        <f t="shared" si="8"/>
        <v>NA</v>
      </c>
      <c r="AG172" s="179" t="str">
        <f t="shared" si="9"/>
        <v>NÃO AVALIADO POR FALHA DE SINCRONISMO</v>
      </c>
      <c r="AH172" s="140" t="s">
        <v>207</v>
      </c>
      <c r="AI172" s="147" t="s">
        <v>36</v>
      </c>
      <c r="AJ172" s="145" t="str">
        <f t="shared" si="10"/>
        <v>SÃO PAULO</v>
      </c>
      <c r="AK172" s="148" t="s">
        <v>75</v>
      </c>
    </row>
    <row r="173" spans="1:37" ht="30" customHeight="1">
      <c r="A173" s="161" t="s">
        <v>198</v>
      </c>
      <c r="B173" s="216">
        <v>2620578200</v>
      </c>
      <c r="C173" s="155" t="s">
        <v>138</v>
      </c>
      <c r="D173" s="155" t="s">
        <v>124</v>
      </c>
      <c r="E173" s="155" t="s">
        <v>35</v>
      </c>
      <c r="F173" s="155" t="s">
        <v>1735</v>
      </c>
      <c r="G173" s="155">
        <v>154</v>
      </c>
      <c r="H173" s="155" t="s">
        <v>208</v>
      </c>
      <c r="I173" s="155" t="s">
        <v>433</v>
      </c>
      <c r="J173" s="155" t="s">
        <v>1539</v>
      </c>
      <c r="K173" s="206" t="s">
        <v>1736</v>
      </c>
      <c r="L173" s="155" t="s">
        <v>1737</v>
      </c>
      <c r="M173" s="155" t="s">
        <v>1738</v>
      </c>
      <c r="N173" s="155" t="s">
        <v>1537</v>
      </c>
      <c r="O173" s="152" t="s">
        <v>207</v>
      </c>
      <c r="P173" s="90"/>
      <c r="Q173" s="140" t="s">
        <v>207</v>
      </c>
      <c r="R173" s="90"/>
      <c r="S173" s="140" t="s">
        <v>214</v>
      </c>
      <c r="T173" s="90"/>
      <c r="U173" s="140" t="s">
        <v>207</v>
      </c>
      <c r="V173" s="90"/>
      <c r="W173" s="140" t="s">
        <v>207</v>
      </c>
      <c r="X173" s="90"/>
      <c r="Y173" s="140" t="s">
        <v>207</v>
      </c>
      <c r="Z173" s="90"/>
      <c r="AA173" s="140" t="s">
        <v>214</v>
      </c>
      <c r="AB173" s="90"/>
      <c r="AC173" s="140" t="s">
        <v>214</v>
      </c>
      <c r="AD173" s="90"/>
      <c r="AE173" s="140" t="s">
        <v>207</v>
      </c>
      <c r="AF173" s="137" t="str">
        <f t="shared" si="8"/>
        <v>NC</v>
      </c>
      <c r="AG173" s="179" t="str">
        <f t="shared" si="9"/>
        <v>UTILIZOU O PDA CORRETAMENTE. NÃO HÁ FOTOS DE TODAS AS ETAPAS</v>
      </c>
      <c r="AH173" s="140" t="s">
        <v>207</v>
      </c>
      <c r="AI173" s="147" t="s">
        <v>36</v>
      </c>
      <c r="AJ173" s="145" t="str">
        <f t="shared" si="10"/>
        <v>SÃO PAULO</v>
      </c>
      <c r="AK173" s="148" t="s">
        <v>75</v>
      </c>
    </row>
    <row r="174" spans="1:37" ht="30" customHeight="1">
      <c r="A174" s="161" t="s">
        <v>198</v>
      </c>
      <c r="B174" s="216">
        <v>2620718542</v>
      </c>
      <c r="C174" s="155" t="s">
        <v>138</v>
      </c>
      <c r="D174" s="155" t="s">
        <v>124</v>
      </c>
      <c r="E174" s="155" t="s">
        <v>35</v>
      </c>
      <c r="F174" s="155" t="s">
        <v>1735</v>
      </c>
      <c r="G174" s="155">
        <v>150</v>
      </c>
      <c r="H174" s="155" t="s">
        <v>208</v>
      </c>
      <c r="I174" s="155" t="s">
        <v>433</v>
      </c>
      <c r="J174" s="155" t="s">
        <v>1539</v>
      </c>
      <c r="K174" s="155" t="s">
        <v>200</v>
      </c>
      <c r="L174" s="155" t="s">
        <v>1739</v>
      </c>
      <c r="M174" s="155" t="s">
        <v>1740</v>
      </c>
      <c r="N174" s="155" t="s">
        <v>1537</v>
      </c>
      <c r="O174" s="152" t="s">
        <v>207</v>
      </c>
      <c r="P174" s="90"/>
      <c r="Q174" s="140" t="s">
        <v>207</v>
      </c>
      <c r="R174" s="90"/>
      <c r="S174" s="140" t="s">
        <v>214</v>
      </c>
      <c r="T174" s="90"/>
      <c r="U174" s="140" t="s">
        <v>207</v>
      </c>
      <c r="V174" s="90"/>
      <c r="W174" s="140" t="s">
        <v>207</v>
      </c>
      <c r="X174" s="90"/>
      <c r="Y174" s="140" t="s">
        <v>207</v>
      </c>
      <c r="Z174" s="90"/>
      <c r="AA174" s="140" t="s">
        <v>214</v>
      </c>
      <c r="AB174" s="90"/>
      <c r="AC174" s="140" t="s">
        <v>214</v>
      </c>
      <c r="AD174" s="90"/>
      <c r="AE174" s="140" t="s">
        <v>207</v>
      </c>
      <c r="AF174" s="137" t="str">
        <f t="shared" si="8"/>
        <v>NC</v>
      </c>
      <c r="AG174" s="179" t="str">
        <f t="shared" si="9"/>
        <v>UTILIZOU O PDA CORRETAMENTE. NÃO HÁ FOTOS DE TODAS AS ETAPAS</v>
      </c>
      <c r="AH174" s="140" t="s">
        <v>207</v>
      </c>
      <c r="AI174" s="147" t="s">
        <v>36</v>
      </c>
      <c r="AJ174" s="145" t="str">
        <f t="shared" si="10"/>
        <v>SÃO PAULO</v>
      </c>
      <c r="AK174" s="148" t="s">
        <v>75</v>
      </c>
    </row>
    <row r="175" spans="1:37" ht="30" customHeight="1">
      <c r="A175" s="161" t="s">
        <v>198</v>
      </c>
      <c r="B175" s="216">
        <v>2620386550</v>
      </c>
      <c r="C175" s="155" t="s">
        <v>138</v>
      </c>
      <c r="D175" s="155" t="s">
        <v>124</v>
      </c>
      <c r="E175" s="155" t="s">
        <v>35</v>
      </c>
      <c r="F175" s="155" t="s">
        <v>1741</v>
      </c>
      <c r="G175" s="155">
        <v>274</v>
      </c>
      <c r="H175" s="155" t="s">
        <v>200</v>
      </c>
      <c r="I175" s="155" t="s">
        <v>300</v>
      </c>
      <c r="J175" s="155" t="s">
        <v>1539</v>
      </c>
      <c r="K175" s="155" t="s">
        <v>200</v>
      </c>
      <c r="L175" s="155" t="s">
        <v>1099</v>
      </c>
      <c r="M175" s="155" t="s">
        <v>1100</v>
      </c>
      <c r="N175" s="155" t="s">
        <v>1742</v>
      </c>
      <c r="O175" s="152" t="s">
        <v>77</v>
      </c>
      <c r="P175" s="90"/>
      <c r="Q175" s="140" t="s">
        <v>77</v>
      </c>
      <c r="R175" s="90"/>
      <c r="S175" s="140" t="s">
        <v>77</v>
      </c>
      <c r="T175" s="90"/>
      <c r="U175" s="140" t="s">
        <v>77</v>
      </c>
      <c r="V175" s="90"/>
      <c r="W175" s="140" t="s">
        <v>77</v>
      </c>
      <c r="X175" s="90"/>
      <c r="Y175" s="140" t="s">
        <v>77</v>
      </c>
      <c r="Z175" s="90"/>
      <c r="AA175" s="140" t="s">
        <v>77</v>
      </c>
      <c r="AB175" s="90"/>
      <c r="AC175" s="140" t="s">
        <v>77</v>
      </c>
      <c r="AD175" s="90"/>
      <c r="AE175" s="140" t="s">
        <v>77</v>
      </c>
      <c r="AF175" s="137" t="str">
        <f t="shared" si="8"/>
        <v>NA</v>
      </c>
      <c r="AG175" s="179" t="str">
        <f t="shared" si="9"/>
        <v>NÃO AVALIADO POR FALHA DE SINCRONISMO</v>
      </c>
      <c r="AH175" s="140"/>
      <c r="AI175" s="147" t="s">
        <v>36</v>
      </c>
      <c r="AJ175" s="145" t="str">
        <f t="shared" si="10"/>
        <v>SÃO PAULO</v>
      </c>
      <c r="AK175" s="148" t="s">
        <v>75</v>
      </c>
    </row>
    <row r="176" spans="1:37" ht="30" customHeight="1">
      <c r="A176" s="161" t="s">
        <v>198</v>
      </c>
      <c r="B176" s="216">
        <v>2620545702</v>
      </c>
      <c r="C176" s="155" t="s">
        <v>138</v>
      </c>
      <c r="D176" s="155" t="s">
        <v>124</v>
      </c>
      <c r="E176" s="155" t="s">
        <v>35</v>
      </c>
      <c r="F176" s="155" t="s">
        <v>296</v>
      </c>
      <c r="G176" s="155">
        <v>836</v>
      </c>
      <c r="H176" s="155" t="s">
        <v>208</v>
      </c>
      <c r="I176" s="155" t="s">
        <v>297</v>
      </c>
      <c r="J176" s="155" t="s">
        <v>1539</v>
      </c>
      <c r="K176" s="155" t="s">
        <v>1743</v>
      </c>
      <c r="L176" s="155" t="s">
        <v>1744</v>
      </c>
      <c r="M176" s="155" t="s">
        <v>1745</v>
      </c>
      <c r="N176" s="155" t="s">
        <v>1742</v>
      </c>
      <c r="O176" s="152" t="s">
        <v>77</v>
      </c>
      <c r="P176" s="90"/>
      <c r="Q176" s="140" t="s">
        <v>77</v>
      </c>
      <c r="R176" s="90"/>
      <c r="S176" s="140" t="s">
        <v>77</v>
      </c>
      <c r="T176" s="90"/>
      <c r="U176" s="140" t="s">
        <v>77</v>
      </c>
      <c r="V176" s="90"/>
      <c r="W176" s="140" t="s">
        <v>77</v>
      </c>
      <c r="X176" s="90"/>
      <c r="Y176" s="140" t="s">
        <v>77</v>
      </c>
      <c r="Z176" s="90"/>
      <c r="AA176" s="140" t="s">
        <v>77</v>
      </c>
      <c r="AB176" s="90"/>
      <c r="AC176" s="140" t="s">
        <v>77</v>
      </c>
      <c r="AD176" s="90"/>
      <c r="AE176" s="140" t="s">
        <v>77</v>
      </c>
      <c r="AF176" s="137" t="str">
        <f t="shared" si="8"/>
        <v>NA</v>
      </c>
      <c r="AG176" s="179" t="str">
        <f t="shared" si="9"/>
        <v>NÃO AVALIADO POR FALHA DE SINCRONISMO</v>
      </c>
      <c r="AH176" s="140"/>
      <c r="AI176" s="147" t="s">
        <v>36</v>
      </c>
      <c r="AJ176" s="145" t="str">
        <f t="shared" si="10"/>
        <v>SÃO PAULO</v>
      </c>
      <c r="AK176" s="148" t="s">
        <v>75</v>
      </c>
    </row>
    <row r="177" spans="1:37" ht="30" customHeight="1">
      <c r="A177" s="161" t="s">
        <v>198</v>
      </c>
      <c r="B177" s="216">
        <v>2620579224</v>
      </c>
      <c r="C177" s="155" t="s">
        <v>138</v>
      </c>
      <c r="D177" s="155" t="s">
        <v>124</v>
      </c>
      <c r="E177" s="155" t="s">
        <v>35</v>
      </c>
      <c r="F177" s="155" t="s">
        <v>307</v>
      </c>
      <c r="G177" s="155">
        <v>314</v>
      </c>
      <c r="H177" s="155" t="s">
        <v>200</v>
      </c>
      <c r="I177" s="155" t="s">
        <v>308</v>
      </c>
      <c r="J177" s="155" t="s">
        <v>1539</v>
      </c>
      <c r="K177" s="155" t="s">
        <v>1746</v>
      </c>
      <c r="L177" s="155" t="s">
        <v>1747</v>
      </c>
      <c r="M177" s="155" t="s">
        <v>1748</v>
      </c>
      <c r="N177" s="155" t="s">
        <v>1742</v>
      </c>
      <c r="O177" s="152" t="s">
        <v>77</v>
      </c>
      <c r="P177" s="90"/>
      <c r="Q177" s="140" t="s">
        <v>77</v>
      </c>
      <c r="R177" s="90"/>
      <c r="S177" s="140" t="s">
        <v>77</v>
      </c>
      <c r="T177" s="90"/>
      <c r="U177" s="140" t="s">
        <v>77</v>
      </c>
      <c r="V177" s="90"/>
      <c r="W177" s="140" t="s">
        <v>77</v>
      </c>
      <c r="X177" s="90"/>
      <c r="Y177" s="140" t="s">
        <v>77</v>
      </c>
      <c r="Z177" s="90"/>
      <c r="AA177" s="140" t="s">
        <v>77</v>
      </c>
      <c r="AB177" s="90"/>
      <c r="AC177" s="140" t="s">
        <v>77</v>
      </c>
      <c r="AD177" s="90"/>
      <c r="AE177" s="140" t="s">
        <v>77</v>
      </c>
      <c r="AF177" s="137" t="str">
        <f t="shared" si="8"/>
        <v>NA</v>
      </c>
      <c r="AG177" s="179" t="str">
        <f t="shared" si="9"/>
        <v>NÃO AVALIADO POR FALHA DE SINCRONISMO</v>
      </c>
      <c r="AH177" s="140" t="s">
        <v>207</v>
      </c>
      <c r="AI177" s="147" t="s">
        <v>36</v>
      </c>
      <c r="AJ177" s="145" t="str">
        <f t="shared" si="10"/>
        <v>SÃO PAULO</v>
      </c>
      <c r="AK177" s="148" t="s">
        <v>75</v>
      </c>
    </row>
    <row r="178" spans="1:37" ht="30" customHeight="1">
      <c r="A178" s="161" t="s">
        <v>198</v>
      </c>
      <c r="B178" s="216">
        <v>2620569011</v>
      </c>
      <c r="C178" s="155" t="s">
        <v>136</v>
      </c>
      <c r="D178" s="155" t="s">
        <v>127</v>
      </c>
      <c r="E178" s="155" t="s">
        <v>35</v>
      </c>
      <c r="F178" s="155" t="s">
        <v>1749</v>
      </c>
      <c r="G178" s="155">
        <v>539</v>
      </c>
      <c r="H178" s="155" t="s">
        <v>200</v>
      </c>
      <c r="I178" s="155" t="s">
        <v>596</v>
      </c>
      <c r="J178" s="155" t="s">
        <v>1525</v>
      </c>
      <c r="K178" s="155" t="s">
        <v>200</v>
      </c>
      <c r="L178" s="155" t="s">
        <v>1750</v>
      </c>
      <c r="M178" s="155" t="s">
        <v>1751</v>
      </c>
      <c r="N178" s="155" t="s">
        <v>1546</v>
      </c>
      <c r="O178" s="152" t="s">
        <v>207</v>
      </c>
      <c r="P178" s="90"/>
      <c r="Q178" s="140" t="s">
        <v>214</v>
      </c>
      <c r="R178" s="90"/>
      <c r="S178" s="140" t="s">
        <v>214</v>
      </c>
      <c r="T178" s="90"/>
      <c r="U178" s="140" t="s">
        <v>214</v>
      </c>
      <c r="V178" s="90"/>
      <c r="W178" s="140" t="s">
        <v>214</v>
      </c>
      <c r="X178" s="90"/>
      <c r="Y178" s="140" t="s">
        <v>214</v>
      </c>
      <c r="Z178" s="90"/>
      <c r="AA178" s="140" t="s">
        <v>214</v>
      </c>
      <c r="AB178" s="90"/>
      <c r="AC178" s="140" t="s">
        <v>207</v>
      </c>
      <c r="AD178" s="90"/>
      <c r="AE178" s="140" t="s">
        <v>207</v>
      </c>
      <c r="AF178" s="137" t="str">
        <f t="shared" si="8"/>
        <v>NC</v>
      </c>
      <c r="AG178" s="179" t="str">
        <f t="shared" si="9"/>
        <v>UTILIZOU O PDA CORRETAMENTE. NÃO HÁ FOTOS DE TODAS AS ETAPAS</v>
      </c>
      <c r="AH178" s="140" t="s">
        <v>207</v>
      </c>
      <c r="AI178" s="147" t="s">
        <v>36</v>
      </c>
      <c r="AJ178" s="145" t="str">
        <f t="shared" si="10"/>
        <v>SÃO PAULO</v>
      </c>
      <c r="AK178" s="148" t="s">
        <v>75</v>
      </c>
    </row>
    <row r="179" spans="1:37" ht="30" customHeight="1">
      <c r="A179" s="161" t="s">
        <v>198</v>
      </c>
      <c r="B179" s="216">
        <v>2620183668</v>
      </c>
      <c r="C179" s="155" t="s">
        <v>136</v>
      </c>
      <c r="D179" s="155" t="s">
        <v>127</v>
      </c>
      <c r="E179" s="155" t="s">
        <v>35</v>
      </c>
      <c r="F179" s="155" t="s">
        <v>286</v>
      </c>
      <c r="G179" s="155">
        <v>6511</v>
      </c>
      <c r="H179" s="155" t="s">
        <v>200</v>
      </c>
      <c r="I179" s="155" t="s">
        <v>717</v>
      </c>
      <c r="J179" s="155" t="s">
        <v>1525</v>
      </c>
      <c r="K179" s="155" t="s">
        <v>200</v>
      </c>
      <c r="L179" s="155" t="s">
        <v>1752</v>
      </c>
      <c r="M179" s="155" t="s">
        <v>1753</v>
      </c>
      <c r="N179" s="155" t="s">
        <v>1546</v>
      </c>
      <c r="O179" s="152" t="s">
        <v>214</v>
      </c>
      <c r="P179" s="90"/>
      <c r="Q179" s="140" t="s">
        <v>214</v>
      </c>
      <c r="R179" s="90"/>
      <c r="S179" s="140" t="s">
        <v>214</v>
      </c>
      <c r="T179" s="90"/>
      <c r="U179" s="140" t="s">
        <v>77</v>
      </c>
      <c r="V179" s="90"/>
      <c r="W179" s="140" t="s">
        <v>77</v>
      </c>
      <c r="X179" s="90"/>
      <c r="Y179" s="140" t="s">
        <v>77</v>
      </c>
      <c r="Z179" s="90"/>
      <c r="AA179" s="140" t="s">
        <v>77</v>
      </c>
      <c r="AB179" s="90"/>
      <c r="AC179" s="140" t="s">
        <v>207</v>
      </c>
      <c r="AD179" s="90"/>
      <c r="AE179" s="140" t="s">
        <v>207</v>
      </c>
      <c r="AF179" s="137" t="str">
        <f t="shared" si="8"/>
        <v>NC</v>
      </c>
      <c r="AG179" s="179" t="str">
        <f t="shared" si="9"/>
        <v>UTILIZOU O PDA CORRETAMENTE. NÃO HÁ FOTOS DE TODAS AS ETAPAS</v>
      </c>
      <c r="AH179" s="140" t="s">
        <v>207</v>
      </c>
      <c r="AI179" s="147" t="s">
        <v>36</v>
      </c>
      <c r="AJ179" s="145" t="str">
        <f t="shared" si="10"/>
        <v>SÃO PAULO</v>
      </c>
      <c r="AK179" s="148" t="s">
        <v>75</v>
      </c>
    </row>
    <row r="180" spans="1:37" ht="30" customHeight="1">
      <c r="A180" s="161" t="s">
        <v>198</v>
      </c>
      <c r="B180" s="216">
        <v>2620359082</v>
      </c>
      <c r="C180" s="155" t="s">
        <v>136</v>
      </c>
      <c r="D180" s="155" t="s">
        <v>127</v>
      </c>
      <c r="E180" s="155" t="s">
        <v>35</v>
      </c>
      <c r="F180" s="155" t="s">
        <v>1754</v>
      </c>
      <c r="G180" s="155">
        <v>0</v>
      </c>
      <c r="H180" s="155" t="s">
        <v>200</v>
      </c>
      <c r="I180" s="155" t="s">
        <v>1755</v>
      </c>
      <c r="J180" s="155" t="s">
        <v>1525</v>
      </c>
      <c r="K180" s="155" t="s">
        <v>200</v>
      </c>
      <c r="L180" s="155" t="s">
        <v>1107</v>
      </c>
      <c r="M180" s="155" t="s">
        <v>1756</v>
      </c>
      <c r="N180" s="155" t="s">
        <v>1546</v>
      </c>
      <c r="O180" s="152" t="s">
        <v>214</v>
      </c>
      <c r="P180" s="90"/>
      <c r="Q180" s="140" t="s">
        <v>214</v>
      </c>
      <c r="R180" s="90"/>
      <c r="S180" s="140" t="s">
        <v>214</v>
      </c>
      <c r="T180" s="90"/>
      <c r="U180" s="140" t="s">
        <v>77</v>
      </c>
      <c r="V180" s="90"/>
      <c r="W180" s="140" t="s">
        <v>77</v>
      </c>
      <c r="X180" s="90"/>
      <c r="Y180" s="140" t="s">
        <v>77</v>
      </c>
      <c r="Z180" s="90"/>
      <c r="AA180" s="140" t="s">
        <v>77</v>
      </c>
      <c r="AB180" s="90"/>
      <c r="AC180" s="140" t="s">
        <v>207</v>
      </c>
      <c r="AD180" s="90"/>
      <c r="AE180" s="140" t="s">
        <v>207</v>
      </c>
      <c r="AF180" s="137" t="str">
        <f t="shared" si="8"/>
        <v>NC</v>
      </c>
      <c r="AG180" s="179" t="str">
        <f t="shared" si="9"/>
        <v>UTILIZOU O PDA CORRETAMENTE. NÃO HÁ FOTOS DE TODAS AS ETAPAS</v>
      </c>
      <c r="AH180" s="140" t="s">
        <v>207</v>
      </c>
      <c r="AI180" s="147" t="s">
        <v>36</v>
      </c>
      <c r="AJ180" s="145" t="str">
        <f t="shared" si="10"/>
        <v>SÃO PAULO</v>
      </c>
      <c r="AK180" s="148" t="s">
        <v>75</v>
      </c>
    </row>
    <row r="181" spans="1:37" ht="30" customHeight="1">
      <c r="A181" s="161" t="s">
        <v>198</v>
      </c>
      <c r="B181" s="216">
        <v>2620581412</v>
      </c>
      <c r="C181" s="155" t="s">
        <v>138</v>
      </c>
      <c r="D181" s="155" t="s">
        <v>124</v>
      </c>
      <c r="E181" s="155" t="s">
        <v>35</v>
      </c>
      <c r="F181" s="155" t="s">
        <v>1757</v>
      </c>
      <c r="G181" s="155">
        <v>36</v>
      </c>
      <c r="H181" s="155" t="s">
        <v>208</v>
      </c>
      <c r="I181" s="155" t="s">
        <v>658</v>
      </c>
      <c r="J181" s="155" t="s">
        <v>1539</v>
      </c>
      <c r="K181" s="155" t="s">
        <v>200</v>
      </c>
      <c r="L181" s="155" t="s">
        <v>1758</v>
      </c>
      <c r="M181" s="155" t="s">
        <v>1759</v>
      </c>
      <c r="N181" s="155" t="s">
        <v>465</v>
      </c>
      <c r="O181" s="152" t="s">
        <v>207</v>
      </c>
      <c r="P181" s="90"/>
      <c r="Q181" s="140" t="s">
        <v>214</v>
      </c>
      <c r="R181" s="90"/>
      <c r="S181" s="140" t="s">
        <v>214</v>
      </c>
      <c r="T181" s="90"/>
      <c r="U181" s="140" t="s">
        <v>214</v>
      </c>
      <c r="V181" s="90"/>
      <c r="W181" s="140" t="s">
        <v>214</v>
      </c>
      <c r="X181" s="90"/>
      <c r="Y181" s="140" t="s">
        <v>214</v>
      </c>
      <c r="Z181" s="90"/>
      <c r="AA181" s="140" t="s">
        <v>214</v>
      </c>
      <c r="AB181" s="90"/>
      <c r="AC181" s="140" t="s">
        <v>215</v>
      </c>
      <c r="AD181" s="90" t="s">
        <v>882</v>
      </c>
      <c r="AE181" s="140" t="s">
        <v>207</v>
      </c>
      <c r="AF181" s="137" t="str">
        <f t="shared" si="8"/>
        <v>NC</v>
      </c>
      <c r="AG181" s="179" t="str">
        <f t="shared" si="9"/>
        <v>UTILIZOU O PDA CORRETAMENTE. NÃO HÁ FOTOS DE TODAS AS ETAPAS</v>
      </c>
      <c r="AH181" s="140" t="s">
        <v>207</v>
      </c>
      <c r="AI181" s="147" t="s">
        <v>36</v>
      </c>
      <c r="AJ181" s="145" t="str">
        <f t="shared" si="10"/>
        <v>SÃO PAULO</v>
      </c>
      <c r="AK181" s="148" t="s">
        <v>75</v>
      </c>
    </row>
    <row r="182" spans="1:37" ht="30" customHeight="1">
      <c r="A182" s="161" t="s">
        <v>198</v>
      </c>
      <c r="B182" s="216">
        <v>2620793196</v>
      </c>
      <c r="C182" s="155" t="s">
        <v>136</v>
      </c>
      <c r="D182" s="155" t="s">
        <v>127</v>
      </c>
      <c r="E182" s="155" t="s">
        <v>35</v>
      </c>
      <c r="F182" s="155" t="s">
        <v>528</v>
      </c>
      <c r="G182" s="155">
        <v>943</v>
      </c>
      <c r="H182" s="155" t="s">
        <v>200</v>
      </c>
      <c r="I182" s="155" t="s">
        <v>527</v>
      </c>
      <c r="J182" s="155" t="s">
        <v>1525</v>
      </c>
      <c r="K182" s="155" t="s">
        <v>200</v>
      </c>
      <c r="L182" s="155" t="s">
        <v>1760</v>
      </c>
      <c r="M182" s="155" t="s">
        <v>1761</v>
      </c>
      <c r="N182" s="155" t="s">
        <v>1524</v>
      </c>
      <c r="O182" s="152" t="s">
        <v>77</v>
      </c>
      <c r="P182" s="90"/>
      <c r="Q182" s="140" t="s">
        <v>77</v>
      </c>
      <c r="R182" s="90"/>
      <c r="S182" s="140" t="s">
        <v>77</v>
      </c>
      <c r="T182" s="90"/>
      <c r="U182" s="140" t="s">
        <v>77</v>
      </c>
      <c r="V182" s="90"/>
      <c r="W182" s="140" t="s">
        <v>77</v>
      </c>
      <c r="X182" s="90"/>
      <c r="Y182" s="140" t="s">
        <v>77</v>
      </c>
      <c r="Z182" s="90"/>
      <c r="AA182" s="140" t="s">
        <v>77</v>
      </c>
      <c r="AB182" s="90"/>
      <c r="AC182" s="140" t="s">
        <v>77</v>
      </c>
      <c r="AD182" s="90"/>
      <c r="AE182" s="140" t="s">
        <v>77</v>
      </c>
      <c r="AF182" s="137" t="str">
        <f t="shared" si="8"/>
        <v>NA</v>
      </c>
      <c r="AG182" s="179" t="str">
        <f t="shared" si="9"/>
        <v>NÃO AVALIADO POR FALHA DE SINCRONISMO</v>
      </c>
      <c r="AH182" s="140"/>
      <c r="AI182" s="147" t="s">
        <v>36</v>
      </c>
      <c r="AJ182" s="145" t="str">
        <f t="shared" si="10"/>
        <v>SÃO PAULO</v>
      </c>
      <c r="AK182" s="148" t="s">
        <v>75</v>
      </c>
    </row>
    <row r="183" spans="1:37" ht="30" customHeight="1">
      <c r="A183" s="161" t="s">
        <v>198</v>
      </c>
      <c r="B183" s="216">
        <v>2620793217</v>
      </c>
      <c r="C183" s="155" t="s">
        <v>136</v>
      </c>
      <c r="D183" s="155" t="s">
        <v>127</v>
      </c>
      <c r="E183" s="155" t="s">
        <v>35</v>
      </c>
      <c r="F183" s="155" t="s">
        <v>204</v>
      </c>
      <c r="G183" s="155">
        <v>13031</v>
      </c>
      <c r="H183" s="155" t="s">
        <v>208</v>
      </c>
      <c r="I183" s="155" t="s">
        <v>717</v>
      </c>
      <c r="J183" s="155" t="s">
        <v>1525</v>
      </c>
      <c r="K183" s="155" t="s">
        <v>200</v>
      </c>
      <c r="L183" s="155" t="s">
        <v>1760</v>
      </c>
      <c r="M183" s="155" t="s">
        <v>1761</v>
      </c>
      <c r="N183" s="155" t="s">
        <v>1524</v>
      </c>
      <c r="O183" s="219" t="s">
        <v>77</v>
      </c>
      <c r="P183" s="90"/>
      <c r="Q183" s="140" t="s">
        <v>77</v>
      </c>
      <c r="R183" s="90"/>
      <c r="S183" s="140" t="s">
        <v>77</v>
      </c>
      <c r="T183" s="90"/>
      <c r="U183" s="140" t="s">
        <v>77</v>
      </c>
      <c r="V183" s="90"/>
      <c r="W183" s="140" t="s">
        <v>77</v>
      </c>
      <c r="X183" s="90"/>
      <c r="Y183" s="140" t="s">
        <v>77</v>
      </c>
      <c r="Z183" s="90"/>
      <c r="AA183" s="140" t="s">
        <v>77</v>
      </c>
      <c r="AB183" s="90"/>
      <c r="AC183" s="140" t="s">
        <v>77</v>
      </c>
      <c r="AD183" s="90"/>
      <c r="AE183" s="140" t="s">
        <v>77</v>
      </c>
      <c r="AF183" s="137" t="str">
        <f t="shared" si="8"/>
        <v>NA</v>
      </c>
      <c r="AG183" s="179" t="str">
        <f t="shared" si="9"/>
        <v>NÃO AVALIADO POR FALHA DE SINCRONISMO</v>
      </c>
      <c r="AH183" s="140"/>
      <c r="AI183" s="147" t="s">
        <v>36</v>
      </c>
      <c r="AJ183" s="145" t="str">
        <f t="shared" si="10"/>
        <v>SÃO PAULO</v>
      </c>
      <c r="AK183" s="148" t="s">
        <v>75</v>
      </c>
    </row>
    <row r="184" spans="1:37" ht="30" customHeight="1">
      <c r="A184" s="153" t="s">
        <v>198</v>
      </c>
      <c r="B184" s="257">
        <v>2620791869</v>
      </c>
      <c r="C184" s="207" t="s">
        <v>138</v>
      </c>
      <c r="D184" s="207" t="s">
        <v>124</v>
      </c>
      <c r="E184" s="207" t="s">
        <v>35</v>
      </c>
      <c r="F184" s="207" t="s">
        <v>1762</v>
      </c>
      <c r="G184" s="207">
        <v>7</v>
      </c>
      <c r="H184" s="207" t="s">
        <v>200</v>
      </c>
      <c r="I184" s="207" t="s">
        <v>277</v>
      </c>
      <c r="J184" s="207" t="s">
        <v>1539</v>
      </c>
      <c r="K184" s="207" t="s">
        <v>200</v>
      </c>
      <c r="L184" s="207" t="s">
        <v>1763</v>
      </c>
      <c r="M184" s="207" t="s">
        <v>1764</v>
      </c>
      <c r="N184" s="217" t="s">
        <v>465</v>
      </c>
      <c r="O184" s="54" t="s">
        <v>207</v>
      </c>
      <c r="P184" s="9"/>
      <c r="Q184" s="140" t="s">
        <v>215</v>
      </c>
      <c r="R184" s="90" t="s">
        <v>1559</v>
      </c>
      <c r="S184" s="140" t="s">
        <v>214</v>
      </c>
      <c r="T184" s="90"/>
      <c r="U184" s="140" t="s">
        <v>214</v>
      </c>
      <c r="V184" s="90"/>
      <c r="W184" s="140" t="s">
        <v>214</v>
      </c>
      <c r="X184" s="90"/>
      <c r="Y184" s="140" t="s">
        <v>214</v>
      </c>
      <c r="Z184" s="90"/>
      <c r="AA184" s="140" t="s">
        <v>214</v>
      </c>
      <c r="AB184" s="90"/>
      <c r="AC184" s="140" t="s">
        <v>214</v>
      </c>
      <c r="AD184" s="90"/>
      <c r="AE184" s="140" t="s">
        <v>207</v>
      </c>
      <c r="AF184" s="137" t="str">
        <f t="shared" si="8"/>
        <v>NC</v>
      </c>
      <c r="AG184" s="179" t="str">
        <f t="shared" si="9"/>
        <v>UTILIZOU O PDA CORRETAMENTE. NÃO HÁ FOTOS DE TODAS AS ETAPAS</v>
      </c>
      <c r="AH184" s="140" t="s">
        <v>207</v>
      </c>
      <c r="AI184" s="147" t="s">
        <v>36</v>
      </c>
      <c r="AJ184" s="145" t="str">
        <f t="shared" si="10"/>
        <v>SÃO PAULO</v>
      </c>
      <c r="AK184" s="148" t="s">
        <v>75</v>
      </c>
    </row>
    <row r="185" spans="1:37" ht="30" customHeight="1">
      <c r="A185" s="208" t="s">
        <v>198</v>
      </c>
      <c r="B185" s="258">
        <v>2620331837</v>
      </c>
      <c r="C185" s="209" t="s">
        <v>136</v>
      </c>
      <c r="D185" s="209" t="s">
        <v>127</v>
      </c>
      <c r="E185" s="209" t="s">
        <v>35</v>
      </c>
      <c r="F185" s="209" t="s">
        <v>1228</v>
      </c>
      <c r="G185" s="209">
        <v>60</v>
      </c>
      <c r="H185" s="209" t="s">
        <v>200</v>
      </c>
      <c r="I185" s="209" t="s">
        <v>314</v>
      </c>
      <c r="J185" s="209" t="s">
        <v>1553</v>
      </c>
      <c r="K185" s="209" t="s">
        <v>200</v>
      </c>
      <c r="L185" s="209" t="s">
        <v>1765</v>
      </c>
      <c r="M185" s="209" t="s">
        <v>1766</v>
      </c>
      <c r="N185" s="218" t="s">
        <v>309</v>
      </c>
      <c r="O185" s="54" t="s">
        <v>207</v>
      </c>
      <c r="P185" s="9"/>
      <c r="Q185" s="140" t="s">
        <v>207</v>
      </c>
      <c r="R185" s="90"/>
      <c r="S185" s="140" t="s">
        <v>214</v>
      </c>
      <c r="T185" s="90"/>
      <c r="U185" s="140" t="s">
        <v>207</v>
      </c>
      <c r="V185" s="90"/>
      <c r="W185" s="140" t="s">
        <v>77</v>
      </c>
      <c r="X185" s="90"/>
      <c r="Y185" s="140" t="s">
        <v>77</v>
      </c>
      <c r="Z185" s="90"/>
      <c r="AA185" s="140" t="s">
        <v>77</v>
      </c>
      <c r="AB185" s="90"/>
      <c r="AC185" s="140" t="s">
        <v>215</v>
      </c>
      <c r="AD185" s="90"/>
      <c r="AE185" s="140"/>
      <c r="AF185" s="137" t="str">
        <f t="shared" si="8"/>
        <v>NC</v>
      </c>
      <c r="AG185" s="179" t="b">
        <f t="shared" si="9"/>
        <v>0</v>
      </c>
      <c r="AH185" s="140"/>
      <c r="AI185" s="147" t="s">
        <v>36</v>
      </c>
      <c r="AJ185" s="145" t="str">
        <f t="shared" si="10"/>
        <v>SÃO PAULO</v>
      </c>
      <c r="AK185" s="148" t="s">
        <v>75</v>
      </c>
    </row>
    <row r="186" spans="1:37" ht="30" customHeight="1">
      <c r="A186" s="208" t="s">
        <v>198</v>
      </c>
      <c r="B186" s="258">
        <v>2620791854</v>
      </c>
      <c r="C186" s="209" t="s">
        <v>136</v>
      </c>
      <c r="D186" s="209" t="s">
        <v>127</v>
      </c>
      <c r="E186" s="209" t="s">
        <v>35</v>
      </c>
      <c r="F186" s="209" t="s">
        <v>524</v>
      </c>
      <c r="G186" s="209">
        <v>111</v>
      </c>
      <c r="H186" s="209" t="s">
        <v>200</v>
      </c>
      <c r="I186" s="209" t="s">
        <v>525</v>
      </c>
      <c r="J186" s="209" t="s">
        <v>1525</v>
      </c>
      <c r="K186" s="209" t="s">
        <v>200</v>
      </c>
      <c r="L186" s="209" t="s">
        <v>1767</v>
      </c>
      <c r="M186" s="209" t="s">
        <v>1768</v>
      </c>
      <c r="N186" s="218" t="s">
        <v>309</v>
      </c>
      <c r="O186" s="54" t="s">
        <v>77</v>
      </c>
      <c r="P186" s="9"/>
      <c r="Q186" s="140" t="s">
        <v>77</v>
      </c>
      <c r="R186" s="90"/>
      <c r="S186" s="140" t="s">
        <v>77</v>
      </c>
      <c r="T186" s="90"/>
      <c r="U186" s="140" t="s">
        <v>77</v>
      </c>
      <c r="V186" s="90"/>
      <c r="W186" s="140" t="s">
        <v>77</v>
      </c>
      <c r="X186" s="90"/>
      <c r="Y186" s="140" t="s">
        <v>77</v>
      </c>
      <c r="Z186" s="90"/>
      <c r="AA186" s="140" t="s">
        <v>77</v>
      </c>
      <c r="AB186" s="90"/>
      <c r="AC186" s="140" t="s">
        <v>77</v>
      </c>
      <c r="AD186" s="90"/>
      <c r="AE186" s="140" t="s">
        <v>77</v>
      </c>
      <c r="AF186" s="137" t="str">
        <f t="shared" si="8"/>
        <v>NA</v>
      </c>
      <c r="AG186" s="179" t="str">
        <f t="shared" si="9"/>
        <v>NÃO AVALIADO POR FALHA DE SINCRONISMO</v>
      </c>
      <c r="AH186" s="140" t="s">
        <v>207</v>
      </c>
      <c r="AI186" s="147" t="s">
        <v>36</v>
      </c>
      <c r="AJ186" s="145" t="str">
        <f t="shared" si="10"/>
        <v>SÃO PAULO</v>
      </c>
      <c r="AK186" s="148" t="s">
        <v>75</v>
      </c>
    </row>
    <row r="187" spans="1:37" ht="30" customHeight="1">
      <c r="A187" s="208" t="s">
        <v>198</v>
      </c>
      <c r="B187" s="258">
        <v>2620808402</v>
      </c>
      <c r="C187" s="209" t="s">
        <v>135</v>
      </c>
      <c r="D187" s="209" t="s">
        <v>125</v>
      </c>
      <c r="E187" s="209" t="s">
        <v>35</v>
      </c>
      <c r="F187" s="209" t="s">
        <v>1233</v>
      </c>
      <c r="G187" s="209">
        <v>70</v>
      </c>
      <c r="H187" s="209" t="s">
        <v>200</v>
      </c>
      <c r="I187" s="209" t="s">
        <v>440</v>
      </c>
      <c r="J187" s="209" t="s">
        <v>135</v>
      </c>
      <c r="K187" s="210" t="s">
        <v>1769</v>
      </c>
      <c r="L187" s="209" t="s">
        <v>1173</v>
      </c>
      <c r="M187" s="209" t="s">
        <v>1770</v>
      </c>
      <c r="N187" s="218" t="s">
        <v>1546</v>
      </c>
      <c r="O187" s="54" t="s">
        <v>207</v>
      </c>
      <c r="P187" s="9"/>
      <c r="Q187" s="140" t="s">
        <v>214</v>
      </c>
      <c r="R187" s="90"/>
      <c r="S187" s="140" t="s">
        <v>214</v>
      </c>
      <c r="T187" s="90"/>
      <c r="U187" s="140" t="s">
        <v>207</v>
      </c>
      <c r="V187" s="90"/>
      <c r="W187" s="140" t="s">
        <v>214</v>
      </c>
      <c r="X187" s="90"/>
      <c r="Y187" s="140" t="s">
        <v>77</v>
      </c>
      <c r="Z187" s="90"/>
      <c r="AA187" s="140" t="s">
        <v>207</v>
      </c>
      <c r="AB187" s="90"/>
      <c r="AC187" s="140" t="s">
        <v>215</v>
      </c>
      <c r="AD187" s="90" t="s">
        <v>882</v>
      </c>
      <c r="AE187" s="140" t="s">
        <v>207</v>
      </c>
      <c r="AF187" s="137" t="str">
        <f t="shared" si="8"/>
        <v>NC</v>
      </c>
      <c r="AG187" s="179" t="str">
        <f t="shared" si="9"/>
        <v>UTILIZOU O PDA CORRETAMENTE. NÃO HÁ FOTOS DE TODAS AS ETAPAS</v>
      </c>
      <c r="AH187" s="140" t="s">
        <v>207</v>
      </c>
      <c r="AI187" s="147" t="s">
        <v>36</v>
      </c>
      <c r="AJ187" s="145" t="str">
        <f t="shared" si="10"/>
        <v>SÃO PAULO</v>
      </c>
      <c r="AK187" s="148" t="s">
        <v>75</v>
      </c>
    </row>
    <row r="188" spans="1:37" ht="30" customHeight="1">
      <c r="A188" s="208" t="s">
        <v>198</v>
      </c>
      <c r="B188" s="258">
        <v>2620721628</v>
      </c>
      <c r="C188" s="209" t="s">
        <v>138</v>
      </c>
      <c r="D188" s="209" t="s">
        <v>124</v>
      </c>
      <c r="E188" s="209" t="s">
        <v>35</v>
      </c>
      <c r="F188" s="209" t="s">
        <v>1771</v>
      </c>
      <c r="G188" s="209">
        <v>24</v>
      </c>
      <c r="H188" s="209" t="s">
        <v>200</v>
      </c>
      <c r="I188" s="209" t="s">
        <v>371</v>
      </c>
      <c r="J188" s="209" t="s">
        <v>1539</v>
      </c>
      <c r="K188" s="209" t="s">
        <v>200</v>
      </c>
      <c r="L188" s="209" t="s">
        <v>1767</v>
      </c>
      <c r="M188" s="209" t="s">
        <v>1768</v>
      </c>
      <c r="N188" s="218" t="s">
        <v>1546</v>
      </c>
      <c r="O188" s="57" t="s">
        <v>77</v>
      </c>
      <c r="P188" s="9"/>
      <c r="Q188" s="140" t="s">
        <v>77</v>
      </c>
      <c r="R188" s="90"/>
      <c r="S188" s="140" t="s">
        <v>77</v>
      </c>
      <c r="T188" s="90"/>
      <c r="U188" s="140" t="s">
        <v>77</v>
      </c>
      <c r="V188" s="90"/>
      <c r="W188" s="140" t="s">
        <v>77</v>
      </c>
      <c r="X188" s="90"/>
      <c r="Y188" s="140" t="s">
        <v>77</v>
      </c>
      <c r="Z188" s="90"/>
      <c r="AA188" s="140" t="s">
        <v>77</v>
      </c>
      <c r="AB188" s="90"/>
      <c r="AC188" s="140" t="s">
        <v>77</v>
      </c>
      <c r="AD188" s="90"/>
      <c r="AE188" s="140" t="s">
        <v>77</v>
      </c>
      <c r="AF188" s="137" t="str">
        <f t="shared" si="8"/>
        <v>NA</v>
      </c>
      <c r="AG188" s="179" t="str">
        <f t="shared" si="9"/>
        <v>NÃO AVALIADO POR FALHA DE SINCRONISMO</v>
      </c>
      <c r="AH188" s="140"/>
      <c r="AI188" s="147" t="s">
        <v>36</v>
      </c>
      <c r="AJ188" s="145" t="str">
        <f t="shared" si="10"/>
        <v>SÃO PAULO</v>
      </c>
      <c r="AK188" s="148" t="s">
        <v>75</v>
      </c>
    </row>
    <row r="189" spans="1:37" ht="30" customHeight="1">
      <c r="A189" s="153" t="s">
        <v>198</v>
      </c>
      <c r="B189" s="257">
        <v>2619983117</v>
      </c>
      <c r="C189" s="207" t="s">
        <v>1569</v>
      </c>
      <c r="D189" s="207" t="s">
        <v>127</v>
      </c>
      <c r="E189" s="207" t="s">
        <v>35</v>
      </c>
      <c r="F189" s="207" t="s">
        <v>1772</v>
      </c>
      <c r="G189" s="207">
        <v>87</v>
      </c>
      <c r="H189" s="207" t="s">
        <v>200</v>
      </c>
      <c r="I189" s="207" t="s">
        <v>433</v>
      </c>
      <c r="J189" s="207" t="s">
        <v>1570</v>
      </c>
      <c r="K189" s="230" t="s">
        <v>1578</v>
      </c>
      <c r="L189" s="207" t="s">
        <v>1773</v>
      </c>
      <c r="M189" s="207" t="s">
        <v>1774</v>
      </c>
      <c r="N189" s="217" t="s">
        <v>1572</v>
      </c>
      <c r="O189" s="152" t="s">
        <v>215</v>
      </c>
      <c r="P189" s="90" t="s">
        <v>227</v>
      </c>
      <c r="Q189" s="152" t="s">
        <v>215</v>
      </c>
      <c r="R189" s="90" t="s">
        <v>227</v>
      </c>
      <c r="S189" s="152" t="s">
        <v>215</v>
      </c>
      <c r="T189" s="90" t="s">
        <v>227</v>
      </c>
      <c r="U189" s="152" t="s">
        <v>215</v>
      </c>
      <c r="V189" s="90" t="s">
        <v>227</v>
      </c>
      <c r="W189" s="152" t="s">
        <v>215</v>
      </c>
      <c r="X189" s="90" t="s">
        <v>227</v>
      </c>
      <c r="Y189" s="152" t="s">
        <v>215</v>
      </c>
      <c r="Z189" s="90" t="s">
        <v>227</v>
      </c>
      <c r="AA189" s="152" t="s">
        <v>215</v>
      </c>
      <c r="AB189" s="90" t="s">
        <v>227</v>
      </c>
      <c r="AC189" s="152" t="s">
        <v>215</v>
      </c>
      <c r="AD189" s="90" t="s">
        <v>227</v>
      </c>
      <c r="AE189" s="152" t="s">
        <v>215</v>
      </c>
      <c r="AF189" s="137" t="str">
        <f t="shared" si="8"/>
        <v>NC</v>
      </c>
      <c r="AG189" s="179" t="str">
        <f t="shared" si="9"/>
        <v>NÃO UTILIZOU O PDA</v>
      </c>
      <c r="AH189" s="140"/>
      <c r="AI189" s="147" t="s">
        <v>36</v>
      </c>
      <c r="AJ189" s="145" t="str">
        <f t="shared" si="10"/>
        <v>SÃO PAULO</v>
      </c>
      <c r="AK189" s="148" t="s">
        <v>75</v>
      </c>
    </row>
    <row r="190" spans="1:37" ht="30" customHeight="1">
      <c r="A190" s="208" t="s">
        <v>198</v>
      </c>
      <c r="B190" s="258">
        <v>2620796850</v>
      </c>
      <c r="C190" s="209" t="s">
        <v>1569</v>
      </c>
      <c r="D190" s="209" t="s">
        <v>127</v>
      </c>
      <c r="E190" s="209" t="s">
        <v>35</v>
      </c>
      <c r="F190" s="209" t="s">
        <v>1775</v>
      </c>
      <c r="G190" s="209">
        <v>601</v>
      </c>
      <c r="H190" s="209" t="s">
        <v>208</v>
      </c>
      <c r="I190" s="209" t="s">
        <v>1776</v>
      </c>
      <c r="J190" s="209" t="s">
        <v>1570</v>
      </c>
      <c r="K190" s="210" t="s">
        <v>1581</v>
      </c>
      <c r="L190" s="209" t="s">
        <v>1777</v>
      </c>
      <c r="M190" s="209" t="s">
        <v>1773</v>
      </c>
      <c r="N190" s="218" t="s">
        <v>1572</v>
      </c>
      <c r="O190" s="152" t="s">
        <v>215</v>
      </c>
      <c r="P190" s="90" t="s">
        <v>227</v>
      </c>
      <c r="Q190" s="152" t="s">
        <v>215</v>
      </c>
      <c r="R190" s="90" t="s">
        <v>227</v>
      </c>
      <c r="S190" s="152" t="s">
        <v>215</v>
      </c>
      <c r="T190" s="90" t="s">
        <v>227</v>
      </c>
      <c r="U190" s="152" t="s">
        <v>215</v>
      </c>
      <c r="V190" s="90" t="s">
        <v>227</v>
      </c>
      <c r="W190" s="152" t="s">
        <v>215</v>
      </c>
      <c r="X190" s="90" t="s">
        <v>227</v>
      </c>
      <c r="Y190" s="152" t="s">
        <v>215</v>
      </c>
      <c r="Z190" s="90" t="s">
        <v>227</v>
      </c>
      <c r="AA190" s="152" t="s">
        <v>215</v>
      </c>
      <c r="AB190" s="90" t="s">
        <v>227</v>
      </c>
      <c r="AC190" s="152" t="s">
        <v>215</v>
      </c>
      <c r="AD190" s="90" t="s">
        <v>227</v>
      </c>
      <c r="AE190" s="152" t="s">
        <v>215</v>
      </c>
      <c r="AF190" s="137" t="str">
        <f t="shared" si="8"/>
        <v>NC</v>
      </c>
      <c r="AG190" s="179" t="str">
        <f t="shared" si="9"/>
        <v>NÃO UTILIZOU O PDA</v>
      </c>
      <c r="AH190" s="140"/>
      <c r="AI190" s="147" t="s">
        <v>36</v>
      </c>
      <c r="AJ190" s="145" t="str">
        <f t="shared" si="10"/>
        <v>SÃO PAULO</v>
      </c>
      <c r="AK190" s="148" t="s">
        <v>75</v>
      </c>
    </row>
    <row r="191" spans="1:37" ht="30" customHeight="1">
      <c r="A191" s="208" t="s">
        <v>198</v>
      </c>
      <c r="B191" s="258">
        <v>2620380791</v>
      </c>
      <c r="C191" s="209" t="s">
        <v>1599</v>
      </c>
      <c r="D191" s="209" t="s">
        <v>127</v>
      </c>
      <c r="E191" s="209" t="s">
        <v>35</v>
      </c>
      <c r="F191" s="209" t="s">
        <v>638</v>
      </c>
      <c r="G191" s="209">
        <v>9</v>
      </c>
      <c r="H191" s="209" t="s">
        <v>620</v>
      </c>
      <c r="I191" s="209" t="s">
        <v>447</v>
      </c>
      <c r="J191" s="209" t="s">
        <v>1600</v>
      </c>
      <c r="K191" s="210" t="s">
        <v>1581</v>
      </c>
      <c r="L191" s="209" t="s">
        <v>1261</v>
      </c>
      <c r="M191" s="209" t="s">
        <v>1778</v>
      </c>
      <c r="N191" s="218" t="s">
        <v>1572</v>
      </c>
      <c r="O191" s="54" t="s">
        <v>207</v>
      </c>
      <c r="P191" s="9"/>
      <c r="Q191" s="140" t="s">
        <v>214</v>
      </c>
      <c r="R191" s="90"/>
      <c r="S191" s="140" t="s">
        <v>77</v>
      </c>
      <c r="T191" s="90"/>
      <c r="U191" s="140" t="s">
        <v>77</v>
      </c>
      <c r="V191" s="90"/>
      <c r="W191" s="140" t="s">
        <v>77</v>
      </c>
      <c r="X191" s="90"/>
      <c r="Y191" s="140" t="s">
        <v>77</v>
      </c>
      <c r="Z191" s="90"/>
      <c r="AA191" s="140" t="s">
        <v>77</v>
      </c>
      <c r="AB191" s="90"/>
      <c r="AC191" s="140" t="s">
        <v>214</v>
      </c>
      <c r="AD191" s="90"/>
      <c r="AE191" s="140" t="s">
        <v>207</v>
      </c>
      <c r="AF191" s="137" t="str">
        <f t="shared" si="8"/>
        <v>NC</v>
      </c>
      <c r="AG191" s="179" t="str">
        <f t="shared" si="9"/>
        <v>UTILIZOU O PDA CORRETAMENTE. NÃO HÁ FOTOS DE TODAS AS ETAPAS</v>
      </c>
      <c r="AH191" s="140"/>
      <c r="AI191" s="147" t="s">
        <v>36</v>
      </c>
      <c r="AJ191" s="145" t="str">
        <f t="shared" si="10"/>
        <v>SÃO PAULO</v>
      </c>
      <c r="AK191" s="148" t="s">
        <v>75</v>
      </c>
    </row>
    <row r="192" spans="1:37" ht="30" customHeight="1">
      <c r="A192" s="208" t="s">
        <v>198</v>
      </c>
      <c r="B192" s="258">
        <v>2620831579</v>
      </c>
      <c r="C192" s="209" t="s">
        <v>138</v>
      </c>
      <c r="D192" s="209" t="s">
        <v>124</v>
      </c>
      <c r="E192" s="209" t="s">
        <v>35</v>
      </c>
      <c r="F192" s="209" t="s">
        <v>1779</v>
      </c>
      <c r="G192" s="209">
        <v>77</v>
      </c>
      <c r="H192" s="209" t="s">
        <v>208</v>
      </c>
      <c r="I192" s="209" t="s">
        <v>1780</v>
      </c>
      <c r="J192" s="209" t="s">
        <v>1539</v>
      </c>
      <c r="K192" s="209" t="s">
        <v>200</v>
      </c>
      <c r="L192" s="209" t="s">
        <v>1781</v>
      </c>
      <c r="M192" s="209" t="s">
        <v>1782</v>
      </c>
      <c r="N192" s="218" t="s">
        <v>465</v>
      </c>
      <c r="O192" s="54" t="s">
        <v>207</v>
      </c>
      <c r="P192" s="9"/>
      <c r="Q192" s="140" t="s">
        <v>215</v>
      </c>
      <c r="R192" s="51" t="s">
        <v>263</v>
      </c>
      <c r="S192" s="140" t="s">
        <v>207</v>
      </c>
      <c r="T192" s="90"/>
      <c r="U192" s="90" t="s">
        <v>207</v>
      </c>
      <c r="V192" s="90"/>
      <c r="W192" s="140" t="s">
        <v>214</v>
      </c>
      <c r="X192" s="90"/>
      <c r="Y192" s="140" t="s">
        <v>77</v>
      </c>
      <c r="Z192" s="90"/>
      <c r="AA192" s="140" t="s">
        <v>214</v>
      </c>
      <c r="AB192" s="90"/>
      <c r="AC192" s="140" t="s">
        <v>215</v>
      </c>
      <c r="AD192" s="90" t="s">
        <v>882</v>
      </c>
      <c r="AE192" s="140" t="s">
        <v>207</v>
      </c>
      <c r="AF192" s="137" t="s">
        <v>207</v>
      </c>
      <c r="AG192" s="179" t="str">
        <f t="shared" si="9"/>
        <v>UTILIZOU O PDA CORRETAMENTE</v>
      </c>
      <c r="AH192" s="140" t="s">
        <v>207</v>
      </c>
      <c r="AI192" s="147" t="s">
        <v>36</v>
      </c>
      <c r="AJ192" s="145" t="str">
        <f t="shared" si="10"/>
        <v>SÃO PAULO</v>
      </c>
      <c r="AK192" s="148" t="s">
        <v>75</v>
      </c>
    </row>
    <row r="193" spans="1:37" ht="30" customHeight="1">
      <c r="A193" s="208" t="s">
        <v>198</v>
      </c>
      <c r="B193" s="258">
        <v>2621085096</v>
      </c>
      <c r="C193" s="209" t="s">
        <v>1569</v>
      </c>
      <c r="D193" s="209" t="s">
        <v>127</v>
      </c>
      <c r="E193" s="209" t="s">
        <v>35</v>
      </c>
      <c r="F193" s="209" t="s">
        <v>1783</v>
      </c>
      <c r="G193" s="209">
        <v>27</v>
      </c>
      <c r="H193" s="209" t="s">
        <v>200</v>
      </c>
      <c r="I193" s="209" t="s">
        <v>573</v>
      </c>
      <c r="J193" s="209" t="s">
        <v>1570</v>
      </c>
      <c r="K193" s="210" t="s">
        <v>1578</v>
      </c>
      <c r="L193" s="209" t="s">
        <v>1784</v>
      </c>
      <c r="M193" s="209" t="s">
        <v>1785</v>
      </c>
      <c r="N193" s="218" t="s">
        <v>1572</v>
      </c>
      <c r="O193" s="152" t="s">
        <v>215</v>
      </c>
      <c r="P193" s="90" t="s">
        <v>227</v>
      </c>
      <c r="Q193" s="152" t="s">
        <v>215</v>
      </c>
      <c r="R193" s="90" t="s">
        <v>227</v>
      </c>
      <c r="S193" s="152" t="s">
        <v>215</v>
      </c>
      <c r="T193" s="90" t="s">
        <v>227</v>
      </c>
      <c r="U193" s="152" t="s">
        <v>215</v>
      </c>
      <c r="V193" s="90" t="s">
        <v>227</v>
      </c>
      <c r="W193" s="152" t="s">
        <v>215</v>
      </c>
      <c r="X193" s="90" t="s">
        <v>227</v>
      </c>
      <c r="Y193" s="152" t="s">
        <v>215</v>
      </c>
      <c r="Z193" s="90" t="s">
        <v>227</v>
      </c>
      <c r="AA193" s="152" t="s">
        <v>215</v>
      </c>
      <c r="AB193" s="90" t="s">
        <v>227</v>
      </c>
      <c r="AC193" s="152" t="s">
        <v>215</v>
      </c>
      <c r="AD193" s="90" t="s">
        <v>227</v>
      </c>
      <c r="AE193" s="152" t="s">
        <v>215</v>
      </c>
      <c r="AF193" s="137" t="str">
        <f t="shared" si="8"/>
        <v>NC</v>
      </c>
      <c r="AG193" s="179" t="str">
        <f t="shared" si="9"/>
        <v>NÃO UTILIZOU O PDA</v>
      </c>
      <c r="AH193" s="140"/>
      <c r="AI193" s="147" t="s">
        <v>36</v>
      </c>
      <c r="AJ193" s="145" t="str">
        <f t="shared" si="10"/>
        <v>SÃO PAULO</v>
      </c>
      <c r="AK193" s="148" t="s">
        <v>75</v>
      </c>
    </row>
    <row r="194" spans="1:37" ht="30" customHeight="1">
      <c r="A194" s="208" t="s">
        <v>198</v>
      </c>
      <c r="B194" s="258">
        <v>2621071090</v>
      </c>
      <c r="C194" s="209" t="s">
        <v>134</v>
      </c>
      <c r="D194" s="209" t="s">
        <v>125</v>
      </c>
      <c r="E194" s="209" t="s">
        <v>35</v>
      </c>
      <c r="F194" s="209" t="s">
        <v>1786</v>
      </c>
      <c r="G194" s="209">
        <v>145</v>
      </c>
      <c r="H194" s="209" t="s">
        <v>200</v>
      </c>
      <c r="I194" s="209" t="s">
        <v>440</v>
      </c>
      <c r="J194" s="209" t="s">
        <v>134</v>
      </c>
      <c r="K194" s="209" t="s">
        <v>200</v>
      </c>
      <c r="L194" s="209" t="s">
        <v>1787</v>
      </c>
      <c r="M194" s="209" t="s">
        <v>1788</v>
      </c>
      <c r="N194" s="218" t="s">
        <v>1524</v>
      </c>
      <c r="O194" s="54" t="s">
        <v>77</v>
      </c>
      <c r="P194" s="9"/>
      <c r="Q194" s="140" t="s">
        <v>77</v>
      </c>
      <c r="R194" s="90"/>
      <c r="S194" s="140" t="s">
        <v>77</v>
      </c>
      <c r="T194" s="90"/>
      <c r="U194" s="140" t="s">
        <v>77</v>
      </c>
      <c r="V194" s="90"/>
      <c r="W194" s="140" t="s">
        <v>77</v>
      </c>
      <c r="X194" s="90"/>
      <c r="Y194" s="140" t="s">
        <v>77</v>
      </c>
      <c r="Z194" s="90"/>
      <c r="AA194" s="140" t="s">
        <v>77</v>
      </c>
      <c r="AB194" s="90"/>
      <c r="AC194" s="140" t="s">
        <v>77</v>
      </c>
      <c r="AD194" s="90"/>
      <c r="AE194" s="140" t="s">
        <v>77</v>
      </c>
      <c r="AF194" s="137" t="str">
        <f t="shared" si="8"/>
        <v>NA</v>
      </c>
      <c r="AG194" s="179" t="str">
        <f t="shared" ref="AG194:AG256" si="11">IF(AND(AE194="C",AF194="C"),"UTILIZOU O PDA CORRETAMENTE",IF(AND(AE194="C",AF194="NC"),"UTILIZOU O PDA CORRETAMENTE. NÃO HÁ FOTOS DE TODAS AS ETAPAS",IF(AND(AE194="NC",AF194="NC"),"NÃO UTILIZOU O PDA",IF(AND(AE194="NA",AF194="NA"),"NÃO AVALIADO POR FALHA DE SINCRONISMO"))))</f>
        <v>NÃO AVALIADO POR FALHA DE SINCRONISMO</v>
      </c>
      <c r="AH194" s="140" t="s">
        <v>207</v>
      </c>
      <c r="AI194" s="147" t="s">
        <v>36</v>
      </c>
      <c r="AJ194" s="145" t="str">
        <f t="shared" si="10"/>
        <v>SÃO PAULO</v>
      </c>
      <c r="AK194" s="148" t="s">
        <v>75</v>
      </c>
    </row>
    <row r="195" spans="1:37" ht="30" customHeight="1">
      <c r="A195" s="208" t="s">
        <v>198</v>
      </c>
      <c r="B195" s="258">
        <v>2621091110</v>
      </c>
      <c r="C195" s="209" t="s">
        <v>1569</v>
      </c>
      <c r="D195" s="209" t="s">
        <v>127</v>
      </c>
      <c r="E195" s="209" t="s">
        <v>35</v>
      </c>
      <c r="F195" s="209" t="s">
        <v>1783</v>
      </c>
      <c r="G195" s="209">
        <v>135</v>
      </c>
      <c r="H195" s="209" t="s">
        <v>208</v>
      </c>
      <c r="I195" s="209" t="s">
        <v>417</v>
      </c>
      <c r="J195" s="209" t="s">
        <v>1570</v>
      </c>
      <c r="K195" s="210" t="s">
        <v>1719</v>
      </c>
      <c r="L195" s="209" t="s">
        <v>1789</v>
      </c>
      <c r="M195" s="209" t="s">
        <v>1790</v>
      </c>
      <c r="N195" s="218" t="s">
        <v>1572</v>
      </c>
      <c r="O195" s="152" t="s">
        <v>215</v>
      </c>
      <c r="P195" s="90" t="s">
        <v>227</v>
      </c>
      <c r="Q195" s="152" t="s">
        <v>215</v>
      </c>
      <c r="R195" s="90" t="s">
        <v>227</v>
      </c>
      <c r="S195" s="152" t="s">
        <v>215</v>
      </c>
      <c r="T195" s="90" t="s">
        <v>227</v>
      </c>
      <c r="U195" s="152" t="s">
        <v>215</v>
      </c>
      <c r="V195" s="90" t="s">
        <v>227</v>
      </c>
      <c r="W195" s="152" t="s">
        <v>215</v>
      </c>
      <c r="X195" s="90" t="s">
        <v>227</v>
      </c>
      <c r="Y195" s="152" t="s">
        <v>215</v>
      </c>
      <c r="Z195" s="90" t="s">
        <v>227</v>
      </c>
      <c r="AA195" s="152" t="s">
        <v>215</v>
      </c>
      <c r="AB195" s="90" t="s">
        <v>227</v>
      </c>
      <c r="AC195" s="152" t="s">
        <v>215</v>
      </c>
      <c r="AD195" s="90" t="s">
        <v>227</v>
      </c>
      <c r="AE195" s="152" t="s">
        <v>215</v>
      </c>
      <c r="AF195" s="137" t="str">
        <f t="shared" si="8"/>
        <v>NC</v>
      </c>
      <c r="AG195" s="179" t="str">
        <f t="shared" si="9"/>
        <v>NÃO UTILIZOU O PDA</v>
      </c>
      <c r="AH195" s="140"/>
      <c r="AI195" s="147" t="s">
        <v>36</v>
      </c>
      <c r="AJ195" s="145" t="str">
        <f t="shared" si="10"/>
        <v>SÃO PAULO</v>
      </c>
      <c r="AK195" s="148" t="s">
        <v>75</v>
      </c>
    </row>
    <row r="196" spans="1:37" ht="30" customHeight="1">
      <c r="A196" s="208" t="s">
        <v>198</v>
      </c>
      <c r="B196" s="258">
        <v>2621098235</v>
      </c>
      <c r="C196" s="209" t="s">
        <v>130</v>
      </c>
      <c r="D196" s="209" t="s">
        <v>127</v>
      </c>
      <c r="E196" s="209" t="s">
        <v>35</v>
      </c>
      <c r="F196" s="209" t="s">
        <v>1228</v>
      </c>
      <c r="G196" s="209">
        <v>156</v>
      </c>
      <c r="H196" s="209" t="s">
        <v>200</v>
      </c>
      <c r="I196" s="209" t="s">
        <v>314</v>
      </c>
      <c r="J196" s="209" t="s">
        <v>1568</v>
      </c>
      <c r="K196" s="209" t="s">
        <v>200</v>
      </c>
      <c r="L196" s="209" t="s">
        <v>1791</v>
      </c>
      <c r="M196" s="209" t="s">
        <v>1792</v>
      </c>
      <c r="N196" s="218" t="s">
        <v>1524</v>
      </c>
      <c r="O196" s="54" t="s">
        <v>77</v>
      </c>
      <c r="P196" s="9"/>
      <c r="Q196" s="140" t="s">
        <v>77</v>
      </c>
      <c r="R196" s="90"/>
      <c r="S196" s="140" t="s">
        <v>77</v>
      </c>
      <c r="T196" s="90"/>
      <c r="U196" s="140" t="s">
        <v>77</v>
      </c>
      <c r="V196" s="90"/>
      <c r="W196" s="140" t="s">
        <v>77</v>
      </c>
      <c r="X196" s="90"/>
      <c r="Y196" s="140" t="s">
        <v>77</v>
      </c>
      <c r="Z196" s="90"/>
      <c r="AA196" s="140" t="s">
        <v>77</v>
      </c>
      <c r="AB196" s="90"/>
      <c r="AC196" s="140" t="s">
        <v>77</v>
      </c>
      <c r="AD196" s="90"/>
      <c r="AE196" s="140" t="s">
        <v>77</v>
      </c>
      <c r="AF196" s="137" t="str">
        <f t="shared" si="8"/>
        <v>NA</v>
      </c>
      <c r="AG196" s="179" t="str">
        <f t="shared" si="11"/>
        <v>NÃO AVALIADO POR FALHA DE SINCRONISMO</v>
      </c>
      <c r="AH196" s="140"/>
      <c r="AI196" s="147" t="s">
        <v>36</v>
      </c>
      <c r="AJ196" s="145" t="str">
        <f t="shared" si="10"/>
        <v>SÃO PAULO</v>
      </c>
      <c r="AK196" s="148" t="s">
        <v>75</v>
      </c>
    </row>
    <row r="197" spans="1:37" ht="30" customHeight="1">
      <c r="A197" s="208" t="s">
        <v>198</v>
      </c>
      <c r="B197" s="258">
        <v>2621097807</v>
      </c>
      <c r="C197" s="209" t="s">
        <v>130</v>
      </c>
      <c r="D197" s="209" t="s">
        <v>127</v>
      </c>
      <c r="E197" s="209" t="s">
        <v>35</v>
      </c>
      <c r="F197" s="209" t="s">
        <v>1228</v>
      </c>
      <c r="G197" s="209">
        <v>96</v>
      </c>
      <c r="H197" s="209" t="s">
        <v>200</v>
      </c>
      <c r="I197" s="209" t="s">
        <v>314</v>
      </c>
      <c r="J197" s="209" t="s">
        <v>1568</v>
      </c>
      <c r="K197" s="209" t="s">
        <v>200</v>
      </c>
      <c r="L197" s="209" t="s">
        <v>1791</v>
      </c>
      <c r="M197" s="209" t="s">
        <v>1792</v>
      </c>
      <c r="N197" s="218" t="s">
        <v>1524</v>
      </c>
      <c r="O197" s="54" t="s">
        <v>77</v>
      </c>
      <c r="P197" s="9"/>
      <c r="Q197" s="140" t="s">
        <v>77</v>
      </c>
      <c r="R197" s="90"/>
      <c r="S197" s="140" t="s">
        <v>77</v>
      </c>
      <c r="T197" s="90"/>
      <c r="U197" s="140" t="s">
        <v>77</v>
      </c>
      <c r="V197" s="90"/>
      <c r="W197" s="140" t="s">
        <v>77</v>
      </c>
      <c r="X197" s="90"/>
      <c r="Y197" s="140" t="s">
        <v>77</v>
      </c>
      <c r="Z197" s="90"/>
      <c r="AA197" s="140" t="s">
        <v>77</v>
      </c>
      <c r="AB197" s="90"/>
      <c r="AC197" s="140" t="s">
        <v>77</v>
      </c>
      <c r="AD197" s="90"/>
      <c r="AE197" s="140" t="s">
        <v>77</v>
      </c>
      <c r="AF197" s="137" t="str">
        <f t="shared" ref="AF197:AF208" si="12">IF(AND(O197="",Q197="",S197="",U197="",W197="",Y197="",AA197="",AC197=""),"",IF(OR(AND(O197&lt;&gt;"NA",O197&lt;&gt;"C",O197&lt;&gt;"NC",O197&lt;&gt;"SF",O197&lt;&gt;""),AND(Q197&lt;&gt;"NA",Q197&lt;&gt;"C",Q197&lt;&gt;"NC",Q197&lt;&gt;"SF",Q197&lt;&gt;""),AND(S197&lt;&gt;"NA",S197&lt;&gt;"C",S197&lt;&gt;"NC",S197&lt;&gt;"SF",S197&lt;&gt;""),AND(U197&lt;&gt;"NA",U197&lt;&gt;"C",U197&lt;&gt;"NC",U197&lt;&gt;"SF",U197&lt;&gt;""),AND(W197&lt;&gt;"NA",W197&lt;&gt;"C",W197&lt;&gt;"NC",W197&lt;&gt;"SF",W197&lt;&gt;""),AND(Y197&lt;&gt;"NA",Y197&lt;&gt;"C",Y197&lt;&gt;"NC",Y197&lt;&gt;"SF",Y197&lt;&gt;""),AND(AA197&lt;&gt;"NA",AA197&lt;&gt;"C",AA197&lt;&gt;"NC",AA197&lt;&gt;"SF",AA197&lt;&gt;""),AND(AC197&lt;&gt;"NA",AC197&lt;&gt;"C",AC197&lt;&gt;"NC",AC197&lt;&gt;"SF",AC197&lt;&gt;"")),"FALSO",IF(AND(O197="NA",Q197="NA",S197="NA",U197="NA",W197="NA",Y197="NA",AA197="NA",AC197="NA"),"NA",IF(OR(O197="NC",Q197="NC",S197="NC",U197="NC",W197="NC",Y197="NC",AA197="NC",AC197="NC",O197="SF",Q197="SF",S197="SF",U197="SF",W197="SF",Y197="SF",AA197="SF",AC197="SF"),"NC",IF(OR(O197="C",Q197="C",S197="C",U197="C",W197="C",Y197="C",AA197="C",AC197="C"),"C","")))))</f>
        <v>NA</v>
      </c>
      <c r="AG197" s="179" t="str">
        <f t="shared" si="11"/>
        <v>NÃO AVALIADO POR FALHA DE SINCRONISMO</v>
      </c>
      <c r="AH197" s="140"/>
      <c r="AI197" s="147" t="s">
        <v>36</v>
      </c>
      <c r="AJ197" s="145" t="str">
        <f t="shared" si="10"/>
        <v>SÃO PAULO</v>
      </c>
      <c r="AK197" s="148" t="s">
        <v>75</v>
      </c>
    </row>
    <row r="198" spans="1:37" ht="30" customHeight="1">
      <c r="A198" s="208" t="s">
        <v>198</v>
      </c>
      <c r="B198" s="258">
        <v>2621097308</v>
      </c>
      <c r="C198" s="209" t="s">
        <v>137</v>
      </c>
      <c r="D198" s="209" t="s">
        <v>126</v>
      </c>
      <c r="E198" s="209" t="s">
        <v>35</v>
      </c>
      <c r="F198" s="209" t="s">
        <v>1228</v>
      </c>
      <c r="G198" s="209">
        <v>153</v>
      </c>
      <c r="H198" s="209" t="s">
        <v>205</v>
      </c>
      <c r="I198" s="209" t="s">
        <v>314</v>
      </c>
      <c r="J198" s="209" t="s">
        <v>1526</v>
      </c>
      <c r="K198" s="209" t="s">
        <v>1793</v>
      </c>
      <c r="L198" s="209" t="s">
        <v>1794</v>
      </c>
      <c r="M198" s="209" t="s">
        <v>1795</v>
      </c>
      <c r="N198" s="218" t="s">
        <v>1524</v>
      </c>
      <c r="O198" s="54" t="s">
        <v>77</v>
      </c>
      <c r="P198" s="9"/>
      <c r="Q198" s="140" t="s">
        <v>77</v>
      </c>
      <c r="R198" s="90"/>
      <c r="S198" s="140" t="s">
        <v>77</v>
      </c>
      <c r="T198" s="90"/>
      <c r="U198" s="140" t="s">
        <v>77</v>
      </c>
      <c r="V198" s="90"/>
      <c r="W198" s="140" t="s">
        <v>77</v>
      </c>
      <c r="X198" s="90"/>
      <c r="Y198" s="140" t="s">
        <v>77</v>
      </c>
      <c r="Z198" s="90"/>
      <c r="AA198" s="140" t="s">
        <v>77</v>
      </c>
      <c r="AB198" s="90"/>
      <c r="AC198" s="140" t="s">
        <v>77</v>
      </c>
      <c r="AD198" s="90"/>
      <c r="AE198" s="140" t="s">
        <v>77</v>
      </c>
      <c r="AF198" s="137" t="str">
        <f t="shared" si="12"/>
        <v>NA</v>
      </c>
      <c r="AG198" s="179" t="str">
        <f t="shared" si="11"/>
        <v>NÃO AVALIADO POR FALHA DE SINCRONISMO</v>
      </c>
      <c r="AH198" s="140" t="s">
        <v>207</v>
      </c>
      <c r="AI198" s="147" t="s">
        <v>36</v>
      </c>
      <c r="AJ198" s="145" t="str">
        <f t="shared" si="10"/>
        <v>SÃO PAULO</v>
      </c>
      <c r="AK198" s="148" t="s">
        <v>75</v>
      </c>
    </row>
    <row r="199" spans="1:37" ht="30" customHeight="1">
      <c r="A199" s="208" t="s">
        <v>198</v>
      </c>
      <c r="B199" s="258">
        <v>2620851460</v>
      </c>
      <c r="C199" s="209" t="s">
        <v>132</v>
      </c>
      <c r="D199" s="209" t="s">
        <v>127</v>
      </c>
      <c r="E199" s="209" t="s">
        <v>35</v>
      </c>
      <c r="F199" s="209" t="s">
        <v>1653</v>
      </c>
      <c r="G199" s="209">
        <v>126</v>
      </c>
      <c r="H199" s="209" t="s">
        <v>208</v>
      </c>
      <c r="I199" s="209" t="s">
        <v>1755</v>
      </c>
      <c r="J199" s="209" t="s">
        <v>1796</v>
      </c>
      <c r="K199" s="209" t="s">
        <v>1797</v>
      </c>
      <c r="L199" s="209" t="s">
        <v>1798</v>
      </c>
      <c r="M199" s="209" t="s">
        <v>1799</v>
      </c>
      <c r="N199" s="218" t="s">
        <v>1537</v>
      </c>
      <c r="O199" s="54" t="s">
        <v>77</v>
      </c>
      <c r="P199" s="9"/>
      <c r="Q199" s="140" t="s">
        <v>77</v>
      </c>
      <c r="R199" s="90"/>
      <c r="S199" s="140" t="s">
        <v>77</v>
      </c>
      <c r="T199" s="90"/>
      <c r="U199" s="140" t="s">
        <v>77</v>
      </c>
      <c r="V199" s="90"/>
      <c r="W199" s="140" t="s">
        <v>77</v>
      </c>
      <c r="X199" s="90"/>
      <c r="Y199" s="140" t="s">
        <v>77</v>
      </c>
      <c r="Z199" s="90"/>
      <c r="AA199" s="140" t="s">
        <v>77</v>
      </c>
      <c r="AB199" s="90"/>
      <c r="AC199" s="140" t="s">
        <v>77</v>
      </c>
      <c r="AD199" s="90"/>
      <c r="AE199" s="140" t="s">
        <v>77</v>
      </c>
      <c r="AF199" s="137" t="str">
        <f t="shared" si="12"/>
        <v>NA</v>
      </c>
      <c r="AG199" s="179" t="str">
        <f t="shared" si="11"/>
        <v>NÃO AVALIADO POR FALHA DE SINCRONISMO</v>
      </c>
      <c r="AH199" s="140" t="s">
        <v>207</v>
      </c>
      <c r="AI199" s="147" t="s">
        <v>36</v>
      </c>
      <c r="AJ199" s="145" t="str">
        <f t="shared" si="10"/>
        <v>SÃO PAULO</v>
      </c>
      <c r="AK199" s="148" t="s">
        <v>75</v>
      </c>
    </row>
    <row r="200" spans="1:37" ht="30" customHeight="1">
      <c r="A200" s="208" t="s">
        <v>198</v>
      </c>
      <c r="B200" s="258">
        <v>2618753994</v>
      </c>
      <c r="C200" s="209" t="s">
        <v>1800</v>
      </c>
      <c r="D200" s="209" t="s">
        <v>128</v>
      </c>
      <c r="E200" s="209" t="s">
        <v>35</v>
      </c>
      <c r="F200" s="209" t="s">
        <v>1653</v>
      </c>
      <c r="G200" s="209">
        <v>127</v>
      </c>
      <c r="H200" s="209" t="s">
        <v>200</v>
      </c>
      <c r="I200" s="209" t="s">
        <v>1755</v>
      </c>
      <c r="J200" s="209" t="s">
        <v>1801</v>
      </c>
      <c r="K200" s="209" t="s">
        <v>200</v>
      </c>
      <c r="L200" s="209" t="s">
        <v>1798</v>
      </c>
      <c r="M200" s="209" t="s">
        <v>1799</v>
      </c>
      <c r="N200" s="218" t="s">
        <v>1537</v>
      </c>
      <c r="O200" s="54" t="s">
        <v>77</v>
      </c>
      <c r="P200" s="9"/>
      <c r="Q200" s="140" t="s">
        <v>77</v>
      </c>
      <c r="R200" s="90"/>
      <c r="S200" s="140" t="s">
        <v>77</v>
      </c>
      <c r="T200" s="90"/>
      <c r="U200" s="140" t="s">
        <v>77</v>
      </c>
      <c r="V200" s="90"/>
      <c r="W200" s="140" t="s">
        <v>77</v>
      </c>
      <c r="X200" s="90"/>
      <c r="Y200" s="140" t="s">
        <v>77</v>
      </c>
      <c r="Z200" s="90"/>
      <c r="AA200" s="140" t="s">
        <v>77</v>
      </c>
      <c r="AB200" s="90"/>
      <c r="AC200" s="140" t="s">
        <v>77</v>
      </c>
      <c r="AD200" s="90"/>
      <c r="AE200" s="140" t="s">
        <v>77</v>
      </c>
      <c r="AF200" s="137" t="str">
        <f t="shared" si="12"/>
        <v>NA</v>
      </c>
      <c r="AG200" s="179" t="str">
        <f t="shared" si="11"/>
        <v>NÃO AVALIADO POR FALHA DE SINCRONISMO</v>
      </c>
      <c r="AH200" s="140" t="s">
        <v>207</v>
      </c>
      <c r="AI200" s="147" t="s">
        <v>36</v>
      </c>
      <c r="AJ200" s="145" t="str">
        <f t="shared" si="10"/>
        <v>SÃO PAULO</v>
      </c>
      <c r="AK200" s="148" t="s">
        <v>75</v>
      </c>
    </row>
    <row r="201" spans="1:37" ht="30" customHeight="1">
      <c r="A201" s="153" t="s">
        <v>198</v>
      </c>
      <c r="B201" s="257">
        <v>2620863343</v>
      </c>
      <c r="C201" s="207" t="s">
        <v>1616</v>
      </c>
      <c r="D201" s="207" t="s">
        <v>127</v>
      </c>
      <c r="E201" s="207" t="s">
        <v>35</v>
      </c>
      <c r="F201" s="207" t="s">
        <v>1802</v>
      </c>
      <c r="G201" s="207">
        <v>18</v>
      </c>
      <c r="H201" s="207" t="s">
        <v>200</v>
      </c>
      <c r="I201" s="207" t="s">
        <v>580</v>
      </c>
      <c r="J201" s="207" t="s">
        <v>1624</v>
      </c>
      <c r="K201" s="207" t="s">
        <v>200</v>
      </c>
      <c r="L201" s="207" t="s">
        <v>1803</v>
      </c>
      <c r="M201" s="207" t="s">
        <v>1804</v>
      </c>
      <c r="N201" s="207" t="s">
        <v>203</v>
      </c>
      <c r="O201" s="202" t="s">
        <v>207</v>
      </c>
      <c r="P201" s="90"/>
      <c r="Q201" s="140" t="s">
        <v>207</v>
      </c>
      <c r="R201" s="90"/>
      <c r="S201" s="140" t="s">
        <v>214</v>
      </c>
      <c r="T201" s="90"/>
      <c r="U201" s="140" t="s">
        <v>207</v>
      </c>
      <c r="V201" s="90"/>
      <c r="W201" s="140" t="s">
        <v>77</v>
      </c>
      <c r="X201" s="90"/>
      <c r="Y201" s="140" t="s">
        <v>77</v>
      </c>
      <c r="Z201" s="90"/>
      <c r="AA201" s="140" t="s">
        <v>77</v>
      </c>
      <c r="AB201" s="90"/>
      <c r="AC201" s="140" t="s">
        <v>215</v>
      </c>
      <c r="AD201" s="90" t="s">
        <v>1663</v>
      </c>
      <c r="AE201" s="140" t="s">
        <v>207</v>
      </c>
      <c r="AF201" s="137" t="str">
        <f t="shared" si="12"/>
        <v>NC</v>
      </c>
      <c r="AG201" s="179" t="str">
        <f t="shared" si="11"/>
        <v>UTILIZOU O PDA CORRETAMENTE. NÃO HÁ FOTOS DE TODAS AS ETAPAS</v>
      </c>
      <c r="AH201" s="140" t="s">
        <v>207</v>
      </c>
      <c r="AI201" s="147" t="s">
        <v>36</v>
      </c>
      <c r="AJ201" s="145" t="str">
        <f t="shared" si="10"/>
        <v>SÃO PAULO</v>
      </c>
      <c r="AK201" s="148" t="s">
        <v>75</v>
      </c>
    </row>
    <row r="202" spans="1:37" ht="30" customHeight="1">
      <c r="A202" s="208" t="s">
        <v>198</v>
      </c>
      <c r="B202" s="258">
        <v>2620863984</v>
      </c>
      <c r="C202" s="209" t="s">
        <v>1616</v>
      </c>
      <c r="D202" s="209" t="s">
        <v>127</v>
      </c>
      <c r="E202" s="209" t="s">
        <v>35</v>
      </c>
      <c r="F202" s="209" t="s">
        <v>1802</v>
      </c>
      <c r="G202" s="209">
        <v>20</v>
      </c>
      <c r="H202" s="209" t="s">
        <v>208</v>
      </c>
      <c r="I202" s="209" t="s">
        <v>580</v>
      </c>
      <c r="J202" s="209" t="s">
        <v>1624</v>
      </c>
      <c r="K202" s="209" t="s">
        <v>200</v>
      </c>
      <c r="L202" s="209" t="s">
        <v>1805</v>
      </c>
      <c r="M202" s="209" t="s">
        <v>1806</v>
      </c>
      <c r="N202" s="209" t="s">
        <v>203</v>
      </c>
      <c r="O202" s="152" t="s">
        <v>207</v>
      </c>
      <c r="P202" s="90"/>
      <c r="Q202" s="140" t="s">
        <v>207</v>
      </c>
      <c r="R202" s="90"/>
      <c r="S202" s="140" t="s">
        <v>214</v>
      </c>
      <c r="T202" s="90"/>
      <c r="U202" s="140" t="s">
        <v>207</v>
      </c>
      <c r="V202" s="90"/>
      <c r="W202" s="140" t="s">
        <v>77</v>
      </c>
      <c r="X202" s="90"/>
      <c r="Y202" s="140" t="s">
        <v>77</v>
      </c>
      <c r="Z202" s="90"/>
      <c r="AA202" s="140" t="s">
        <v>77</v>
      </c>
      <c r="AB202" s="90"/>
      <c r="AC202" s="140" t="s">
        <v>215</v>
      </c>
      <c r="AD202" s="90" t="s">
        <v>1663</v>
      </c>
      <c r="AE202" s="140" t="s">
        <v>207</v>
      </c>
      <c r="AF202" s="137" t="str">
        <f t="shared" si="12"/>
        <v>NC</v>
      </c>
      <c r="AG202" s="179" t="str">
        <f t="shared" si="11"/>
        <v>UTILIZOU O PDA CORRETAMENTE. NÃO HÁ FOTOS DE TODAS AS ETAPAS</v>
      </c>
      <c r="AH202" s="140" t="s">
        <v>207</v>
      </c>
      <c r="AI202" s="147" t="s">
        <v>36</v>
      </c>
      <c r="AJ202" s="145" t="str">
        <f t="shared" si="10"/>
        <v>SÃO PAULO</v>
      </c>
      <c r="AK202" s="148" t="s">
        <v>75</v>
      </c>
    </row>
    <row r="203" spans="1:37" ht="30" customHeight="1">
      <c r="A203" s="208" t="s">
        <v>198</v>
      </c>
      <c r="B203" s="258">
        <v>2621094876</v>
      </c>
      <c r="C203" s="209" t="s">
        <v>131</v>
      </c>
      <c r="D203" s="209" t="s">
        <v>124</v>
      </c>
      <c r="E203" s="209" t="s">
        <v>35</v>
      </c>
      <c r="F203" s="209" t="s">
        <v>659</v>
      </c>
      <c r="G203" s="209">
        <v>492</v>
      </c>
      <c r="H203" s="209" t="s">
        <v>208</v>
      </c>
      <c r="I203" s="209" t="s">
        <v>536</v>
      </c>
      <c r="J203" s="209" t="s">
        <v>1523</v>
      </c>
      <c r="K203" s="209" t="s">
        <v>200</v>
      </c>
      <c r="L203" s="209" t="s">
        <v>1807</v>
      </c>
      <c r="M203" s="209" t="s">
        <v>1808</v>
      </c>
      <c r="N203" s="209" t="s">
        <v>1546</v>
      </c>
      <c r="O203" s="152" t="s">
        <v>77</v>
      </c>
      <c r="P203" s="90"/>
      <c r="Q203" s="140" t="s">
        <v>77</v>
      </c>
      <c r="R203" s="90"/>
      <c r="S203" s="140" t="s">
        <v>77</v>
      </c>
      <c r="T203" s="90"/>
      <c r="U203" s="140" t="s">
        <v>77</v>
      </c>
      <c r="V203" s="90"/>
      <c r="W203" s="140" t="s">
        <v>77</v>
      </c>
      <c r="X203" s="90"/>
      <c r="Y203" s="140" t="s">
        <v>77</v>
      </c>
      <c r="Z203" s="90"/>
      <c r="AA203" s="140" t="s">
        <v>77</v>
      </c>
      <c r="AB203" s="90"/>
      <c r="AC203" s="140" t="s">
        <v>77</v>
      </c>
      <c r="AD203" s="90"/>
      <c r="AE203" s="140" t="s">
        <v>77</v>
      </c>
      <c r="AF203" s="137" t="str">
        <f t="shared" si="12"/>
        <v>NA</v>
      </c>
      <c r="AG203" s="179" t="str">
        <f t="shared" si="11"/>
        <v>NÃO AVALIADO POR FALHA DE SINCRONISMO</v>
      </c>
      <c r="AH203" s="140" t="s">
        <v>207</v>
      </c>
      <c r="AI203" s="147" t="s">
        <v>36</v>
      </c>
      <c r="AJ203" s="145" t="str">
        <f t="shared" si="10"/>
        <v>SÃO PAULO</v>
      </c>
      <c r="AK203" s="148" t="s">
        <v>75</v>
      </c>
    </row>
    <row r="204" spans="1:37" ht="30" customHeight="1">
      <c r="A204" s="208" t="s">
        <v>198</v>
      </c>
      <c r="B204" s="258">
        <v>2621100090</v>
      </c>
      <c r="C204" s="209" t="s">
        <v>138</v>
      </c>
      <c r="D204" s="209" t="s">
        <v>124</v>
      </c>
      <c r="E204" s="209" t="s">
        <v>35</v>
      </c>
      <c r="F204" s="209" t="s">
        <v>1809</v>
      </c>
      <c r="G204" s="209">
        <v>12</v>
      </c>
      <c r="H204" s="209" t="s">
        <v>200</v>
      </c>
      <c r="I204" s="209" t="s">
        <v>359</v>
      </c>
      <c r="J204" s="209" t="s">
        <v>1539</v>
      </c>
      <c r="K204" s="209" t="s">
        <v>200</v>
      </c>
      <c r="L204" s="209" t="s">
        <v>1810</v>
      </c>
      <c r="M204" s="209" t="s">
        <v>1811</v>
      </c>
      <c r="N204" s="209" t="s">
        <v>465</v>
      </c>
      <c r="O204" s="152" t="s">
        <v>207</v>
      </c>
      <c r="P204" s="90"/>
      <c r="Q204" s="140" t="s">
        <v>215</v>
      </c>
      <c r="R204" s="90" t="s">
        <v>1559</v>
      </c>
      <c r="S204" s="140" t="s">
        <v>207</v>
      </c>
      <c r="T204" s="90"/>
      <c r="U204" s="140" t="s">
        <v>207</v>
      </c>
      <c r="V204" s="90"/>
      <c r="W204" s="140" t="s">
        <v>214</v>
      </c>
      <c r="X204" s="90"/>
      <c r="Y204" s="140" t="s">
        <v>77</v>
      </c>
      <c r="Z204" s="90"/>
      <c r="AA204" s="140" t="s">
        <v>214</v>
      </c>
      <c r="AB204" s="90"/>
      <c r="AC204" s="140" t="s">
        <v>215</v>
      </c>
      <c r="AD204" s="90" t="s">
        <v>1812</v>
      </c>
      <c r="AE204" s="140" t="s">
        <v>207</v>
      </c>
      <c r="AF204" s="137" t="str">
        <f t="shared" si="12"/>
        <v>NC</v>
      </c>
      <c r="AG204" s="179" t="str">
        <f t="shared" si="11"/>
        <v>UTILIZOU O PDA CORRETAMENTE. NÃO HÁ FOTOS DE TODAS AS ETAPAS</v>
      </c>
      <c r="AH204" s="140" t="s">
        <v>207</v>
      </c>
      <c r="AI204" s="147" t="s">
        <v>36</v>
      </c>
      <c r="AJ204" s="145" t="str">
        <f t="shared" si="10"/>
        <v>SÃO PAULO</v>
      </c>
      <c r="AK204" s="148" t="s">
        <v>75</v>
      </c>
    </row>
    <row r="205" spans="1:37" ht="30" customHeight="1">
      <c r="A205" s="208" t="s">
        <v>198</v>
      </c>
      <c r="B205" s="258">
        <v>2620865809</v>
      </c>
      <c r="C205" s="209" t="s">
        <v>138</v>
      </c>
      <c r="D205" s="209" t="s">
        <v>124</v>
      </c>
      <c r="E205" s="209" t="s">
        <v>35</v>
      </c>
      <c r="F205" s="209" t="s">
        <v>694</v>
      </c>
      <c r="G205" s="209">
        <v>1433</v>
      </c>
      <c r="H205" s="209" t="s">
        <v>200</v>
      </c>
      <c r="I205" s="209" t="s">
        <v>293</v>
      </c>
      <c r="J205" s="209" t="s">
        <v>1539</v>
      </c>
      <c r="K205" s="209" t="s">
        <v>200</v>
      </c>
      <c r="L205" s="209" t="s">
        <v>1813</v>
      </c>
      <c r="M205" s="209" t="s">
        <v>1814</v>
      </c>
      <c r="N205" s="209" t="s">
        <v>1546</v>
      </c>
      <c r="O205" s="152" t="s">
        <v>207</v>
      </c>
      <c r="P205" s="90"/>
      <c r="Q205" s="140" t="s">
        <v>214</v>
      </c>
      <c r="R205" s="90"/>
      <c r="S205" s="140" t="s">
        <v>214</v>
      </c>
      <c r="T205" s="90"/>
      <c r="U205" s="140" t="s">
        <v>214</v>
      </c>
      <c r="V205" s="90"/>
      <c r="W205" s="140" t="s">
        <v>214</v>
      </c>
      <c r="X205" s="90"/>
      <c r="Y205" s="140" t="s">
        <v>214</v>
      </c>
      <c r="Z205" s="90"/>
      <c r="AA205" s="140" t="s">
        <v>214</v>
      </c>
      <c r="AB205" s="90"/>
      <c r="AC205" s="140" t="s">
        <v>215</v>
      </c>
      <c r="AD205" s="90" t="s">
        <v>298</v>
      </c>
      <c r="AE205" s="140" t="s">
        <v>207</v>
      </c>
      <c r="AF205" s="137" t="str">
        <f t="shared" si="12"/>
        <v>NC</v>
      </c>
      <c r="AG205" s="179" t="str">
        <f t="shared" si="11"/>
        <v>UTILIZOU O PDA CORRETAMENTE. NÃO HÁ FOTOS DE TODAS AS ETAPAS</v>
      </c>
      <c r="AH205" s="140" t="s">
        <v>207</v>
      </c>
      <c r="AI205" s="147" t="s">
        <v>36</v>
      </c>
      <c r="AJ205" s="145" t="str">
        <f t="shared" si="10"/>
        <v>SÃO PAULO</v>
      </c>
      <c r="AK205" s="148" t="s">
        <v>75</v>
      </c>
    </row>
    <row r="206" spans="1:37" ht="30" customHeight="1">
      <c r="A206" s="208" t="s">
        <v>198</v>
      </c>
      <c r="B206" s="258">
        <v>2621042638</v>
      </c>
      <c r="C206" s="209" t="s">
        <v>138</v>
      </c>
      <c r="D206" s="209" t="s">
        <v>124</v>
      </c>
      <c r="E206" s="209" t="s">
        <v>35</v>
      </c>
      <c r="F206" s="209" t="s">
        <v>1815</v>
      </c>
      <c r="G206" s="209">
        <v>10</v>
      </c>
      <c r="H206" s="209" t="s">
        <v>208</v>
      </c>
      <c r="I206" s="209" t="s">
        <v>685</v>
      </c>
      <c r="J206" s="209" t="s">
        <v>1549</v>
      </c>
      <c r="K206" s="209" t="s">
        <v>200</v>
      </c>
      <c r="L206" s="209" t="s">
        <v>1816</v>
      </c>
      <c r="M206" s="209" t="s">
        <v>1817</v>
      </c>
      <c r="N206" s="209" t="s">
        <v>1546</v>
      </c>
      <c r="O206" s="152" t="s">
        <v>207</v>
      </c>
      <c r="P206" s="90"/>
      <c r="Q206" s="140" t="s">
        <v>214</v>
      </c>
      <c r="R206" s="90"/>
      <c r="S206" s="140" t="s">
        <v>207</v>
      </c>
      <c r="T206" s="90"/>
      <c r="U206" s="140" t="s">
        <v>207</v>
      </c>
      <c r="V206" s="90"/>
      <c r="W206" s="140" t="s">
        <v>207</v>
      </c>
      <c r="X206" s="90"/>
      <c r="Y206" s="140" t="s">
        <v>77</v>
      </c>
      <c r="Z206" s="90"/>
      <c r="AA206" s="140" t="s">
        <v>214</v>
      </c>
      <c r="AB206" s="90"/>
      <c r="AC206" s="140" t="s">
        <v>215</v>
      </c>
      <c r="AD206" s="90" t="s">
        <v>298</v>
      </c>
      <c r="AE206" s="140" t="s">
        <v>207</v>
      </c>
      <c r="AF206" s="137" t="str">
        <f t="shared" si="12"/>
        <v>NC</v>
      </c>
      <c r="AG206" s="179" t="str">
        <f t="shared" si="11"/>
        <v>UTILIZOU O PDA CORRETAMENTE. NÃO HÁ FOTOS DE TODAS AS ETAPAS</v>
      </c>
      <c r="AH206" s="140" t="s">
        <v>207</v>
      </c>
      <c r="AI206" s="147" t="s">
        <v>36</v>
      </c>
      <c r="AJ206" s="145" t="str">
        <f t="shared" si="10"/>
        <v>SÃO PAULO</v>
      </c>
      <c r="AK206" s="148" t="s">
        <v>75</v>
      </c>
    </row>
    <row r="207" spans="1:37" ht="30" customHeight="1">
      <c r="A207" s="208" t="s">
        <v>198</v>
      </c>
      <c r="B207" s="258">
        <v>2621063371</v>
      </c>
      <c r="C207" s="209" t="s">
        <v>137</v>
      </c>
      <c r="D207" s="209" t="s">
        <v>126</v>
      </c>
      <c r="E207" s="209" t="s">
        <v>35</v>
      </c>
      <c r="F207" s="209" t="s">
        <v>1818</v>
      </c>
      <c r="G207" s="209">
        <v>58</v>
      </c>
      <c r="H207" s="209" t="s">
        <v>200</v>
      </c>
      <c r="I207" s="209" t="s">
        <v>722</v>
      </c>
      <c r="J207" s="209" t="s">
        <v>1526</v>
      </c>
      <c r="K207" s="210" t="s">
        <v>1819</v>
      </c>
      <c r="L207" s="209" t="s">
        <v>1820</v>
      </c>
      <c r="M207" s="209" t="s">
        <v>1315</v>
      </c>
      <c r="N207" s="209" t="s">
        <v>1537</v>
      </c>
      <c r="O207" s="152" t="s">
        <v>207</v>
      </c>
      <c r="P207" s="90"/>
      <c r="Q207" s="140" t="s">
        <v>215</v>
      </c>
      <c r="R207" s="90" t="s">
        <v>1821</v>
      </c>
      <c r="S207" s="140" t="s">
        <v>214</v>
      </c>
      <c r="T207" s="90"/>
      <c r="U207" s="140" t="s">
        <v>207</v>
      </c>
      <c r="V207" s="90"/>
      <c r="W207" s="140" t="s">
        <v>207</v>
      </c>
      <c r="X207" s="90"/>
      <c r="Y207" s="140" t="s">
        <v>77</v>
      </c>
      <c r="Z207" s="90"/>
      <c r="AA207" s="140" t="s">
        <v>207</v>
      </c>
      <c r="AB207" s="90"/>
      <c r="AC207" s="140" t="s">
        <v>214</v>
      </c>
      <c r="AD207" s="90"/>
      <c r="AE207" s="140" t="s">
        <v>207</v>
      </c>
      <c r="AF207" s="137" t="str">
        <f t="shared" si="12"/>
        <v>NC</v>
      </c>
      <c r="AG207" s="179" t="str">
        <f t="shared" si="11"/>
        <v>UTILIZOU O PDA CORRETAMENTE. NÃO HÁ FOTOS DE TODAS AS ETAPAS</v>
      </c>
      <c r="AH207" s="140"/>
      <c r="AI207" s="147" t="s">
        <v>36</v>
      </c>
      <c r="AJ207" s="145" t="str">
        <f t="shared" si="10"/>
        <v>SÃO PAULO</v>
      </c>
      <c r="AK207" s="148" t="s">
        <v>75</v>
      </c>
    </row>
    <row r="208" spans="1:37" ht="30" customHeight="1">
      <c r="A208" s="208" t="s">
        <v>198</v>
      </c>
      <c r="B208" s="258">
        <v>2621042343</v>
      </c>
      <c r="C208" s="209" t="s">
        <v>1651</v>
      </c>
      <c r="D208" s="209" t="s">
        <v>125</v>
      </c>
      <c r="E208" s="209" t="s">
        <v>35</v>
      </c>
      <c r="F208" s="209" t="s">
        <v>1822</v>
      </c>
      <c r="G208" s="209">
        <v>468</v>
      </c>
      <c r="H208" s="209" t="s">
        <v>200</v>
      </c>
      <c r="I208" s="209" t="s">
        <v>853</v>
      </c>
      <c r="J208" s="209" t="s">
        <v>1652</v>
      </c>
      <c r="K208" s="209" t="s">
        <v>1823</v>
      </c>
      <c r="L208" s="209" t="s">
        <v>1824</v>
      </c>
      <c r="M208" s="209" t="s">
        <v>1825</v>
      </c>
      <c r="N208" s="209" t="s">
        <v>1537</v>
      </c>
      <c r="O208" s="152" t="s">
        <v>207</v>
      </c>
      <c r="P208" s="90"/>
      <c r="Q208" s="140" t="s">
        <v>215</v>
      </c>
      <c r="R208" s="90" t="s">
        <v>1826</v>
      </c>
      <c r="S208" s="140" t="s">
        <v>214</v>
      </c>
      <c r="T208" s="90"/>
      <c r="U208" s="140" t="s">
        <v>207</v>
      </c>
      <c r="V208" s="90"/>
      <c r="W208" s="140" t="s">
        <v>214</v>
      </c>
      <c r="X208" s="90"/>
      <c r="Y208" s="140" t="s">
        <v>77</v>
      </c>
      <c r="Z208" s="90"/>
      <c r="AA208" s="140" t="s">
        <v>214</v>
      </c>
      <c r="AB208" s="90"/>
      <c r="AC208" s="140" t="s">
        <v>214</v>
      </c>
      <c r="AD208" s="90"/>
      <c r="AE208" s="140" t="s">
        <v>207</v>
      </c>
      <c r="AF208" s="137" t="str">
        <f t="shared" si="12"/>
        <v>NC</v>
      </c>
      <c r="AG208" s="179" t="str">
        <f t="shared" si="11"/>
        <v>UTILIZOU O PDA CORRETAMENTE. NÃO HÁ FOTOS DE TODAS AS ETAPAS</v>
      </c>
      <c r="AH208" s="140" t="s">
        <v>207</v>
      </c>
      <c r="AI208" s="147" t="s">
        <v>36</v>
      </c>
      <c r="AJ208" s="145" t="str">
        <f t="shared" si="10"/>
        <v>SÃO PAULO</v>
      </c>
      <c r="AK208" s="148" t="s">
        <v>75</v>
      </c>
    </row>
    <row r="209" spans="1:37" ht="30" customHeight="1">
      <c r="A209" s="208" t="s">
        <v>198</v>
      </c>
      <c r="B209" s="258">
        <v>2621269329</v>
      </c>
      <c r="C209" s="209" t="s">
        <v>1569</v>
      </c>
      <c r="D209" s="209" t="s">
        <v>127</v>
      </c>
      <c r="E209" s="209" t="s">
        <v>35</v>
      </c>
      <c r="F209" s="209" t="s">
        <v>1827</v>
      </c>
      <c r="G209" s="209">
        <v>1</v>
      </c>
      <c r="H209" s="209" t="s">
        <v>401</v>
      </c>
      <c r="I209" s="209" t="s">
        <v>665</v>
      </c>
      <c r="J209" s="209" t="s">
        <v>1570</v>
      </c>
      <c r="K209" s="210" t="s">
        <v>1828</v>
      </c>
      <c r="L209" s="209" t="s">
        <v>1829</v>
      </c>
      <c r="M209" s="209" t="s">
        <v>1830</v>
      </c>
      <c r="N209" s="209" t="s">
        <v>1572</v>
      </c>
      <c r="O209" s="152" t="s">
        <v>207</v>
      </c>
      <c r="P209" s="90"/>
      <c r="Q209" s="140" t="s">
        <v>214</v>
      </c>
      <c r="R209" s="90"/>
      <c r="S209" s="140" t="s">
        <v>77</v>
      </c>
      <c r="T209" s="90"/>
      <c r="U209" s="140" t="s">
        <v>77</v>
      </c>
      <c r="V209" s="90"/>
      <c r="W209" s="140" t="s">
        <v>77</v>
      </c>
      <c r="X209" s="90"/>
      <c r="Y209" s="140" t="s">
        <v>77</v>
      </c>
      <c r="Z209" s="90"/>
      <c r="AA209" s="140" t="s">
        <v>77</v>
      </c>
      <c r="AB209" s="90"/>
      <c r="AC209" s="140" t="s">
        <v>207</v>
      </c>
      <c r="AD209" s="90"/>
      <c r="AE209" s="140" t="s">
        <v>207</v>
      </c>
      <c r="AF209" s="137" t="str">
        <f t="shared" ref="AF201:AF257" si="13">IF(AND(O209="",Q209="",S209="",U209="",W209="",Y209="",AA209="",AC209=""),"",IF(OR(AND(O209&lt;&gt;"NA",O209&lt;&gt;"C",O209&lt;&gt;"NC",O209&lt;&gt;"SF",O209&lt;&gt;""),AND(Q209&lt;&gt;"NA",Q209&lt;&gt;"C",Q209&lt;&gt;"NC",Q209&lt;&gt;"SF",Q209&lt;&gt;""),AND(S209&lt;&gt;"NA",S209&lt;&gt;"C",S209&lt;&gt;"NC",S209&lt;&gt;"SF",S209&lt;&gt;""),AND(U209&lt;&gt;"NA",U209&lt;&gt;"C",U209&lt;&gt;"NC",U209&lt;&gt;"SF",U209&lt;&gt;""),AND(W209&lt;&gt;"NA",W209&lt;&gt;"C",W209&lt;&gt;"NC",W209&lt;&gt;"SF",W209&lt;&gt;""),AND(Y209&lt;&gt;"NA",Y209&lt;&gt;"C",Y209&lt;&gt;"NC",Y209&lt;&gt;"SF",Y209&lt;&gt;""),AND(AA209&lt;&gt;"NA",AA209&lt;&gt;"C",AA209&lt;&gt;"NC",AA209&lt;&gt;"SF",AA209&lt;&gt;""),AND(AC209&lt;&gt;"NA",AC209&lt;&gt;"C",AC209&lt;&gt;"NC",AC209&lt;&gt;"SF",AC209&lt;&gt;"")),"FALSO",IF(AND(O209="NA",Q209="NA",S209="NA",U209="NA",W209="NA",Y209="NA",AA209="NA",AC209="NA"),"NA",IF(OR(O209="NC",Q209="NC",S209="NC",U209="NC",W209="NC",Y209="NC",AA209="NC",AC209="NC",O209="SF",Q209="SF",S209="SF",U209="SF",W209="SF",Y209="SF",AA209="SF",AC209="SF"),"NC",IF(OR(O209="C",Q209="C",S209="C",U209="C",W209="C",Y209="C",AA209="C",AC209="C"),"C","")))))</f>
        <v>NC</v>
      </c>
      <c r="AG209" s="179" t="str">
        <f t="shared" si="11"/>
        <v>UTILIZOU O PDA CORRETAMENTE. NÃO HÁ FOTOS DE TODAS AS ETAPAS</v>
      </c>
      <c r="AH209" s="140"/>
      <c r="AI209" s="147" t="s">
        <v>36</v>
      </c>
      <c r="AJ209" s="145" t="str">
        <f t="shared" si="10"/>
        <v>SÃO PAULO</v>
      </c>
      <c r="AK209" s="148" t="s">
        <v>75</v>
      </c>
    </row>
    <row r="210" spans="1:37" ht="30" customHeight="1">
      <c r="A210" s="208" t="s">
        <v>198</v>
      </c>
      <c r="B210" s="258">
        <v>2621271751</v>
      </c>
      <c r="C210" s="209" t="s">
        <v>1569</v>
      </c>
      <c r="D210" s="209" t="s">
        <v>127</v>
      </c>
      <c r="E210" s="209" t="s">
        <v>35</v>
      </c>
      <c r="F210" s="209" t="s">
        <v>204</v>
      </c>
      <c r="G210" s="209">
        <v>3320</v>
      </c>
      <c r="H210" s="209" t="s">
        <v>401</v>
      </c>
      <c r="I210" s="209" t="s">
        <v>209</v>
      </c>
      <c r="J210" s="209" t="s">
        <v>1570</v>
      </c>
      <c r="K210" s="210" t="s">
        <v>1831</v>
      </c>
      <c r="L210" s="209" t="s">
        <v>1832</v>
      </c>
      <c r="M210" s="209" t="s">
        <v>1833</v>
      </c>
      <c r="N210" s="209" t="s">
        <v>1572</v>
      </c>
      <c r="O210" s="152" t="s">
        <v>207</v>
      </c>
      <c r="P210" s="90"/>
      <c r="Q210" s="140" t="s">
        <v>214</v>
      </c>
      <c r="R210" s="90"/>
      <c r="S210" s="140" t="s">
        <v>77</v>
      </c>
      <c r="T210" s="90"/>
      <c r="U210" s="140" t="s">
        <v>77</v>
      </c>
      <c r="V210" s="90"/>
      <c r="W210" s="140" t="s">
        <v>77</v>
      </c>
      <c r="X210" s="90"/>
      <c r="Y210" s="140" t="s">
        <v>77</v>
      </c>
      <c r="Z210" s="90"/>
      <c r="AA210" s="140" t="s">
        <v>77</v>
      </c>
      <c r="AB210" s="90"/>
      <c r="AC210" s="140" t="s">
        <v>207</v>
      </c>
      <c r="AD210" s="90"/>
      <c r="AE210" s="140" t="s">
        <v>207</v>
      </c>
      <c r="AF210" s="137" t="str">
        <f t="shared" si="13"/>
        <v>NC</v>
      </c>
      <c r="AG210" s="179" t="str">
        <f t="shared" si="11"/>
        <v>UTILIZOU O PDA CORRETAMENTE. NÃO HÁ FOTOS DE TODAS AS ETAPAS</v>
      </c>
      <c r="AH210" s="140"/>
      <c r="AI210" s="147" t="s">
        <v>36</v>
      </c>
      <c r="AJ210" s="145" t="str">
        <f t="shared" si="10"/>
        <v>SÃO PAULO</v>
      </c>
      <c r="AK210" s="148" t="s">
        <v>75</v>
      </c>
    </row>
    <row r="211" spans="1:37" ht="30" customHeight="1">
      <c r="A211" s="208" t="s">
        <v>198</v>
      </c>
      <c r="B211" s="258">
        <v>2621272323</v>
      </c>
      <c r="C211" s="209" t="s">
        <v>1569</v>
      </c>
      <c r="D211" s="209" t="s">
        <v>127</v>
      </c>
      <c r="E211" s="209" t="s">
        <v>35</v>
      </c>
      <c r="F211" s="209" t="s">
        <v>1834</v>
      </c>
      <c r="G211" s="209">
        <v>25</v>
      </c>
      <c r="H211" s="209" t="s">
        <v>200</v>
      </c>
      <c r="I211" s="209" t="s">
        <v>1835</v>
      </c>
      <c r="J211" s="209" t="s">
        <v>1570</v>
      </c>
      <c r="K211" s="210" t="s">
        <v>1836</v>
      </c>
      <c r="L211" s="209" t="s">
        <v>1837</v>
      </c>
      <c r="M211" s="209" t="s">
        <v>1838</v>
      </c>
      <c r="N211" s="209" t="s">
        <v>1572</v>
      </c>
      <c r="O211" s="152" t="s">
        <v>207</v>
      </c>
      <c r="P211" s="90"/>
      <c r="Q211" s="140" t="s">
        <v>214</v>
      </c>
      <c r="R211" s="90"/>
      <c r="S211" s="140" t="s">
        <v>77</v>
      </c>
      <c r="T211" s="90"/>
      <c r="U211" s="140" t="s">
        <v>77</v>
      </c>
      <c r="V211" s="90"/>
      <c r="W211" s="140" t="s">
        <v>77</v>
      </c>
      <c r="X211" s="90"/>
      <c r="Y211" s="140" t="s">
        <v>77</v>
      </c>
      <c r="Z211" s="90"/>
      <c r="AA211" s="140" t="s">
        <v>77</v>
      </c>
      <c r="AB211" s="90"/>
      <c r="AC211" s="140" t="s">
        <v>207</v>
      </c>
      <c r="AD211" s="90"/>
      <c r="AE211" s="140" t="s">
        <v>207</v>
      </c>
      <c r="AF211" s="137" t="str">
        <f t="shared" si="13"/>
        <v>NC</v>
      </c>
      <c r="AG211" s="179" t="str">
        <f t="shared" si="11"/>
        <v>UTILIZOU O PDA CORRETAMENTE. NÃO HÁ FOTOS DE TODAS AS ETAPAS</v>
      </c>
      <c r="AH211" s="140"/>
      <c r="AI211" s="147" t="s">
        <v>36</v>
      </c>
      <c r="AJ211" s="145" t="str">
        <f t="shared" si="10"/>
        <v>SÃO PAULO</v>
      </c>
      <c r="AK211" s="148" t="s">
        <v>75</v>
      </c>
    </row>
    <row r="212" spans="1:37" ht="30" customHeight="1">
      <c r="A212" s="208" t="s">
        <v>198</v>
      </c>
      <c r="B212" s="258">
        <v>2621273930</v>
      </c>
      <c r="C212" s="209" t="s">
        <v>1569</v>
      </c>
      <c r="D212" s="209" t="s">
        <v>127</v>
      </c>
      <c r="E212" s="209" t="s">
        <v>35</v>
      </c>
      <c r="F212" s="209" t="s">
        <v>1839</v>
      </c>
      <c r="G212" s="209">
        <v>225</v>
      </c>
      <c r="H212" s="209" t="s">
        <v>200</v>
      </c>
      <c r="I212" s="209" t="s">
        <v>357</v>
      </c>
      <c r="J212" s="209" t="s">
        <v>1570</v>
      </c>
      <c r="K212" s="210" t="s">
        <v>1581</v>
      </c>
      <c r="L212" s="209" t="s">
        <v>1840</v>
      </c>
      <c r="M212" s="209" t="s">
        <v>1841</v>
      </c>
      <c r="N212" s="209" t="s">
        <v>1572</v>
      </c>
      <c r="O212" s="152" t="s">
        <v>207</v>
      </c>
      <c r="P212" s="90"/>
      <c r="Q212" s="140" t="s">
        <v>214</v>
      </c>
      <c r="R212" s="90"/>
      <c r="S212" s="140" t="s">
        <v>77</v>
      </c>
      <c r="T212" s="90"/>
      <c r="U212" s="140" t="s">
        <v>77</v>
      </c>
      <c r="V212" s="90"/>
      <c r="W212" s="140" t="s">
        <v>77</v>
      </c>
      <c r="X212" s="90"/>
      <c r="Y212" s="140" t="s">
        <v>77</v>
      </c>
      <c r="Z212" s="90"/>
      <c r="AA212" s="140" t="s">
        <v>77</v>
      </c>
      <c r="AB212" s="90"/>
      <c r="AC212" s="140" t="s">
        <v>207</v>
      </c>
      <c r="AD212" s="90"/>
      <c r="AE212" s="140" t="s">
        <v>207</v>
      </c>
      <c r="AF212" s="137" t="str">
        <f t="shared" si="13"/>
        <v>NC</v>
      </c>
      <c r="AG212" s="179" t="str">
        <f t="shared" si="11"/>
        <v>UTILIZOU O PDA CORRETAMENTE. NÃO HÁ FOTOS DE TODAS AS ETAPAS</v>
      </c>
      <c r="AH212" s="140"/>
      <c r="AI212" s="147" t="s">
        <v>36</v>
      </c>
      <c r="AJ212" s="145" t="str">
        <f t="shared" si="10"/>
        <v>SÃO PAULO</v>
      </c>
      <c r="AK212" s="148" t="s">
        <v>75</v>
      </c>
    </row>
    <row r="213" spans="1:37" ht="30" customHeight="1">
      <c r="A213" s="208" t="s">
        <v>198</v>
      </c>
      <c r="B213" s="258">
        <v>2621282671</v>
      </c>
      <c r="C213" s="209" t="s">
        <v>1842</v>
      </c>
      <c r="D213" s="209" t="s">
        <v>127</v>
      </c>
      <c r="E213" s="209" t="s">
        <v>35</v>
      </c>
      <c r="F213" s="209" t="s">
        <v>1843</v>
      </c>
      <c r="G213" s="209">
        <v>21</v>
      </c>
      <c r="H213" s="209" t="s">
        <v>200</v>
      </c>
      <c r="I213" s="209" t="s">
        <v>357</v>
      </c>
      <c r="J213" s="209" t="s">
        <v>1844</v>
      </c>
      <c r="K213" s="209" t="s">
        <v>200</v>
      </c>
      <c r="L213" s="209" t="s">
        <v>1845</v>
      </c>
      <c r="M213" s="209" t="s">
        <v>1846</v>
      </c>
      <c r="N213" s="209" t="s">
        <v>203</v>
      </c>
      <c r="O213" s="152" t="s">
        <v>207</v>
      </c>
      <c r="P213" s="90"/>
      <c r="Q213" s="140" t="s">
        <v>215</v>
      </c>
      <c r="R213" s="90" t="s">
        <v>1604</v>
      </c>
      <c r="S213" s="140" t="s">
        <v>214</v>
      </c>
      <c r="T213" s="90"/>
      <c r="U213" s="140" t="s">
        <v>207</v>
      </c>
      <c r="V213" s="90"/>
      <c r="W213" s="140" t="s">
        <v>77</v>
      </c>
      <c r="X213" s="90"/>
      <c r="Y213" s="140" t="s">
        <v>77</v>
      </c>
      <c r="Z213" s="90"/>
      <c r="AA213" s="140" t="s">
        <v>77</v>
      </c>
      <c r="AB213" s="90"/>
      <c r="AC213" s="140" t="s">
        <v>215</v>
      </c>
      <c r="AD213" s="90" t="s">
        <v>1663</v>
      </c>
      <c r="AE213" s="140" t="s">
        <v>207</v>
      </c>
      <c r="AF213" s="137" t="str">
        <f t="shared" si="13"/>
        <v>NC</v>
      </c>
      <c r="AG213" s="179" t="str">
        <f t="shared" si="11"/>
        <v>UTILIZOU O PDA CORRETAMENTE. NÃO HÁ FOTOS DE TODAS AS ETAPAS</v>
      </c>
      <c r="AH213" s="140" t="s">
        <v>207</v>
      </c>
      <c r="AI213" s="147" t="s">
        <v>36</v>
      </c>
      <c r="AJ213" s="145" t="str">
        <f t="shared" si="10"/>
        <v>SÃO PAULO</v>
      </c>
      <c r="AK213" s="148" t="s">
        <v>75</v>
      </c>
    </row>
    <row r="214" spans="1:37" ht="30" customHeight="1">
      <c r="A214" s="208" t="s">
        <v>198</v>
      </c>
      <c r="B214" s="258">
        <v>2620850366</v>
      </c>
      <c r="C214" s="209" t="s">
        <v>1592</v>
      </c>
      <c r="D214" s="209" t="s">
        <v>126</v>
      </c>
      <c r="E214" s="209" t="s">
        <v>35</v>
      </c>
      <c r="F214" s="209" t="s">
        <v>410</v>
      </c>
      <c r="G214" s="209">
        <v>19</v>
      </c>
      <c r="H214" s="209" t="s">
        <v>200</v>
      </c>
      <c r="I214" s="209" t="s">
        <v>411</v>
      </c>
      <c r="J214" s="209" t="s">
        <v>1593</v>
      </c>
      <c r="K214" s="209" t="s">
        <v>200</v>
      </c>
      <c r="L214" s="209" t="s">
        <v>1847</v>
      </c>
      <c r="M214" s="209" t="s">
        <v>1848</v>
      </c>
      <c r="N214" s="209" t="s">
        <v>1565</v>
      </c>
      <c r="O214" s="152" t="s">
        <v>77</v>
      </c>
      <c r="P214" s="90"/>
      <c r="Q214" s="140" t="s">
        <v>77</v>
      </c>
      <c r="R214" s="90"/>
      <c r="S214" s="140" t="s">
        <v>77</v>
      </c>
      <c r="T214" s="90"/>
      <c r="U214" s="140" t="s">
        <v>77</v>
      </c>
      <c r="V214" s="90"/>
      <c r="W214" s="140" t="s">
        <v>77</v>
      </c>
      <c r="X214" s="90"/>
      <c r="Y214" s="140" t="s">
        <v>77</v>
      </c>
      <c r="Z214" s="90"/>
      <c r="AA214" s="140" t="s">
        <v>77</v>
      </c>
      <c r="AB214" s="90"/>
      <c r="AC214" s="140" t="s">
        <v>77</v>
      </c>
      <c r="AD214" s="90"/>
      <c r="AE214" s="140" t="s">
        <v>77</v>
      </c>
      <c r="AF214" s="137" t="str">
        <f t="shared" si="13"/>
        <v>NA</v>
      </c>
      <c r="AG214" s="179" t="str">
        <f t="shared" si="11"/>
        <v>NÃO AVALIADO POR FALHA DE SINCRONISMO</v>
      </c>
      <c r="AH214" s="140" t="s">
        <v>207</v>
      </c>
      <c r="AI214" s="147" t="s">
        <v>36</v>
      </c>
      <c r="AJ214" s="145" t="str">
        <f t="shared" si="10"/>
        <v>SÃO PAULO</v>
      </c>
      <c r="AK214" s="148" t="s">
        <v>75</v>
      </c>
    </row>
    <row r="215" spans="1:37" ht="30" customHeight="1">
      <c r="A215" s="208" t="s">
        <v>198</v>
      </c>
      <c r="B215" s="258">
        <v>2620850618</v>
      </c>
      <c r="C215" s="209" t="s">
        <v>1592</v>
      </c>
      <c r="D215" s="209" t="s">
        <v>126</v>
      </c>
      <c r="E215" s="209" t="s">
        <v>35</v>
      </c>
      <c r="F215" s="209" t="s">
        <v>410</v>
      </c>
      <c r="G215" s="209">
        <v>15</v>
      </c>
      <c r="H215" s="209" t="s">
        <v>200</v>
      </c>
      <c r="I215" s="209" t="s">
        <v>411</v>
      </c>
      <c r="J215" s="209" t="s">
        <v>1593</v>
      </c>
      <c r="K215" s="209" t="s">
        <v>200</v>
      </c>
      <c r="L215" s="209" t="s">
        <v>1847</v>
      </c>
      <c r="M215" s="209" t="s">
        <v>1848</v>
      </c>
      <c r="N215" s="209" t="s">
        <v>1565</v>
      </c>
      <c r="O215" s="152" t="s">
        <v>77</v>
      </c>
      <c r="P215" s="90"/>
      <c r="Q215" s="140" t="s">
        <v>77</v>
      </c>
      <c r="R215" s="90"/>
      <c r="S215" s="140" t="s">
        <v>77</v>
      </c>
      <c r="T215" s="90"/>
      <c r="U215" s="140" t="s">
        <v>77</v>
      </c>
      <c r="V215" s="90"/>
      <c r="W215" s="140" t="s">
        <v>77</v>
      </c>
      <c r="X215" s="90"/>
      <c r="Y215" s="140" t="s">
        <v>77</v>
      </c>
      <c r="Z215" s="90"/>
      <c r="AA215" s="140" t="s">
        <v>77</v>
      </c>
      <c r="AB215" s="90"/>
      <c r="AC215" s="140" t="s">
        <v>77</v>
      </c>
      <c r="AD215" s="90"/>
      <c r="AE215" s="140" t="s">
        <v>77</v>
      </c>
      <c r="AF215" s="137" t="str">
        <f t="shared" si="13"/>
        <v>NA</v>
      </c>
      <c r="AG215" s="179" t="str">
        <f t="shared" si="11"/>
        <v>NÃO AVALIADO POR FALHA DE SINCRONISMO</v>
      </c>
      <c r="AH215" s="140" t="s">
        <v>207</v>
      </c>
      <c r="AI215" s="147" t="s">
        <v>36</v>
      </c>
      <c r="AJ215" s="145" t="str">
        <f t="shared" si="10"/>
        <v>SÃO PAULO</v>
      </c>
      <c r="AK215" s="148" t="s">
        <v>75</v>
      </c>
    </row>
    <row r="216" spans="1:37" ht="30" customHeight="1">
      <c r="A216" s="208" t="s">
        <v>198</v>
      </c>
      <c r="B216" s="258">
        <v>2620850972</v>
      </c>
      <c r="C216" s="209" t="s">
        <v>1592</v>
      </c>
      <c r="D216" s="209" t="s">
        <v>126</v>
      </c>
      <c r="E216" s="209" t="s">
        <v>35</v>
      </c>
      <c r="F216" s="209" t="s">
        <v>410</v>
      </c>
      <c r="G216" s="209">
        <v>5</v>
      </c>
      <c r="H216" s="209" t="s">
        <v>200</v>
      </c>
      <c r="I216" s="209" t="s">
        <v>411</v>
      </c>
      <c r="J216" s="209" t="s">
        <v>1593</v>
      </c>
      <c r="K216" s="209" t="s">
        <v>200</v>
      </c>
      <c r="L216" s="209" t="s">
        <v>1847</v>
      </c>
      <c r="M216" s="209" t="s">
        <v>1848</v>
      </c>
      <c r="N216" s="209" t="s">
        <v>1565</v>
      </c>
      <c r="O216" s="152" t="s">
        <v>77</v>
      </c>
      <c r="P216" s="90"/>
      <c r="Q216" s="140" t="s">
        <v>77</v>
      </c>
      <c r="R216" s="90"/>
      <c r="S216" s="140" t="s">
        <v>77</v>
      </c>
      <c r="T216" s="90"/>
      <c r="U216" s="140" t="s">
        <v>77</v>
      </c>
      <c r="V216" s="90"/>
      <c r="W216" s="140" t="s">
        <v>77</v>
      </c>
      <c r="X216" s="90"/>
      <c r="Y216" s="140" t="s">
        <v>77</v>
      </c>
      <c r="Z216" s="90"/>
      <c r="AA216" s="140" t="s">
        <v>77</v>
      </c>
      <c r="AB216" s="90"/>
      <c r="AC216" s="140" t="s">
        <v>77</v>
      </c>
      <c r="AD216" s="90"/>
      <c r="AE216" s="140" t="s">
        <v>77</v>
      </c>
      <c r="AF216" s="137" t="str">
        <f t="shared" si="13"/>
        <v>NA</v>
      </c>
      <c r="AG216" s="179" t="str">
        <f t="shared" si="11"/>
        <v>NÃO AVALIADO POR FALHA DE SINCRONISMO</v>
      </c>
      <c r="AH216" s="140" t="s">
        <v>207</v>
      </c>
      <c r="AI216" s="147" t="s">
        <v>36</v>
      </c>
      <c r="AJ216" s="145" t="str">
        <f t="shared" si="10"/>
        <v>SÃO PAULO</v>
      </c>
      <c r="AK216" s="148" t="s">
        <v>75</v>
      </c>
    </row>
    <row r="217" spans="1:37" ht="30" customHeight="1">
      <c r="A217" s="208" t="s">
        <v>198</v>
      </c>
      <c r="B217" s="258">
        <v>2620850797</v>
      </c>
      <c r="C217" s="209" t="s">
        <v>1592</v>
      </c>
      <c r="D217" s="209" t="s">
        <v>126</v>
      </c>
      <c r="E217" s="209" t="s">
        <v>35</v>
      </c>
      <c r="F217" s="209" t="s">
        <v>410</v>
      </c>
      <c r="G217" s="209">
        <v>9</v>
      </c>
      <c r="H217" s="209" t="s">
        <v>200</v>
      </c>
      <c r="I217" s="209" t="s">
        <v>411</v>
      </c>
      <c r="J217" s="209" t="s">
        <v>1593</v>
      </c>
      <c r="K217" s="209" t="s">
        <v>200</v>
      </c>
      <c r="L217" s="209" t="s">
        <v>1847</v>
      </c>
      <c r="M217" s="209" t="s">
        <v>1848</v>
      </c>
      <c r="N217" s="209" t="s">
        <v>1565</v>
      </c>
      <c r="O217" s="152" t="s">
        <v>77</v>
      </c>
      <c r="P217" s="90"/>
      <c r="Q217" s="140" t="s">
        <v>77</v>
      </c>
      <c r="R217" s="90"/>
      <c r="S217" s="140" t="s">
        <v>77</v>
      </c>
      <c r="T217" s="90"/>
      <c r="U217" s="140" t="s">
        <v>77</v>
      </c>
      <c r="V217" s="90"/>
      <c r="W217" s="140" t="s">
        <v>77</v>
      </c>
      <c r="X217" s="90"/>
      <c r="Y217" s="140" t="s">
        <v>77</v>
      </c>
      <c r="Z217" s="90"/>
      <c r="AA217" s="140" t="s">
        <v>77</v>
      </c>
      <c r="AB217" s="90"/>
      <c r="AC217" s="140" t="s">
        <v>77</v>
      </c>
      <c r="AD217" s="90"/>
      <c r="AE217" s="140" t="s">
        <v>77</v>
      </c>
      <c r="AF217" s="137" t="str">
        <f t="shared" si="13"/>
        <v>NA</v>
      </c>
      <c r="AG217" s="179" t="str">
        <f t="shared" si="11"/>
        <v>NÃO AVALIADO POR FALHA DE SINCRONISMO</v>
      </c>
      <c r="AH217" s="140" t="s">
        <v>207</v>
      </c>
      <c r="AI217" s="147" t="s">
        <v>36</v>
      </c>
      <c r="AJ217" s="145" t="str">
        <f t="shared" si="10"/>
        <v>SÃO PAULO</v>
      </c>
      <c r="AK217" s="148" t="s">
        <v>75</v>
      </c>
    </row>
    <row r="218" spans="1:37" ht="30" customHeight="1">
      <c r="A218" s="208" t="s">
        <v>198</v>
      </c>
      <c r="B218" s="258">
        <v>2621085215</v>
      </c>
      <c r="C218" s="209" t="s">
        <v>1592</v>
      </c>
      <c r="D218" s="209" t="s">
        <v>126</v>
      </c>
      <c r="E218" s="209" t="s">
        <v>35</v>
      </c>
      <c r="F218" s="209" t="s">
        <v>410</v>
      </c>
      <c r="G218" s="209">
        <v>33</v>
      </c>
      <c r="H218" s="209" t="s">
        <v>200</v>
      </c>
      <c r="I218" s="209" t="s">
        <v>411</v>
      </c>
      <c r="J218" s="209" t="s">
        <v>1593</v>
      </c>
      <c r="K218" s="209" t="s">
        <v>200</v>
      </c>
      <c r="L218" s="209" t="s">
        <v>1847</v>
      </c>
      <c r="M218" s="209" t="s">
        <v>1848</v>
      </c>
      <c r="N218" s="209" t="s">
        <v>1565</v>
      </c>
      <c r="O218" s="152" t="s">
        <v>77</v>
      </c>
      <c r="P218" s="90"/>
      <c r="Q218" s="140" t="s">
        <v>77</v>
      </c>
      <c r="R218" s="90"/>
      <c r="S218" s="140" t="s">
        <v>77</v>
      </c>
      <c r="T218" s="90"/>
      <c r="U218" s="140" t="s">
        <v>77</v>
      </c>
      <c r="V218" s="90"/>
      <c r="W218" s="140" t="s">
        <v>77</v>
      </c>
      <c r="X218" s="90"/>
      <c r="Y218" s="140" t="s">
        <v>77</v>
      </c>
      <c r="Z218" s="90"/>
      <c r="AA218" s="140" t="s">
        <v>77</v>
      </c>
      <c r="AB218" s="90"/>
      <c r="AC218" s="140" t="s">
        <v>77</v>
      </c>
      <c r="AD218" s="90"/>
      <c r="AE218" s="140" t="s">
        <v>77</v>
      </c>
      <c r="AF218" s="137" t="str">
        <f t="shared" si="13"/>
        <v>NA</v>
      </c>
      <c r="AG218" s="179" t="str">
        <f t="shared" si="11"/>
        <v>NÃO AVALIADO POR FALHA DE SINCRONISMO</v>
      </c>
      <c r="AH218" s="140" t="s">
        <v>207</v>
      </c>
      <c r="AI218" s="147" t="s">
        <v>36</v>
      </c>
      <c r="AJ218" s="145" t="str">
        <f t="shared" si="10"/>
        <v>SÃO PAULO</v>
      </c>
      <c r="AK218" s="148" t="s">
        <v>75</v>
      </c>
    </row>
    <row r="219" spans="1:37" ht="30" customHeight="1">
      <c r="A219" s="208" t="s">
        <v>198</v>
      </c>
      <c r="B219" s="258">
        <v>2620850398</v>
      </c>
      <c r="C219" s="209" t="s">
        <v>1592</v>
      </c>
      <c r="D219" s="209" t="s">
        <v>126</v>
      </c>
      <c r="E219" s="209" t="s">
        <v>35</v>
      </c>
      <c r="F219" s="209" t="s">
        <v>410</v>
      </c>
      <c r="G219" s="209">
        <v>25</v>
      </c>
      <c r="H219" s="209" t="s">
        <v>200</v>
      </c>
      <c r="I219" s="209" t="s">
        <v>411</v>
      </c>
      <c r="J219" s="209" t="s">
        <v>1593</v>
      </c>
      <c r="K219" s="209" t="s">
        <v>200</v>
      </c>
      <c r="L219" s="209" t="s">
        <v>1847</v>
      </c>
      <c r="M219" s="209" t="s">
        <v>1848</v>
      </c>
      <c r="N219" s="209" t="s">
        <v>1565</v>
      </c>
      <c r="O219" s="152" t="s">
        <v>77</v>
      </c>
      <c r="P219" s="90"/>
      <c r="Q219" s="140" t="s">
        <v>77</v>
      </c>
      <c r="R219" s="90"/>
      <c r="S219" s="140" t="s">
        <v>77</v>
      </c>
      <c r="T219" s="90"/>
      <c r="U219" s="140" t="s">
        <v>77</v>
      </c>
      <c r="V219" s="90"/>
      <c r="W219" s="140" t="s">
        <v>77</v>
      </c>
      <c r="X219" s="90"/>
      <c r="Y219" s="140" t="s">
        <v>77</v>
      </c>
      <c r="Z219" s="90"/>
      <c r="AA219" s="140" t="s">
        <v>77</v>
      </c>
      <c r="AB219" s="90"/>
      <c r="AC219" s="140" t="s">
        <v>77</v>
      </c>
      <c r="AD219" s="90"/>
      <c r="AE219" s="140" t="s">
        <v>77</v>
      </c>
      <c r="AF219" s="137" t="str">
        <f t="shared" si="13"/>
        <v>NA</v>
      </c>
      <c r="AG219" s="179" t="str">
        <f t="shared" si="11"/>
        <v>NÃO AVALIADO POR FALHA DE SINCRONISMO</v>
      </c>
      <c r="AH219" s="140" t="s">
        <v>207</v>
      </c>
      <c r="AI219" s="147" t="s">
        <v>36</v>
      </c>
      <c r="AJ219" s="145" t="str">
        <f t="shared" si="10"/>
        <v>SÃO PAULO</v>
      </c>
      <c r="AK219" s="148" t="s">
        <v>75</v>
      </c>
    </row>
    <row r="220" spans="1:37" ht="30" customHeight="1">
      <c r="A220" s="208" t="s">
        <v>198</v>
      </c>
      <c r="B220" s="258">
        <v>2621085315</v>
      </c>
      <c r="C220" s="209" t="s">
        <v>1612</v>
      </c>
      <c r="D220" s="209" t="s">
        <v>127</v>
      </c>
      <c r="E220" s="209" t="s">
        <v>35</v>
      </c>
      <c r="F220" s="209" t="s">
        <v>410</v>
      </c>
      <c r="G220" s="209">
        <v>33</v>
      </c>
      <c r="H220" s="209" t="s">
        <v>200</v>
      </c>
      <c r="I220" s="209" t="s">
        <v>411</v>
      </c>
      <c r="J220" s="209" t="s">
        <v>1613</v>
      </c>
      <c r="K220" s="209" t="s">
        <v>200</v>
      </c>
      <c r="L220" s="209" t="s">
        <v>1847</v>
      </c>
      <c r="M220" s="209" t="s">
        <v>1848</v>
      </c>
      <c r="N220" s="209" t="s">
        <v>1565</v>
      </c>
      <c r="O220" s="152" t="s">
        <v>77</v>
      </c>
      <c r="P220" s="90"/>
      <c r="Q220" s="140" t="s">
        <v>77</v>
      </c>
      <c r="R220" s="90"/>
      <c r="S220" s="140" t="s">
        <v>77</v>
      </c>
      <c r="T220" s="90"/>
      <c r="U220" s="140" t="s">
        <v>77</v>
      </c>
      <c r="V220" s="90"/>
      <c r="W220" s="140" t="s">
        <v>77</v>
      </c>
      <c r="X220" s="90"/>
      <c r="Y220" s="140" t="s">
        <v>77</v>
      </c>
      <c r="Z220" s="90"/>
      <c r="AA220" s="140" t="s">
        <v>77</v>
      </c>
      <c r="AB220" s="90"/>
      <c r="AC220" s="140" t="s">
        <v>77</v>
      </c>
      <c r="AD220" s="90"/>
      <c r="AE220" s="140" t="s">
        <v>77</v>
      </c>
      <c r="AF220" s="137" t="str">
        <f t="shared" si="13"/>
        <v>NA</v>
      </c>
      <c r="AG220" s="179" t="str">
        <f t="shared" si="11"/>
        <v>NÃO AVALIADO POR FALHA DE SINCRONISMO</v>
      </c>
      <c r="AH220" s="140" t="s">
        <v>207</v>
      </c>
      <c r="AI220" s="147" t="s">
        <v>36</v>
      </c>
      <c r="AJ220" s="145" t="str">
        <f t="shared" si="10"/>
        <v>SÃO PAULO</v>
      </c>
      <c r="AK220" s="148" t="s">
        <v>75</v>
      </c>
    </row>
    <row r="221" spans="1:37" ht="30" customHeight="1">
      <c r="A221" s="208" t="s">
        <v>198</v>
      </c>
      <c r="B221" s="258">
        <v>2620851711</v>
      </c>
      <c r="C221" s="209" t="s">
        <v>1612</v>
      </c>
      <c r="D221" s="209" t="s">
        <v>127</v>
      </c>
      <c r="E221" s="209" t="s">
        <v>35</v>
      </c>
      <c r="F221" s="209" t="s">
        <v>410</v>
      </c>
      <c r="G221" s="209">
        <v>9</v>
      </c>
      <c r="H221" s="209" t="s">
        <v>200</v>
      </c>
      <c r="I221" s="209" t="s">
        <v>411</v>
      </c>
      <c r="J221" s="209" t="s">
        <v>1613</v>
      </c>
      <c r="K221" s="209" t="s">
        <v>200</v>
      </c>
      <c r="L221" s="209" t="s">
        <v>1848</v>
      </c>
      <c r="M221" s="209" t="s">
        <v>1849</v>
      </c>
      <c r="N221" s="209" t="s">
        <v>1565</v>
      </c>
      <c r="O221" s="152" t="s">
        <v>77</v>
      </c>
      <c r="P221" s="90"/>
      <c r="Q221" s="140" t="s">
        <v>77</v>
      </c>
      <c r="R221" s="90"/>
      <c r="S221" s="140" t="s">
        <v>77</v>
      </c>
      <c r="T221" s="90"/>
      <c r="U221" s="140" t="s">
        <v>77</v>
      </c>
      <c r="V221" s="90"/>
      <c r="W221" s="140" t="s">
        <v>77</v>
      </c>
      <c r="X221" s="90"/>
      <c r="Y221" s="140" t="s">
        <v>77</v>
      </c>
      <c r="Z221" s="90"/>
      <c r="AA221" s="140" t="s">
        <v>77</v>
      </c>
      <c r="AB221" s="90"/>
      <c r="AC221" s="140" t="s">
        <v>77</v>
      </c>
      <c r="AD221" s="90"/>
      <c r="AE221" s="140" t="s">
        <v>77</v>
      </c>
      <c r="AF221" s="137" t="str">
        <f t="shared" si="13"/>
        <v>NA</v>
      </c>
      <c r="AG221" s="179" t="str">
        <f t="shared" si="11"/>
        <v>NÃO AVALIADO POR FALHA DE SINCRONISMO</v>
      </c>
      <c r="AH221" s="140" t="s">
        <v>207</v>
      </c>
      <c r="AI221" s="147" t="s">
        <v>36</v>
      </c>
      <c r="AJ221" s="145" t="str">
        <f t="shared" si="10"/>
        <v>SÃO PAULO</v>
      </c>
      <c r="AK221" s="148" t="s">
        <v>75</v>
      </c>
    </row>
    <row r="222" spans="1:37" ht="30" customHeight="1">
      <c r="A222" s="208" t="s">
        <v>198</v>
      </c>
      <c r="B222" s="258">
        <v>2621104103</v>
      </c>
      <c r="C222" s="209" t="s">
        <v>1592</v>
      </c>
      <c r="D222" s="209" t="s">
        <v>126</v>
      </c>
      <c r="E222" s="209" t="s">
        <v>35</v>
      </c>
      <c r="F222" s="209" t="s">
        <v>1653</v>
      </c>
      <c r="G222" s="209">
        <v>12</v>
      </c>
      <c r="H222" s="209" t="s">
        <v>200</v>
      </c>
      <c r="I222" s="209" t="s">
        <v>558</v>
      </c>
      <c r="J222" s="209" t="s">
        <v>1593</v>
      </c>
      <c r="K222" s="209" t="s">
        <v>200</v>
      </c>
      <c r="L222" s="209" t="s">
        <v>1847</v>
      </c>
      <c r="M222" s="209" t="s">
        <v>1848</v>
      </c>
      <c r="N222" s="209" t="s">
        <v>1537</v>
      </c>
      <c r="O222" s="152" t="s">
        <v>77</v>
      </c>
      <c r="P222" s="90"/>
      <c r="Q222" s="140" t="s">
        <v>77</v>
      </c>
      <c r="R222" s="90"/>
      <c r="S222" s="140" t="s">
        <v>77</v>
      </c>
      <c r="T222" s="90"/>
      <c r="U222" s="140" t="s">
        <v>77</v>
      </c>
      <c r="V222" s="90"/>
      <c r="W222" s="140" t="s">
        <v>77</v>
      </c>
      <c r="X222" s="90"/>
      <c r="Y222" s="140" t="s">
        <v>77</v>
      </c>
      <c r="Z222" s="90"/>
      <c r="AA222" s="140" t="s">
        <v>77</v>
      </c>
      <c r="AB222" s="90"/>
      <c r="AC222" s="140" t="s">
        <v>77</v>
      </c>
      <c r="AD222" s="90"/>
      <c r="AE222" s="140" t="s">
        <v>77</v>
      </c>
      <c r="AF222" s="137" t="str">
        <f t="shared" si="13"/>
        <v>NA</v>
      </c>
      <c r="AG222" s="179" t="str">
        <f t="shared" si="11"/>
        <v>NÃO AVALIADO POR FALHA DE SINCRONISMO</v>
      </c>
      <c r="AH222" s="140" t="s">
        <v>207</v>
      </c>
      <c r="AI222" s="147" t="s">
        <v>36</v>
      </c>
      <c r="AJ222" s="145" t="str">
        <f t="shared" si="10"/>
        <v>SÃO PAULO</v>
      </c>
      <c r="AK222" s="148" t="s">
        <v>75</v>
      </c>
    </row>
    <row r="223" spans="1:37" ht="30" customHeight="1">
      <c r="A223" s="208" t="s">
        <v>198</v>
      </c>
      <c r="B223" s="258">
        <v>2621103851</v>
      </c>
      <c r="C223" s="209" t="s">
        <v>1592</v>
      </c>
      <c r="D223" s="209" t="s">
        <v>126</v>
      </c>
      <c r="E223" s="209" t="s">
        <v>35</v>
      </c>
      <c r="F223" s="209" t="s">
        <v>1653</v>
      </c>
      <c r="G223" s="209">
        <v>37</v>
      </c>
      <c r="H223" s="209" t="s">
        <v>208</v>
      </c>
      <c r="I223" s="209" t="s">
        <v>558</v>
      </c>
      <c r="J223" s="209" t="s">
        <v>1593</v>
      </c>
      <c r="K223" s="209" t="s">
        <v>200</v>
      </c>
      <c r="L223" s="209" t="s">
        <v>1847</v>
      </c>
      <c r="M223" s="209" t="s">
        <v>1848</v>
      </c>
      <c r="N223" s="209" t="s">
        <v>1537</v>
      </c>
      <c r="O223" s="152" t="s">
        <v>77</v>
      </c>
      <c r="P223" s="90"/>
      <c r="Q223" s="140" t="s">
        <v>77</v>
      </c>
      <c r="R223" s="90"/>
      <c r="S223" s="140" t="s">
        <v>77</v>
      </c>
      <c r="T223" s="90"/>
      <c r="U223" s="140" t="s">
        <v>77</v>
      </c>
      <c r="V223" s="90"/>
      <c r="W223" s="140" t="s">
        <v>77</v>
      </c>
      <c r="X223" s="90"/>
      <c r="Y223" s="140" t="s">
        <v>77</v>
      </c>
      <c r="Z223" s="90"/>
      <c r="AA223" s="140" t="s">
        <v>77</v>
      </c>
      <c r="AB223" s="90"/>
      <c r="AC223" s="140" t="s">
        <v>77</v>
      </c>
      <c r="AD223" s="90"/>
      <c r="AE223" s="140" t="s">
        <v>77</v>
      </c>
      <c r="AF223" s="137" t="str">
        <f t="shared" si="13"/>
        <v>NA</v>
      </c>
      <c r="AG223" s="179" t="str">
        <f t="shared" si="11"/>
        <v>NÃO AVALIADO POR FALHA DE SINCRONISMO</v>
      </c>
      <c r="AH223" s="140" t="s">
        <v>207</v>
      </c>
      <c r="AI223" s="147" t="s">
        <v>36</v>
      </c>
      <c r="AJ223" s="145" t="str">
        <f t="shared" si="10"/>
        <v>SÃO PAULO</v>
      </c>
      <c r="AK223" s="148" t="s">
        <v>75</v>
      </c>
    </row>
    <row r="224" spans="1:37" ht="30" customHeight="1">
      <c r="A224" s="208" t="s">
        <v>198</v>
      </c>
      <c r="B224" s="258">
        <v>2620851204</v>
      </c>
      <c r="C224" s="209" t="s">
        <v>1592</v>
      </c>
      <c r="D224" s="209" t="s">
        <v>126</v>
      </c>
      <c r="E224" s="209" t="s">
        <v>35</v>
      </c>
      <c r="F224" s="209" t="s">
        <v>1653</v>
      </c>
      <c r="G224" s="209">
        <v>139</v>
      </c>
      <c r="H224" s="209" t="s">
        <v>200</v>
      </c>
      <c r="I224" s="209" t="s">
        <v>558</v>
      </c>
      <c r="J224" s="209" t="s">
        <v>1593</v>
      </c>
      <c r="K224" s="209" t="s">
        <v>200</v>
      </c>
      <c r="L224" s="209" t="s">
        <v>1847</v>
      </c>
      <c r="M224" s="209" t="s">
        <v>1848</v>
      </c>
      <c r="N224" s="209" t="s">
        <v>1537</v>
      </c>
      <c r="O224" s="152" t="s">
        <v>77</v>
      </c>
      <c r="P224" s="90"/>
      <c r="Q224" s="140" t="s">
        <v>77</v>
      </c>
      <c r="R224" s="90"/>
      <c r="S224" s="140" t="s">
        <v>77</v>
      </c>
      <c r="T224" s="90"/>
      <c r="U224" s="140" t="s">
        <v>77</v>
      </c>
      <c r="V224" s="90"/>
      <c r="W224" s="140" t="s">
        <v>77</v>
      </c>
      <c r="X224" s="90"/>
      <c r="Y224" s="140" t="s">
        <v>77</v>
      </c>
      <c r="Z224" s="90"/>
      <c r="AA224" s="140" t="s">
        <v>77</v>
      </c>
      <c r="AB224" s="90"/>
      <c r="AC224" s="140" t="s">
        <v>77</v>
      </c>
      <c r="AD224" s="90"/>
      <c r="AE224" s="140" t="s">
        <v>77</v>
      </c>
      <c r="AF224" s="137" t="str">
        <f t="shared" si="13"/>
        <v>NA</v>
      </c>
      <c r="AG224" s="179" t="str">
        <f t="shared" si="11"/>
        <v>NÃO AVALIADO POR FALHA DE SINCRONISMO</v>
      </c>
      <c r="AH224" s="140" t="s">
        <v>207</v>
      </c>
      <c r="AI224" s="147" t="s">
        <v>36</v>
      </c>
      <c r="AJ224" s="145" t="str">
        <f t="shared" si="10"/>
        <v>SÃO PAULO</v>
      </c>
      <c r="AK224" s="148" t="s">
        <v>75</v>
      </c>
    </row>
    <row r="225" spans="1:37" ht="30" customHeight="1">
      <c r="A225" s="153" t="s">
        <v>198</v>
      </c>
      <c r="B225" s="257">
        <v>2621264657</v>
      </c>
      <c r="C225" s="207" t="s">
        <v>1569</v>
      </c>
      <c r="D225" s="207" t="s">
        <v>127</v>
      </c>
      <c r="E225" s="207" t="s">
        <v>35</v>
      </c>
      <c r="F225" s="207" t="s">
        <v>1850</v>
      </c>
      <c r="G225" s="207">
        <v>4</v>
      </c>
      <c r="H225" s="207" t="s">
        <v>200</v>
      </c>
      <c r="I225" s="207" t="s">
        <v>392</v>
      </c>
      <c r="J225" s="207" t="s">
        <v>1570</v>
      </c>
      <c r="K225" s="230" t="s">
        <v>1578</v>
      </c>
      <c r="L225" s="246">
        <v>46163.24722222222</v>
      </c>
      <c r="M225" s="246">
        <v>46163.25</v>
      </c>
      <c r="N225" s="207" t="s">
        <v>1572</v>
      </c>
      <c r="O225" s="152" t="s">
        <v>215</v>
      </c>
      <c r="P225" s="90" t="s">
        <v>227</v>
      </c>
      <c r="Q225" s="152" t="s">
        <v>215</v>
      </c>
      <c r="R225" s="90" t="s">
        <v>227</v>
      </c>
      <c r="S225" s="152" t="s">
        <v>215</v>
      </c>
      <c r="T225" s="90" t="s">
        <v>227</v>
      </c>
      <c r="U225" s="152" t="s">
        <v>215</v>
      </c>
      <c r="V225" s="90" t="s">
        <v>227</v>
      </c>
      <c r="W225" s="152" t="s">
        <v>215</v>
      </c>
      <c r="X225" s="90" t="s">
        <v>227</v>
      </c>
      <c r="Y225" s="152" t="s">
        <v>215</v>
      </c>
      <c r="Z225" s="90" t="s">
        <v>227</v>
      </c>
      <c r="AA225" s="152" t="s">
        <v>215</v>
      </c>
      <c r="AB225" s="90" t="s">
        <v>227</v>
      </c>
      <c r="AC225" s="152" t="s">
        <v>215</v>
      </c>
      <c r="AD225" s="90" t="s">
        <v>227</v>
      </c>
      <c r="AE225" s="152" t="s">
        <v>215</v>
      </c>
      <c r="AF225" s="137" t="str">
        <f t="shared" si="13"/>
        <v>NC</v>
      </c>
      <c r="AG225" s="179" t="str">
        <f t="shared" si="11"/>
        <v>NÃO UTILIZOU O PDA</v>
      </c>
      <c r="AH225" s="140"/>
      <c r="AI225" s="147" t="s">
        <v>36</v>
      </c>
      <c r="AJ225" s="145" t="str">
        <f t="shared" ref="AJ225:AJ287" si="14">E225</f>
        <v>SÃO PAULO</v>
      </c>
      <c r="AK225" s="148" t="s">
        <v>75</v>
      </c>
    </row>
    <row r="226" spans="1:37" ht="30" customHeight="1">
      <c r="A226" s="208" t="s">
        <v>198</v>
      </c>
      <c r="B226" s="258">
        <v>2621266125</v>
      </c>
      <c r="C226" s="209" t="s">
        <v>1569</v>
      </c>
      <c r="D226" s="209" t="s">
        <v>127</v>
      </c>
      <c r="E226" s="209" t="s">
        <v>35</v>
      </c>
      <c r="F226" s="209" t="s">
        <v>1851</v>
      </c>
      <c r="G226" s="209">
        <v>214</v>
      </c>
      <c r="H226" s="209" t="s">
        <v>208</v>
      </c>
      <c r="I226" s="209" t="s">
        <v>1852</v>
      </c>
      <c r="J226" s="209" t="s">
        <v>1570</v>
      </c>
      <c r="K226" s="210" t="s">
        <v>1578</v>
      </c>
      <c r="L226" s="247">
        <v>46163.250694444447</v>
      </c>
      <c r="M226" s="247">
        <v>46163.25277777778</v>
      </c>
      <c r="N226" s="209" t="s">
        <v>1572</v>
      </c>
      <c r="O226" s="152" t="s">
        <v>215</v>
      </c>
      <c r="P226" s="90" t="s">
        <v>227</v>
      </c>
      <c r="Q226" s="152" t="s">
        <v>215</v>
      </c>
      <c r="R226" s="90" t="s">
        <v>227</v>
      </c>
      <c r="S226" s="152" t="s">
        <v>215</v>
      </c>
      <c r="T226" s="90" t="s">
        <v>227</v>
      </c>
      <c r="U226" s="152" t="s">
        <v>215</v>
      </c>
      <c r="V226" s="90" t="s">
        <v>227</v>
      </c>
      <c r="W226" s="152" t="s">
        <v>215</v>
      </c>
      <c r="X226" s="90" t="s">
        <v>227</v>
      </c>
      <c r="Y226" s="152" t="s">
        <v>215</v>
      </c>
      <c r="Z226" s="90" t="s">
        <v>227</v>
      </c>
      <c r="AA226" s="152" t="s">
        <v>215</v>
      </c>
      <c r="AB226" s="90" t="s">
        <v>227</v>
      </c>
      <c r="AC226" s="152" t="s">
        <v>215</v>
      </c>
      <c r="AD226" s="90" t="s">
        <v>227</v>
      </c>
      <c r="AE226" s="152" t="s">
        <v>215</v>
      </c>
      <c r="AF226" s="137" t="str">
        <f t="shared" si="13"/>
        <v>NC</v>
      </c>
      <c r="AG226" s="179" t="str">
        <f t="shared" si="11"/>
        <v>NÃO UTILIZOU O PDA</v>
      </c>
      <c r="AH226" s="140"/>
      <c r="AI226" s="147" t="s">
        <v>36</v>
      </c>
      <c r="AJ226" s="145" t="str">
        <f t="shared" si="14"/>
        <v>SÃO PAULO</v>
      </c>
      <c r="AK226" s="148" t="s">
        <v>75</v>
      </c>
    </row>
    <row r="227" spans="1:37" ht="30" customHeight="1">
      <c r="A227" s="208" t="s">
        <v>198</v>
      </c>
      <c r="B227" s="258">
        <v>2621308255</v>
      </c>
      <c r="C227" s="209" t="s">
        <v>1534</v>
      </c>
      <c r="D227" s="209" t="s">
        <v>126</v>
      </c>
      <c r="E227" s="209" t="s">
        <v>35</v>
      </c>
      <c r="F227" s="209" t="s">
        <v>1853</v>
      </c>
      <c r="G227" s="209">
        <v>135</v>
      </c>
      <c r="H227" s="209" t="s">
        <v>200</v>
      </c>
      <c r="I227" s="209" t="s">
        <v>689</v>
      </c>
      <c r="J227" s="209" t="s">
        <v>1536</v>
      </c>
      <c r="K227" s="209" t="s">
        <v>1854</v>
      </c>
      <c r="L227" s="247">
        <v>46163.40347222222</v>
      </c>
      <c r="M227" s="247">
        <v>46163.510416666664</v>
      </c>
      <c r="N227" s="209" t="s">
        <v>465</v>
      </c>
      <c r="O227" s="152" t="s">
        <v>207</v>
      </c>
      <c r="P227" s="90"/>
      <c r="Q227" s="140" t="s">
        <v>207</v>
      </c>
      <c r="R227" s="90"/>
      <c r="S227" s="140" t="s">
        <v>207</v>
      </c>
      <c r="T227" s="90"/>
      <c r="U227" s="140" t="s">
        <v>207</v>
      </c>
      <c r="V227" s="90"/>
      <c r="W227" s="140" t="s">
        <v>207</v>
      </c>
      <c r="X227" s="90"/>
      <c r="Y227" s="140" t="s">
        <v>77</v>
      </c>
      <c r="Z227" s="90"/>
      <c r="AA227" s="140" t="s">
        <v>214</v>
      </c>
      <c r="AB227" s="90"/>
      <c r="AC227" s="140" t="s">
        <v>207</v>
      </c>
      <c r="AD227" s="90"/>
      <c r="AE227" s="140" t="s">
        <v>207</v>
      </c>
      <c r="AF227" s="137" t="str">
        <f t="shared" si="13"/>
        <v>NC</v>
      </c>
      <c r="AG227" s="179" t="str">
        <f t="shared" si="11"/>
        <v>UTILIZOU O PDA CORRETAMENTE. NÃO HÁ FOTOS DE TODAS AS ETAPAS</v>
      </c>
      <c r="AH227" s="140" t="s">
        <v>207</v>
      </c>
      <c r="AI227" s="147" t="s">
        <v>36</v>
      </c>
      <c r="AJ227" s="145" t="str">
        <f t="shared" si="14"/>
        <v>SÃO PAULO</v>
      </c>
      <c r="AK227" s="148" t="s">
        <v>75</v>
      </c>
    </row>
    <row r="228" spans="1:37" ht="30" customHeight="1">
      <c r="A228" s="208" t="s">
        <v>198</v>
      </c>
      <c r="B228" s="258">
        <v>2621041611</v>
      </c>
      <c r="C228" s="209" t="s">
        <v>134</v>
      </c>
      <c r="D228" s="209" t="s">
        <v>125</v>
      </c>
      <c r="E228" s="209" t="s">
        <v>35</v>
      </c>
      <c r="F228" s="209" t="s">
        <v>1855</v>
      </c>
      <c r="G228" s="209">
        <v>179</v>
      </c>
      <c r="H228" s="209" t="s">
        <v>208</v>
      </c>
      <c r="I228" s="209" t="s">
        <v>482</v>
      </c>
      <c r="J228" s="209" t="s">
        <v>134</v>
      </c>
      <c r="K228" s="209" t="s">
        <v>1856</v>
      </c>
      <c r="L228" s="247">
        <v>46163.579861111109</v>
      </c>
      <c r="M228" s="247">
        <v>46163.584722222222</v>
      </c>
      <c r="N228" s="209" t="s">
        <v>1546</v>
      </c>
      <c r="O228" s="152" t="s">
        <v>207</v>
      </c>
      <c r="P228" s="90"/>
      <c r="Q228" s="140" t="s">
        <v>214</v>
      </c>
      <c r="R228" s="90"/>
      <c r="S228" s="140" t="s">
        <v>214</v>
      </c>
      <c r="T228" s="90"/>
      <c r="U228" s="140" t="s">
        <v>207</v>
      </c>
      <c r="V228" s="90" t="s">
        <v>236</v>
      </c>
      <c r="W228" s="140" t="s">
        <v>214</v>
      </c>
      <c r="X228" s="90"/>
      <c r="Y228" s="140" t="s">
        <v>77</v>
      </c>
      <c r="Z228" s="90"/>
      <c r="AA228" s="140" t="s">
        <v>207</v>
      </c>
      <c r="AB228" s="90"/>
      <c r="AC228" s="140" t="s">
        <v>215</v>
      </c>
      <c r="AD228" s="90" t="s">
        <v>532</v>
      </c>
      <c r="AE228" s="140" t="s">
        <v>207</v>
      </c>
      <c r="AF228" s="137" t="str">
        <f t="shared" si="13"/>
        <v>NC</v>
      </c>
      <c r="AG228" s="179" t="str">
        <f t="shared" si="11"/>
        <v>UTILIZOU O PDA CORRETAMENTE. NÃO HÁ FOTOS DE TODAS AS ETAPAS</v>
      </c>
      <c r="AH228" s="140" t="s">
        <v>207</v>
      </c>
      <c r="AI228" s="147" t="s">
        <v>36</v>
      </c>
      <c r="AJ228" s="145" t="str">
        <f t="shared" si="14"/>
        <v>SÃO PAULO</v>
      </c>
      <c r="AK228" s="148" t="s">
        <v>75</v>
      </c>
    </row>
    <row r="229" spans="1:37" ht="30" customHeight="1">
      <c r="A229" s="208" t="s">
        <v>198</v>
      </c>
      <c r="B229" s="258">
        <v>2621115110</v>
      </c>
      <c r="C229" s="209" t="s">
        <v>136</v>
      </c>
      <c r="D229" s="209" t="s">
        <v>127</v>
      </c>
      <c r="E229" s="209" t="s">
        <v>35</v>
      </c>
      <c r="F229" s="209" t="s">
        <v>1427</v>
      </c>
      <c r="G229" s="209">
        <v>1812</v>
      </c>
      <c r="H229" s="209" t="s">
        <v>200</v>
      </c>
      <c r="I229" s="209" t="s">
        <v>319</v>
      </c>
      <c r="J229" s="209" t="s">
        <v>1553</v>
      </c>
      <c r="K229" s="209" t="s">
        <v>200</v>
      </c>
      <c r="L229" s="247">
        <v>46163.232638888891</v>
      </c>
      <c r="M229" s="247">
        <v>46163.234722222223</v>
      </c>
      <c r="N229" s="209" t="s">
        <v>309</v>
      </c>
      <c r="O229" s="152" t="s">
        <v>207</v>
      </c>
      <c r="P229" s="90"/>
      <c r="Q229" s="140" t="s">
        <v>207</v>
      </c>
      <c r="R229" s="90"/>
      <c r="S229" s="140" t="s">
        <v>214</v>
      </c>
      <c r="T229" s="90"/>
      <c r="U229" s="140" t="s">
        <v>207</v>
      </c>
      <c r="V229" s="90"/>
      <c r="W229" s="140" t="s">
        <v>77</v>
      </c>
      <c r="X229" s="90"/>
      <c r="Y229" s="140" t="s">
        <v>77</v>
      </c>
      <c r="Z229" s="90"/>
      <c r="AA229" s="140" t="s">
        <v>77</v>
      </c>
      <c r="AB229" s="90"/>
      <c r="AC229" s="140" t="s">
        <v>207</v>
      </c>
      <c r="AD229" s="90"/>
      <c r="AE229" s="140" t="s">
        <v>207</v>
      </c>
      <c r="AF229" s="137" t="str">
        <f t="shared" si="13"/>
        <v>NC</v>
      </c>
      <c r="AG229" s="179" t="str">
        <f t="shared" si="11"/>
        <v>UTILIZOU O PDA CORRETAMENTE. NÃO HÁ FOTOS DE TODAS AS ETAPAS</v>
      </c>
      <c r="AH229" s="140" t="s">
        <v>207</v>
      </c>
      <c r="AI229" s="147" t="s">
        <v>36</v>
      </c>
      <c r="AJ229" s="145" t="str">
        <f t="shared" si="14"/>
        <v>SÃO PAULO</v>
      </c>
      <c r="AK229" s="148" t="s">
        <v>75</v>
      </c>
    </row>
    <row r="230" spans="1:37" ht="30" customHeight="1">
      <c r="A230" s="208" t="s">
        <v>198</v>
      </c>
      <c r="B230" s="258">
        <v>2621261515</v>
      </c>
      <c r="C230" s="209" t="s">
        <v>136</v>
      </c>
      <c r="D230" s="209" t="s">
        <v>127</v>
      </c>
      <c r="E230" s="209" t="s">
        <v>35</v>
      </c>
      <c r="F230" s="209" t="s">
        <v>563</v>
      </c>
      <c r="G230" s="209">
        <v>4764</v>
      </c>
      <c r="H230" s="209" t="s">
        <v>200</v>
      </c>
      <c r="I230" s="209" t="s">
        <v>234</v>
      </c>
      <c r="J230" s="209" t="s">
        <v>1553</v>
      </c>
      <c r="K230" s="209" t="s">
        <v>200</v>
      </c>
      <c r="L230" s="247">
        <v>46163.354166666664</v>
      </c>
      <c r="M230" s="247">
        <v>46163.373611111114</v>
      </c>
      <c r="N230" s="209" t="s">
        <v>309</v>
      </c>
      <c r="O230" s="152" t="s">
        <v>207</v>
      </c>
      <c r="P230" s="90"/>
      <c r="Q230" s="140" t="s">
        <v>207</v>
      </c>
      <c r="R230" s="90"/>
      <c r="S230" s="140" t="s">
        <v>214</v>
      </c>
      <c r="T230" s="90"/>
      <c r="U230" s="140" t="s">
        <v>207</v>
      </c>
      <c r="V230" s="90"/>
      <c r="W230" s="140" t="s">
        <v>77</v>
      </c>
      <c r="X230" s="90"/>
      <c r="Y230" s="140" t="s">
        <v>77</v>
      </c>
      <c r="Z230" s="90"/>
      <c r="AA230" s="140" t="s">
        <v>77</v>
      </c>
      <c r="AB230" s="90"/>
      <c r="AC230" s="140" t="s">
        <v>207</v>
      </c>
      <c r="AD230" s="90"/>
      <c r="AE230" s="140" t="s">
        <v>207</v>
      </c>
      <c r="AF230" s="137" t="str">
        <f t="shared" si="13"/>
        <v>NC</v>
      </c>
      <c r="AG230" s="179" t="str">
        <f t="shared" si="11"/>
        <v>UTILIZOU O PDA CORRETAMENTE. NÃO HÁ FOTOS DE TODAS AS ETAPAS</v>
      </c>
      <c r="AH230" s="140" t="s">
        <v>207</v>
      </c>
      <c r="AI230" s="147" t="s">
        <v>36</v>
      </c>
      <c r="AJ230" s="145" t="str">
        <f t="shared" si="14"/>
        <v>SÃO PAULO</v>
      </c>
      <c r="AK230" s="148" t="s">
        <v>75</v>
      </c>
    </row>
    <row r="231" spans="1:37" ht="30" customHeight="1">
      <c r="A231" s="208" t="s">
        <v>198</v>
      </c>
      <c r="B231" s="258">
        <v>2620539932</v>
      </c>
      <c r="C231" s="209" t="s">
        <v>136</v>
      </c>
      <c r="D231" s="209" t="s">
        <v>127</v>
      </c>
      <c r="E231" s="209" t="s">
        <v>35</v>
      </c>
      <c r="F231" s="209" t="s">
        <v>1427</v>
      </c>
      <c r="G231" s="209">
        <v>41</v>
      </c>
      <c r="H231" s="209" t="s">
        <v>208</v>
      </c>
      <c r="I231" s="209" t="s">
        <v>319</v>
      </c>
      <c r="J231" s="209" t="s">
        <v>1568</v>
      </c>
      <c r="K231" s="209" t="s">
        <v>200</v>
      </c>
      <c r="L231" s="247">
        <v>46163.097222222219</v>
      </c>
      <c r="M231" s="247">
        <v>46163.229861111111</v>
      </c>
      <c r="N231" s="209" t="s">
        <v>309</v>
      </c>
      <c r="O231" s="152" t="s">
        <v>207</v>
      </c>
      <c r="P231" s="90"/>
      <c r="Q231" s="140" t="s">
        <v>207</v>
      </c>
      <c r="R231" s="90"/>
      <c r="S231" s="140" t="s">
        <v>214</v>
      </c>
      <c r="T231" s="90"/>
      <c r="U231" s="140" t="s">
        <v>207</v>
      </c>
      <c r="V231" s="90"/>
      <c r="W231" s="140" t="s">
        <v>77</v>
      </c>
      <c r="X231" s="90"/>
      <c r="Y231" s="140" t="s">
        <v>77</v>
      </c>
      <c r="Z231" s="90"/>
      <c r="AA231" s="140" t="s">
        <v>77</v>
      </c>
      <c r="AB231" s="90"/>
      <c r="AC231" s="140" t="s">
        <v>207</v>
      </c>
      <c r="AD231" s="90"/>
      <c r="AE231" s="140" t="s">
        <v>207</v>
      </c>
      <c r="AF231" s="137" t="str">
        <f t="shared" si="13"/>
        <v>NC</v>
      </c>
      <c r="AG231" s="179" t="str">
        <f t="shared" si="11"/>
        <v>UTILIZOU O PDA CORRETAMENTE. NÃO HÁ FOTOS DE TODAS AS ETAPAS</v>
      </c>
      <c r="AH231" s="140" t="s">
        <v>207</v>
      </c>
      <c r="AI231" s="147" t="s">
        <v>36</v>
      </c>
      <c r="AJ231" s="145" t="str">
        <f t="shared" si="14"/>
        <v>SÃO PAULO</v>
      </c>
      <c r="AK231" s="148" t="s">
        <v>75</v>
      </c>
    </row>
    <row r="232" spans="1:37" ht="30" customHeight="1">
      <c r="A232" s="208" t="s">
        <v>198</v>
      </c>
      <c r="B232" s="258">
        <v>2621114410</v>
      </c>
      <c r="C232" s="209" t="s">
        <v>136</v>
      </c>
      <c r="D232" s="209" t="s">
        <v>127</v>
      </c>
      <c r="E232" s="209" t="s">
        <v>35</v>
      </c>
      <c r="F232" s="209" t="s">
        <v>204</v>
      </c>
      <c r="G232" s="209">
        <v>13601</v>
      </c>
      <c r="H232" s="209" t="s">
        <v>200</v>
      </c>
      <c r="I232" s="209" t="s">
        <v>717</v>
      </c>
      <c r="J232" s="209" t="s">
        <v>1525</v>
      </c>
      <c r="K232" s="209" t="s">
        <v>200</v>
      </c>
      <c r="L232" s="247">
        <v>46163.450694444444</v>
      </c>
      <c r="M232" s="247">
        <v>46163.498611111114</v>
      </c>
      <c r="N232" s="209" t="s">
        <v>203</v>
      </c>
      <c r="O232" s="152" t="s">
        <v>207</v>
      </c>
      <c r="P232" s="90"/>
      <c r="Q232" s="140" t="s">
        <v>207</v>
      </c>
      <c r="R232" s="90"/>
      <c r="S232" s="140" t="s">
        <v>77</v>
      </c>
      <c r="T232" s="90"/>
      <c r="U232" s="140" t="s">
        <v>207</v>
      </c>
      <c r="V232" s="90"/>
      <c r="W232" s="140" t="s">
        <v>77</v>
      </c>
      <c r="X232" s="90"/>
      <c r="Y232" s="140" t="s">
        <v>77</v>
      </c>
      <c r="Z232" s="90"/>
      <c r="AA232" s="140" t="s">
        <v>77</v>
      </c>
      <c r="AB232" s="90"/>
      <c r="AC232" s="140" t="s">
        <v>215</v>
      </c>
      <c r="AD232" s="90" t="s">
        <v>1857</v>
      </c>
      <c r="AE232" s="140" t="s">
        <v>207</v>
      </c>
      <c r="AF232" s="137" t="str">
        <f t="shared" si="13"/>
        <v>NC</v>
      </c>
      <c r="AG232" s="179" t="str">
        <f t="shared" si="11"/>
        <v>UTILIZOU O PDA CORRETAMENTE. NÃO HÁ FOTOS DE TODAS AS ETAPAS</v>
      </c>
      <c r="AH232" s="140" t="s">
        <v>207</v>
      </c>
      <c r="AI232" s="147" t="s">
        <v>36</v>
      </c>
      <c r="AJ232" s="145" t="str">
        <f t="shared" si="14"/>
        <v>SÃO PAULO</v>
      </c>
      <c r="AK232" s="148" t="s">
        <v>75</v>
      </c>
    </row>
    <row r="233" spans="1:37" ht="30" customHeight="1">
      <c r="A233" s="208" t="s">
        <v>198</v>
      </c>
      <c r="B233" s="258">
        <v>2621109782</v>
      </c>
      <c r="C233" s="209" t="s">
        <v>136</v>
      </c>
      <c r="D233" s="209" t="s">
        <v>127</v>
      </c>
      <c r="E233" s="209" t="s">
        <v>35</v>
      </c>
      <c r="F233" s="209" t="s">
        <v>498</v>
      </c>
      <c r="G233" s="209">
        <v>4841</v>
      </c>
      <c r="H233" s="209" t="s">
        <v>208</v>
      </c>
      <c r="I233" s="209" t="s">
        <v>1331</v>
      </c>
      <c r="J233" s="209" t="s">
        <v>1525</v>
      </c>
      <c r="K233" s="209" t="s">
        <v>200</v>
      </c>
      <c r="L233" s="247">
        <v>46163.575694444444</v>
      </c>
      <c r="M233" s="247">
        <v>46163.59097222222</v>
      </c>
      <c r="N233" s="209" t="s">
        <v>203</v>
      </c>
      <c r="O233" s="152" t="s">
        <v>207</v>
      </c>
      <c r="P233" s="90"/>
      <c r="Q233" s="140" t="s">
        <v>214</v>
      </c>
      <c r="R233" s="90"/>
      <c r="S233" s="140" t="s">
        <v>214</v>
      </c>
      <c r="T233" s="90"/>
      <c r="U233" s="140" t="s">
        <v>207</v>
      </c>
      <c r="V233" s="90"/>
      <c r="W233" s="140" t="s">
        <v>77</v>
      </c>
      <c r="X233" s="90"/>
      <c r="Y233" s="140" t="s">
        <v>77</v>
      </c>
      <c r="Z233" s="90"/>
      <c r="AA233" s="140" t="s">
        <v>77</v>
      </c>
      <c r="AB233" s="90"/>
      <c r="AC233" s="140" t="s">
        <v>215</v>
      </c>
      <c r="AD233" s="90" t="s">
        <v>216</v>
      </c>
      <c r="AE233" s="140" t="s">
        <v>207</v>
      </c>
      <c r="AF233" s="137" t="str">
        <f t="shared" si="13"/>
        <v>NC</v>
      </c>
      <c r="AG233" s="179" t="str">
        <f t="shared" si="11"/>
        <v>UTILIZOU O PDA CORRETAMENTE. NÃO HÁ FOTOS DE TODAS AS ETAPAS</v>
      </c>
      <c r="AH233" s="140"/>
      <c r="AI233" s="147" t="s">
        <v>36</v>
      </c>
      <c r="AJ233" s="145" t="str">
        <f t="shared" si="14"/>
        <v>SÃO PAULO</v>
      </c>
      <c r="AK233" s="148" t="s">
        <v>75</v>
      </c>
    </row>
    <row r="234" spans="1:37" ht="30" customHeight="1">
      <c r="A234" s="208" t="s">
        <v>198</v>
      </c>
      <c r="B234" s="258">
        <v>2621301215</v>
      </c>
      <c r="C234" s="209" t="s">
        <v>136</v>
      </c>
      <c r="D234" s="209" t="s">
        <v>127</v>
      </c>
      <c r="E234" s="209" t="s">
        <v>35</v>
      </c>
      <c r="F234" s="209" t="s">
        <v>1858</v>
      </c>
      <c r="G234" s="209">
        <v>870</v>
      </c>
      <c r="H234" s="209" t="s">
        <v>200</v>
      </c>
      <c r="I234" s="209" t="s">
        <v>1776</v>
      </c>
      <c r="J234" s="209" t="s">
        <v>1525</v>
      </c>
      <c r="K234" s="209" t="s">
        <v>200</v>
      </c>
      <c r="L234" s="247">
        <v>46163.396527777775</v>
      </c>
      <c r="M234" s="247">
        <v>46163.416666666664</v>
      </c>
      <c r="N234" s="209" t="s">
        <v>203</v>
      </c>
      <c r="O234" s="152" t="s">
        <v>207</v>
      </c>
      <c r="P234" s="90"/>
      <c r="Q234" s="140" t="s">
        <v>207</v>
      </c>
      <c r="R234" s="90"/>
      <c r="S234" s="140" t="s">
        <v>214</v>
      </c>
      <c r="T234" s="90"/>
      <c r="U234" s="140" t="s">
        <v>77</v>
      </c>
      <c r="V234" s="90"/>
      <c r="W234" s="140" t="s">
        <v>77</v>
      </c>
      <c r="X234" s="90"/>
      <c r="Y234" s="140" t="s">
        <v>77</v>
      </c>
      <c r="Z234" s="90"/>
      <c r="AA234" s="140" t="s">
        <v>77</v>
      </c>
      <c r="AB234" s="90"/>
      <c r="AC234" s="140" t="s">
        <v>207</v>
      </c>
      <c r="AD234" s="90"/>
      <c r="AE234" s="140" t="s">
        <v>207</v>
      </c>
      <c r="AF234" s="137" t="str">
        <f t="shared" si="13"/>
        <v>NC</v>
      </c>
      <c r="AG234" s="179" t="str">
        <f t="shared" si="11"/>
        <v>UTILIZOU O PDA CORRETAMENTE. NÃO HÁ FOTOS DE TODAS AS ETAPAS</v>
      </c>
      <c r="AH234" s="140" t="s">
        <v>207</v>
      </c>
      <c r="AI234" s="147" t="s">
        <v>36</v>
      </c>
      <c r="AJ234" s="145" t="str">
        <f t="shared" si="14"/>
        <v>SÃO PAULO</v>
      </c>
      <c r="AK234" s="148" t="s">
        <v>75</v>
      </c>
    </row>
    <row r="235" spans="1:37" ht="30" customHeight="1">
      <c r="A235" s="208" t="s">
        <v>198</v>
      </c>
      <c r="B235" s="258">
        <v>2621477810</v>
      </c>
      <c r="C235" s="209" t="s">
        <v>1569</v>
      </c>
      <c r="D235" s="209" t="s">
        <v>127</v>
      </c>
      <c r="E235" s="209" t="s">
        <v>35</v>
      </c>
      <c r="F235" s="209" t="s">
        <v>587</v>
      </c>
      <c r="G235" s="209">
        <v>253</v>
      </c>
      <c r="H235" s="209" t="s">
        <v>200</v>
      </c>
      <c r="I235" s="209" t="s">
        <v>479</v>
      </c>
      <c r="J235" s="209" t="s">
        <v>1570</v>
      </c>
      <c r="K235" s="210" t="s">
        <v>1602</v>
      </c>
      <c r="L235" s="247">
        <v>46163.633333333331</v>
      </c>
      <c r="M235" s="247">
        <v>46163.650694444441</v>
      </c>
      <c r="N235" s="209" t="s">
        <v>1572</v>
      </c>
      <c r="O235" s="152" t="s">
        <v>77</v>
      </c>
      <c r="P235" s="90"/>
      <c r="Q235" s="140" t="s">
        <v>77</v>
      </c>
      <c r="R235" s="90"/>
      <c r="S235" s="140" t="s">
        <v>77</v>
      </c>
      <c r="T235" s="90"/>
      <c r="U235" s="140" t="s">
        <v>77</v>
      </c>
      <c r="V235" s="90"/>
      <c r="W235" s="140" t="s">
        <v>77</v>
      </c>
      <c r="X235" s="90"/>
      <c r="Y235" s="140" t="s">
        <v>77</v>
      </c>
      <c r="Z235" s="90"/>
      <c r="AA235" s="140" t="s">
        <v>77</v>
      </c>
      <c r="AB235" s="90"/>
      <c r="AC235" s="140" t="s">
        <v>77</v>
      </c>
      <c r="AD235" s="90"/>
      <c r="AE235" s="140" t="s">
        <v>77</v>
      </c>
      <c r="AF235" s="137" t="str">
        <f t="shared" si="13"/>
        <v>NA</v>
      </c>
      <c r="AG235" s="179" t="str">
        <f t="shared" si="11"/>
        <v>NÃO AVALIADO POR FALHA DE SINCRONISMO</v>
      </c>
      <c r="AH235" s="140"/>
      <c r="AI235" s="147" t="s">
        <v>36</v>
      </c>
      <c r="AJ235" s="145" t="str">
        <f t="shared" si="14"/>
        <v>SÃO PAULO</v>
      </c>
      <c r="AK235" s="148" t="s">
        <v>75</v>
      </c>
    </row>
    <row r="236" spans="1:37" ht="30" customHeight="1">
      <c r="A236" s="208" t="s">
        <v>198</v>
      </c>
      <c r="B236" s="258">
        <v>2621482068</v>
      </c>
      <c r="C236" s="209" t="s">
        <v>1569</v>
      </c>
      <c r="D236" s="209" t="s">
        <v>127</v>
      </c>
      <c r="E236" s="209" t="s">
        <v>35</v>
      </c>
      <c r="F236" s="209" t="s">
        <v>796</v>
      </c>
      <c r="G236" s="209">
        <v>968</v>
      </c>
      <c r="H236" s="209" t="s">
        <v>200</v>
      </c>
      <c r="I236" s="209" t="s">
        <v>501</v>
      </c>
      <c r="J236" s="209" t="s">
        <v>1570</v>
      </c>
      <c r="K236" s="210" t="s">
        <v>1578</v>
      </c>
      <c r="L236" s="247">
        <v>46163.999305555553</v>
      </c>
      <c r="M236" s="247">
        <v>46164.001388888886</v>
      </c>
      <c r="N236" s="209" t="s">
        <v>1572</v>
      </c>
      <c r="O236" s="152" t="s">
        <v>77</v>
      </c>
      <c r="P236" s="90"/>
      <c r="Q236" s="140" t="s">
        <v>77</v>
      </c>
      <c r="R236" s="90"/>
      <c r="S236" s="140" t="s">
        <v>77</v>
      </c>
      <c r="T236" s="90"/>
      <c r="U236" s="140" t="s">
        <v>77</v>
      </c>
      <c r="V236" s="90"/>
      <c r="W236" s="140" t="s">
        <v>77</v>
      </c>
      <c r="X236" s="90"/>
      <c r="Y236" s="140" t="s">
        <v>77</v>
      </c>
      <c r="Z236" s="90"/>
      <c r="AA236" s="140" t="s">
        <v>77</v>
      </c>
      <c r="AB236" s="90"/>
      <c r="AC236" s="140" t="s">
        <v>77</v>
      </c>
      <c r="AD236" s="90"/>
      <c r="AE236" s="140" t="s">
        <v>77</v>
      </c>
      <c r="AF236" s="137" t="str">
        <f t="shared" si="13"/>
        <v>NA</v>
      </c>
      <c r="AG236" s="179" t="str">
        <f t="shared" si="11"/>
        <v>NÃO AVALIADO POR FALHA DE SINCRONISMO</v>
      </c>
      <c r="AH236" s="140"/>
      <c r="AI236" s="147" t="s">
        <v>36</v>
      </c>
      <c r="AJ236" s="145" t="str">
        <f t="shared" si="14"/>
        <v>SÃO PAULO</v>
      </c>
      <c r="AK236" s="148" t="s">
        <v>75</v>
      </c>
    </row>
    <row r="237" spans="1:37" ht="30" customHeight="1">
      <c r="A237" s="208" t="s">
        <v>198</v>
      </c>
      <c r="B237" s="258">
        <v>2621482936</v>
      </c>
      <c r="C237" s="209" t="s">
        <v>1569</v>
      </c>
      <c r="D237" s="209" t="s">
        <v>127</v>
      </c>
      <c r="E237" s="209" t="s">
        <v>35</v>
      </c>
      <c r="F237" s="209" t="s">
        <v>1859</v>
      </c>
      <c r="G237" s="209">
        <v>336</v>
      </c>
      <c r="H237" s="209" t="s">
        <v>200</v>
      </c>
      <c r="I237" s="209" t="s">
        <v>501</v>
      </c>
      <c r="J237" s="209" t="s">
        <v>1570</v>
      </c>
      <c r="K237" s="210" t="s">
        <v>1581</v>
      </c>
      <c r="L237" s="247">
        <v>46163.831944444442</v>
      </c>
      <c r="M237" s="247">
        <v>46163.834027777775</v>
      </c>
      <c r="N237" s="209" t="s">
        <v>1572</v>
      </c>
      <c r="O237" s="152" t="s">
        <v>77</v>
      </c>
      <c r="P237" s="90"/>
      <c r="Q237" s="140" t="s">
        <v>77</v>
      </c>
      <c r="R237" s="90"/>
      <c r="S237" s="140" t="s">
        <v>77</v>
      </c>
      <c r="T237" s="90"/>
      <c r="U237" s="140" t="s">
        <v>77</v>
      </c>
      <c r="V237" s="90"/>
      <c r="W237" s="140" t="s">
        <v>77</v>
      </c>
      <c r="X237" s="90"/>
      <c r="Y237" s="140" t="s">
        <v>77</v>
      </c>
      <c r="Z237" s="90"/>
      <c r="AA237" s="140" t="s">
        <v>77</v>
      </c>
      <c r="AB237" s="90"/>
      <c r="AC237" s="140" t="s">
        <v>77</v>
      </c>
      <c r="AD237" s="90"/>
      <c r="AE237" s="140" t="s">
        <v>77</v>
      </c>
      <c r="AF237" s="137" t="str">
        <f t="shared" si="13"/>
        <v>NA</v>
      </c>
      <c r="AG237" s="179" t="str">
        <f t="shared" si="11"/>
        <v>NÃO AVALIADO POR FALHA DE SINCRONISMO</v>
      </c>
      <c r="AH237" s="140"/>
      <c r="AI237" s="147" t="s">
        <v>36</v>
      </c>
      <c r="AJ237" s="145" t="str">
        <f t="shared" si="14"/>
        <v>SÃO PAULO</v>
      </c>
      <c r="AK237" s="148" t="s">
        <v>75</v>
      </c>
    </row>
    <row r="238" spans="1:37" ht="30" customHeight="1">
      <c r="A238" s="208" t="s">
        <v>198</v>
      </c>
      <c r="B238" s="258">
        <v>2621483359</v>
      </c>
      <c r="C238" s="209" t="s">
        <v>1569</v>
      </c>
      <c r="D238" s="209" t="s">
        <v>127</v>
      </c>
      <c r="E238" s="209" t="s">
        <v>35</v>
      </c>
      <c r="F238" s="209" t="s">
        <v>1860</v>
      </c>
      <c r="G238" s="209">
        <v>174</v>
      </c>
      <c r="H238" s="209" t="s">
        <v>200</v>
      </c>
      <c r="I238" s="209" t="s">
        <v>501</v>
      </c>
      <c r="J238" s="209" t="s">
        <v>1570</v>
      </c>
      <c r="K238" s="210" t="s">
        <v>1581</v>
      </c>
      <c r="L238" s="247">
        <v>46163.835416666669</v>
      </c>
      <c r="M238" s="247">
        <v>46163.837500000001</v>
      </c>
      <c r="N238" s="209" t="s">
        <v>1572</v>
      </c>
      <c r="O238" s="152" t="s">
        <v>77</v>
      </c>
      <c r="P238" s="90"/>
      <c r="Q238" s="140" t="s">
        <v>77</v>
      </c>
      <c r="R238" s="90"/>
      <c r="S238" s="140" t="s">
        <v>77</v>
      </c>
      <c r="T238" s="90"/>
      <c r="U238" s="140" t="s">
        <v>77</v>
      </c>
      <c r="V238" s="90"/>
      <c r="W238" s="140" t="s">
        <v>77</v>
      </c>
      <c r="X238" s="90"/>
      <c r="Y238" s="140" t="s">
        <v>77</v>
      </c>
      <c r="Z238" s="90"/>
      <c r="AA238" s="140" t="s">
        <v>77</v>
      </c>
      <c r="AB238" s="90"/>
      <c r="AC238" s="140" t="s">
        <v>77</v>
      </c>
      <c r="AD238" s="90"/>
      <c r="AE238" s="140" t="s">
        <v>77</v>
      </c>
      <c r="AF238" s="137" t="str">
        <f t="shared" si="13"/>
        <v>NA</v>
      </c>
      <c r="AG238" s="179" t="str">
        <f t="shared" si="11"/>
        <v>NÃO AVALIADO POR FALHA DE SINCRONISMO</v>
      </c>
      <c r="AH238" s="140"/>
      <c r="AI238" s="147" t="s">
        <v>36</v>
      </c>
      <c r="AJ238" s="145" t="str">
        <f t="shared" si="14"/>
        <v>SÃO PAULO</v>
      </c>
      <c r="AK238" s="148" t="s">
        <v>75</v>
      </c>
    </row>
    <row r="239" spans="1:37" ht="30" customHeight="1">
      <c r="A239" s="208" t="s">
        <v>198</v>
      </c>
      <c r="B239" s="258">
        <v>2621308255</v>
      </c>
      <c r="C239" s="209" t="s">
        <v>138</v>
      </c>
      <c r="D239" s="209" t="s">
        <v>124</v>
      </c>
      <c r="E239" s="209" t="s">
        <v>35</v>
      </c>
      <c r="F239" s="209" t="s">
        <v>1853</v>
      </c>
      <c r="G239" s="209">
        <v>135</v>
      </c>
      <c r="H239" s="209" t="s">
        <v>200</v>
      </c>
      <c r="I239" s="209" t="s">
        <v>689</v>
      </c>
      <c r="J239" s="209" t="s">
        <v>1539</v>
      </c>
      <c r="K239" s="209" t="s">
        <v>1861</v>
      </c>
      <c r="L239" s="247">
        <v>46163.51666666667</v>
      </c>
      <c r="M239" s="247">
        <v>46163.57916666667</v>
      </c>
      <c r="N239" s="209" t="s">
        <v>465</v>
      </c>
      <c r="O239" s="152" t="s">
        <v>214</v>
      </c>
      <c r="P239" s="90"/>
      <c r="Q239" s="140" t="s">
        <v>214</v>
      </c>
      <c r="R239" s="90"/>
      <c r="S239" s="140" t="s">
        <v>214</v>
      </c>
      <c r="T239" s="90"/>
      <c r="U239" s="140" t="s">
        <v>214</v>
      </c>
      <c r="V239" s="90"/>
      <c r="W239" s="140" t="s">
        <v>214</v>
      </c>
      <c r="X239" s="90"/>
      <c r="Y239" s="140" t="s">
        <v>214</v>
      </c>
      <c r="Z239" s="90"/>
      <c r="AA239" s="140" t="s">
        <v>214</v>
      </c>
      <c r="AB239" s="90"/>
      <c r="AC239" s="140" t="s">
        <v>214</v>
      </c>
      <c r="AD239" s="90"/>
      <c r="AE239" s="140" t="s">
        <v>207</v>
      </c>
      <c r="AF239" s="137" t="str">
        <f t="shared" si="13"/>
        <v>NC</v>
      </c>
      <c r="AG239" s="179" t="str">
        <f t="shared" si="11"/>
        <v>UTILIZOU O PDA CORRETAMENTE. NÃO HÁ FOTOS DE TODAS AS ETAPAS</v>
      </c>
      <c r="AH239" s="140" t="s">
        <v>207</v>
      </c>
      <c r="AI239" s="147" t="s">
        <v>36</v>
      </c>
      <c r="AJ239" s="145" t="str">
        <f t="shared" si="14"/>
        <v>SÃO PAULO</v>
      </c>
      <c r="AK239" s="148" t="s">
        <v>75</v>
      </c>
    </row>
    <row r="240" spans="1:37" ht="30" customHeight="1">
      <c r="A240" s="208" t="s">
        <v>198</v>
      </c>
      <c r="B240" s="258">
        <v>2621042789</v>
      </c>
      <c r="C240" s="209" t="s">
        <v>1616</v>
      </c>
      <c r="D240" s="209" t="s">
        <v>127</v>
      </c>
      <c r="E240" s="209" t="s">
        <v>35</v>
      </c>
      <c r="F240" s="209" t="s">
        <v>1862</v>
      </c>
      <c r="G240" s="209">
        <v>182</v>
      </c>
      <c r="H240" s="209" t="s">
        <v>200</v>
      </c>
      <c r="I240" s="209" t="s">
        <v>201</v>
      </c>
      <c r="J240" s="209" t="s">
        <v>1624</v>
      </c>
      <c r="K240" s="209" t="s">
        <v>200</v>
      </c>
      <c r="L240" s="247">
        <v>46163.665277777778</v>
      </c>
      <c r="M240" s="247">
        <v>46163.667361111111</v>
      </c>
      <c r="N240" s="209" t="s">
        <v>203</v>
      </c>
      <c r="O240" s="152" t="s">
        <v>207</v>
      </c>
      <c r="P240" s="90"/>
      <c r="Q240" s="140" t="s">
        <v>207</v>
      </c>
      <c r="R240" s="90"/>
      <c r="S240" s="140" t="s">
        <v>214</v>
      </c>
      <c r="T240" s="90"/>
      <c r="U240" s="140" t="s">
        <v>207</v>
      </c>
      <c r="V240" s="90"/>
      <c r="W240" s="140" t="s">
        <v>77</v>
      </c>
      <c r="X240" s="90"/>
      <c r="Y240" s="140" t="s">
        <v>77</v>
      </c>
      <c r="Z240" s="90"/>
      <c r="AA240" s="140" t="s">
        <v>77</v>
      </c>
      <c r="AB240" s="90"/>
      <c r="AC240" s="140" t="s">
        <v>215</v>
      </c>
      <c r="AD240" s="90" t="s">
        <v>882</v>
      </c>
      <c r="AE240" s="140" t="s">
        <v>207</v>
      </c>
      <c r="AF240" s="137" t="str">
        <f t="shared" si="13"/>
        <v>NC</v>
      </c>
      <c r="AG240" s="179" t="str">
        <f t="shared" si="11"/>
        <v>UTILIZOU O PDA CORRETAMENTE. NÃO HÁ FOTOS DE TODAS AS ETAPAS</v>
      </c>
      <c r="AH240" s="140" t="s">
        <v>207</v>
      </c>
      <c r="AI240" s="147" t="s">
        <v>36</v>
      </c>
      <c r="AJ240" s="145" t="str">
        <f t="shared" si="14"/>
        <v>SÃO PAULO</v>
      </c>
      <c r="AK240" s="148" t="s">
        <v>75</v>
      </c>
    </row>
    <row r="241" spans="1:37" ht="30" customHeight="1">
      <c r="A241" s="153" t="s">
        <v>198</v>
      </c>
      <c r="B241" s="257">
        <v>2621508607</v>
      </c>
      <c r="C241" s="207" t="s">
        <v>135</v>
      </c>
      <c r="D241" s="207" t="s">
        <v>125</v>
      </c>
      <c r="E241" s="207" t="s">
        <v>35</v>
      </c>
      <c r="F241" s="207" t="s">
        <v>1495</v>
      </c>
      <c r="G241" s="207">
        <v>104</v>
      </c>
      <c r="H241" s="207" t="s">
        <v>200</v>
      </c>
      <c r="I241" s="207" t="s">
        <v>392</v>
      </c>
      <c r="J241" s="207" t="s">
        <v>135</v>
      </c>
      <c r="K241" s="207" t="s">
        <v>200</v>
      </c>
      <c r="L241" s="246">
        <v>46164.40347222222</v>
      </c>
      <c r="M241" s="246">
        <v>46164.55</v>
      </c>
      <c r="N241" s="207" t="s">
        <v>465</v>
      </c>
      <c r="O241" s="152" t="s">
        <v>215</v>
      </c>
      <c r="P241" s="90" t="s">
        <v>227</v>
      </c>
      <c r="Q241" s="140" t="s">
        <v>215</v>
      </c>
      <c r="R241" s="90" t="s">
        <v>227</v>
      </c>
      <c r="S241" s="140" t="s">
        <v>215</v>
      </c>
      <c r="T241" s="90" t="s">
        <v>227</v>
      </c>
      <c r="U241" s="140" t="s">
        <v>215</v>
      </c>
      <c r="V241" s="90" t="s">
        <v>227</v>
      </c>
      <c r="W241" s="140" t="s">
        <v>215</v>
      </c>
      <c r="X241" s="90" t="s">
        <v>227</v>
      </c>
      <c r="Y241" s="140" t="s">
        <v>215</v>
      </c>
      <c r="Z241" s="90" t="s">
        <v>227</v>
      </c>
      <c r="AA241" s="140" t="s">
        <v>215</v>
      </c>
      <c r="AB241" s="90" t="s">
        <v>227</v>
      </c>
      <c r="AC241" s="140" t="s">
        <v>215</v>
      </c>
      <c r="AD241" s="90" t="s">
        <v>227</v>
      </c>
      <c r="AE241" s="140" t="s">
        <v>215</v>
      </c>
      <c r="AF241" s="137" t="str">
        <f t="shared" si="13"/>
        <v>NC</v>
      </c>
      <c r="AG241" s="179" t="str">
        <f t="shared" si="11"/>
        <v>NÃO UTILIZOU O PDA</v>
      </c>
      <c r="AH241" s="140" t="s">
        <v>207</v>
      </c>
      <c r="AI241" s="147" t="s">
        <v>36</v>
      </c>
      <c r="AJ241" s="145" t="str">
        <f t="shared" si="14"/>
        <v>SÃO PAULO</v>
      </c>
      <c r="AK241" s="148" t="s">
        <v>75</v>
      </c>
    </row>
    <row r="242" spans="1:37" ht="30" customHeight="1">
      <c r="A242" s="208" t="s">
        <v>198</v>
      </c>
      <c r="B242" s="258">
        <v>2621648200</v>
      </c>
      <c r="C242" s="209" t="s">
        <v>136</v>
      </c>
      <c r="D242" s="209" t="s">
        <v>127</v>
      </c>
      <c r="E242" s="209" t="s">
        <v>35</v>
      </c>
      <c r="F242" s="209" t="s">
        <v>703</v>
      </c>
      <c r="G242" s="209">
        <v>800</v>
      </c>
      <c r="H242" s="209" t="s">
        <v>200</v>
      </c>
      <c r="I242" s="209" t="s">
        <v>708</v>
      </c>
      <c r="J242" s="209" t="s">
        <v>1553</v>
      </c>
      <c r="K242" s="209" t="s">
        <v>1863</v>
      </c>
      <c r="L242" s="247">
        <v>46164.113194444442</v>
      </c>
      <c r="M242" s="247">
        <v>46164.126388888886</v>
      </c>
      <c r="N242" s="209" t="s">
        <v>309</v>
      </c>
      <c r="O242" s="152" t="s">
        <v>207</v>
      </c>
      <c r="P242" s="90"/>
      <c r="Q242" s="140" t="s">
        <v>207</v>
      </c>
      <c r="R242" s="90"/>
      <c r="S242" s="140" t="s">
        <v>77</v>
      </c>
      <c r="T242" s="90"/>
      <c r="U242" s="140" t="s">
        <v>207</v>
      </c>
      <c r="V242" s="90"/>
      <c r="W242" s="140" t="s">
        <v>77</v>
      </c>
      <c r="X242" s="90"/>
      <c r="Y242" s="140" t="s">
        <v>77</v>
      </c>
      <c r="Z242" s="90"/>
      <c r="AA242" s="140" t="s">
        <v>77</v>
      </c>
      <c r="AB242" s="90"/>
      <c r="AC242" s="140" t="s">
        <v>207</v>
      </c>
      <c r="AD242" s="90"/>
      <c r="AE242" s="140" t="s">
        <v>207</v>
      </c>
      <c r="AF242" s="137" t="str">
        <f t="shared" si="13"/>
        <v>C</v>
      </c>
      <c r="AG242" s="179" t="str">
        <f t="shared" si="11"/>
        <v>UTILIZOU O PDA CORRETAMENTE</v>
      </c>
      <c r="AH242" s="140" t="s">
        <v>207</v>
      </c>
      <c r="AI242" s="147" t="s">
        <v>36</v>
      </c>
      <c r="AJ242" s="145" t="str">
        <f t="shared" si="14"/>
        <v>SÃO PAULO</v>
      </c>
      <c r="AK242" s="148" t="s">
        <v>75</v>
      </c>
    </row>
    <row r="243" spans="1:37" ht="30" customHeight="1">
      <c r="A243" s="208" t="s">
        <v>198</v>
      </c>
      <c r="B243" s="258">
        <v>2620819494</v>
      </c>
      <c r="C243" s="209" t="s">
        <v>1616</v>
      </c>
      <c r="D243" s="209" t="s">
        <v>127</v>
      </c>
      <c r="E243" s="209" t="s">
        <v>35</v>
      </c>
      <c r="F243" s="209" t="s">
        <v>204</v>
      </c>
      <c r="G243" s="209">
        <v>1720</v>
      </c>
      <c r="H243" s="209" t="s">
        <v>200</v>
      </c>
      <c r="I243" s="209" t="s">
        <v>209</v>
      </c>
      <c r="J243" s="209" t="s">
        <v>1624</v>
      </c>
      <c r="K243" s="209" t="s">
        <v>200</v>
      </c>
      <c r="L243" s="247">
        <v>46164.242361111108</v>
      </c>
      <c r="M243" s="247">
        <v>46164.243750000001</v>
      </c>
      <c r="N243" s="209" t="s">
        <v>309</v>
      </c>
      <c r="O243" s="152" t="s">
        <v>207</v>
      </c>
      <c r="P243" s="90"/>
      <c r="Q243" s="140" t="s">
        <v>207</v>
      </c>
      <c r="R243" s="90"/>
      <c r="S243" s="140" t="s">
        <v>77</v>
      </c>
      <c r="T243" s="90"/>
      <c r="U243" s="140" t="s">
        <v>207</v>
      </c>
      <c r="V243" s="90"/>
      <c r="W243" s="140" t="s">
        <v>77</v>
      </c>
      <c r="X243" s="90"/>
      <c r="Y243" s="140" t="s">
        <v>77</v>
      </c>
      <c r="Z243" s="90"/>
      <c r="AA243" s="140" t="s">
        <v>77</v>
      </c>
      <c r="AB243" s="90"/>
      <c r="AC243" s="140" t="s">
        <v>207</v>
      </c>
      <c r="AD243" s="90"/>
      <c r="AE243" s="140" t="s">
        <v>207</v>
      </c>
      <c r="AF243" s="137" t="str">
        <f t="shared" si="13"/>
        <v>C</v>
      </c>
      <c r="AG243" s="179" t="str">
        <f t="shared" si="11"/>
        <v>UTILIZOU O PDA CORRETAMENTE</v>
      </c>
      <c r="AH243" s="140"/>
      <c r="AI243" s="147" t="s">
        <v>36</v>
      </c>
      <c r="AJ243" s="145" t="str">
        <f t="shared" si="14"/>
        <v>SÃO PAULO</v>
      </c>
      <c r="AK243" s="148" t="s">
        <v>75</v>
      </c>
    </row>
    <row r="244" spans="1:37" ht="30" customHeight="1">
      <c r="A244" s="208" t="s">
        <v>198</v>
      </c>
      <c r="B244" s="258">
        <v>2621664975</v>
      </c>
      <c r="C244" s="209" t="s">
        <v>136</v>
      </c>
      <c r="D244" s="209" t="s">
        <v>127</v>
      </c>
      <c r="E244" s="209" t="s">
        <v>35</v>
      </c>
      <c r="F244" s="209" t="s">
        <v>638</v>
      </c>
      <c r="G244" s="209">
        <v>1</v>
      </c>
      <c r="H244" s="209" t="s">
        <v>347</v>
      </c>
      <c r="I244" s="209" t="s">
        <v>447</v>
      </c>
      <c r="J244" s="209" t="s">
        <v>1525</v>
      </c>
      <c r="K244" s="209" t="s">
        <v>200</v>
      </c>
      <c r="L244" s="247">
        <v>46164.680555555555</v>
      </c>
      <c r="M244" s="247">
        <v>46164.681250000001</v>
      </c>
      <c r="N244" s="209" t="s">
        <v>309</v>
      </c>
      <c r="O244" s="152" t="s">
        <v>77</v>
      </c>
      <c r="P244" s="90"/>
      <c r="Q244" s="140" t="s">
        <v>77</v>
      </c>
      <c r="R244" s="90"/>
      <c r="S244" s="140" t="s">
        <v>77</v>
      </c>
      <c r="T244" s="90"/>
      <c r="U244" s="140" t="s">
        <v>77</v>
      </c>
      <c r="V244" s="90"/>
      <c r="W244" s="140" t="s">
        <v>77</v>
      </c>
      <c r="X244" s="90"/>
      <c r="Y244" s="140" t="s">
        <v>77</v>
      </c>
      <c r="Z244" s="90"/>
      <c r="AA244" s="140" t="s">
        <v>77</v>
      </c>
      <c r="AB244" s="90"/>
      <c r="AC244" s="140" t="s">
        <v>77</v>
      </c>
      <c r="AD244" s="90"/>
      <c r="AE244" s="140" t="s">
        <v>77</v>
      </c>
      <c r="AF244" s="137" t="str">
        <f t="shared" si="13"/>
        <v>NA</v>
      </c>
      <c r="AG244" s="179" t="str">
        <f t="shared" si="11"/>
        <v>NÃO AVALIADO POR FALHA DE SINCRONISMO</v>
      </c>
      <c r="AH244" s="140" t="s">
        <v>207</v>
      </c>
      <c r="AI244" s="147" t="s">
        <v>36</v>
      </c>
      <c r="AJ244" s="145" t="str">
        <f t="shared" si="14"/>
        <v>SÃO PAULO</v>
      </c>
      <c r="AK244" s="148" t="s">
        <v>75</v>
      </c>
    </row>
    <row r="245" spans="1:37" ht="30" customHeight="1">
      <c r="A245" s="208" t="s">
        <v>198</v>
      </c>
      <c r="B245" s="258">
        <v>2621672141</v>
      </c>
      <c r="C245" s="209" t="s">
        <v>1542</v>
      </c>
      <c r="D245" s="209" t="s">
        <v>127</v>
      </c>
      <c r="E245" s="209" t="s">
        <v>35</v>
      </c>
      <c r="F245" s="209" t="s">
        <v>1864</v>
      </c>
      <c r="G245" s="209">
        <v>311</v>
      </c>
      <c r="H245" s="209" t="s">
        <v>200</v>
      </c>
      <c r="I245" s="209" t="s">
        <v>1780</v>
      </c>
      <c r="J245" s="209" t="s">
        <v>1543</v>
      </c>
      <c r="K245" s="209" t="s">
        <v>200</v>
      </c>
      <c r="L245" s="247">
        <v>46164.484027777777</v>
      </c>
      <c r="M245" s="247">
        <v>46164.513888888891</v>
      </c>
      <c r="N245" s="209" t="s">
        <v>1524</v>
      </c>
      <c r="O245" s="152" t="s">
        <v>207</v>
      </c>
      <c r="P245" s="90"/>
      <c r="Q245" s="140" t="s">
        <v>215</v>
      </c>
      <c r="R245" s="90" t="s">
        <v>1635</v>
      </c>
      <c r="S245" s="140" t="s">
        <v>214</v>
      </c>
      <c r="T245" s="90"/>
      <c r="U245" s="140" t="s">
        <v>207</v>
      </c>
      <c r="V245" s="90"/>
      <c r="W245" s="140" t="s">
        <v>77</v>
      </c>
      <c r="X245" s="90"/>
      <c r="Y245" s="140" t="s">
        <v>77</v>
      </c>
      <c r="Z245" s="90"/>
      <c r="AA245" s="140" t="s">
        <v>77</v>
      </c>
      <c r="AB245" s="90"/>
      <c r="AC245" s="140" t="s">
        <v>215</v>
      </c>
      <c r="AD245" s="90" t="s">
        <v>532</v>
      </c>
      <c r="AE245" s="140" t="s">
        <v>207</v>
      </c>
      <c r="AF245" s="137" t="str">
        <f t="shared" si="13"/>
        <v>NC</v>
      </c>
      <c r="AG245" s="179" t="str">
        <f t="shared" si="11"/>
        <v>UTILIZOU O PDA CORRETAMENTE. NÃO HÁ FOTOS DE TODAS AS ETAPAS</v>
      </c>
      <c r="AH245" s="140"/>
      <c r="AI245" s="147" t="s">
        <v>36</v>
      </c>
      <c r="AJ245" s="145" t="str">
        <f t="shared" si="14"/>
        <v>SÃO PAULO</v>
      </c>
      <c r="AK245" s="148" t="s">
        <v>75</v>
      </c>
    </row>
    <row r="246" spans="1:37" ht="30" customHeight="1">
      <c r="A246" s="208" t="s">
        <v>198</v>
      </c>
      <c r="B246" s="258">
        <v>2621669073</v>
      </c>
      <c r="C246" s="209" t="s">
        <v>136</v>
      </c>
      <c r="D246" s="209" t="s">
        <v>127</v>
      </c>
      <c r="E246" s="209" t="s">
        <v>35</v>
      </c>
      <c r="F246" s="209" t="s">
        <v>622</v>
      </c>
      <c r="G246" s="209">
        <v>327</v>
      </c>
      <c r="H246" s="209" t="s">
        <v>200</v>
      </c>
      <c r="I246" s="209" t="s">
        <v>433</v>
      </c>
      <c r="J246" s="209" t="s">
        <v>1525</v>
      </c>
      <c r="K246" s="209" t="s">
        <v>200</v>
      </c>
      <c r="L246" s="247">
        <v>46164.675000000003</v>
      </c>
      <c r="M246" s="247">
        <v>46164.675694444442</v>
      </c>
      <c r="N246" s="209" t="s">
        <v>203</v>
      </c>
      <c r="O246" s="152" t="s">
        <v>77</v>
      </c>
      <c r="P246" s="90"/>
      <c r="Q246" s="140" t="s">
        <v>77</v>
      </c>
      <c r="R246" s="90"/>
      <c r="S246" s="140" t="s">
        <v>77</v>
      </c>
      <c r="T246" s="90"/>
      <c r="U246" s="140" t="s">
        <v>77</v>
      </c>
      <c r="V246" s="90"/>
      <c r="W246" s="140" t="s">
        <v>77</v>
      </c>
      <c r="X246" s="90"/>
      <c r="Y246" s="140" t="s">
        <v>77</v>
      </c>
      <c r="Z246" s="90"/>
      <c r="AA246" s="140" t="s">
        <v>77</v>
      </c>
      <c r="AB246" s="90"/>
      <c r="AC246" s="140" t="s">
        <v>77</v>
      </c>
      <c r="AD246" s="90"/>
      <c r="AE246" s="140" t="s">
        <v>207</v>
      </c>
      <c r="AF246" s="137" t="str">
        <f t="shared" si="13"/>
        <v>NA</v>
      </c>
      <c r="AG246" s="179" t="b">
        <f t="shared" si="11"/>
        <v>0</v>
      </c>
      <c r="AH246" s="140"/>
      <c r="AI246" s="147" t="s">
        <v>36</v>
      </c>
      <c r="AJ246" s="145" t="str">
        <f t="shared" si="14"/>
        <v>SÃO PAULO</v>
      </c>
      <c r="AK246" s="148" t="s">
        <v>75</v>
      </c>
    </row>
    <row r="247" spans="1:37" ht="30" customHeight="1">
      <c r="A247" s="208" t="s">
        <v>198</v>
      </c>
      <c r="B247" s="258">
        <v>2621699011</v>
      </c>
      <c r="C247" s="209" t="s">
        <v>1865</v>
      </c>
      <c r="D247" s="209" t="s">
        <v>125</v>
      </c>
      <c r="E247" s="209" t="s">
        <v>35</v>
      </c>
      <c r="F247" s="209" t="s">
        <v>1866</v>
      </c>
      <c r="G247" s="209">
        <v>1290</v>
      </c>
      <c r="H247" s="209" t="s">
        <v>200</v>
      </c>
      <c r="I247" s="209" t="s">
        <v>1260</v>
      </c>
      <c r="J247" s="209" t="s">
        <v>1865</v>
      </c>
      <c r="K247" s="209" t="s">
        <v>200</v>
      </c>
      <c r="L247" s="247">
        <v>46165.418749999997</v>
      </c>
      <c r="M247" s="247">
        <v>46165.564583333333</v>
      </c>
      <c r="N247" s="209" t="s">
        <v>1537</v>
      </c>
      <c r="O247" s="152" t="s">
        <v>207</v>
      </c>
      <c r="P247" s="90"/>
      <c r="Q247" s="140" t="s">
        <v>207</v>
      </c>
      <c r="R247" s="90"/>
      <c r="S247" s="140" t="s">
        <v>214</v>
      </c>
      <c r="T247" s="90"/>
      <c r="U247" s="140" t="s">
        <v>214</v>
      </c>
      <c r="V247" s="90"/>
      <c r="W247" s="140" t="s">
        <v>214</v>
      </c>
      <c r="X247" s="90"/>
      <c r="Y247" s="140" t="s">
        <v>77</v>
      </c>
      <c r="Z247" s="90"/>
      <c r="AA247" s="140" t="s">
        <v>214</v>
      </c>
      <c r="AB247" s="90"/>
      <c r="AC247" s="140" t="s">
        <v>214</v>
      </c>
      <c r="AD247" s="90"/>
      <c r="AE247" s="140" t="s">
        <v>207</v>
      </c>
      <c r="AF247" s="137" t="str">
        <f t="shared" si="13"/>
        <v>NC</v>
      </c>
      <c r="AG247" s="179" t="str">
        <f t="shared" si="11"/>
        <v>UTILIZOU O PDA CORRETAMENTE. NÃO HÁ FOTOS DE TODAS AS ETAPAS</v>
      </c>
      <c r="AH247" s="140" t="s">
        <v>207</v>
      </c>
      <c r="AI247" s="147" t="s">
        <v>36</v>
      </c>
      <c r="AJ247" s="145" t="str">
        <f t="shared" si="14"/>
        <v>SÃO PAULO</v>
      </c>
      <c r="AK247" s="148" t="s">
        <v>75</v>
      </c>
    </row>
    <row r="248" spans="1:37" ht="30" customHeight="1">
      <c r="A248" s="208" t="s">
        <v>198</v>
      </c>
      <c r="B248" s="258">
        <v>2621445728</v>
      </c>
      <c r="C248" s="209" t="s">
        <v>138</v>
      </c>
      <c r="D248" s="209" t="s">
        <v>124</v>
      </c>
      <c r="E248" s="209" t="s">
        <v>35</v>
      </c>
      <c r="F248" s="209" t="s">
        <v>1867</v>
      </c>
      <c r="G248" s="209">
        <v>70</v>
      </c>
      <c r="H248" s="209" t="s">
        <v>200</v>
      </c>
      <c r="I248" s="209" t="s">
        <v>536</v>
      </c>
      <c r="J248" s="209" t="s">
        <v>1539</v>
      </c>
      <c r="K248" s="209" t="s">
        <v>200</v>
      </c>
      <c r="L248" s="247">
        <v>46165.291666666664</v>
      </c>
      <c r="M248" s="247">
        <v>46165.292361111111</v>
      </c>
      <c r="N248" s="209" t="s">
        <v>1546</v>
      </c>
      <c r="O248" s="152" t="s">
        <v>77</v>
      </c>
      <c r="P248" s="90"/>
      <c r="Q248" s="140" t="s">
        <v>77</v>
      </c>
      <c r="R248" s="90"/>
      <c r="S248" s="140" t="s">
        <v>77</v>
      </c>
      <c r="T248" s="90"/>
      <c r="U248" s="140" t="s">
        <v>77</v>
      </c>
      <c r="V248" s="90"/>
      <c r="W248" s="140" t="s">
        <v>77</v>
      </c>
      <c r="X248" s="90"/>
      <c r="Y248" s="140" t="s">
        <v>77</v>
      </c>
      <c r="Z248" s="90"/>
      <c r="AA248" s="140" t="s">
        <v>77</v>
      </c>
      <c r="AB248" s="90"/>
      <c r="AC248" s="140" t="s">
        <v>77</v>
      </c>
      <c r="AD248" s="90"/>
      <c r="AE248" s="140" t="s">
        <v>77</v>
      </c>
      <c r="AF248" s="137" t="str">
        <f t="shared" si="13"/>
        <v>NA</v>
      </c>
      <c r="AG248" s="179" t="str">
        <f t="shared" si="11"/>
        <v>NÃO AVALIADO POR FALHA DE SINCRONISMO</v>
      </c>
      <c r="AH248" s="140" t="s">
        <v>207</v>
      </c>
      <c r="AI248" s="147" t="s">
        <v>36</v>
      </c>
      <c r="AJ248" s="145" t="str">
        <f t="shared" si="14"/>
        <v>SÃO PAULO</v>
      </c>
      <c r="AK248" s="148" t="s">
        <v>75</v>
      </c>
    </row>
    <row r="249" spans="1:37" ht="30" customHeight="1">
      <c r="A249" s="208" t="s">
        <v>198</v>
      </c>
      <c r="B249" s="258">
        <v>2621779933</v>
      </c>
      <c r="C249" s="209" t="s">
        <v>138</v>
      </c>
      <c r="D249" s="209" t="s">
        <v>124</v>
      </c>
      <c r="E249" s="209" t="s">
        <v>35</v>
      </c>
      <c r="F249" s="209" t="s">
        <v>1868</v>
      </c>
      <c r="G249" s="209">
        <v>18</v>
      </c>
      <c r="H249" s="209" t="s">
        <v>208</v>
      </c>
      <c r="I249" s="209" t="s">
        <v>359</v>
      </c>
      <c r="J249" s="209" t="s">
        <v>1539</v>
      </c>
      <c r="K249" s="209" t="s">
        <v>200</v>
      </c>
      <c r="L249" s="247">
        <v>46166.291666666664</v>
      </c>
      <c r="M249" s="247">
        <v>46166.292361111111</v>
      </c>
      <c r="N249" s="209" t="s">
        <v>1565</v>
      </c>
      <c r="O249" s="152" t="s">
        <v>77</v>
      </c>
      <c r="P249" s="90"/>
      <c r="Q249" s="140" t="s">
        <v>77</v>
      </c>
      <c r="R249" s="90"/>
      <c r="S249" s="140" t="s">
        <v>77</v>
      </c>
      <c r="T249" s="90"/>
      <c r="U249" s="140" t="s">
        <v>77</v>
      </c>
      <c r="V249" s="90"/>
      <c r="W249" s="140" t="s">
        <v>77</v>
      </c>
      <c r="X249" s="90"/>
      <c r="Y249" s="140" t="s">
        <v>77</v>
      </c>
      <c r="Z249" s="90"/>
      <c r="AA249" s="140" t="s">
        <v>77</v>
      </c>
      <c r="AB249" s="90"/>
      <c r="AC249" s="140" t="s">
        <v>77</v>
      </c>
      <c r="AD249" s="90"/>
      <c r="AE249" s="140" t="s">
        <v>77</v>
      </c>
      <c r="AF249" s="137" t="str">
        <f t="shared" si="13"/>
        <v>NA</v>
      </c>
      <c r="AG249" s="179" t="str">
        <f t="shared" si="11"/>
        <v>NÃO AVALIADO POR FALHA DE SINCRONISMO</v>
      </c>
      <c r="AH249" s="140" t="s">
        <v>207</v>
      </c>
      <c r="AI249" s="147" t="s">
        <v>36</v>
      </c>
      <c r="AJ249" s="145" t="str">
        <f t="shared" si="14"/>
        <v>SÃO PAULO</v>
      </c>
      <c r="AK249" s="148" t="s">
        <v>75</v>
      </c>
    </row>
    <row r="250" spans="1:37" ht="30" customHeight="1">
      <c r="A250" s="208" t="s">
        <v>198</v>
      </c>
      <c r="B250" s="258">
        <v>2621693116</v>
      </c>
      <c r="C250" s="209" t="s">
        <v>138</v>
      </c>
      <c r="D250" s="209" t="s">
        <v>124</v>
      </c>
      <c r="E250" s="209" t="s">
        <v>35</v>
      </c>
      <c r="F250" s="209" t="s">
        <v>711</v>
      </c>
      <c r="G250" s="209">
        <v>295</v>
      </c>
      <c r="H250" s="209" t="s">
        <v>200</v>
      </c>
      <c r="I250" s="209" t="s">
        <v>548</v>
      </c>
      <c r="J250" s="209" t="s">
        <v>1549</v>
      </c>
      <c r="K250" s="209" t="s">
        <v>200</v>
      </c>
      <c r="L250" s="247">
        <v>46166.291666666664</v>
      </c>
      <c r="M250" s="247">
        <v>46166.292361111111</v>
      </c>
      <c r="N250" s="209" t="s">
        <v>1565</v>
      </c>
      <c r="O250" s="152" t="s">
        <v>77</v>
      </c>
      <c r="P250" s="90"/>
      <c r="Q250" s="140" t="s">
        <v>77</v>
      </c>
      <c r="R250" s="90"/>
      <c r="S250" s="140" t="s">
        <v>77</v>
      </c>
      <c r="T250" s="90"/>
      <c r="U250" s="140" t="s">
        <v>77</v>
      </c>
      <c r="V250" s="90"/>
      <c r="W250" s="140" t="s">
        <v>77</v>
      </c>
      <c r="X250" s="90"/>
      <c r="Y250" s="140" t="s">
        <v>77</v>
      </c>
      <c r="Z250" s="90"/>
      <c r="AA250" s="140" t="s">
        <v>77</v>
      </c>
      <c r="AB250" s="90"/>
      <c r="AC250" s="140" t="s">
        <v>77</v>
      </c>
      <c r="AD250" s="90"/>
      <c r="AE250" s="140" t="s">
        <v>77</v>
      </c>
      <c r="AF250" s="137" t="str">
        <f t="shared" si="13"/>
        <v>NA</v>
      </c>
      <c r="AG250" s="179" t="str">
        <f t="shared" si="11"/>
        <v>NÃO AVALIADO POR FALHA DE SINCRONISMO</v>
      </c>
      <c r="AH250" s="140"/>
      <c r="AI250" s="147" t="s">
        <v>36</v>
      </c>
      <c r="AJ250" s="145" t="str">
        <f t="shared" si="14"/>
        <v>SÃO PAULO</v>
      </c>
      <c r="AK250" s="148" t="s">
        <v>75</v>
      </c>
    </row>
    <row r="251" spans="1:37" ht="30" customHeight="1">
      <c r="A251" s="208" t="s">
        <v>198</v>
      </c>
      <c r="B251" s="258">
        <v>2621676735</v>
      </c>
      <c r="C251" s="209" t="s">
        <v>131</v>
      </c>
      <c r="D251" s="209" t="s">
        <v>124</v>
      </c>
      <c r="E251" s="209" t="s">
        <v>35</v>
      </c>
      <c r="F251" s="209" t="s">
        <v>587</v>
      </c>
      <c r="G251" s="209">
        <v>4</v>
      </c>
      <c r="H251" s="209" t="s">
        <v>1441</v>
      </c>
      <c r="I251" s="209" t="s">
        <v>479</v>
      </c>
      <c r="J251" s="209" t="s">
        <v>1523</v>
      </c>
      <c r="K251" s="209" t="s">
        <v>200</v>
      </c>
      <c r="L251" s="247">
        <v>46166.291666666664</v>
      </c>
      <c r="M251" s="247">
        <v>46166.292361111111</v>
      </c>
      <c r="N251" s="209" t="s">
        <v>1546</v>
      </c>
      <c r="O251" s="152" t="s">
        <v>77</v>
      </c>
      <c r="P251" s="90"/>
      <c r="Q251" s="140" t="s">
        <v>77</v>
      </c>
      <c r="R251" s="90"/>
      <c r="S251" s="140" t="s">
        <v>77</v>
      </c>
      <c r="T251" s="90"/>
      <c r="U251" s="140" t="s">
        <v>77</v>
      </c>
      <c r="V251" s="90"/>
      <c r="W251" s="140" t="s">
        <v>77</v>
      </c>
      <c r="X251" s="90"/>
      <c r="Y251" s="140" t="s">
        <v>77</v>
      </c>
      <c r="Z251" s="90"/>
      <c r="AA251" s="140" t="s">
        <v>77</v>
      </c>
      <c r="AB251" s="90"/>
      <c r="AC251" s="140" t="s">
        <v>77</v>
      </c>
      <c r="AD251" s="90"/>
      <c r="AE251" s="140" t="s">
        <v>77</v>
      </c>
      <c r="AF251" s="137" t="str">
        <f t="shared" si="13"/>
        <v>NA</v>
      </c>
      <c r="AG251" s="179" t="str">
        <f t="shared" si="11"/>
        <v>NÃO AVALIADO POR FALHA DE SINCRONISMO</v>
      </c>
      <c r="AH251" s="140" t="s">
        <v>207</v>
      </c>
      <c r="AI251" s="147" t="s">
        <v>36</v>
      </c>
      <c r="AJ251" s="145" t="str">
        <f t="shared" si="14"/>
        <v>SÃO PAULO</v>
      </c>
      <c r="AK251" s="148" t="s">
        <v>75</v>
      </c>
    </row>
    <row r="252" spans="1:37" ht="30" customHeight="1">
      <c r="A252" s="176" t="s">
        <v>198</v>
      </c>
      <c r="B252" s="215">
        <v>2621682499</v>
      </c>
      <c r="C252" s="154" t="s">
        <v>135</v>
      </c>
      <c r="D252" s="154" t="s">
        <v>125</v>
      </c>
      <c r="E252" s="154" t="s">
        <v>35</v>
      </c>
      <c r="F252" s="154" t="s">
        <v>879</v>
      </c>
      <c r="G252" s="154">
        <v>56</v>
      </c>
      <c r="H252" s="154" t="s">
        <v>200</v>
      </c>
      <c r="I252" s="154" t="s">
        <v>253</v>
      </c>
      <c r="J252" s="154" t="s">
        <v>135</v>
      </c>
      <c r="K252" s="154" t="s">
        <v>200</v>
      </c>
      <c r="L252" s="248">
        <v>46167.464583333334</v>
      </c>
      <c r="M252" s="248">
        <v>46167.574999999997</v>
      </c>
      <c r="N252" s="154" t="s">
        <v>1537</v>
      </c>
      <c r="O252" s="152" t="s">
        <v>207</v>
      </c>
      <c r="P252" s="90"/>
      <c r="Q252" s="140" t="s">
        <v>214</v>
      </c>
      <c r="R252" s="90"/>
      <c r="S252" s="140" t="s">
        <v>214</v>
      </c>
      <c r="T252" s="90"/>
      <c r="U252" s="140" t="s">
        <v>207</v>
      </c>
      <c r="V252" s="90"/>
      <c r="W252" s="140" t="s">
        <v>207</v>
      </c>
      <c r="X252" s="90"/>
      <c r="Y252" s="140" t="s">
        <v>77</v>
      </c>
      <c r="Z252" s="90"/>
      <c r="AA252" s="140" t="s">
        <v>207</v>
      </c>
      <c r="AB252" s="90"/>
      <c r="AC252" s="140" t="s">
        <v>215</v>
      </c>
      <c r="AD252" s="90" t="s">
        <v>532</v>
      </c>
      <c r="AE252" s="140" t="s">
        <v>207</v>
      </c>
      <c r="AF252" s="137" t="str">
        <f t="shared" si="13"/>
        <v>NC</v>
      </c>
      <c r="AG252" s="179" t="str">
        <f t="shared" si="11"/>
        <v>UTILIZOU O PDA CORRETAMENTE. NÃO HÁ FOTOS DE TODAS AS ETAPAS</v>
      </c>
      <c r="AH252" s="140" t="s">
        <v>207</v>
      </c>
      <c r="AI252" s="147" t="s">
        <v>36</v>
      </c>
      <c r="AJ252" s="145" t="str">
        <f t="shared" si="14"/>
        <v>SÃO PAULO</v>
      </c>
      <c r="AK252" s="148" t="s">
        <v>75</v>
      </c>
    </row>
    <row r="253" spans="1:37" ht="30" customHeight="1">
      <c r="A253" s="161" t="s">
        <v>198</v>
      </c>
      <c r="B253" s="216">
        <v>2621685428</v>
      </c>
      <c r="C253" s="155" t="s">
        <v>136</v>
      </c>
      <c r="D253" s="155" t="s">
        <v>127</v>
      </c>
      <c r="E253" s="155" t="s">
        <v>35</v>
      </c>
      <c r="F253" s="155" t="s">
        <v>1869</v>
      </c>
      <c r="G253" s="155">
        <v>0</v>
      </c>
      <c r="H253" s="155" t="s">
        <v>200</v>
      </c>
      <c r="I253" s="155" t="s">
        <v>433</v>
      </c>
      <c r="J253" s="155" t="s">
        <v>1525</v>
      </c>
      <c r="K253" s="155" t="s">
        <v>200</v>
      </c>
      <c r="L253" s="249">
        <v>46167.634722222225</v>
      </c>
      <c r="M253" s="249">
        <v>46167.700694444444</v>
      </c>
      <c r="N253" s="155" t="s">
        <v>203</v>
      </c>
      <c r="O253" s="152" t="s">
        <v>207</v>
      </c>
      <c r="P253" s="90"/>
      <c r="Q253" s="140" t="s">
        <v>207</v>
      </c>
      <c r="R253" s="90"/>
      <c r="S253" s="140" t="s">
        <v>214</v>
      </c>
      <c r="T253" s="90"/>
      <c r="U253" s="140" t="s">
        <v>207</v>
      </c>
      <c r="V253" s="90"/>
      <c r="W253" s="140" t="s">
        <v>77</v>
      </c>
      <c r="X253" s="90"/>
      <c r="Y253" s="140" t="s">
        <v>77</v>
      </c>
      <c r="Z253" s="90"/>
      <c r="AA253" s="140" t="s">
        <v>77</v>
      </c>
      <c r="AB253" s="90"/>
      <c r="AC253" s="140" t="s">
        <v>215</v>
      </c>
      <c r="AD253" s="90" t="s">
        <v>882</v>
      </c>
      <c r="AE253" s="140" t="s">
        <v>207</v>
      </c>
      <c r="AF253" s="137" t="str">
        <f t="shared" si="13"/>
        <v>NC</v>
      </c>
      <c r="AG253" s="179" t="str">
        <f t="shared" si="11"/>
        <v>UTILIZOU O PDA CORRETAMENTE. NÃO HÁ FOTOS DE TODAS AS ETAPAS</v>
      </c>
      <c r="AH253" s="140" t="s">
        <v>207</v>
      </c>
      <c r="AI253" s="147" t="s">
        <v>36</v>
      </c>
      <c r="AJ253" s="145" t="str">
        <f t="shared" si="14"/>
        <v>SÃO PAULO</v>
      </c>
      <c r="AK253" s="148" t="s">
        <v>75</v>
      </c>
    </row>
    <row r="254" spans="1:37" ht="30" customHeight="1">
      <c r="A254" s="161" t="s">
        <v>198</v>
      </c>
      <c r="B254" s="216">
        <v>2621693965</v>
      </c>
      <c r="C254" s="155" t="s">
        <v>125</v>
      </c>
      <c r="D254" s="155" t="s">
        <v>125</v>
      </c>
      <c r="E254" s="155" t="s">
        <v>35</v>
      </c>
      <c r="F254" s="155" t="s">
        <v>466</v>
      </c>
      <c r="G254" s="155">
        <v>607</v>
      </c>
      <c r="H254" s="155" t="s">
        <v>200</v>
      </c>
      <c r="I254" s="155" t="s">
        <v>1420</v>
      </c>
      <c r="J254" s="155" t="s">
        <v>125</v>
      </c>
      <c r="K254" s="206" t="s">
        <v>1870</v>
      </c>
      <c r="L254" s="249">
        <v>46167.6</v>
      </c>
      <c r="M254" s="249">
        <v>46167.604861111111</v>
      </c>
      <c r="N254" s="155" t="s">
        <v>1546</v>
      </c>
      <c r="O254" s="152" t="s">
        <v>207</v>
      </c>
      <c r="P254" s="90"/>
      <c r="Q254" s="140" t="s">
        <v>214</v>
      </c>
      <c r="R254" s="90"/>
      <c r="S254" s="140" t="s">
        <v>214</v>
      </c>
      <c r="T254" s="90"/>
      <c r="U254" s="140" t="s">
        <v>207</v>
      </c>
      <c r="V254" s="90"/>
      <c r="W254" s="140" t="s">
        <v>214</v>
      </c>
      <c r="X254" s="90"/>
      <c r="Y254" s="140" t="s">
        <v>77</v>
      </c>
      <c r="Z254" s="90"/>
      <c r="AA254" s="140" t="s">
        <v>207</v>
      </c>
      <c r="AB254" s="90"/>
      <c r="AC254" s="140" t="s">
        <v>215</v>
      </c>
      <c r="AD254" s="90" t="s">
        <v>532</v>
      </c>
      <c r="AE254" s="140" t="s">
        <v>207</v>
      </c>
      <c r="AF254" s="137" t="str">
        <f t="shared" si="13"/>
        <v>NC</v>
      </c>
      <c r="AG254" s="179" t="str">
        <f t="shared" si="11"/>
        <v>UTILIZOU O PDA CORRETAMENTE. NÃO HÁ FOTOS DE TODAS AS ETAPAS</v>
      </c>
      <c r="AH254" s="140" t="s">
        <v>207</v>
      </c>
      <c r="AI254" s="147" t="s">
        <v>36</v>
      </c>
      <c r="AJ254" s="145" t="str">
        <f t="shared" si="14"/>
        <v>SÃO PAULO</v>
      </c>
      <c r="AK254" s="148" t="s">
        <v>75</v>
      </c>
    </row>
    <row r="255" spans="1:37" ht="30" customHeight="1">
      <c r="A255" s="161" t="s">
        <v>198</v>
      </c>
      <c r="B255" s="216">
        <v>2621667655</v>
      </c>
      <c r="C255" s="155" t="s">
        <v>136</v>
      </c>
      <c r="D255" s="155" t="s">
        <v>127</v>
      </c>
      <c r="E255" s="155" t="s">
        <v>35</v>
      </c>
      <c r="F255" s="155" t="s">
        <v>1639</v>
      </c>
      <c r="G255" s="155">
        <v>152</v>
      </c>
      <c r="H255" s="155" t="s">
        <v>200</v>
      </c>
      <c r="I255" s="155" t="s">
        <v>501</v>
      </c>
      <c r="J255" s="155" t="s">
        <v>1525</v>
      </c>
      <c r="K255" s="155" t="s">
        <v>200</v>
      </c>
      <c r="L255" s="249">
        <v>46167.560416666667</v>
      </c>
      <c r="M255" s="249">
        <v>46167.618750000001</v>
      </c>
      <c r="N255" s="155" t="s">
        <v>203</v>
      </c>
      <c r="O255" s="152" t="s">
        <v>207</v>
      </c>
      <c r="P255" s="90"/>
      <c r="Q255" s="140" t="s">
        <v>207</v>
      </c>
      <c r="R255" s="90"/>
      <c r="S255" s="140" t="s">
        <v>214</v>
      </c>
      <c r="T255" s="90"/>
      <c r="U255" s="140" t="s">
        <v>207</v>
      </c>
      <c r="V255" s="90"/>
      <c r="W255" s="140" t="s">
        <v>77</v>
      </c>
      <c r="X255" s="90"/>
      <c r="Y255" s="140" t="s">
        <v>77</v>
      </c>
      <c r="Z255" s="90"/>
      <c r="AA255" s="140" t="s">
        <v>77</v>
      </c>
      <c r="AB255" s="90"/>
      <c r="AC255" s="140" t="s">
        <v>207</v>
      </c>
      <c r="AD255" s="90"/>
      <c r="AE255" s="140" t="s">
        <v>207</v>
      </c>
      <c r="AF255" s="137" t="str">
        <f t="shared" si="13"/>
        <v>NC</v>
      </c>
      <c r="AG255" s="179" t="str">
        <f t="shared" si="11"/>
        <v>UTILIZOU O PDA CORRETAMENTE. NÃO HÁ FOTOS DE TODAS AS ETAPAS</v>
      </c>
      <c r="AH255" s="140" t="s">
        <v>207</v>
      </c>
      <c r="AI255" s="147" t="s">
        <v>36</v>
      </c>
      <c r="AJ255" s="145" t="str">
        <f t="shared" si="14"/>
        <v>SÃO PAULO</v>
      </c>
      <c r="AK255" s="148" t="s">
        <v>75</v>
      </c>
    </row>
    <row r="256" spans="1:37" ht="30" customHeight="1">
      <c r="A256" s="161" t="s">
        <v>198</v>
      </c>
      <c r="B256" s="216">
        <v>2621656889</v>
      </c>
      <c r="C256" s="155" t="s">
        <v>136</v>
      </c>
      <c r="D256" s="155" t="s">
        <v>127</v>
      </c>
      <c r="E256" s="155" t="s">
        <v>35</v>
      </c>
      <c r="F256" s="155" t="s">
        <v>1871</v>
      </c>
      <c r="G256" s="155">
        <v>290</v>
      </c>
      <c r="H256" s="155" t="s">
        <v>200</v>
      </c>
      <c r="I256" s="155" t="s">
        <v>467</v>
      </c>
      <c r="J256" s="155" t="s">
        <v>1525</v>
      </c>
      <c r="K256" s="155" t="s">
        <v>200</v>
      </c>
      <c r="L256" s="249">
        <v>46167.417361111111</v>
      </c>
      <c r="M256" s="249">
        <v>46167.494444444441</v>
      </c>
      <c r="N256" s="155" t="s">
        <v>203</v>
      </c>
      <c r="O256" s="152" t="s">
        <v>207</v>
      </c>
      <c r="P256" s="90"/>
      <c r="Q256" s="140" t="s">
        <v>207</v>
      </c>
      <c r="R256" s="90"/>
      <c r="S256" s="140" t="s">
        <v>214</v>
      </c>
      <c r="T256" s="90"/>
      <c r="U256" s="140" t="s">
        <v>207</v>
      </c>
      <c r="V256" s="90"/>
      <c r="W256" s="140" t="s">
        <v>77</v>
      </c>
      <c r="X256" s="90"/>
      <c r="Y256" s="140" t="s">
        <v>77</v>
      </c>
      <c r="Z256" s="90"/>
      <c r="AA256" s="140" t="s">
        <v>77</v>
      </c>
      <c r="AB256" s="90"/>
      <c r="AC256" s="140" t="s">
        <v>207</v>
      </c>
      <c r="AD256" s="90"/>
      <c r="AE256" s="140" t="s">
        <v>207</v>
      </c>
      <c r="AF256" s="137" t="str">
        <f t="shared" si="13"/>
        <v>NC</v>
      </c>
      <c r="AG256" s="179" t="str">
        <f t="shared" si="11"/>
        <v>UTILIZOU O PDA CORRETAMENTE. NÃO HÁ FOTOS DE TODAS AS ETAPAS</v>
      </c>
      <c r="AH256" s="140" t="s">
        <v>207</v>
      </c>
      <c r="AI256" s="147" t="s">
        <v>36</v>
      </c>
      <c r="AJ256" s="145" t="str">
        <f t="shared" si="14"/>
        <v>SÃO PAULO</v>
      </c>
      <c r="AK256" s="148" t="s">
        <v>75</v>
      </c>
    </row>
    <row r="257" spans="1:37" ht="30" customHeight="1">
      <c r="A257" s="161" t="s">
        <v>198</v>
      </c>
      <c r="B257" s="216">
        <v>2621699156</v>
      </c>
      <c r="C257" s="155" t="s">
        <v>136</v>
      </c>
      <c r="D257" s="155" t="s">
        <v>127</v>
      </c>
      <c r="E257" s="155" t="s">
        <v>35</v>
      </c>
      <c r="F257" s="155" t="s">
        <v>1649</v>
      </c>
      <c r="G257" s="155">
        <v>208</v>
      </c>
      <c r="H257" s="155" t="s">
        <v>200</v>
      </c>
      <c r="I257" s="155" t="s">
        <v>281</v>
      </c>
      <c r="J257" s="155" t="s">
        <v>1598</v>
      </c>
      <c r="K257" s="155" t="s">
        <v>1597</v>
      </c>
      <c r="L257" s="249">
        <v>46167.351388888892</v>
      </c>
      <c r="M257" s="249">
        <v>46167.367361111108</v>
      </c>
      <c r="N257" s="155" t="s">
        <v>309</v>
      </c>
      <c r="O257" s="152" t="s">
        <v>207</v>
      </c>
      <c r="P257" s="90"/>
      <c r="Q257" s="140" t="s">
        <v>207</v>
      </c>
      <c r="R257" s="90"/>
      <c r="S257" s="140" t="s">
        <v>214</v>
      </c>
      <c r="T257" s="90"/>
      <c r="U257" s="140" t="s">
        <v>207</v>
      </c>
      <c r="V257" s="90"/>
      <c r="W257" s="140" t="s">
        <v>77</v>
      </c>
      <c r="X257" s="90"/>
      <c r="Y257" s="140" t="s">
        <v>77</v>
      </c>
      <c r="Z257" s="90"/>
      <c r="AA257" s="140" t="s">
        <v>77</v>
      </c>
      <c r="AB257" s="90"/>
      <c r="AC257" s="140" t="s">
        <v>207</v>
      </c>
      <c r="AD257" s="90"/>
      <c r="AE257" s="140" t="s">
        <v>207</v>
      </c>
      <c r="AF257" s="137" t="str">
        <f t="shared" si="13"/>
        <v>NC</v>
      </c>
      <c r="AG257" s="179" t="str">
        <f t="shared" ref="AG257:AG319" si="15">IF(AND(AE257="C",AF257="C"),"UTILIZOU O PDA CORRETAMENTE",IF(AND(AE257="C",AF257="NC"),"UTILIZOU O PDA CORRETAMENTE. NÃO HÁ FOTOS DE TODAS AS ETAPAS",IF(AND(AE257="NC",AF257="NC"),"NÃO UTILIZOU O PDA",IF(AND(AE257="NA",AF257="NA"),"NÃO AVALIADO POR FALHA DE SINCRONISMO"))))</f>
        <v>UTILIZOU O PDA CORRETAMENTE. NÃO HÁ FOTOS DE TODAS AS ETAPAS</v>
      </c>
      <c r="AH257" s="140" t="s">
        <v>207</v>
      </c>
      <c r="AI257" s="147" t="s">
        <v>36</v>
      </c>
      <c r="AJ257" s="145" t="str">
        <f t="shared" si="14"/>
        <v>SÃO PAULO</v>
      </c>
      <c r="AK257" s="148" t="s">
        <v>75</v>
      </c>
    </row>
    <row r="258" spans="1:37" ht="30" customHeight="1">
      <c r="A258" s="161" t="s">
        <v>198</v>
      </c>
      <c r="B258" s="216">
        <v>2621698951</v>
      </c>
      <c r="C258" s="155" t="s">
        <v>136</v>
      </c>
      <c r="D258" s="155" t="s">
        <v>127</v>
      </c>
      <c r="E258" s="155" t="s">
        <v>35</v>
      </c>
      <c r="F258" s="155" t="s">
        <v>1649</v>
      </c>
      <c r="G258" s="155">
        <v>177</v>
      </c>
      <c r="H258" s="155" t="s">
        <v>200</v>
      </c>
      <c r="I258" s="155" t="s">
        <v>281</v>
      </c>
      <c r="J258" s="155" t="s">
        <v>1598</v>
      </c>
      <c r="K258" s="155" t="s">
        <v>200</v>
      </c>
      <c r="L258" s="249">
        <v>46167.304166666669</v>
      </c>
      <c r="M258" s="249">
        <v>46167.321527777778</v>
      </c>
      <c r="N258" s="155" t="s">
        <v>309</v>
      </c>
      <c r="O258" s="152" t="s">
        <v>207</v>
      </c>
      <c r="P258" s="90"/>
      <c r="Q258" s="140" t="s">
        <v>207</v>
      </c>
      <c r="R258" s="90"/>
      <c r="S258" s="140" t="s">
        <v>214</v>
      </c>
      <c r="T258" s="90"/>
      <c r="U258" s="140" t="s">
        <v>207</v>
      </c>
      <c r="V258" s="90"/>
      <c r="W258" s="140" t="s">
        <v>77</v>
      </c>
      <c r="X258" s="90"/>
      <c r="Y258" s="140" t="s">
        <v>77</v>
      </c>
      <c r="Z258" s="90"/>
      <c r="AA258" s="140" t="s">
        <v>77</v>
      </c>
      <c r="AB258" s="90"/>
      <c r="AC258" s="140" t="s">
        <v>207</v>
      </c>
      <c r="AD258" s="90"/>
      <c r="AE258" s="140" t="s">
        <v>207</v>
      </c>
      <c r="AF258" s="137" t="str">
        <f t="shared" ref="AF258:AF320" si="16">IF(AND(O258="",Q258="",S258="",U258="",W258="",Y258="",AA258="",AC258=""),"",IF(OR(AND(O258&lt;&gt;"NA",O258&lt;&gt;"C",O258&lt;&gt;"NC",O258&lt;&gt;"SF",O258&lt;&gt;""),AND(Q258&lt;&gt;"NA",Q258&lt;&gt;"C",Q258&lt;&gt;"NC",Q258&lt;&gt;"SF",Q258&lt;&gt;""),AND(S258&lt;&gt;"NA",S258&lt;&gt;"C",S258&lt;&gt;"NC",S258&lt;&gt;"SF",S258&lt;&gt;""),AND(U258&lt;&gt;"NA",U258&lt;&gt;"C",U258&lt;&gt;"NC",U258&lt;&gt;"SF",U258&lt;&gt;""),AND(W258&lt;&gt;"NA",W258&lt;&gt;"C",W258&lt;&gt;"NC",W258&lt;&gt;"SF",W258&lt;&gt;""),AND(Y258&lt;&gt;"NA",Y258&lt;&gt;"C",Y258&lt;&gt;"NC",Y258&lt;&gt;"SF",Y258&lt;&gt;""),AND(AA258&lt;&gt;"NA",AA258&lt;&gt;"C",AA258&lt;&gt;"NC",AA258&lt;&gt;"SF",AA258&lt;&gt;""),AND(AC258&lt;&gt;"NA",AC258&lt;&gt;"C",AC258&lt;&gt;"NC",AC258&lt;&gt;"SF",AC258&lt;&gt;"")),"FALSO",IF(AND(O258="NA",Q258="NA",S258="NA",U258="NA",W258="NA",Y258="NA",AA258="NA",AC258="NA"),"NA",IF(OR(O258="NC",Q258="NC",S258="NC",U258="NC",W258="NC",Y258="NC",AA258="NC",AC258="NC",O258="SF",Q258="SF",S258="SF",U258="SF",W258="SF",Y258="SF",AA258="SF",AC258="SF"),"NC",IF(OR(O258="C",Q258="C",S258="C",U258="C",W258="C",Y258="C",AA258="C",AC258="C"),"C","")))))</f>
        <v>NC</v>
      </c>
      <c r="AG258" s="179" t="str">
        <f t="shared" si="15"/>
        <v>UTILIZOU O PDA CORRETAMENTE. NÃO HÁ FOTOS DE TODAS AS ETAPAS</v>
      </c>
      <c r="AH258" s="140" t="s">
        <v>207</v>
      </c>
      <c r="AI258" s="147" t="s">
        <v>36</v>
      </c>
      <c r="AJ258" s="145" t="str">
        <f t="shared" si="14"/>
        <v>SÃO PAULO</v>
      </c>
      <c r="AK258" s="148" t="s">
        <v>75</v>
      </c>
    </row>
    <row r="259" spans="1:37" ht="30" customHeight="1">
      <c r="A259" s="161" t="s">
        <v>198</v>
      </c>
      <c r="B259" s="216">
        <v>2621699008</v>
      </c>
      <c r="C259" s="155" t="s">
        <v>136</v>
      </c>
      <c r="D259" s="155" t="s">
        <v>127</v>
      </c>
      <c r="E259" s="155" t="s">
        <v>35</v>
      </c>
      <c r="F259" s="155" t="s">
        <v>1649</v>
      </c>
      <c r="G259" s="155">
        <v>74</v>
      </c>
      <c r="H259" s="155" t="s">
        <v>200</v>
      </c>
      <c r="I259" s="155" t="s">
        <v>281</v>
      </c>
      <c r="J259" s="155" t="s">
        <v>1553</v>
      </c>
      <c r="K259" s="155" t="s">
        <v>1872</v>
      </c>
      <c r="L259" s="249">
        <v>46167.282638888886</v>
      </c>
      <c r="M259" s="249">
        <v>46167.28402777778</v>
      </c>
      <c r="N259" s="155" t="s">
        <v>309</v>
      </c>
      <c r="O259" s="152" t="s">
        <v>207</v>
      </c>
      <c r="P259" s="90"/>
      <c r="Q259" s="140" t="s">
        <v>207</v>
      </c>
      <c r="R259" s="90"/>
      <c r="S259" s="140" t="s">
        <v>214</v>
      </c>
      <c r="T259" s="90"/>
      <c r="U259" s="140" t="s">
        <v>207</v>
      </c>
      <c r="V259" s="90"/>
      <c r="W259" s="140" t="s">
        <v>77</v>
      </c>
      <c r="X259" s="90"/>
      <c r="Y259" s="140" t="s">
        <v>77</v>
      </c>
      <c r="Z259" s="90"/>
      <c r="AA259" s="140" t="s">
        <v>77</v>
      </c>
      <c r="AB259" s="90"/>
      <c r="AC259" s="140" t="s">
        <v>207</v>
      </c>
      <c r="AD259" s="90"/>
      <c r="AE259" s="140" t="s">
        <v>207</v>
      </c>
      <c r="AF259" s="137" t="str">
        <f t="shared" si="16"/>
        <v>NC</v>
      </c>
      <c r="AG259" s="179" t="str">
        <f t="shared" si="15"/>
        <v>UTILIZOU O PDA CORRETAMENTE. NÃO HÁ FOTOS DE TODAS AS ETAPAS</v>
      </c>
      <c r="AH259" s="140" t="s">
        <v>207</v>
      </c>
      <c r="AI259" s="147" t="s">
        <v>36</v>
      </c>
      <c r="AJ259" s="145" t="str">
        <f t="shared" si="14"/>
        <v>SÃO PAULO</v>
      </c>
      <c r="AK259" s="148" t="s">
        <v>75</v>
      </c>
    </row>
    <row r="260" spans="1:37" ht="30" customHeight="1">
      <c r="A260" s="161" t="s">
        <v>198</v>
      </c>
      <c r="B260" s="216">
        <v>2621861329</v>
      </c>
      <c r="C260" s="155" t="s">
        <v>1534</v>
      </c>
      <c r="D260" s="155" t="s">
        <v>126</v>
      </c>
      <c r="E260" s="155" t="s">
        <v>35</v>
      </c>
      <c r="F260" s="155" t="s">
        <v>1873</v>
      </c>
      <c r="G260" s="155">
        <v>342</v>
      </c>
      <c r="H260" s="155" t="s">
        <v>200</v>
      </c>
      <c r="I260" s="155" t="s">
        <v>300</v>
      </c>
      <c r="J260" s="155" t="s">
        <v>1536</v>
      </c>
      <c r="K260" s="155" t="s">
        <v>1874</v>
      </c>
      <c r="L260" s="249">
        <v>46167.692361111112</v>
      </c>
      <c r="M260" s="249">
        <v>46167.731944444444</v>
      </c>
      <c r="N260" s="155" t="s">
        <v>1537</v>
      </c>
      <c r="O260" s="152" t="s">
        <v>207</v>
      </c>
      <c r="P260" s="90"/>
      <c r="Q260" s="140" t="s">
        <v>215</v>
      </c>
      <c r="R260" s="90" t="s">
        <v>1604</v>
      </c>
      <c r="S260" s="140" t="s">
        <v>214</v>
      </c>
      <c r="T260" s="90"/>
      <c r="U260" s="140" t="s">
        <v>207</v>
      </c>
      <c r="V260" s="90"/>
      <c r="W260" s="140" t="s">
        <v>214</v>
      </c>
      <c r="X260" s="90"/>
      <c r="Y260" s="140" t="s">
        <v>77</v>
      </c>
      <c r="Z260" s="90"/>
      <c r="AA260" s="140" t="s">
        <v>214</v>
      </c>
      <c r="AB260" s="90"/>
      <c r="AC260" s="140" t="s">
        <v>207</v>
      </c>
      <c r="AD260" s="90"/>
      <c r="AE260" s="140" t="s">
        <v>207</v>
      </c>
      <c r="AF260" s="137" t="str">
        <f t="shared" si="16"/>
        <v>NC</v>
      </c>
      <c r="AG260" s="179" t="str">
        <f t="shared" si="15"/>
        <v>UTILIZOU O PDA CORRETAMENTE. NÃO HÁ FOTOS DE TODAS AS ETAPAS</v>
      </c>
      <c r="AH260" s="140" t="s">
        <v>207</v>
      </c>
      <c r="AI260" s="147" t="s">
        <v>36</v>
      </c>
      <c r="AJ260" s="145" t="str">
        <f t="shared" si="14"/>
        <v>SÃO PAULO</v>
      </c>
      <c r="AK260" s="148" t="s">
        <v>75</v>
      </c>
    </row>
    <row r="261" spans="1:37" ht="30" customHeight="1">
      <c r="A261" s="161" t="s">
        <v>198</v>
      </c>
      <c r="B261" s="216">
        <v>2621653897</v>
      </c>
      <c r="C261" s="155" t="s">
        <v>136</v>
      </c>
      <c r="D261" s="155" t="s">
        <v>127</v>
      </c>
      <c r="E261" s="155" t="s">
        <v>35</v>
      </c>
      <c r="F261" s="155" t="s">
        <v>1427</v>
      </c>
      <c r="G261" s="155">
        <v>1363</v>
      </c>
      <c r="H261" s="155" t="s">
        <v>200</v>
      </c>
      <c r="I261" s="155" t="s">
        <v>319</v>
      </c>
      <c r="J261" s="155" t="s">
        <v>1525</v>
      </c>
      <c r="K261" s="155" t="s">
        <v>200</v>
      </c>
      <c r="L261" s="249">
        <v>46167.291666666664</v>
      </c>
      <c r="M261" s="249">
        <v>46167.292361111111</v>
      </c>
      <c r="N261" s="155" t="s">
        <v>309</v>
      </c>
      <c r="O261" s="152" t="s">
        <v>207</v>
      </c>
      <c r="P261" s="90"/>
      <c r="Q261" s="140" t="s">
        <v>207</v>
      </c>
      <c r="R261" s="90"/>
      <c r="S261" s="140" t="s">
        <v>207</v>
      </c>
      <c r="T261" s="90"/>
      <c r="U261" s="140" t="s">
        <v>207</v>
      </c>
      <c r="V261" s="90"/>
      <c r="W261" s="140" t="s">
        <v>207</v>
      </c>
      <c r="X261" s="90"/>
      <c r="Y261" s="140" t="s">
        <v>207</v>
      </c>
      <c r="Z261" s="90"/>
      <c r="AA261" s="140" t="s">
        <v>207</v>
      </c>
      <c r="AB261" s="90"/>
      <c r="AC261" s="140" t="s">
        <v>207</v>
      </c>
      <c r="AD261" s="90"/>
      <c r="AE261" s="140" t="s">
        <v>207</v>
      </c>
      <c r="AF261" s="137" t="str">
        <f t="shared" si="16"/>
        <v>C</v>
      </c>
      <c r="AG261" s="179" t="str">
        <f t="shared" si="15"/>
        <v>UTILIZOU O PDA CORRETAMENTE</v>
      </c>
      <c r="AH261" s="140" t="s">
        <v>207</v>
      </c>
      <c r="AI261" s="147" t="s">
        <v>36</v>
      </c>
      <c r="AJ261" s="145" t="str">
        <f t="shared" si="14"/>
        <v>SÃO PAULO</v>
      </c>
      <c r="AK261" s="148" t="s">
        <v>75</v>
      </c>
    </row>
    <row r="262" spans="1:37" ht="30" customHeight="1">
      <c r="A262" s="161" t="s">
        <v>198</v>
      </c>
      <c r="B262" s="216">
        <v>2621866677</v>
      </c>
      <c r="C262" s="155" t="s">
        <v>135</v>
      </c>
      <c r="D262" s="155" t="s">
        <v>125</v>
      </c>
      <c r="E262" s="155" t="s">
        <v>35</v>
      </c>
      <c r="F262" s="155" t="s">
        <v>879</v>
      </c>
      <c r="G262" s="155">
        <v>54</v>
      </c>
      <c r="H262" s="155" t="s">
        <v>200</v>
      </c>
      <c r="I262" s="155" t="s">
        <v>253</v>
      </c>
      <c r="J262" s="155" t="s">
        <v>135</v>
      </c>
      <c r="K262" s="155" t="s">
        <v>200</v>
      </c>
      <c r="L262" s="249">
        <v>46167.592361111114</v>
      </c>
      <c r="M262" s="249">
        <v>46167.637499999997</v>
      </c>
      <c r="N262" s="155" t="s">
        <v>1537</v>
      </c>
      <c r="O262" s="152" t="s">
        <v>207</v>
      </c>
      <c r="P262" s="90"/>
      <c r="Q262" s="140" t="s">
        <v>215</v>
      </c>
      <c r="R262" s="90" t="s">
        <v>418</v>
      </c>
      <c r="S262" s="140" t="s">
        <v>214</v>
      </c>
      <c r="T262" s="90"/>
      <c r="U262" s="140" t="s">
        <v>207</v>
      </c>
      <c r="V262" s="90"/>
      <c r="W262" s="140" t="s">
        <v>214</v>
      </c>
      <c r="X262" s="90"/>
      <c r="Y262" s="140" t="s">
        <v>77</v>
      </c>
      <c r="Z262" s="90"/>
      <c r="AA262" s="140" t="s">
        <v>207</v>
      </c>
      <c r="AB262" s="90"/>
      <c r="AC262" s="140" t="s">
        <v>215</v>
      </c>
      <c r="AD262" s="90" t="s">
        <v>882</v>
      </c>
      <c r="AE262" s="140" t="s">
        <v>207</v>
      </c>
      <c r="AF262" s="137" t="str">
        <f t="shared" si="16"/>
        <v>NC</v>
      </c>
      <c r="AG262" s="179" t="str">
        <f t="shared" si="15"/>
        <v>UTILIZOU O PDA CORRETAMENTE. NÃO HÁ FOTOS DE TODAS AS ETAPAS</v>
      </c>
      <c r="AH262" s="140" t="s">
        <v>207</v>
      </c>
      <c r="AI262" s="147" t="s">
        <v>36</v>
      </c>
      <c r="AJ262" s="145" t="str">
        <f t="shared" si="14"/>
        <v>SÃO PAULO</v>
      </c>
      <c r="AK262" s="148" t="s">
        <v>75</v>
      </c>
    </row>
    <row r="263" spans="1:37" ht="30" customHeight="1">
      <c r="A263" s="269" t="s">
        <v>198</v>
      </c>
      <c r="B263" s="396">
        <v>2621869103</v>
      </c>
      <c r="C263" s="271" t="s">
        <v>1569</v>
      </c>
      <c r="D263" s="271" t="s">
        <v>127</v>
      </c>
      <c r="E263" s="271" t="s">
        <v>35</v>
      </c>
      <c r="F263" s="271" t="s">
        <v>1875</v>
      </c>
      <c r="G263" s="271">
        <v>28</v>
      </c>
      <c r="H263" s="271" t="s">
        <v>200</v>
      </c>
      <c r="I263" s="271" t="s">
        <v>1876</v>
      </c>
      <c r="J263" s="271" t="s">
        <v>1570</v>
      </c>
      <c r="K263" s="282" t="s">
        <v>1581</v>
      </c>
      <c r="L263" s="272">
        <v>46167.901388888888</v>
      </c>
      <c r="M263" s="272">
        <v>46167.904861111114</v>
      </c>
      <c r="N263" s="271" t="s">
        <v>1572</v>
      </c>
      <c r="O263" s="152" t="s">
        <v>77</v>
      </c>
      <c r="P263" s="90"/>
      <c r="Q263" s="140" t="s">
        <v>77</v>
      </c>
      <c r="R263" s="90"/>
      <c r="S263" s="140" t="s">
        <v>77</v>
      </c>
      <c r="T263" s="90"/>
      <c r="U263" s="140" t="s">
        <v>77</v>
      </c>
      <c r="V263" s="90"/>
      <c r="W263" s="140" t="s">
        <v>77</v>
      </c>
      <c r="X263" s="90"/>
      <c r="Y263" s="140" t="s">
        <v>77</v>
      </c>
      <c r="Z263" s="90"/>
      <c r="AA263" s="140" t="s">
        <v>77</v>
      </c>
      <c r="AB263" s="90"/>
      <c r="AC263" s="140" t="s">
        <v>77</v>
      </c>
      <c r="AD263" s="90"/>
      <c r="AE263" s="140" t="s">
        <v>77</v>
      </c>
      <c r="AF263" s="137" t="str">
        <f t="shared" si="16"/>
        <v>NA</v>
      </c>
      <c r="AG263" s="179" t="str">
        <f t="shared" si="15"/>
        <v>NÃO AVALIADO POR FALHA DE SINCRONISMO</v>
      </c>
      <c r="AH263" s="140"/>
      <c r="AI263" s="147" t="s">
        <v>36</v>
      </c>
      <c r="AJ263" s="145" t="str">
        <f t="shared" si="14"/>
        <v>SÃO PAULO</v>
      </c>
      <c r="AK263" s="148" t="s">
        <v>75</v>
      </c>
    </row>
    <row r="264" spans="1:37" ht="30" customHeight="1">
      <c r="A264" s="197" t="s">
        <v>198</v>
      </c>
      <c r="B264" s="197">
        <v>2621674874</v>
      </c>
      <c r="C264" s="197" t="s">
        <v>125</v>
      </c>
      <c r="D264" s="197" t="s">
        <v>125</v>
      </c>
      <c r="E264" s="197" t="s">
        <v>35</v>
      </c>
      <c r="F264" s="197" t="s">
        <v>1419</v>
      </c>
      <c r="G264" s="197">
        <v>74</v>
      </c>
      <c r="H264" s="197" t="s">
        <v>401</v>
      </c>
      <c r="I264" s="197" t="s">
        <v>573</v>
      </c>
      <c r="J264" s="197" t="s">
        <v>125</v>
      </c>
      <c r="K264" s="197" t="s">
        <v>200</v>
      </c>
      <c r="L264" s="203">
        <v>46168.291666666664</v>
      </c>
      <c r="M264" s="203">
        <v>46168.292361111111</v>
      </c>
      <c r="N264" s="197" t="s">
        <v>1565</v>
      </c>
      <c r="O264" s="152" t="s">
        <v>77</v>
      </c>
      <c r="P264" s="90"/>
      <c r="Q264" s="140" t="s">
        <v>77</v>
      </c>
      <c r="R264" s="90"/>
      <c r="S264" s="140" t="s">
        <v>77</v>
      </c>
      <c r="T264" s="90"/>
      <c r="U264" s="140" t="s">
        <v>77</v>
      </c>
      <c r="V264" s="90"/>
      <c r="W264" s="140" t="s">
        <v>77</v>
      </c>
      <c r="X264" s="90"/>
      <c r="Y264" s="140" t="s">
        <v>77</v>
      </c>
      <c r="Z264" s="90"/>
      <c r="AA264" s="140" t="s">
        <v>77</v>
      </c>
      <c r="AB264" s="90"/>
      <c r="AC264" s="140" t="s">
        <v>77</v>
      </c>
      <c r="AD264" s="90"/>
      <c r="AE264" s="140" t="s">
        <v>77</v>
      </c>
      <c r="AF264" s="137" t="str">
        <f t="shared" si="16"/>
        <v>NA</v>
      </c>
      <c r="AG264" s="179" t="str">
        <f>IF(AND(AE264="C",AF264="C"),"UTILIZOU O PDA CORRETAMENTE",IF(AND(AE264="C",AF264="NC"),"UTILIZOU O PDA CORRETAMENTE. NÃO HÁ FOTOS DE TODAS AS ETAPAS",IF(AND(AE264="NC",AF264="NC"),"NÃO UTILIZOU O PDA",IF(AND(AE264="NA",AF264="NA"),"NÃO AVALIADO POR FALHA DE SINCRONISMO"))))</f>
        <v>NÃO AVALIADO POR FALHA DE SINCRONISMO</v>
      </c>
      <c r="AH264" s="140" t="s">
        <v>207</v>
      </c>
      <c r="AI264" s="147" t="s">
        <v>36</v>
      </c>
      <c r="AJ264" s="145" t="str">
        <f t="shared" si="14"/>
        <v>SÃO PAULO</v>
      </c>
      <c r="AK264" s="148" t="s">
        <v>75</v>
      </c>
    </row>
    <row r="265" spans="1:37" ht="30" customHeight="1">
      <c r="A265" s="197" t="s">
        <v>198</v>
      </c>
      <c r="B265" s="197">
        <v>2621859425</v>
      </c>
      <c r="C265" s="197" t="s">
        <v>138</v>
      </c>
      <c r="D265" s="197" t="s">
        <v>124</v>
      </c>
      <c r="E265" s="197" t="s">
        <v>35</v>
      </c>
      <c r="F265" s="197" t="s">
        <v>457</v>
      </c>
      <c r="G265" s="197">
        <v>56</v>
      </c>
      <c r="H265" s="197" t="s">
        <v>208</v>
      </c>
      <c r="I265" s="197" t="s">
        <v>417</v>
      </c>
      <c r="J265" s="197" t="s">
        <v>1539</v>
      </c>
      <c r="K265" s="197" t="s">
        <v>200</v>
      </c>
      <c r="L265" s="203">
        <v>46168.418749999997</v>
      </c>
      <c r="M265" s="203">
        <v>46168.522916666669</v>
      </c>
      <c r="N265" s="197" t="s">
        <v>1537</v>
      </c>
      <c r="O265" s="152" t="s">
        <v>207</v>
      </c>
      <c r="P265" s="90"/>
      <c r="Q265" s="140" t="s">
        <v>215</v>
      </c>
      <c r="R265" s="90" t="s">
        <v>1877</v>
      </c>
      <c r="S265" s="140" t="s">
        <v>214</v>
      </c>
      <c r="T265" s="90"/>
      <c r="U265" s="140" t="s">
        <v>207</v>
      </c>
      <c r="V265" s="90"/>
      <c r="W265" s="140" t="s">
        <v>214</v>
      </c>
      <c r="X265" s="90"/>
      <c r="Y265" s="140" t="s">
        <v>77</v>
      </c>
      <c r="Z265" s="90"/>
      <c r="AA265" s="140" t="s">
        <v>207</v>
      </c>
      <c r="AB265" s="90"/>
      <c r="AC265" s="140" t="s">
        <v>207</v>
      </c>
      <c r="AD265" s="90"/>
      <c r="AE265" s="140" t="s">
        <v>207</v>
      </c>
      <c r="AF265" s="137" t="str">
        <f t="shared" si="16"/>
        <v>NC</v>
      </c>
      <c r="AG265" s="179" t="str">
        <f t="shared" si="15"/>
        <v>UTILIZOU O PDA CORRETAMENTE. NÃO HÁ FOTOS DE TODAS AS ETAPAS</v>
      </c>
      <c r="AH265" s="140" t="s">
        <v>207</v>
      </c>
      <c r="AI265" s="147" t="s">
        <v>36</v>
      </c>
      <c r="AJ265" s="145" t="str">
        <f t="shared" si="14"/>
        <v>SÃO PAULO</v>
      </c>
      <c r="AK265" s="148" t="s">
        <v>75</v>
      </c>
    </row>
    <row r="266" spans="1:37" ht="30" customHeight="1">
      <c r="A266" s="197" t="s">
        <v>198</v>
      </c>
      <c r="B266" s="197">
        <v>2622110977</v>
      </c>
      <c r="C266" s="197" t="s">
        <v>138</v>
      </c>
      <c r="D266" s="197" t="s">
        <v>124</v>
      </c>
      <c r="E266" s="197" t="s">
        <v>35</v>
      </c>
      <c r="F266" s="197" t="s">
        <v>1878</v>
      </c>
      <c r="G266" s="197">
        <v>272</v>
      </c>
      <c r="H266" s="197" t="s">
        <v>208</v>
      </c>
      <c r="I266" s="197" t="s">
        <v>717</v>
      </c>
      <c r="J266" s="197" t="s">
        <v>1539</v>
      </c>
      <c r="K266" s="204" t="s">
        <v>1879</v>
      </c>
      <c r="L266" s="203">
        <v>46168.504861111112</v>
      </c>
      <c r="M266" s="203">
        <v>46168.511805555558</v>
      </c>
      <c r="N266" s="197" t="s">
        <v>1546</v>
      </c>
      <c r="O266" s="152" t="s">
        <v>207</v>
      </c>
      <c r="P266" s="90"/>
      <c r="Q266" s="140" t="s">
        <v>214</v>
      </c>
      <c r="R266" s="90"/>
      <c r="S266" s="140" t="s">
        <v>214</v>
      </c>
      <c r="T266" s="90"/>
      <c r="U266" s="140" t="s">
        <v>207</v>
      </c>
      <c r="V266" s="90"/>
      <c r="W266" s="140" t="s">
        <v>214</v>
      </c>
      <c r="X266" s="90"/>
      <c r="Y266" s="140" t="s">
        <v>77</v>
      </c>
      <c r="Z266" s="90"/>
      <c r="AA266" s="140" t="s">
        <v>214</v>
      </c>
      <c r="AB266" s="90"/>
      <c r="AC266" s="140" t="s">
        <v>215</v>
      </c>
      <c r="AD266" s="90" t="s">
        <v>430</v>
      </c>
      <c r="AE266" s="140" t="s">
        <v>207</v>
      </c>
      <c r="AF266" s="137" t="str">
        <f t="shared" si="16"/>
        <v>NC</v>
      </c>
      <c r="AG266" s="179" t="str">
        <f t="shared" si="15"/>
        <v>UTILIZOU O PDA CORRETAMENTE. NÃO HÁ FOTOS DE TODAS AS ETAPAS</v>
      </c>
      <c r="AH266" s="140" t="s">
        <v>207</v>
      </c>
      <c r="AI266" s="147" t="s">
        <v>36</v>
      </c>
      <c r="AJ266" s="145" t="str">
        <f t="shared" si="14"/>
        <v>SÃO PAULO</v>
      </c>
      <c r="AK266" s="148" t="s">
        <v>75</v>
      </c>
    </row>
    <row r="267" spans="1:37" ht="30" customHeight="1">
      <c r="A267" s="197" t="s">
        <v>198</v>
      </c>
      <c r="B267" s="197">
        <v>2621859784</v>
      </c>
      <c r="C267" s="197" t="s">
        <v>138</v>
      </c>
      <c r="D267" s="197" t="s">
        <v>124</v>
      </c>
      <c r="E267" s="197" t="s">
        <v>35</v>
      </c>
      <c r="F267" s="197" t="s">
        <v>1880</v>
      </c>
      <c r="G267" s="197">
        <v>74</v>
      </c>
      <c r="H267" s="197"/>
      <c r="I267" s="197" t="s">
        <v>417</v>
      </c>
      <c r="J267" s="197" t="s">
        <v>1539</v>
      </c>
      <c r="K267" s="197"/>
      <c r="L267" s="203">
        <v>46168.588888888888</v>
      </c>
      <c r="M267" s="203">
        <v>46168.699305555558</v>
      </c>
      <c r="N267" s="197" t="s">
        <v>1537</v>
      </c>
      <c r="O267" s="152" t="s">
        <v>207</v>
      </c>
      <c r="P267" s="90"/>
      <c r="Q267" s="140" t="s">
        <v>207</v>
      </c>
      <c r="R267" s="90"/>
      <c r="S267" s="140" t="s">
        <v>214</v>
      </c>
      <c r="T267" s="90"/>
      <c r="U267" s="140" t="s">
        <v>207</v>
      </c>
      <c r="V267" s="90"/>
      <c r="W267" s="140" t="s">
        <v>214</v>
      </c>
      <c r="X267" s="90"/>
      <c r="Y267" s="140" t="s">
        <v>77</v>
      </c>
      <c r="Z267" s="90"/>
      <c r="AA267" s="140" t="s">
        <v>207</v>
      </c>
      <c r="AB267" s="90"/>
      <c r="AC267" s="140" t="s">
        <v>207</v>
      </c>
      <c r="AD267" s="90"/>
      <c r="AE267" s="140" t="s">
        <v>207</v>
      </c>
      <c r="AF267" s="137" t="str">
        <f t="shared" si="16"/>
        <v>NC</v>
      </c>
      <c r="AG267" s="179" t="str">
        <f t="shared" si="15"/>
        <v>UTILIZOU O PDA CORRETAMENTE. NÃO HÁ FOTOS DE TODAS AS ETAPAS</v>
      </c>
      <c r="AH267" s="140" t="s">
        <v>207</v>
      </c>
      <c r="AI267" s="147" t="s">
        <v>36</v>
      </c>
      <c r="AJ267" s="145" t="str">
        <f t="shared" si="14"/>
        <v>SÃO PAULO</v>
      </c>
      <c r="AK267" s="148" t="s">
        <v>75</v>
      </c>
    </row>
    <row r="268" spans="1:37" ht="30" customHeight="1">
      <c r="A268" s="197" t="s">
        <v>198</v>
      </c>
      <c r="B268" s="197">
        <v>2621867267</v>
      </c>
      <c r="C268" s="197" t="s">
        <v>137</v>
      </c>
      <c r="D268" s="197" t="s">
        <v>126</v>
      </c>
      <c r="E268" s="197" t="s">
        <v>35</v>
      </c>
      <c r="F268" s="197" t="s">
        <v>1881</v>
      </c>
      <c r="G268" s="197">
        <v>498</v>
      </c>
      <c r="H268" s="197" t="s">
        <v>200</v>
      </c>
      <c r="I268" s="197" t="s">
        <v>300</v>
      </c>
      <c r="J268" s="197" t="s">
        <v>1526</v>
      </c>
      <c r="K268" s="197" t="s">
        <v>1882</v>
      </c>
      <c r="L268" s="203">
        <v>46168.410416666666</v>
      </c>
      <c r="M268" s="203">
        <v>46168.625</v>
      </c>
      <c r="N268" s="197" t="s">
        <v>465</v>
      </c>
      <c r="O268" s="152"/>
      <c r="P268" s="90"/>
      <c r="Q268" s="140"/>
      <c r="R268" s="90"/>
      <c r="S268" s="140"/>
      <c r="T268" s="90"/>
      <c r="U268" s="140"/>
      <c r="V268" s="90"/>
      <c r="W268" s="140"/>
      <c r="X268" s="90"/>
      <c r="Y268" s="140"/>
      <c r="Z268" s="90"/>
      <c r="AA268" s="140"/>
      <c r="AB268" s="90"/>
      <c r="AC268" s="140"/>
      <c r="AD268" s="90"/>
      <c r="AE268" s="140"/>
      <c r="AF268" s="137" t="str">
        <f t="shared" si="16"/>
        <v/>
      </c>
      <c r="AG268" s="179" t="b">
        <f t="shared" si="15"/>
        <v>0</v>
      </c>
      <c r="AH268" s="140"/>
      <c r="AI268" s="147" t="s">
        <v>36</v>
      </c>
      <c r="AJ268" s="145" t="str">
        <f t="shared" si="14"/>
        <v>SÃO PAULO</v>
      </c>
      <c r="AK268" s="148" t="s">
        <v>75</v>
      </c>
    </row>
    <row r="269" spans="1:37" ht="30" customHeight="1">
      <c r="A269" s="197" t="s">
        <v>198</v>
      </c>
      <c r="B269" s="197">
        <v>2621863705</v>
      </c>
      <c r="C269" s="197" t="s">
        <v>136</v>
      </c>
      <c r="D269" s="197" t="s">
        <v>127</v>
      </c>
      <c r="E269" s="197" t="s">
        <v>35</v>
      </c>
      <c r="F269" s="197" t="s">
        <v>1883</v>
      </c>
      <c r="G269" s="197">
        <v>115</v>
      </c>
      <c r="H269" s="197"/>
      <c r="I269" s="197" t="s">
        <v>598</v>
      </c>
      <c r="J269" s="197" t="s">
        <v>1598</v>
      </c>
      <c r="K269" s="197"/>
      <c r="L269" s="203">
        <v>46168.182638888888</v>
      </c>
      <c r="M269" s="203">
        <v>46168.205555555556</v>
      </c>
      <c r="N269" s="197" t="s">
        <v>309</v>
      </c>
      <c r="O269" s="152"/>
      <c r="P269" s="90"/>
      <c r="Q269" s="140"/>
      <c r="R269" s="90"/>
      <c r="S269" s="140"/>
      <c r="T269" s="90"/>
      <c r="U269" s="140"/>
      <c r="V269" s="90"/>
      <c r="W269" s="140"/>
      <c r="X269" s="90"/>
      <c r="Y269" s="140"/>
      <c r="Z269" s="90"/>
      <c r="AA269" s="140"/>
      <c r="AB269" s="90"/>
      <c r="AC269" s="140"/>
      <c r="AD269" s="90"/>
      <c r="AE269" s="140"/>
      <c r="AF269" s="137" t="str">
        <f t="shared" si="16"/>
        <v/>
      </c>
      <c r="AG269" s="179" t="b">
        <f t="shared" si="15"/>
        <v>0</v>
      </c>
      <c r="AH269" s="140"/>
      <c r="AI269" s="147" t="s">
        <v>36</v>
      </c>
      <c r="AJ269" s="145" t="str">
        <f t="shared" si="14"/>
        <v>SÃO PAULO</v>
      </c>
      <c r="AK269" s="148" t="s">
        <v>75</v>
      </c>
    </row>
    <row r="270" spans="1:37" ht="30" customHeight="1">
      <c r="A270" s="197" t="s">
        <v>198</v>
      </c>
      <c r="B270" s="197">
        <v>2621650681</v>
      </c>
      <c r="C270" s="197" t="s">
        <v>136</v>
      </c>
      <c r="D270" s="197" t="s">
        <v>127</v>
      </c>
      <c r="E270" s="197" t="s">
        <v>35</v>
      </c>
      <c r="F270" s="197" t="s">
        <v>638</v>
      </c>
      <c r="G270" s="197">
        <v>200</v>
      </c>
      <c r="H270" s="197" t="s">
        <v>200</v>
      </c>
      <c r="I270" s="197" t="s">
        <v>447</v>
      </c>
      <c r="J270" s="197" t="s">
        <v>1525</v>
      </c>
      <c r="K270" s="197" t="s">
        <v>200</v>
      </c>
      <c r="L270" s="203">
        <v>46168.291666666664</v>
      </c>
      <c r="M270" s="203">
        <v>46168.292361111111</v>
      </c>
      <c r="N270" s="197" t="s">
        <v>309</v>
      </c>
      <c r="O270" s="152"/>
      <c r="P270" s="90"/>
      <c r="Q270" s="140"/>
      <c r="R270" s="90"/>
      <c r="S270" s="140"/>
      <c r="T270" s="90"/>
      <c r="U270" s="140"/>
      <c r="V270" s="90"/>
      <c r="W270" s="140"/>
      <c r="X270" s="90"/>
      <c r="Y270" s="140"/>
      <c r="Z270" s="90"/>
      <c r="AA270" s="140"/>
      <c r="AB270" s="90"/>
      <c r="AC270" s="140"/>
      <c r="AD270" s="90"/>
      <c r="AE270" s="140"/>
      <c r="AF270" s="137" t="str">
        <f t="shared" si="16"/>
        <v/>
      </c>
      <c r="AG270" s="179" t="b">
        <f t="shared" si="15"/>
        <v>0</v>
      </c>
      <c r="AH270" s="140"/>
      <c r="AI270" s="147" t="s">
        <v>36</v>
      </c>
      <c r="AJ270" s="145" t="str">
        <f t="shared" si="14"/>
        <v>SÃO PAULO</v>
      </c>
      <c r="AK270" s="148" t="s">
        <v>75</v>
      </c>
    </row>
    <row r="271" spans="1:37" ht="30" customHeight="1">
      <c r="A271" s="197" t="s">
        <v>198</v>
      </c>
      <c r="B271" s="197">
        <v>2621857521</v>
      </c>
      <c r="C271" s="197" t="s">
        <v>136</v>
      </c>
      <c r="D271" s="197" t="s">
        <v>127</v>
      </c>
      <c r="E271" s="197" t="s">
        <v>35</v>
      </c>
      <c r="F271" s="197" t="s">
        <v>1884</v>
      </c>
      <c r="G271" s="197">
        <v>149</v>
      </c>
      <c r="H271" s="197"/>
      <c r="I271" s="197" t="s">
        <v>598</v>
      </c>
      <c r="J271" s="197" t="s">
        <v>1598</v>
      </c>
      <c r="K271" s="197" t="s">
        <v>1885</v>
      </c>
      <c r="L271" s="203">
        <v>46168.299305555556</v>
      </c>
      <c r="M271" s="203">
        <v>46168.302083333336</v>
      </c>
      <c r="N271" s="197" t="s">
        <v>309</v>
      </c>
      <c r="O271" s="152"/>
      <c r="P271" s="90"/>
      <c r="Q271" s="140"/>
      <c r="R271" s="90"/>
      <c r="S271" s="140"/>
      <c r="T271" s="90"/>
      <c r="U271" s="140"/>
      <c r="V271" s="90"/>
      <c r="W271" s="140"/>
      <c r="X271" s="90"/>
      <c r="Y271" s="140"/>
      <c r="Z271" s="90"/>
      <c r="AA271" s="140"/>
      <c r="AB271" s="90"/>
      <c r="AC271" s="140"/>
      <c r="AD271" s="90"/>
      <c r="AE271" s="140"/>
      <c r="AF271" s="137" t="str">
        <f t="shared" si="16"/>
        <v/>
      </c>
      <c r="AG271" s="179" t="b">
        <f t="shared" si="15"/>
        <v>0</v>
      </c>
      <c r="AH271" s="140"/>
      <c r="AI271" s="147" t="s">
        <v>36</v>
      </c>
      <c r="AJ271" s="145" t="str">
        <f t="shared" si="14"/>
        <v>SÃO PAULO</v>
      </c>
      <c r="AK271" s="148" t="s">
        <v>75</v>
      </c>
    </row>
    <row r="272" spans="1:37" ht="30" customHeight="1">
      <c r="A272" s="197" t="s">
        <v>198</v>
      </c>
      <c r="B272" s="197">
        <v>2622113498</v>
      </c>
      <c r="C272" s="197" t="s">
        <v>1534</v>
      </c>
      <c r="D272" s="197" t="s">
        <v>126</v>
      </c>
      <c r="E272" s="197" t="s">
        <v>35</v>
      </c>
      <c r="F272" s="197" t="s">
        <v>1864</v>
      </c>
      <c r="G272" s="197">
        <v>311</v>
      </c>
      <c r="H272" s="197" t="s">
        <v>200</v>
      </c>
      <c r="I272" s="197" t="s">
        <v>1780</v>
      </c>
      <c r="J272" s="197" t="s">
        <v>1536</v>
      </c>
      <c r="K272" s="197" t="s">
        <v>1886</v>
      </c>
      <c r="L272" s="203">
        <v>46168.375</v>
      </c>
      <c r="M272" s="203">
        <v>46168.375694444447</v>
      </c>
      <c r="N272" s="197" t="s">
        <v>465</v>
      </c>
      <c r="O272" s="152"/>
      <c r="P272" s="90"/>
      <c r="Q272" s="140"/>
      <c r="R272" s="90"/>
      <c r="S272" s="140"/>
      <c r="T272" s="90"/>
      <c r="U272" s="140"/>
      <c r="V272" s="90"/>
      <c r="W272" s="140"/>
      <c r="X272" s="90"/>
      <c r="Y272" s="140"/>
      <c r="Z272" s="90"/>
      <c r="AA272" s="140"/>
      <c r="AB272" s="90"/>
      <c r="AC272" s="140"/>
      <c r="AD272" s="90"/>
      <c r="AE272" s="140"/>
      <c r="AF272" s="137" t="str">
        <f t="shared" si="16"/>
        <v/>
      </c>
      <c r="AG272" s="179" t="b">
        <f t="shared" si="15"/>
        <v>0</v>
      </c>
      <c r="AH272" s="140"/>
      <c r="AI272" s="147" t="s">
        <v>36</v>
      </c>
      <c r="AJ272" s="145" t="str">
        <f t="shared" si="14"/>
        <v>SÃO PAULO</v>
      </c>
      <c r="AK272" s="148" t="s">
        <v>75</v>
      </c>
    </row>
    <row r="273" spans="1:37" ht="30" customHeight="1">
      <c r="A273" s="197" t="s">
        <v>198</v>
      </c>
      <c r="B273" s="197">
        <v>2621885557</v>
      </c>
      <c r="C273" s="197" t="s">
        <v>1842</v>
      </c>
      <c r="D273" s="197" t="s">
        <v>127</v>
      </c>
      <c r="E273" s="197" t="s">
        <v>35</v>
      </c>
      <c r="F273" s="197" t="s">
        <v>1887</v>
      </c>
      <c r="G273" s="197">
        <v>39</v>
      </c>
      <c r="H273" s="197" t="s">
        <v>200</v>
      </c>
      <c r="I273" s="197" t="s">
        <v>567</v>
      </c>
      <c r="J273" s="197" t="s">
        <v>1888</v>
      </c>
      <c r="K273" s="197" t="s">
        <v>200</v>
      </c>
      <c r="L273" s="203">
        <v>46168.291666666664</v>
      </c>
      <c r="M273" s="203">
        <v>46168.292361111111</v>
      </c>
      <c r="N273" s="197" t="s">
        <v>203</v>
      </c>
      <c r="O273" s="152"/>
      <c r="P273" s="90"/>
      <c r="Q273" s="140"/>
      <c r="R273" s="90"/>
      <c r="S273" s="140"/>
      <c r="T273" s="90"/>
      <c r="U273" s="140"/>
      <c r="V273" s="90"/>
      <c r="W273" s="140"/>
      <c r="X273" s="90"/>
      <c r="Y273" s="140"/>
      <c r="Z273" s="90"/>
      <c r="AA273" s="140"/>
      <c r="AB273" s="90"/>
      <c r="AC273" s="140"/>
      <c r="AD273" s="90"/>
      <c r="AE273" s="140"/>
      <c r="AF273" s="137" t="str">
        <f t="shared" si="16"/>
        <v/>
      </c>
      <c r="AG273" s="179" t="b">
        <f t="shared" si="15"/>
        <v>0</v>
      </c>
      <c r="AH273" s="140"/>
      <c r="AI273" s="147" t="s">
        <v>36</v>
      </c>
      <c r="AJ273" s="145" t="str">
        <f t="shared" si="14"/>
        <v>SÃO PAULO</v>
      </c>
      <c r="AK273" s="148" t="s">
        <v>75</v>
      </c>
    </row>
    <row r="274" spans="1:37" ht="30" customHeight="1">
      <c r="A274" s="197" t="s">
        <v>198</v>
      </c>
      <c r="B274" s="197">
        <v>2622146270</v>
      </c>
      <c r="C274" s="197" t="s">
        <v>138</v>
      </c>
      <c r="D274" s="197" t="s">
        <v>124</v>
      </c>
      <c r="E274" s="197" t="s">
        <v>35</v>
      </c>
      <c r="F274" s="197" t="s">
        <v>1881</v>
      </c>
      <c r="G274" s="197">
        <v>490</v>
      </c>
      <c r="H274" s="197"/>
      <c r="I274" s="197" t="s">
        <v>300</v>
      </c>
      <c r="J274" s="197" t="s">
        <v>1539</v>
      </c>
      <c r="K274" s="197" t="s">
        <v>1889</v>
      </c>
      <c r="L274" s="203">
        <v>46168.631944444445</v>
      </c>
      <c r="M274" s="203">
        <v>46168.672222222223</v>
      </c>
      <c r="N274" s="197" t="s">
        <v>465</v>
      </c>
      <c r="O274" s="152"/>
      <c r="P274" s="90"/>
      <c r="Q274" s="140"/>
      <c r="R274" s="90"/>
      <c r="S274" s="140"/>
      <c r="T274" s="90"/>
      <c r="U274" s="140"/>
      <c r="V274" s="90"/>
      <c r="W274" s="140"/>
      <c r="X274" s="90"/>
      <c r="Y274" s="140"/>
      <c r="Z274" s="90"/>
      <c r="AA274" s="140"/>
      <c r="AB274" s="90"/>
      <c r="AC274" s="140"/>
      <c r="AD274" s="90"/>
      <c r="AE274" s="140"/>
      <c r="AF274" s="137" t="str">
        <f t="shared" si="16"/>
        <v/>
      </c>
      <c r="AG274" s="179" t="b">
        <f t="shared" si="15"/>
        <v>0</v>
      </c>
      <c r="AH274" s="140"/>
      <c r="AI274" s="147" t="s">
        <v>36</v>
      </c>
      <c r="AJ274" s="145" t="str">
        <f t="shared" si="14"/>
        <v>SÃO PAULO</v>
      </c>
      <c r="AK274" s="148" t="s">
        <v>75</v>
      </c>
    </row>
    <row r="275" spans="1:37" ht="30" customHeight="1">
      <c r="A275" s="197" t="s">
        <v>198</v>
      </c>
      <c r="B275" s="197">
        <v>2621885957</v>
      </c>
      <c r="C275" s="197" t="s">
        <v>136</v>
      </c>
      <c r="D275" s="197" t="s">
        <v>127</v>
      </c>
      <c r="E275" s="197" t="s">
        <v>35</v>
      </c>
      <c r="F275" s="197" t="s">
        <v>1887</v>
      </c>
      <c r="G275" s="197">
        <v>50</v>
      </c>
      <c r="H275" s="197"/>
      <c r="I275" s="197" t="s">
        <v>567</v>
      </c>
      <c r="J275" s="197" t="s">
        <v>1525</v>
      </c>
      <c r="K275" s="197"/>
      <c r="L275" s="203">
        <v>46168.291666666664</v>
      </c>
      <c r="M275" s="203">
        <v>46168.292361111111</v>
      </c>
      <c r="N275" s="197" t="s">
        <v>203</v>
      </c>
      <c r="O275" s="152"/>
      <c r="P275" s="90"/>
      <c r="Q275" s="140"/>
      <c r="R275" s="90"/>
      <c r="S275" s="140"/>
      <c r="T275" s="90"/>
      <c r="U275" s="140"/>
      <c r="V275" s="90"/>
      <c r="W275" s="140"/>
      <c r="X275" s="90"/>
      <c r="Y275" s="140"/>
      <c r="Z275" s="90"/>
      <c r="AA275" s="140"/>
      <c r="AB275" s="90"/>
      <c r="AC275" s="140"/>
      <c r="AD275" s="90"/>
      <c r="AE275" s="140"/>
      <c r="AF275" s="137" t="str">
        <f t="shared" si="16"/>
        <v/>
      </c>
      <c r="AG275" s="179" t="b">
        <f t="shared" si="15"/>
        <v>0</v>
      </c>
      <c r="AH275" s="140"/>
      <c r="AI275" s="147" t="s">
        <v>36</v>
      </c>
      <c r="AJ275" s="145" t="str">
        <f t="shared" si="14"/>
        <v>SÃO PAULO</v>
      </c>
      <c r="AK275" s="148" t="s">
        <v>75</v>
      </c>
    </row>
    <row r="276" spans="1:37" ht="30" customHeight="1">
      <c r="A276" s="285" t="s">
        <v>198</v>
      </c>
      <c r="B276" s="285">
        <v>2621885740</v>
      </c>
      <c r="C276" s="285" t="s">
        <v>136</v>
      </c>
      <c r="D276" s="285" t="s">
        <v>127</v>
      </c>
      <c r="E276" s="285" t="s">
        <v>35</v>
      </c>
      <c r="F276" s="285" t="s">
        <v>1887</v>
      </c>
      <c r="G276" s="285">
        <v>49</v>
      </c>
      <c r="H276" s="285" t="s">
        <v>208</v>
      </c>
      <c r="I276" s="285" t="s">
        <v>567</v>
      </c>
      <c r="J276" s="285" t="s">
        <v>1525</v>
      </c>
      <c r="K276" s="285" t="s">
        <v>200</v>
      </c>
      <c r="L276" s="286">
        <v>46168.291666666664</v>
      </c>
      <c r="M276" s="286">
        <v>46168.292361111111</v>
      </c>
      <c r="N276" s="285" t="s">
        <v>203</v>
      </c>
      <c r="O276" s="152"/>
      <c r="P276" s="90"/>
      <c r="Q276" s="140"/>
      <c r="R276" s="90"/>
      <c r="S276" s="140"/>
      <c r="T276" s="90"/>
      <c r="U276" s="140"/>
      <c r="V276" s="90"/>
      <c r="W276" s="140"/>
      <c r="X276" s="90"/>
      <c r="Y276" s="140"/>
      <c r="Z276" s="90"/>
      <c r="AA276" s="140"/>
      <c r="AB276" s="90"/>
      <c r="AC276" s="140"/>
      <c r="AD276" s="90"/>
      <c r="AE276" s="140"/>
      <c r="AF276" s="137" t="str">
        <f t="shared" si="16"/>
        <v/>
      </c>
      <c r="AG276" s="179" t="b">
        <f t="shared" si="15"/>
        <v>0</v>
      </c>
      <c r="AH276" s="140"/>
      <c r="AI276" s="147" t="s">
        <v>36</v>
      </c>
      <c r="AJ276" s="145" t="str">
        <f t="shared" si="14"/>
        <v>SÃO PAULO</v>
      </c>
      <c r="AK276" s="148" t="s">
        <v>75</v>
      </c>
    </row>
    <row r="277" spans="1:37" ht="30" customHeight="1">
      <c r="A277" s="197" t="s">
        <v>198</v>
      </c>
      <c r="B277" s="197">
        <v>2621695482</v>
      </c>
      <c r="C277" s="197" t="s">
        <v>136</v>
      </c>
      <c r="D277" s="197" t="s">
        <v>127</v>
      </c>
      <c r="E277" s="197" t="s">
        <v>35</v>
      </c>
      <c r="F277" s="197" t="s">
        <v>1868</v>
      </c>
      <c r="G277" s="197">
        <v>18</v>
      </c>
      <c r="H277" s="197" t="s">
        <v>208</v>
      </c>
      <c r="I277" s="197" t="s">
        <v>359</v>
      </c>
      <c r="J277" s="197" t="s">
        <v>1525</v>
      </c>
      <c r="K277" s="197" t="s">
        <v>1890</v>
      </c>
      <c r="L277" s="203">
        <v>46169.291666666664</v>
      </c>
      <c r="M277" s="203">
        <v>46169.292361111111</v>
      </c>
      <c r="N277" s="197" t="s">
        <v>203</v>
      </c>
      <c r="O277" s="152"/>
      <c r="P277" s="90"/>
      <c r="Q277" s="140"/>
      <c r="R277" s="90"/>
      <c r="S277" s="140"/>
      <c r="T277" s="90"/>
      <c r="U277" s="140"/>
      <c r="V277" s="90"/>
      <c r="W277" s="140"/>
      <c r="X277" s="90"/>
      <c r="Y277" s="140"/>
      <c r="Z277" s="90"/>
      <c r="AA277" s="140"/>
      <c r="AB277" s="90"/>
      <c r="AC277" s="140"/>
      <c r="AD277" s="90"/>
      <c r="AE277" s="140"/>
      <c r="AF277" s="137" t="str">
        <f t="shared" si="16"/>
        <v/>
      </c>
      <c r="AG277" s="179" t="b">
        <f t="shared" si="15"/>
        <v>0</v>
      </c>
      <c r="AH277" s="140"/>
      <c r="AI277" s="147" t="s">
        <v>36</v>
      </c>
      <c r="AJ277" s="145" t="str">
        <f t="shared" si="14"/>
        <v>SÃO PAULO</v>
      </c>
      <c r="AK277" s="148" t="s">
        <v>75</v>
      </c>
    </row>
    <row r="278" spans="1:37" ht="30" customHeight="1">
      <c r="A278" s="197" t="s">
        <v>198</v>
      </c>
      <c r="B278" s="197">
        <v>2621853484</v>
      </c>
      <c r="C278" s="197" t="s">
        <v>136</v>
      </c>
      <c r="D278" s="197" t="s">
        <v>127</v>
      </c>
      <c r="E278" s="197" t="s">
        <v>35</v>
      </c>
      <c r="F278" s="197" t="s">
        <v>1891</v>
      </c>
      <c r="G278" s="197">
        <v>78</v>
      </c>
      <c r="H278" s="197"/>
      <c r="I278" s="197" t="s">
        <v>218</v>
      </c>
      <c r="J278" s="197" t="s">
        <v>1525</v>
      </c>
      <c r="K278" s="197"/>
      <c r="L278" s="203">
        <v>46169.569444444445</v>
      </c>
      <c r="M278" s="203">
        <v>46169.62777777778</v>
      </c>
      <c r="N278" s="197" t="s">
        <v>203</v>
      </c>
      <c r="O278" s="152"/>
      <c r="P278" s="90"/>
      <c r="Q278" s="140"/>
      <c r="R278" s="90"/>
      <c r="S278" s="140"/>
      <c r="T278" s="90"/>
      <c r="U278" s="140"/>
      <c r="V278" s="90"/>
      <c r="W278" s="140"/>
      <c r="X278" s="90"/>
      <c r="Y278" s="140"/>
      <c r="Z278" s="90"/>
      <c r="AA278" s="140"/>
      <c r="AB278" s="90"/>
      <c r="AC278" s="140"/>
      <c r="AD278" s="90"/>
      <c r="AE278" s="140"/>
      <c r="AF278" s="137" t="str">
        <f t="shared" si="16"/>
        <v/>
      </c>
      <c r="AG278" s="179" t="b">
        <f t="shared" si="15"/>
        <v>0</v>
      </c>
      <c r="AH278" s="140"/>
      <c r="AI278" s="147" t="s">
        <v>36</v>
      </c>
      <c r="AJ278" s="145" t="str">
        <f t="shared" si="14"/>
        <v>SÃO PAULO</v>
      </c>
      <c r="AK278" s="148" t="s">
        <v>75</v>
      </c>
    </row>
    <row r="279" spans="1:37" ht="30" customHeight="1">
      <c r="A279" s="197" t="s">
        <v>198</v>
      </c>
      <c r="B279" s="197">
        <v>2621875413</v>
      </c>
      <c r="C279" s="197" t="s">
        <v>136</v>
      </c>
      <c r="D279" s="197" t="s">
        <v>127</v>
      </c>
      <c r="E279" s="197" t="s">
        <v>35</v>
      </c>
      <c r="F279" s="197" t="s">
        <v>1892</v>
      </c>
      <c r="G279" s="197">
        <v>22</v>
      </c>
      <c r="H279" s="197" t="s">
        <v>205</v>
      </c>
      <c r="I279" s="197" t="s">
        <v>1893</v>
      </c>
      <c r="J279" s="197" t="s">
        <v>1525</v>
      </c>
      <c r="K279" s="197" t="s">
        <v>200</v>
      </c>
      <c r="L279" s="203">
        <v>46169.40902777778</v>
      </c>
      <c r="M279" s="203">
        <v>46169.459722222222</v>
      </c>
      <c r="N279" s="197" t="s">
        <v>203</v>
      </c>
      <c r="O279" s="152"/>
      <c r="P279" s="90"/>
      <c r="Q279" s="140"/>
      <c r="R279" s="90"/>
      <c r="S279" s="140"/>
      <c r="T279" s="90"/>
      <c r="U279" s="140"/>
      <c r="V279" s="90"/>
      <c r="W279" s="140"/>
      <c r="X279" s="90"/>
      <c r="Y279" s="140"/>
      <c r="Z279" s="90"/>
      <c r="AA279" s="140"/>
      <c r="AB279" s="90"/>
      <c r="AC279" s="140"/>
      <c r="AD279" s="90"/>
      <c r="AE279" s="140"/>
      <c r="AF279" s="137" t="str">
        <f t="shared" si="16"/>
        <v/>
      </c>
      <c r="AG279" s="179" t="b">
        <f t="shared" si="15"/>
        <v>0</v>
      </c>
      <c r="AH279" s="140"/>
      <c r="AI279" s="147" t="s">
        <v>36</v>
      </c>
      <c r="AJ279" s="145" t="str">
        <f t="shared" si="14"/>
        <v>SÃO PAULO</v>
      </c>
      <c r="AK279" s="148" t="s">
        <v>75</v>
      </c>
    </row>
    <row r="280" spans="1:37" ht="30" customHeight="1">
      <c r="A280" s="197" t="s">
        <v>198</v>
      </c>
      <c r="B280" s="197">
        <v>2622151883</v>
      </c>
      <c r="C280" s="197" t="s">
        <v>138</v>
      </c>
      <c r="D280" s="197" t="s">
        <v>124</v>
      </c>
      <c r="E280" s="197" t="s">
        <v>35</v>
      </c>
      <c r="F280" s="197" t="s">
        <v>1894</v>
      </c>
      <c r="G280" s="197">
        <v>30</v>
      </c>
      <c r="H280" s="197"/>
      <c r="I280" s="197" t="s">
        <v>447</v>
      </c>
      <c r="J280" s="197" t="s">
        <v>1539</v>
      </c>
      <c r="K280" s="197"/>
      <c r="L280" s="203">
        <v>46169.291666666664</v>
      </c>
      <c r="M280" s="203">
        <v>46169.292361111111</v>
      </c>
      <c r="N280" s="197" t="s">
        <v>1546</v>
      </c>
      <c r="O280" s="152"/>
      <c r="P280" s="90"/>
      <c r="Q280" s="140"/>
      <c r="R280" s="90"/>
      <c r="S280" s="140"/>
      <c r="T280" s="90"/>
      <c r="U280" s="140"/>
      <c r="V280" s="90"/>
      <c r="W280" s="140"/>
      <c r="X280" s="90"/>
      <c r="Y280" s="140"/>
      <c r="Z280" s="90"/>
      <c r="AA280" s="140"/>
      <c r="AB280" s="90"/>
      <c r="AC280" s="140"/>
      <c r="AD280" s="90"/>
      <c r="AE280" s="140"/>
      <c r="AF280" s="137" t="str">
        <f t="shared" si="16"/>
        <v/>
      </c>
      <c r="AG280" s="179" t="b">
        <f t="shared" si="15"/>
        <v>0</v>
      </c>
      <c r="AH280" s="140"/>
      <c r="AI280" s="147" t="s">
        <v>36</v>
      </c>
      <c r="AJ280" s="145" t="str">
        <f t="shared" si="14"/>
        <v>SÃO PAULO</v>
      </c>
      <c r="AK280" s="148" t="s">
        <v>75</v>
      </c>
    </row>
    <row r="281" spans="1:37" ht="30" customHeight="1">
      <c r="A281" s="197" t="s">
        <v>198</v>
      </c>
      <c r="B281" s="197">
        <v>2619792993</v>
      </c>
      <c r="C281" s="197" t="s">
        <v>133</v>
      </c>
      <c r="D281" s="197" t="s">
        <v>125</v>
      </c>
      <c r="E281" s="197" t="s">
        <v>35</v>
      </c>
      <c r="F281" s="197" t="s">
        <v>1895</v>
      </c>
      <c r="G281" s="197">
        <v>94</v>
      </c>
      <c r="H281" s="197" t="s">
        <v>208</v>
      </c>
      <c r="I281" s="197" t="s">
        <v>266</v>
      </c>
      <c r="J281" s="197" t="s">
        <v>133</v>
      </c>
      <c r="K281" s="197"/>
      <c r="L281" s="203">
        <v>46169.402083333334</v>
      </c>
      <c r="M281" s="203">
        <v>46169.477777777778</v>
      </c>
      <c r="N281" s="197" t="s">
        <v>465</v>
      </c>
      <c r="O281" s="152"/>
      <c r="P281" s="90"/>
      <c r="Q281" s="140"/>
      <c r="R281" s="90"/>
      <c r="S281" s="140"/>
      <c r="T281" s="90"/>
      <c r="U281" s="140"/>
      <c r="V281" s="90"/>
      <c r="W281" s="140"/>
      <c r="X281" s="90"/>
      <c r="Y281" s="140"/>
      <c r="Z281" s="90"/>
      <c r="AA281" s="140"/>
      <c r="AB281" s="90"/>
      <c r="AC281" s="140"/>
      <c r="AD281" s="90"/>
      <c r="AE281" s="140"/>
      <c r="AF281" s="137" t="str">
        <f t="shared" si="16"/>
        <v/>
      </c>
      <c r="AG281" s="179" t="b">
        <f t="shared" si="15"/>
        <v>0</v>
      </c>
      <c r="AH281" s="140"/>
      <c r="AI281" s="147" t="s">
        <v>36</v>
      </c>
      <c r="AJ281" s="145" t="str">
        <f t="shared" si="14"/>
        <v>SÃO PAULO</v>
      </c>
      <c r="AK281" s="148" t="s">
        <v>75</v>
      </c>
    </row>
    <row r="282" spans="1:37" ht="30" customHeight="1">
      <c r="A282" s="197" t="s">
        <v>198</v>
      </c>
      <c r="B282" s="197">
        <v>2622150306</v>
      </c>
      <c r="C282" s="197" t="s">
        <v>133</v>
      </c>
      <c r="D282" s="197" t="s">
        <v>125</v>
      </c>
      <c r="E282" s="197" t="s">
        <v>35</v>
      </c>
      <c r="F282" s="197" t="s">
        <v>1478</v>
      </c>
      <c r="G282" s="197">
        <v>385</v>
      </c>
      <c r="H282" s="197" t="s">
        <v>208</v>
      </c>
      <c r="I282" s="197" t="s">
        <v>1480</v>
      </c>
      <c r="J282" s="197" t="s">
        <v>133</v>
      </c>
      <c r="K282" s="197" t="s">
        <v>1896</v>
      </c>
      <c r="L282" s="203">
        <v>46169.586805555555</v>
      </c>
      <c r="M282" s="203">
        <v>46169.688194444447</v>
      </c>
      <c r="N282" s="197" t="s">
        <v>465</v>
      </c>
      <c r="O282" s="152"/>
      <c r="P282" s="90"/>
      <c r="Q282" s="140"/>
      <c r="R282" s="90"/>
      <c r="S282" s="140"/>
      <c r="T282" s="90"/>
      <c r="U282" s="140"/>
      <c r="V282" s="90"/>
      <c r="W282" s="140"/>
      <c r="X282" s="90"/>
      <c r="Y282" s="140"/>
      <c r="Z282" s="90"/>
      <c r="AA282" s="140"/>
      <c r="AB282" s="90"/>
      <c r="AC282" s="140"/>
      <c r="AD282" s="90"/>
      <c r="AE282" s="140"/>
      <c r="AF282" s="137" t="str">
        <f t="shared" si="16"/>
        <v/>
      </c>
      <c r="AG282" s="179" t="b">
        <f t="shared" si="15"/>
        <v>0</v>
      </c>
      <c r="AH282" s="140"/>
      <c r="AI282" s="147" t="s">
        <v>36</v>
      </c>
      <c r="AJ282" s="145" t="str">
        <f t="shared" si="14"/>
        <v>SÃO PAULO</v>
      </c>
      <c r="AK282" s="148" t="s">
        <v>75</v>
      </c>
    </row>
    <row r="283" spans="1:37" ht="30" customHeight="1">
      <c r="A283" s="197" t="s">
        <v>198</v>
      </c>
      <c r="B283" s="197">
        <v>2621887198</v>
      </c>
      <c r="C283" s="197" t="s">
        <v>135</v>
      </c>
      <c r="D283" s="197" t="s">
        <v>125</v>
      </c>
      <c r="E283" s="197" t="s">
        <v>35</v>
      </c>
      <c r="F283" s="197" t="s">
        <v>1481</v>
      </c>
      <c r="G283" s="197">
        <v>397</v>
      </c>
      <c r="H283" s="197" t="s">
        <v>401</v>
      </c>
      <c r="I283" s="197" t="s">
        <v>447</v>
      </c>
      <c r="J283" s="197" t="s">
        <v>135</v>
      </c>
      <c r="K283" s="197"/>
      <c r="L283" s="203">
        <v>46169.291666666664</v>
      </c>
      <c r="M283" s="203">
        <v>46169.292361111111</v>
      </c>
      <c r="N283" s="197" t="s">
        <v>1565</v>
      </c>
      <c r="O283" s="152"/>
      <c r="P283" s="90"/>
      <c r="Q283" s="140"/>
      <c r="R283" s="90"/>
      <c r="S283" s="140"/>
      <c r="T283" s="90"/>
      <c r="U283" s="140"/>
      <c r="V283" s="90"/>
      <c r="W283" s="140"/>
      <c r="X283" s="90"/>
      <c r="Y283" s="140"/>
      <c r="Z283" s="90"/>
      <c r="AA283" s="140"/>
      <c r="AB283" s="90"/>
      <c r="AC283" s="140"/>
      <c r="AD283" s="90"/>
      <c r="AE283" s="140"/>
      <c r="AF283" s="137" t="str">
        <f t="shared" si="16"/>
        <v/>
      </c>
      <c r="AG283" s="179" t="b">
        <f t="shared" si="15"/>
        <v>0</v>
      </c>
      <c r="AH283" s="140"/>
      <c r="AI283" s="147" t="s">
        <v>36</v>
      </c>
      <c r="AJ283" s="145" t="str">
        <f t="shared" si="14"/>
        <v>SÃO PAULO</v>
      </c>
      <c r="AK283" s="148" t="s">
        <v>75</v>
      </c>
    </row>
    <row r="284" spans="1:37" ht="30" customHeight="1">
      <c r="A284" s="197" t="s">
        <v>198</v>
      </c>
      <c r="B284" s="197">
        <v>2621885594</v>
      </c>
      <c r="C284" s="197" t="s">
        <v>135</v>
      </c>
      <c r="D284" s="197" t="s">
        <v>125</v>
      </c>
      <c r="E284" s="197" t="s">
        <v>35</v>
      </c>
      <c r="F284" s="197" t="s">
        <v>1481</v>
      </c>
      <c r="G284" s="197">
        <v>397</v>
      </c>
      <c r="H284" s="197" t="s">
        <v>347</v>
      </c>
      <c r="I284" s="197" t="s">
        <v>447</v>
      </c>
      <c r="J284" s="197" t="s">
        <v>135</v>
      </c>
      <c r="K284" s="197" t="s">
        <v>200</v>
      </c>
      <c r="L284" s="203">
        <v>46169.291666666664</v>
      </c>
      <c r="M284" s="203">
        <v>46169.292361111111</v>
      </c>
      <c r="N284" s="197" t="s">
        <v>1565</v>
      </c>
      <c r="O284" s="152"/>
      <c r="P284" s="90"/>
      <c r="Q284" s="140"/>
      <c r="R284" s="90"/>
      <c r="S284" s="140"/>
      <c r="T284" s="90"/>
      <c r="U284" s="140"/>
      <c r="V284" s="90"/>
      <c r="W284" s="140"/>
      <c r="X284" s="90"/>
      <c r="Y284" s="140"/>
      <c r="Z284" s="90"/>
      <c r="AA284" s="140"/>
      <c r="AB284" s="90"/>
      <c r="AC284" s="140"/>
      <c r="AD284" s="90"/>
      <c r="AE284" s="140"/>
      <c r="AF284" s="137" t="str">
        <f t="shared" si="16"/>
        <v/>
      </c>
      <c r="AG284" s="179" t="b">
        <f t="shared" si="15"/>
        <v>0</v>
      </c>
      <c r="AH284" s="140"/>
      <c r="AI284" s="147" t="s">
        <v>36</v>
      </c>
      <c r="AJ284" s="145" t="str">
        <f t="shared" si="14"/>
        <v>SÃO PAULO</v>
      </c>
      <c r="AK284" s="148" t="s">
        <v>75</v>
      </c>
    </row>
    <row r="285" spans="1:37" ht="30" customHeight="1">
      <c r="A285" s="197" t="s">
        <v>198</v>
      </c>
      <c r="B285" s="197">
        <v>2622167355</v>
      </c>
      <c r="C285" s="197" t="s">
        <v>131</v>
      </c>
      <c r="D285" s="197" t="s">
        <v>124</v>
      </c>
      <c r="E285" s="197" t="s">
        <v>35</v>
      </c>
      <c r="F285" s="197" t="s">
        <v>1897</v>
      </c>
      <c r="G285" s="197">
        <v>507</v>
      </c>
      <c r="H285" s="197" t="s">
        <v>205</v>
      </c>
      <c r="I285" s="197" t="s">
        <v>271</v>
      </c>
      <c r="J285" s="197" t="s">
        <v>1523</v>
      </c>
      <c r="K285" s="204" t="s">
        <v>1898</v>
      </c>
      <c r="L285" s="203">
        <v>46169.573611111111</v>
      </c>
      <c r="M285" s="203">
        <v>46169.577777777777</v>
      </c>
      <c r="N285" s="197" t="s">
        <v>1546</v>
      </c>
      <c r="O285" s="152"/>
      <c r="P285" s="90"/>
      <c r="Q285" s="140"/>
      <c r="R285" s="90"/>
      <c r="S285" s="140"/>
      <c r="T285" s="90"/>
      <c r="U285" s="140"/>
      <c r="V285" s="90"/>
      <c r="W285" s="140"/>
      <c r="X285" s="90"/>
      <c r="Y285" s="140"/>
      <c r="Z285" s="90"/>
      <c r="AA285" s="140"/>
      <c r="AB285" s="90"/>
      <c r="AC285" s="140"/>
      <c r="AD285" s="90"/>
      <c r="AE285" s="140"/>
      <c r="AF285" s="137" t="str">
        <f t="shared" si="16"/>
        <v/>
      </c>
      <c r="AG285" s="179" t="b">
        <f t="shared" si="15"/>
        <v>0</v>
      </c>
      <c r="AH285" s="140"/>
      <c r="AI285" s="147" t="s">
        <v>36</v>
      </c>
      <c r="AJ285" s="145" t="str">
        <f t="shared" si="14"/>
        <v>SÃO PAULO</v>
      </c>
      <c r="AK285" s="148" t="s">
        <v>75</v>
      </c>
    </row>
    <row r="286" spans="1:37" ht="30" customHeight="1">
      <c r="A286" s="197" t="s">
        <v>198</v>
      </c>
      <c r="B286" s="197">
        <v>2621675414</v>
      </c>
      <c r="C286" s="197" t="s">
        <v>136</v>
      </c>
      <c r="D286" s="197" t="s">
        <v>127</v>
      </c>
      <c r="E286" s="197" t="s">
        <v>35</v>
      </c>
      <c r="F286" s="197" t="s">
        <v>204</v>
      </c>
      <c r="G286" s="197">
        <v>1652</v>
      </c>
      <c r="H286" s="197" t="s">
        <v>200</v>
      </c>
      <c r="I286" s="197" t="s">
        <v>209</v>
      </c>
      <c r="J286" s="197" t="s">
        <v>1525</v>
      </c>
      <c r="K286" s="197" t="s">
        <v>200</v>
      </c>
      <c r="L286" s="203">
        <v>46169.43472222222</v>
      </c>
      <c r="M286" s="203">
        <v>46169.435416666667</v>
      </c>
      <c r="N286" s="197" t="s">
        <v>309</v>
      </c>
      <c r="O286" s="152"/>
      <c r="P286" s="90"/>
      <c r="Q286" s="140"/>
      <c r="R286" s="90"/>
      <c r="S286" s="140"/>
      <c r="T286" s="90"/>
      <c r="U286" s="140"/>
      <c r="V286" s="90"/>
      <c r="W286" s="140"/>
      <c r="X286" s="90"/>
      <c r="Y286" s="140"/>
      <c r="Z286" s="90"/>
      <c r="AA286" s="140"/>
      <c r="AB286" s="90"/>
      <c r="AC286" s="140"/>
      <c r="AD286" s="90"/>
      <c r="AE286" s="140"/>
      <c r="AF286" s="137" t="str">
        <f t="shared" si="16"/>
        <v/>
      </c>
      <c r="AG286" s="179" t="b">
        <f t="shared" si="15"/>
        <v>0</v>
      </c>
      <c r="AH286" s="140"/>
      <c r="AI286" s="147" t="s">
        <v>36</v>
      </c>
      <c r="AJ286" s="145" t="str">
        <f t="shared" si="14"/>
        <v>SÃO PAULO</v>
      </c>
      <c r="AK286" s="148" t="s">
        <v>75</v>
      </c>
    </row>
    <row r="287" spans="1:37" ht="30" customHeight="1">
      <c r="A287" s="197" t="s">
        <v>198</v>
      </c>
      <c r="B287" s="197">
        <v>2622146582</v>
      </c>
      <c r="C287" s="197" t="s">
        <v>138</v>
      </c>
      <c r="D287" s="197" t="s">
        <v>124</v>
      </c>
      <c r="E287" s="197" t="s">
        <v>35</v>
      </c>
      <c r="F287" s="197" t="s">
        <v>1899</v>
      </c>
      <c r="G287" s="197">
        <v>39</v>
      </c>
      <c r="H287" s="197"/>
      <c r="I287" s="197" t="s">
        <v>230</v>
      </c>
      <c r="J287" s="197" t="s">
        <v>1539</v>
      </c>
      <c r="K287" s="197"/>
      <c r="L287" s="203">
        <v>46169.458333333336</v>
      </c>
      <c r="M287" s="203">
        <v>46169.459027777775</v>
      </c>
      <c r="N287" s="197" t="s">
        <v>203</v>
      </c>
      <c r="O287" s="152"/>
      <c r="P287" s="90"/>
      <c r="Q287" s="140"/>
      <c r="R287" s="90"/>
      <c r="S287" s="140"/>
      <c r="T287" s="90"/>
      <c r="U287" s="140"/>
      <c r="V287" s="90"/>
      <c r="W287" s="140"/>
      <c r="X287" s="90"/>
      <c r="Y287" s="140"/>
      <c r="Z287" s="90"/>
      <c r="AA287" s="140"/>
      <c r="AB287" s="90"/>
      <c r="AC287" s="140"/>
      <c r="AD287" s="90"/>
      <c r="AE287" s="140"/>
      <c r="AF287" s="137" t="str">
        <f t="shared" si="16"/>
        <v/>
      </c>
      <c r="AG287" s="179" t="b">
        <f t="shared" si="15"/>
        <v>0</v>
      </c>
      <c r="AH287" s="140"/>
      <c r="AI287" s="147" t="s">
        <v>36</v>
      </c>
      <c r="AJ287" s="145" t="str">
        <f t="shared" si="14"/>
        <v>SÃO PAULO</v>
      </c>
      <c r="AK287" s="148" t="s">
        <v>75</v>
      </c>
    </row>
    <row r="288" spans="1:37" ht="30" customHeight="1">
      <c r="A288" s="197" t="s">
        <v>198</v>
      </c>
      <c r="B288" s="197">
        <v>2622322956</v>
      </c>
      <c r="C288" s="197" t="s">
        <v>1569</v>
      </c>
      <c r="D288" s="197" t="s">
        <v>127</v>
      </c>
      <c r="E288" s="197" t="s">
        <v>35</v>
      </c>
      <c r="F288" s="197" t="s">
        <v>1900</v>
      </c>
      <c r="G288" s="197">
        <v>161</v>
      </c>
      <c r="H288" s="197" t="s">
        <v>200</v>
      </c>
      <c r="I288" s="197" t="s">
        <v>271</v>
      </c>
      <c r="J288" s="197" t="s">
        <v>1570</v>
      </c>
      <c r="K288" s="204" t="s">
        <v>1901</v>
      </c>
      <c r="L288" s="203">
        <v>46169.948611111111</v>
      </c>
      <c r="M288" s="203">
        <v>46169.950694444444</v>
      </c>
      <c r="N288" s="197" t="s">
        <v>1572</v>
      </c>
      <c r="O288" s="152"/>
      <c r="P288" s="90"/>
      <c r="Q288" s="140"/>
      <c r="R288" s="90"/>
      <c r="S288" s="140"/>
      <c r="T288" s="90"/>
      <c r="U288" s="140"/>
      <c r="V288" s="90"/>
      <c r="W288" s="140"/>
      <c r="X288" s="90"/>
      <c r="Y288" s="140"/>
      <c r="Z288" s="90"/>
      <c r="AA288" s="140"/>
      <c r="AB288" s="90"/>
      <c r="AC288" s="140"/>
      <c r="AD288" s="90"/>
      <c r="AE288" s="140"/>
      <c r="AF288" s="137" t="str">
        <f t="shared" si="16"/>
        <v/>
      </c>
      <c r="AG288" s="179" t="b">
        <f t="shared" si="15"/>
        <v>0</v>
      </c>
      <c r="AH288" s="140"/>
      <c r="AI288" s="147" t="s">
        <v>36</v>
      </c>
      <c r="AJ288" s="145" t="str">
        <f t="shared" ref="AJ288:AJ351" si="17">E288</f>
        <v>SÃO PAULO</v>
      </c>
      <c r="AK288" s="148" t="s">
        <v>75</v>
      </c>
    </row>
    <row r="289" spans="1:37" ht="30" customHeight="1">
      <c r="A289" s="197" t="s">
        <v>198</v>
      </c>
      <c r="B289" s="197">
        <v>2622323204</v>
      </c>
      <c r="C289" s="197" t="s">
        <v>1569</v>
      </c>
      <c r="D289" s="197" t="s">
        <v>127</v>
      </c>
      <c r="E289" s="197" t="s">
        <v>35</v>
      </c>
      <c r="F289" s="197" t="s">
        <v>1902</v>
      </c>
      <c r="G289" s="197">
        <v>104</v>
      </c>
      <c r="H289" s="197"/>
      <c r="I289" s="197" t="s">
        <v>392</v>
      </c>
      <c r="J289" s="197" t="s">
        <v>1570</v>
      </c>
      <c r="K289" s="204" t="s">
        <v>1901</v>
      </c>
      <c r="L289" s="203">
        <v>46169.951388888891</v>
      </c>
      <c r="M289" s="203">
        <v>46169.952777777777</v>
      </c>
      <c r="N289" s="197" t="s">
        <v>1572</v>
      </c>
      <c r="O289" s="152"/>
      <c r="P289" s="90"/>
      <c r="Q289" s="140"/>
      <c r="R289" s="90"/>
      <c r="S289" s="140"/>
      <c r="T289" s="90"/>
      <c r="U289" s="140"/>
      <c r="V289" s="90"/>
      <c r="W289" s="140"/>
      <c r="X289" s="90"/>
      <c r="Y289" s="140"/>
      <c r="Z289" s="90"/>
      <c r="AA289" s="140"/>
      <c r="AB289" s="90"/>
      <c r="AC289" s="140"/>
      <c r="AD289" s="90"/>
      <c r="AE289" s="140"/>
      <c r="AF289" s="137" t="str">
        <f t="shared" si="16"/>
        <v/>
      </c>
      <c r="AG289" s="179" t="b">
        <f t="shared" si="15"/>
        <v>0</v>
      </c>
      <c r="AH289" s="140"/>
      <c r="AI289" s="147" t="s">
        <v>36</v>
      </c>
      <c r="AJ289" s="145" t="str">
        <f t="shared" si="17"/>
        <v>SÃO PAULO</v>
      </c>
      <c r="AK289" s="148" t="s">
        <v>75</v>
      </c>
    </row>
    <row r="290" spans="1:37" ht="30" customHeight="1">
      <c r="A290" s="197" t="s">
        <v>198</v>
      </c>
      <c r="B290" s="197">
        <v>2622322607</v>
      </c>
      <c r="C290" s="197" t="s">
        <v>1569</v>
      </c>
      <c r="D290" s="197" t="s">
        <v>127</v>
      </c>
      <c r="E290" s="197" t="s">
        <v>35</v>
      </c>
      <c r="F290" s="197" t="s">
        <v>1903</v>
      </c>
      <c r="G290" s="197">
        <v>92</v>
      </c>
      <c r="H290" s="197" t="s">
        <v>200</v>
      </c>
      <c r="I290" s="197" t="s">
        <v>303</v>
      </c>
      <c r="J290" s="197" t="s">
        <v>1570</v>
      </c>
      <c r="K290" s="204" t="s">
        <v>1901</v>
      </c>
      <c r="L290" s="203">
        <v>46169.614583333336</v>
      </c>
      <c r="M290" s="203">
        <v>46169.624305555553</v>
      </c>
      <c r="N290" s="197" t="s">
        <v>1572</v>
      </c>
      <c r="O290" s="152"/>
      <c r="P290" s="90"/>
      <c r="Q290" s="140"/>
      <c r="R290" s="90"/>
      <c r="S290" s="140"/>
      <c r="T290" s="90"/>
      <c r="U290" s="140"/>
      <c r="V290" s="90"/>
      <c r="W290" s="140"/>
      <c r="X290" s="90"/>
      <c r="Y290" s="140"/>
      <c r="Z290" s="90"/>
      <c r="AA290" s="140"/>
      <c r="AB290" s="90"/>
      <c r="AC290" s="140"/>
      <c r="AD290" s="90"/>
      <c r="AE290" s="140"/>
      <c r="AF290" s="137" t="str">
        <f t="shared" si="16"/>
        <v/>
      </c>
      <c r="AG290" s="179" t="b">
        <f t="shared" si="15"/>
        <v>0</v>
      </c>
      <c r="AH290" s="140"/>
      <c r="AI290" s="147" t="s">
        <v>36</v>
      </c>
      <c r="AJ290" s="145" t="str">
        <f t="shared" si="17"/>
        <v>SÃO PAULO</v>
      </c>
      <c r="AK290" s="148" t="s">
        <v>75</v>
      </c>
    </row>
    <row r="291" spans="1:37" ht="30" customHeight="1">
      <c r="A291" s="197" t="s">
        <v>198</v>
      </c>
      <c r="B291" s="197">
        <v>2622112588</v>
      </c>
      <c r="C291" s="197" t="s">
        <v>135</v>
      </c>
      <c r="D291" s="197" t="s">
        <v>125</v>
      </c>
      <c r="E291" s="197" t="s">
        <v>35</v>
      </c>
      <c r="F291" s="197" t="s">
        <v>1493</v>
      </c>
      <c r="G291" s="197">
        <v>318</v>
      </c>
      <c r="H291" s="197"/>
      <c r="I291" s="197" t="s">
        <v>853</v>
      </c>
      <c r="J291" s="197" t="s">
        <v>135</v>
      </c>
      <c r="K291" s="204" t="s">
        <v>1904</v>
      </c>
      <c r="L291" s="203">
        <v>46169.629166666666</v>
      </c>
      <c r="M291" s="203">
        <v>46169.651388888888</v>
      </c>
      <c r="N291" s="197" t="s">
        <v>1546</v>
      </c>
      <c r="O291" s="152"/>
      <c r="P291" s="90"/>
      <c r="Q291" s="140"/>
      <c r="R291" s="90"/>
      <c r="S291" s="140"/>
      <c r="T291" s="90"/>
      <c r="U291" s="140"/>
      <c r="V291" s="90"/>
      <c r="W291" s="140"/>
      <c r="X291" s="90"/>
      <c r="Y291" s="140"/>
      <c r="Z291" s="90"/>
      <c r="AA291" s="140"/>
      <c r="AB291" s="90"/>
      <c r="AC291" s="140"/>
      <c r="AD291" s="90"/>
      <c r="AE291" s="140"/>
      <c r="AF291" s="137" t="str">
        <f t="shared" si="16"/>
        <v/>
      </c>
      <c r="AG291" s="179" t="b">
        <f t="shared" si="15"/>
        <v>0</v>
      </c>
      <c r="AH291" s="140"/>
      <c r="AI291" s="147" t="s">
        <v>36</v>
      </c>
      <c r="AJ291" s="145" t="str">
        <f t="shared" si="17"/>
        <v>SÃO PAULO</v>
      </c>
      <c r="AK291" s="148" t="s">
        <v>75</v>
      </c>
    </row>
    <row r="292" spans="1:37" ht="30" customHeight="1">
      <c r="A292" s="197" t="s">
        <v>198</v>
      </c>
      <c r="B292" s="197">
        <v>2621836756</v>
      </c>
      <c r="C292" s="197" t="s">
        <v>136</v>
      </c>
      <c r="D292" s="197" t="s">
        <v>127</v>
      </c>
      <c r="E292" s="197" t="s">
        <v>35</v>
      </c>
      <c r="F292" s="197" t="s">
        <v>204</v>
      </c>
      <c r="G292" s="197">
        <v>13033</v>
      </c>
      <c r="H292" s="197" t="s">
        <v>200</v>
      </c>
      <c r="I292" s="197" t="s">
        <v>36</v>
      </c>
      <c r="J292" s="197" t="s">
        <v>1525</v>
      </c>
      <c r="K292" s="197" t="s">
        <v>1905</v>
      </c>
      <c r="L292" s="203">
        <v>46169.291666666664</v>
      </c>
      <c r="M292" s="203">
        <v>46169.292361111111</v>
      </c>
      <c r="N292" s="197" t="s">
        <v>1524</v>
      </c>
      <c r="O292" s="152"/>
      <c r="P292" s="90"/>
      <c r="Q292" s="140"/>
      <c r="R292" s="90"/>
      <c r="S292" s="140"/>
      <c r="T292" s="90"/>
      <c r="U292" s="140"/>
      <c r="V292" s="90"/>
      <c r="W292" s="140"/>
      <c r="X292" s="90"/>
      <c r="Y292" s="140"/>
      <c r="Z292" s="90"/>
      <c r="AA292" s="140"/>
      <c r="AB292" s="90"/>
      <c r="AC292" s="140"/>
      <c r="AD292" s="90"/>
      <c r="AE292" s="140"/>
      <c r="AF292" s="137" t="str">
        <f t="shared" si="16"/>
        <v/>
      </c>
      <c r="AG292" s="179" t="b">
        <f t="shared" si="15"/>
        <v>0</v>
      </c>
      <c r="AH292" s="140"/>
      <c r="AI292" s="147" t="s">
        <v>36</v>
      </c>
      <c r="AJ292" s="145" t="str">
        <f t="shared" si="17"/>
        <v>SÃO PAULO</v>
      </c>
      <c r="AK292" s="148" t="s">
        <v>75</v>
      </c>
    </row>
    <row r="293" spans="1:37" ht="30" customHeight="1">
      <c r="A293" s="197" t="s">
        <v>198</v>
      </c>
      <c r="B293" s="197">
        <v>2622158815</v>
      </c>
      <c r="C293" s="197" t="s">
        <v>136</v>
      </c>
      <c r="D293" s="197" t="s">
        <v>127</v>
      </c>
      <c r="E293" s="197" t="s">
        <v>35</v>
      </c>
      <c r="F293" s="197" t="s">
        <v>1906</v>
      </c>
      <c r="G293" s="197">
        <v>13</v>
      </c>
      <c r="H293" s="197" t="s">
        <v>200</v>
      </c>
      <c r="I293" s="197" t="s">
        <v>1907</v>
      </c>
      <c r="J293" s="197" t="s">
        <v>1525</v>
      </c>
      <c r="K293" s="197" t="s">
        <v>200</v>
      </c>
      <c r="L293" s="203">
        <v>46169.583333333336</v>
      </c>
      <c r="M293" s="203">
        <v>46169.584027777775</v>
      </c>
      <c r="N293" s="197" t="s">
        <v>309</v>
      </c>
      <c r="O293" s="152"/>
      <c r="P293" s="90"/>
      <c r="Q293" s="140"/>
      <c r="R293" s="90"/>
      <c r="S293" s="140"/>
      <c r="T293" s="90"/>
      <c r="U293" s="140"/>
      <c r="V293" s="90"/>
      <c r="W293" s="140"/>
      <c r="X293" s="90"/>
      <c r="Y293" s="140"/>
      <c r="Z293" s="90"/>
      <c r="AA293" s="140"/>
      <c r="AB293" s="90"/>
      <c r="AC293" s="140"/>
      <c r="AD293" s="90"/>
      <c r="AE293" s="140"/>
      <c r="AF293" s="137" t="str">
        <f t="shared" si="16"/>
        <v/>
      </c>
      <c r="AG293" s="179" t="b">
        <f t="shared" si="15"/>
        <v>0</v>
      </c>
      <c r="AH293" s="140"/>
      <c r="AI293" s="147" t="s">
        <v>36</v>
      </c>
      <c r="AJ293" s="145" t="str">
        <f t="shared" si="17"/>
        <v>SÃO PAULO</v>
      </c>
      <c r="AK293" s="148" t="s">
        <v>75</v>
      </c>
    </row>
    <row r="294" spans="1:37" ht="30" customHeight="1">
      <c r="A294" s="197" t="s">
        <v>198</v>
      </c>
      <c r="B294" s="197">
        <v>2621839308</v>
      </c>
      <c r="C294" s="197" t="s">
        <v>131</v>
      </c>
      <c r="D294" s="197" t="s">
        <v>124</v>
      </c>
      <c r="E294" s="197" t="s">
        <v>35</v>
      </c>
      <c r="F294" s="197" t="s">
        <v>286</v>
      </c>
      <c r="G294" s="197">
        <v>5066</v>
      </c>
      <c r="H294" s="197"/>
      <c r="I294" s="197" t="s">
        <v>495</v>
      </c>
      <c r="J294" s="197" t="s">
        <v>1523</v>
      </c>
      <c r="K294" s="197"/>
      <c r="L294" s="203">
        <v>46169.595138888886</v>
      </c>
      <c r="M294" s="203">
        <v>46169.632638888892</v>
      </c>
      <c r="N294" s="197" t="s">
        <v>1524</v>
      </c>
      <c r="O294" s="152"/>
      <c r="P294" s="90"/>
      <c r="Q294" s="140"/>
      <c r="R294" s="90"/>
      <c r="S294" s="140"/>
      <c r="T294" s="90"/>
      <c r="U294" s="140"/>
      <c r="V294" s="90"/>
      <c r="W294" s="140"/>
      <c r="X294" s="90"/>
      <c r="Y294" s="140"/>
      <c r="Z294" s="90"/>
      <c r="AA294" s="140"/>
      <c r="AB294" s="90"/>
      <c r="AC294" s="140"/>
      <c r="AD294" s="90"/>
      <c r="AE294" s="140"/>
      <c r="AF294" s="137" t="str">
        <f t="shared" si="16"/>
        <v/>
      </c>
      <c r="AG294" s="179" t="b">
        <f t="shared" si="15"/>
        <v>0</v>
      </c>
      <c r="AH294" s="140"/>
      <c r="AI294" s="147" t="s">
        <v>36</v>
      </c>
      <c r="AJ294" s="145" t="str">
        <f t="shared" si="17"/>
        <v>SÃO PAULO</v>
      </c>
      <c r="AK294" s="148" t="s">
        <v>75</v>
      </c>
    </row>
    <row r="295" spans="1:37" ht="30" customHeight="1">
      <c r="A295" s="283"/>
      <c r="B295" s="283"/>
      <c r="C295" s="283"/>
      <c r="D295" s="283"/>
      <c r="E295" s="283"/>
      <c r="F295" s="283"/>
      <c r="G295" s="283"/>
      <c r="H295" s="283"/>
      <c r="I295" s="283"/>
      <c r="J295" s="283"/>
      <c r="K295" s="283"/>
      <c r="L295" s="283"/>
      <c r="M295" s="283"/>
      <c r="N295" s="284"/>
      <c r="O295" s="152"/>
      <c r="P295" s="90"/>
      <c r="Q295" s="140"/>
      <c r="R295" s="90"/>
      <c r="S295" s="140"/>
      <c r="T295" s="90"/>
      <c r="U295" s="140"/>
      <c r="V295" s="90"/>
      <c r="W295" s="140"/>
      <c r="X295" s="90"/>
      <c r="Y295" s="140"/>
      <c r="Z295" s="90"/>
      <c r="AA295" s="140"/>
      <c r="AB295" s="90"/>
      <c r="AC295" s="140"/>
      <c r="AD295" s="90"/>
      <c r="AE295" s="140"/>
      <c r="AF295" s="137" t="str">
        <f t="shared" si="16"/>
        <v/>
      </c>
      <c r="AG295" s="179" t="b">
        <f t="shared" si="15"/>
        <v>0</v>
      </c>
      <c r="AH295" s="140"/>
      <c r="AI295" s="147" t="s">
        <v>36</v>
      </c>
      <c r="AJ295" s="145">
        <f t="shared" si="17"/>
        <v>0</v>
      </c>
      <c r="AK295" s="148" t="s">
        <v>75</v>
      </c>
    </row>
    <row r="296" spans="1:37" ht="30" customHeight="1">
      <c r="A296" s="62"/>
      <c r="B296" s="62"/>
      <c r="C296" s="62"/>
      <c r="D296" s="62"/>
      <c r="E296" s="62"/>
      <c r="F296" s="62"/>
      <c r="G296" s="62"/>
      <c r="H296" s="62"/>
      <c r="I296" s="62"/>
      <c r="J296" s="62"/>
      <c r="K296" s="62"/>
      <c r="L296" s="62"/>
      <c r="M296" s="62"/>
      <c r="N296" s="186"/>
      <c r="O296" s="152"/>
      <c r="P296" s="90"/>
      <c r="Q296" s="140"/>
      <c r="R296" s="90"/>
      <c r="S296" s="140"/>
      <c r="T296" s="90"/>
      <c r="U296" s="140"/>
      <c r="V296" s="90"/>
      <c r="W296" s="140"/>
      <c r="X296" s="90"/>
      <c r="Y296" s="140"/>
      <c r="Z296" s="90"/>
      <c r="AA296" s="140"/>
      <c r="AB296" s="90"/>
      <c r="AC296" s="140"/>
      <c r="AD296" s="90"/>
      <c r="AE296" s="140"/>
      <c r="AF296" s="137" t="str">
        <f t="shared" si="16"/>
        <v/>
      </c>
      <c r="AG296" s="179" t="b">
        <f t="shared" si="15"/>
        <v>0</v>
      </c>
      <c r="AH296" s="140"/>
      <c r="AI296" s="147" t="s">
        <v>36</v>
      </c>
      <c r="AJ296" s="145">
        <f t="shared" si="17"/>
        <v>0</v>
      </c>
      <c r="AK296" s="148" t="s">
        <v>75</v>
      </c>
    </row>
    <row r="297" spans="1:37" ht="30" customHeight="1">
      <c r="A297" s="62"/>
      <c r="B297" s="62"/>
      <c r="C297" s="62"/>
      <c r="D297" s="62"/>
      <c r="E297" s="62"/>
      <c r="F297" s="62"/>
      <c r="G297" s="62"/>
      <c r="H297" s="62"/>
      <c r="I297" s="62"/>
      <c r="J297" s="62"/>
      <c r="K297" s="62"/>
      <c r="L297" s="62"/>
      <c r="M297" s="62"/>
      <c r="N297" s="186"/>
      <c r="O297" s="152"/>
      <c r="P297" s="90"/>
      <c r="Q297" s="140"/>
      <c r="R297" s="90"/>
      <c r="S297" s="140"/>
      <c r="T297" s="90"/>
      <c r="U297" s="140"/>
      <c r="V297" s="90"/>
      <c r="W297" s="140"/>
      <c r="X297" s="90"/>
      <c r="Y297" s="140"/>
      <c r="Z297" s="90"/>
      <c r="AA297" s="140"/>
      <c r="AB297" s="90"/>
      <c r="AC297" s="140"/>
      <c r="AD297" s="90"/>
      <c r="AE297" s="140"/>
      <c r="AF297" s="137" t="str">
        <f t="shared" si="16"/>
        <v/>
      </c>
      <c r="AG297" s="179" t="b">
        <f t="shared" si="15"/>
        <v>0</v>
      </c>
      <c r="AH297" s="140"/>
      <c r="AI297" s="147" t="s">
        <v>36</v>
      </c>
      <c r="AJ297" s="145">
        <f t="shared" si="17"/>
        <v>0</v>
      </c>
      <c r="AK297" s="148" t="s">
        <v>75</v>
      </c>
    </row>
    <row r="298" spans="1:37" ht="30" customHeight="1">
      <c r="A298" s="62"/>
      <c r="B298" s="62"/>
      <c r="C298" s="62"/>
      <c r="D298" s="62"/>
      <c r="E298" s="62"/>
      <c r="F298" s="62"/>
      <c r="G298" s="62"/>
      <c r="H298" s="62"/>
      <c r="I298" s="62"/>
      <c r="J298" s="62"/>
      <c r="K298" s="62"/>
      <c r="L298" s="62"/>
      <c r="M298" s="62"/>
      <c r="N298" s="186"/>
      <c r="O298" s="152"/>
      <c r="P298" s="90"/>
      <c r="Q298" s="140"/>
      <c r="R298" s="90"/>
      <c r="S298" s="140"/>
      <c r="T298" s="90"/>
      <c r="U298" s="140"/>
      <c r="V298" s="90"/>
      <c r="W298" s="140"/>
      <c r="X298" s="90"/>
      <c r="Y298" s="140"/>
      <c r="Z298" s="90"/>
      <c r="AA298" s="140"/>
      <c r="AB298" s="90"/>
      <c r="AC298" s="140"/>
      <c r="AD298" s="90"/>
      <c r="AE298" s="140"/>
      <c r="AF298" s="137" t="str">
        <f t="shared" si="16"/>
        <v/>
      </c>
      <c r="AG298" s="179" t="b">
        <f t="shared" si="15"/>
        <v>0</v>
      </c>
      <c r="AH298" s="140"/>
      <c r="AI298" s="147" t="s">
        <v>36</v>
      </c>
      <c r="AJ298" s="145">
        <f t="shared" si="17"/>
        <v>0</v>
      </c>
      <c r="AK298" s="148" t="s">
        <v>75</v>
      </c>
    </row>
    <row r="299" spans="1:37" ht="30" customHeight="1">
      <c r="A299" s="62"/>
      <c r="B299" s="62"/>
      <c r="C299" s="62"/>
      <c r="D299" s="62"/>
      <c r="E299" s="62"/>
      <c r="F299" s="62"/>
      <c r="G299" s="62"/>
      <c r="H299" s="62"/>
      <c r="I299" s="62"/>
      <c r="J299" s="62"/>
      <c r="K299" s="62"/>
      <c r="L299" s="62"/>
      <c r="M299" s="62"/>
      <c r="N299" s="186"/>
      <c r="O299" s="152"/>
      <c r="P299" s="90"/>
      <c r="Q299" s="140"/>
      <c r="R299" s="90"/>
      <c r="S299" s="140"/>
      <c r="T299" s="90"/>
      <c r="U299" s="140"/>
      <c r="V299" s="90"/>
      <c r="W299" s="140"/>
      <c r="X299" s="90"/>
      <c r="Y299" s="140"/>
      <c r="Z299" s="90"/>
      <c r="AA299" s="140"/>
      <c r="AB299" s="90"/>
      <c r="AC299" s="140"/>
      <c r="AD299" s="90"/>
      <c r="AE299" s="140"/>
      <c r="AF299" s="137" t="str">
        <f t="shared" si="16"/>
        <v/>
      </c>
      <c r="AG299" s="179" t="b">
        <f t="shared" si="15"/>
        <v>0</v>
      </c>
      <c r="AH299" s="140"/>
      <c r="AI299" s="147" t="s">
        <v>36</v>
      </c>
      <c r="AJ299" s="145">
        <f t="shared" si="17"/>
        <v>0</v>
      </c>
      <c r="AK299" s="148" t="s">
        <v>75</v>
      </c>
    </row>
    <row r="300" spans="1:37" ht="30" customHeight="1">
      <c r="A300" s="62"/>
      <c r="B300" s="62"/>
      <c r="C300" s="62"/>
      <c r="D300" s="62"/>
      <c r="E300" s="62"/>
      <c r="F300" s="62"/>
      <c r="G300" s="62"/>
      <c r="H300" s="62"/>
      <c r="I300" s="62"/>
      <c r="J300" s="62"/>
      <c r="K300" s="62"/>
      <c r="L300" s="62"/>
      <c r="M300" s="62"/>
      <c r="N300" s="186"/>
      <c r="O300" s="152"/>
      <c r="P300" s="90"/>
      <c r="Q300" s="140"/>
      <c r="R300" s="90"/>
      <c r="S300" s="140"/>
      <c r="T300" s="90"/>
      <c r="U300" s="140"/>
      <c r="V300" s="90"/>
      <c r="W300" s="140"/>
      <c r="X300" s="90"/>
      <c r="Y300" s="140"/>
      <c r="Z300" s="90"/>
      <c r="AA300" s="140"/>
      <c r="AB300" s="90"/>
      <c r="AC300" s="140"/>
      <c r="AD300" s="90"/>
      <c r="AE300" s="140"/>
      <c r="AF300" s="137" t="str">
        <f t="shared" si="16"/>
        <v/>
      </c>
      <c r="AG300" s="179" t="b">
        <f t="shared" si="15"/>
        <v>0</v>
      </c>
      <c r="AH300" s="140"/>
      <c r="AI300" s="147" t="s">
        <v>36</v>
      </c>
      <c r="AJ300" s="145">
        <f t="shared" si="17"/>
        <v>0</v>
      </c>
      <c r="AK300" s="148" t="s">
        <v>75</v>
      </c>
    </row>
    <row r="301" spans="1:37" ht="30" customHeight="1">
      <c r="A301" s="62"/>
      <c r="B301" s="62"/>
      <c r="C301" s="62"/>
      <c r="D301" s="62"/>
      <c r="E301" s="62"/>
      <c r="F301" s="62"/>
      <c r="G301" s="62"/>
      <c r="H301" s="62"/>
      <c r="I301" s="62"/>
      <c r="J301" s="62"/>
      <c r="K301" s="62"/>
      <c r="L301" s="62"/>
      <c r="M301" s="62"/>
      <c r="N301" s="186"/>
      <c r="O301" s="152"/>
      <c r="P301" s="90"/>
      <c r="Q301" s="140"/>
      <c r="R301" s="90"/>
      <c r="S301" s="140"/>
      <c r="T301" s="90"/>
      <c r="U301" s="140"/>
      <c r="V301" s="90"/>
      <c r="W301" s="140"/>
      <c r="X301" s="90"/>
      <c r="Y301" s="140"/>
      <c r="Z301" s="90"/>
      <c r="AA301" s="140"/>
      <c r="AB301" s="90"/>
      <c r="AC301" s="140"/>
      <c r="AD301" s="90"/>
      <c r="AE301" s="140"/>
      <c r="AF301" s="137" t="str">
        <f t="shared" si="16"/>
        <v/>
      </c>
      <c r="AG301" s="179" t="b">
        <f t="shared" si="15"/>
        <v>0</v>
      </c>
      <c r="AH301" s="140"/>
      <c r="AI301" s="147" t="s">
        <v>36</v>
      </c>
      <c r="AJ301" s="145">
        <f t="shared" si="17"/>
        <v>0</v>
      </c>
      <c r="AK301" s="148" t="s">
        <v>75</v>
      </c>
    </row>
    <row r="302" spans="1:37" ht="30" customHeight="1">
      <c r="A302" s="62"/>
      <c r="B302" s="62"/>
      <c r="C302" s="62"/>
      <c r="D302" s="62"/>
      <c r="E302" s="62"/>
      <c r="F302" s="62"/>
      <c r="G302" s="62"/>
      <c r="H302" s="62"/>
      <c r="I302" s="62"/>
      <c r="J302" s="62"/>
      <c r="K302" s="62"/>
      <c r="L302" s="62"/>
      <c r="M302" s="62"/>
      <c r="N302" s="186"/>
      <c r="O302" s="152"/>
      <c r="P302" s="90"/>
      <c r="Q302" s="140"/>
      <c r="R302" s="90"/>
      <c r="S302" s="140"/>
      <c r="T302" s="90"/>
      <c r="U302" s="140"/>
      <c r="V302" s="90"/>
      <c r="W302" s="140"/>
      <c r="X302" s="90"/>
      <c r="Y302" s="140"/>
      <c r="Z302" s="90"/>
      <c r="AA302" s="140"/>
      <c r="AB302" s="90"/>
      <c r="AC302" s="140"/>
      <c r="AD302" s="90"/>
      <c r="AE302" s="140"/>
      <c r="AF302" s="137" t="str">
        <f t="shared" si="16"/>
        <v/>
      </c>
      <c r="AG302" s="179" t="b">
        <f t="shared" si="15"/>
        <v>0</v>
      </c>
      <c r="AH302" s="140"/>
      <c r="AI302" s="147" t="s">
        <v>36</v>
      </c>
      <c r="AJ302" s="145">
        <f t="shared" si="17"/>
        <v>0</v>
      </c>
      <c r="AK302" s="148" t="s">
        <v>75</v>
      </c>
    </row>
    <row r="303" spans="1:37" ht="30" customHeight="1">
      <c r="A303" s="62"/>
      <c r="B303" s="62"/>
      <c r="C303" s="62"/>
      <c r="D303" s="62"/>
      <c r="E303" s="62"/>
      <c r="F303" s="62"/>
      <c r="G303" s="62"/>
      <c r="H303" s="62"/>
      <c r="I303" s="62"/>
      <c r="J303" s="62"/>
      <c r="K303" s="62"/>
      <c r="L303" s="62"/>
      <c r="M303" s="62"/>
      <c r="N303" s="186"/>
      <c r="O303" s="152"/>
      <c r="P303" s="90"/>
      <c r="Q303" s="140"/>
      <c r="R303" s="90"/>
      <c r="S303" s="140"/>
      <c r="T303" s="90"/>
      <c r="U303" s="140"/>
      <c r="V303" s="90"/>
      <c r="W303" s="140"/>
      <c r="X303" s="90"/>
      <c r="Y303" s="140"/>
      <c r="Z303" s="90"/>
      <c r="AA303" s="140"/>
      <c r="AB303" s="90"/>
      <c r="AC303" s="140"/>
      <c r="AD303" s="90"/>
      <c r="AE303" s="140"/>
      <c r="AF303" s="137" t="str">
        <f t="shared" si="16"/>
        <v/>
      </c>
      <c r="AG303" s="179" t="b">
        <f t="shared" si="15"/>
        <v>0</v>
      </c>
      <c r="AH303" s="140"/>
      <c r="AI303" s="147" t="s">
        <v>36</v>
      </c>
      <c r="AJ303" s="145">
        <f t="shared" si="17"/>
        <v>0</v>
      </c>
      <c r="AK303" s="148" t="s">
        <v>75</v>
      </c>
    </row>
    <row r="304" spans="1:37" ht="30" customHeight="1">
      <c r="A304" s="62"/>
      <c r="B304" s="62"/>
      <c r="C304" s="62"/>
      <c r="D304" s="62"/>
      <c r="E304" s="62"/>
      <c r="F304" s="62"/>
      <c r="G304" s="62"/>
      <c r="H304" s="62"/>
      <c r="I304" s="62"/>
      <c r="J304" s="62"/>
      <c r="K304" s="62"/>
      <c r="L304" s="62"/>
      <c r="M304" s="62"/>
      <c r="N304" s="186"/>
      <c r="O304" s="152"/>
      <c r="P304" s="90"/>
      <c r="Q304" s="140"/>
      <c r="R304" s="90"/>
      <c r="S304" s="140"/>
      <c r="T304" s="90"/>
      <c r="U304" s="140"/>
      <c r="V304" s="90"/>
      <c r="W304" s="140"/>
      <c r="X304" s="90"/>
      <c r="Y304" s="140"/>
      <c r="Z304" s="90"/>
      <c r="AA304" s="140"/>
      <c r="AB304" s="90"/>
      <c r="AC304" s="140"/>
      <c r="AD304" s="90"/>
      <c r="AE304" s="140"/>
      <c r="AF304" s="137" t="str">
        <f t="shared" si="16"/>
        <v/>
      </c>
      <c r="AG304" s="179" t="b">
        <f t="shared" si="15"/>
        <v>0</v>
      </c>
      <c r="AH304" s="140"/>
      <c r="AI304" s="147" t="s">
        <v>36</v>
      </c>
      <c r="AJ304" s="145">
        <f t="shared" si="17"/>
        <v>0</v>
      </c>
      <c r="AK304" s="148" t="s">
        <v>75</v>
      </c>
    </row>
    <row r="305" spans="1:37" ht="30" customHeight="1">
      <c r="A305" s="62"/>
      <c r="B305" s="62"/>
      <c r="C305" s="62"/>
      <c r="D305" s="62"/>
      <c r="E305" s="62"/>
      <c r="F305" s="62"/>
      <c r="G305" s="62"/>
      <c r="H305" s="62"/>
      <c r="I305" s="62"/>
      <c r="J305" s="62"/>
      <c r="K305" s="62"/>
      <c r="L305" s="62"/>
      <c r="M305" s="62"/>
      <c r="N305" s="186"/>
      <c r="O305" s="152"/>
      <c r="P305" s="90"/>
      <c r="Q305" s="140"/>
      <c r="R305" s="90"/>
      <c r="S305" s="140"/>
      <c r="T305" s="90"/>
      <c r="U305" s="140"/>
      <c r="V305" s="90"/>
      <c r="W305" s="140"/>
      <c r="X305" s="90"/>
      <c r="Y305" s="140"/>
      <c r="Z305" s="90"/>
      <c r="AA305" s="140"/>
      <c r="AB305" s="90"/>
      <c r="AC305" s="140"/>
      <c r="AD305" s="90"/>
      <c r="AE305" s="140"/>
      <c r="AF305" s="137" t="str">
        <f t="shared" si="16"/>
        <v/>
      </c>
      <c r="AG305" s="179" t="b">
        <f t="shared" si="15"/>
        <v>0</v>
      </c>
      <c r="AH305" s="140"/>
      <c r="AI305" s="147" t="s">
        <v>36</v>
      </c>
      <c r="AJ305" s="145">
        <f t="shared" si="17"/>
        <v>0</v>
      </c>
      <c r="AK305" s="148" t="s">
        <v>75</v>
      </c>
    </row>
    <row r="306" spans="1:37" ht="30" customHeight="1">
      <c r="A306" s="62"/>
      <c r="B306" s="62"/>
      <c r="C306" s="62"/>
      <c r="D306" s="62"/>
      <c r="E306" s="62"/>
      <c r="F306" s="62"/>
      <c r="G306" s="62"/>
      <c r="H306" s="62"/>
      <c r="I306" s="62"/>
      <c r="J306" s="62"/>
      <c r="K306" s="62"/>
      <c r="L306" s="62"/>
      <c r="M306" s="62"/>
      <c r="N306" s="186"/>
      <c r="O306" s="152"/>
      <c r="P306" s="90"/>
      <c r="Q306" s="140"/>
      <c r="R306" s="90"/>
      <c r="S306" s="140"/>
      <c r="T306" s="90"/>
      <c r="U306" s="140"/>
      <c r="V306" s="90"/>
      <c r="W306" s="140"/>
      <c r="X306" s="90"/>
      <c r="Y306" s="140"/>
      <c r="Z306" s="90"/>
      <c r="AA306" s="140"/>
      <c r="AB306" s="90"/>
      <c r="AC306" s="140"/>
      <c r="AD306" s="90"/>
      <c r="AE306" s="140"/>
      <c r="AF306" s="137" t="str">
        <f t="shared" si="16"/>
        <v/>
      </c>
      <c r="AG306" s="179" t="b">
        <f t="shared" si="15"/>
        <v>0</v>
      </c>
      <c r="AH306" s="140"/>
      <c r="AI306" s="147" t="s">
        <v>36</v>
      </c>
      <c r="AJ306" s="145">
        <f t="shared" si="17"/>
        <v>0</v>
      </c>
      <c r="AK306" s="148" t="s">
        <v>75</v>
      </c>
    </row>
    <row r="307" spans="1:37" ht="30" customHeight="1">
      <c r="A307" s="62"/>
      <c r="B307" s="62"/>
      <c r="C307" s="62"/>
      <c r="D307" s="62"/>
      <c r="E307" s="62"/>
      <c r="F307" s="62"/>
      <c r="G307" s="62"/>
      <c r="H307" s="62"/>
      <c r="I307" s="62"/>
      <c r="J307" s="62"/>
      <c r="K307" s="62"/>
      <c r="L307" s="62"/>
      <c r="M307" s="62"/>
      <c r="N307" s="186"/>
      <c r="O307" s="152"/>
      <c r="P307" s="90"/>
      <c r="Q307" s="140"/>
      <c r="R307" s="90"/>
      <c r="S307" s="140"/>
      <c r="T307" s="90"/>
      <c r="U307" s="140"/>
      <c r="V307" s="90"/>
      <c r="W307" s="140"/>
      <c r="X307" s="90"/>
      <c r="Y307" s="140"/>
      <c r="Z307" s="90"/>
      <c r="AA307" s="140"/>
      <c r="AB307" s="90"/>
      <c r="AC307" s="140"/>
      <c r="AD307" s="90"/>
      <c r="AE307" s="140"/>
      <c r="AF307" s="137" t="str">
        <f t="shared" si="16"/>
        <v/>
      </c>
      <c r="AG307" s="179" t="b">
        <f t="shared" si="15"/>
        <v>0</v>
      </c>
      <c r="AH307" s="140"/>
      <c r="AI307" s="147" t="s">
        <v>36</v>
      </c>
      <c r="AJ307" s="145">
        <f t="shared" si="17"/>
        <v>0</v>
      </c>
      <c r="AK307" s="148" t="s">
        <v>75</v>
      </c>
    </row>
    <row r="308" spans="1:37" ht="30" customHeight="1">
      <c r="A308" s="62"/>
      <c r="B308" s="62"/>
      <c r="C308" s="62"/>
      <c r="D308" s="62"/>
      <c r="E308" s="62"/>
      <c r="F308" s="62"/>
      <c r="G308" s="62"/>
      <c r="H308" s="62"/>
      <c r="I308" s="62"/>
      <c r="J308" s="62"/>
      <c r="K308" s="62"/>
      <c r="L308" s="62"/>
      <c r="M308" s="62"/>
      <c r="N308" s="186"/>
      <c r="O308" s="152"/>
      <c r="P308" s="90"/>
      <c r="Q308" s="140"/>
      <c r="R308" s="90"/>
      <c r="S308" s="140"/>
      <c r="T308" s="90"/>
      <c r="U308" s="140"/>
      <c r="V308" s="90"/>
      <c r="W308" s="140"/>
      <c r="X308" s="90"/>
      <c r="Y308" s="140"/>
      <c r="Z308" s="90"/>
      <c r="AA308" s="140"/>
      <c r="AB308" s="90"/>
      <c r="AC308" s="140"/>
      <c r="AD308" s="90"/>
      <c r="AE308" s="140"/>
      <c r="AF308" s="137" t="str">
        <f t="shared" si="16"/>
        <v/>
      </c>
      <c r="AG308" s="179" t="b">
        <f t="shared" si="15"/>
        <v>0</v>
      </c>
      <c r="AH308" s="140"/>
      <c r="AI308" s="147" t="s">
        <v>36</v>
      </c>
      <c r="AJ308" s="145">
        <f t="shared" si="17"/>
        <v>0</v>
      </c>
      <c r="AK308" s="148" t="s">
        <v>75</v>
      </c>
    </row>
    <row r="309" spans="1:37" ht="30" customHeight="1">
      <c r="A309" s="62"/>
      <c r="B309" s="62"/>
      <c r="C309" s="62"/>
      <c r="D309" s="62"/>
      <c r="E309" s="62"/>
      <c r="F309" s="62"/>
      <c r="G309" s="62"/>
      <c r="H309" s="62"/>
      <c r="I309" s="62"/>
      <c r="J309" s="62"/>
      <c r="K309" s="62"/>
      <c r="L309" s="62"/>
      <c r="M309" s="62"/>
      <c r="N309" s="186"/>
      <c r="O309" s="152"/>
      <c r="P309" s="90"/>
      <c r="Q309" s="140"/>
      <c r="R309" s="90"/>
      <c r="S309" s="140"/>
      <c r="T309" s="90"/>
      <c r="U309" s="140"/>
      <c r="V309" s="90"/>
      <c r="W309" s="140"/>
      <c r="X309" s="90"/>
      <c r="Y309" s="140"/>
      <c r="Z309" s="90"/>
      <c r="AA309" s="140"/>
      <c r="AB309" s="90"/>
      <c r="AC309" s="140"/>
      <c r="AD309" s="90"/>
      <c r="AE309" s="140"/>
      <c r="AF309" s="137" t="str">
        <f t="shared" si="16"/>
        <v/>
      </c>
      <c r="AG309" s="179" t="b">
        <f t="shared" si="15"/>
        <v>0</v>
      </c>
      <c r="AH309" s="140"/>
      <c r="AI309" s="147" t="s">
        <v>36</v>
      </c>
      <c r="AJ309" s="145">
        <f t="shared" si="17"/>
        <v>0</v>
      </c>
      <c r="AK309" s="148" t="s">
        <v>75</v>
      </c>
    </row>
    <row r="310" spans="1:37" ht="30" customHeight="1">
      <c r="A310" s="62"/>
      <c r="B310" s="62"/>
      <c r="C310" s="62"/>
      <c r="D310" s="62"/>
      <c r="E310" s="62"/>
      <c r="F310" s="62"/>
      <c r="G310" s="62"/>
      <c r="H310" s="62"/>
      <c r="I310" s="62"/>
      <c r="J310" s="62"/>
      <c r="K310" s="62"/>
      <c r="L310" s="62"/>
      <c r="M310" s="62"/>
      <c r="N310" s="186"/>
      <c r="O310" s="152"/>
      <c r="P310" s="90"/>
      <c r="Q310" s="140"/>
      <c r="R310" s="90"/>
      <c r="S310" s="140"/>
      <c r="T310" s="90"/>
      <c r="U310" s="140"/>
      <c r="V310" s="90"/>
      <c r="W310" s="140"/>
      <c r="X310" s="90"/>
      <c r="Y310" s="140"/>
      <c r="Z310" s="90"/>
      <c r="AA310" s="140"/>
      <c r="AB310" s="90"/>
      <c r="AC310" s="140"/>
      <c r="AD310" s="90"/>
      <c r="AE310" s="140"/>
      <c r="AF310" s="137" t="str">
        <f t="shared" si="16"/>
        <v/>
      </c>
      <c r="AG310" s="179" t="b">
        <f t="shared" si="15"/>
        <v>0</v>
      </c>
      <c r="AH310" s="140"/>
      <c r="AI310" s="147" t="s">
        <v>36</v>
      </c>
      <c r="AJ310" s="145">
        <f t="shared" si="17"/>
        <v>0</v>
      </c>
      <c r="AK310" s="148" t="s">
        <v>75</v>
      </c>
    </row>
    <row r="311" spans="1:37" ht="30" customHeight="1">
      <c r="A311" s="62"/>
      <c r="B311" s="62"/>
      <c r="C311" s="62"/>
      <c r="D311" s="62"/>
      <c r="E311" s="62"/>
      <c r="F311" s="62"/>
      <c r="G311" s="62"/>
      <c r="H311" s="62"/>
      <c r="I311" s="62"/>
      <c r="J311" s="62"/>
      <c r="K311" s="62"/>
      <c r="L311" s="62"/>
      <c r="M311" s="62"/>
      <c r="N311" s="186"/>
      <c r="O311" s="152"/>
      <c r="P311" s="90"/>
      <c r="Q311" s="140"/>
      <c r="R311" s="90"/>
      <c r="S311" s="140"/>
      <c r="T311" s="90"/>
      <c r="U311" s="140"/>
      <c r="V311" s="90"/>
      <c r="W311" s="140"/>
      <c r="X311" s="90"/>
      <c r="Y311" s="140"/>
      <c r="Z311" s="90"/>
      <c r="AA311" s="140"/>
      <c r="AB311" s="90"/>
      <c r="AC311" s="140"/>
      <c r="AD311" s="90"/>
      <c r="AE311" s="140"/>
      <c r="AF311" s="137" t="str">
        <f t="shared" si="16"/>
        <v/>
      </c>
      <c r="AG311" s="179" t="b">
        <f t="shared" si="15"/>
        <v>0</v>
      </c>
      <c r="AH311" s="140"/>
      <c r="AI311" s="147" t="s">
        <v>36</v>
      </c>
      <c r="AJ311" s="145">
        <f t="shared" si="17"/>
        <v>0</v>
      </c>
      <c r="AK311" s="148" t="s">
        <v>75</v>
      </c>
    </row>
    <row r="312" spans="1:37" ht="30" customHeight="1">
      <c r="A312" s="62"/>
      <c r="B312" s="62"/>
      <c r="C312" s="62"/>
      <c r="D312" s="62"/>
      <c r="E312" s="62"/>
      <c r="F312" s="62"/>
      <c r="G312" s="62"/>
      <c r="H312" s="62"/>
      <c r="I312" s="62"/>
      <c r="J312" s="62"/>
      <c r="K312" s="62"/>
      <c r="L312" s="62"/>
      <c r="M312" s="62"/>
      <c r="N312" s="186"/>
      <c r="O312" s="152"/>
      <c r="P312" s="90"/>
      <c r="Q312" s="140"/>
      <c r="R312" s="90"/>
      <c r="S312" s="140"/>
      <c r="T312" s="90"/>
      <c r="U312" s="140"/>
      <c r="V312" s="90"/>
      <c r="W312" s="140"/>
      <c r="X312" s="90"/>
      <c r="Y312" s="140"/>
      <c r="Z312" s="90"/>
      <c r="AA312" s="140"/>
      <c r="AB312" s="90"/>
      <c r="AC312" s="140"/>
      <c r="AD312" s="90"/>
      <c r="AE312" s="140"/>
      <c r="AF312" s="137" t="str">
        <f t="shared" si="16"/>
        <v/>
      </c>
      <c r="AG312" s="179" t="b">
        <f t="shared" si="15"/>
        <v>0</v>
      </c>
      <c r="AH312" s="140"/>
      <c r="AI312" s="147" t="s">
        <v>36</v>
      </c>
      <c r="AJ312" s="145">
        <f t="shared" si="17"/>
        <v>0</v>
      </c>
      <c r="AK312" s="148" t="s">
        <v>75</v>
      </c>
    </row>
    <row r="313" spans="1:37" ht="30" customHeight="1">
      <c r="A313" s="62"/>
      <c r="B313" s="62"/>
      <c r="C313" s="62"/>
      <c r="D313" s="62"/>
      <c r="E313" s="62"/>
      <c r="F313" s="62"/>
      <c r="G313" s="62"/>
      <c r="H313" s="62"/>
      <c r="I313" s="62"/>
      <c r="J313" s="62"/>
      <c r="K313" s="62"/>
      <c r="L313" s="62"/>
      <c r="M313" s="62"/>
      <c r="N313" s="186"/>
      <c r="O313" s="152"/>
      <c r="P313" s="90"/>
      <c r="Q313" s="140"/>
      <c r="R313" s="90"/>
      <c r="S313" s="140"/>
      <c r="T313" s="90"/>
      <c r="U313" s="140"/>
      <c r="V313" s="90"/>
      <c r="W313" s="140"/>
      <c r="X313" s="90"/>
      <c r="Y313" s="140"/>
      <c r="Z313" s="90"/>
      <c r="AA313" s="140"/>
      <c r="AB313" s="90"/>
      <c r="AC313" s="140"/>
      <c r="AD313" s="90"/>
      <c r="AE313" s="140"/>
      <c r="AF313" s="137" t="str">
        <f t="shared" si="16"/>
        <v/>
      </c>
      <c r="AG313" s="179" t="b">
        <f t="shared" si="15"/>
        <v>0</v>
      </c>
      <c r="AH313" s="140"/>
      <c r="AI313" s="147" t="s">
        <v>36</v>
      </c>
      <c r="AJ313" s="145">
        <f t="shared" si="17"/>
        <v>0</v>
      </c>
      <c r="AK313" s="148" t="s">
        <v>75</v>
      </c>
    </row>
    <row r="314" spans="1:37" ht="30" customHeight="1">
      <c r="A314" s="62"/>
      <c r="B314" s="62"/>
      <c r="C314" s="62"/>
      <c r="D314" s="62"/>
      <c r="E314" s="62"/>
      <c r="F314" s="62"/>
      <c r="G314" s="62"/>
      <c r="H314" s="62"/>
      <c r="I314" s="62"/>
      <c r="J314" s="62"/>
      <c r="K314" s="62"/>
      <c r="L314" s="62"/>
      <c r="M314" s="62"/>
      <c r="N314" s="186"/>
      <c r="O314" s="152"/>
      <c r="P314" s="90"/>
      <c r="Q314" s="140"/>
      <c r="R314" s="90"/>
      <c r="S314" s="140"/>
      <c r="T314" s="90"/>
      <c r="U314" s="140"/>
      <c r="V314" s="90"/>
      <c r="W314" s="140"/>
      <c r="X314" s="90"/>
      <c r="Y314" s="140"/>
      <c r="Z314" s="90"/>
      <c r="AA314" s="140"/>
      <c r="AB314" s="90"/>
      <c r="AC314" s="140"/>
      <c r="AD314" s="90"/>
      <c r="AE314" s="140"/>
      <c r="AF314" s="137" t="str">
        <f t="shared" si="16"/>
        <v/>
      </c>
      <c r="AG314" s="179" t="b">
        <f t="shared" si="15"/>
        <v>0</v>
      </c>
      <c r="AH314" s="140"/>
      <c r="AI314" s="147" t="s">
        <v>36</v>
      </c>
      <c r="AJ314" s="145">
        <f t="shared" si="17"/>
        <v>0</v>
      </c>
      <c r="AK314" s="148" t="s">
        <v>75</v>
      </c>
    </row>
    <row r="315" spans="1:37" ht="30" customHeight="1">
      <c r="A315" s="62"/>
      <c r="B315" s="62"/>
      <c r="C315" s="62"/>
      <c r="D315" s="62"/>
      <c r="E315" s="62"/>
      <c r="F315" s="62"/>
      <c r="G315" s="62"/>
      <c r="H315" s="62"/>
      <c r="I315" s="62"/>
      <c r="J315" s="62"/>
      <c r="K315" s="62"/>
      <c r="L315" s="62"/>
      <c r="M315" s="62"/>
      <c r="N315" s="186"/>
      <c r="O315" s="152"/>
      <c r="P315" s="90"/>
      <c r="Q315" s="140"/>
      <c r="R315" s="90"/>
      <c r="S315" s="140"/>
      <c r="T315" s="90"/>
      <c r="U315" s="140"/>
      <c r="V315" s="90"/>
      <c r="W315" s="140"/>
      <c r="X315" s="90"/>
      <c r="Y315" s="140"/>
      <c r="Z315" s="90"/>
      <c r="AA315" s="140"/>
      <c r="AB315" s="90"/>
      <c r="AC315" s="140"/>
      <c r="AD315" s="90"/>
      <c r="AE315" s="140"/>
      <c r="AF315" s="137" t="str">
        <f t="shared" si="16"/>
        <v/>
      </c>
      <c r="AG315" s="179" t="b">
        <f t="shared" si="15"/>
        <v>0</v>
      </c>
      <c r="AH315" s="140"/>
      <c r="AI315" s="147" t="s">
        <v>36</v>
      </c>
      <c r="AJ315" s="145">
        <f t="shared" si="17"/>
        <v>0</v>
      </c>
      <c r="AK315" s="148" t="s">
        <v>75</v>
      </c>
    </row>
    <row r="316" spans="1:37" ht="30" customHeight="1">
      <c r="A316" s="62"/>
      <c r="B316" s="62"/>
      <c r="C316" s="62"/>
      <c r="D316" s="62"/>
      <c r="E316" s="62"/>
      <c r="F316" s="62"/>
      <c r="G316" s="62"/>
      <c r="H316" s="62"/>
      <c r="I316" s="62"/>
      <c r="J316" s="62"/>
      <c r="K316" s="62"/>
      <c r="L316" s="62"/>
      <c r="M316" s="62"/>
      <c r="N316" s="186"/>
      <c r="O316" s="152"/>
      <c r="P316" s="90"/>
      <c r="Q316" s="140"/>
      <c r="R316" s="90"/>
      <c r="S316" s="140"/>
      <c r="T316" s="90"/>
      <c r="U316" s="140"/>
      <c r="V316" s="90"/>
      <c r="W316" s="140"/>
      <c r="X316" s="90"/>
      <c r="Y316" s="140"/>
      <c r="Z316" s="90"/>
      <c r="AA316" s="140"/>
      <c r="AB316" s="90"/>
      <c r="AC316" s="140"/>
      <c r="AD316" s="90"/>
      <c r="AE316" s="140"/>
      <c r="AF316" s="137" t="str">
        <f t="shared" si="16"/>
        <v/>
      </c>
      <c r="AG316" s="179" t="b">
        <f t="shared" si="15"/>
        <v>0</v>
      </c>
      <c r="AH316" s="140"/>
      <c r="AI316" s="147" t="s">
        <v>36</v>
      </c>
      <c r="AJ316" s="145">
        <f t="shared" si="17"/>
        <v>0</v>
      </c>
      <c r="AK316" s="148" t="s">
        <v>75</v>
      </c>
    </row>
    <row r="317" spans="1:37" ht="30" customHeight="1">
      <c r="A317" s="62"/>
      <c r="B317" s="62"/>
      <c r="C317" s="62"/>
      <c r="D317" s="62"/>
      <c r="E317" s="62"/>
      <c r="F317" s="62"/>
      <c r="G317" s="62"/>
      <c r="H317" s="62"/>
      <c r="I317" s="62"/>
      <c r="J317" s="62"/>
      <c r="K317" s="62"/>
      <c r="L317" s="62"/>
      <c r="M317" s="62"/>
      <c r="N317" s="186"/>
      <c r="O317" s="152"/>
      <c r="P317" s="90"/>
      <c r="Q317" s="140"/>
      <c r="R317" s="90"/>
      <c r="S317" s="140"/>
      <c r="T317" s="90"/>
      <c r="U317" s="140"/>
      <c r="V317" s="90"/>
      <c r="W317" s="140"/>
      <c r="X317" s="90"/>
      <c r="Y317" s="140"/>
      <c r="Z317" s="90"/>
      <c r="AA317" s="140"/>
      <c r="AB317" s="90"/>
      <c r="AC317" s="140"/>
      <c r="AD317" s="90"/>
      <c r="AE317" s="140"/>
      <c r="AF317" s="137" t="str">
        <f t="shared" si="16"/>
        <v/>
      </c>
      <c r="AG317" s="179" t="b">
        <f t="shared" si="15"/>
        <v>0</v>
      </c>
      <c r="AH317" s="140"/>
      <c r="AI317" s="147" t="s">
        <v>36</v>
      </c>
      <c r="AJ317" s="145">
        <f t="shared" si="17"/>
        <v>0</v>
      </c>
      <c r="AK317" s="148" t="s">
        <v>75</v>
      </c>
    </row>
    <row r="318" spans="1:37" ht="30" customHeight="1">
      <c r="A318" s="62"/>
      <c r="B318" s="62"/>
      <c r="C318" s="62"/>
      <c r="D318" s="62"/>
      <c r="E318" s="62"/>
      <c r="F318" s="62"/>
      <c r="G318" s="62"/>
      <c r="H318" s="62"/>
      <c r="I318" s="62"/>
      <c r="J318" s="62"/>
      <c r="K318" s="62"/>
      <c r="L318" s="62"/>
      <c r="M318" s="62"/>
      <c r="N318" s="186"/>
      <c r="O318" s="152"/>
      <c r="P318" s="90"/>
      <c r="Q318" s="140"/>
      <c r="R318" s="90"/>
      <c r="S318" s="140"/>
      <c r="T318" s="90"/>
      <c r="U318" s="140"/>
      <c r="V318" s="90"/>
      <c r="W318" s="140"/>
      <c r="X318" s="90"/>
      <c r="Y318" s="140"/>
      <c r="Z318" s="90"/>
      <c r="AA318" s="140"/>
      <c r="AB318" s="90"/>
      <c r="AC318" s="140"/>
      <c r="AD318" s="90"/>
      <c r="AE318" s="140"/>
      <c r="AF318" s="137" t="str">
        <f t="shared" si="16"/>
        <v/>
      </c>
      <c r="AG318" s="179" t="b">
        <f t="shared" si="15"/>
        <v>0</v>
      </c>
      <c r="AH318" s="140"/>
      <c r="AI318" s="147" t="s">
        <v>36</v>
      </c>
      <c r="AJ318" s="145">
        <f t="shared" si="17"/>
        <v>0</v>
      </c>
      <c r="AK318" s="148" t="s">
        <v>75</v>
      </c>
    </row>
    <row r="319" spans="1:37" ht="30" customHeight="1">
      <c r="A319" s="62"/>
      <c r="B319" s="62"/>
      <c r="C319" s="62"/>
      <c r="D319" s="62"/>
      <c r="E319" s="62"/>
      <c r="F319" s="62"/>
      <c r="G319" s="62"/>
      <c r="H319" s="62"/>
      <c r="I319" s="62"/>
      <c r="J319" s="62"/>
      <c r="K319" s="62"/>
      <c r="L319" s="62"/>
      <c r="M319" s="62"/>
      <c r="N319" s="186"/>
      <c r="O319" s="152"/>
      <c r="P319" s="90"/>
      <c r="Q319" s="140"/>
      <c r="R319" s="90"/>
      <c r="S319" s="140"/>
      <c r="T319" s="90"/>
      <c r="U319" s="140"/>
      <c r="V319" s="90"/>
      <c r="W319" s="140"/>
      <c r="X319" s="90"/>
      <c r="Y319" s="140"/>
      <c r="Z319" s="90"/>
      <c r="AA319" s="140"/>
      <c r="AB319" s="90"/>
      <c r="AC319" s="140"/>
      <c r="AD319" s="90"/>
      <c r="AE319" s="140"/>
      <c r="AF319" s="137" t="str">
        <f t="shared" si="16"/>
        <v/>
      </c>
      <c r="AG319" s="179" t="b">
        <f t="shared" si="15"/>
        <v>0</v>
      </c>
      <c r="AH319" s="140"/>
      <c r="AI319" s="147" t="s">
        <v>36</v>
      </c>
      <c r="AJ319" s="145">
        <f t="shared" si="17"/>
        <v>0</v>
      </c>
      <c r="AK319" s="148" t="s">
        <v>75</v>
      </c>
    </row>
    <row r="320" spans="1:37" ht="30" customHeight="1">
      <c r="A320" s="62"/>
      <c r="B320" s="62"/>
      <c r="C320" s="62"/>
      <c r="D320" s="62"/>
      <c r="E320" s="62"/>
      <c r="F320" s="62"/>
      <c r="G320" s="62"/>
      <c r="H320" s="62"/>
      <c r="I320" s="62"/>
      <c r="J320" s="62"/>
      <c r="K320" s="62"/>
      <c r="L320" s="62"/>
      <c r="M320" s="62"/>
      <c r="N320" s="186"/>
      <c r="O320" s="152"/>
      <c r="P320" s="90"/>
      <c r="Q320" s="140"/>
      <c r="R320" s="90"/>
      <c r="S320" s="140"/>
      <c r="T320" s="90"/>
      <c r="U320" s="140"/>
      <c r="V320" s="90"/>
      <c r="W320" s="140"/>
      <c r="X320" s="90"/>
      <c r="Y320" s="140"/>
      <c r="Z320" s="90"/>
      <c r="AA320" s="140"/>
      <c r="AB320" s="90"/>
      <c r="AC320" s="140"/>
      <c r="AD320" s="90"/>
      <c r="AE320" s="140"/>
      <c r="AF320" s="137" t="str">
        <f t="shared" si="16"/>
        <v/>
      </c>
      <c r="AG320" s="179" t="b">
        <f t="shared" ref="AG320:AG383" si="18">IF(AND(AE320="C",AF320="C"),"UTILIZOU O PDA CORRETAMENTE",IF(AND(AE320="C",AF320="NC"),"UTILIZOU O PDA CORRETAMENTE. NÃO HÁ FOTOS DE TODAS AS ETAPAS",IF(AND(AE320="NC",AF320="NC"),"NÃO UTILIZOU O PDA",IF(AND(AE320="NA",AF320="NA"),"NÃO AVALIADO POR FALHA DE SINCRONISMO"))))</f>
        <v>0</v>
      </c>
      <c r="AH320" s="140"/>
      <c r="AI320" s="147" t="s">
        <v>36</v>
      </c>
      <c r="AJ320" s="145">
        <f t="shared" si="17"/>
        <v>0</v>
      </c>
      <c r="AK320" s="148" t="s">
        <v>75</v>
      </c>
    </row>
    <row r="321" spans="1:37" ht="30" customHeight="1">
      <c r="A321" s="62"/>
      <c r="B321" s="62"/>
      <c r="C321" s="62"/>
      <c r="D321" s="62"/>
      <c r="E321" s="62"/>
      <c r="F321" s="62"/>
      <c r="G321" s="62"/>
      <c r="H321" s="62"/>
      <c r="I321" s="62"/>
      <c r="J321" s="62"/>
      <c r="K321" s="62"/>
      <c r="L321" s="62"/>
      <c r="M321" s="62"/>
      <c r="N321" s="186"/>
      <c r="O321" s="152"/>
      <c r="P321" s="90"/>
      <c r="Q321" s="140"/>
      <c r="R321" s="90"/>
      <c r="S321" s="140"/>
      <c r="T321" s="90"/>
      <c r="U321" s="140"/>
      <c r="V321" s="90"/>
      <c r="W321" s="140"/>
      <c r="X321" s="90"/>
      <c r="Y321" s="140"/>
      <c r="Z321" s="90"/>
      <c r="AA321" s="140"/>
      <c r="AB321" s="90"/>
      <c r="AC321" s="140"/>
      <c r="AD321" s="90"/>
      <c r="AE321" s="140"/>
      <c r="AF321" s="137" t="str">
        <f t="shared" ref="AF321:AF384" si="19">IF(AND(O321="",Q321="",S321="",U321="",W321="",Y321="",AA321="",AC321=""),"",IF(OR(AND(O321&lt;&gt;"NA",O321&lt;&gt;"C",O321&lt;&gt;"NC",O321&lt;&gt;"SF",O321&lt;&gt;""),AND(Q321&lt;&gt;"NA",Q321&lt;&gt;"C",Q321&lt;&gt;"NC",Q321&lt;&gt;"SF",Q321&lt;&gt;""),AND(S321&lt;&gt;"NA",S321&lt;&gt;"C",S321&lt;&gt;"NC",S321&lt;&gt;"SF",S321&lt;&gt;""),AND(U321&lt;&gt;"NA",U321&lt;&gt;"C",U321&lt;&gt;"NC",U321&lt;&gt;"SF",U321&lt;&gt;""),AND(W321&lt;&gt;"NA",W321&lt;&gt;"C",W321&lt;&gt;"NC",W321&lt;&gt;"SF",W321&lt;&gt;""),AND(Y321&lt;&gt;"NA",Y321&lt;&gt;"C",Y321&lt;&gt;"NC",Y321&lt;&gt;"SF",Y321&lt;&gt;""),AND(AA321&lt;&gt;"NA",AA321&lt;&gt;"C",AA321&lt;&gt;"NC",AA321&lt;&gt;"SF",AA321&lt;&gt;""),AND(AC321&lt;&gt;"NA",AC321&lt;&gt;"C",AC321&lt;&gt;"NC",AC321&lt;&gt;"SF",AC321&lt;&gt;"")),"FALSO",IF(AND(O321="NA",Q321="NA",S321="NA",U321="NA",W321="NA",Y321="NA",AA321="NA",AC321="NA"),"NA",IF(OR(O321="NC",Q321="NC",S321="NC",U321="NC",W321="NC",Y321="NC",AA321="NC",AC321="NC",O321="SF",Q321="SF",S321="SF",U321="SF",W321="SF",Y321="SF",AA321="SF",AC321="SF"),"NC",IF(OR(O321="C",Q321="C",S321="C",U321="C",W321="C",Y321="C",AA321="C",AC321="C"),"C","")))))</f>
        <v/>
      </c>
      <c r="AG321" s="179" t="b">
        <f t="shared" si="18"/>
        <v>0</v>
      </c>
      <c r="AH321" s="140"/>
      <c r="AI321" s="147" t="s">
        <v>36</v>
      </c>
      <c r="AJ321" s="145">
        <f t="shared" si="17"/>
        <v>0</v>
      </c>
      <c r="AK321" s="148" t="s">
        <v>75</v>
      </c>
    </row>
    <row r="322" spans="1:37" ht="30" customHeight="1">
      <c r="A322" s="62"/>
      <c r="B322" s="62"/>
      <c r="C322" s="62"/>
      <c r="D322" s="62"/>
      <c r="E322" s="62"/>
      <c r="F322" s="62"/>
      <c r="G322" s="62"/>
      <c r="H322" s="62"/>
      <c r="I322" s="62"/>
      <c r="J322" s="62"/>
      <c r="K322" s="62"/>
      <c r="L322" s="62"/>
      <c r="M322" s="62"/>
      <c r="N322" s="186"/>
      <c r="O322" s="152"/>
      <c r="P322" s="90"/>
      <c r="Q322" s="140"/>
      <c r="R322" s="90"/>
      <c r="S322" s="140"/>
      <c r="T322" s="90"/>
      <c r="U322" s="140"/>
      <c r="V322" s="90"/>
      <c r="W322" s="140"/>
      <c r="X322" s="90"/>
      <c r="Y322" s="140"/>
      <c r="Z322" s="90"/>
      <c r="AA322" s="140"/>
      <c r="AB322" s="90"/>
      <c r="AC322" s="140"/>
      <c r="AD322" s="90"/>
      <c r="AE322" s="140"/>
      <c r="AF322" s="137" t="str">
        <f t="shared" si="19"/>
        <v/>
      </c>
      <c r="AG322" s="179" t="b">
        <f t="shared" si="18"/>
        <v>0</v>
      </c>
      <c r="AH322" s="140"/>
      <c r="AI322" s="147" t="s">
        <v>36</v>
      </c>
      <c r="AJ322" s="145">
        <f t="shared" si="17"/>
        <v>0</v>
      </c>
      <c r="AK322" s="148" t="s">
        <v>75</v>
      </c>
    </row>
    <row r="323" spans="1:37" ht="30" customHeight="1">
      <c r="A323" s="62"/>
      <c r="B323" s="62"/>
      <c r="C323" s="62"/>
      <c r="D323" s="62"/>
      <c r="E323" s="62"/>
      <c r="F323" s="62"/>
      <c r="G323" s="62"/>
      <c r="H323" s="62"/>
      <c r="I323" s="62"/>
      <c r="J323" s="62"/>
      <c r="K323" s="62"/>
      <c r="L323" s="62"/>
      <c r="M323" s="62"/>
      <c r="N323" s="186"/>
      <c r="O323" s="152"/>
      <c r="P323" s="90"/>
      <c r="Q323" s="140"/>
      <c r="R323" s="90"/>
      <c r="S323" s="140"/>
      <c r="T323" s="90"/>
      <c r="U323" s="140"/>
      <c r="V323" s="90"/>
      <c r="W323" s="140"/>
      <c r="X323" s="90"/>
      <c r="Y323" s="140"/>
      <c r="Z323" s="90"/>
      <c r="AA323" s="140"/>
      <c r="AB323" s="90"/>
      <c r="AC323" s="140"/>
      <c r="AD323" s="90"/>
      <c r="AE323" s="140"/>
      <c r="AF323" s="137" t="str">
        <f t="shared" si="19"/>
        <v/>
      </c>
      <c r="AG323" s="179" t="b">
        <f t="shared" si="18"/>
        <v>0</v>
      </c>
      <c r="AH323" s="140"/>
      <c r="AI323" s="147" t="s">
        <v>36</v>
      </c>
      <c r="AJ323" s="145">
        <f t="shared" si="17"/>
        <v>0</v>
      </c>
      <c r="AK323" s="148" t="s">
        <v>75</v>
      </c>
    </row>
    <row r="324" spans="1:37" ht="30" customHeight="1">
      <c r="A324" s="62"/>
      <c r="B324" s="62"/>
      <c r="C324" s="62"/>
      <c r="D324" s="62"/>
      <c r="E324" s="62"/>
      <c r="F324" s="62"/>
      <c r="G324" s="62"/>
      <c r="H324" s="62"/>
      <c r="I324" s="62"/>
      <c r="J324" s="62"/>
      <c r="K324" s="62"/>
      <c r="L324" s="62"/>
      <c r="M324" s="62"/>
      <c r="N324" s="186"/>
      <c r="O324" s="152"/>
      <c r="P324" s="90"/>
      <c r="Q324" s="140"/>
      <c r="R324" s="90"/>
      <c r="S324" s="140"/>
      <c r="T324" s="90"/>
      <c r="U324" s="140"/>
      <c r="V324" s="90"/>
      <c r="W324" s="140"/>
      <c r="X324" s="90"/>
      <c r="Y324" s="140"/>
      <c r="Z324" s="90"/>
      <c r="AA324" s="140"/>
      <c r="AB324" s="90"/>
      <c r="AC324" s="140"/>
      <c r="AD324" s="90"/>
      <c r="AE324" s="140"/>
      <c r="AF324" s="137" t="str">
        <f t="shared" si="19"/>
        <v/>
      </c>
      <c r="AG324" s="179" t="b">
        <f t="shared" si="18"/>
        <v>0</v>
      </c>
      <c r="AH324" s="140"/>
      <c r="AI324" s="147" t="s">
        <v>36</v>
      </c>
      <c r="AJ324" s="145">
        <f t="shared" si="17"/>
        <v>0</v>
      </c>
      <c r="AK324" s="148" t="s">
        <v>75</v>
      </c>
    </row>
    <row r="325" spans="1:37" ht="30" customHeight="1">
      <c r="A325" s="62"/>
      <c r="B325" s="62"/>
      <c r="C325" s="62"/>
      <c r="D325" s="62"/>
      <c r="E325" s="62"/>
      <c r="F325" s="62"/>
      <c r="G325" s="62"/>
      <c r="H325" s="62"/>
      <c r="I325" s="62"/>
      <c r="J325" s="62"/>
      <c r="K325" s="62"/>
      <c r="L325" s="62"/>
      <c r="M325" s="62"/>
      <c r="N325" s="186"/>
      <c r="O325" s="152"/>
      <c r="P325" s="90"/>
      <c r="Q325" s="140"/>
      <c r="R325" s="90"/>
      <c r="S325" s="140"/>
      <c r="T325" s="90"/>
      <c r="U325" s="140"/>
      <c r="V325" s="90"/>
      <c r="W325" s="140"/>
      <c r="X325" s="90"/>
      <c r="Y325" s="140"/>
      <c r="Z325" s="90"/>
      <c r="AA325" s="140"/>
      <c r="AB325" s="90"/>
      <c r="AC325" s="140"/>
      <c r="AD325" s="90"/>
      <c r="AE325" s="140"/>
      <c r="AF325" s="137" t="str">
        <f t="shared" si="19"/>
        <v/>
      </c>
      <c r="AG325" s="179" t="b">
        <f t="shared" si="18"/>
        <v>0</v>
      </c>
      <c r="AH325" s="140"/>
      <c r="AI325" s="147" t="s">
        <v>36</v>
      </c>
      <c r="AJ325" s="145">
        <f t="shared" si="17"/>
        <v>0</v>
      </c>
      <c r="AK325" s="148" t="s">
        <v>75</v>
      </c>
    </row>
    <row r="326" spans="1:37" ht="30" customHeight="1">
      <c r="A326" s="62"/>
      <c r="B326" s="62"/>
      <c r="C326" s="62"/>
      <c r="D326" s="62"/>
      <c r="E326" s="62"/>
      <c r="F326" s="62"/>
      <c r="G326" s="62"/>
      <c r="H326" s="62"/>
      <c r="I326" s="62"/>
      <c r="J326" s="62"/>
      <c r="K326" s="62"/>
      <c r="L326" s="62"/>
      <c r="M326" s="62"/>
      <c r="N326" s="186"/>
      <c r="O326" s="152"/>
      <c r="P326" s="90"/>
      <c r="Q326" s="140"/>
      <c r="R326" s="90"/>
      <c r="S326" s="140"/>
      <c r="T326" s="90"/>
      <c r="U326" s="140"/>
      <c r="V326" s="90"/>
      <c r="W326" s="140"/>
      <c r="X326" s="90"/>
      <c r="Y326" s="140"/>
      <c r="Z326" s="90"/>
      <c r="AA326" s="140"/>
      <c r="AB326" s="90"/>
      <c r="AC326" s="140"/>
      <c r="AD326" s="90"/>
      <c r="AE326" s="140"/>
      <c r="AF326" s="137" t="str">
        <f t="shared" si="19"/>
        <v/>
      </c>
      <c r="AG326" s="179" t="b">
        <f t="shared" si="18"/>
        <v>0</v>
      </c>
      <c r="AH326" s="140"/>
      <c r="AI326" s="147" t="s">
        <v>36</v>
      </c>
      <c r="AJ326" s="145">
        <f t="shared" si="17"/>
        <v>0</v>
      </c>
      <c r="AK326" s="148" t="s">
        <v>75</v>
      </c>
    </row>
    <row r="327" spans="1:37" ht="30" customHeight="1">
      <c r="A327" s="62"/>
      <c r="B327" s="62"/>
      <c r="C327" s="62"/>
      <c r="D327" s="62"/>
      <c r="E327" s="62"/>
      <c r="F327" s="62"/>
      <c r="G327" s="62"/>
      <c r="H327" s="62"/>
      <c r="I327" s="62"/>
      <c r="J327" s="62"/>
      <c r="K327" s="62"/>
      <c r="L327" s="62"/>
      <c r="M327" s="62"/>
      <c r="N327" s="186"/>
      <c r="O327" s="152"/>
      <c r="P327" s="90"/>
      <c r="Q327" s="140"/>
      <c r="R327" s="90"/>
      <c r="S327" s="140"/>
      <c r="T327" s="90"/>
      <c r="U327" s="140"/>
      <c r="V327" s="90"/>
      <c r="W327" s="140"/>
      <c r="X327" s="90"/>
      <c r="Y327" s="140"/>
      <c r="Z327" s="90"/>
      <c r="AA327" s="140"/>
      <c r="AB327" s="90"/>
      <c r="AC327" s="140"/>
      <c r="AD327" s="90"/>
      <c r="AE327" s="140"/>
      <c r="AF327" s="137" t="str">
        <f t="shared" si="19"/>
        <v/>
      </c>
      <c r="AG327" s="179" t="b">
        <f t="shared" si="18"/>
        <v>0</v>
      </c>
      <c r="AH327" s="140"/>
      <c r="AI327" s="147" t="s">
        <v>36</v>
      </c>
      <c r="AJ327" s="145">
        <f t="shared" si="17"/>
        <v>0</v>
      </c>
      <c r="AK327" s="148" t="s">
        <v>75</v>
      </c>
    </row>
    <row r="328" spans="1:37" ht="30" customHeight="1">
      <c r="A328" s="62"/>
      <c r="B328" s="62"/>
      <c r="C328" s="62"/>
      <c r="D328" s="62"/>
      <c r="E328" s="62"/>
      <c r="F328" s="62"/>
      <c r="G328" s="62"/>
      <c r="H328" s="62"/>
      <c r="I328" s="62"/>
      <c r="J328" s="62"/>
      <c r="K328" s="62"/>
      <c r="L328" s="62"/>
      <c r="M328" s="62"/>
      <c r="N328" s="186"/>
      <c r="O328" s="152"/>
      <c r="P328" s="90"/>
      <c r="Q328" s="140"/>
      <c r="R328" s="90"/>
      <c r="S328" s="140"/>
      <c r="T328" s="90"/>
      <c r="U328" s="140"/>
      <c r="V328" s="90"/>
      <c r="W328" s="140"/>
      <c r="X328" s="90"/>
      <c r="Y328" s="140"/>
      <c r="Z328" s="90"/>
      <c r="AA328" s="140"/>
      <c r="AB328" s="90"/>
      <c r="AC328" s="140"/>
      <c r="AD328" s="90"/>
      <c r="AE328" s="140"/>
      <c r="AF328" s="137" t="str">
        <f t="shared" si="19"/>
        <v/>
      </c>
      <c r="AG328" s="179" t="b">
        <f t="shared" si="18"/>
        <v>0</v>
      </c>
      <c r="AH328" s="140"/>
      <c r="AI328" s="147" t="s">
        <v>36</v>
      </c>
      <c r="AJ328" s="145">
        <f t="shared" si="17"/>
        <v>0</v>
      </c>
      <c r="AK328" s="148" t="s">
        <v>75</v>
      </c>
    </row>
    <row r="329" spans="1:37" ht="30" customHeight="1">
      <c r="A329" s="62"/>
      <c r="B329" s="62"/>
      <c r="C329" s="62"/>
      <c r="D329" s="62"/>
      <c r="E329" s="62"/>
      <c r="F329" s="62"/>
      <c r="G329" s="62"/>
      <c r="H329" s="62"/>
      <c r="I329" s="62"/>
      <c r="J329" s="62"/>
      <c r="K329" s="62"/>
      <c r="L329" s="62"/>
      <c r="M329" s="62"/>
      <c r="N329" s="186"/>
      <c r="O329" s="152"/>
      <c r="P329" s="90"/>
      <c r="Q329" s="140"/>
      <c r="R329" s="90"/>
      <c r="S329" s="140"/>
      <c r="T329" s="90"/>
      <c r="U329" s="140"/>
      <c r="V329" s="90"/>
      <c r="W329" s="140"/>
      <c r="X329" s="90"/>
      <c r="Y329" s="140"/>
      <c r="Z329" s="90"/>
      <c r="AA329" s="140"/>
      <c r="AB329" s="90"/>
      <c r="AC329" s="140"/>
      <c r="AD329" s="90"/>
      <c r="AE329" s="140"/>
      <c r="AF329" s="137" t="str">
        <f t="shared" si="19"/>
        <v/>
      </c>
      <c r="AG329" s="179" t="b">
        <f t="shared" si="18"/>
        <v>0</v>
      </c>
      <c r="AH329" s="140"/>
      <c r="AI329" s="147" t="s">
        <v>36</v>
      </c>
      <c r="AJ329" s="145">
        <f t="shared" si="17"/>
        <v>0</v>
      </c>
      <c r="AK329" s="148" t="s">
        <v>75</v>
      </c>
    </row>
    <row r="330" spans="1:37" ht="30" customHeight="1">
      <c r="A330" s="62"/>
      <c r="B330" s="62"/>
      <c r="C330" s="62"/>
      <c r="D330" s="62"/>
      <c r="E330" s="62"/>
      <c r="F330" s="62"/>
      <c r="G330" s="62"/>
      <c r="H330" s="62"/>
      <c r="I330" s="62"/>
      <c r="J330" s="62"/>
      <c r="K330" s="62"/>
      <c r="L330" s="62"/>
      <c r="M330" s="62"/>
      <c r="N330" s="186"/>
      <c r="O330" s="152"/>
      <c r="P330" s="90"/>
      <c r="Q330" s="140"/>
      <c r="R330" s="90"/>
      <c r="S330" s="140"/>
      <c r="T330" s="90"/>
      <c r="U330" s="140"/>
      <c r="V330" s="90"/>
      <c r="W330" s="140"/>
      <c r="X330" s="90"/>
      <c r="Y330" s="140"/>
      <c r="Z330" s="90"/>
      <c r="AA330" s="140"/>
      <c r="AB330" s="90"/>
      <c r="AC330" s="140"/>
      <c r="AD330" s="90"/>
      <c r="AE330" s="140"/>
      <c r="AF330" s="137" t="str">
        <f t="shared" si="19"/>
        <v/>
      </c>
      <c r="AG330" s="179" t="b">
        <f t="shared" si="18"/>
        <v>0</v>
      </c>
      <c r="AH330" s="140"/>
      <c r="AI330" s="147" t="s">
        <v>36</v>
      </c>
      <c r="AJ330" s="145">
        <f t="shared" si="17"/>
        <v>0</v>
      </c>
      <c r="AK330" s="148" t="s">
        <v>75</v>
      </c>
    </row>
    <row r="331" spans="1:37" ht="30" customHeight="1">
      <c r="A331" s="62"/>
      <c r="B331" s="62"/>
      <c r="C331" s="62"/>
      <c r="D331" s="62"/>
      <c r="E331" s="62"/>
      <c r="F331" s="62"/>
      <c r="G331" s="62"/>
      <c r="H331" s="62"/>
      <c r="I331" s="62"/>
      <c r="J331" s="62"/>
      <c r="K331" s="62"/>
      <c r="L331" s="62"/>
      <c r="M331" s="62"/>
      <c r="N331" s="186"/>
      <c r="O331" s="152"/>
      <c r="P331" s="90"/>
      <c r="Q331" s="140"/>
      <c r="R331" s="90"/>
      <c r="S331" s="140"/>
      <c r="T331" s="90"/>
      <c r="U331" s="140"/>
      <c r="V331" s="90"/>
      <c r="W331" s="140"/>
      <c r="X331" s="90"/>
      <c r="Y331" s="140"/>
      <c r="Z331" s="90"/>
      <c r="AA331" s="140"/>
      <c r="AB331" s="90"/>
      <c r="AC331" s="140"/>
      <c r="AD331" s="90"/>
      <c r="AE331" s="140"/>
      <c r="AF331" s="137" t="str">
        <f t="shared" si="19"/>
        <v/>
      </c>
      <c r="AG331" s="179" t="b">
        <f t="shared" si="18"/>
        <v>0</v>
      </c>
      <c r="AH331" s="140"/>
      <c r="AI331" s="147" t="s">
        <v>36</v>
      </c>
      <c r="AJ331" s="145">
        <f t="shared" si="17"/>
        <v>0</v>
      </c>
      <c r="AK331" s="148" t="s">
        <v>75</v>
      </c>
    </row>
    <row r="332" spans="1:37" ht="30" customHeight="1">
      <c r="A332" s="62"/>
      <c r="B332" s="62"/>
      <c r="C332" s="62"/>
      <c r="D332" s="62"/>
      <c r="E332" s="62"/>
      <c r="F332" s="62"/>
      <c r="G332" s="62"/>
      <c r="H332" s="62"/>
      <c r="I332" s="62"/>
      <c r="J332" s="62"/>
      <c r="K332" s="62"/>
      <c r="L332" s="62"/>
      <c r="M332" s="62"/>
      <c r="N332" s="186"/>
      <c r="O332" s="152"/>
      <c r="P332" s="90"/>
      <c r="Q332" s="140"/>
      <c r="R332" s="90"/>
      <c r="S332" s="140"/>
      <c r="T332" s="90"/>
      <c r="U332" s="140"/>
      <c r="V332" s="90"/>
      <c r="W332" s="140"/>
      <c r="X332" s="90"/>
      <c r="Y332" s="140"/>
      <c r="Z332" s="90"/>
      <c r="AA332" s="140"/>
      <c r="AB332" s="90"/>
      <c r="AC332" s="140"/>
      <c r="AD332" s="90"/>
      <c r="AE332" s="140"/>
      <c r="AF332" s="137" t="str">
        <f t="shared" si="19"/>
        <v/>
      </c>
      <c r="AG332" s="179" t="b">
        <f t="shared" si="18"/>
        <v>0</v>
      </c>
      <c r="AH332" s="140"/>
      <c r="AI332" s="147" t="s">
        <v>36</v>
      </c>
      <c r="AJ332" s="145">
        <f t="shared" si="17"/>
        <v>0</v>
      </c>
      <c r="AK332" s="148" t="s">
        <v>75</v>
      </c>
    </row>
    <row r="333" spans="1:37" ht="30" customHeight="1">
      <c r="A333" s="62"/>
      <c r="B333" s="62"/>
      <c r="C333" s="62"/>
      <c r="D333" s="62"/>
      <c r="E333" s="62"/>
      <c r="F333" s="62"/>
      <c r="G333" s="62"/>
      <c r="H333" s="62"/>
      <c r="I333" s="62"/>
      <c r="J333" s="62"/>
      <c r="K333" s="62"/>
      <c r="L333" s="62"/>
      <c r="M333" s="62"/>
      <c r="N333" s="186"/>
      <c r="O333" s="152"/>
      <c r="P333" s="90"/>
      <c r="Q333" s="140"/>
      <c r="R333" s="90"/>
      <c r="S333" s="140"/>
      <c r="T333" s="90"/>
      <c r="U333" s="140"/>
      <c r="V333" s="90"/>
      <c r="W333" s="140"/>
      <c r="X333" s="90"/>
      <c r="Y333" s="140"/>
      <c r="Z333" s="90"/>
      <c r="AA333" s="140"/>
      <c r="AB333" s="90"/>
      <c r="AC333" s="140"/>
      <c r="AD333" s="90"/>
      <c r="AE333" s="140"/>
      <c r="AF333" s="137" t="str">
        <f t="shared" si="19"/>
        <v/>
      </c>
      <c r="AG333" s="179" t="b">
        <f t="shared" si="18"/>
        <v>0</v>
      </c>
      <c r="AH333" s="140"/>
      <c r="AI333" s="147" t="s">
        <v>36</v>
      </c>
      <c r="AJ333" s="145">
        <f t="shared" si="17"/>
        <v>0</v>
      </c>
      <c r="AK333" s="148" t="s">
        <v>75</v>
      </c>
    </row>
    <row r="334" spans="1:37" ht="30" customHeight="1">
      <c r="A334" s="62"/>
      <c r="B334" s="62"/>
      <c r="C334" s="62"/>
      <c r="D334" s="62"/>
      <c r="E334" s="62"/>
      <c r="F334" s="62"/>
      <c r="G334" s="62"/>
      <c r="H334" s="62"/>
      <c r="I334" s="62"/>
      <c r="J334" s="62"/>
      <c r="K334" s="62"/>
      <c r="L334" s="62"/>
      <c r="M334" s="62"/>
      <c r="N334" s="186"/>
      <c r="O334" s="152"/>
      <c r="P334" s="90"/>
      <c r="Q334" s="140"/>
      <c r="R334" s="90"/>
      <c r="S334" s="140"/>
      <c r="T334" s="90"/>
      <c r="U334" s="140"/>
      <c r="V334" s="90"/>
      <c r="W334" s="140"/>
      <c r="X334" s="90"/>
      <c r="Y334" s="140"/>
      <c r="Z334" s="90"/>
      <c r="AA334" s="140"/>
      <c r="AB334" s="90"/>
      <c r="AC334" s="140"/>
      <c r="AD334" s="90"/>
      <c r="AE334" s="140"/>
      <c r="AF334" s="137" t="str">
        <f t="shared" si="19"/>
        <v/>
      </c>
      <c r="AG334" s="179" t="b">
        <f t="shared" si="18"/>
        <v>0</v>
      </c>
      <c r="AH334" s="140"/>
      <c r="AI334" s="147" t="s">
        <v>36</v>
      </c>
      <c r="AJ334" s="145">
        <f t="shared" si="17"/>
        <v>0</v>
      </c>
      <c r="AK334" s="148" t="s">
        <v>75</v>
      </c>
    </row>
    <row r="335" spans="1:37" ht="30" customHeight="1">
      <c r="A335" s="62"/>
      <c r="B335" s="62"/>
      <c r="C335" s="62"/>
      <c r="D335" s="62"/>
      <c r="E335" s="62"/>
      <c r="F335" s="62"/>
      <c r="G335" s="62"/>
      <c r="H335" s="62"/>
      <c r="I335" s="62"/>
      <c r="J335" s="62"/>
      <c r="K335" s="62"/>
      <c r="L335" s="62"/>
      <c r="M335" s="62"/>
      <c r="N335" s="186"/>
      <c r="O335" s="152"/>
      <c r="P335" s="90"/>
      <c r="Q335" s="140"/>
      <c r="R335" s="90"/>
      <c r="S335" s="140"/>
      <c r="T335" s="90"/>
      <c r="U335" s="140"/>
      <c r="V335" s="90"/>
      <c r="W335" s="140"/>
      <c r="X335" s="90"/>
      <c r="Y335" s="140"/>
      <c r="Z335" s="90"/>
      <c r="AA335" s="140"/>
      <c r="AB335" s="90"/>
      <c r="AC335" s="140"/>
      <c r="AD335" s="90"/>
      <c r="AE335" s="140"/>
      <c r="AF335" s="137" t="str">
        <f t="shared" si="19"/>
        <v/>
      </c>
      <c r="AG335" s="179" t="b">
        <f t="shared" si="18"/>
        <v>0</v>
      </c>
      <c r="AH335" s="140"/>
      <c r="AI335" s="147" t="s">
        <v>36</v>
      </c>
      <c r="AJ335" s="145">
        <f t="shared" si="17"/>
        <v>0</v>
      </c>
      <c r="AK335" s="148" t="s">
        <v>75</v>
      </c>
    </row>
    <row r="336" spans="1:37" ht="30" customHeight="1">
      <c r="A336" s="62"/>
      <c r="B336" s="62"/>
      <c r="C336" s="62"/>
      <c r="D336" s="62"/>
      <c r="E336" s="62"/>
      <c r="F336" s="62"/>
      <c r="G336" s="62"/>
      <c r="H336" s="62"/>
      <c r="I336" s="62"/>
      <c r="J336" s="62"/>
      <c r="K336" s="62"/>
      <c r="L336" s="62"/>
      <c r="M336" s="62"/>
      <c r="N336" s="186"/>
      <c r="O336" s="152"/>
      <c r="P336" s="90"/>
      <c r="Q336" s="140"/>
      <c r="R336" s="90"/>
      <c r="S336" s="140"/>
      <c r="T336" s="90"/>
      <c r="U336" s="140"/>
      <c r="V336" s="90"/>
      <c r="W336" s="140"/>
      <c r="X336" s="90"/>
      <c r="Y336" s="140"/>
      <c r="Z336" s="90"/>
      <c r="AA336" s="140"/>
      <c r="AB336" s="90"/>
      <c r="AC336" s="140"/>
      <c r="AD336" s="90"/>
      <c r="AE336" s="140"/>
      <c r="AF336" s="137" t="str">
        <f t="shared" si="19"/>
        <v/>
      </c>
      <c r="AG336" s="179" t="b">
        <f t="shared" si="18"/>
        <v>0</v>
      </c>
      <c r="AH336" s="140"/>
      <c r="AI336" s="147" t="s">
        <v>36</v>
      </c>
      <c r="AJ336" s="145">
        <f t="shared" si="17"/>
        <v>0</v>
      </c>
      <c r="AK336" s="148" t="s">
        <v>75</v>
      </c>
    </row>
    <row r="337" spans="1:37" ht="30" customHeight="1">
      <c r="A337" s="62"/>
      <c r="B337" s="62"/>
      <c r="C337" s="62"/>
      <c r="D337" s="62"/>
      <c r="E337" s="62"/>
      <c r="F337" s="62"/>
      <c r="G337" s="62"/>
      <c r="H337" s="62"/>
      <c r="I337" s="62"/>
      <c r="J337" s="62"/>
      <c r="K337" s="62"/>
      <c r="L337" s="62"/>
      <c r="M337" s="62"/>
      <c r="N337" s="186"/>
      <c r="O337" s="152"/>
      <c r="P337" s="90"/>
      <c r="Q337" s="140"/>
      <c r="R337" s="90"/>
      <c r="S337" s="140"/>
      <c r="T337" s="90"/>
      <c r="U337" s="140"/>
      <c r="V337" s="90"/>
      <c r="W337" s="140"/>
      <c r="X337" s="90"/>
      <c r="Y337" s="140"/>
      <c r="Z337" s="90"/>
      <c r="AA337" s="140"/>
      <c r="AB337" s="90"/>
      <c r="AC337" s="140"/>
      <c r="AD337" s="90"/>
      <c r="AE337" s="140"/>
      <c r="AF337" s="137" t="str">
        <f t="shared" si="19"/>
        <v/>
      </c>
      <c r="AG337" s="179" t="b">
        <f t="shared" si="18"/>
        <v>0</v>
      </c>
      <c r="AH337" s="140"/>
      <c r="AI337" s="147" t="s">
        <v>36</v>
      </c>
      <c r="AJ337" s="145">
        <f t="shared" si="17"/>
        <v>0</v>
      </c>
      <c r="AK337" s="148" t="s">
        <v>75</v>
      </c>
    </row>
    <row r="338" spans="1:37" ht="30" customHeight="1">
      <c r="A338" s="62"/>
      <c r="B338" s="62"/>
      <c r="C338" s="62"/>
      <c r="D338" s="62"/>
      <c r="E338" s="62"/>
      <c r="F338" s="62"/>
      <c r="G338" s="62"/>
      <c r="H338" s="62"/>
      <c r="I338" s="62"/>
      <c r="J338" s="62"/>
      <c r="K338" s="62"/>
      <c r="L338" s="62"/>
      <c r="M338" s="62"/>
      <c r="N338" s="186"/>
      <c r="O338" s="152"/>
      <c r="P338" s="90"/>
      <c r="Q338" s="140"/>
      <c r="R338" s="90"/>
      <c r="S338" s="140"/>
      <c r="T338" s="90"/>
      <c r="U338" s="140"/>
      <c r="V338" s="90"/>
      <c r="W338" s="140"/>
      <c r="X338" s="90"/>
      <c r="Y338" s="140"/>
      <c r="Z338" s="90"/>
      <c r="AA338" s="140"/>
      <c r="AB338" s="90"/>
      <c r="AC338" s="140"/>
      <c r="AD338" s="90"/>
      <c r="AE338" s="140"/>
      <c r="AF338" s="137" t="str">
        <f t="shared" si="19"/>
        <v/>
      </c>
      <c r="AG338" s="179" t="b">
        <f t="shared" si="18"/>
        <v>0</v>
      </c>
      <c r="AH338" s="140"/>
      <c r="AI338" s="147" t="s">
        <v>36</v>
      </c>
      <c r="AJ338" s="145">
        <f t="shared" si="17"/>
        <v>0</v>
      </c>
      <c r="AK338" s="148" t="s">
        <v>75</v>
      </c>
    </row>
    <row r="339" spans="1:37" ht="30" customHeight="1">
      <c r="A339" s="62"/>
      <c r="B339" s="62"/>
      <c r="C339" s="62"/>
      <c r="D339" s="62"/>
      <c r="E339" s="62"/>
      <c r="F339" s="62"/>
      <c r="G339" s="62"/>
      <c r="H339" s="62"/>
      <c r="I339" s="62"/>
      <c r="J339" s="62"/>
      <c r="K339" s="62"/>
      <c r="L339" s="62"/>
      <c r="M339" s="62"/>
      <c r="N339" s="186"/>
      <c r="O339" s="152"/>
      <c r="P339" s="90"/>
      <c r="Q339" s="140"/>
      <c r="R339" s="90"/>
      <c r="S339" s="140"/>
      <c r="T339" s="90"/>
      <c r="U339" s="140"/>
      <c r="V339" s="90"/>
      <c r="W339" s="140"/>
      <c r="X339" s="90"/>
      <c r="Y339" s="140"/>
      <c r="Z339" s="90"/>
      <c r="AA339" s="140"/>
      <c r="AB339" s="90"/>
      <c r="AC339" s="140"/>
      <c r="AD339" s="90"/>
      <c r="AE339" s="140"/>
      <c r="AF339" s="137" t="str">
        <f t="shared" si="19"/>
        <v/>
      </c>
      <c r="AG339" s="179" t="b">
        <f t="shared" si="18"/>
        <v>0</v>
      </c>
      <c r="AH339" s="140"/>
      <c r="AI339" s="147" t="s">
        <v>36</v>
      </c>
      <c r="AJ339" s="145">
        <f t="shared" si="17"/>
        <v>0</v>
      </c>
      <c r="AK339" s="148" t="s">
        <v>75</v>
      </c>
    </row>
    <row r="340" spans="1:37" ht="30" customHeight="1">
      <c r="A340" s="62"/>
      <c r="B340" s="62"/>
      <c r="C340" s="62"/>
      <c r="D340" s="62"/>
      <c r="E340" s="62"/>
      <c r="F340" s="62"/>
      <c r="G340" s="62"/>
      <c r="H340" s="62"/>
      <c r="I340" s="62"/>
      <c r="J340" s="62"/>
      <c r="K340" s="62"/>
      <c r="L340" s="62"/>
      <c r="M340" s="62"/>
      <c r="N340" s="186"/>
      <c r="O340" s="152"/>
      <c r="P340" s="90"/>
      <c r="Q340" s="140"/>
      <c r="R340" s="90"/>
      <c r="S340" s="140"/>
      <c r="T340" s="90"/>
      <c r="U340" s="140"/>
      <c r="V340" s="90"/>
      <c r="W340" s="140"/>
      <c r="X340" s="90"/>
      <c r="Y340" s="140"/>
      <c r="Z340" s="90"/>
      <c r="AA340" s="140"/>
      <c r="AB340" s="90"/>
      <c r="AC340" s="140"/>
      <c r="AD340" s="90"/>
      <c r="AE340" s="140"/>
      <c r="AF340" s="137" t="str">
        <f t="shared" si="19"/>
        <v/>
      </c>
      <c r="AG340" s="179" t="b">
        <f t="shared" si="18"/>
        <v>0</v>
      </c>
      <c r="AH340" s="140"/>
      <c r="AI340" s="147" t="s">
        <v>36</v>
      </c>
      <c r="AJ340" s="145">
        <f t="shared" si="17"/>
        <v>0</v>
      </c>
      <c r="AK340" s="148" t="s">
        <v>75</v>
      </c>
    </row>
    <row r="341" spans="1:37" ht="30" customHeight="1">
      <c r="A341" s="62"/>
      <c r="B341" s="62"/>
      <c r="C341" s="62"/>
      <c r="D341" s="62"/>
      <c r="E341" s="62"/>
      <c r="F341" s="62"/>
      <c r="G341" s="62"/>
      <c r="H341" s="62"/>
      <c r="I341" s="62"/>
      <c r="J341" s="62"/>
      <c r="K341" s="62"/>
      <c r="L341" s="62"/>
      <c r="M341" s="62"/>
      <c r="N341" s="186"/>
      <c r="O341" s="152"/>
      <c r="P341" s="90"/>
      <c r="Q341" s="140"/>
      <c r="R341" s="90"/>
      <c r="S341" s="140"/>
      <c r="T341" s="90"/>
      <c r="U341" s="140"/>
      <c r="V341" s="90"/>
      <c r="W341" s="140"/>
      <c r="X341" s="90"/>
      <c r="Y341" s="140"/>
      <c r="Z341" s="90"/>
      <c r="AA341" s="140"/>
      <c r="AB341" s="90"/>
      <c r="AC341" s="140"/>
      <c r="AD341" s="90"/>
      <c r="AE341" s="140"/>
      <c r="AF341" s="137" t="str">
        <f t="shared" si="19"/>
        <v/>
      </c>
      <c r="AG341" s="179" t="b">
        <f t="shared" si="18"/>
        <v>0</v>
      </c>
      <c r="AH341" s="140"/>
      <c r="AI341" s="147" t="s">
        <v>36</v>
      </c>
      <c r="AJ341" s="145">
        <f t="shared" si="17"/>
        <v>0</v>
      </c>
      <c r="AK341" s="148" t="s">
        <v>75</v>
      </c>
    </row>
    <row r="342" spans="1:37" ht="30" customHeight="1">
      <c r="A342" s="62"/>
      <c r="B342" s="62"/>
      <c r="C342" s="62"/>
      <c r="D342" s="62"/>
      <c r="E342" s="62"/>
      <c r="F342" s="62"/>
      <c r="G342" s="62"/>
      <c r="H342" s="62"/>
      <c r="I342" s="62"/>
      <c r="J342" s="62"/>
      <c r="K342" s="62"/>
      <c r="L342" s="62"/>
      <c r="M342" s="62"/>
      <c r="N342" s="186"/>
      <c r="O342" s="152"/>
      <c r="P342" s="90"/>
      <c r="Q342" s="140"/>
      <c r="R342" s="90"/>
      <c r="S342" s="140"/>
      <c r="T342" s="90"/>
      <c r="U342" s="140"/>
      <c r="V342" s="90"/>
      <c r="W342" s="140"/>
      <c r="X342" s="90"/>
      <c r="Y342" s="140"/>
      <c r="Z342" s="90"/>
      <c r="AA342" s="140"/>
      <c r="AB342" s="90"/>
      <c r="AC342" s="140"/>
      <c r="AD342" s="90"/>
      <c r="AE342" s="140"/>
      <c r="AF342" s="137" t="str">
        <f t="shared" si="19"/>
        <v/>
      </c>
      <c r="AG342" s="179" t="b">
        <f t="shared" si="18"/>
        <v>0</v>
      </c>
      <c r="AH342" s="140"/>
      <c r="AI342" s="147" t="s">
        <v>36</v>
      </c>
      <c r="AJ342" s="145">
        <f t="shared" si="17"/>
        <v>0</v>
      </c>
      <c r="AK342" s="148" t="s">
        <v>75</v>
      </c>
    </row>
    <row r="343" spans="1:37" ht="30" customHeight="1">
      <c r="A343" s="62"/>
      <c r="B343" s="62"/>
      <c r="C343" s="62"/>
      <c r="D343" s="62"/>
      <c r="E343" s="62"/>
      <c r="F343" s="62"/>
      <c r="G343" s="62"/>
      <c r="H343" s="62"/>
      <c r="I343" s="62"/>
      <c r="J343" s="62"/>
      <c r="K343" s="62"/>
      <c r="L343" s="62"/>
      <c r="M343" s="62"/>
      <c r="N343" s="186"/>
      <c r="O343" s="152"/>
      <c r="P343" s="90"/>
      <c r="Q343" s="140"/>
      <c r="R343" s="90"/>
      <c r="S343" s="140"/>
      <c r="T343" s="90"/>
      <c r="U343" s="140"/>
      <c r="V343" s="90"/>
      <c r="W343" s="140"/>
      <c r="X343" s="90"/>
      <c r="Y343" s="140"/>
      <c r="Z343" s="90"/>
      <c r="AA343" s="140"/>
      <c r="AB343" s="90"/>
      <c r="AC343" s="140"/>
      <c r="AD343" s="90"/>
      <c r="AE343" s="140"/>
      <c r="AF343" s="137" t="str">
        <f t="shared" si="19"/>
        <v/>
      </c>
      <c r="AG343" s="179" t="b">
        <f t="shared" si="18"/>
        <v>0</v>
      </c>
      <c r="AH343" s="140"/>
      <c r="AI343" s="147" t="s">
        <v>36</v>
      </c>
      <c r="AJ343" s="145">
        <f t="shared" si="17"/>
        <v>0</v>
      </c>
      <c r="AK343" s="148" t="s">
        <v>75</v>
      </c>
    </row>
    <row r="344" spans="1:37" ht="30" customHeight="1">
      <c r="A344" s="62"/>
      <c r="B344" s="62"/>
      <c r="C344" s="62"/>
      <c r="D344" s="62"/>
      <c r="E344" s="62"/>
      <c r="F344" s="62"/>
      <c r="G344" s="62"/>
      <c r="H344" s="62"/>
      <c r="I344" s="62"/>
      <c r="J344" s="62"/>
      <c r="K344" s="62"/>
      <c r="L344" s="62"/>
      <c r="M344" s="62"/>
      <c r="N344" s="186"/>
      <c r="O344" s="152"/>
      <c r="P344" s="90"/>
      <c r="Q344" s="140"/>
      <c r="R344" s="90"/>
      <c r="S344" s="140"/>
      <c r="T344" s="90"/>
      <c r="U344" s="140"/>
      <c r="V344" s="90"/>
      <c r="W344" s="140"/>
      <c r="X344" s="90"/>
      <c r="Y344" s="140"/>
      <c r="Z344" s="90"/>
      <c r="AA344" s="140"/>
      <c r="AB344" s="90"/>
      <c r="AC344" s="140"/>
      <c r="AD344" s="90"/>
      <c r="AE344" s="140"/>
      <c r="AF344" s="137" t="str">
        <f t="shared" si="19"/>
        <v/>
      </c>
      <c r="AG344" s="179" t="b">
        <f t="shared" si="18"/>
        <v>0</v>
      </c>
      <c r="AH344" s="140"/>
      <c r="AI344" s="147" t="s">
        <v>36</v>
      </c>
      <c r="AJ344" s="145">
        <f t="shared" si="17"/>
        <v>0</v>
      </c>
      <c r="AK344" s="148" t="s">
        <v>75</v>
      </c>
    </row>
    <row r="345" spans="1:37" ht="30" customHeight="1">
      <c r="A345" s="62"/>
      <c r="B345" s="62"/>
      <c r="C345" s="62"/>
      <c r="D345" s="62"/>
      <c r="E345" s="62"/>
      <c r="F345" s="62"/>
      <c r="G345" s="62"/>
      <c r="H345" s="62"/>
      <c r="I345" s="62"/>
      <c r="J345" s="62"/>
      <c r="K345" s="62"/>
      <c r="L345" s="62"/>
      <c r="M345" s="62"/>
      <c r="N345" s="186"/>
      <c r="O345" s="152"/>
      <c r="P345" s="90"/>
      <c r="Q345" s="140"/>
      <c r="R345" s="90"/>
      <c r="S345" s="140"/>
      <c r="T345" s="90"/>
      <c r="U345" s="140"/>
      <c r="V345" s="90"/>
      <c r="W345" s="140"/>
      <c r="X345" s="90"/>
      <c r="Y345" s="140"/>
      <c r="Z345" s="90"/>
      <c r="AA345" s="140"/>
      <c r="AB345" s="90"/>
      <c r="AC345" s="140"/>
      <c r="AD345" s="90"/>
      <c r="AE345" s="140"/>
      <c r="AF345" s="137" t="str">
        <f t="shared" si="19"/>
        <v/>
      </c>
      <c r="AG345" s="179" t="b">
        <f t="shared" si="18"/>
        <v>0</v>
      </c>
      <c r="AH345" s="140"/>
      <c r="AI345" s="147" t="s">
        <v>36</v>
      </c>
      <c r="AJ345" s="145">
        <f t="shared" si="17"/>
        <v>0</v>
      </c>
      <c r="AK345" s="148" t="s">
        <v>75</v>
      </c>
    </row>
    <row r="346" spans="1:37" ht="30" customHeight="1">
      <c r="A346" s="62"/>
      <c r="B346" s="62"/>
      <c r="C346" s="62"/>
      <c r="D346" s="62"/>
      <c r="E346" s="62"/>
      <c r="F346" s="62"/>
      <c r="G346" s="62"/>
      <c r="H346" s="62"/>
      <c r="I346" s="62"/>
      <c r="J346" s="62"/>
      <c r="K346" s="62"/>
      <c r="L346" s="62"/>
      <c r="M346" s="62"/>
      <c r="N346" s="186"/>
      <c r="O346" s="152"/>
      <c r="P346" s="90"/>
      <c r="Q346" s="140"/>
      <c r="R346" s="90"/>
      <c r="S346" s="140"/>
      <c r="T346" s="90"/>
      <c r="U346" s="140"/>
      <c r="V346" s="90"/>
      <c r="W346" s="140"/>
      <c r="X346" s="90"/>
      <c r="Y346" s="140"/>
      <c r="Z346" s="90"/>
      <c r="AA346" s="140"/>
      <c r="AB346" s="90"/>
      <c r="AC346" s="140"/>
      <c r="AD346" s="90"/>
      <c r="AE346" s="140"/>
      <c r="AF346" s="137" t="str">
        <f t="shared" si="19"/>
        <v/>
      </c>
      <c r="AG346" s="179" t="b">
        <f t="shared" si="18"/>
        <v>0</v>
      </c>
      <c r="AH346" s="140"/>
      <c r="AI346" s="147" t="s">
        <v>36</v>
      </c>
      <c r="AJ346" s="145">
        <f t="shared" si="17"/>
        <v>0</v>
      </c>
      <c r="AK346" s="148" t="s">
        <v>75</v>
      </c>
    </row>
    <row r="347" spans="1:37" ht="30" customHeight="1">
      <c r="A347" s="62"/>
      <c r="B347" s="62"/>
      <c r="C347" s="62"/>
      <c r="D347" s="62"/>
      <c r="E347" s="62"/>
      <c r="F347" s="62"/>
      <c r="G347" s="62"/>
      <c r="H347" s="62"/>
      <c r="I347" s="62"/>
      <c r="J347" s="62"/>
      <c r="K347" s="62"/>
      <c r="L347" s="62"/>
      <c r="M347" s="62"/>
      <c r="N347" s="186"/>
      <c r="O347" s="152"/>
      <c r="P347" s="90"/>
      <c r="Q347" s="140"/>
      <c r="R347" s="90"/>
      <c r="S347" s="140"/>
      <c r="T347" s="90"/>
      <c r="U347" s="140"/>
      <c r="V347" s="90"/>
      <c r="W347" s="140"/>
      <c r="X347" s="90"/>
      <c r="Y347" s="140"/>
      <c r="Z347" s="90"/>
      <c r="AA347" s="140"/>
      <c r="AB347" s="90"/>
      <c r="AC347" s="140"/>
      <c r="AD347" s="90"/>
      <c r="AE347" s="140"/>
      <c r="AF347" s="137" t="str">
        <f t="shared" si="19"/>
        <v/>
      </c>
      <c r="AG347" s="179" t="b">
        <f t="shared" si="18"/>
        <v>0</v>
      </c>
      <c r="AH347" s="140"/>
      <c r="AI347" s="147" t="s">
        <v>36</v>
      </c>
      <c r="AJ347" s="145">
        <f t="shared" si="17"/>
        <v>0</v>
      </c>
      <c r="AK347" s="148" t="s">
        <v>75</v>
      </c>
    </row>
    <row r="348" spans="1:37" ht="30" customHeight="1">
      <c r="A348" s="62"/>
      <c r="B348" s="62"/>
      <c r="C348" s="62"/>
      <c r="D348" s="62"/>
      <c r="E348" s="62"/>
      <c r="F348" s="62"/>
      <c r="G348" s="62"/>
      <c r="H348" s="62"/>
      <c r="I348" s="62"/>
      <c r="J348" s="62"/>
      <c r="K348" s="62"/>
      <c r="L348" s="62"/>
      <c r="M348" s="62"/>
      <c r="N348" s="186"/>
      <c r="O348" s="152"/>
      <c r="P348" s="90"/>
      <c r="Q348" s="140"/>
      <c r="R348" s="90"/>
      <c r="S348" s="140"/>
      <c r="T348" s="90"/>
      <c r="U348" s="140"/>
      <c r="V348" s="90"/>
      <c r="W348" s="140"/>
      <c r="X348" s="90"/>
      <c r="Y348" s="140"/>
      <c r="Z348" s="90"/>
      <c r="AA348" s="140"/>
      <c r="AB348" s="90"/>
      <c r="AC348" s="140"/>
      <c r="AD348" s="90"/>
      <c r="AE348" s="140"/>
      <c r="AF348" s="137" t="str">
        <f t="shared" si="19"/>
        <v/>
      </c>
      <c r="AG348" s="179" t="b">
        <f t="shared" si="18"/>
        <v>0</v>
      </c>
      <c r="AH348" s="140"/>
      <c r="AI348" s="147" t="s">
        <v>36</v>
      </c>
      <c r="AJ348" s="145">
        <f t="shared" si="17"/>
        <v>0</v>
      </c>
      <c r="AK348" s="148" t="s">
        <v>75</v>
      </c>
    </row>
    <row r="349" spans="1:37" ht="30" customHeight="1">
      <c r="A349" s="62"/>
      <c r="B349" s="62"/>
      <c r="C349" s="62"/>
      <c r="D349" s="62"/>
      <c r="E349" s="62"/>
      <c r="F349" s="62"/>
      <c r="G349" s="62"/>
      <c r="H349" s="62"/>
      <c r="I349" s="62"/>
      <c r="J349" s="62"/>
      <c r="K349" s="62"/>
      <c r="L349" s="62"/>
      <c r="M349" s="62"/>
      <c r="N349" s="186"/>
      <c r="O349" s="152"/>
      <c r="P349" s="90"/>
      <c r="Q349" s="140"/>
      <c r="R349" s="90"/>
      <c r="S349" s="140"/>
      <c r="T349" s="90"/>
      <c r="U349" s="140"/>
      <c r="V349" s="90"/>
      <c r="W349" s="140"/>
      <c r="X349" s="90"/>
      <c r="Y349" s="140"/>
      <c r="Z349" s="90"/>
      <c r="AA349" s="140"/>
      <c r="AB349" s="90"/>
      <c r="AC349" s="140"/>
      <c r="AD349" s="90"/>
      <c r="AE349" s="140"/>
      <c r="AF349" s="137" t="str">
        <f t="shared" si="19"/>
        <v/>
      </c>
      <c r="AG349" s="179" t="b">
        <f t="shared" si="18"/>
        <v>0</v>
      </c>
      <c r="AH349" s="140"/>
      <c r="AI349" s="147" t="s">
        <v>36</v>
      </c>
      <c r="AJ349" s="145">
        <f t="shared" si="17"/>
        <v>0</v>
      </c>
      <c r="AK349" s="148" t="s">
        <v>75</v>
      </c>
    </row>
    <row r="350" spans="1:37" ht="30" customHeight="1">
      <c r="A350" s="62"/>
      <c r="B350" s="62"/>
      <c r="C350" s="62"/>
      <c r="D350" s="62"/>
      <c r="E350" s="62"/>
      <c r="F350" s="62"/>
      <c r="G350" s="62"/>
      <c r="H350" s="62"/>
      <c r="I350" s="62"/>
      <c r="J350" s="62"/>
      <c r="K350" s="62"/>
      <c r="L350" s="62"/>
      <c r="M350" s="62"/>
      <c r="N350" s="186"/>
      <c r="O350" s="152"/>
      <c r="P350" s="90"/>
      <c r="Q350" s="140"/>
      <c r="R350" s="90"/>
      <c r="S350" s="140"/>
      <c r="T350" s="90"/>
      <c r="U350" s="140"/>
      <c r="V350" s="90"/>
      <c r="W350" s="140"/>
      <c r="X350" s="90"/>
      <c r="Y350" s="140"/>
      <c r="Z350" s="90"/>
      <c r="AA350" s="140"/>
      <c r="AB350" s="90"/>
      <c r="AC350" s="140"/>
      <c r="AD350" s="90"/>
      <c r="AE350" s="140"/>
      <c r="AF350" s="137" t="str">
        <f t="shared" si="19"/>
        <v/>
      </c>
      <c r="AG350" s="179" t="b">
        <f t="shared" si="18"/>
        <v>0</v>
      </c>
      <c r="AH350" s="140"/>
      <c r="AI350" s="147" t="s">
        <v>36</v>
      </c>
      <c r="AJ350" s="145">
        <f t="shared" si="17"/>
        <v>0</v>
      </c>
      <c r="AK350" s="148" t="s">
        <v>75</v>
      </c>
    </row>
    <row r="351" spans="1:37" ht="30" customHeight="1">
      <c r="A351" s="62"/>
      <c r="B351" s="62"/>
      <c r="C351" s="62"/>
      <c r="D351" s="62"/>
      <c r="E351" s="62"/>
      <c r="F351" s="62"/>
      <c r="G351" s="62"/>
      <c r="H351" s="62"/>
      <c r="I351" s="62"/>
      <c r="J351" s="62"/>
      <c r="K351" s="62"/>
      <c r="L351" s="62"/>
      <c r="M351" s="62"/>
      <c r="N351" s="186"/>
      <c r="O351" s="152"/>
      <c r="P351" s="90"/>
      <c r="Q351" s="140"/>
      <c r="R351" s="90"/>
      <c r="S351" s="140"/>
      <c r="T351" s="90"/>
      <c r="U351" s="140"/>
      <c r="V351" s="90"/>
      <c r="W351" s="140"/>
      <c r="X351" s="90"/>
      <c r="Y351" s="140"/>
      <c r="Z351" s="90"/>
      <c r="AA351" s="140"/>
      <c r="AB351" s="90"/>
      <c r="AC351" s="140"/>
      <c r="AD351" s="90"/>
      <c r="AE351" s="140"/>
      <c r="AF351" s="137" t="str">
        <f t="shared" si="19"/>
        <v/>
      </c>
      <c r="AG351" s="179" t="b">
        <f t="shared" si="18"/>
        <v>0</v>
      </c>
      <c r="AH351" s="140"/>
      <c r="AI351" s="147" t="s">
        <v>36</v>
      </c>
      <c r="AJ351" s="145">
        <f t="shared" si="17"/>
        <v>0</v>
      </c>
      <c r="AK351" s="148" t="s">
        <v>75</v>
      </c>
    </row>
    <row r="352" spans="1:37" ht="30" customHeight="1">
      <c r="A352" s="62"/>
      <c r="B352" s="62"/>
      <c r="C352" s="62"/>
      <c r="D352" s="62"/>
      <c r="E352" s="62"/>
      <c r="F352" s="62"/>
      <c r="G352" s="62"/>
      <c r="H352" s="62"/>
      <c r="I352" s="62"/>
      <c r="J352" s="62"/>
      <c r="K352" s="62"/>
      <c r="L352" s="62"/>
      <c r="M352" s="62"/>
      <c r="N352" s="186"/>
      <c r="O352" s="152"/>
      <c r="P352" s="90"/>
      <c r="Q352" s="140"/>
      <c r="R352" s="90"/>
      <c r="S352" s="140"/>
      <c r="T352" s="90"/>
      <c r="U352" s="140"/>
      <c r="V352" s="90"/>
      <c r="W352" s="140"/>
      <c r="X352" s="90"/>
      <c r="Y352" s="140"/>
      <c r="Z352" s="90"/>
      <c r="AA352" s="140"/>
      <c r="AB352" s="90"/>
      <c r="AC352" s="140"/>
      <c r="AD352" s="90"/>
      <c r="AE352" s="140"/>
      <c r="AF352" s="137" t="str">
        <f t="shared" si="19"/>
        <v/>
      </c>
      <c r="AG352" s="179" t="b">
        <f t="shared" si="18"/>
        <v>0</v>
      </c>
      <c r="AH352" s="140"/>
      <c r="AI352" s="147" t="s">
        <v>36</v>
      </c>
      <c r="AJ352" s="145">
        <f t="shared" ref="AJ352:AJ415" si="20">E352</f>
        <v>0</v>
      </c>
      <c r="AK352" s="148" t="s">
        <v>75</v>
      </c>
    </row>
    <row r="353" spans="1:37" ht="30" customHeight="1">
      <c r="A353" s="62"/>
      <c r="B353" s="62"/>
      <c r="C353" s="62"/>
      <c r="D353" s="62"/>
      <c r="E353" s="62"/>
      <c r="F353" s="62"/>
      <c r="G353" s="62"/>
      <c r="H353" s="62"/>
      <c r="I353" s="62"/>
      <c r="J353" s="62"/>
      <c r="K353" s="62"/>
      <c r="L353" s="62"/>
      <c r="M353" s="62"/>
      <c r="N353" s="186"/>
      <c r="O353" s="152"/>
      <c r="P353" s="90"/>
      <c r="Q353" s="140"/>
      <c r="R353" s="90"/>
      <c r="S353" s="140"/>
      <c r="T353" s="90"/>
      <c r="U353" s="140"/>
      <c r="V353" s="90"/>
      <c r="W353" s="140"/>
      <c r="X353" s="90"/>
      <c r="Y353" s="140"/>
      <c r="Z353" s="90"/>
      <c r="AA353" s="140"/>
      <c r="AB353" s="90"/>
      <c r="AC353" s="140"/>
      <c r="AD353" s="90"/>
      <c r="AE353" s="140"/>
      <c r="AF353" s="137" t="str">
        <f t="shared" si="19"/>
        <v/>
      </c>
      <c r="AG353" s="179" t="b">
        <f t="shared" si="18"/>
        <v>0</v>
      </c>
      <c r="AH353" s="140"/>
      <c r="AI353" s="147" t="s">
        <v>36</v>
      </c>
      <c r="AJ353" s="145">
        <f t="shared" si="20"/>
        <v>0</v>
      </c>
      <c r="AK353" s="148" t="s">
        <v>75</v>
      </c>
    </row>
    <row r="354" spans="1:37" ht="30" customHeight="1">
      <c r="A354" s="62"/>
      <c r="B354" s="62"/>
      <c r="C354" s="62"/>
      <c r="D354" s="62"/>
      <c r="E354" s="62"/>
      <c r="F354" s="62"/>
      <c r="G354" s="62"/>
      <c r="H354" s="62"/>
      <c r="I354" s="62"/>
      <c r="J354" s="62"/>
      <c r="K354" s="62"/>
      <c r="L354" s="62"/>
      <c r="M354" s="62"/>
      <c r="N354" s="186"/>
      <c r="O354" s="152"/>
      <c r="P354" s="90"/>
      <c r="Q354" s="140"/>
      <c r="R354" s="90"/>
      <c r="S354" s="140"/>
      <c r="T354" s="90"/>
      <c r="U354" s="140"/>
      <c r="V354" s="90"/>
      <c r="W354" s="140"/>
      <c r="X354" s="90"/>
      <c r="Y354" s="140"/>
      <c r="Z354" s="90"/>
      <c r="AA354" s="140"/>
      <c r="AB354" s="90"/>
      <c r="AC354" s="140"/>
      <c r="AD354" s="90"/>
      <c r="AE354" s="140"/>
      <c r="AF354" s="137" t="str">
        <f t="shared" si="19"/>
        <v/>
      </c>
      <c r="AG354" s="179" t="b">
        <f t="shared" si="18"/>
        <v>0</v>
      </c>
      <c r="AH354" s="140"/>
      <c r="AI354" s="147" t="s">
        <v>36</v>
      </c>
      <c r="AJ354" s="145">
        <f t="shared" si="20"/>
        <v>0</v>
      </c>
      <c r="AK354" s="148" t="s">
        <v>75</v>
      </c>
    </row>
    <row r="355" spans="1:37" ht="30" customHeight="1">
      <c r="A355" s="62"/>
      <c r="B355" s="62"/>
      <c r="C355" s="62"/>
      <c r="D355" s="62"/>
      <c r="E355" s="62"/>
      <c r="F355" s="62"/>
      <c r="G355" s="62"/>
      <c r="H355" s="62"/>
      <c r="I355" s="62"/>
      <c r="J355" s="62"/>
      <c r="K355" s="62"/>
      <c r="L355" s="62"/>
      <c r="M355" s="62"/>
      <c r="N355" s="186"/>
      <c r="O355" s="152"/>
      <c r="P355" s="90"/>
      <c r="Q355" s="140"/>
      <c r="R355" s="90"/>
      <c r="S355" s="140"/>
      <c r="T355" s="90"/>
      <c r="U355" s="140"/>
      <c r="V355" s="90"/>
      <c r="W355" s="140"/>
      <c r="X355" s="90"/>
      <c r="Y355" s="140"/>
      <c r="Z355" s="90"/>
      <c r="AA355" s="140"/>
      <c r="AB355" s="90"/>
      <c r="AC355" s="140"/>
      <c r="AD355" s="90"/>
      <c r="AE355" s="140"/>
      <c r="AF355" s="137" t="str">
        <f t="shared" si="19"/>
        <v/>
      </c>
      <c r="AG355" s="179" t="b">
        <f t="shared" si="18"/>
        <v>0</v>
      </c>
      <c r="AH355" s="140"/>
      <c r="AI355" s="147" t="s">
        <v>36</v>
      </c>
      <c r="AJ355" s="145">
        <f t="shared" si="20"/>
        <v>0</v>
      </c>
      <c r="AK355" s="148" t="s">
        <v>75</v>
      </c>
    </row>
    <row r="356" spans="1:37" ht="30" customHeight="1">
      <c r="A356" s="62"/>
      <c r="B356" s="62"/>
      <c r="C356" s="62"/>
      <c r="D356" s="62"/>
      <c r="E356" s="62"/>
      <c r="F356" s="62"/>
      <c r="G356" s="62"/>
      <c r="H356" s="62"/>
      <c r="I356" s="62"/>
      <c r="J356" s="62"/>
      <c r="K356" s="62"/>
      <c r="L356" s="62"/>
      <c r="M356" s="62"/>
      <c r="N356" s="186"/>
      <c r="O356" s="152"/>
      <c r="P356" s="90"/>
      <c r="Q356" s="140"/>
      <c r="R356" s="90"/>
      <c r="S356" s="140"/>
      <c r="T356" s="90"/>
      <c r="U356" s="140"/>
      <c r="V356" s="90"/>
      <c r="W356" s="140"/>
      <c r="X356" s="90"/>
      <c r="Y356" s="140"/>
      <c r="Z356" s="90"/>
      <c r="AA356" s="140"/>
      <c r="AB356" s="90"/>
      <c r="AC356" s="140"/>
      <c r="AD356" s="90"/>
      <c r="AE356" s="140"/>
      <c r="AF356" s="137" t="str">
        <f t="shared" si="19"/>
        <v/>
      </c>
      <c r="AG356" s="179" t="b">
        <f t="shared" si="18"/>
        <v>0</v>
      </c>
      <c r="AH356" s="140"/>
      <c r="AI356" s="147" t="s">
        <v>36</v>
      </c>
      <c r="AJ356" s="145">
        <f t="shared" si="20"/>
        <v>0</v>
      </c>
      <c r="AK356" s="148" t="s">
        <v>75</v>
      </c>
    </row>
    <row r="357" spans="1:37" ht="30" customHeight="1">
      <c r="A357" s="62"/>
      <c r="B357" s="62"/>
      <c r="C357" s="62"/>
      <c r="D357" s="62"/>
      <c r="E357" s="62"/>
      <c r="F357" s="62"/>
      <c r="G357" s="62"/>
      <c r="H357" s="62"/>
      <c r="I357" s="62"/>
      <c r="J357" s="62"/>
      <c r="K357" s="62"/>
      <c r="L357" s="62"/>
      <c r="M357" s="62"/>
      <c r="N357" s="186"/>
      <c r="O357" s="152"/>
      <c r="P357" s="90"/>
      <c r="Q357" s="140"/>
      <c r="R357" s="90"/>
      <c r="S357" s="140"/>
      <c r="T357" s="90"/>
      <c r="U357" s="140"/>
      <c r="V357" s="90"/>
      <c r="W357" s="140"/>
      <c r="X357" s="90"/>
      <c r="Y357" s="140"/>
      <c r="Z357" s="90"/>
      <c r="AA357" s="140"/>
      <c r="AB357" s="90"/>
      <c r="AC357" s="140"/>
      <c r="AD357" s="90"/>
      <c r="AE357" s="140"/>
      <c r="AF357" s="137" t="str">
        <f t="shared" si="19"/>
        <v/>
      </c>
      <c r="AG357" s="179" t="b">
        <f t="shared" si="18"/>
        <v>0</v>
      </c>
      <c r="AH357" s="140"/>
      <c r="AI357" s="147" t="s">
        <v>36</v>
      </c>
      <c r="AJ357" s="145">
        <f t="shared" si="20"/>
        <v>0</v>
      </c>
      <c r="AK357" s="148" t="s">
        <v>75</v>
      </c>
    </row>
    <row r="358" spans="1:37" ht="30" customHeight="1">
      <c r="A358" s="62"/>
      <c r="B358" s="62"/>
      <c r="C358" s="62"/>
      <c r="D358" s="62"/>
      <c r="E358" s="62"/>
      <c r="F358" s="62"/>
      <c r="G358" s="62"/>
      <c r="H358" s="62"/>
      <c r="I358" s="62"/>
      <c r="J358" s="62"/>
      <c r="K358" s="62"/>
      <c r="L358" s="62"/>
      <c r="M358" s="62"/>
      <c r="N358" s="186"/>
      <c r="O358" s="152"/>
      <c r="P358" s="90"/>
      <c r="Q358" s="140"/>
      <c r="R358" s="90"/>
      <c r="S358" s="140"/>
      <c r="T358" s="90"/>
      <c r="U358" s="140"/>
      <c r="V358" s="90"/>
      <c r="W358" s="140"/>
      <c r="X358" s="90"/>
      <c r="Y358" s="140"/>
      <c r="Z358" s="90"/>
      <c r="AA358" s="140"/>
      <c r="AB358" s="90"/>
      <c r="AC358" s="140"/>
      <c r="AD358" s="90"/>
      <c r="AE358" s="140"/>
      <c r="AF358" s="137" t="str">
        <f t="shared" si="19"/>
        <v/>
      </c>
      <c r="AG358" s="179" t="b">
        <f t="shared" si="18"/>
        <v>0</v>
      </c>
      <c r="AH358" s="140"/>
      <c r="AI358" s="147" t="s">
        <v>36</v>
      </c>
      <c r="AJ358" s="145">
        <f t="shared" si="20"/>
        <v>0</v>
      </c>
      <c r="AK358" s="148" t="s">
        <v>75</v>
      </c>
    </row>
    <row r="359" spans="1:37" ht="30" customHeight="1">
      <c r="A359" s="62"/>
      <c r="B359" s="62"/>
      <c r="C359" s="62"/>
      <c r="D359" s="62"/>
      <c r="E359" s="62"/>
      <c r="F359" s="62"/>
      <c r="G359" s="62"/>
      <c r="H359" s="62"/>
      <c r="I359" s="62"/>
      <c r="J359" s="62"/>
      <c r="K359" s="62"/>
      <c r="L359" s="62"/>
      <c r="M359" s="62"/>
      <c r="N359" s="186"/>
      <c r="O359" s="152"/>
      <c r="P359" s="90"/>
      <c r="Q359" s="140"/>
      <c r="R359" s="90"/>
      <c r="S359" s="140"/>
      <c r="T359" s="90"/>
      <c r="U359" s="140"/>
      <c r="V359" s="90"/>
      <c r="W359" s="140"/>
      <c r="X359" s="90"/>
      <c r="Y359" s="140"/>
      <c r="Z359" s="90"/>
      <c r="AA359" s="140"/>
      <c r="AB359" s="90"/>
      <c r="AC359" s="140"/>
      <c r="AD359" s="90"/>
      <c r="AE359" s="140"/>
      <c r="AF359" s="137" t="str">
        <f t="shared" si="19"/>
        <v/>
      </c>
      <c r="AG359" s="179" t="b">
        <f t="shared" si="18"/>
        <v>0</v>
      </c>
      <c r="AH359" s="140"/>
      <c r="AI359" s="147" t="s">
        <v>36</v>
      </c>
      <c r="AJ359" s="145">
        <f t="shared" si="20"/>
        <v>0</v>
      </c>
      <c r="AK359" s="148" t="s">
        <v>75</v>
      </c>
    </row>
    <row r="360" spans="1:37" ht="30" customHeight="1">
      <c r="A360" s="62"/>
      <c r="B360" s="62"/>
      <c r="C360" s="62"/>
      <c r="D360" s="62"/>
      <c r="E360" s="62"/>
      <c r="F360" s="62"/>
      <c r="G360" s="62"/>
      <c r="H360" s="62"/>
      <c r="I360" s="62"/>
      <c r="J360" s="62"/>
      <c r="K360" s="62"/>
      <c r="L360" s="62"/>
      <c r="M360" s="62"/>
      <c r="N360" s="186"/>
      <c r="O360" s="152"/>
      <c r="P360" s="90"/>
      <c r="Q360" s="140"/>
      <c r="R360" s="90"/>
      <c r="S360" s="140"/>
      <c r="T360" s="90"/>
      <c r="U360" s="140"/>
      <c r="V360" s="90"/>
      <c r="W360" s="140"/>
      <c r="X360" s="90"/>
      <c r="Y360" s="140"/>
      <c r="Z360" s="90"/>
      <c r="AA360" s="140"/>
      <c r="AB360" s="90"/>
      <c r="AC360" s="140"/>
      <c r="AD360" s="90"/>
      <c r="AE360" s="140"/>
      <c r="AF360" s="137" t="str">
        <f t="shared" si="19"/>
        <v/>
      </c>
      <c r="AG360" s="179" t="b">
        <f t="shared" si="18"/>
        <v>0</v>
      </c>
      <c r="AH360" s="140"/>
      <c r="AI360" s="147" t="s">
        <v>36</v>
      </c>
      <c r="AJ360" s="145">
        <f t="shared" si="20"/>
        <v>0</v>
      </c>
      <c r="AK360" s="148" t="s">
        <v>75</v>
      </c>
    </row>
    <row r="361" spans="1:37" ht="30" customHeight="1">
      <c r="A361" s="62"/>
      <c r="B361" s="62"/>
      <c r="C361" s="62"/>
      <c r="D361" s="62"/>
      <c r="E361" s="62"/>
      <c r="F361" s="62"/>
      <c r="G361" s="62"/>
      <c r="H361" s="62"/>
      <c r="I361" s="62"/>
      <c r="J361" s="62"/>
      <c r="K361" s="62"/>
      <c r="L361" s="62"/>
      <c r="M361" s="62"/>
      <c r="N361" s="186"/>
      <c r="O361" s="152"/>
      <c r="P361" s="90"/>
      <c r="Q361" s="140"/>
      <c r="R361" s="90"/>
      <c r="S361" s="140"/>
      <c r="T361" s="90"/>
      <c r="U361" s="140"/>
      <c r="V361" s="90"/>
      <c r="W361" s="140"/>
      <c r="X361" s="90"/>
      <c r="Y361" s="140"/>
      <c r="Z361" s="90"/>
      <c r="AA361" s="140"/>
      <c r="AB361" s="90"/>
      <c r="AC361" s="140"/>
      <c r="AD361" s="90"/>
      <c r="AE361" s="140"/>
      <c r="AF361" s="137" t="str">
        <f t="shared" si="19"/>
        <v/>
      </c>
      <c r="AG361" s="179" t="b">
        <f t="shared" si="18"/>
        <v>0</v>
      </c>
      <c r="AH361" s="140"/>
      <c r="AI361" s="147" t="s">
        <v>36</v>
      </c>
      <c r="AJ361" s="145">
        <f t="shared" si="20"/>
        <v>0</v>
      </c>
      <c r="AK361" s="148" t="s">
        <v>75</v>
      </c>
    </row>
    <row r="362" spans="1:37" ht="30" customHeight="1">
      <c r="A362" s="62"/>
      <c r="B362" s="62"/>
      <c r="C362" s="62"/>
      <c r="D362" s="62"/>
      <c r="E362" s="62"/>
      <c r="F362" s="62"/>
      <c r="G362" s="62"/>
      <c r="H362" s="62"/>
      <c r="I362" s="62"/>
      <c r="J362" s="62"/>
      <c r="K362" s="62"/>
      <c r="L362" s="62"/>
      <c r="M362" s="62"/>
      <c r="N362" s="186"/>
      <c r="O362" s="152"/>
      <c r="P362" s="90"/>
      <c r="Q362" s="140"/>
      <c r="R362" s="90"/>
      <c r="S362" s="140"/>
      <c r="T362" s="90"/>
      <c r="U362" s="140"/>
      <c r="V362" s="90"/>
      <c r="W362" s="140"/>
      <c r="X362" s="90"/>
      <c r="Y362" s="140"/>
      <c r="Z362" s="90"/>
      <c r="AA362" s="140"/>
      <c r="AB362" s="90"/>
      <c r="AC362" s="140"/>
      <c r="AD362" s="90"/>
      <c r="AE362" s="140"/>
      <c r="AF362" s="137" t="str">
        <f t="shared" si="19"/>
        <v/>
      </c>
      <c r="AG362" s="179" t="b">
        <f t="shared" si="18"/>
        <v>0</v>
      </c>
      <c r="AH362" s="140"/>
      <c r="AI362" s="147" t="s">
        <v>36</v>
      </c>
      <c r="AJ362" s="145">
        <f t="shared" si="20"/>
        <v>0</v>
      </c>
      <c r="AK362" s="148" t="s">
        <v>75</v>
      </c>
    </row>
    <row r="363" spans="1:37" ht="30" customHeight="1">
      <c r="A363" s="62"/>
      <c r="B363" s="62"/>
      <c r="C363" s="62"/>
      <c r="D363" s="62"/>
      <c r="E363" s="62"/>
      <c r="F363" s="62"/>
      <c r="G363" s="62"/>
      <c r="H363" s="62"/>
      <c r="I363" s="62"/>
      <c r="J363" s="62"/>
      <c r="K363" s="62"/>
      <c r="L363" s="62"/>
      <c r="M363" s="62"/>
      <c r="N363" s="186"/>
      <c r="O363" s="152"/>
      <c r="P363" s="90"/>
      <c r="Q363" s="140"/>
      <c r="R363" s="90"/>
      <c r="S363" s="140"/>
      <c r="T363" s="90"/>
      <c r="U363" s="140"/>
      <c r="V363" s="90"/>
      <c r="W363" s="140"/>
      <c r="X363" s="90"/>
      <c r="Y363" s="140"/>
      <c r="Z363" s="90"/>
      <c r="AA363" s="140"/>
      <c r="AB363" s="90"/>
      <c r="AC363" s="140"/>
      <c r="AD363" s="90"/>
      <c r="AE363" s="140"/>
      <c r="AF363" s="137" t="str">
        <f t="shared" si="19"/>
        <v/>
      </c>
      <c r="AG363" s="179" t="b">
        <f t="shared" si="18"/>
        <v>0</v>
      </c>
      <c r="AH363" s="140"/>
      <c r="AI363" s="147" t="s">
        <v>36</v>
      </c>
      <c r="AJ363" s="145">
        <f t="shared" si="20"/>
        <v>0</v>
      </c>
      <c r="AK363" s="148" t="s">
        <v>75</v>
      </c>
    </row>
    <row r="364" spans="1:37" ht="30" customHeight="1">
      <c r="A364" s="62"/>
      <c r="B364" s="62"/>
      <c r="C364" s="62"/>
      <c r="D364" s="62"/>
      <c r="E364" s="62"/>
      <c r="F364" s="62"/>
      <c r="G364" s="62"/>
      <c r="H364" s="62"/>
      <c r="I364" s="62"/>
      <c r="J364" s="62"/>
      <c r="K364" s="62"/>
      <c r="L364" s="62"/>
      <c r="M364" s="62"/>
      <c r="N364" s="186"/>
      <c r="O364" s="152"/>
      <c r="P364" s="90"/>
      <c r="Q364" s="140"/>
      <c r="R364" s="90"/>
      <c r="S364" s="140"/>
      <c r="T364" s="90"/>
      <c r="U364" s="140"/>
      <c r="V364" s="90"/>
      <c r="W364" s="140"/>
      <c r="X364" s="90"/>
      <c r="Y364" s="140"/>
      <c r="Z364" s="90"/>
      <c r="AA364" s="140"/>
      <c r="AB364" s="90"/>
      <c r="AC364" s="140"/>
      <c r="AD364" s="90"/>
      <c r="AE364" s="140"/>
      <c r="AF364" s="137" t="str">
        <f t="shared" si="19"/>
        <v/>
      </c>
      <c r="AG364" s="179" t="b">
        <f t="shared" si="18"/>
        <v>0</v>
      </c>
      <c r="AH364" s="140"/>
      <c r="AI364" s="147" t="s">
        <v>36</v>
      </c>
      <c r="AJ364" s="145">
        <f t="shared" si="20"/>
        <v>0</v>
      </c>
      <c r="AK364" s="148" t="s">
        <v>75</v>
      </c>
    </row>
    <row r="365" spans="1:37" ht="30" customHeight="1">
      <c r="A365" s="62"/>
      <c r="B365" s="62"/>
      <c r="C365" s="62"/>
      <c r="D365" s="62"/>
      <c r="E365" s="62"/>
      <c r="F365" s="62"/>
      <c r="G365" s="62"/>
      <c r="H365" s="62"/>
      <c r="I365" s="62"/>
      <c r="J365" s="62"/>
      <c r="K365" s="62"/>
      <c r="L365" s="62"/>
      <c r="M365" s="62"/>
      <c r="N365" s="186"/>
      <c r="O365" s="152"/>
      <c r="P365" s="90"/>
      <c r="Q365" s="140"/>
      <c r="R365" s="90"/>
      <c r="S365" s="140"/>
      <c r="T365" s="90"/>
      <c r="U365" s="140"/>
      <c r="V365" s="90"/>
      <c r="W365" s="140"/>
      <c r="X365" s="90"/>
      <c r="Y365" s="140"/>
      <c r="Z365" s="90"/>
      <c r="AA365" s="140"/>
      <c r="AB365" s="90"/>
      <c r="AC365" s="140"/>
      <c r="AD365" s="90"/>
      <c r="AE365" s="140"/>
      <c r="AF365" s="137" t="str">
        <f t="shared" si="19"/>
        <v/>
      </c>
      <c r="AG365" s="179" t="b">
        <f t="shared" si="18"/>
        <v>0</v>
      </c>
      <c r="AH365" s="140"/>
      <c r="AI365" s="147" t="s">
        <v>36</v>
      </c>
      <c r="AJ365" s="145">
        <f t="shared" si="20"/>
        <v>0</v>
      </c>
      <c r="AK365" s="148" t="s">
        <v>75</v>
      </c>
    </row>
    <row r="366" spans="1:37" ht="30" customHeight="1">
      <c r="A366" s="62"/>
      <c r="B366" s="62"/>
      <c r="C366" s="62"/>
      <c r="D366" s="62"/>
      <c r="E366" s="62"/>
      <c r="F366" s="62"/>
      <c r="G366" s="62"/>
      <c r="H366" s="62"/>
      <c r="I366" s="62"/>
      <c r="J366" s="62"/>
      <c r="K366" s="62"/>
      <c r="L366" s="62"/>
      <c r="M366" s="62"/>
      <c r="N366" s="186"/>
      <c r="O366" s="152"/>
      <c r="P366" s="90"/>
      <c r="Q366" s="140"/>
      <c r="R366" s="90"/>
      <c r="S366" s="140"/>
      <c r="T366" s="90"/>
      <c r="U366" s="140"/>
      <c r="V366" s="90"/>
      <c r="W366" s="140"/>
      <c r="X366" s="90"/>
      <c r="Y366" s="140"/>
      <c r="Z366" s="90"/>
      <c r="AA366" s="140"/>
      <c r="AB366" s="90"/>
      <c r="AC366" s="140"/>
      <c r="AD366" s="90"/>
      <c r="AE366" s="140"/>
      <c r="AF366" s="137" t="str">
        <f t="shared" si="19"/>
        <v/>
      </c>
      <c r="AG366" s="179" t="b">
        <f t="shared" si="18"/>
        <v>0</v>
      </c>
      <c r="AH366" s="140"/>
      <c r="AI366" s="147" t="s">
        <v>36</v>
      </c>
      <c r="AJ366" s="145">
        <f t="shared" si="20"/>
        <v>0</v>
      </c>
      <c r="AK366" s="148" t="s">
        <v>75</v>
      </c>
    </row>
    <row r="367" spans="1:37" ht="30" customHeight="1">
      <c r="A367" s="62"/>
      <c r="B367" s="62"/>
      <c r="C367" s="62"/>
      <c r="D367" s="62"/>
      <c r="E367" s="62"/>
      <c r="F367" s="62"/>
      <c r="G367" s="62"/>
      <c r="H367" s="62"/>
      <c r="I367" s="62"/>
      <c r="J367" s="62"/>
      <c r="K367" s="62"/>
      <c r="L367" s="62"/>
      <c r="M367" s="62"/>
      <c r="N367" s="186"/>
      <c r="O367" s="152"/>
      <c r="P367" s="90"/>
      <c r="Q367" s="140"/>
      <c r="R367" s="90"/>
      <c r="S367" s="140"/>
      <c r="T367" s="90"/>
      <c r="U367" s="140"/>
      <c r="V367" s="90"/>
      <c r="W367" s="140"/>
      <c r="X367" s="90"/>
      <c r="Y367" s="140"/>
      <c r="Z367" s="90"/>
      <c r="AA367" s="140"/>
      <c r="AB367" s="90"/>
      <c r="AC367" s="140"/>
      <c r="AD367" s="90"/>
      <c r="AE367" s="140"/>
      <c r="AF367" s="137" t="str">
        <f t="shared" si="19"/>
        <v/>
      </c>
      <c r="AG367" s="179" t="b">
        <f t="shared" si="18"/>
        <v>0</v>
      </c>
      <c r="AH367" s="140"/>
      <c r="AI367" s="147" t="s">
        <v>36</v>
      </c>
      <c r="AJ367" s="145">
        <f t="shared" si="20"/>
        <v>0</v>
      </c>
      <c r="AK367" s="148" t="s">
        <v>75</v>
      </c>
    </row>
    <row r="368" spans="1:37" ht="30" customHeight="1">
      <c r="A368" s="62"/>
      <c r="B368" s="62"/>
      <c r="C368" s="62"/>
      <c r="D368" s="62"/>
      <c r="E368" s="62"/>
      <c r="F368" s="62"/>
      <c r="G368" s="62"/>
      <c r="H368" s="62"/>
      <c r="I368" s="62"/>
      <c r="J368" s="62"/>
      <c r="K368" s="62"/>
      <c r="L368" s="62"/>
      <c r="M368" s="62"/>
      <c r="N368" s="186"/>
      <c r="O368" s="152"/>
      <c r="P368" s="90"/>
      <c r="Q368" s="140"/>
      <c r="R368" s="90"/>
      <c r="S368" s="140"/>
      <c r="T368" s="90"/>
      <c r="U368" s="140"/>
      <c r="V368" s="90"/>
      <c r="W368" s="140"/>
      <c r="X368" s="90"/>
      <c r="Y368" s="140"/>
      <c r="Z368" s="90"/>
      <c r="AA368" s="140"/>
      <c r="AB368" s="90"/>
      <c r="AC368" s="140"/>
      <c r="AD368" s="90"/>
      <c r="AE368" s="140"/>
      <c r="AF368" s="137" t="str">
        <f t="shared" si="19"/>
        <v/>
      </c>
      <c r="AG368" s="179" t="b">
        <f t="shared" si="18"/>
        <v>0</v>
      </c>
      <c r="AH368" s="140"/>
      <c r="AI368" s="147" t="s">
        <v>36</v>
      </c>
      <c r="AJ368" s="145">
        <f t="shared" si="20"/>
        <v>0</v>
      </c>
      <c r="AK368" s="148" t="s">
        <v>75</v>
      </c>
    </row>
    <row r="369" spans="1:37" ht="30" customHeight="1">
      <c r="A369" s="62"/>
      <c r="B369" s="62"/>
      <c r="C369" s="62"/>
      <c r="D369" s="62"/>
      <c r="E369" s="62"/>
      <c r="F369" s="62"/>
      <c r="G369" s="62"/>
      <c r="H369" s="62"/>
      <c r="I369" s="62"/>
      <c r="J369" s="62"/>
      <c r="K369" s="62"/>
      <c r="L369" s="62"/>
      <c r="M369" s="62"/>
      <c r="N369" s="186"/>
      <c r="O369" s="152"/>
      <c r="P369" s="90"/>
      <c r="Q369" s="140"/>
      <c r="R369" s="90"/>
      <c r="S369" s="140"/>
      <c r="T369" s="90"/>
      <c r="U369" s="140"/>
      <c r="V369" s="90"/>
      <c r="W369" s="140"/>
      <c r="X369" s="90"/>
      <c r="Y369" s="140"/>
      <c r="Z369" s="90"/>
      <c r="AA369" s="140"/>
      <c r="AB369" s="90"/>
      <c r="AC369" s="140"/>
      <c r="AD369" s="90"/>
      <c r="AE369" s="140"/>
      <c r="AF369" s="137" t="str">
        <f t="shared" si="19"/>
        <v/>
      </c>
      <c r="AG369" s="179" t="b">
        <f t="shared" si="18"/>
        <v>0</v>
      </c>
      <c r="AH369" s="140"/>
      <c r="AI369" s="147" t="s">
        <v>36</v>
      </c>
      <c r="AJ369" s="145">
        <f t="shared" si="20"/>
        <v>0</v>
      </c>
      <c r="AK369" s="148" t="s">
        <v>75</v>
      </c>
    </row>
    <row r="370" spans="1:37" ht="30" customHeight="1">
      <c r="A370" s="62"/>
      <c r="B370" s="62"/>
      <c r="C370" s="62"/>
      <c r="D370" s="62"/>
      <c r="E370" s="62"/>
      <c r="F370" s="62"/>
      <c r="G370" s="62"/>
      <c r="H370" s="62"/>
      <c r="I370" s="62"/>
      <c r="J370" s="62"/>
      <c r="K370" s="62"/>
      <c r="L370" s="62"/>
      <c r="M370" s="62"/>
      <c r="N370" s="186"/>
      <c r="O370" s="152"/>
      <c r="P370" s="90"/>
      <c r="Q370" s="140"/>
      <c r="R370" s="90"/>
      <c r="S370" s="140"/>
      <c r="T370" s="90"/>
      <c r="U370" s="140"/>
      <c r="V370" s="90"/>
      <c r="W370" s="140"/>
      <c r="X370" s="90"/>
      <c r="Y370" s="140"/>
      <c r="Z370" s="90"/>
      <c r="AA370" s="140"/>
      <c r="AB370" s="90"/>
      <c r="AC370" s="140"/>
      <c r="AD370" s="90"/>
      <c r="AE370" s="140"/>
      <c r="AF370" s="137" t="str">
        <f t="shared" si="19"/>
        <v/>
      </c>
      <c r="AG370" s="179" t="b">
        <f t="shared" si="18"/>
        <v>0</v>
      </c>
      <c r="AH370" s="140"/>
      <c r="AI370" s="147" t="s">
        <v>36</v>
      </c>
      <c r="AJ370" s="145">
        <f t="shared" si="20"/>
        <v>0</v>
      </c>
      <c r="AK370" s="148" t="s">
        <v>75</v>
      </c>
    </row>
    <row r="371" spans="1:37" ht="30" customHeight="1">
      <c r="A371" s="62"/>
      <c r="B371" s="62"/>
      <c r="C371" s="62"/>
      <c r="D371" s="62"/>
      <c r="E371" s="62"/>
      <c r="F371" s="62"/>
      <c r="G371" s="62"/>
      <c r="H371" s="62"/>
      <c r="I371" s="62"/>
      <c r="J371" s="62"/>
      <c r="K371" s="62"/>
      <c r="L371" s="62"/>
      <c r="M371" s="62"/>
      <c r="N371" s="186"/>
      <c r="O371" s="152"/>
      <c r="P371" s="90"/>
      <c r="Q371" s="140"/>
      <c r="R371" s="90"/>
      <c r="S371" s="140"/>
      <c r="T371" s="90"/>
      <c r="U371" s="140"/>
      <c r="V371" s="90"/>
      <c r="W371" s="140"/>
      <c r="X371" s="90"/>
      <c r="Y371" s="140"/>
      <c r="Z371" s="90"/>
      <c r="AA371" s="140"/>
      <c r="AB371" s="90"/>
      <c r="AC371" s="140"/>
      <c r="AD371" s="90"/>
      <c r="AE371" s="140"/>
      <c r="AF371" s="137" t="str">
        <f t="shared" si="19"/>
        <v/>
      </c>
      <c r="AG371" s="179" t="b">
        <f t="shared" si="18"/>
        <v>0</v>
      </c>
      <c r="AH371" s="140"/>
      <c r="AI371" s="147" t="s">
        <v>36</v>
      </c>
      <c r="AJ371" s="145">
        <f t="shared" si="20"/>
        <v>0</v>
      </c>
      <c r="AK371" s="148" t="s">
        <v>75</v>
      </c>
    </row>
    <row r="372" spans="1:37" ht="30" customHeight="1">
      <c r="A372" s="62"/>
      <c r="B372" s="62"/>
      <c r="C372" s="62"/>
      <c r="D372" s="62"/>
      <c r="E372" s="62"/>
      <c r="F372" s="62"/>
      <c r="G372" s="62"/>
      <c r="H372" s="62"/>
      <c r="I372" s="62"/>
      <c r="J372" s="62"/>
      <c r="K372" s="62"/>
      <c r="L372" s="62"/>
      <c r="M372" s="62"/>
      <c r="N372" s="186"/>
      <c r="O372" s="152"/>
      <c r="P372" s="90"/>
      <c r="Q372" s="140"/>
      <c r="R372" s="90"/>
      <c r="S372" s="140"/>
      <c r="T372" s="90"/>
      <c r="U372" s="140"/>
      <c r="V372" s="90"/>
      <c r="W372" s="140"/>
      <c r="X372" s="90"/>
      <c r="Y372" s="140"/>
      <c r="Z372" s="90"/>
      <c r="AA372" s="140"/>
      <c r="AB372" s="90"/>
      <c r="AC372" s="140"/>
      <c r="AD372" s="90"/>
      <c r="AE372" s="140"/>
      <c r="AF372" s="137" t="str">
        <f t="shared" si="19"/>
        <v/>
      </c>
      <c r="AG372" s="179" t="b">
        <f t="shared" si="18"/>
        <v>0</v>
      </c>
      <c r="AH372" s="140"/>
      <c r="AI372" s="147" t="s">
        <v>36</v>
      </c>
      <c r="AJ372" s="145">
        <f t="shared" si="20"/>
        <v>0</v>
      </c>
      <c r="AK372" s="148" t="s">
        <v>75</v>
      </c>
    </row>
    <row r="373" spans="1:37" ht="30" customHeight="1">
      <c r="A373" s="62"/>
      <c r="B373" s="62"/>
      <c r="C373" s="62"/>
      <c r="D373" s="62"/>
      <c r="E373" s="62"/>
      <c r="F373" s="62"/>
      <c r="G373" s="62"/>
      <c r="H373" s="62"/>
      <c r="I373" s="62"/>
      <c r="J373" s="62"/>
      <c r="K373" s="62"/>
      <c r="L373" s="62"/>
      <c r="M373" s="62"/>
      <c r="N373" s="186"/>
      <c r="O373" s="152"/>
      <c r="P373" s="90"/>
      <c r="Q373" s="140"/>
      <c r="R373" s="90"/>
      <c r="S373" s="140"/>
      <c r="T373" s="90"/>
      <c r="U373" s="140"/>
      <c r="V373" s="90"/>
      <c r="W373" s="140"/>
      <c r="X373" s="90"/>
      <c r="Y373" s="140"/>
      <c r="Z373" s="90"/>
      <c r="AA373" s="140"/>
      <c r="AB373" s="90"/>
      <c r="AC373" s="140"/>
      <c r="AD373" s="90"/>
      <c r="AE373" s="140"/>
      <c r="AF373" s="137" t="str">
        <f t="shared" si="19"/>
        <v/>
      </c>
      <c r="AG373" s="179" t="b">
        <f t="shared" si="18"/>
        <v>0</v>
      </c>
      <c r="AH373" s="140"/>
      <c r="AI373" s="147" t="s">
        <v>36</v>
      </c>
      <c r="AJ373" s="145">
        <f t="shared" si="20"/>
        <v>0</v>
      </c>
      <c r="AK373" s="148" t="s">
        <v>75</v>
      </c>
    </row>
    <row r="374" spans="1:37" ht="30" customHeight="1">
      <c r="A374" s="62"/>
      <c r="B374" s="62"/>
      <c r="C374" s="62"/>
      <c r="D374" s="62"/>
      <c r="E374" s="62"/>
      <c r="F374" s="62"/>
      <c r="G374" s="62"/>
      <c r="H374" s="62"/>
      <c r="I374" s="62"/>
      <c r="J374" s="62"/>
      <c r="K374" s="62"/>
      <c r="L374" s="62"/>
      <c r="M374" s="62"/>
      <c r="N374" s="186"/>
      <c r="O374" s="152"/>
      <c r="P374" s="90"/>
      <c r="Q374" s="140"/>
      <c r="R374" s="90"/>
      <c r="S374" s="140"/>
      <c r="T374" s="90"/>
      <c r="U374" s="140"/>
      <c r="V374" s="90"/>
      <c r="W374" s="140"/>
      <c r="X374" s="90"/>
      <c r="Y374" s="140"/>
      <c r="Z374" s="90"/>
      <c r="AA374" s="140"/>
      <c r="AB374" s="90"/>
      <c r="AC374" s="140"/>
      <c r="AD374" s="90"/>
      <c r="AE374" s="140"/>
      <c r="AF374" s="137" t="str">
        <f t="shared" si="19"/>
        <v/>
      </c>
      <c r="AG374" s="179" t="b">
        <f t="shared" si="18"/>
        <v>0</v>
      </c>
      <c r="AH374" s="140"/>
      <c r="AI374" s="147" t="s">
        <v>36</v>
      </c>
      <c r="AJ374" s="145">
        <f t="shared" si="20"/>
        <v>0</v>
      </c>
      <c r="AK374" s="148" t="s">
        <v>75</v>
      </c>
    </row>
    <row r="375" spans="1:37" ht="30" customHeight="1">
      <c r="A375" s="62"/>
      <c r="B375" s="62"/>
      <c r="C375" s="62"/>
      <c r="D375" s="62"/>
      <c r="E375" s="62"/>
      <c r="F375" s="62"/>
      <c r="G375" s="62"/>
      <c r="H375" s="62"/>
      <c r="I375" s="62"/>
      <c r="J375" s="62"/>
      <c r="K375" s="62"/>
      <c r="L375" s="62"/>
      <c r="M375" s="62"/>
      <c r="N375" s="186"/>
      <c r="O375" s="152"/>
      <c r="P375" s="90"/>
      <c r="Q375" s="140"/>
      <c r="R375" s="90"/>
      <c r="S375" s="140"/>
      <c r="T375" s="90"/>
      <c r="U375" s="140"/>
      <c r="V375" s="90"/>
      <c r="W375" s="140"/>
      <c r="X375" s="90"/>
      <c r="Y375" s="140"/>
      <c r="Z375" s="90"/>
      <c r="AA375" s="140"/>
      <c r="AB375" s="90"/>
      <c r="AC375" s="140"/>
      <c r="AD375" s="90"/>
      <c r="AE375" s="140"/>
      <c r="AF375" s="137" t="str">
        <f t="shared" si="19"/>
        <v/>
      </c>
      <c r="AG375" s="179" t="b">
        <f t="shared" si="18"/>
        <v>0</v>
      </c>
      <c r="AH375" s="140"/>
      <c r="AI375" s="147" t="s">
        <v>36</v>
      </c>
      <c r="AJ375" s="145">
        <f t="shared" si="20"/>
        <v>0</v>
      </c>
      <c r="AK375" s="148" t="s">
        <v>75</v>
      </c>
    </row>
    <row r="376" spans="1:37" ht="30" customHeight="1">
      <c r="A376" s="62"/>
      <c r="B376" s="62"/>
      <c r="C376" s="62"/>
      <c r="D376" s="62"/>
      <c r="E376" s="62"/>
      <c r="F376" s="62"/>
      <c r="G376" s="62"/>
      <c r="H376" s="62"/>
      <c r="I376" s="62"/>
      <c r="J376" s="62"/>
      <c r="K376" s="62"/>
      <c r="L376" s="62"/>
      <c r="M376" s="62"/>
      <c r="N376" s="186"/>
      <c r="O376" s="152"/>
      <c r="P376" s="90"/>
      <c r="Q376" s="140"/>
      <c r="R376" s="90"/>
      <c r="S376" s="140"/>
      <c r="T376" s="90"/>
      <c r="U376" s="140"/>
      <c r="V376" s="90"/>
      <c r="W376" s="140"/>
      <c r="X376" s="90"/>
      <c r="Y376" s="140"/>
      <c r="Z376" s="90"/>
      <c r="AA376" s="140"/>
      <c r="AB376" s="90"/>
      <c r="AC376" s="140"/>
      <c r="AD376" s="90"/>
      <c r="AE376" s="140"/>
      <c r="AF376" s="137" t="str">
        <f t="shared" si="19"/>
        <v/>
      </c>
      <c r="AG376" s="179" t="b">
        <f t="shared" si="18"/>
        <v>0</v>
      </c>
      <c r="AH376" s="140"/>
      <c r="AI376" s="147" t="s">
        <v>36</v>
      </c>
      <c r="AJ376" s="145">
        <f t="shared" si="20"/>
        <v>0</v>
      </c>
      <c r="AK376" s="148" t="s">
        <v>75</v>
      </c>
    </row>
    <row r="377" spans="1:37" ht="30" customHeight="1">
      <c r="A377" s="62"/>
      <c r="B377" s="62"/>
      <c r="C377" s="62"/>
      <c r="D377" s="62"/>
      <c r="E377" s="62"/>
      <c r="F377" s="62"/>
      <c r="G377" s="62"/>
      <c r="H377" s="62"/>
      <c r="I377" s="62"/>
      <c r="J377" s="62"/>
      <c r="K377" s="62"/>
      <c r="L377" s="62"/>
      <c r="M377" s="62"/>
      <c r="N377" s="186"/>
      <c r="O377" s="152"/>
      <c r="P377" s="90"/>
      <c r="Q377" s="140"/>
      <c r="R377" s="90"/>
      <c r="S377" s="140"/>
      <c r="T377" s="90"/>
      <c r="U377" s="140"/>
      <c r="V377" s="90"/>
      <c r="W377" s="140"/>
      <c r="X377" s="90"/>
      <c r="Y377" s="140"/>
      <c r="Z377" s="90"/>
      <c r="AA377" s="140"/>
      <c r="AB377" s="90"/>
      <c r="AC377" s="140"/>
      <c r="AD377" s="90"/>
      <c r="AE377" s="140"/>
      <c r="AF377" s="137" t="str">
        <f t="shared" si="19"/>
        <v/>
      </c>
      <c r="AG377" s="179" t="b">
        <f t="shared" si="18"/>
        <v>0</v>
      </c>
      <c r="AH377" s="140"/>
      <c r="AI377" s="147" t="s">
        <v>36</v>
      </c>
      <c r="AJ377" s="145">
        <f t="shared" si="20"/>
        <v>0</v>
      </c>
      <c r="AK377" s="148" t="s">
        <v>75</v>
      </c>
    </row>
    <row r="378" spans="1:37" ht="30" customHeight="1">
      <c r="A378" s="62"/>
      <c r="B378" s="62"/>
      <c r="C378" s="62"/>
      <c r="D378" s="62"/>
      <c r="E378" s="62"/>
      <c r="F378" s="62"/>
      <c r="G378" s="62"/>
      <c r="H378" s="62"/>
      <c r="I378" s="62"/>
      <c r="J378" s="62"/>
      <c r="K378" s="62"/>
      <c r="L378" s="62"/>
      <c r="M378" s="62"/>
      <c r="N378" s="186"/>
      <c r="O378" s="152"/>
      <c r="P378" s="90"/>
      <c r="Q378" s="140"/>
      <c r="R378" s="90"/>
      <c r="S378" s="140"/>
      <c r="T378" s="90"/>
      <c r="U378" s="140"/>
      <c r="V378" s="90"/>
      <c r="W378" s="140"/>
      <c r="X378" s="90"/>
      <c r="Y378" s="140"/>
      <c r="Z378" s="90"/>
      <c r="AA378" s="140"/>
      <c r="AB378" s="90"/>
      <c r="AC378" s="140"/>
      <c r="AD378" s="90"/>
      <c r="AE378" s="140"/>
      <c r="AF378" s="137" t="str">
        <f t="shared" si="19"/>
        <v/>
      </c>
      <c r="AG378" s="179" t="b">
        <f t="shared" si="18"/>
        <v>0</v>
      </c>
      <c r="AH378" s="140"/>
      <c r="AI378" s="147" t="s">
        <v>36</v>
      </c>
      <c r="AJ378" s="145">
        <f t="shared" si="20"/>
        <v>0</v>
      </c>
      <c r="AK378" s="148" t="s">
        <v>75</v>
      </c>
    </row>
    <row r="379" spans="1:37" ht="30" customHeight="1">
      <c r="A379" s="62"/>
      <c r="B379" s="62"/>
      <c r="C379" s="62"/>
      <c r="D379" s="62"/>
      <c r="E379" s="62"/>
      <c r="F379" s="62"/>
      <c r="G379" s="62"/>
      <c r="H379" s="62"/>
      <c r="I379" s="62"/>
      <c r="J379" s="62"/>
      <c r="K379" s="62"/>
      <c r="L379" s="62"/>
      <c r="M379" s="62"/>
      <c r="N379" s="186"/>
      <c r="O379" s="152"/>
      <c r="P379" s="90"/>
      <c r="Q379" s="140"/>
      <c r="R379" s="90"/>
      <c r="S379" s="140"/>
      <c r="T379" s="90"/>
      <c r="U379" s="140"/>
      <c r="V379" s="90"/>
      <c r="W379" s="140"/>
      <c r="X379" s="90"/>
      <c r="Y379" s="140"/>
      <c r="Z379" s="90"/>
      <c r="AA379" s="140"/>
      <c r="AB379" s="90"/>
      <c r="AC379" s="140"/>
      <c r="AD379" s="90"/>
      <c r="AE379" s="140"/>
      <c r="AF379" s="137" t="str">
        <f t="shared" si="19"/>
        <v/>
      </c>
      <c r="AG379" s="179" t="b">
        <f t="shared" si="18"/>
        <v>0</v>
      </c>
      <c r="AH379" s="140"/>
      <c r="AI379" s="147" t="s">
        <v>36</v>
      </c>
      <c r="AJ379" s="145">
        <f t="shared" si="20"/>
        <v>0</v>
      </c>
      <c r="AK379" s="148" t="s">
        <v>75</v>
      </c>
    </row>
    <row r="380" spans="1:37" ht="30" customHeight="1">
      <c r="A380" s="62"/>
      <c r="B380" s="62"/>
      <c r="C380" s="62"/>
      <c r="D380" s="62"/>
      <c r="E380" s="62"/>
      <c r="F380" s="62"/>
      <c r="G380" s="62"/>
      <c r="H380" s="62"/>
      <c r="I380" s="62"/>
      <c r="J380" s="62"/>
      <c r="K380" s="62"/>
      <c r="L380" s="62"/>
      <c r="M380" s="62"/>
      <c r="N380" s="186"/>
      <c r="O380" s="152"/>
      <c r="P380" s="90"/>
      <c r="Q380" s="140"/>
      <c r="R380" s="90"/>
      <c r="S380" s="140"/>
      <c r="T380" s="90"/>
      <c r="U380" s="140"/>
      <c r="V380" s="90"/>
      <c r="W380" s="140"/>
      <c r="X380" s="90"/>
      <c r="Y380" s="140"/>
      <c r="Z380" s="90"/>
      <c r="AA380" s="140"/>
      <c r="AB380" s="90"/>
      <c r="AC380" s="140"/>
      <c r="AD380" s="90"/>
      <c r="AE380" s="140"/>
      <c r="AF380" s="137" t="str">
        <f t="shared" si="19"/>
        <v/>
      </c>
      <c r="AG380" s="179" t="b">
        <f t="shared" si="18"/>
        <v>0</v>
      </c>
      <c r="AH380" s="140"/>
      <c r="AI380" s="147" t="s">
        <v>36</v>
      </c>
      <c r="AJ380" s="145">
        <f t="shared" si="20"/>
        <v>0</v>
      </c>
      <c r="AK380" s="148" t="s">
        <v>75</v>
      </c>
    </row>
    <row r="381" spans="1:37" ht="30" customHeight="1">
      <c r="A381" s="62"/>
      <c r="B381" s="62"/>
      <c r="C381" s="62"/>
      <c r="D381" s="62"/>
      <c r="E381" s="62"/>
      <c r="F381" s="62"/>
      <c r="G381" s="62"/>
      <c r="H381" s="62"/>
      <c r="I381" s="62"/>
      <c r="J381" s="62"/>
      <c r="K381" s="62"/>
      <c r="L381" s="62"/>
      <c r="M381" s="62"/>
      <c r="N381" s="186"/>
      <c r="O381" s="152"/>
      <c r="P381" s="90"/>
      <c r="Q381" s="140"/>
      <c r="R381" s="90"/>
      <c r="S381" s="140"/>
      <c r="T381" s="90"/>
      <c r="U381" s="140"/>
      <c r="V381" s="90"/>
      <c r="W381" s="140"/>
      <c r="X381" s="90"/>
      <c r="Y381" s="140"/>
      <c r="Z381" s="90"/>
      <c r="AA381" s="140"/>
      <c r="AB381" s="90"/>
      <c r="AC381" s="140"/>
      <c r="AD381" s="90"/>
      <c r="AE381" s="140"/>
      <c r="AF381" s="137" t="str">
        <f t="shared" si="19"/>
        <v/>
      </c>
      <c r="AG381" s="179" t="b">
        <f t="shared" si="18"/>
        <v>0</v>
      </c>
      <c r="AH381" s="140"/>
      <c r="AI381" s="147" t="s">
        <v>36</v>
      </c>
      <c r="AJ381" s="145">
        <f t="shared" si="20"/>
        <v>0</v>
      </c>
      <c r="AK381" s="148" t="s">
        <v>75</v>
      </c>
    </row>
    <row r="382" spans="1:37" ht="30" customHeight="1">
      <c r="A382" s="62"/>
      <c r="B382" s="62"/>
      <c r="C382" s="62"/>
      <c r="D382" s="62"/>
      <c r="E382" s="62"/>
      <c r="F382" s="62"/>
      <c r="G382" s="62"/>
      <c r="H382" s="62"/>
      <c r="I382" s="62"/>
      <c r="J382" s="62"/>
      <c r="K382" s="62"/>
      <c r="L382" s="62"/>
      <c r="M382" s="62"/>
      <c r="N382" s="186"/>
      <c r="O382" s="152"/>
      <c r="P382" s="90"/>
      <c r="Q382" s="140"/>
      <c r="R382" s="90"/>
      <c r="S382" s="140"/>
      <c r="T382" s="90"/>
      <c r="U382" s="140"/>
      <c r="V382" s="90"/>
      <c r="W382" s="140"/>
      <c r="X382" s="90"/>
      <c r="Y382" s="140"/>
      <c r="Z382" s="90"/>
      <c r="AA382" s="140"/>
      <c r="AB382" s="90"/>
      <c r="AC382" s="140"/>
      <c r="AD382" s="90"/>
      <c r="AE382" s="140"/>
      <c r="AF382" s="137" t="str">
        <f t="shared" si="19"/>
        <v/>
      </c>
      <c r="AG382" s="179" t="b">
        <f t="shared" si="18"/>
        <v>0</v>
      </c>
      <c r="AH382" s="140"/>
      <c r="AI382" s="147" t="s">
        <v>36</v>
      </c>
      <c r="AJ382" s="145">
        <f t="shared" si="20"/>
        <v>0</v>
      </c>
      <c r="AK382" s="148" t="s">
        <v>75</v>
      </c>
    </row>
    <row r="383" spans="1:37" ht="30" customHeight="1">
      <c r="A383" s="62"/>
      <c r="B383" s="62"/>
      <c r="C383" s="62"/>
      <c r="D383" s="62"/>
      <c r="E383" s="62"/>
      <c r="F383" s="62"/>
      <c r="G383" s="62"/>
      <c r="H383" s="62"/>
      <c r="I383" s="62"/>
      <c r="J383" s="62"/>
      <c r="K383" s="62"/>
      <c r="L383" s="62"/>
      <c r="M383" s="62"/>
      <c r="N383" s="186"/>
      <c r="O383" s="152"/>
      <c r="P383" s="90"/>
      <c r="Q383" s="140"/>
      <c r="R383" s="90"/>
      <c r="S383" s="140"/>
      <c r="T383" s="90"/>
      <c r="U383" s="140"/>
      <c r="V383" s="90"/>
      <c r="W383" s="140"/>
      <c r="X383" s="90"/>
      <c r="Y383" s="140"/>
      <c r="Z383" s="90"/>
      <c r="AA383" s="140"/>
      <c r="AB383" s="90"/>
      <c r="AC383" s="140"/>
      <c r="AD383" s="90"/>
      <c r="AE383" s="140"/>
      <c r="AF383" s="137" t="str">
        <f t="shared" si="19"/>
        <v/>
      </c>
      <c r="AG383" s="179" t="b">
        <f t="shared" si="18"/>
        <v>0</v>
      </c>
      <c r="AH383" s="140"/>
      <c r="AI383" s="147" t="s">
        <v>36</v>
      </c>
      <c r="AJ383" s="145">
        <f t="shared" si="20"/>
        <v>0</v>
      </c>
      <c r="AK383" s="148" t="s">
        <v>75</v>
      </c>
    </row>
    <row r="384" spans="1:37" ht="30" customHeight="1">
      <c r="A384" s="62"/>
      <c r="B384" s="62"/>
      <c r="C384" s="62"/>
      <c r="D384" s="62"/>
      <c r="E384" s="62"/>
      <c r="F384" s="62"/>
      <c r="G384" s="62"/>
      <c r="H384" s="62"/>
      <c r="I384" s="62"/>
      <c r="J384" s="62"/>
      <c r="K384" s="62"/>
      <c r="L384" s="62"/>
      <c r="M384" s="62"/>
      <c r="N384" s="186"/>
      <c r="O384" s="152"/>
      <c r="P384" s="90"/>
      <c r="Q384" s="140"/>
      <c r="R384" s="90"/>
      <c r="S384" s="140"/>
      <c r="T384" s="90"/>
      <c r="U384" s="140"/>
      <c r="V384" s="90"/>
      <c r="W384" s="140"/>
      <c r="X384" s="90"/>
      <c r="Y384" s="140"/>
      <c r="Z384" s="90"/>
      <c r="AA384" s="140"/>
      <c r="AB384" s="90"/>
      <c r="AC384" s="140"/>
      <c r="AD384" s="90"/>
      <c r="AE384" s="140"/>
      <c r="AF384" s="137" t="str">
        <f t="shared" si="19"/>
        <v/>
      </c>
      <c r="AG384" s="179" t="b">
        <f t="shared" ref="AG384:AG447" si="21">IF(AND(AE384="C",AF384="C"),"UTILIZOU O PDA CORRETAMENTE",IF(AND(AE384="C",AF384="NC"),"UTILIZOU O PDA CORRETAMENTE. NÃO HÁ FOTOS DE TODAS AS ETAPAS",IF(AND(AE384="NC",AF384="NC"),"NÃO UTILIZOU O PDA",IF(AND(AE384="NA",AF384="NA"),"NÃO AVALIADO POR FALHA DE SINCRONISMO"))))</f>
        <v>0</v>
      </c>
      <c r="AH384" s="140"/>
      <c r="AI384" s="147" t="s">
        <v>36</v>
      </c>
      <c r="AJ384" s="145">
        <f t="shared" si="20"/>
        <v>0</v>
      </c>
      <c r="AK384" s="148" t="s">
        <v>75</v>
      </c>
    </row>
    <row r="385" spans="1:37" ht="30" customHeight="1">
      <c r="A385" s="62"/>
      <c r="B385" s="62"/>
      <c r="C385" s="62"/>
      <c r="D385" s="62"/>
      <c r="E385" s="62"/>
      <c r="F385" s="62"/>
      <c r="G385" s="62"/>
      <c r="H385" s="62"/>
      <c r="I385" s="62"/>
      <c r="J385" s="62"/>
      <c r="K385" s="62"/>
      <c r="L385" s="62"/>
      <c r="M385" s="62"/>
      <c r="N385" s="186"/>
      <c r="O385" s="152"/>
      <c r="P385" s="90"/>
      <c r="Q385" s="140"/>
      <c r="R385" s="90"/>
      <c r="S385" s="140"/>
      <c r="T385" s="90"/>
      <c r="U385" s="140"/>
      <c r="V385" s="90"/>
      <c r="W385" s="140"/>
      <c r="X385" s="90"/>
      <c r="Y385" s="140"/>
      <c r="Z385" s="90"/>
      <c r="AA385" s="140"/>
      <c r="AB385" s="90"/>
      <c r="AC385" s="140"/>
      <c r="AD385" s="90"/>
      <c r="AE385" s="140"/>
      <c r="AF385" s="137" t="str">
        <f t="shared" ref="AF385:AF448" si="22">IF(AND(O385="",Q385="",S385="",U385="",W385="",Y385="",AA385="",AC385=""),"",IF(OR(AND(O385&lt;&gt;"NA",O385&lt;&gt;"C",O385&lt;&gt;"NC",O385&lt;&gt;"SF",O385&lt;&gt;""),AND(Q385&lt;&gt;"NA",Q385&lt;&gt;"C",Q385&lt;&gt;"NC",Q385&lt;&gt;"SF",Q385&lt;&gt;""),AND(S385&lt;&gt;"NA",S385&lt;&gt;"C",S385&lt;&gt;"NC",S385&lt;&gt;"SF",S385&lt;&gt;""),AND(U385&lt;&gt;"NA",U385&lt;&gt;"C",U385&lt;&gt;"NC",U385&lt;&gt;"SF",U385&lt;&gt;""),AND(W385&lt;&gt;"NA",W385&lt;&gt;"C",W385&lt;&gt;"NC",W385&lt;&gt;"SF",W385&lt;&gt;""),AND(Y385&lt;&gt;"NA",Y385&lt;&gt;"C",Y385&lt;&gt;"NC",Y385&lt;&gt;"SF",Y385&lt;&gt;""),AND(AA385&lt;&gt;"NA",AA385&lt;&gt;"C",AA385&lt;&gt;"NC",AA385&lt;&gt;"SF",AA385&lt;&gt;""),AND(AC385&lt;&gt;"NA",AC385&lt;&gt;"C",AC385&lt;&gt;"NC",AC385&lt;&gt;"SF",AC385&lt;&gt;"")),"FALSO",IF(AND(O385="NA",Q385="NA",S385="NA",U385="NA",W385="NA",Y385="NA",AA385="NA",AC385="NA"),"NA",IF(OR(O385="NC",Q385="NC",S385="NC",U385="NC",W385="NC",Y385="NC",AA385="NC",AC385="NC",O385="SF",Q385="SF",S385="SF",U385="SF",W385="SF",Y385="SF",AA385="SF",AC385="SF"),"NC",IF(OR(O385="C",Q385="C",S385="C",U385="C",W385="C",Y385="C",AA385="C",AC385="C"),"C","")))))</f>
        <v/>
      </c>
      <c r="AG385" s="179" t="b">
        <f t="shared" si="21"/>
        <v>0</v>
      </c>
      <c r="AH385" s="140"/>
      <c r="AI385" s="147" t="s">
        <v>36</v>
      </c>
      <c r="AJ385" s="145">
        <f t="shared" si="20"/>
        <v>0</v>
      </c>
      <c r="AK385" s="148" t="s">
        <v>75</v>
      </c>
    </row>
    <row r="386" spans="1:37" ht="30" customHeight="1">
      <c r="A386" s="62"/>
      <c r="B386" s="62"/>
      <c r="C386" s="62"/>
      <c r="D386" s="62"/>
      <c r="E386" s="62"/>
      <c r="F386" s="62"/>
      <c r="G386" s="62"/>
      <c r="H386" s="62"/>
      <c r="I386" s="62"/>
      <c r="J386" s="62"/>
      <c r="K386" s="62"/>
      <c r="L386" s="62"/>
      <c r="M386" s="62"/>
      <c r="N386" s="186"/>
      <c r="O386" s="152"/>
      <c r="P386" s="90"/>
      <c r="Q386" s="140"/>
      <c r="R386" s="90"/>
      <c r="S386" s="140"/>
      <c r="T386" s="90"/>
      <c r="U386" s="140"/>
      <c r="V386" s="90"/>
      <c r="W386" s="140"/>
      <c r="X386" s="90"/>
      <c r="Y386" s="140"/>
      <c r="Z386" s="90"/>
      <c r="AA386" s="140"/>
      <c r="AB386" s="90"/>
      <c r="AC386" s="140"/>
      <c r="AD386" s="90"/>
      <c r="AE386" s="140"/>
      <c r="AF386" s="137" t="str">
        <f t="shared" si="22"/>
        <v/>
      </c>
      <c r="AG386" s="179" t="b">
        <f t="shared" si="21"/>
        <v>0</v>
      </c>
      <c r="AH386" s="140"/>
      <c r="AI386" s="147" t="s">
        <v>36</v>
      </c>
      <c r="AJ386" s="145">
        <f t="shared" si="20"/>
        <v>0</v>
      </c>
      <c r="AK386" s="148" t="s">
        <v>75</v>
      </c>
    </row>
    <row r="387" spans="1:37" ht="30" customHeight="1">
      <c r="A387" s="62"/>
      <c r="B387" s="62"/>
      <c r="C387" s="62"/>
      <c r="D387" s="62"/>
      <c r="E387" s="62"/>
      <c r="F387" s="62"/>
      <c r="G387" s="62"/>
      <c r="H387" s="62"/>
      <c r="I387" s="62"/>
      <c r="J387" s="62"/>
      <c r="K387" s="62"/>
      <c r="L387" s="62"/>
      <c r="M387" s="62"/>
      <c r="N387" s="186"/>
      <c r="O387" s="152"/>
      <c r="P387" s="90"/>
      <c r="Q387" s="140"/>
      <c r="R387" s="90"/>
      <c r="S387" s="140"/>
      <c r="T387" s="90"/>
      <c r="U387" s="140"/>
      <c r="V387" s="90"/>
      <c r="W387" s="140"/>
      <c r="X387" s="90"/>
      <c r="Y387" s="140"/>
      <c r="Z387" s="90"/>
      <c r="AA387" s="140"/>
      <c r="AB387" s="90"/>
      <c r="AC387" s="140"/>
      <c r="AD387" s="90"/>
      <c r="AE387" s="140"/>
      <c r="AF387" s="137" t="str">
        <f t="shared" si="22"/>
        <v/>
      </c>
      <c r="AG387" s="179" t="b">
        <f t="shared" si="21"/>
        <v>0</v>
      </c>
      <c r="AH387" s="140"/>
      <c r="AI387" s="147" t="s">
        <v>36</v>
      </c>
      <c r="AJ387" s="145">
        <f t="shared" si="20"/>
        <v>0</v>
      </c>
      <c r="AK387" s="148" t="s">
        <v>75</v>
      </c>
    </row>
    <row r="388" spans="1:37" ht="30" customHeight="1">
      <c r="A388" s="62"/>
      <c r="B388" s="62"/>
      <c r="C388" s="62"/>
      <c r="D388" s="62"/>
      <c r="E388" s="62"/>
      <c r="F388" s="62"/>
      <c r="G388" s="62"/>
      <c r="H388" s="62"/>
      <c r="I388" s="62"/>
      <c r="J388" s="62"/>
      <c r="K388" s="62"/>
      <c r="L388" s="62"/>
      <c r="M388" s="62"/>
      <c r="N388" s="186"/>
      <c r="O388" s="152"/>
      <c r="P388" s="90"/>
      <c r="Q388" s="140"/>
      <c r="R388" s="90"/>
      <c r="S388" s="140"/>
      <c r="T388" s="90"/>
      <c r="U388" s="140"/>
      <c r="V388" s="90"/>
      <c r="W388" s="140"/>
      <c r="X388" s="90"/>
      <c r="Y388" s="140"/>
      <c r="Z388" s="90"/>
      <c r="AA388" s="140"/>
      <c r="AB388" s="90"/>
      <c r="AC388" s="140"/>
      <c r="AD388" s="90"/>
      <c r="AE388" s="140"/>
      <c r="AF388" s="137" t="str">
        <f t="shared" si="22"/>
        <v/>
      </c>
      <c r="AG388" s="179" t="b">
        <f t="shared" si="21"/>
        <v>0</v>
      </c>
      <c r="AH388" s="140"/>
      <c r="AI388" s="147" t="s">
        <v>36</v>
      </c>
      <c r="AJ388" s="145">
        <f t="shared" si="20"/>
        <v>0</v>
      </c>
      <c r="AK388" s="148" t="s">
        <v>75</v>
      </c>
    </row>
    <row r="389" spans="1:37" ht="30" customHeight="1">
      <c r="A389" s="62"/>
      <c r="B389" s="62"/>
      <c r="C389" s="62"/>
      <c r="D389" s="62"/>
      <c r="E389" s="62"/>
      <c r="F389" s="62"/>
      <c r="G389" s="62"/>
      <c r="H389" s="62"/>
      <c r="I389" s="62"/>
      <c r="J389" s="62"/>
      <c r="K389" s="62"/>
      <c r="L389" s="62"/>
      <c r="M389" s="62"/>
      <c r="N389" s="186"/>
      <c r="O389" s="152"/>
      <c r="P389" s="90"/>
      <c r="Q389" s="140"/>
      <c r="R389" s="90"/>
      <c r="S389" s="140"/>
      <c r="T389" s="90"/>
      <c r="U389" s="140"/>
      <c r="V389" s="90"/>
      <c r="W389" s="140"/>
      <c r="X389" s="90"/>
      <c r="Y389" s="140"/>
      <c r="Z389" s="90"/>
      <c r="AA389" s="140"/>
      <c r="AB389" s="90"/>
      <c r="AC389" s="140"/>
      <c r="AD389" s="90"/>
      <c r="AE389" s="140"/>
      <c r="AF389" s="137" t="str">
        <f t="shared" si="22"/>
        <v/>
      </c>
      <c r="AG389" s="179" t="b">
        <f t="shared" si="21"/>
        <v>0</v>
      </c>
      <c r="AH389" s="140"/>
      <c r="AI389" s="147" t="s">
        <v>36</v>
      </c>
      <c r="AJ389" s="145">
        <f t="shared" si="20"/>
        <v>0</v>
      </c>
      <c r="AK389" s="148" t="s">
        <v>75</v>
      </c>
    </row>
    <row r="390" spans="1:37" ht="30" customHeight="1">
      <c r="A390" s="62"/>
      <c r="B390" s="62"/>
      <c r="C390" s="62"/>
      <c r="D390" s="62"/>
      <c r="E390" s="62"/>
      <c r="F390" s="62"/>
      <c r="G390" s="62"/>
      <c r="H390" s="62"/>
      <c r="I390" s="62"/>
      <c r="J390" s="62"/>
      <c r="K390" s="62"/>
      <c r="L390" s="62"/>
      <c r="M390" s="62"/>
      <c r="N390" s="186"/>
      <c r="O390" s="152"/>
      <c r="P390" s="90"/>
      <c r="Q390" s="140"/>
      <c r="R390" s="90"/>
      <c r="S390" s="140"/>
      <c r="T390" s="90"/>
      <c r="U390" s="140"/>
      <c r="V390" s="90"/>
      <c r="W390" s="140"/>
      <c r="X390" s="90"/>
      <c r="Y390" s="140"/>
      <c r="Z390" s="90"/>
      <c r="AA390" s="140"/>
      <c r="AB390" s="90"/>
      <c r="AC390" s="140"/>
      <c r="AD390" s="90"/>
      <c r="AE390" s="140"/>
      <c r="AF390" s="137" t="str">
        <f t="shared" si="22"/>
        <v/>
      </c>
      <c r="AG390" s="179" t="b">
        <f t="shared" si="21"/>
        <v>0</v>
      </c>
      <c r="AH390" s="140"/>
      <c r="AI390" s="147" t="s">
        <v>36</v>
      </c>
      <c r="AJ390" s="145">
        <f t="shared" si="20"/>
        <v>0</v>
      </c>
      <c r="AK390" s="148" t="s">
        <v>75</v>
      </c>
    </row>
    <row r="391" spans="1:37" ht="30" customHeight="1">
      <c r="A391" s="62"/>
      <c r="B391" s="62"/>
      <c r="C391" s="62"/>
      <c r="D391" s="62"/>
      <c r="E391" s="62"/>
      <c r="F391" s="62"/>
      <c r="G391" s="62"/>
      <c r="H391" s="62"/>
      <c r="I391" s="62"/>
      <c r="J391" s="62"/>
      <c r="K391" s="62"/>
      <c r="L391" s="62"/>
      <c r="M391" s="62"/>
      <c r="N391" s="186"/>
      <c r="O391" s="152"/>
      <c r="P391" s="90"/>
      <c r="Q391" s="140"/>
      <c r="R391" s="90"/>
      <c r="S391" s="140"/>
      <c r="T391" s="90"/>
      <c r="U391" s="140"/>
      <c r="V391" s="90"/>
      <c r="W391" s="140"/>
      <c r="X391" s="90"/>
      <c r="Y391" s="140"/>
      <c r="Z391" s="90"/>
      <c r="AA391" s="140"/>
      <c r="AB391" s="90"/>
      <c r="AC391" s="140"/>
      <c r="AD391" s="90"/>
      <c r="AE391" s="140"/>
      <c r="AF391" s="137" t="str">
        <f t="shared" si="22"/>
        <v/>
      </c>
      <c r="AG391" s="179" t="b">
        <f t="shared" si="21"/>
        <v>0</v>
      </c>
      <c r="AH391" s="140"/>
      <c r="AI391" s="147" t="s">
        <v>36</v>
      </c>
      <c r="AJ391" s="145">
        <f t="shared" si="20"/>
        <v>0</v>
      </c>
      <c r="AK391" s="148" t="s">
        <v>75</v>
      </c>
    </row>
    <row r="392" spans="1:37" ht="30" customHeight="1">
      <c r="A392" s="62"/>
      <c r="B392" s="62"/>
      <c r="C392" s="62"/>
      <c r="D392" s="62"/>
      <c r="E392" s="62"/>
      <c r="F392" s="62"/>
      <c r="G392" s="62"/>
      <c r="H392" s="62"/>
      <c r="I392" s="62"/>
      <c r="J392" s="62"/>
      <c r="K392" s="62"/>
      <c r="L392" s="62"/>
      <c r="M392" s="62"/>
      <c r="N392" s="186"/>
      <c r="O392" s="152"/>
      <c r="P392" s="90"/>
      <c r="Q392" s="140"/>
      <c r="R392" s="90"/>
      <c r="S392" s="140"/>
      <c r="T392" s="90"/>
      <c r="U392" s="140"/>
      <c r="V392" s="90"/>
      <c r="W392" s="140"/>
      <c r="X392" s="90"/>
      <c r="Y392" s="140"/>
      <c r="Z392" s="90"/>
      <c r="AA392" s="140"/>
      <c r="AB392" s="90"/>
      <c r="AC392" s="140"/>
      <c r="AD392" s="90"/>
      <c r="AE392" s="140"/>
      <c r="AF392" s="137" t="str">
        <f t="shared" si="22"/>
        <v/>
      </c>
      <c r="AG392" s="179" t="b">
        <f t="shared" si="21"/>
        <v>0</v>
      </c>
      <c r="AH392" s="140"/>
      <c r="AI392" s="147" t="s">
        <v>36</v>
      </c>
      <c r="AJ392" s="145">
        <f t="shared" si="20"/>
        <v>0</v>
      </c>
      <c r="AK392" s="148" t="s">
        <v>75</v>
      </c>
    </row>
    <row r="393" spans="1:37" ht="30" customHeight="1">
      <c r="A393" s="62"/>
      <c r="B393" s="62"/>
      <c r="C393" s="62"/>
      <c r="D393" s="62"/>
      <c r="E393" s="62"/>
      <c r="F393" s="62"/>
      <c r="G393" s="62"/>
      <c r="H393" s="62"/>
      <c r="I393" s="62"/>
      <c r="J393" s="62"/>
      <c r="K393" s="62"/>
      <c r="L393" s="62"/>
      <c r="M393" s="62"/>
      <c r="N393" s="186"/>
      <c r="O393" s="152"/>
      <c r="P393" s="90"/>
      <c r="Q393" s="140"/>
      <c r="R393" s="90"/>
      <c r="S393" s="140"/>
      <c r="T393" s="90"/>
      <c r="U393" s="140"/>
      <c r="V393" s="90"/>
      <c r="W393" s="140"/>
      <c r="X393" s="90"/>
      <c r="Y393" s="140"/>
      <c r="Z393" s="90"/>
      <c r="AA393" s="140"/>
      <c r="AB393" s="90"/>
      <c r="AC393" s="140"/>
      <c r="AD393" s="90"/>
      <c r="AE393" s="140"/>
      <c r="AF393" s="137" t="str">
        <f t="shared" si="22"/>
        <v/>
      </c>
      <c r="AG393" s="179" t="b">
        <f t="shared" si="21"/>
        <v>0</v>
      </c>
      <c r="AH393" s="140"/>
      <c r="AI393" s="147" t="s">
        <v>36</v>
      </c>
      <c r="AJ393" s="145">
        <f t="shared" si="20"/>
        <v>0</v>
      </c>
      <c r="AK393" s="148" t="s">
        <v>75</v>
      </c>
    </row>
    <row r="394" spans="1:37" ht="30" customHeight="1">
      <c r="A394" s="62"/>
      <c r="B394" s="62"/>
      <c r="C394" s="62"/>
      <c r="D394" s="62"/>
      <c r="E394" s="62"/>
      <c r="F394" s="62"/>
      <c r="G394" s="62"/>
      <c r="H394" s="62"/>
      <c r="I394" s="62"/>
      <c r="J394" s="62"/>
      <c r="K394" s="62"/>
      <c r="L394" s="62"/>
      <c r="M394" s="62"/>
      <c r="N394" s="186"/>
      <c r="O394" s="152"/>
      <c r="P394" s="90"/>
      <c r="Q394" s="140"/>
      <c r="R394" s="90"/>
      <c r="S394" s="140"/>
      <c r="T394" s="90"/>
      <c r="U394" s="140"/>
      <c r="V394" s="90"/>
      <c r="W394" s="140"/>
      <c r="X394" s="90"/>
      <c r="Y394" s="140"/>
      <c r="Z394" s="90"/>
      <c r="AA394" s="140"/>
      <c r="AB394" s="90"/>
      <c r="AC394" s="140"/>
      <c r="AD394" s="90"/>
      <c r="AE394" s="140"/>
      <c r="AF394" s="137" t="str">
        <f t="shared" si="22"/>
        <v/>
      </c>
      <c r="AG394" s="179" t="b">
        <f t="shared" si="21"/>
        <v>0</v>
      </c>
      <c r="AH394" s="140"/>
      <c r="AI394" s="147" t="s">
        <v>36</v>
      </c>
      <c r="AJ394" s="145">
        <f t="shared" si="20"/>
        <v>0</v>
      </c>
      <c r="AK394" s="148" t="s">
        <v>75</v>
      </c>
    </row>
    <row r="395" spans="1:37" ht="30" customHeight="1">
      <c r="A395" s="62"/>
      <c r="B395" s="62"/>
      <c r="C395" s="62"/>
      <c r="D395" s="62"/>
      <c r="E395" s="62"/>
      <c r="F395" s="62"/>
      <c r="G395" s="62"/>
      <c r="H395" s="62"/>
      <c r="I395" s="62"/>
      <c r="J395" s="62"/>
      <c r="K395" s="62"/>
      <c r="L395" s="62"/>
      <c r="M395" s="62"/>
      <c r="N395" s="186"/>
      <c r="O395" s="152"/>
      <c r="P395" s="90"/>
      <c r="Q395" s="140"/>
      <c r="R395" s="90"/>
      <c r="S395" s="140"/>
      <c r="T395" s="90"/>
      <c r="U395" s="140"/>
      <c r="V395" s="90"/>
      <c r="W395" s="140"/>
      <c r="X395" s="90"/>
      <c r="Y395" s="140"/>
      <c r="Z395" s="90"/>
      <c r="AA395" s="140"/>
      <c r="AB395" s="90"/>
      <c r="AC395" s="140"/>
      <c r="AD395" s="90"/>
      <c r="AE395" s="140"/>
      <c r="AF395" s="137" t="str">
        <f t="shared" si="22"/>
        <v/>
      </c>
      <c r="AG395" s="179" t="b">
        <f t="shared" si="21"/>
        <v>0</v>
      </c>
      <c r="AH395" s="140"/>
      <c r="AI395" s="147" t="s">
        <v>36</v>
      </c>
      <c r="AJ395" s="145">
        <f t="shared" si="20"/>
        <v>0</v>
      </c>
      <c r="AK395" s="148" t="s">
        <v>75</v>
      </c>
    </row>
    <row r="396" spans="1:37" ht="30" customHeight="1">
      <c r="A396" s="62"/>
      <c r="B396" s="62"/>
      <c r="C396" s="62"/>
      <c r="D396" s="62"/>
      <c r="E396" s="62"/>
      <c r="F396" s="62"/>
      <c r="G396" s="62"/>
      <c r="H396" s="62"/>
      <c r="I396" s="62"/>
      <c r="J396" s="62"/>
      <c r="K396" s="62"/>
      <c r="L396" s="62"/>
      <c r="M396" s="62"/>
      <c r="N396" s="186"/>
      <c r="O396" s="152"/>
      <c r="P396" s="90"/>
      <c r="Q396" s="140"/>
      <c r="R396" s="90"/>
      <c r="S396" s="140"/>
      <c r="T396" s="90"/>
      <c r="U396" s="140"/>
      <c r="V396" s="90"/>
      <c r="W396" s="140"/>
      <c r="X396" s="90"/>
      <c r="Y396" s="140"/>
      <c r="Z396" s="90"/>
      <c r="AA396" s="140"/>
      <c r="AB396" s="90"/>
      <c r="AC396" s="140"/>
      <c r="AD396" s="90"/>
      <c r="AE396" s="140"/>
      <c r="AF396" s="137" t="str">
        <f t="shared" si="22"/>
        <v/>
      </c>
      <c r="AG396" s="179" t="b">
        <f t="shared" si="21"/>
        <v>0</v>
      </c>
      <c r="AH396" s="140"/>
      <c r="AI396" s="147" t="s">
        <v>36</v>
      </c>
      <c r="AJ396" s="145">
        <f t="shared" si="20"/>
        <v>0</v>
      </c>
      <c r="AK396" s="148" t="s">
        <v>75</v>
      </c>
    </row>
    <row r="397" spans="1:37" ht="30" customHeight="1">
      <c r="A397" s="62"/>
      <c r="B397" s="62"/>
      <c r="C397" s="62"/>
      <c r="D397" s="62"/>
      <c r="E397" s="62"/>
      <c r="F397" s="62"/>
      <c r="G397" s="62"/>
      <c r="H397" s="62"/>
      <c r="I397" s="62"/>
      <c r="J397" s="62"/>
      <c r="K397" s="62"/>
      <c r="L397" s="62"/>
      <c r="M397" s="62"/>
      <c r="N397" s="186"/>
      <c r="O397" s="152"/>
      <c r="P397" s="90"/>
      <c r="Q397" s="140"/>
      <c r="R397" s="90"/>
      <c r="S397" s="140"/>
      <c r="T397" s="90"/>
      <c r="U397" s="140"/>
      <c r="V397" s="90"/>
      <c r="W397" s="140"/>
      <c r="X397" s="90"/>
      <c r="Y397" s="140"/>
      <c r="Z397" s="90"/>
      <c r="AA397" s="140"/>
      <c r="AB397" s="90"/>
      <c r="AC397" s="140"/>
      <c r="AD397" s="90"/>
      <c r="AE397" s="140"/>
      <c r="AF397" s="137" t="str">
        <f t="shared" si="22"/>
        <v/>
      </c>
      <c r="AG397" s="179" t="b">
        <f t="shared" si="21"/>
        <v>0</v>
      </c>
      <c r="AH397" s="140"/>
      <c r="AI397" s="147" t="s">
        <v>36</v>
      </c>
      <c r="AJ397" s="145">
        <f t="shared" si="20"/>
        <v>0</v>
      </c>
      <c r="AK397" s="148" t="s">
        <v>75</v>
      </c>
    </row>
    <row r="398" spans="1:37" ht="30" customHeight="1">
      <c r="A398" s="62"/>
      <c r="B398" s="62"/>
      <c r="C398" s="62"/>
      <c r="D398" s="62"/>
      <c r="E398" s="62"/>
      <c r="F398" s="62"/>
      <c r="G398" s="62"/>
      <c r="H398" s="62"/>
      <c r="I398" s="62"/>
      <c r="J398" s="62"/>
      <c r="K398" s="62"/>
      <c r="L398" s="62"/>
      <c r="M398" s="62"/>
      <c r="N398" s="186"/>
      <c r="O398" s="152"/>
      <c r="P398" s="90"/>
      <c r="Q398" s="140"/>
      <c r="R398" s="90"/>
      <c r="S398" s="140"/>
      <c r="T398" s="90"/>
      <c r="U398" s="140"/>
      <c r="V398" s="90"/>
      <c r="W398" s="140"/>
      <c r="X398" s="90"/>
      <c r="Y398" s="140"/>
      <c r="Z398" s="90"/>
      <c r="AA398" s="140"/>
      <c r="AB398" s="90"/>
      <c r="AC398" s="140"/>
      <c r="AD398" s="90"/>
      <c r="AE398" s="140"/>
      <c r="AF398" s="137" t="str">
        <f t="shared" si="22"/>
        <v/>
      </c>
      <c r="AG398" s="179" t="b">
        <f t="shared" si="21"/>
        <v>0</v>
      </c>
      <c r="AH398" s="140"/>
      <c r="AI398" s="147" t="s">
        <v>36</v>
      </c>
      <c r="AJ398" s="145">
        <f t="shared" si="20"/>
        <v>0</v>
      </c>
      <c r="AK398" s="148" t="s">
        <v>75</v>
      </c>
    </row>
    <row r="399" spans="1:37" ht="30" customHeight="1">
      <c r="A399" s="62"/>
      <c r="B399" s="62"/>
      <c r="C399" s="62"/>
      <c r="D399" s="62"/>
      <c r="E399" s="62"/>
      <c r="F399" s="62"/>
      <c r="G399" s="62"/>
      <c r="H399" s="62"/>
      <c r="I399" s="62"/>
      <c r="J399" s="62"/>
      <c r="K399" s="62"/>
      <c r="L399" s="62"/>
      <c r="M399" s="62"/>
      <c r="N399" s="186"/>
      <c r="O399" s="152"/>
      <c r="P399" s="90"/>
      <c r="Q399" s="140"/>
      <c r="R399" s="90"/>
      <c r="S399" s="140"/>
      <c r="T399" s="90"/>
      <c r="U399" s="140"/>
      <c r="V399" s="90"/>
      <c r="W399" s="140"/>
      <c r="X399" s="90"/>
      <c r="Y399" s="140"/>
      <c r="Z399" s="90"/>
      <c r="AA399" s="140"/>
      <c r="AB399" s="90"/>
      <c r="AC399" s="140"/>
      <c r="AD399" s="90"/>
      <c r="AE399" s="140"/>
      <c r="AF399" s="137" t="str">
        <f t="shared" si="22"/>
        <v/>
      </c>
      <c r="AG399" s="179" t="b">
        <f t="shared" si="21"/>
        <v>0</v>
      </c>
      <c r="AH399" s="140"/>
      <c r="AI399" s="147" t="s">
        <v>36</v>
      </c>
      <c r="AJ399" s="145">
        <f t="shared" si="20"/>
        <v>0</v>
      </c>
      <c r="AK399" s="148" t="s">
        <v>75</v>
      </c>
    </row>
    <row r="400" spans="1:37" ht="30" customHeight="1">
      <c r="A400" s="62"/>
      <c r="B400" s="62"/>
      <c r="C400" s="62"/>
      <c r="D400" s="62"/>
      <c r="E400" s="62"/>
      <c r="F400" s="62"/>
      <c r="G400" s="62"/>
      <c r="H400" s="62"/>
      <c r="I400" s="62"/>
      <c r="J400" s="62"/>
      <c r="K400" s="62"/>
      <c r="L400" s="62"/>
      <c r="M400" s="62"/>
      <c r="N400" s="186"/>
      <c r="O400" s="152"/>
      <c r="P400" s="90"/>
      <c r="Q400" s="140"/>
      <c r="R400" s="90"/>
      <c r="S400" s="140"/>
      <c r="T400" s="90"/>
      <c r="U400" s="140"/>
      <c r="V400" s="90"/>
      <c r="W400" s="140"/>
      <c r="X400" s="90"/>
      <c r="Y400" s="140"/>
      <c r="Z400" s="90"/>
      <c r="AA400" s="140"/>
      <c r="AB400" s="90"/>
      <c r="AC400" s="140"/>
      <c r="AD400" s="90"/>
      <c r="AE400" s="140"/>
      <c r="AF400" s="137" t="str">
        <f t="shared" si="22"/>
        <v/>
      </c>
      <c r="AG400" s="179" t="b">
        <f t="shared" si="21"/>
        <v>0</v>
      </c>
      <c r="AH400" s="140"/>
      <c r="AI400" s="147" t="s">
        <v>36</v>
      </c>
      <c r="AJ400" s="145">
        <f t="shared" si="20"/>
        <v>0</v>
      </c>
      <c r="AK400" s="148" t="s">
        <v>75</v>
      </c>
    </row>
    <row r="401" spans="1:37" ht="30" customHeight="1">
      <c r="A401" s="62"/>
      <c r="B401" s="62"/>
      <c r="C401" s="62"/>
      <c r="D401" s="62"/>
      <c r="E401" s="62"/>
      <c r="F401" s="62"/>
      <c r="G401" s="62"/>
      <c r="H401" s="62"/>
      <c r="I401" s="62"/>
      <c r="J401" s="62"/>
      <c r="K401" s="62"/>
      <c r="L401" s="62"/>
      <c r="M401" s="62"/>
      <c r="N401" s="186"/>
      <c r="O401" s="152"/>
      <c r="P401" s="90"/>
      <c r="Q401" s="140"/>
      <c r="R401" s="90"/>
      <c r="S401" s="140"/>
      <c r="T401" s="90"/>
      <c r="U401" s="140"/>
      <c r="V401" s="90"/>
      <c r="W401" s="140"/>
      <c r="X401" s="90"/>
      <c r="Y401" s="140"/>
      <c r="Z401" s="90"/>
      <c r="AA401" s="140"/>
      <c r="AB401" s="90"/>
      <c r="AC401" s="140"/>
      <c r="AD401" s="90"/>
      <c r="AE401" s="140"/>
      <c r="AF401" s="137" t="str">
        <f t="shared" si="22"/>
        <v/>
      </c>
      <c r="AG401" s="179" t="b">
        <f t="shared" si="21"/>
        <v>0</v>
      </c>
      <c r="AH401" s="140"/>
      <c r="AI401" s="147" t="s">
        <v>36</v>
      </c>
      <c r="AJ401" s="145">
        <f t="shared" si="20"/>
        <v>0</v>
      </c>
      <c r="AK401" s="148" t="s">
        <v>75</v>
      </c>
    </row>
    <row r="402" spans="1:37" ht="30" customHeight="1">
      <c r="A402" s="62"/>
      <c r="B402" s="62"/>
      <c r="C402" s="62"/>
      <c r="D402" s="62"/>
      <c r="E402" s="62"/>
      <c r="F402" s="62"/>
      <c r="G402" s="62"/>
      <c r="H402" s="62"/>
      <c r="I402" s="62"/>
      <c r="J402" s="62"/>
      <c r="K402" s="62"/>
      <c r="L402" s="62"/>
      <c r="M402" s="62"/>
      <c r="N402" s="186"/>
      <c r="O402" s="152"/>
      <c r="P402" s="90"/>
      <c r="Q402" s="140"/>
      <c r="R402" s="90"/>
      <c r="S402" s="140"/>
      <c r="T402" s="90"/>
      <c r="U402" s="140"/>
      <c r="V402" s="90"/>
      <c r="W402" s="140"/>
      <c r="X402" s="90"/>
      <c r="Y402" s="140"/>
      <c r="Z402" s="90"/>
      <c r="AA402" s="140"/>
      <c r="AB402" s="90"/>
      <c r="AC402" s="140"/>
      <c r="AD402" s="90"/>
      <c r="AE402" s="140"/>
      <c r="AF402" s="137" t="str">
        <f t="shared" si="22"/>
        <v/>
      </c>
      <c r="AG402" s="179" t="b">
        <f t="shared" si="21"/>
        <v>0</v>
      </c>
      <c r="AH402" s="140"/>
      <c r="AI402" s="147" t="s">
        <v>36</v>
      </c>
      <c r="AJ402" s="145">
        <f t="shared" si="20"/>
        <v>0</v>
      </c>
      <c r="AK402" s="148" t="s">
        <v>75</v>
      </c>
    </row>
    <row r="403" spans="1:37" ht="30" customHeight="1">
      <c r="A403" s="62"/>
      <c r="B403" s="62"/>
      <c r="C403" s="62"/>
      <c r="D403" s="62"/>
      <c r="E403" s="62"/>
      <c r="F403" s="62"/>
      <c r="G403" s="62"/>
      <c r="H403" s="62"/>
      <c r="I403" s="62"/>
      <c r="J403" s="62"/>
      <c r="K403" s="62"/>
      <c r="L403" s="62"/>
      <c r="M403" s="62"/>
      <c r="N403" s="186"/>
      <c r="O403" s="152"/>
      <c r="P403" s="90"/>
      <c r="Q403" s="140"/>
      <c r="R403" s="90"/>
      <c r="S403" s="140"/>
      <c r="T403" s="90"/>
      <c r="U403" s="140"/>
      <c r="V403" s="90"/>
      <c r="W403" s="140"/>
      <c r="X403" s="90"/>
      <c r="Y403" s="140"/>
      <c r="Z403" s="90"/>
      <c r="AA403" s="140"/>
      <c r="AB403" s="90"/>
      <c r="AC403" s="140"/>
      <c r="AD403" s="90"/>
      <c r="AE403" s="140"/>
      <c r="AF403" s="137" t="str">
        <f t="shared" si="22"/>
        <v/>
      </c>
      <c r="AG403" s="179" t="b">
        <f t="shared" si="21"/>
        <v>0</v>
      </c>
      <c r="AH403" s="140"/>
      <c r="AI403" s="147" t="s">
        <v>36</v>
      </c>
      <c r="AJ403" s="145">
        <f t="shared" si="20"/>
        <v>0</v>
      </c>
      <c r="AK403" s="148" t="s">
        <v>75</v>
      </c>
    </row>
    <row r="404" spans="1:37" ht="30" customHeight="1">
      <c r="A404" s="62"/>
      <c r="B404" s="62"/>
      <c r="C404" s="62"/>
      <c r="D404" s="62"/>
      <c r="E404" s="62"/>
      <c r="F404" s="62"/>
      <c r="G404" s="62"/>
      <c r="H404" s="62"/>
      <c r="I404" s="62"/>
      <c r="J404" s="62"/>
      <c r="K404" s="62"/>
      <c r="L404" s="62"/>
      <c r="M404" s="62"/>
      <c r="N404" s="186"/>
      <c r="O404" s="152"/>
      <c r="P404" s="90"/>
      <c r="Q404" s="140"/>
      <c r="R404" s="90"/>
      <c r="S404" s="140"/>
      <c r="T404" s="90"/>
      <c r="U404" s="140"/>
      <c r="V404" s="90"/>
      <c r="W404" s="140"/>
      <c r="X404" s="90"/>
      <c r="Y404" s="140"/>
      <c r="Z404" s="90"/>
      <c r="AA404" s="140"/>
      <c r="AB404" s="90"/>
      <c r="AC404" s="140"/>
      <c r="AD404" s="90"/>
      <c r="AE404" s="140"/>
      <c r="AF404" s="137" t="str">
        <f t="shared" si="22"/>
        <v/>
      </c>
      <c r="AG404" s="179" t="b">
        <f t="shared" si="21"/>
        <v>0</v>
      </c>
      <c r="AH404" s="140"/>
      <c r="AI404" s="147" t="s">
        <v>36</v>
      </c>
      <c r="AJ404" s="145">
        <f t="shared" si="20"/>
        <v>0</v>
      </c>
      <c r="AK404" s="148" t="s">
        <v>75</v>
      </c>
    </row>
    <row r="405" spans="1:37" ht="30" customHeight="1">
      <c r="A405" s="62"/>
      <c r="B405" s="62"/>
      <c r="C405" s="62"/>
      <c r="D405" s="62"/>
      <c r="E405" s="62"/>
      <c r="F405" s="62"/>
      <c r="G405" s="62"/>
      <c r="H405" s="62"/>
      <c r="I405" s="62"/>
      <c r="J405" s="62"/>
      <c r="K405" s="62"/>
      <c r="L405" s="62"/>
      <c r="M405" s="62"/>
      <c r="N405" s="186"/>
      <c r="O405" s="152"/>
      <c r="P405" s="90"/>
      <c r="Q405" s="140"/>
      <c r="R405" s="90"/>
      <c r="S405" s="140"/>
      <c r="T405" s="90"/>
      <c r="U405" s="140"/>
      <c r="V405" s="90"/>
      <c r="W405" s="140"/>
      <c r="X405" s="90"/>
      <c r="Y405" s="140"/>
      <c r="Z405" s="90"/>
      <c r="AA405" s="140"/>
      <c r="AB405" s="90"/>
      <c r="AC405" s="140"/>
      <c r="AD405" s="90"/>
      <c r="AE405" s="140"/>
      <c r="AF405" s="137" t="str">
        <f t="shared" si="22"/>
        <v/>
      </c>
      <c r="AG405" s="179" t="b">
        <f t="shared" si="21"/>
        <v>0</v>
      </c>
      <c r="AH405" s="140"/>
      <c r="AI405" s="147" t="s">
        <v>36</v>
      </c>
      <c r="AJ405" s="145">
        <f t="shared" si="20"/>
        <v>0</v>
      </c>
      <c r="AK405" s="148" t="s">
        <v>75</v>
      </c>
    </row>
    <row r="406" spans="1:37" ht="30" customHeight="1">
      <c r="A406" s="62"/>
      <c r="B406" s="62"/>
      <c r="C406" s="62"/>
      <c r="D406" s="62"/>
      <c r="E406" s="62"/>
      <c r="F406" s="62"/>
      <c r="G406" s="62"/>
      <c r="H406" s="62"/>
      <c r="I406" s="62"/>
      <c r="J406" s="62"/>
      <c r="K406" s="62"/>
      <c r="L406" s="62"/>
      <c r="M406" s="62"/>
      <c r="N406" s="186"/>
      <c r="O406" s="152"/>
      <c r="P406" s="90"/>
      <c r="Q406" s="140"/>
      <c r="R406" s="90"/>
      <c r="S406" s="140"/>
      <c r="T406" s="90"/>
      <c r="U406" s="140"/>
      <c r="V406" s="90"/>
      <c r="W406" s="140"/>
      <c r="X406" s="90"/>
      <c r="Y406" s="140"/>
      <c r="Z406" s="90"/>
      <c r="AA406" s="140"/>
      <c r="AB406" s="90"/>
      <c r="AC406" s="140"/>
      <c r="AD406" s="90"/>
      <c r="AE406" s="140"/>
      <c r="AF406" s="137" t="str">
        <f t="shared" si="22"/>
        <v/>
      </c>
      <c r="AG406" s="179" t="b">
        <f t="shared" si="21"/>
        <v>0</v>
      </c>
      <c r="AH406" s="140"/>
      <c r="AI406" s="147" t="s">
        <v>36</v>
      </c>
      <c r="AJ406" s="145">
        <f t="shared" si="20"/>
        <v>0</v>
      </c>
      <c r="AK406" s="148" t="s">
        <v>75</v>
      </c>
    </row>
    <row r="407" spans="1:37" ht="30" customHeight="1">
      <c r="A407" s="62"/>
      <c r="B407" s="62"/>
      <c r="C407" s="62"/>
      <c r="D407" s="62"/>
      <c r="E407" s="62"/>
      <c r="F407" s="62"/>
      <c r="G407" s="62"/>
      <c r="H407" s="62"/>
      <c r="I407" s="62"/>
      <c r="J407" s="62"/>
      <c r="K407" s="62"/>
      <c r="L407" s="62"/>
      <c r="M407" s="62"/>
      <c r="N407" s="186"/>
      <c r="O407" s="152"/>
      <c r="P407" s="90"/>
      <c r="Q407" s="140"/>
      <c r="R407" s="90"/>
      <c r="S407" s="140"/>
      <c r="T407" s="90"/>
      <c r="U407" s="140"/>
      <c r="V407" s="90"/>
      <c r="W407" s="140"/>
      <c r="X407" s="90"/>
      <c r="Y407" s="140"/>
      <c r="Z407" s="90"/>
      <c r="AA407" s="140"/>
      <c r="AB407" s="90"/>
      <c r="AC407" s="140"/>
      <c r="AD407" s="90"/>
      <c r="AE407" s="140"/>
      <c r="AF407" s="137" t="str">
        <f t="shared" si="22"/>
        <v/>
      </c>
      <c r="AG407" s="179" t="b">
        <f t="shared" si="21"/>
        <v>0</v>
      </c>
      <c r="AH407" s="140"/>
      <c r="AI407" s="147" t="s">
        <v>36</v>
      </c>
      <c r="AJ407" s="145">
        <f t="shared" si="20"/>
        <v>0</v>
      </c>
      <c r="AK407" s="148" t="s">
        <v>75</v>
      </c>
    </row>
    <row r="408" spans="1:37" ht="30" customHeight="1">
      <c r="A408" s="62"/>
      <c r="B408" s="62"/>
      <c r="C408" s="62"/>
      <c r="D408" s="62"/>
      <c r="E408" s="62"/>
      <c r="F408" s="62"/>
      <c r="G408" s="62"/>
      <c r="H408" s="62"/>
      <c r="I408" s="62"/>
      <c r="J408" s="62"/>
      <c r="K408" s="62"/>
      <c r="L408" s="62"/>
      <c r="M408" s="62"/>
      <c r="N408" s="186"/>
      <c r="O408" s="152"/>
      <c r="P408" s="90"/>
      <c r="Q408" s="140"/>
      <c r="R408" s="90"/>
      <c r="S408" s="140"/>
      <c r="T408" s="90"/>
      <c r="U408" s="140"/>
      <c r="V408" s="90"/>
      <c r="W408" s="140"/>
      <c r="X408" s="90"/>
      <c r="Y408" s="140"/>
      <c r="Z408" s="90"/>
      <c r="AA408" s="140"/>
      <c r="AB408" s="90"/>
      <c r="AC408" s="140"/>
      <c r="AD408" s="90"/>
      <c r="AE408" s="140"/>
      <c r="AF408" s="137" t="str">
        <f t="shared" si="22"/>
        <v/>
      </c>
      <c r="AG408" s="179" t="b">
        <f t="shared" si="21"/>
        <v>0</v>
      </c>
      <c r="AH408" s="140"/>
      <c r="AI408" s="147" t="s">
        <v>36</v>
      </c>
      <c r="AJ408" s="145">
        <f t="shared" si="20"/>
        <v>0</v>
      </c>
      <c r="AK408" s="148" t="s">
        <v>75</v>
      </c>
    </row>
    <row r="409" spans="1:37" ht="30" customHeight="1">
      <c r="A409" s="62"/>
      <c r="B409" s="62"/>
      <c r="C409" s="62"/>
      <c r="D409" s="62"/>
      <c r="E409" s="62"/>
      <c r="F409" s="62"/>
      <c r="G409" s="62"/>
      <c r="H409" s="62"/>
      <c r="I409" s="62"/>
      <c r="J409" s="62"/>
      <c r="K409" s="62"/>
      <c r="L409" s="62"/>
      <c r="M409" s="62"/>
      <c r="N409" s="186"/>
      <c r="O409" s="152"/>
      <c r="P409" s="90"/>
      <c r="Q409" s="140"/>
      <c r="R409" s="90"/>
      <c r="S409" s="140"/>
      <c r="T409" s="90"/>
      <c r="U409" s="140"/>
      <c r="V409" s="90"/>
      <c r="W409" s="140"/>
      <c r="X409" s="90"/>
      <c r="Y409" s="140"/>
      <c r="Z409" s="90"/>
      <c r="AA409" s="140"/>
      <c r="AB409" s="90"/>
      <c r="AC409" s="140"/>
      <c r="AD409" s="90"/>
      <c r="AE409" s="140"/>
      <c r="AF409" s="137" t="str">
        <f t="shared" si="22"/>
        <v/>
      </c>
      <c r="AG409" s="179" t="b">
        <f t="shared" si="21"/>
        <v>0</v>
      </c>
      <c r="AH409" s="140"/>
      <c r="AI409" s="147" t="s">
        <v>36</v>
      </c>
      <c r="AJ409" s="145">
        <f t="shared" si="20"/>
        <v>0</v>
      </c>
      <c r="AK409" s="148" t="s">
        <v>75</v>
      </c>
    </row>
    <row r="410" spans="1:37" ht="30" customHeight="1">
      <c r="A410" s="62"/>
      <c r="B410" s="62"/>
      <c r="C410" s="62"/>
      <c r="D410" s="62"/>
      <c r="E410" s="62"/>
      <c r="F410" s="62"/>
      <c r="G410" s="62"/>
      <c r="H410" s="62"/>
      <c r="I410" s="62"/>
      <c r="J410" s="62"/>
      <c r="K410" s="62"/>
      <c r="L410" s="62"/>
      <c r="M410" s="62"/>
      <c r="N410" s="186"/>
      <c r="O410" s="152"/>
      <c r="P410" s="90"/>
      <c r="Q410" s="140"/>
      <c r="R410" s="90"/>
      <c r="S410" s="140"/>
      <c r="T410" s="90"/>
      <c r="U410" s="140"/>
      <c r="V410" s="90"/>
      <c r="W410" s="140"/>
      <c r="X410" s="90"/>
      <c r="Y410" s="140"/>
      <c r="Z410" s="90"/>
      <c r="AA410" s="140"/>
      <c r="AB410" s="90"/>
      <c r="AC410" s="140"/>
      <c r="AD410" s="90"/>
      <c r="AE410" s="140"/>
      <c r="AF410" s="137" t="str">
        <f t="shared" si="22"/>
        <v/>
      </c>
      <c r="AG410" s="179" t="b">
        <f t="shared" si="21"/>
        <v>0</v>
      </c>
      <c r="AH410" s="140"/>
      <c r="AI410" s="147" t="s">
        <v>36</v>
      </c>
      <c r="AJ410" s="145">
        <f t="shared" si="20"/>
        <v>0</v>
      </c>
      <c r="AK410" s="148" t="s">
        <v>75</v>
      </c>
    </row>
    <row r="411" spans="1:37" ht="30" customHeight="1">
      <c r="A411" s="62"/>
      <c r="B411" s="62"/>
      <c r="C411" s="62"/>
      <c r="D411" s="62"/>
      <c r="E411" s="62"/>
      <c r="F411" s="62"/>
      <c r="G411" s="62"/>
      <c r="H411" s="62"/>
      <c r="I411" s="62"/>
      <c r="J411" s="62"/>
      <c r="K411" s="62"/>
      <c r="L411" s="62"/>
      <c r="M411" s="62"/>
      <c r="N411" s="186"/>
      <c r="O411" s="152"/>
      <c r="P411" s="90"/>
      <c r="Q411" s="140"/>
      <c r="R411" s="90"/>
      <c r="S411" s="140"/>
      <c r="T411" s="90"/>
      <c r="U411" s="140"/>
      <c r="V411" s="90"/>
      <c r="W411" s="140"/>
      <c r="X411" s="90"/>
      <c r="Y411" s="140"/>
      <c r="Z411" s="90"/>
      <c r="AA411" s="140"/>
      <c r="AB411" s="90"/>
      <c r="AC411" s="140"/>
      <c r="AD411" s="90"/>
      <c r="AE411" s="140"/>
      <c r="AF411" s="137" t="str">
        <f t="shared" si="22"/>
        <v/>
      </c>
      <c r="AG411" s="179" t="b">
        <f t="shared" si="21"/>
        <v>0</v>
      </c>
      <c r="AH411" s="140"/>
      <c r="AI411" s="147" t="s">
        <v>36</v>
      </c>
      <c r="AJ411" s="145">
        <f t="shared" si="20"/>
        <v>0</v>
      </c>
      <c r="AK411" s="148" t="s">
        <v>75</v>
      </c>
    </row>
    <row r="412" spans="1:37" ht="30" customHeight="1">
      <c r="A412" s="62"/>
      <c r="B412" s="62"/>
      <c r="C412" s="62"/>
      <c r="D412" s="62"/>
      <c r="E412" s="62"/>
      <c r="F412" s="62"/>
      <c r="G412" s="62"/>
      <c r="H412" s="62"/>
      <c r="I412" s="62"/>
      <c r="J412" s="62"/>
      <c r="K412" s="62"/>
      <c r="L412" s="62"/>
      <c r="M412" s="62"/>
      <c r="N412" s="186"/>
      <c r="O412" s="152"/>
      <c r="P412" s="90"/>
      <c r="Q412" s="140"/>
      <c r="R412" s="90"/>
      <c r="S412" s="140"/>
      <c r="T412" s="90"/>
      <c r="U412" s="140"/>
      <c r="V412" s="90"/>
      <c r="W412" s="140"/>
      <c r="X412" s="90"/>
      <c r="Y412" s="140"/>
      <c r="Z412" s="90"/>
      <c r="AA412" s="140"/>
      <c r="AB412" s="90"/>
      <c r="AC412" s="140"/>
      <c r="AD412" s="90"/>
      <c r="AE412" s="140"/>
      <c r="AF412" s="137" t="str">
        <f t="shared" si="22"/>
        <v/>
      </c>
      <c r="AG412" s="179" t="b">
        <f t="shared" si="21"/>
        <v>0</v>
      </c>
      <c r="AH412" s="140"/>
      <c r="AI412" s="147" t="s">
        <v>36</v>
      </c>
      <c r="AJ412" s="145">
        <f t="shared" si="20"/>
        <v>0</v>
      </c>
      <c r="AK412" s="148" t="s">
        <v>75</v>
      </c>
    </row>
    <row r="413" spans="1:37" ht="30" customHeight="1">
      <c r="A413" s="62"/>
      <c r="B413" s="62"/>
      <c r="C413" s="62"/>
      <c r="D413" s="62"/>
      <c r="E413" s="62"/>
      <c r="F413" s="62"/>
      <c r="G413" s="62"/>
      <c r="H413" s="62"/>
      <c r="I413" s="62"/>
      <c r="J413" s="62"/>
      <c r="K413" s="62"/>
      <c r="L413" s="62"/>
      <c r="M413" s="62"/>
      <c r="N413" s="186"/>
      <c r="O413" s="152"/>
      <c r="P413" s="90"/>
      <c r="Q413" s="140"/>
      <c r="R413" s="90"/>
      <c r="S413" s="140"/>
      <c r="T413" s="90"/>
      <c r="U413" s="140"/>
      <c r="V413" s="90"/>
      <c r="W413" s="140"/>
      <c r="X413" s="90"/>
      <c r="Y413" s="140"/>
      <c r="Z413" s="90"/>
      <c r="AA413" s="140"/>
      <c r="AB413" s="90"/>
      <c r="AC413" s="140"/>
      <c r="AD413" s="90"/>
      <c r="AE413" s="140"/>
      <c r="AF413" s="137" t="str">
        <f t="shared" si="22"/>
        <v/>
      </c>
      <c r="AG413" s="179" t="b">
        <f t="shared" si="21"/>
        <v>0</v>
      </c>
      <c r="AH413" s="140"/>
      <c r="AI413" s="147" t="s">
        <v>36</v>
      </c>
      <c r="AJ413" s="145">
        <f t="shared" si="20"/>
        <v>0</v>
      </c>
      <c r="AK413" s="148" t="s">
        <v>75</v>
      </c>
    </row>
    <row r="414" spans="1:37" ht="30" customHeight="1">
      <c r="A414" s="62"/>
      <c r="B414" s="62"/>
      <c r="C414" s="62"/>
      <c r="D414" s="62"/>
      <c r="E414" s="62"/>
      <c r="F414" s="62"/>
      <c r="G414" s="62"/>
      <c r="H414" s="62"/>
      <c r="I414" s="62"/>
      <c r="J414" s="62"/>
      <c r="K414" s="62"/>
      <c r="L414" s="62"/>
      <c r="M414" s="62"/>
      <c r="N414" s="186"/>
      <c r="O414" s="152"/>
      <c r="P414" s="90"/>
      <c r="Q414" s="140"/>
      <c r="R414" s="90"/>
      <c r="S414" s="140"/>
      <c r="T414" s="90"/>
      <c r="U414" s="140"/>
      <c r="V414" s="90"/>
      <c r="W414" s="140"/>
      <c r="X414" s="90"/>
      <c r="Y414" s="140"/>
      <c r="Z414" s="90"/>
      <c r="AA414" s="140"/>
      <c r="AB414" s="90"/>
      <c r="AC414" s="140"/>
      <c r="AD414" s="90"/>
      <c r="AE414" s="140"/>
      <c r="AF414" s="137" t="str">
        <f t="shared" si="22"/>
        <v/>
      </c>
      <c r="AG414" s="179" t="b">
        <f t="shared" si="21"/>
        <v>0</v>
      </c>
      <c r="AH414" s="140"/>
      <c r="AI414" s="147" t="s">
        <v>36</v>
      </c>
      <c r="AJ414" s="145">
        <f t="shared" si="20"/>
        <v>0</v>
      </c>
      <c r="AK414" s="148" t="s">
        <v>75</v>
      </c>
    </row>
    <row r="415" spans="1:37" ht="30" customHeight="1">
      <c r="A415" s="62"/>
      <c r="B415" s="62"/>
      <c r="C415" s="62"/>
      <c r="D415" s="62"/>
      <c r="E415" s="62"/>
      <c r="F415" s="62"/>
      <c r="G415" s="62"/>
      <c r="H415" s="62"/>
      <c r="I415" s="62"/>
      <c r="J415" s="62"/>
      <c r="K415" s="62"/>
      <c r="L415" s="62"/>
      <c r="M415" s="62"/>
      <c r="N415" s="186"/>
      <c r="O415" s="152"/>
      <c r="P415" s="90"/>
      <c r="Q415" s="140"/>
      <c r="R415" s="90"/>
      <c r="S415" s="140"/>
      <c r="T415" s="90"/>
      <c r="U415" s="140"/>
      <c r="V415" s="90"/>
      <c r="W415" s="140"/>
      <c r="X415" s="90"/>
      <c r="Y415" s="140"/>
      <c r="Z415" s="90"/>
      <c r="AA415" s="140"/>
      <c r="AB415" s="90"/>
      <c r="AC415" s="140"/>
      <c r="AD415" s="90"/>
      <c r="AE415" s="140"/>
      <c r="AF415" s="137" t="str">
        <f t="shared" si="22"/>
        <v/>
      </c>
      <c r="AG415" s="179" t="b">
        <f t="shared" si="21"/>
        <v>0</v>
      </c>
      <c r="AH415" s="140"/>
      <c r="AI415" s="147" t="s">
        <v>36</v>
      </c>
      <c r="AJ415" s="145">
        <f t="shared" si="20"/>
        <v>0</v>
      </c>
      <c r="AK415" s="148" t="s">
        <v>75</v>
      </c>
    </row>
    <row r="416" spans="1:37" ht="30" customHeight="1">
      <c r="A416" s="62"/>
      <c r="B416" s="62"/>
      <c r="C416" s="62"/>
      <c r="D416" s="62"/>
      <c r="E416" s="62"/>
      <c r="F416" s="62"/>
      <c r="G416" s="62"/>
      <c r="H416" s="62"/>
      <c r="I416" s="62"/>
      <c r="J416" s="62"/>
      <c r="K416" s="62"/>
      <c r="L416" s="62"/>
      <c r="M416" s="62"/>
      <c r="N416" s="186"/>
      <c r="O416" s="152"/>
      <c r="P416" s="90"/>
      <c r="Q416" s="140"/>
      <c r="R416" s="90"/>
      <c r="S416" s="140"/>
      <c r="T416" s="90"/>
      <c r="U416" s="140"/>
      <c r="V416" s="90"/>
      <c r="W416" s="140"/>
      <c r="X416" s="90"/>
      <c r="Y416" s="140"/>
      <c r="Z416" s="90"/>
      <c r="AA416" s="140"/>
      <c r="AB416" s="90"/>
      <c r="AC416" s="140"/>
      <c r="AD416" s="90"/>
      <c r="AE416" s="140"/>
      <c r="AF416" s="137" t="str">
        <f t="shared" si="22"/>
        <v/>
      </c>
      <c r="AG416" s="179" t="b">
        <f t="shared" si="21"/>
        <v>0</v>
      </c>
      <c r="AH416" s="140"/>
      <c r="AI416" s="147" t="s">
        <v>36</v>
      </c>
      <c r="AJ416" s="145">
        <f t="shared" ref="AJ416:AJ479" si="23">E416</f>
        <v>0</v>
      </c>
      <c r="AK416" s="148" t="s">
        <v>75</v>
      </c>
    </row>
    <row r="417" spans="1:37" ht="30" customHeight="1">
      <c r="A417" s="62"/>
      <c r="B417" s="62"/>
      <c r="C417" s="62"/>
      <c r="D417" s="62"/>
      <c r="E417" s="62"/>
      <c r="F417" s="62"/>
      <c r="G417" s="62"/>
      <c r="H417" s="62"/>
      <c r="I417" s="62"/>
      <c r="J417" s="62"/>
      <c r="K417" s="62"/>
      <c r="L417" s="62"/>
      <c r="M417" s="62"/>
      <c r="N417" s="186"/>
      <c r="O417" s="152"/>
      <c r="P417" s="90"/>
      <c r="Q417" s="140"/>
      <c r="R417" s="90"/>
      <c r="S417" s="140"/>
      <c r="T417" s="90"/>
      <c r="U417" s="140"/>
      <c r="V417" s="90"/>
      <c r="W417" s="140"/>
      <c r="X417" s="90"/>
      <c r="Y417" s="140"/>
      <c r="Z417" s="90"/>
      <c r="AA417" s="140"/>
      <c r="AB417" s="90"/>
      <c r="AC417" s="140"/>
      <c r="AD417" s="90"/>
      <c r="AE417" s="140"/>
      <c r="AF417" s="137" t="str">
        <f t="shared" si="22"/>
        <v/>
      </c>
      <c r="AG417" s="179" t="b">
        <f t="shared" si="21"/>
        <v>0</v>
      </c>
      <c r="AH417" s="140"/>
      <c r="AI417" s="147" t="s">
        <v>36</v>
      </c>
      <c r="AJ417" s="145">
        <f t="shared" si="23"/>
        <v>0</v>
      </c>
      <c r="AK417" s="148" t="s">
        <v>75</v>
      </c>
    </row>
    <row r="418" spans="1:37" ht="30" customHeight="1">
      <c r="A418" s="62"/>
      <c r="B418" s="62"/>
      <c r="C418" s="62"/>
      <c r="D418" s="62"/>
      <c r="E418" s="62"/>
      <c r="F418" s="62"/>
      <c r="G418" s="62"/>
      <c r="H418" s="62"/>
      <c r="I418" s="62"/>
      <c r="J418" s="62"/>
      <c r="K418" s="62"/>
      <c r="L418" s="62"/>
      <c r="M418" s="62"/>
      <c r="N418" s="186"/>
      <c r="O418" s="152"/>
      <c r="P418" s="90"/>
      <c r="Q418" s="140"/>
      <c r="R418" s="90"/>
      <c r="S418" s="140"/>
      <c r="T418" s="90"/>
      <c r="U418" s="140"/>
      <c r="V418" s="90"/>
      <c r="W418" s="140"/>
      <c r="X418" s="90"/>
      <c r="Y418" s="140"/>
      <c r="Z418" s="90"/>
      <c r="AA418" s="140"/>
      <c r="AB418" s="90"/>
      <c r="AC418" s="140"/>
      <c r="AD418" s="90"/>
      <c r="AE418" s="140"/>
      <c r="AF418" s="137" t="str">
        <f t="shared" si="22"/>
        <v/>
      </c>
      <c r="AG418" s="179" t="b">
        <f t="shared" si="21"/>
        <v>0</v>
      </c>
      <c r="AH418" s="140"/>
      <c r="AI418" s="147" t="s">
        <v>36</v>
      </c>
      <c r="AJ418" s="145">
        <f t="shared" si="23"/>
        <v>0</v>
      </c>
      <c r="AK418" s="148" t="s">
        <v>75</v>
      </c>
    </row>
    <row r="419" spans="1:37" ht="30" customHeight="1">
      <c r="A419" s="62"/>
      <c r="B419" s="62"/>
      <c r="C419" s="62"/>
      <c r="D419" s="62"/>
      <c r="E419" s="62"/>
      <c r="F419" s="62"/>
      <c r="G419" s="62"/>
      <c r="H419" s="62"/>
      <c r="I419" s="62"/>
      <c r="J419" s="62"/>
      <c r="K419" s="62"/>
      <c r="L419" s="62"/>
      <c r="M419" s="62"/>
      <c r="N419" s="186"/>
      <c r="O419" s="152"/>
      <c r="P419" s="90"/>
      <c r="Q419" s="140"/>
      <c r="R419" s="90"/>
      <c r="S419" s="140"/>
      <c r="T419" s="90"/>
      <c r="U419" s="140"/>
      <c r="V419" s="90"/>
      <c r="W419" s="140"/>
      <c r="X419" s="90"/>
      <c r="Y419" s="140"/>
      <c r="Z419" s="90"/>
      <c r="AA419" s="140"/>
      <c r="AB419" s="90"/>
      <c r="AC419" s="140"/>
      <c r="AD419" s="90"/>
      <c r="AE419" s="140"/>
      <c r="AF419" s="137" t="str">
        <f t="shared" si="22"/>
        <v/>
      </c>
      <c r="AG419" s="179" t="b">
        <f t="shared" si="21"/>
        <v>0</v>
      </c>
      <c r="AH419" s="140"/>
      <c r="AI419" s="147" t="s">
        <v>36</v>
      </c>
      <c r="AJ419" s="145">
        <f t="shared" si="23"/>
        <v>0</v>
      </c>
      <c r="AK419" s="148" t="s">
        <v>75</v>
      </c>
    </row>
    <row r="420" spans="1:37" ht="30" customHeight="1">
      <c r="A420" s="62"/>
      <c r="B420" s="62"/>
      <c r="C420" s="62"/>
      <c r="D420" s="62"/>
      <c r="E420" s="62"/>
      <c r="F420" s="62"/>
      <c r="G420" s="62"/>
      <c r="H420" s="62"/>
      <c r="I420" s="62"/>
      <c r="J420" s="62"/>
      <c r="K420" s="62"/>
      <c r="L420" s="62"/>
      <c r="M420" s="62"/>
      <c r="N420" s="186"/>
      <c r="O420" s="152"/>
      <c r="P420" s="90"/>
      <c r="Q420" s="140"/>
      <c r="R420" s="90"/>
      <c r="S420" s="140"/>
      <c r="T420" s="90"/>
      <c r="U420" s="140"/>
      <c r="V420" s="90"/>
      <c r="W420" s="140"/>
      <c r="X420" s="90"/>
      <c r="Y420" s="140"/>
      <c r="Z420" s="90"/>
      <c r="AA420" s="140"/>
      <c r="AB420" s="90"/>
      <c r="AC420" s="140"/>
      <c r="AD420" s="90"/>
      <c r="AE420" s="140"/>
      <c r="AF420" s="137" t="str">
        <f t="shared" si="22"/>
        <v/>
      </c>
      <c r="AG420" s="179" t="b">
        <f t="shared" si="21"/>
        <v>0</v>
      </c>
      <c r="AH420" s="140"/>
      <c r="AI420" s="147" t="s">
        <v>36</v>
      </c>
      <c r="AJ420" s="145">
        <f t="shared" si="23"/>
        <v>0</v>
      </c>
      <c r="AK420" s="148" t="s">
        <v>75</v>
      </c>
    </row>
    <row r="421" spans="1:37" ht="30" customHeight="1">
      <c r="A421" s="62"/>
      <c r="B421" s="62"/>
      <c r="C421" s="62"/>
      <c r="D421" s="62"/>
      <c r="E421" s="62"/>
      <c r="F421" s="62"/>
      <c r="G421" s="62"/>
      <c r="H421" s="62"/>
      <c r="I421" s="62"/>
      <c r="J421" s="62"/>
      <c r="K421" s="62"/>
      <c r="L421" s="62"/>
      <c r="M421" s="62"/>
      <c r="N421" s="186"/>
      <c r="O421" s="152"/>
      <c r="P421" s="90"/>
      <c r="Q421" s="140"/>
      <c r="R421" s="90"/>
      <c r="S421" s="140"/>
      <c r="T421" s="90"/>
      <c r="U421" s="140"/>
      <c r="V421" s="90"/>
      <c r="W421" s="140"/>
      <c r="X421" s="90"/>
      <c r="Y421" s="140"/>
      <c r="Z421" s="90"/>
      <c r="AA421" s="140"/>
      <c r="AB421" s="90"/>
      <c r="AC421" s="140"/>
      <c r="AD421" s="90"/>
      <c r="AE421" s="140"/>
      <c r="AF421" s="137" t="str">
        <f t="shared" si="22"/>
        <v/>
      </c>
      <c r="AG421" s="179" t="b">
        <f t="shared" si="21"/>
        <v>0</v>
      </c>
      <c r="AH421" s="140"/>
      <c r="AI421" s="147" t="s">
        <v>36</v>
      </c>
      <c r="AJ421" s="145">
        <f t="shared" si="23"/>
        <v>0</v>
      </c>
      <c r="AK421" s="148" t="s">
        <v>75</v>
      </c>
    </row>
    <row r="422" spans="1:37" ht="30" customHeight="1">
      <c r="A422" s="62"/>
      <c r="B422" s="62"/>
      <c r="C422" s="62"/>
      <c r="D422" s="62"/>
      <c r="E422" s="62"/>
      <c r="F422" s="62"/>
      <c r="G422" s="62"/>
      <c r="H422" s="62"/>
      <c r="I422" s="62"/>
      <c r="J422" s="62"/>
      <c r="K422" s="62"/>
      <c r="L422" s="62"/>
      <c r="M422" s="62"/>
      <c r="N422" s="186"/>
      <c r="O422" s="152"/>
      <c r="P422" s="90"/>
      <c r="Q422" s="140"/>
      <c r="R422" s="90"/>
      <c r="S422" s="140"/>
      <c r="T422" s="90"/>
      <c r="U422" s="140"/>
      <c r="V422" s="90"/>
      <c r="W422" s="140"/>
      <c r="X422" s="90"/>
      <c r="Y422" s="140"/>
      <c r="Z422" s="90"/>
      <c r="AA422" s="140"/>
      <c r="AB422" s="90"/>
      <c r="AC422" s="140"/>
      <c r="AD422" s="90"/>
      <c r="AE422" s="140"/>
      <c r="AF422" s="137" t="str">
        <f t="shared" si="22"/>
        <v/>
      </c>
      <c r="AG422" s="179" t="b">
        <f t="shared" si="21"/>
        <v>0</v>
      </c>
      <c r="AH422" s="140"/>
      <c r="AI422" s="147" t="s">
        <v>36</v>
      </c>
      <c r="AJ422" s="145">
        <f t="shared" si="23"/>
        <v>0</v>
      </c>
      <c r="AK422" s="148" t="s">
        <v>75</v>
      </c>
    </row>
    <row r="423" spans="1:37" ht="30" customHeight="1">
      <c r="A423" s="62"/>
      <c r="B423" s="62"/>
      <c r="C423" s="62"/>
      <c r="D423" s="62"/>
      <c r="E423" s="62"/>
      <c r="F423" s="62"/>
      <c r="G423" s="62"/>
      <c r="H423" s="62"/>
      <c r="I423" s="62"/>
      <c r="J423" s="62"/>
      <c r="K423" s="62"/>
      <c r="L423" s="62"/>
      <c r="M423" s="62"/>
      <c r="N423" s="186"/>
      <c r="O423" s="152"/>
      <c r="P423" s="90"/>
      <c r="Q423" s="140"/>
      <c r="R423" s="90"/>
      <c r="S423" s="140"/>
      <c r="T423" s="90"/>
      <c r="U423" s="140"/>
      <c r="V423" s="90"/>
      <c r="W423" s="140"/>
      <c r="X423" s="90"/>
      <c r="Y423" s="140"/>
      <c r="Z423" s="90"/>
      <c r="AA423" s="140"/>
      <c r="AB423" s="90"/>
      <c r="AC423" s="140"/>
      <c r="AD423" s="90"/>
      <c r="AE423" s="140"/>
      <c r="AF423" s="137" t="str">
        <f t="shared" si="22"/>
        <v/>
      </c>
      <c r="AG423" s="179" t="b">
        <f t="shared" si="21"/>
        <v>0</v>
      </c>
      <c r="AH423" s="140"/>
      <c r="AI423" s="147" t="s">
        <v>36</v>
      </c>
      <c r="AJ423" s="145">
        <f t="shared" si="23"/>
        <v>0</v>
      </c>
      <c r="AK423" s="148" t="s">
        <v>75</v>
      </c>
    </row>
    <row r="424" spans="1:37" ht="30" customHeight="1">
      <c r="A424" s="62"/>
      <c r="B424" s="62"/>
      <c r="C424" s="62"/>
      <c r="D424" s="62"/>
      <c r="E424" s="62"/>
      <c r="F424" s="62"/>
      <c r="G424" s="62"/>
      <c r="H424" s="62"/>
      <c r="I424" s="62"/>
      <c r="J424" s="62"/>
      <c r="K424" s="62"/>
      <c r="L424" s="62"/>
      <c r="M424" s="62"/>
      <c r="N424" s="186"/>
      <c r="O424" s="152"/>
      <c r="P424" s="90"/>
      <c r="Q424" s="140"/>
      <c r="R424" s="90"/>
      <c r="S424" s="140"/>
      <c r="T424" s="90"/>
      <c r="U424" s="140"/>
      <c r="V424" s="90"/>
      <c r="W424" s="140"/>
      <c r="X424" s="90"/>
      <c r="Y424" s="140"/>
      <c r="Z424" s="90"/>
      <c r="AA424" s="140"/>
      <c r="AB424" s="90"/>
      <c r="AC424" s="140"/>
      <c r="AD424" s="90"/>
      <c r="AE424" s="140"/>
      <c r="AF424" s="137" t="str">
        <f t="shared" si="22"/>
        <v/>
      </c>
      <c r="AG424" s="179" t="b">
        <f t="shared" si="21"/>
        <v>0</v>
      </c>
      <c r="AH424" s="140"/>
      <c r="AI424" s="147" t="s">
        <v>36</v>
      </c>
      <c r="AJ424" s="145">
        <f t="shared" si="23"/>
        <v>0</v>
      </c>
      <c r="AK424" s="148" t="s">
        <v>75</v>
      </c>
    </row>
    <row r="425" spans="1:37" ht="30" customHeight="1">
      <c r="A425" s="62"/>
      <c r="B425" s="62"/>
      <c r="C425" s="62"/>
      <c r="D425" s="62"/>
      <c r="E425" s="62"/>
      <c r="F425" s="62"/>
      <c r="G425" s="62"/>
      <c r="H425" s="62"/>
      <c r="I425" s="62"/>
      <c r="J425" s="62"/>
      <c r="K425" s="62"/>
      <c r="L425" s="62"/>
      <c r="M425" s="62"/>
      <c r="N425" s="186"/>
      <c r="O425" s="152"/>
      <c r="P425" s="90"/>
      <c r="Q425" s="140"/>
      <c r="R425" s="90"/>
      <c r="S425" s="140"/>
      <c r="T425" s="90"/>
      <c r="U425" s="140"/>
      <c r="V425" s="90"/>
      <c r="W425" s="140"/>
      <c r="X425" s="90"/>
      <c r="Y425" s="140"/>
      <c r="Z425" s="90"/>
      <c r="AA425" s="140"/>
      <c r="AB425" s="90"/>
      <c r="AC425" s="140"/>
      <c r="AD425" s="90"/>
      <c r="AE425" s="140"/>
      <c r="AF425" s="137" t="str">
        <f t="shared" si="22"/>
        <v/>
      </c>
      <c r="AG425" s="179" t="b">
        <f t="shared" si="21"/>
        <v>0</v>
      </c>
      <c r="AH425" s="140"/>
      <c r="AI425" s="147" t="s">
        <v>36</v>
      </c>
      <c r="AJ425" s="145">
        <f t="shared" si="23"/>
        <v>0</v>
      </c>
      <c r="AK425" s="148" t="s">
        <v>75</v>
      </c>
    </row>
    <row r="426" spans="1:37" ht="30" customHeight="1">
      <c r="A426" s="62"/>
      <c r="B426" s="62"/>
      <c r="C426" s="62"/>
      <c r="D426" s="62"/>
      <c r="E426" s="62"/>
      <c r="F426" s="62"/>
      <c r="G426" s="62"/>
      <c r="H426" s="62"/>
      <c r="I426" s="62"/>
      <c r="J426" s="62"/>
      <c r="K426" s="62"/>
      <c r="L426" s="62"/>
      <c r="M426" s="62"/>
      <c r="N426" s="186"/>
      <c r="O426" s="152"/>
      <c r="P426" s="90"/>
      <c r="Q426" s="140"/>
      <c r="R426" s="90"/>
      <c r="S426" s="140"/>
      <c r="T426" s="90"/>
      <c r="U426" s="140"/>
      <c r="V426" s="90"/>
      <c r="W426" s="140"/>
      <c r="X426" s="90"/>
      <c r="Y426" s="140"/>
      <c r="Z426" s="90"/>
      <c r="AA426" s="140"/>
      <c r="AB426" s="90"/>
      <c r="AC426" s="140"/>
      <c r="AD426" s="90"/>
      <c r="AE426" s="140"/>
      <c r="AF426" s="137" t="str">
        <f t="shared" si="22"/>
        <v/>
      </c>
      <c r="AG426" s="179" t="b">
        <f t="shared" si="21"/>
        <v>0</v>
      </c>
      <c r="AH426" s="140"/>
      <c r="AI426" s="147" t="s">
        <v>36</v>
      </c>
      <c r="AJ426" s="145">
        <f t="shared" si="23"/>
        <v>0</v>
      </c>
      <c r="AK426" s="148" t="s">
        <v>75</v>
      </c>
    </row>
    <row r="427" spans="1:37" ht="30" customHeight="1">
      <c r="A427" s="62"/>
      <c r="B427" s="62"/>
      <c r="C427" s="62"/>
      <c r="D427" s="62"/>
      <c r="E427" s="62"/>
      <c r="F427" s="62"/>
      <c r="G427" s="62"/>
      <c r="H427" s="62"/>
      <c r="I427" s="62"/>
      <c r="J427" s="62"/>
      <c r="K427" s="62"/>
      <c r="L427" s="62"/>
      <c r="M427" s="62"/>
      <c r="N427" s="186"/>
      <c r="O427" s="152"/>
      <c r="P427" s="90"/>
      <c r="Q427" s="140"/>
      <c r="R427" s="90"/>
      <c r="S427" s="140"/>
      <c r="T427" s="90"/>
      <c r="U427" s="140"/>
      <c r="V427" s="90"/>
      <c r="W427" s="140"/>
      <c r="X427" s="90"/>
      <c r="Y427" s="140"/>
      <c r="Z427" s="90"/>
      <c r="AA427" s="140"/>
      <c r="AB427" s="90"/>
      <c r="AC427" s="140"/>
      <c r="AD427" s="90"/>
      <c r="AE427" s="140"/>
      <c r="AF427" s="137" t="str">
        <f t="shared" si="22"/>
        <v/>
      </c>
      <c r="AG427" s="179" t="b">
        <f t="shared" si="21"/>
        <v>0</v>
      </c>
      <c r="AH427" s="140"/>
      <c r="AI427" s="147" t="s">
        <v>36</v>
      </c>
      <c r="AJ427" s="145">
        <f t="shared" si="23"/>
        <v>0</v>
      </c>
      <c r="AK427" s="148" t="s">
        <v>75</v>
      </c>
    </row>
    <row r="428" spans="1:37" ht="30" customHeight="1">
      <c r="A428" s="62"/>
      <c r="B428" s="62"/>
      <c r="C428" s="62"/>
      <c r="D428" s="62"/>
      <c r="E428" s="62"/>
      <c r="F428" s="62"/>
      <c r="G428" s="62"/>
      <c r="H428" s="62"/>
      <c r="I428" s="62"/>
      <c r="J428" s="62"/>
      <c r="K428" s="62"/>
      <c r="L428" s="62"/>
      <c r="M428" s="62"/>
      <c r="N428" s="186"/>
      <c r="O428" s="152"/>
      <c r="P428" s="90"/>
      <c r="Q428" s="140"/>
      <c r="R428" s="90"/>
      <c r="S428" s="140"/>
      <c r="T428" s="90"/>
      <c r="U428" s="140"/>
      <c r="V428" s="90"/>
      <c r="W428" s="140"/>
      <c r="X428" s="90"/>
      <c r="Y428" s="140"/>
      <c r="Z428" s="90"/>
      <c r="AA428" s="140"/>
      <c r="AB428" s="90"/>
      <c r="AC428" s="140"/>
      <c r="AD428" s="90"/>
      <c r="AE428" s="140"/>
      <c r="AF428" s="137" t="str">
        <f t="shared" si="22"/>
        <v/>
      </c>
      <c r="AG428" s="179" t="b">
        <f t="shared" si="21"/>
        <v>0</v>
      </c>
      <c r="AH428" s="140"/>
      <c r="AI428" s="147" t="s">
        <v>36</v>
      </c>
      <c r="AJ428" s="145">
        <f t="shared" si="23"/>
        <v>0</v>
      </c>
      <c r="AK428" s="148" t="s">
        <v>75</v>
      </c>
    </row>
    <row r="429" spans="1:37" ht="30" customHeight="1">
      <c r="A429" s="62"/>
      <c r="B429" s="62"/>
      <c r="C429" s="62"/>
      <c r="D429" s="62"/>
      <c r="E429" s="62"/>
      <c r="F429" s="62"/>
      <c r="G429" s="62"/>
      <c r="H429" s="62"/>
      <c r="I429" s="62"/>
      <c r="J429" s="62"/>
      <c r="K429" s="62"/>
      <c r="L429" s="62"/>
      <c r="M429" s="62"/>
      <c r="N429" s="186"/>
      <c r="O429" s="152"/>
      <c r="P429" s="90"/>
      <c r="Q429" s="140"/>
      <c r="R429" s="90"/>
      <c r="S429" s="140"/>
      <c r="T429" s="90"/>
      <c r="U429" s="140"/>
      <c r="V429" s="90"/>
      <c r="W429" s="140"/>
      <c r="X429" s="90"/>
      <c r="Y429" s="140"/>
      <c r="Z429" s="90"/>
      <c r="AA429" s="140"/>
      <c r="AB429" s="90"/>
      <c r="AC429" s="140"/>
      <c r="AD429" s="90"/>
      <c r="AE429" s="140"/>
      <c r="AF429" s="137" t="str">
        <f t="shared" si="22"/>
        <v/>
      </c>
      <c r="AG429" s="179" t="b">
        <f t="shared" si="21"/>
        <v>0</v>
      </c>
      <c r="AH429" s="140"/>
      <c r="AI429" s="147" t="s">
        <v>36</v>
      </c>
      <c r="AJ429" s="145">
        <f t="shared" si="23"/>
        <v>0</v>
      </c>
      <c r="AK429" s="148" t="s">
        <v>75</v>
      </c>
    </row>
    <row r="430" spans="1:37" ht="30" customHeight="1">
      <c r="A430" s="62"/>
      <c r="B430" s="62"/>
      <c r="C430" s="62"/>
      <c r="D430" s="62"/>
      <c r="E430" s="62"/>
      <c r="F430" s="62"/>
      <c r="G430" s="62"/>
      <c r="H430" s="62"/>
      <c r="I430" s="62"/>
      <c r="J430" s="62"/>
      <c r="K430" s="62"/>
      <c r="L430" s="62"/>
      <c r="M430" s="62"/>
      <c r="N430" s="186"/>
      <c r="O430" s="152"/>
      <c r="P430" s="90"/>
      <c r="Q430" s="140"/>
      <c r="R430" s="90"/>
      <c r="S430" s="140"/>
      <c r="T430" s="90"/>
      <c r="U430" s="140"/>
      <c r="V430" s="90"/>
      <c r="W430" s="140"/>
      <c r="X430" s="90"/>
      <c r="Y430" s="140"/>
      <c r="Z430" s="90"/>
      <c r="AA430" s="140"/>
      <c r="AB430" s="90"/>
      <c r="AC430" s="140"/>
      <c r="AD430" s="90"/>
      <c r="AE430" s="140"/>
      <c r="AF430" s="137" t="str">
        <f t="shared" si="22"/>
        <v/>
      </c>
      <c r="AG430" s="179" t="b">
        <f t="shared" si="21"/>
        <v>0</v>
      </c>
      <c r="AH430" s="140"/>
      <c r="AI430" s="147" t="s">
        <v>36</v>
      </c>
      <c r="AJ430" s="145">
        <f t="shared" si="23"/>
        <v>0</v>
      </c>
      <c r="AK430" s="148" t="s">
        <v>75</v>
      </c>
    </row>
    <row r="431" spans="1:37" ht="30" customHeight="1">
      <c r="A431" s="62"/>
      <c r="B431" s="62"/>
      <c r="C431" s="62"/>
      <c r="D431" s="62"/>
      <c r="E431" s="62"/>
      <c r="F431" s="62"/>
      <c r="G431" s="62"/>
      <c r="H431" s="62"/>
      <c r="I431" s="62"/>
      <c r="J431" s="62"/>
      <c r="K431" s="62"/>
      <c r="L431" s="62"/>
      <c r="M431" s="62"/>
      <c r="N431" s="186"/>
      <c r="O431" s="152"/>
      <c r="P431" s="90"/>
      <c r="Q431" s="140"/>
      <c r="R431" s="90"/>
      <c r="S431" s="140"/>
      <c r="T431" s="90"/>
      <c r="U431" s="140"/>
      <c r="V431" s="90"/>
      <c r="W431" s="140"/>
      <c r="X431" s="90"/>
      <c r="Y431" s="140"/>
      <c r="Z431" s="90"/>
      <c r="AA431" s="140"/>
      <c r="AB431" s="90"/>
      <c r="AC431" s="140"/>
      <c r="AD431" s="90"/>
      <c r="AE431" s="140"/>
      <c r="AF431" s="137" t="str">
        <f t="shared" si="22"/>
        <v/>
      </c>
      <c r="AG431" s="179" t="b">
        <f t="shared" si="21"/>
        <v>0</v>
      </c>
      <c r="AH431" s="140"/>
      <c r="AI431" s="147" t="s">
        <v>36</v>
      </c>
      <c r="AJ431" s="145">
        <f t="shared" si="23"/>
        <v>0</v>
      </c>
      <c r="AK431" s="148" t="s">
        <v>75</v>
      </c>
    </row>
    <row r="432" spans="1:37" ht="30" customHeight="1">
      <c r="A432" s="62"/>
      <c r="B432" s="62"/>
      <c r="C432" s="62"/>
      <c r="D432" s="62"/>
      <c r="E432" s="62"/>
      <c r="F432" s="62"/>
      <c r="G432" s="62"/>
      <c r="H432" s="62"/>
      <c r="I432" s="62"/>
      <c r="J432" s="62"/>
      <c r="K432" s="62"/>
      <c r="L432" s="62"/>
      <c r="M432" s="62"/>
      <c r="N432" s="186"/>
      <c r="O432" s="152"/>
      <c r="P432" s="90"/>
      <c r="Q432" s="140"/>
      <c r="R432" s="90"/>
      <c r="S432" s="140"/>
      <c r="T432" s="90"/>
      <c r="U432" s="140"/>
      <c r="V432" s="90"/>
      <c r="W432" s="140"/>
      <c r="X432" s="90"/>
      <c r="Y432" s="140"/>
      <c r="Z432" s="90"/>
      <c r="AA432" s="140"/>
      <c r="AB432" s="90"/>
      <c r="AC432" s="140"/>
      <c r="AD432" s="90"/>
      <c r="AE432" s="140"/>
      <c r="AF432" s="137" t="str">
        <f t="shared" si="22"/>
        <v/>
      </c>
      <c r="AG432" s="179" t="b">
        <f t="shared" si="21"/>
        <v>0</v>
      </c>
      <c r="AH432" s="140"/>
      <c r="AI432" s="147" t="s">
        <v>36</v>
      </c>
      <c r="AJ432" s="145">
        <f t="shared" si="23"/>
        <v>0</v>
      </c>
      <c r="AK432" s="148" t="s">
        <v>75</v>
      </c>
    </row>
    <row r="433" spans="1:37" ht="30" customHeight="1">
      <c r="A433" s="62"/>
      <c r="B433" s="62"/>
      <c r="C433" s="62"/>
      <c r="D433" s="62"/>
      <c r="E433" s="62"/>
      <c r="F433" s="62"/>
      <c r="G433" s="62"/>
      <c r="H433" s="62"/>
      <c r="I433" s="62"/>
      <c r="J433" s="62"/>
      <c r="K433" s="62"/>
      <c r="L433" s="62"/>
      <c r="M433" s="62"/>
      <c r="N433" s="186"/>
      <c r="O433" s="152"/>
      <c r="P433" s="90"/>
      <c r="Q433" s="140"/>
      <c r="R433" s="90"/>
      <c r="S433" s="140"/>
      <c r="T433" s="90"/>
      <c r="U433" s="140"/>
      <c r="V433" s="90"/>
      <c r="W433" s="140"/>
      <c r="X433" s="90"/>
      <c r="Y433" s="140"/>
      <c r="Z433" s="90"/>
      <c r="AA433" s="140"/>
      <c r="AB433" s="90"/>
      <c r="AC433" s="140"/>
      <c r="AD433" s="90"/>
      <c r="AE433" s="140"/>
      <c r="AF433" s="137" t="str">
        <f t="shared" si="22"/>
        <v/>
      </c>
      <c r="AG433" s="179" t="b">
        <f t="shared" si="21"/>
        <v>0</v>
      </c>
      <c r="AH433" s="140"/>
      <c r="AI433" s="147" t="s">
        <v>36</v>
      </c>
      <c r="AJ433" s="145">
        <f t="shared" si="23"/>
        <v>0</v>
      </c>
      <c r="AK433" s="148" t="s">
        <v>75</v>
      </c>
    </row>
    <row r="434" spans="1:37" ht="30" customHeight="1">
      <c r="A434" s="62"/>
      <c r="B434" s="62"/>
      <c r="C434" s="62"/>
      <c r="D434" s="62"/>
      <c r="E434" s="62"/>
      <c r="F434" s="62"/>
      <c r="G434" s="62"/>
      <c r="H434" s="62"/>
      <c r="I434" s="62"/>
      <c r="J434" s="62"/>
      <c r="K434" s="62"/>
      <c r="L434" s="62"/>
      <c r="M434" s="62"/>
      <c r="N434" s="186"/>
      <c r="O434" s="152"/>
      <c r="P434" s="90"/>
      <c r="Q434" s="140"/>
      <c r="R434" s="90"/>
      <c r="S434" s="140"/>
      <c r="T434" s="90"/>
      <c r="U434" s="140"/>
      <c r="V434" s="90"/>
      <c r="W434" s="140"/>
      <c r="X434" s="90"/>
      <c r="Y434" s="140"/>
      <c r="Z434" s="90"/>
      <c r="AA434" s="140"/>
      <c r="AB434" s="90"/>
      <c r="AC434" s="140"/>
      <c r="AD434" s="90"/>
      <c r="AE434" s="140"/>
      <c r="AF434" s="137" t="str">
        <f t="shared" si="22"/>
        <v/>
      </c>
      <c r="AG434" s="179" t="b">
        <f t="shared" si="21"/>
        <v>0</v>
      </c>
      <c r="AH434" s="140"/>
      <c r="AI434" s="147" t="s">
        <v>36</v>
      </c>
      <c r="AJ434" s="145">
        <f t="shared" si="23"/>
        <v>0</v>
      </c>
      <c r="AK434" s="148" t="s">
        <v>75</v>
      </c>
    </row>
    <row r="435" spans="1:37" ht="30" customHeight="1">
      <c r="A435" s="62"/>
      <c r="B435" s="62"/>
      <c r="C435" s="62"/>
      <c r="D435" s="62"/>
      <c r="E435" s="62"/>
      <c r="F435" s="62"/>
      <c r="G435" s="62"/>
      <c r="H435" s="62"/>
      <c r="I435" s="62"/>
      <c r="J435" s="62"/>
      <c r="K435" s="62"/>
      <c r="L435" s="62"/>
      <c r="M435" s="62"/>
      <c r="N435" s="186"/>
      <c r="O435" s="152"/>
      <c r="P435" s="90"/>
      <c r="Q435" s="140"/>
      <c r="R435" s="90"/>
      <c r="S435" s="140"/>
      <c r="T435" s="90"/>
      <c r="U435" s="140"/>
      <c r="V435" s="90"/>
      <c r="W435" s="140"/>
      <c r="X435" s="90"/>
      <c r="Y435" s="140"/>
      <c r="Z435" s="90"/>
      <c r="AA435" s="140"/>
      <c r="AB435" s="90"/>
      <c r="AC435" s="140"/>
      <c r="AD435" s="90"/>
      <c r="AE435" s="140"/>
      <c r="AF435" s="137" t="str">
        <f t="shared" si="22"/>
        <v/>
      </c>
      <c r="AG435" s="179" t="b">
        <f t="shared" si="21"/>
        <v>0</v>
      </c>
      <c r="AH435" s="140"/>
      <c r="AI435" s="147" t="s">
        <v>36</v>
      </c>
      <c r="AJ435" s="145">
        <f t="shared" si="23"/>
        <v>0</v>
      </c>
      <c r="AK435" s="148" t="s">
        <v>75</v>
      </c>
    </row>
    <row r="436" spans="1:37" ht="30" customHeight="1">
      <c r="A436" s="62"/>
      <c r="B436" s="62"/>
      <c r="C436" s="62"/>
      <c r="D436" s="62"/>
      <c r="E436" s="62"/>
      <c r="F436" s="62"/>
      <c r="G436" s="62"/>
      <c r="H436" s="62"/>
      <c r="I436" s="62"/>
      <c r="J436" s="62"/>
      <c r="K436" s="62"/>
      <c r="L436" s="62"/>
      <c r="M436" s="62"/>
      <c r="N436" s="186"/>
      <c r="O436" s="152"/>
      <c r="P436" s="90"/>
      <c r="Q436" s="140"/>
      <c r="R436" s="90"/>
      <c r="S436" s="140"/>
      <c r="T436" s="90"/>
      <c r="U436" s="140"/>
      <c r="V436" s="90"/>
      <c r="W436" s="140"/>
      <c r="X436" s="90"/>
      <c r="Y436" s="140"/>
      <c r="Z436" s="90"/>
      <c r="AA436" s="140"/>
      <c r="AB436" s="90"/>
      <c r="AC436" s="140"/>
      <c r="AD436" s="90"/>
      <c r="AE436" s="140"/>
      <c r="AF436" s="137" t="str">
        <f t="shared" si="22"/>
        <v/>
      </c>
      <c r="AG436" s="179" t="b">
        <f t="shared" si="21"/>
        <v>0</v>
      </c>
      <c r="AH436" s="140"/>
      <c r="AI436" s="147" t="s">
        <v>36</v>
      </c>
      <c r="AJ436" s="145">
        <f t="shared" si="23"/>
        <v>0</v>
      </c>
      <c r="AK436" s="148" t="s">
        <v>75</v>
      </c>
    </row>
    <row r="437" spans="1:37" ht="30" customHeight="1">
      <c r="A437" s="62"/>
      <c r="B437" s="62"/>
      <c r="C437" s="62"/>
      <c r="D437" s="62"/>
      <c r="E437" s="62"/>
      <c r="F437" s="62"/>
      <c r="G437" s="62"/>
      <c r="H437" s="62"/>
      <c r="I437" s="62"/>
      <c r="J437" s="62"/>
      <c r="K437" s="62"/>
      <c r="L437" s="62"/>
      <c r="M437" s="62"/>
      <c r="N437" s="186"/>
      <c r="O437" s="152"/>
      <c r="P437" s="90"/>
      <c r="Q437" s="140"/>
      <c r="R437" s="90"/>
      <c r="S437" s="140"/>
      <c r="T437" s="90"/>
      <c r="U437" s="140"/>
      <c r="V437" s="90"/>
      <c r="W437" s="140"/>
      <c r="X437" s="90"/>
      <c r="Y437" s="140"/>
      <c r="Z437" s="90"/>
      <c r="AA437" s="140"/>
      <c r="AB437" s="90"/>
      <c r="AC437" s="140"/>
      <c r="AD437" s="90"/>
      <c r="AE437" s="140"/>
      <c r="AF437" s="137" t="str">
        <f t="shared" si="22"/>
        <v/>
      </c>
      <c r="AG437" s="179" t="b">
        <f t="shared" si="21"/>
        <v>0</v>
      </c>
      <c r="AH437" s="140"/>
      <c r="AI437" s="147" t="s">
        <v>36</v>
      </c>
      <c r="AJ437" s="145">
        <f t="shared" si="23"/>
        <v>0</v>
      </c>
      <c r="AK437" s="148" t="s">
        <v>75</v>
      </c>
    </row>
    <row r="438" spans="1:37" ht="30" customHeight="1">
      <c r="A438" s="62"/>
      <c r="B438" s="62"/>
      <c r="C438" s="62"/>
      <c r="D438" s="62"/>
      <c r="E438" s="62"/>
      <c r="F438" s="62"/>
      <c r="G438" s="62"/>
      <c r="H438" s="62"/>
      <c r="I438" s="62"/>
      <c r="J438" s="62"/>
      <c r="K438" s="62"/>
      <c r="L438" s="62"/>
      <c r="M438" s="62"/>
      <c r="N438" s="186"/>
      <c r="O438" s="152"/>
      <c r="P438" s="90"/>
      <c r="Q438" s="140"/>
      <c r="R438" s="90"/>
      <c r="S438" s="140"/>
      <c r="T438" s="90"/>
      <c r="U438" s="140"/>
      <c r="V438" s="90"/>
      <c r="W438" s="140"/>
      <c r="X438" s="90"/>
      <c r="Y438" s="140"/>
      <c r="Z438" s="90"/>
      <c r="AA438" s="140"/>
      <c r="AB438" s="90"/>
      <c r="AC438" s="140"/>
      <c r="AD438" s="90"/>
      <c r="AE438" s="140"/>
      <c r="AF438" s="137" t="str">
        <f t="shared" si="22"/>
        <v/>
      </c>
      <c r="AG438" s="179" t="b">
        <f t="shared" si="21"/>
        <v>0</v>
      </c>
      <c r="AH438" s="140"/>
      <c r="AI438" s="147" t="s">
        <v>36</v>
      </c>
      <c r="AJ438" s="145">
        <f t="shared" si="23"/>
        <v>0</v>
      </c>
      <c r="AK438" s="148" t="s">
        <v>75</v>
      </c>
    </row>
    <row r="439" spans="1:37" ht="30" customHeight="1">
      <c r="A439" s="62"/>
      <c r="B439" s="62"/>
      <c r="C439" s="62"/>
      <c r="D439" s="62"/>
      <c r="E439" s="62"/>
      <c r="F439" s="62"/>
      <c r="G439" s="62"/>
      <c r="H439" s="62"/>
      <c r="I439" s="62"/>
      <c r="J439" s="62"/>
      <c r="K439" s="62"/>
      <c r="L439" s="62"/>
      <c r="M439" s="62"/>
      <c r="N439" s="186"/>
      <c r="O439" s="152"/>
      <c r="P439" s="90"/>
      <c r="Q439" s="140"/>
      <c r="R439" s="90"/>
      <c r="S439" s="140"/>
      <c r="T439" s="90"/>
      <c r="U439" s="140"/>
      <c r="V439" s="90"/>
      <c r="W439" s="140"/>
      <c r="X439" s="90"/>
      <c r="Y439" s="140"/>
      <c r="Z439" s="90"/>
      <c r="AA439" s="140"/>
      <c r="AB439" s="90"/>
      <c r="AC439" s="140"/>
      <c r="AD439" s="90"/>
      <c r="AE439" s="140"/>
      <c r="AF439" s="137" t="str">
        <f t="shared" si="22"/>
        <v/>
      </c>
      <c r="AG439" s="179" t="b">
        <f t="shared" si="21"/>
        <v>0</v>
      </c>
      <c r="AH439" s="140"/>
      <c r="AI439" s="147" t="s">
        <v>36</v>
      </c>
      <c r="AJ439" s="145">
        <f t="shared" si="23"/>
        <v>0</v>
      </c>
      <c r="AK439" s="148" t="s">
        <v>75</v>
      </c>
    </row>
    <row r="440" spans="1:37" ht="30" customHeight="1">
      <c r="A440" s="62"/>
      <c r="B440" s="62"/>
      <c r="C440" s="62"/>
      <c r="D440" s="62"/>
      <c r="E440" s="62"/>
      <c r="F440" s="62"/>
      <c r="G440" s="62"/>
      <c r="H440" s="62"/>
      <c r="I440" s="62"/>
      <c r="J440" s="62"/>
      <c r="K440" s="62"/>
      <c r="L440" s="62"/>
      <c r="M440" s="62"/>
      <c r="N440" s="186"/>
      <c r="O440" s="152"/>
      <c r="P440" s="90"/>
      <c r="Q440" s="140"/>
      <c r="R440" s="90"/>
      <c r="S440" s="140"/>
      <c r="T440" s="90"/>
      <c r="U440" s="140"/>
      <c r="V440" s="90"/>
      <c r="W440" s="140"/>
      <c r="X440" s="90"/>
      <c r="Y440" s="140"/>
      <c r="Z440" s="90"/>
      <c r="AA440" s="140"/>
      <c r="AB440" s="90"/>
      <c r="AC440" s="140"/>
      <c r="AD440" s="90"/>
      <c r="AE440" s="140"/>
      <c r="AF440" s="137" t="str">
        <f t="shared" si="22"/>
        <v/>
      </c>
      <c r="AG440" s="179" t="b">
        <f t="shared" si="21"/>
        <v>0</v>
      </c>
      <c r="AH440" s="140"/>
      <c r="AI440" s="147" t="s">
        <v>36</v>
      </c>
      <c r="AJ440" s="145">
        <f t="shared" si="23"/>
        <v>0</v>
      </c>
      <c r="AK440" s="148" t="s">
        <v>75</v>
      </c>
    </row>
    <row r="441" spans="1:37" ht="30" customHeight="1">
      <c r="A441" s="62"/>
      <c r="B441" s="62"/>
      <c r="C441" s="62"/>
      <c r="D441" s="62"/>
      <c r="E441" s="62"/>
      <c r="F441" s="62"/>
      <c r="G441" s="62"/>
      <c r="H441" s="62"/>
      <c r="I441" s="62"/>
      <c r="J441" s="62"/>
      <c r="K441" s="62"/>
      <c r="L441" s="62"/>
      <c r="M441" s="62"/>
      <c r="N441" s="186"/>
      <c r="O441" s="152"/>
      <c r="P441" s="90"/>
      <c r="Q441" s="140"/>
      <c r="R441" s="90"/>
      <c r="S441" s="140"/>
      <c r="T441" s="90"/>
      <c r="U441" s="140"/>
      <c r="V441" s="90"/>
      <c r="W441" s="140"/>
      <c r="X441" s="90"/>
      <c r="Y441" s="140"/>
      <c r="Z441" s="90"/>
      <c r="AA441" s="140"/>
      <c r="AB441" s="90"/>
      <c r="AC441" s="140"/>
      <c r="AD441" s="90"/>
      <c r="AE441" s="140"/>
      <c r="AF441" s="137" t="str">
        <f t="shared" si="22"/>
        <v/>
      </c>
      <c r="AG441" s="179" t="b">
        <f t="shared" si="21"/>
        <v>0</v>
      </c>
      <c r="AH441" s="140"/>
      <c r="AI441" s="147" t="s">
        <v>36</v>
      </c>
      <c r="AJ441" s="145">
        <f t="shared" si="23"/>
        <v>0</v>
      </c>
      <c r="AK441" s="148" t="s">
        <v>75</v>
      </c>
    </row>
    <row r="442" spans="1:37" ht="30" customHeight="1">
      <c r="A442" s="62"/>
      <c r="B442" s="62"/>
      <c r="C442" s="62"/>
      <c r="D442" s="62"/>
      <c r="E442" s="62"/>
      <c r="F442" s="62"/>
      <c r="G442" s="62"/>
      <c r="H442" s="62"/>
      <c r="I442" s="62"/>
      <c r="J442" s="62"/>
      <c r="K442" s="62"/>
      <c r="L442" s="62"/>
      <c r="M442" s="62"/>
      <c r="N442" s="186"/>
      <c r="O442" s="152"/>
      <c r="P442" s="90"/>
      <c r="Q442" s="140"/>
      <c r="R442" s="90"/>
      <c r="S442" s="140"/>
      <c r="T442" s="90"/>
      <c r="U442" s="140"/>
      <c r="V442" s="90"/>
      <c r="W442" s="140"/>
      <c r="X442" s="90"/>
      <c r="Y442" s="140"/>
      <c r="Z442" s="90"/>
      <c r="AA442" s="140"/>
      <c r="AB442" s="90"/>
      <c r="AC442" s="140"/>
      <c r="AD442" s="90"/>
      <c r="AE442" s="140"/>
      <c r="AF442" s="137" t="str">
        <f t="shared" si="22"/>
        <v/>
      </c>
      <c r="AG442" s="179" t="b">
        <f t="shared" si="21"/>
        <v>0</v>
      </c>
      <c r="AH442" s="140"/>
      <c r="AI442" s="147" t="s">
        <v>36</v>
      </c>
      <c r="AJ442" s="145">
        <f t="shared" si="23"/>
        <v>0</v>
      </c>
      <c r="AK442" s="148" t="s">
        <v>75</v>
      </c>
    </row>
    <row r="443" spans="1:37" ht="30" customHeight="1">
      <c r="A443" s="62"/>
      <c r="B443" s="62"/>
      <c r="C443" s="62"/>
      <c r="D443" s="62"/>
      <c r="E443" s="62"/>
      <c r="F443" s="62"/>
      <c r="G443" s="62"/>
      <c r="H443" s="62"/>
      <c r="I443" s="62"/>
      <c r="J443" s="62"/>
      <c r="K443" s="62"/>
      <c r="L443" s="62"/>
      <c r="M443" s="62"/>
      <c r="N443" s="186"/>
      <c r="O443" s="152"/>
      <c r="P443" s="90"/>
      <c r="Q443" s="140"/>
      <c r="R443" s="90"/>
      <c r="S443" s="140"/>
      <c r="T443" s="90"/>
      <c r="U443" s="140"/>
      <c r="V443" s="90"/>
      <c r="W443" s="140"/>
      <c r="X443" s="90"/>
      <c r="Y443" s="140"/>
      <c r="Z443" s="90"/>
      <c r="AA443" s="140"/>
      <c r="AB443" s="90"/>
      <c r="AC443" s="140"/>
      <c r="AD443" s="90"/>
      <c r="AE443" s="140"/>
      <c r="AF443" s="137" t="str">
        <f t="shared" si="22"/>
        <v/>
      </c>
      <c r="AG443" s="179" t="b">
        <f t="shared" si="21"/>
        <v>0</v>
      </c>
      <c r="AH443" s="140"/>
      <c r="AI443" s="147" t="s">
        <v>36</v>
      </c>
      <c r="AJ443" s="145">
        <f t="shared" si="23"/>
        <v>0</v>
      </c>
      <c r="AK443" s="148" t="s">
        <v>75</v>
      </c>
    </row>
    <row r="444" spans="1:37" ht="30" customHeight="1">
      <c r="A444" s="62"/>
      <c r="B444" s="62"/>
      <c r="C444" s="62"/>
      <c r="D444" s="62"/>
      <c r="E444" s="62"/>
      <c r="F444" s="62"/>
      <c r="G444" s="62"/>
      <c r="H444" s="62"/>
      <c r="I444" s="62"/>
      <c r="J444" s="62"/>
      <c r="K444" s="62"/>
      <c r="L444" s="62"/>
      <c r="M444" s="62"/>
      <c r="N444" s="186"/>
      <c r="O444" s="152"/>
      <c r="P444" s="90"/>
      <c r="Q444" s="140"/>
      <c r="R444" s="90"/>
      <c r="S444" s="140"/>
      <c r="T444" s="90"/>
      <c r="U444" s="140"/>
      <c r="V444" s="90"/>
      <c r="W444" s="140"/>
      <c r="X444" s="90"/>
      <c r="Y444" s="140"/>
      <c r="Z444" s="90"/>
      <c r="AA444" s="140"/>
      <c r="AB444" s="90"/>
      <c r="AC444" s="140"/>
      <c r="AD444" s="90"/>
      <c r="AE444" s="140"/>
      <c r="AF444" s="137" t="str">
        <f t="shared" si="22"/>
        <v/>
      </c>
      <c r="AG444" s="179" t="b">
        <f t="shared" si="21"/>
        <v>0</v>
      </c>
      <c r="AH444" s="140"/>
      <c r="AI444" s="147" t="s">
        <v>36</v>
      </c>
      <c r="AJ444" s="145">
        <f t="shared" si="23"/>
        <v>0</v>
      </c>
      <c r="AK444" s="148" t="s">
        <v>75</v>
      </c>
    </row>
    <row r="445" spans="1:37" ht="30" customHeight="1">
      <c r="A445" s="62"/>
      <c r="B445" s="62"/>
      <c r="C445" s="62"/>
      <c r="D445" s="62"/>
      <c r="E445" s="62"/>
      <c r="F445" s="62"/>
      <c r="G445" s="62"/>
      <c r="H445" s="62"/>
      <c r="I445" s="62"/>
      <c r="J445" s="62"/>
      <c r="K445" s="62"/>
      <c r="L445" s="62"/>
      <c r="M445" s="62"/>
      <c r="N445" s="186"/>
      <c r="O445" s="152"/>
      <c r="P445" s="90"/>
      <c r="Q445" s="140"/>
      <c r="R445" s="90"/>
      <c r="S445" s="140"/>
      <c r="T445" s="90"/>
      <c r="U445" s="140"/>
      <c r="V445" s="90"/>
      <c r="W445" s="140"/>
      <c r="X445" s="90"/>
      <c r="Y445" s="140"/>
      <c r="Z445" s="90"/>
      <c r="AA445" s="140"/>
      <c r="AB445" s="90"/>
      <c r="AC445" s="140"/>
      <c r="AD445" s="90"/>
      <c r="AE445" s="140"/>
      <c r="AF445" s="137" t="str">
        <f t="shared" si="22"/>
        <v/>
      </c>
      <c r="AG445" s="179" t="b">
        <f t="shared" si="21"/>
        <v>0</v>
      </c>
      <c r="AH445" s="140"/>
      <c r="AI445" s="147" t="s">
        <v>36</v>
      </c>
      <c r="AJ445" s="145">
        <f t="shared" si="23"/>
        <v>0</v>
      </c>
      <c r="AK445" s="148" t="s">
        <v>75</v>
      </c>
    </row>
    <row r="446" spans="1:37" ht="30" customHeight="1">
      <c r="A446" s="62"/>
      <c r="B446" s="62"/>
      <c r="C446" s="62"/>
      <c r="D446" s="62"/>
      <c r="E446" s="62"/>
      <c r="F446" s="62"/>
      <c r="G446" s="62"/>
      <c r="H446" s="62"/>
      <c r="I446" s="62"/>
      <c r="J446" s="62"/>
      <c r="K446" s="62"/>
      <c r="L446" s="62"/>
      <c r="M446" s="62"/>
      <c r="N446" s="186"/>
      <c r="O446" s="152"/>
      <c r="P446" s="90"/>
      <c r="Q446" s="140"/>
      <c r="R446" s="90"/>
      <c r="S446" s="140"/>
      <c r="T446" s="90"/>
      <c r="U446" s="140"/>
      <c r="V446" s="90"/>
      <c r="W446" s="140"/>
      <c r="X446" s="90"/>
      <c r="Y446" s="140"/>
      <c r="Z446" s="90"/>
      <c r="AA446" s="140"/>
      <c r="AB446" s="90"/>
      <c r="AC446" s="140"/>
      <c r="AD446" s="90"/>
      <c r="AE446" s="140"/>
      <c r="AF446" s="137" t="str">
        <f t="shared" si="22"/>
        <v/>
      </c>
      <c r="AG446" s="179" t="b">
        <f t="shared" si="21"/>
        <v>0</v>
      </c>
      <c r="AH446" s="140"/>
      <c r="AI446" s="147" t="s">
        <v>36</v>
      </c>
      <c r="AJ446" s="145">
        <f t="shared" si="23"/>
        <v>0</v>
      </c>
      <c r="AK446" s="148" t="s">
        <v>75</v>
      </c>
    </row>
    <row r="447" spans="1:37" ht="30" customHeight="1">
      <c r="A447" s="62"/>
      <c r="B447" s="62"/>
      <c r="C447" s="62"/>
      <c r="D447" s="62"/>
      <c r="E447" s="62"/>
      <c r="F447" s="62"/>
      <c r="G447" s="62"/>
      <c r="H447" s="62"/>
      <c r="I447" s="62"/>
      <c r="J447" s="62"/>
      <c r="K447" s="62"/>
      <c r="L447" s="62"/>
      <c r="M447" s="62"/>
      <c r="N447" s="186"/>
      <c r="O447" s="152"/>
      <c r="P447" s="90"/>
      <c r="Q447" s="140"/>
      <c r="R447" s="90"/>
      <c r="S447" s="140"/>
      <c r="T447" s="90"/>
      <c r="U447" s="140"/>
      <c r="V447" s="90"/>
      <c r="W447" s="140"/>
      <c r="X447" s="90"/>
      <c r="Y447" s="140"/>
      <c r="Z447" s="90"/>
      <c r="AA447" s="140"/>
      <c r="AB447" s="90"/>
      <c r="AC447" s="140"/>
      <c r="AD447" s="90"/>
      <c r="AE447" s="140"/>
      <c r="AF447" s="137" t="str">
        <f t="shared" si="22"/>
        <v/>
      </c>
      <c r="AG447" s="179" t="b">
        <f t="shared" si="21"/>
        <v>0</v>
      </c>
      <c r="AH447" s="140"/>
      <c r="AI447" s="147" t="s">
        <v>36</v>
      </c>
      <c r="AJ447" s="145">
        <f t="shared" si="23"/>
        <v>0</v>
      </c>
      <c r="AK447" s="148" t="s">
        <v>75</v>
      </c>
    </row>
    <row r="448" spans="1:37" ht="30" customHeight="1">
      <c r="A448" s="62"/>
      <c r="B448" s="62"/>
      <c r="C448" s="62"/>
      <c r="D448" s="62"/>
      <c r="E448" s="62"/>
      <c r="F448" s="62"/>
      <c r="G448" s="62"/>
      <c r="H448" s="62"/>
      <c r="I448" s="62"/>
      <c r="J448" s="62"/>
      <c r="K448" s="62"/>
      <c r="L448" s="62"/>
      <c r="M448" s="62"/>
      <c r="N448" s="186"/>
      <c r="O448" s="152"/>
      <c r="P448" s="90"/>
      <c r="Q448" s="140"/>
      <c r="R448" s="90"/>
      <c r="S448" s="140"/>
      <c r="T448" s="90"/>
      <c r="U448" s="140"/>
      <c r="V448" s="90"/>
      <c r="W448" s="140"/>
      <c r="X448" s="90"/>
      <c r="Y448" s="140"/>
      <c r="Z448" s="90"/>
      <c r="AA448" s="140"/>
      <c r="AB448" s="90"/>
      <c r="AC448" s="140"/>
      <c r="AD448" s="90"/>
      <c r="AE448" s="140"/>
      <c r="AF448" s="137" t="str">
        <f t="shared" si="22"/>
        <v/>
      </c>
      <c r="AG448" s="179" t="b">
        <f t="shared" ref="AG448:AG511" si="24">IF(AND(AE448="C",AF448="C"),"UTILIZOU O PDA CORRETAMENTE",IF(AND(AE448="C",AF448="NC"),"UTILIZOU O PDA CORRETAMENTE. NÃO HÁ FOTOS DE TODAS AS ETAPAS",IF(AND(AE448="NC",AF448="NC"),"NÃO UTILIZOU O PDA",IF(AND(AE448="NA",AF448="NA"),"NÃO AVALIADO POR FALHA DE SINCRONISMO"))))</f>
        <v>0</v>
      </c>
      <c r="AH448" s="140"/>
      <c r="AI448" s="147" t="s">
        <v>36</v>
      </c>
      <c r="AJ448" s="145">
        <f t="shared" si="23"/>
        <v>0</v>
      </c>
      <c r="AK448" s="148" t="s">
        <v>75</v>
      </c>
    </row>
    <row r="449" spans="1:37" ht="30" customHeight="1">
      <c r="A449" s="62"/>
      <c r="B449" s="62"/>
      <c r="C449" s="62"/>
      <c r="D449" s="62"/>
      <c r="E449" s="62"/>
      <c r="F449" s="62"/>
      <c r="G449" s="62"/>
      <c r="H449" s="62"/>
      <c r="I449" s="62"/>
      <c r="J449" s="62"/>
      <c r="K449" s="62"/>
      <c r="L449" s="62"/>
      <c r="M449" s="62"/>
      <c r="N449" s="186"/>
      <c r="O449" s="152"/>
      <c r="P449" s="90"/>
      <c r="Q449" s="140"/>
      <c r="R449" s="90"/>
      <c r="S449" s="140"/>
      <c r="T449" s="90"/>
      <c r="U449" s="140"/>
      <c r="V449" s="90"/>
      <c r="W449" s="140"/>
      <c r="X449" s="90"/>
      <c r="Y449" s="140"/>
      <c r="Z449" s="90"/>
      <c r="AA449" s="140"/>
      <c r="AB449" s="90"/>
      <c r="AC449" s="140"/>
      <c r="AD449" s="90"/>
      <c r="AE449" s="140"/>
      <c r="AF449" s="137" t="str">
        <f t="shared" ref="AF449:AF512" si="25">IF(AND(O449="",Q449="",S449="",U449="",W449="",Y449="",AA449="",AC449=""),"",IF(OR(AND(O449&lt;&gt;"NA",O449&lt;&gt;"C",O449&lt;&gt;"NC",O449&lt;&gt;"SF",O449&lt;&gt;""),AND(Q449&lt;&gt;"NA",Q449&lt;&gt;"C",Q449&lt;&gt;"NC",Q449&lt;&gt;"SF",Q449&lt;&gt;""),AND(S449&lt;&gt;"NA",S449&lt;&gt;"C",S449&lt;&gt;"NC",S449&lt;&gt;"SF",S449&lt;&gt;""),AND(U449&lt;&gt;"NA",U449&lt;&gt;"C",U449&lt;&gt;"NC",U449&lt;&gt;"SF",U449&lt;&gt;""),AND(W449&lt;&gt;"NA",W449&lt;&gt;"C",W449&lt;&gt;"NC",W449&lt;&gt;"SF",W449&lt;&gt;""),AND(Y449&lt;&gt;"NA",Y449&lt;&gt;"C",Y449&lt;&gt;"NC",Y449&lt;&gt;"SF",Y449&lt;&gt;""),AND(AA449&lt;&gt;"NA",AA449&lt;&gt;"C",AA449&lt;&gt;"NC",AA449&lt;&gt;"SF",AA449&lt;&gt;""),AND(AC449&lt;&gt;"NA",AC449&lt;&gt;"C",AC449&lt;&gt;"NC",AC449&lt;&gt;"SF",AC449&lt;&gt;"")),"FALSO",IF(AND(O449="NA",Q449="NA",S449="NA",U449="NA",W449="NA",Y449="NA",AA449="NA",AC449="NA"),"NA",IF(OR(O449="NC",Q449="NC",S449="NC",U449="NC",W449="NC",Y449="NC",AA449="NC",AC449="NC",O449="SF",Q449="SF",S449="SF",U449="SF",W449="SF",Y449="SF",AA449="SF",AC449="SF"),"NC",IF(OR(O449="C",Q449="C",S449="C",U449="C",W449="C",Y449="C",AA449="C",AC449="C"),"C","")))))</f>
        <v/>
      </c>
      <c r="AG449" s="179" t="b">
        <f t="shared" si="24"/>
        <v>0</v>
      </c>
      <c r="AH449" s="140"/>
      <c r="AI449" s="147" t="s">
        <v>36</v>
      </c>
      <c r="AJ449" s="145">
        <f t="shared" si="23"/>
        <v>0</v>
      </c>
      <c r="AK449" s="148" t="s">
        <v>75</v>
      </c>
    </row>
    <row r="450" spans="1:37" ht="30" customHeight="1">
      <c r="A450" s="62"/>
      <c r="B450" s="62"/>
      <c r="C450" s="62"/>
      <c r="D450" s="62"/>
      <c r="E450" s="62"/>
      <c r="F450" s="62"/>
      <c r="G450" s="62"/>
      <c r="H450" s="62"/>
      <c r="I450" s="62"/>
      <c r="J450" s="62"/>
      <c r="K450" s="62"/>
      <c r="L450" s="62"/>
      <c r="M450" s="62"/>
      <c r="N450" s="186"/>
      <c r="O450" s="152"/>
      <c r="P450" s="90"/>
      <c r="Q450" s="140"/>
      <c r="R450" s="90"/>
      <c r="S450" s="140"/>
      <c r="T450" s="90"/>
      <c r="U450" s="140"/>
      <c r="V450" s="90"/>
      <c r="W450" s="140"/>
      <c r="X450" s="90"/>
      <c r="Y450" s="140"/>
      <c r="Z450" s="90"/>
      <c r="AA450" s="140"/>
      <c r="AB450" s="90"/>
      <c r="AC450" s="140"/>
      <c r="AD450" s="90"/>
      <c r="AE450" s="140"/>
      <c r="AF450" s="137" t="str">
        <f t="shared" si="25"/>
        <v/>
      </c>
      <c r="AG450" s="179" t="b">
        <f t="shared" si="24"/>
        <v>0</v>
      </c>
      <c r="AH450" s="140"/>
      <c r="AI450" s="147" t="s">
        <v>36</v>
      </c>
      <c r="AJ450" s="145">
        <f t="shared" si="23"/>
        <v>0</v>
      </c>
      <c r="AK450" s="148" t="s">
        <v>75</v>
      </c>
    </row>
    <row r="451" spans="1:37" ht="30" customHeight="1">
      <c r="A451" s="62"/>
      <c r="B451" s="62"/>
      <c r="C451" s="62"/>
      <c r="D451" s="62"/>
      <c r="E451" s="62"/>
      <c r="F451" s="62"/>
      <c r="G451" s="62"/>
      <c r="H451" s="62"/>
      <c r="I451" s="62"/>
      <c r="J451" s="62"/>
      <c r="K451" s="62"/>
      <c r="L451" s="62"/>
      <c r="M451" s="62"/>
      <c r="N451" s="186"/>
      <c r="O451" s="152"/>
      <c r="P451" s="90"/>
      <c r="Q451" s="140"/>
      <c r="R451" s="90"/>
      <c r="S451" s="140"/>
      <c r="T451" s="90"/>
      <c r="U451" s="140"/>
      <c r="V451" s="90"/>
      <c r="W451" s="140"/>
      <c r="X451" s="90"/>
      <c r="Y451" s="140"/>
      <c r="Z451" s="90"/>
      <c r="AA451" s="140"/>
      <c r="AB451" s="90"/>
      <c r="AC451" s="140"/>
      <c r="AD451" s="90"/>
      <c r="AE451" s="140"/>
      <c r="AF451" s="137" t="str">
        <f t="shared" si="25"/>
        <v/>
      </c>
      <c r="AG451" s="179" t="b">
        <f t="shared" si="24"/>
        <v>0</v>
      </c>
      <c r="AH451" s="140"/>
      <c r="AI451" s="147" t="s">
        <v>36</v>
      </c>
      <c r="AJ451" s="145">
        <f t="shared" si="23"/>
        <v>0</v>
      </c>
      <c r="AK451" s="148" t="s">
        <v>75</v>
      </c>
    </row>
    <row r="452" spans="1:37" ht="30" customHeight="1">
      <c r="A452" s="62"/>
      <c r="B452" s="62"/>
      <c r="C452" s="62"/>
      <c r="D452" s="62"/>
      <c r="E452" s="62"/>
      <c r="F452" s="62"/>
      <c r="G452" s="62"/>
      <c r="H452" s="62"/>
      <c r="I452" s="62"/>
      <c r="J452" s="62"/>
      <c r="K452" s="62"/>
      <c r="L452" s="62"/>
      <c r="M452" s="62"/>
      <c r="N452" s="186"/>
      <c r="O452" s="152"/>
      <c r="P452" s="90"/>
      <c r="Q452" s="140"/>
      <c r="R452" s="90"/>
      <c r="S452" s="140"/>
      <c r="T452" s="90"/>
      <c r="U452" s="140"/>
      <c r="V452" s="90"/>
      <c r="W452" s="140"/>
      <c r="X452" s="90"/>
      <c r="Y452" s="140"/>
      <c r="Z452" s="90"/>
      <c r="AA452" s="140"/>
      <c r="AB452" s="90"/>
      <c r="AC452" s="140"/>
      <c r="AD452" s="90"/>
      <c r="AE452" s="140"/>
      <c r="AF452" s="137" t="str">
        <f t="shared" si="25"/>
        <v/>
      </c>
      <c r="AG452" s="179" t="b">
        <f t="shared" si="24"/>
        <v>0</v>
      </c>
      <c r="AH452" s="140"/>
      <c r="AI452" s="147" t="s">
        <v>36</v>
      </c>
      <c r="AJ452" s="145">
        <f t="shared" si="23"/>
        <v>0</v>
      </c>
      <c r="AK452" s="148" t="s">
        <v>75</v>
      </c>
    </row>
    <row r="453" spans="1:37" ht="30" customHeight="1">
      <c r="A453" s="62"/>
      <c r="B453" s="62"/>
      <c r="C453" s="62"/>
      <c r="D453" s="62"/>
      <c r="E453" s="62"/>
      <c r="F453" s="62"/>
      <c r="G453" s="62"/>
      <c r="H453" s="62"/>
      <c r="I453" s="62"/>
      <c r="J453" s="62"/>
      <c r="K453" s="62"/>
      <c r="L453" s="62"/>
      <c r="M453" s="62"/>
      <c r="N453" s="186"/>
      <c r="O453" s="152"/>
      <c r="P453" s="90"/>
      <c r="Q453" s="140"/>
      <c r="R453" s="90"/>
      <c r="S453" s="140"/>
      <c r="T453" s="90"/>
      <c r="U453" s="140"/>
      <c r="V453" s="90"/>
      <c r="W453" s="140"/>
      <c r="X453" s="90"/>
      <c r="Y453" s="140"/>
      <c r="Z453" s="90"/>
      <c r="AA453" s="140"/>
      <c r="AB453" s="90"/>
      <c r="AC453" s="140"/>
      <c r="AD453" s="90"/>
      <c r="AE453" s="140"/>
      <c r="AF453" s="137" t="str">
        <f t="shared" si="25"/>
        <v/>
      </c>
      <c r="AG453" s="179" t="b">
        <f t="shared" si="24"/>
        <v>0</v>
      </c>
      <c r="AH453" s="140"/>
      <c r="AI453" s="147" t="s">
        <v>36</v>
      </c>
      <c r="AJ453" s="145">
        <f t="shared" si="23"/>
        <v>0</v>
      </c>
      <c r="AK453" s="148" t="s">
        <v>75</v>
      </c>
    </row>
    <row r="454" spans="1:37" ht="30" customHeight="1">
      <c r="A454" s="62"/>
      <c r="B454" s="62"/>
      <c r="C454" s="62"/>
      <c r="D454" s="62"/>
      <c r="E454" s="62"/>
      <c r="F454" s="62"/>
      <c r="G454" s="62"/>
      <c r="H454" s="62"/>
      <c r="I454" s="62"/>
      <c r="J454" s="62"/>
      <c r="K454" s="62"/>
      <c r="L454" s="62"/>
      <c r="M454" s="62"/>
      <c r="N454" s="186"/>
      <c r="O454" s="152"/>
      <c r="P454" s="90"/>
      <c r="Q454" s="140"/>
      <c r="R454" s="90"/>
      <c r="S454" s="140"/>
      <c r="T454" s="90"/>
      <c r="U454" s="140"/>
      <c r="V454" s="90"/>
      <c r="W454" s="140"/>
      <c r="X454" s="90"/>
      <c r="Y454" s="140"/>
      <c r="Z454" s="90"/>
      <c r="AA454" s="140"/>
      <c r="AB454" s="90"/>
      <c r="AC454" s="140"/>
      <c r="AD454" s="90"/>
      <c r="AE454" s="140"/>
      <c r="AF454" s="137" t="str">
        <f t="shared" si="25"/>
        <v/>
      </c>
      <c r="AG454" s="179" t="b">
        <f t="shared" si="24"/>
        <v>0</v>
      </c>
      <c r="AH454" s="140"/>
      <c r="AI454" s="147" t="s">
        <v>36</v>
      </c>
      <c r="AJ454" s="145">
        <f t="shared" si="23"/>
        <v>0</v>
      </c>
      <c r="AK454" s="148" t="s">
        <v>75</v>
      </c>
    </row>
    <row r="455" spans="1:37" ht="30" customHeight="1">
      <c r="A455" s="62"/>
      <c r="B455" s="62"/>
      <c r="C455" s="62"/>
      <c r="D455" s="62"/>
      <c r="E455" s="62"/>
      <c r="F455" s="62"/>
      <c r="G455" s="62"/>
      <c r="H455" s="62"/>
      <c r="I455" s="62"/>
      <c r="J455" s="62"/>
      <c r="K455" s="62"/>
      <c r="L455" s="62"/>
      <c r="M455" s="62"/>
      <c r="N455" s="186"/>
      <c r="O455" s="152"/>
      <c r="P455" s="90"/>
      <c r="Q455" s="140"/>
      <c r="R455" s="90"/>
      <c r="S455" s="140"/>
      <c r="T455" s="90"/>
      <c r="U455" s="140"/>
      <c r="V455" s="90"/>
      <c r="W455" s="140"/>
      <c r="X455" s="90"/>
      <c r="Y455" s="140"/>
      <c r="Z455" s="90"/>
      <c r="AA455" s="140"/>
      <c r="AB455" s="90"/>
      <c r="AC455" s="140"/>
      <c r="AD455" s="90"/>
      <c r="AE455" s="140"/>
      <c r="AF455" s="137" t="str">
        <f t="shared" si="25"/>
        <v/>
      </c>
      <c r="AG455" s="179" t="b">
        <f t="shared" si="24"/>
        <v>0</v>
      </c>
      <c r="AH455" s="140"/>
      <c r="AI455" s="147" t="s">
        <v>36</v>
      </c>
      <c r="AJ455" s="145">
        <f t="shared" si="23"/>
        <v>0</v>
      </c>
      <c r="AK455" s="148" t="s">
        <v>75</v>
      </c>
    </row>
    <row r="456" spans="1:37" ht="30" customHeight="1">
      <c r="A456" s="62"/>
      <c r="B456" s="62"/>
      <c r="C456" s="62"/>
      <c r="D456" s="62"/>
      <c r="E456" s="62"/>
      <c r="F456" s="62"/>
      <c r="G456" s="62"/>
      <c r="H456" s="62"/>
      <c r="I456" s="62"/>
      <c r="J456" s="62"/>
      <c r="K456" s="62"/>
      <c r="L456" s="62"/>
      <c r="M456" s="62"/>
      <c r="N456" s="186"/>
      <c r="O456" s="152"/>
      <c r="P456" s="90"/>
      <c r="Q456" s="140"/>
      <c r="R456" s="90"/>
      <c r="S456" s="140"/>
      <c r="T456" s="90"/>
      <c r="U456" s="140"/>
      <c r="V456" s="90"/>
      <c r="W456" s="140"/>
      <c r="X456" s="90"/>
      <c r="Y456" s="140"/>
      <c r="Z456" s="90"/>
      <c r="AA456" s="140"/>
      <c r="AB456" s="90"/>
      <c r="AC456" s="140"/>
      <c r="AD456" s="90"/>
      <c r="AE456" s="140"/>
      <c r="AF456" s="137" t="str">
        <f t="shared" si="25"/>
        <v/>
      </c>
      <c r="AG456" s="179" t="b">
        <f t="shared" si="24"/>
        <v>0</v>
      </c>
      <c r="AH456" s="140"/>
      <c r="AI456" s="147" t="s">
        <v>36</v>
      </c>
      <c r="AJ456" s="145">
        <f t="shared" si="23"/>
        <v>0</v>
      </c>
      <c r="AK456" s="148" t="s">
        <v>75</v>
      </c>
    </row>
    <row r="457" spans="1:37" ht="30" customHeight="1">
      <c r="A457" s="62"/>
      <c r="B457" s="62"/>
      <c r="C457" s="62"/>
      <c r="D457" s="62"/>
      <c r="E457" s="62"/>
      <c r="F457" s="62"/>
      <c r="G457" s="62"/>
      <c r="H457" s="62"/>
      <c r="I457" s="62"/>
      <c r="J457" s="62"/>
      <c r="K457" s="62"/>
      <c r="L457" s="62"/>
      <c r="M457" s="62"/>
      <c r="N457" s="186"/>
      <c r="O457" s="152"/>
      <c r="P457" s="90"/>
      <c r="Q457" s="140"/>
      <c r="R457" s="90"/>
      <c r="S457" s="140"/>
      <c r="T457" s="90"/>
      <c r="U457" s="140"/>
      <c r="V457" s="90"/>
      <c r="W457" s="140"/>
      <c r="X457" s="90"/>
      <c r="Y457" s="140"/>
      <c r="Z457" s="90"/>
      <c r="AA457" s="140"/>
      <c r="AB457" s="90"/>
      <c r="AC457" s="140"/>
      <c r="AD457" s="90"/>
      <c r="AE457" s="140"/>
      <c r="AF457" s="137" t="str">
        <f t="shared" si="25"/>
        <v/>
      </c>
      <c r="AG457" s="179" t="b">
        <f t="shared" si="24"/>
        <v>0</v>
      </c>
      <c r="AH457" s="140"/>
      <c r="AI457" s="147" t="s">
        <v>36</v>
      </c>
      <c r="AJ457" s="145">
        <f t="shared" si="23"/>
        <v>0</v>
      </c>
      <c r="AK457" s="148" t="s">
        <v>75</v>
      </c>
    </row>
    <row r="458" spans="1:37" ht="30" customHeight="1">
      <c r="A458" s="62"/>
      <c r="B458" s="62"/>
      <c r="C458" s="62"/>
      <c r="D458" s="62"/>
      <c r="E458" s="62"/>
      <c r="F458" s="62"/>
      <c r="G458" s="62"/>
      <c r="H458" s="62"/>
      <c r="I458" s="62"/>
      <c r="J458" s="62"/>
      <c r="K458" s="62"/>
      <c r="L458" s="62"/>
      <c r="M458" s="62"/>
      <c r="N458" s="186"/>
      <c r="O458" s="152"/>
      <c r="P458" s="90"/>
      <c r="Q458" s="140"/>
      <c r="R458" s="90"/>
      <c r="S458" s="140"/>
      <c r="T458" s="90"/>
      <c r="U458" s="140"/>
      <c r="V458" s="90"/>
      <c r="W458" s="140"/>
      <c r="X458" s="90"/>
      <c r="Y458" s="140"/>
      <c r="Z458" s="90"/>
      <c r="AA458" s="140"/>
      <c r="AB458" s="90"/>
      <c r="AC458" s="140"/>
      <c r="AD458" s="90"/>
      <c r="AE458" s="140"/>
      <c r="AF458" s="137" t="str">
        <f t="shared" si="25"/>
        <v/>
      </c>
      <c r="AG458" s="179" t="b">
        <f t="shared" si="24"/>
        <v>0</v>
      </c>
      <c r="AH458" s="140"/>
      <c r="AI458" s="147" t="s">
        <v>36</v>
      </c>
      <c r="AJ458" s="145">
        <f t="shared" si="23"/>
        <v>0</v>
      </c>
      <c r="AK458" s="148" t="s">
        <v>75</v>
      </c>
    </row>
    <row r="459" spans="1:37" ht="30" customHeight="1">
      <c r="A459" s="62"/>
      <c r="B459" s="62"/>
      <c r="C459" s="62"/>
      <c r="D459" s="62"/>
      <c r="E459" s="62"/>
      <c r="F459" s="62"/>
      <c r="G459" s="62"/>
      <c r="H459" s="62"/>
      <c r="I459" s="62"/>
      <c r="J459" s="62"/>
      <c r="K459" s="62"/>
      <c r="L459" s="62"/>
      <c r="M459" s="62"/>
      <c r="N459" s="186"/>
      <c r="O459" s="152"/>
      <c r="P459" s="90"/>
      <c r="Q459" s="140"/>
      <c r="R459" s="90"/>
      <c r="S459" s="140"/>
      <c r="T459" s="90"/>
      <c r="U459" s="140"/>
      <c r="V459" s="90"/>
      <c r="W459" s="140"/>
      <c r="X459" s="90"/>
      <c r="Y459" s="140"/>
      <c r="Z459" s="90"/>
      <c r="AA459" s="140"/>
      <c r="AB459" s="90"/>
      <c r="AC459" s="140"/>
      <c r="AD459" s="90"/>
      <c r="AE459" s="140"/>
      <c r="AF459" s="137" t="str">
        <f t="shared" si="25"/>
        <v/>
      </c>
      <c r="AG459" s="179" t="b">
        <f t="shared" si="24"/>
        <v>0</v>
      </c>
      <c r="AH459" s="140"/>
      <c r="AI459" s="147" t="s">
        <v>36</v>
      </c>
      <c r="AJ459" s="145">
        <f t="shared" si="23"/>
        <v>0</v>
      </c>
      <c r="AK459" s="148" t="s">
        <v>75</v>
      </c>
    </row>
    <row r="460" spans="1:37" ht="30" customHeight="1">
      <c r="A460" s="62"/>
      <c r="B460" s="62"/>
      <c r="C460" s="62"/>
      <c r="D460" s="62"/>
      <c r="E460" s="62"/>
      <c r="F460" s="62"/>
      <c r="G460" s="62"/>
      <c r="H460" s="62"/>
      <c r="I460" s="62"/>
      <c r="J460" s="62"/>
      <c r="K460" s="62"/>
      <c r="L460" s="62"/>
      <c r="M460" s="62"/>
      <c r="N460" s="186"/>
      <c r="O460" s="152"/>
      <c r="P460" s="90"/>
      <c r="Q460" s="140"/>
      <c r="R460" s="90"/>
      <c r="S460" s="140"/>
      <c r="T460" s="90"/>
      <c r="U460" s="140"/>
      <c r="V460" s="90"/>
      <c r="W460" s="140"/>
      <c r="X460" s="90"/>
      <c r="Y460" s="140"/>
      <c r="Z460" s="90"/>
      <c r="AA460" s="140"/>
      <c r="AB460" s="90"/>
      <c r="AC460" s="140"/>
      <c r="AD460" s="90"/>
      <c r="AE460" s="140"/>
      <c r="AF460" s="137" t="str">
        <f t="shared" si="25"/>
        <v/>
      </c>
      <c r="AG460" s="179" t="b">
        <f t="shared" si="24"/>
        <v>0</v>
      </c>
      <c r="AH460" s="140"/>
      <c r="AI460" s="147" t="s">
        <v>36</v>
      </c>
      <c r="AJ460" s="145">
        <f t="shared" si="23"/>
        <v>0</v>
      </c>
      <c r="AK460" s="148" t="s">
        <v>75</v>
      </c>
    </row>
    <row r="461" spans="1:37" ht="30" customHeight="1">
      <c r="A461" s="62"/>
      <c r="B461" s="62"/>
      <c r="C461" s="62"/>
      <c r="D461" s="62"/>
      <c r="E461" s="62"/>
      <c r="F461" s="62"/>
      <c r="G461" s="62"/>
      <c r="H461" s="62"/>
      <c r="I461" s="62"/>
      <c r="J461" s="62"/>
      <c r="K461" s="62"/>
      <c r="L461" s="62"/>
      <c r="M461" s="62"/>
      <c r="N461" s="186"/>
      <c r="O461" s="152"/>
      <c r="P461" s="90"/>
      <c r="Q461" s="140"/>
      <c r="R461" s="90"/>
      <c r="S461" s="140"/>
      <c r="T461" s="90"/>
      <c r="U461" s="140"/>
      <c r="V461" s="90"/>
      <c r="W461" s="140"/>
      <c r="X461" s="90"/>
      <c r="Y461" s="140"/>
      <c r="Z461" s="90"/>
      <c r="AA461" s="140"/>
      <c r="AB461" s="90"/>
      <c r="AC461" s="140"/>
      <c r="AD461" s="90"/>
      <c r="AE461" s="140"/>
      <c r="AF461" s="137" t="str">
        <f t="shared" si="25"/>
        <v/>
      </c>
      <c r="AG461" s="179" t="b">
        <f t="shared" si="24"/>
        <v>0</v>
      </c>
      <c r="AH461" s="140"/>
      <c r="AI461" s="147" t="s">
        <v>36</v>
      </c>
      <c r="AJ461" s="145">
        <f t="shared" si="23"/>
        <v>0</v>
      </c>
      <c r="AK461" s="148" t="s">
        <v>75</v>
      </c>
    </row>
    <row r="462" spans="1:37" ht="30" customHeight="1">
      <c r="A462" s="62"/>
      <c r="B462" s="62"/>
      <c r="C462" s="62"/>
      <c r="D462" s="62"/>
      <c r="E462" s="62"/>
      <c r="F462" s="62"/>
      <c r="G462" s="62"/>
      <c r="H462" s="62"/>
      <c r="I462" s="62"/>
      <c r="J462" s="62"/>
      <c r="K462" s="62"/>
      <c r="L462" s="62"/>
      <c r="M462" s="62"/>
      <c r="N462" s="186"/>
      <c r="O462" s="152"/>
      <c r="P462" s="90"/>
      <c r="Q462" s="140"/>
      <c r="R462" s="90"/>
      <c r="S462" s="140"/>
      <c r="T462" s="90"/>
      <c r="U462" s="140"/>
      <c r="V462" s="90"/>
      <c r="W462" s="140"/>
      <c r="X462" s="90"/>
      <c r="Y462" s="140"/>
      <c r="Z462" s="90"/>
      <c r="AA462" s="140"/>
      <c r="AB462" s="90"/>
      <c r="AC462" s="140"/>
      <c r="AD462" s="90"/>
      <c r="AE462" s="140"/>
      <c r="AF462" s="137" t="str">
        <f t="shared" si="25"/>
        <v/>
      </c>
      <c r="AG462" s="179" t="b">
        <f t="shared" si="24"/>
        <v>0</v>
      </c>
      <c r="AH462" s="140"/>
      <c r="AI462" s="147" t="s">
        <v>36</v>
      </c>
      <c r="AJ462" s="145">
        <f t="shared" si="23"/>
        <v>0</v>
      </c>
      <c r="AK462" s="148" t="s">
        <v>75</v>
      </c>
    </row>
    <row r="463" spans="1:37" ht="30" customHeight="1">
      <c r="A463" s="62"/>
      <c r="B463" s="62"/>
      <c r="C463" s="62"/>
      <c r="D463" s="62"/>
      <c r="E463" s="62"/>
      <c r="F463" s="62"/>
      <c r="G463" s="62"/>
      <c r="H463" s="62"/>
      <c r="I463" s="62"/>
      <c r="J463" s="62"/>
      <c r="K463" s="62"/>
      <c r="L463" s="62"/>
      <c r="M463" s="62"/>
      <c r="N463" s="186"/>
      <c r="O463" s="152"/>
      <c r="P463" s="90"/>
      <c r="Q463" s="140"/>
      <c r="R463" s="90"/>
      <c r="S463" s="140"/>
      <c r="T463" s="90"/>
      <c r="U463" s="140"/>
      <c r="V463" s="90"/>
      <c r="W463" s="140"/>
      <c r="X463" s="90"/>
      <c r="Y463" s="140"/>
      <c r="Z463" s="90"/>
      <c r="AA463" s="140"/>
      <c r="AB463" s="90"/>
      <c r="AC463" s="140"/>
      <c r="AD463" s="90"/>
      <c r="AE463" s="140"/>
      <c r="AF463" s="137" t="str">
        <f t="shared" si="25"/>
        <v/>
      </c>
      <c r="AG463" s="179" t="b">
        <f t="shared" si="24"/>
        <v>0</v>
      </c>
      <c r="AH463" s="140"/>
      <c r="AI463" s="147" t="s">
        <v>36</v>
      </c>
      <c r="AJ463" s="145">
        <f t="shared" si="23"/>
        <v>0</v>
      </c>
      <c r="AK463" s="148" t="s">
        <v>75</v>
      </c>
    </row>
    <row r="464" spans="1:37" ht="30" customHeight="1">
      <c r="A464" s="62"/>
      <c r="B464" s="62"/>
      <c r="C464" s="62"/>
      <c r="D464" s="62"/>
      <c r="E464" s="62"/>
      <c r="F464" s="62"/>
      <c r="G464" s="62"/>
      <c r="H464" s="62"/>
      <c r="I464" s="62"/>
      <c r="J464" s="62"/>
      <c r="K464" s="62"/>
      <c r="L464" s="62"/>
      <c r="M464" s="62"/>
      <c r="N464" s="186"/>
      <c r="O464" s="152"/>
      <c r="P464" s="90"/>
      <c r="Q464" s="140"/>
      <c r="R464" s="90"/>
      <c r="S464" s="140"/>
      <c r="T464" s="90"/>
      <c r="U464" s="140"/>
      <c r="V464" s="90"/>
      <c r="W464" s="140"/>
      <c r="X464" s="90"/>
      <c r="Y464" s="140"/>
      <c r="Z464" s="90"/>
      <c r="AA464" s="140"/>
      <c r="AB464" s="90"/>
      <c r="AC464" s="140"/>
      <c r="AD464" s="90"/>
      <c r="AE464" s="140"/>
      <c r="AF464" s="137" t="str">
        <f t="shared" si="25"/>
        <v/>
      </c>
      <c r="AG464" s="179" t="b">
        <f t="shared" si="24"/>
        <v>0</v>
      </c>
      <c r="AH464" s="140"/>
      <c r="AI464" s="147" t="s">
        <v>36</v>
      </c>
      <c r="AJ464" s="145">
        <f t="shared" si="23"/>
        <v>0</v>
      </c>
      <c r="AK464" s="148" t="s">
        <v>75</v>
      </c>
    </row>
    <row r="465" spans="1:37" ht="30" customHeight="1">
      <c r="A465" s="62"/>
      <c r="B465" s="62"/>
      <c r="C465" s="62"/>
      <c r="D465" s="62"/>
      <c r="E465" s="62"/>
      <c r="F465" s="62"/>
      <c r="G465" s="62"/>
      <c r="H465" s="62"/>
      <c r="I465" s="62"/>
      <c r="J465" s="62"/>
      <c r="K465" s="62"/>
      <c r="L465" s="62"/>
      <c r="M465" s="62"/>
      <c r="N465" s="186"/>
      <c r="O465" s="152"/>
      <c r="P465" s="90"/>
      <c r="Q465" s="140"/>
      <c r="R465" s="90"/>
      <c r="S465" s="140"/>
      <c r="T465" s="90"/>
      <c r="U465" s="140"/>
      <c r="V465" s="90"/>
      <c r="W465" s="140"/>
      <c r="X465" s="90"/>
      <c r="Y465" s="140"/>
      <c r="Z465" s="90"/>
      <c r="AA465" s="140"/>
      <c r="AB465" s="90"/>
      <c r="AC465" s="140"/>
      <c r="AD465" s="90"/>
      <c r="AE465" s="140"/>
      <c r="AF465" s="137" t="str">
        <f t="shared" si="25"/>
        <v/>
      </c>
      <c r="AG465" s="179" t="b">
        <f t="shared" si="24"/>
        <v>0</v>
      </c>
      <c r="AH465" s="140"/>
      <c r="AI465" s="147" t="s">
        <v>36</v>
      </c>
      <c r="AJ465" s="145">
        <f t="shared" si="23"/>
        <v>0</v>
      </c>
      <c r="AK465" s="148" t="s">
        <v>75</v>
      </c>
    </row>
    <row r="466" spans="1:37" ht="30" customHeight="1">
      <c r="A466" s="62"/>
      <c r="B466" s="62"/>
      <c r="C466" s="62"/>
      <c r="D466" s="62"/>
      <c r="E466" s="62"/>
      <c r="F466" s="62"/>
      <c r="G466" s="62"/>
      <c r="H466" s="62"/>
      <c r="I466" s="62"/>
      <c r="J466" s="62"/>
      <c r="K466" s="62"/>
      <c r="L466" s="62"/>
      <c r="M466" s="62"/>
      <c r="N466" s="186"/>
      <c r="O466" s="152"/>
      <c r="P466" s="90"/>
      <c r="Q466" s="140"/>
      <c r="R466" s="90"/>
      <c r="S466" s="140"/>
      <c r="T466" s="90"/>
      <c r="U466" s="140"/>
      <c r="V466" s="90"/>
      <c r="W466" s="140"/>
      <c r="X466" s="90"/>
      <c r="Y466" s="140"/>
      <c r="Z466" s="90"/>
      <c r="AA466" s="140"/>
      <c r="AB466" s="90"/>
      <c r="AC466" s="140"/>
      <c r="AD466" s="90"/>
      <c r="AE466" s="140"/>
      <c r="AF466" s="137" t="str">
        <f t="shared" si="25"/>
        <v/>
      </c>
      <c r="AG466" s="179" t="b">
        <f t="shared" si="24"/>
        <v>0</v>
      </c>
      <c r="AH466" s="140"/>
      <c r="AI466" s="147" t="s">
        <v>36</v>
      </c>
      <c r="AJ466" s="145">
        <f t="shared" si="23"/>
        <v>0</v>
      </c>
      <c r="AK466" s="148" t="s">
        <v>75</v>
      </c>
    </row>
    <row r="467" spans="1:37" ht="30" customHeight="1">
      <c r="A467" s="62"/>
      <c r="B467" s="62"/>
      <c r="C467" s="62"/>
      <c r="D467" s="62"/>
      <c r="E467" s="62"/>
      <c r="F467" s="62"/>
      <c r="G467" s="62"/>
      <c r="H467" s="62"/>
      <c r="I467" s="62"/>
      <c r="J467" s="62"/>
      <c r="K467" s="62"/>
      <c r="L467" s="62"/>
      <c r="M467" s="62"/>
      <c r="N467" s="186"/>
      <c r="O467" s="152"/>
      <c r="P467" s="90"/>
      <c r="Q467" s="140"/>
      <c r="R467" s="90"/>
      <c r="S467" s="140"/>
      <c r="T467" s="90"/>
      <c r="U467" s="140"/>
      <c r="V467" s="90"/>
      <c r="W467" s="140"/>
      <c r="X467" s="90"/>
      <c r="Y467" s="140"/>
      <c r="Z467" s="90"/>
      <c r="AA467" s="140"/>
      <c r="AB467" s="90"/>
      <c r="AC467" s="140"/>
      <c r="AD467" s="90"/>
      <c r="AE467" s="140"/>
      <c r="AF467" s="137" t="str">
        <f t="shared" si="25"/>
        <v/>
      </c>
      <c r="AG467" s="179" t="b">
        <f t="shared" si="24"/>
        <v>0</v>
      </c>
      <c r="AH467" s="140"/>
      <c r="AI467" s="147" t="s">
        <v>36</v>
      </c>
      <c r="AJ467" s="145">
        <f t="shared" si="23"/>
        <v>0</v>
      </c>
      <c r="AK467" s="148" t="s">
        <v>75</v>
      </c>
    </row>
    <row r="468" spans="1:37" ht="30" customHeight="1">
      <c r="A468" s="62"/>
      <c r="B468" s="62"/>
      <c r="C468" s="62"/>
      <c r="D468" s="62"/>
      <c r="E468" s="62"/>
      <c r="F468" s="62"/>
      <c r="G468" s="62"/>
      <c r="H468" s="62"/>
      <c r="I468" s="62"/>
      <c r="J468" s="62"/>
      <c r="K468" s="62"/>
      <c r="L468" s="62"/>
      <c r="M468" s="62"/>
      <c r="N468" s="186"/>
      <c r="O468" s="152"/>
      <c r="P468" s="90"/>
      <c r="Q468" s="140"/>
      <c r="R468" s="90"/>
      <c r="S468" s="140"/>
      <c r="T468" s="90"/>
      <c r="U468" s="140"/>
      <c r="V468" s="90"/>
      <c r="W468" s="140"/>
      <c r="X468" s="90"/>
      <c r="Y468" s="140"/>
      <c r="Z468" s="90"/>
      <c r="AA468" s="140"/>
      <c r="AB468" s="90"/>
      <c r="AC468" s="140"/>
      <c r="AD468" s="90"/>
      <c r="AE468" s="140"/>
      <c r="AF468" s="137" t="str">
        <f t="shared" si="25"/>
        <v/>
      </c>
      <c r="AG468" s="179" t="b">
        <f t="shared" si="24"/>
        <v>0</v>
      </c>
      <c r="AH468" s="140"/>
      <c r="AI468" s="147" t="s">
        <v>36</v>
      </c>
      <c r="AJ468" s="145">
        <f t="shared" si="23"/>
        <v>0</v>
      </c>
      <c r="AK468" s="148" t="s">
        <v>75</v>
      </c>
    </row>
    <row r="469" spans="1:37" ht="30" customHeight="1">
      <c r="A469" s="62"/>
      <c r="B469" s="62"/>
      <c r="C469" s="62"/>
      <c r="D469" s="62"/>
      <c r="E469" s="62"/>
      <c r="F469" s="62"/>
      <c r="G469" s="62"/>
      <c r="H469" s="62"/>
      <c r="I469" s="62"/>
      <c r="J469" s="62"/>
      <c r="K469" s="62"/>
      <c r="L469" s="62"/>
      <c r="M469" s="62"/>
      <c r="N469" s="186"/>
      <c r="O469" s="152"/>
      <c r="P469" s="90"/>
      <c r="Q469" s="140"/>
      <c r="R469" s="90"/>
      <c r="S469" s="140"/>
      <c r="T469" s="90"/>
      <c r="U469" s="140"/>
      <c r="V469" s="90"/>
      <c r="W469" s="140"/>
      <c r="X469" s="90"/>
      <c r="Y469" s="140"/>
      <c r="Z469" s="90"/>
      <c r="AA469" s="140"/>
      <c r="AB469" s="90"/>
      <c r="AC469" s="140"/>
      <c r="AD469" s="90"/>
      <c r="AE469" s="140"/>
      <c r="AF469" s="137" t="str">
        <f t="shared" si="25"/>
        <v/>
      </c>
      <c r="AG469" s="179" t="b">
        <f t="shared" si="24"/>
        <v>0</v>
      </c>
      <c r="AH469" s="140"/>
      <c r="AI469" s="147" t="s">
        <v>36</v>
      </c>
      <c r="AJ469" s="145">
        <f t="shared" si="23"/>
        <v>0</v>
      </c>
      <c r="AK469" s="148" t="s">
        <v>75</v>
      </c>
    </row>
    <row r="470" spans="1:37" ht="30" customHeight="1">
      <c r="A470" s="62"/>
      <c r="B470" s="62"/>
      <c r="C470" s="62"/>
      <c r="D470" s="62"/>
      <c r="E470" s="62"/>
      <c r="F470" s="62"/>
      <c r="G470" s="62"/>
      <c r="H470" s="62"/>
      <c r="I470" s="62"/>
      <c r="J470" s="62"/>
      <c r="K470" s="62"/>
      <c r="L470" s="62"/>
      <c r="M470" s="62"/>
      <c r="N470" s="186"/>
      <c r="O470" s="152"/>
      <c r="P470" s="90"/>
      <c r="Q470" s="140"/>
      <c r="R470" s="90"/>
      <c r="S470" s="140"/>
      <c r="T470" s="90"/>
      <c r="U470" s="140"/>
      <c r="V470" s="90"/>
      <c r="W470" s="140"/>
      <c r="X470" s="90"/>
      <c r="Y470" s="140"/>
      <c r="Z470" s="90"/>
      <c r="AA470" s="140"/>
      <c r="AB470" s="90"/>
      <c r="AC470" s="140"/>
      <c r="AD470" s="90"/>
      <c r="AE470" s="140"/>
      <c r="AF470" s="137" t="str">
        <f t="shared" si="25"/>
        <v/>
      </c>
      <c r="AG470" s="179" t="b">
        <f t="shared" si="24"/>
        <v>0</v>
      </c>
      <c r="AH470" s="140"/>
      <c r="AI470" s="147" t="s">
        <v>36</v>
      </c>
      <c r="AJ470" s="145">
        <f t="shared" si="23"/>
        <v>0</v>
      </c>
      <c r="AK470" s="148" t="s">
        <v>75</v>
      </c>
    </row>
    <row r="471" spans="1:37" ht="30" customHeight="1">
      <c r="A471" s="62"/>
      <c r="B471" s="62"/>
      <c r="C471" s="62"/>
      <c r="D471" s="62"/>
      <c r="E471" s="62"/>
      <c r="F471" s="62"/>
      <c r="G471" s="62"/>
      <c r="H471" s="62"/>
      <c r="I471" s="62"/>
      <c r="J471" s="62"/>
      <c r="K471" s="62"/>
      <c r="L471" s="62"/>
      <c r="M471" s="62"/>
      <c r="N471" s="186"/>
      <c r="O471" s="152"/>
      <c r="P471" s="90"/>
      <c r="Q471" s="140"/>
      <c r="R471" s="90"/>
      <c r="S471" s="140"/>
      <c r="T471" s="90"/>
      <c r="U471" s="140"/>
      <c r="V471" s="90"/>
      <c r="W471" s="140"/>
      <c r="X471" s="90"/>
      <c r="Y471" s="140"/>
      <c r="Z471" s="90"/>
      <c r="AA471" s="140"/>
      <c r="AB471" s="90"/>
      <c r="AC471" s="140"/>
      <c r="AD471" s="90"/>
      <c r="AE471" s="140"/>
      <c r="AF471" s="137" t="str">
        <f t="shared" si="25"/>
        <v/>
      </c>
      <c r="AG471" s="179" t="b">
        <f t="shared" si="24"/>
        <v>0</v>
      </c>
      <c r="AH471" s="140"/>
      <c r="AI471" s="147" t="s">
        <v>36</v>
      </c>
      <c r="AJ471" s="145">
        <f t="shared" si="23"/>
        <v>0</v>
      </c>
      <c r="AK471" s="148" t="s">
        <v>75</v>
      </c>
    </row>
    <row r="472" spans="1:37" ht="30" customHeight="1">
      <c r="A472" s="62"/>
      <c r="B472" s="62"/>
      <c r="C472" s="62"/>
      <c r="D472" s="62"/>
      <c r="E472" s="62"/>
      <c r="F472" s="62"/>
      <c r="G472" s="62"/>
      <c r="H472" s="62"/>
      <c r="I472" s="62"/>
      <c r="J472" s="62"/>
      <c r="K472" s="62"/>
      <c r="L472" s="62"/>
      <c r="M472" s="62"/>
      <c r="N472" s="186"/>
      <c r="O472" s="152"/>
      <c r="P472" s="90"/>
      <c r="Q472" s="140"/>
      <c r="R472" s="90"/>
      <c r="S472" s="140"/>
      <c r="T472" s="90"/>
      <c r="U472" s="140"/>
      <c r="V472" s="90"/>
      <c r="W472" s="140"/>
      <c r="X472" s="90"/>
      <c r="Y472" s="140"/>
      <c r="Z472" s="90"/>
      <c r="AA472" s="140"/>
      <c r="AB472" s="90"/>
      <c r="AC472" s="140"/>
      <c r="AD472" s="90"/>
      <c r="AE472" s="140"/>
      <c r="AF472" s="137" t="str">
        <f t="shared" si="25"/>
        <v/>
      </c>
      <c r="AG472" s="179" t="b">
        <f t="shared" si="24"/>
        <v>0</v>
      </c>
      <c r="AH472" s="140"/>
      <c r="AI472" s="147" t="s">
        <v>36</v>
      </c>
      <c r="AJ472" s="145">
        <f t="shared" si="23"/>
        <v>0</v>
      </c>
      <c r="AK472" s="148" t="s">
        <v>75</v>
      </c>
    </row>
    <row r="473" spans="1:37" ht="30" customHeight="1">
      <c r="A473" s="62"/>
      <c r="B473" s="62"/>
      <c r="C473" s="62"/>
      <c r="D473" s="62"/>
      <c r="E473" s="62"/>
      <c r="F473" s="62"/>
      <c r="G473" s="62"/>
      <c r="H473" s="62"/>
      <c r="I473" s="62"/>
      <c r="J473" s="62"/>
      <c r="K473" s="62"/>
      <c r="L473" s="62"/>
      <c r="M473" s="62"/>
      <c r="N473" s="186"/>
      <c r="O473" s="152"/>
      <c r="P473" s="90"/>
      <c r="Q473" s="140"/>
      <c r="R473" s="90"/>
      <c r="S473" s="140"/>
      <c r="T473" s="90"/>
      <c r="U473" s="140"/>
      <c r="V473" s="90"/>
      <c r="W473" s="140"/>
      <c r="X473" s="90"/>
      <c r="Y473" s="140"/>
      <c r="Z473" s="90"/>
      <c r="AA473" s="140"/>
      <c r="AB473" s="90"/>
      <c r="AC473" s="140"/>
      <c r="AD473" s="90"/>
      <c r="AE473" s="140"/>
      <c r="AF473" s="137" t="str">
        <f t="shared" si="25"/>
        <v/>
      </c>
      <c r="AG473" s="179" t="b">
        <f t="shared" si="24"/>
        <v>0</v>
      </c>
      <c r="AH473" s="140"/>
      <c r="AI473" s="147" t="s">
        <v>36</v>
      </c>
      <c r="AJ473" s="145">
        <f t="shared" si="23"/>
        <v>0</v>
      </c>
      <c r="AK473" s="148" t="s">
        <v>75</v>
      </c>
    </row>
    <row r="474" spans="1:37" ht="30" customHeight="1">
      <c r="A474" s="62"/>
      <c r="B474" s="62"/>
      <c r="C474" s="62"/>
      <c r="D474" s="62"/>
      <c r="E474" s="62"/>
      <c r="F474" s="62"/>
      <c r="G474" s="62"/>
      <c r="H474" s="62"/>
      <c r="I474" s="62"/>
      <c r="J474" s="62"/>
      <c r="K474" s="62"/>
      <c r="L474" s="62"/>
      <c r="M474" s="62"/>
      <c r="N474" s="186"/>
      <c r="O474" s="152"/>
      <c r="P474" s="90"/>
      <c r="Q474" s="140"/>
      <c r="R474" s="90"/>
      <c r="S474" s="140"/>
      <c r="T474" s="90"/>
      <c r="U474" s="140"/>
      <c r="V474" s="90"/>
      <c r="W474" s="140"/>
      <c r="X474" s="90"/>
      <c r="Y474" s="140"/>
      <c r="Z474" s="90"/>
      <c r="AA474" s="140"/>
      <c r="AB474" s="90"/>
      <c r="AC474" s="140"/>
      <c r="AD474" s="90"/>
      <c r="AE474" s="140"/>
      <c r="AF474" s="137" t="str">
        <f t="shared" si="25"/>
        <v/>
      </c>
      <c r="AG474" s="179" t="b">
        <f t="shared" si="24"/>
        <v>0</v>
      </c>
      <c r="AH474" s="140"/>
      <c r="AI474" s="147" t="s">
        <v>36</v>
      </c>
      <c r="AJ474" s="145">
        <f t="shared" si="23"/>
        <v>0</v>
      </c>
      <c r="AK474" s="148" t="s">
        <v>75</v>
      </c>
    </row>
    <row r="475" spans="1:37" ht="30" customHeight="1">
      <c r="A475" s="62"/>
      <c r="B475" s="62"/>
      <c r="C475" s="62"/>
      <c r="D475" s="62"/>
      <c r="E475" s="62"/>
      <c r="F475" s="62"/>
      <c r="G475" s="62"/>
      <c r="H475" s="62"/>
      <c r="I475" s="62"/>
      <c r="J475" s="62"/>
      <c r="K475" s="62"/>
      <c r="L475" s="62"/>
      <c r="M475" s="62"/>
      <c r="N475" s="186"/>
      <c r="O475" s="152"/>
      <c r="P475" s="90"/>
      <c r="Q475" s="140"/>
      <c r="R475" s="90"/>
      <c r="S475" s="140"/>
      <c r="T475" s="90"/>
      <c r="U475" s="140"/>
      <c r="V475" s="90"/>
      <c r="W475" s="140"/>
      <c r="X475" s="90"/>
      <c r="Y475" s="140"/>
      <c r="Z475" s="90"/>
      <c r="AA475" s="140"/>
      <c r="AB475" s="90"/>
      <c r="AC475" s="140"/>
      <c r="AD475" s="90"/>
      <c r="AE475" s="140"/>
      <c r="AF475" s="137" t="str">
        <f t="shared" si="25"/>
        <v/>
      </c>
      <c r="AG475" s="179" t="b">
        <f t="shared" si="24"/>
        <v>0</v>
      </c>
      <c r="AH475" s="140"/>
      <c r="AI475" s="147" t="s">
        <v>36</v>
      </c>
      <c r="AJ475" s="145">
        <f t="shared" si="23"/>
        <v>0</v>
      </c>
      <c r="AK475" s="148" t="s">
        <v>75</v>
      </c>
    </row>
    <row r="476" spans="1:37" ht="30" customHeight="1">
      <c r="A476" s="62"/>
      <c r="B476" s="62"/>
      <c r="C476" s="62"/>
      <c r="D476" s="62"/>
      <c r="E476" s="62"/>
      <c r="F476" s="62"/>
      <c r="G476" s="62"/>
      <c r="H476" s="62"/>
      <c r="I476" s="62"/>
      <c r="J476" s="62"/>
      <c r="K476" s="62"/>
      <c r="L476" s="62"/>
      <c r="M476" s="62"/>
      <c r="N476" s="186"/>
      <c r="O476" s="152"/>
      <c r="P476" s="90"/>
      <c r="Q476" s="140"/>
      <c r="R476" s="90"/>
      <c r="S476" s="140"/>
      <c r="T476" s="90"/>
      <c r="U476" s="140"/>
      <c r="V476" s="90"/>
      <c r="W476" s="140"/>
      <c r="X476" s="90"/>
      <c r="Y476" s="140"/>
      <c r="Z476" s="90"/>
      <c r="AA476" s="140"/>
      <c r="AB476" s="90"/>
      <c r="AC476" s="140"/>
      <c r="AD476" s="90"/>
      <c r="AE476" s="140"/>
      <c r="AF476" s="137" t="str">
        <f t="shared" si="25"/>
        <v/>
      </c>
      <c r="AG476" s="179" t="b">
        <f t="shared" si="24"/>
        <v>0</v>
      </c>
      <c r="AH476" s="140"/>
      <c r="AI476" s="147" t="s">
        <v>36</v>
      </c>
      <c r="AJ476" s="145">
        <f t="shared" si="23"/>
        <v>0</v>
      </c>
      <c r="AK476" s="148" t="s">
        <v>75</v>
      </c>
    </row>
    <row r="477" spans="1:37" ht="30" customHeight="1">
      <c r="A477" s="62"/>
      <c r="B477" s="62"/>
      <c r="C477" s="62"/>
      <c r="D477" s="62"/>
      <c r="E477" s="62"/>
      <c r="F477" s="62"/>
      <c r="G477" s="62"/>
      <c r="H477" s="62"/>
      <c r="I477" s="62"/>
      <c r="J477" s="62"/>
      <c r="K477" s="62"/>
      <c r="L477" s="62"/>
      <c r="M477" s="62"/>
      <c r="N477" s="186"/>
      <c r="O477" s="152"/>
      <c r="P477" s="90"/>
      <c r="Q477" s="140"/>
      <c r="R477" s="90"/>
      <c r="S477" s="140"/>
      <c r="T477" s="90"/>
      <c r="U477" s="140"/>
      <c r="V477" s="90"/>
      <c r="W477" s="140"/>
      <c r="X477" s="90"/>
      <c r="Y477" s="140"/>
      <c r="Z477" s="90"/>
      <c r="AA477" s="140"/>
      <c r="AB477" s="90"/>
      <c r="AC477" s="140"/>
      <c r="AD477" s="90"/>
      <c r="AE477" s="140"/>
      <c r="AF477" s="137" t="str">
        <f t="shared" si="25"/>
        <v/>
      </c>
      <c r="AG477" s="179" t="b">
        <f t="shared" si="24"/>
        <v>0</v>
      </c>
      <c r="AH477" s="140"/>
      <c r="AI477" s="147" t="s">
        <v>36</v>
      </c>
      <c r="AJ477" s="145">
        <f t="shared" si="23"/>
        <v>0</v>
      </c>
      <c r="AK477" s="148" t="s">
        <v>75</v>
      </c>
    </row>
    <row r="478" spans="1:37" ht="30" customHeight="1">
      <c r="A478" s="62"/>
      <c r="B478" s="62"/>
      <c r="C478" s="62"/>
      <c r="D478" s="62"/>
      <c r="E478" s="62"/>
      <c r="F478" s="62"/>
      <c r="G478" s="62"/>
      <c r="H478" s="62"/>
      <c r="I478" s="62"/>
      <c r="J478" s="62"/>
      <c r="K478" s="62"/>
      <c r="L478" s="62"/>
      <c r="M478" s="62"/>
      <c r="N478" s="186"/>
      <c r="O478" s="152"/>
      <c r="P478" s="90"/>
      <c r="Q478" s="140"/>
      <c r="R478" s="90"/>
      <c r="S478" s="140"/>
      <c r="T478" s="90"/>
      <c r="U478" s="140"/>
      <c r="V478" s="90"/>
      <c r="W478" s="140"/>
      <c r="X478" s="90"/>
      <c r="Y478" s="140"/>
      <c r="Z478" s="90"/>
      <c r="AA478" s="140"/>
      <c r="AB478" s="90"/>
      <c r="AC478" s="140"/>
      <c r="AD478" s="90"/>
      <c r="AE478" s="140"/>
      <c r="AF478" s="137" t="str">
        <f t="shared" si="25"/>
        <v/>
      </c>
      <c r="AG478" s="179" t="b">
        <f t="shared" si="24"/>
        <v>0</v>
      </c>
      <c r="AH478" s="140"/>
      <c r="AI478" s="147" t="s">
        <v>36</v>
      </c>
      <c r="AJ478" s="145">
        <f t="shared" si="23"/>
        <v>0</v>
      </c>
      <c r="AK478" s="148" t="s">
        <v>75</v>
      </c>
    </row>
    <row r="479" spans="1:37" ht="30" customHeight="1">
      <c r="A479" s="62"/>
      <c r="B479" s="62"/>
      <c r="C479" s="62"/>
      <c r="D479" s="62"/>
      <c r="E479" s="62"/>
      <c r="F479" s="62"/>
      <c r="G479" s="62"/>
      <c r="H479" s="62"/>
      <c r="I479" s="62"/>
      <c r="J479" s="62"/>
      <c r="K479" s="62"/>
      <c r="L479" s="62"/>
      <c r="M479" s="62"/>
      <c r="N479" s="186"/>
      <c r="O479" s="152"/>
      <c r="P479" s="90"/>
      <c r="Q479" s="140"/>
      <c r="R479" s="90"/>
      <c r="S479" s="140"/>
      <c r="T479" s="90"/>
      <c r="U479" s="140"/>
      <c r="V479" s="90"/>
      <c r="W479" s="140"/>
      <c r="X479" s="90"/>
      <c r="Y479" s="140"/>
      <c r="Z479" s="90"/>
      <c r="AA479" s="140"/>
      <c r="AB479" s="90"/>
      <c r="AC479" s="140"/>
      <c r="AD479" s="90"/>
      <c r="AE479" s="140"/>
      <c r="AF479" s="137" t="str">
        <f t="shared" si="25"/>
        <v/>
      </c>
      <c r="AG479" s="179" t="b">
        <f t="shared" si="24"/>
        <v>0</v>
      </c>
      <c r="AH479" s="140"/>
      <c r="AI479" s="147" t="s">
        <v>36</v>
      </c>
      <c r="AJ479" s="145">
        <f t="shared" si="23"/>
        <v>0</v>
      </c>
      <c r="AK479" s="148" t="s">
        <v>75</v>
      </c>
    </row>
    <row r="480" spans="1:37" ht="30" customHeight="1">
      <c r="A480" s="62"/>
      <c r="B480" s="62"/>
      <c r="C480" s="62"/>
      <c r="D480" s="62"/>
      <c r="E480" s="62"/>
      <c r="F480" s="62"/>
      <c r="G480" s="62"/>
      <c r="H480" s="62"/>
      <c r="I480" s="62"/>
      <c r="J480" s="62"/>
      <c r="K480" s="62"/>
      <c r="L480" s="62"/>
      <c r="M480" s="62"/>
      <c r="N480" s="186"/>
      <c r="O480" s="152"/>
      <c r="P480" s="90"/>
      <c r="Q480" s="140"/>
      <c r="R480" s="90"/>
      <c r="S480" s="140"/>
      <c r="T480" s="90"/>
      <c r="U480" s="140"/>
      <c r="V480" s="90"/>
      <c r="W480" s="140"/>
      <c r="X480" s="90"/>
      <c r="Y480" s="140"/>
      <c r="Z480" s="90"/>
      <c r="AA480" s="140"/>
      <c r="AB480" s="90"/>
      <c r="AC480" s="140"/>
      <c r="AD480" s="90"/>
      <c r="AE480" s="140"/>
      <c r="AF480" s="137" t="str">
        <f t="shared" si="25"/>
        <v/>
      </c>
      <c r="AG480" s="179" t="b">
        <f t="shared" si="24"/>
        <v>0</v>
      </c>
      <c r="AH480" s="140"/>
      <c r="AI480" s="147" t="s">
        <v>36</v>
      </c>
      <c r="AJ480" s="145">
        <f t="shared" ref="AJ480:AJ543" si="26">E480</f>
        <v>0</v>
      </c>
      <c r="AK480" s="148" t="s">
        <v>75</v>
      </c>
    </row>
    <row r="481" spans="1:37" ht="30" customHeight="1">
      <c r="A481" s="62"/>
      <c r="B481" s="62"/>
      <c r="C481" s="62"/>
      <c r="D481" s="62"/>
      <c r="E481" s="62"/>
      <c r="F481" s="62"/>
      <c r="G481" s="62"/>
      <c r="H481" s="62"/>
      <c r="I481" s="62"/>
      <c r="J481" s="62"/>
      <c r="K481" s="62"/>
      <c r="L481" s="62"/>
      <c r="M481" s="62"/>
      <c r="N481" s="186"/>
      <c r="O481" s="152"/>
      <c r="P481" s="90"/>
      <c r="Q481" s="140"/>
      <c r="R481" s="90"/>
      <c r="S481" s="140"/>
      <c r="T481" s="90"/>
      <c r="U481" s="140"/>
      <c r="V481" s="90"/>
      <c r="W481" s="140"/>
      <c r="X481" s="90"/>
      <c r="Y481" s="140"/>
      <c r="Z481" s="90"/>
      <c r="AA481" s="140"/>
      <c r="AB481" s="90"/>
      <c r="AC481" s="140"/>
      <c r="AD481" s="90"/>
      <c r="AE481" s="140"/>
      <c r="AF481" s="137" t="str">
        <f t="shared" si="25"/>
        <v/>
      </c>
      <c r="AG481" s="179" t="b">
        <f t="shared" si="24"/>
        <v>0</v>
      </c>
      <c r="AH481" s="140"/>
      <c r="AI481" s="147" t="s">
        <v>36</v>
      </c>
      <c r="AJ481" s="145">
        <f t="shared" si="26"/>
        <v>0</v>
      </c>
      <c r="AK481" s="148" t="s">
        <v>75</v>
      </c>
    </row>
    <row r="482" spans="1:37" ht="30" customHeight="1">
      <c r="A482" s="62"/>
      <c r="B482" s="62"/>
      <c r="C482" s="62"/>
      <c r="D482" s="62"/>
      <c r="E482" s="62"/>
      <c r="F482" s="62"/>
      <c r="G482" s="62"/>
      <c r="H482" s="62"/>
      <c r="I482" s="62"/>
      <c r="J482" s="62"/>
      <c r="K482" s="62"/>
      <c r="L482" s="62"/>
      <c r="M482" s="62"/>
      <c r="N482" s="186"/>
      <c r="O482" s="152"/>
      <c r="P482" s="90"/>
      <c r="Q482" s="140"/>
      <c r="R482" s="90"/>
      <c r="S482" s="140"/>
      <c r="T482" s="90"/>
      <c r="U482" s="140"/>
      <c r="V482" s="90"/>
      <c r="W482" s="140"/>
      <c r="X482" s="90"/>
      <c r="Y482" s="140"/>
      <c r="Z482" s="90"/>
      <c r="AA482" s="140"/>
      <c r="AB482" s="90"/>
      <c r="AC482" s="140"/>
      <c r="AD482" s="90"/>
      <c r="AE482" s="140"/>
      <c r="AF482" s="137" t="str">
        <f t="shared" si="25"/>
        <v/>
      </c>
      <c r="AG482" s="179" t="b">
        <f t="shared" si="24"/>
        <v>0</v>
      </c>
      <c r="AH482" s="140"/>
      <c r="AI482" s="147" t="s">
        <v>36</v>
      </c>
      <c r="AJ482" s="145">
        <f t="shared" si="26"/>
        <v>0</v>
      </c>
      <c r="AK482" s="148" t="s">
        <v>75</v>
      </c>
    </row>
    <row r="483" spans="1:37" ht="30" customHeight="1">
      <c r="A483" s="62"/>
      <c r="B483" s="62"/>
      <c r="C483" s="62"/>
      <c r="D483" s="62"/>
      <c r="E483" s="62"/>
      <c r="F483" s="62"/>
      <c r="G483" s="62"/>
      <c r="H483" s="62"/>
      <c r="I483" s="62"/>
      <c r="J483" s="62"/>
      <c r="K483" s="62"/>
      <c r="L483" s="62"/>
      <c r="M483" s="62"/>
      <c r="N483" s="186"/>
      <c r="O483" s="152"/>
      <c r="P483" s="90"/>
      <c r="Q483" s="140"/>
      <c r="R483" s="90"/>
      <c r="S483" s="140"/>
      <c r="T483" s="90"/>
      <c r="U483" s="140"/>
      <c r="V483" s="90"/>
      <c r="W483" s="140"/>
      <c r="X483" s="90"/>
      <c r="Y483" s="140"/>
      <c r="Z483" s="90"/>
      <c r="AA483" s="140"/>
      <c r="AB483" s="90"/>
      <c r="AC483" s="140"/>
      <c r="AD483" s="90"/>
      <c r="AE483" s="140"/>
      <c r="AF483" s="137" t="str">
        <f t="shared" si="25"/>
        <v/>
      </c>
      <c r="AG483" s="179" t="b">
        <f t="shared" si="24"/>
        <v>0</v>
      </c>
      <c r="AH483" s="140"/>
      <c r="AI483" s="147" t="s">
        <v>36</v>
      </c>
      <c r="AJ483" s="145">
        <f t="shared" si="26"/>
        <v>0</v>
      </c>
      <c r="AK483" s="148" t="s">
        <v>75</v>
      </c>
    </row>
    <row r="484" spans="1:37" ht="30" customHeight="1">
      <c r="A484" s="62"/>
      <c r="B484" s="62"/>
      <c r="C484" s="62"/>
      <c r="D484" s="62"/>
      <c r="E484" s="62"/>
      <c r="F484" s="62"/>
      <c r="G484" s="62"/>
      <c r="H484" s="62"/>
      <c r="I484" s="62"/>
      <c r="J484" s="62"/>
      <c r="K484" s="62"/>
      <c r="L484" s="62"/>
      <c r="M484" s="62"/>
      <c r="N484" s="186"/>
      <c r="O484" s="152"/>
      <c r="P484" s="90"/>
      <c r="Q484" s="140"/>
      <c r="R484" s="90"/>
      <c r="S484" s="140"/>
      <c r="T484" s="90"/>
      <c r="U484" s="140"/>
      <c r="V484" s="90"/>
      <c r="W484" s="140"/>
      <c r="X484" s="90"/>
      <c r="Y484" s="140"/>
      <c r="Z484" s="90"/>
      <c r="AA484" s="140"/>
      <c r="AB484" s="90"/>
      <c r="AC484" s="140"/>
      <c r="AD484" s="90"/>
      <c r="AE484" s="140"/>
      <c r="AF484" s="137" t="str">
        <f t="shared" si="25"/>
        <v/>
      </c>
      <c r="AG484" s="179" t="b">
        <f t="shared" si="24"/>
        <v>0</v>
      </c>
      <c r="AH484" s="140"/>
      <c r="AI484" s="147" t="s">
        <v>36</v>
      </c>
      <c r="AJ484" s="145">
        <f t="shared" si="26"/>
        <v>0</v>
      </c>
      <c r="AK484" s="148" t="s">
        <v>75</v>
      </c>
    </row>
    <row r="485" spans="1:37" ht="30" customHeight="1">
      <c r="A485" s="62"/>
      <c r="B485" s="62"/>
      <c r="C485" s="62"/>
      <c r="D485" s="62"/>
      <c r="E485" s="62"/>
      <c r="F485" s="62"/>
      <c r="G485" s="62"/>
      <c r="H485" s="62"/>
      <c r="I485" s="62"/>
      <c r="J485" s="62"/>
      <c r="K485" s="62"/>
      <c r="L485" s="62"/>
      <c r="M485" s="62"/>
      <c r="N485" s="186"/>
      <c r="O485" s="152"/>
      <c r="P485" s="90"/>
      <c r="Q485" s="140"/>
      <c r="R485" s="90"/>
      <c r="S485" s="140"/>
      <c r="T485" s="90"/>
      <c r="U485" s="140"/>
      <c r="V485" s="90"/>
      <c r="W485" s="140"/>
      <c r="X485" s="90"/>
      <c r="Y485" s="140"/>
      <c r="Z485" s="90"/>
      <c r="AA485" s="140"/>
      <c r="AB485" s="90"/>
      <c r="AC485" s="140"/>
      <c r="AD485" s="90"/>
      <c r="AE485" s="140"/>
      <c r="AF485" s="137" t="str">
        <f t="shared" si="25"/>
        <v/>
      </c>
      <c r="AG485" s="179" t="b">
        <f t="shared" si="24"/>
        <v>0</v>
      </c>
      <c r="AH485" s="140"/>
      <c r="AI485" s="147" t="s">
        <v>36</v>
      </c>
      <c r="AJ485" s="145">
        <f t="shared" si="26"/>
        <v>0</v>
      </c>
      <c r="AK485" s="148" t="s">
        <v>75</v>
      </c>
    </row>
    <row r="486" spans="1:37" ht="30" customHeight="1">
      <c r="A486" s="62"/>
      <c r="B486" s="62"/>
      <c r="C486" s="62"/>
      <c r="D486" s="62"/>
      <c r="E486" s="62"/>
      <c r="F486" s="62"/>
      <c r="G486" s="62"/>
      <c r="H486" s="62"/>
      <c r="I486" s="62"/>
      <c r="J486" s="62"/>
      <c r="K486" s="62"/>
      <c r="L486" s="62"/>
      <c r="M486" s="62"/>
      <c r="N486" s="186"/>
      <c r="O486" s="152"/>
      <c r="P486" s="90"/>
      <c r="Q486" s="140"/>
      <c r="R486" s="90"/>
      <c r="S486" s="140"/>
      <c r="T486" s="90"/>
      <c r="U486" s="140"/>
      <c r="V486" s="90"/>
      <c r="W486" s="140"/>
      <c r="X486" s="90"/>
      <c r="Y486" s="140"/>
      <c r="Z486" s="90"/>
      <c r="AA486" s="140"/>
      <c r="AB486" s="90"/>
      <c r="AC486" s="140"/>
      <c r="AD486" s="90"/>
      <c r="AE486" s="140"/>
      <c r="AF486" s="137" t="str">
        <f t="shared" si="25"/>
        <v/>
      </c>
      <c r="AG486" s="179" t="b">
        <f t="shared" si="24"/>
        <v>0</v>
      </c>
      <c r="AH486" s="140"/>
      <c r="AI486" s="147" t="s">
        <v>36</v>
      </c>
      <c r="AJ486" s="145">
        <f t="shared" si="26"/>
        <v>0</v>
      </c>
      <c r="AK486" s="148" t="s">
        <v>75</v>
      </c>
    </row>
    <row r="487" spans="1:37" ht="30" customHeight="1">
      <c r="A487" s="62"/>
      <c r="B487" s="62"/>
      <c r="C487" s="62"/>
      <c r="D487" s="62"/>
      <c r="E487" s="62"/>
      <c r="F487" s="62"/>
      <c r="G487" s="62"/>
      <c r="H487" s="62"/>
      <c r="I487" s="62"/>
      <c r="J487" s="62"/>
      <c r="K487" s="62"/>
      <c r="L487" s="62"/>
      <c r="M487" s="62"/>
      <c r="N487" s="186"/>
      <c r="O487" s="152"/>
      <c r="P487" s="90"/>
      <c r="Q487" s="140"/>
      <c r="R487" s="90"/>
      <c r="S487" s="140"/>
      <c r="T487" s="90"/>
      <c r="U487" s="140"/>
      <c r="V487" s="90"/>
      <c r="W487" s="140"/>
      <c r="X487" s="90"/>
      <c r="Y487" s="140"/>
      <c r="Z487" s="90"/>
      <c r="AA487" s="140"/>
      <c r="AB487" s="90"/>
      <c r="AC487" s="140"/>
      <c r="AD487" s="90"/>
      <c r="AE487" s="140"/>
      <c r="AF487" s="137" t="str">
        <f t="shared" si="25"/>
        <v/>
      </c>
      <c r="AG487" s="179" t="b">
        <f t="shared" si="24"/>
        <v>0</v>
      </c>
      <c r="AH487" s="140"/>
      <c r="AI487" s="147" t="s">
        <v>36</v>
      </c>
      <c r="AJ487" s="145">
        <f t="shared" si="26"/>
        <v>0</v>
      </c>
      <c r="AK487" s="148" t="s">
        <v>75</v>
      </c>
    </row>
    <row r="488" spans="1:37" ht="30" customHeight="1">
      <c r="A488" s="62"/>
      <c r="B488" s="62"/>
      <c r="C488" s="62"/>
      <c r="D488" s="62"/>
      <c r="E488" s="62"/>
      <c r="F488" s="62"/>
      <c r="G488" s="62"/>
      <c r="H488" s="62"/>
      <c r="I488" s="62"/>
      <c r="J488" s="62"/>
      <c r="K488" s="62"/>
      <c r="L488" s="62"/>
      <c r="M488" s="62"/>
      <c r="N488" s="186"/>
      <c r="O488" s="152"/>
      <c r="P488" s="90"/>
      <c r="Q488" s="140"/>
      <c r="R488" s="90"/>
      <c r="S488" s="140"/>
      <c r="T488" s="90"/>
      <c r="U488" s="140"/>
      <c r="V488" s="90"/>
      <c r="W488" s="140"/>
      <c r="X488" s="90"/>
      <c r="Y488" s="140"/>
      <c r="Z488" s="90"/>
      <c r="AA488" s="140"/>
      <c r="AB488" s="90"/>
      <c r="AC488" s="140"/>
      <c r="AD488" s="90"/>
      <c r="AE488" s="140"/>
      <c r="AF488" s="137" t="str">
        <f t="shared" si="25"/>
        <v/>
      </c>
      <c r="AG488" s="179" t="b">
        <f t="shared" si="24"/>
        <v>0</v>
      </c>
      <c r="AH488" s="140"/>
      <c r="AI488" s="147" t="s">
        <v>36</v>
      </c>
      <c r="AJ488" s="145">
        <f t="shared" si="26"/>
        <v>0</v>
      </c>
      <c r="AK488" s="148" t="s">
        <v>75</v>
      </c>
    </row>
    <row r="489" spans="1:37" ht="30" customHeight="1">
      <c r="A489" s="62"/>
      <c r="B489" s="62"/>
      <c r="C489" s="62"/>
      <c r="D489" s="62"/>
      <c r="E489" s="62"/>
      <c r="F489" s="62"/>
      <c r="G489" s="62"/>
      <c r="H489" s="62"/>
      <c r="I489" s="62"/>
      <c r="J489" s="62"/>
      <c r="K489" s="62"/>
      <c r="L489" s="62"/>
      <c r="M489" s="62"/>
      <c r="N489" s="186"/>
      <c r="O489" s="152"/>
      <c r="P489" s="90"/>
      <c r="Q489" s="140"/>
      <c r="R489" s="90"/>
      <c r="S489" s="140"/>
      <c r="T489" s="90"/>
      <c r="U489" s="140"/>
      <c r="V489" s="90"/>
      <c r="W489" s="140"/>
      <c r="X489" s="90"/>
      <c r="Y489" s="140"/>
      <c r="Z489" s="90"/>
      <c r="AA489" s="140"/>
      <c r="AB489" s="90"/>
      <c r="AC489" s="140"/>
      <c r="AD489" s="90"/>
      <c r="AE489" s="140"/>
      <c r="AF489" s="137" t="str">
        <f t="shared" si="25"/>
        <v/>
      </c>
      <c r="AG489" s="179" t="b">
        <f t="shared" si="24"/>
        <v>0</v>
      </c>
      <c r="AH489" s="140"/>
      <c r="AI489" s="147" t="s">
        <v>36</v>
      </c>
      <c r="AJ489" s="145">
        <f t="shared" si="26"/>
        <v>0</v>
      </c>
      <c r="AK489" s="148" t="s">
        <v>75</v>
      </c>
    </row>
    <row r="490" spans="1:37" ht="30" customHeight="1">
      <c r="A490" s="62"/>
      <c r="B490" s="62"/>
      <c r="C490" s="62"/>
      <c r="D490" s="62"/>
      <c r="E490" s="62"/>
      <c r="F490" s="62"/>
      <c r="G490" s="62"/>
      <c r="H490" s="62"/>
      <c r="I490" s="62"/>
      <c r="J490" s="62"/>
      <c r="K490" s="62"/>
      <c r="L490" s="62"/>
      <c r="M490" s="62"/>
      <c r="N490" s="186"/>
      <c r="O490" s="152"/>
      <c r="P490" s="90"/>
      <c r="Q490" s="140"/>
      <c r="R490" s="90"/>
      <c r="S490" s="140"/>
      <c r="T490" s="90"/>
      <c r="U490" s="140"/>
      <c r="V490" s="90"/>
      <c r="W490" s="140"/>
      <c r="X490" s="90"/>
      <c r="Y490" s="140"/>
      <c r="Z490" s="90"/>
      <c r="AA490" s="140"/>
      <c r="AB490" s="90"/>
      <c r="AC490" s="140"/>
      <c r="AD490" s="90"/>
      <c r="AE490" s="140"/>
      <c r="AF490" s="137" t="str">
        <f t="shared" si="25"/>
        <v/>
      </c>
      <c r="AG490" s="179" t="b">
        <f t="shared" si="24"/>
        <v>0</v>
      </c>
      <c r="AH490" s="140"/>
      <c r="AI490" s="147" t="s">
        <v>36</v>
      </c>
      <c r="AJ490" s="145">
        <f t="shared" si="26"/>
        <v>0</v>
      </c>
      <c r="AK490" s="148" t="s">
        <v>75</v>
      </c>
    </row>
    <row r="491" spans="1:37" ht="30" customHeight="1">
      <c r="A491" s="62"/>
      <c r="B491" s="62"/>
      <c r="C491" s="62"/>
      <c r="D491" s="62"/>
      <c r="E491" s="62"/>
      <c r="F491" s="62"/>
      <c r="G491" s="62"/>
      <c r="H491" s="62"/>
      <c r="I491" s="62"/>
      <c r="J491" s="62"/>
      <c r="K491" s="62"/>
      <c r="L491" s="62"/>
      <c r="M491" s="62"/>
      <c r="N491" s="186"/>
      <c r="O491" s="152"/>
      <c r="P491" s="90"/>
      <c r="Q491" s="140"/>
      <c r="R491" s="90"/>
      <c r="S491" s="140"/>
      <c r="T491" s="90"/>
      <c r="U491" s="140"/>
      <c r="V491" s="90"/>
      <c r="W491" s="140"/>
      <c r="X491" s="90"/>
      <c r="Y491" s="140"/>
      <c r="Z491" s="90"/>
      <c r="AA491" s="140"/>
      <c r="AB491" s="90"/>
      <c r="AC491" s="140"/>
      <c r="AD491" s="90"/>
      <c r="AE491" s="140"/>
      <c r="AF491" s="137" t="str">
        <f t="shared" si="25"/>
        <v/>
      </c>
      <c r="AG491" s="179" t="b">
        <f t="shared" si="24"/>
        <v>0</v>
      </c>
      <c r="AH491" s="140"/>
      <c r="AI491" s="147" t="s">
        <v>36</v>
      </c>
      <c r="AJ491" s="145">
        <f t="shared" si="26"/>
        <v>0</v>
      </c>
      <c r="AK491" s="148" t="s">
        <v>75</v>
      </c>
    </row>
    <row r="492" spans="1:37" ht="30" customHeight="1">
      <c r="A492" s="62"/>
      <c r="B492" s="62"/>
      <c r="C492" s="62"/>
      <c r="D492" s="62"/>
      <c r="E492" s="62"/>
      <c r="F492" s="62"/>
      <c r="G492" s="62"/>
      <c r="H492" s="62"/>
      <c r="I492" s="62"/>
      <c r="J492" s="62"/>
      <c r="K492" s="62"/>
      <c r="L492" s="62"/>
      <c r="M492" s="62"/>
      <c r="N492" s="186"/>
      <c r="O492" s="152"/>
      <c r="P492" s="90"/>
      <c r="Q492" s="140"/>
      <c r="R492" s="90"/>
      <c r="S492" s="140"/>
      <c r="T492" s="90"/>
      <c r="U492" s="140"/>
      <c r="V492" s="90"/>
      <c r="W492" s="140"/>
      <c r="X492" s="90"/>
      <c r="Y492" s="140"/>
      <c r="Z492" s="90"/>
      <c r="AA492" s="140"/>
      <c r="AB492" s="90"/>
      <c r="AC492" s="140"/>
      <c r="AD492" s="90"/>
      <c r="AE492" s="140"/>
      <c r="AF492" s="137" t="str">
        <f t="shared" si="25"/>
        <v/>
      </c>
      <c r="AG492" s="179" t="b">
        <f t="shared" si="24"/>
        <v>0</v>
      </c>
      <c r="AH492" s="140"/>
      <c r="AI492" s="147" t="s">
        <v>36</v>
      </c>
      <c r="AJ492" s="145">
        <f t="shared" si="26"/>
        <v>0</v>
      </c>
      <c r="AK492" s="148" t="s">
        <v>75</v>
      </c>
    </row>
    <row r="493" spans="1:37" ht="30" customHeight="1">
      <c r="A493" s="62"/>
      <c r="B493" s="62"/>
      <c r="C493" s="62"/>
      <c r="D493" s="62"/>
      <c r="E493" s="62"/>
      <c r="F493" s="62"/>
      <c r="G493" s="62"/>
      <c r="H493" s="62"/>
      <c r="I493" s="62"/>
      <c r="J493" s="62"/>
      <c r="K493" s="62"/>
      <c r="L493" s="62"/>
      <c r="M493" s="62"/>
      <c r="N493" s="186"/>
      <c r="O493" s="152"/>
      <c r="P493" s="90"/>
      <c r="Q493" s="140"/>
      <c r="R493" s="90"/>
      <c r="S493" s="140"/>
      <c r="T493" s="90"/>
      <c r="U493" s="140"/>
      <c r="V493" s="90"/>
      <c r="W493" s="140"/>
      <c r="X493" s="90"/>
      <c r="Y493" s="140"/>
      <c r="Z493" s="90"/>
      <c r="AA493" s="140"/>
      <c r="AB493" s="90"/>
      <c r="AC493" s="140"/>
      <c r="AD493" s="90"/>
      <c r="AE493" s="140"/>
      <c r="AF493" s="137" t="str">
        <f t="shared" si="25"/>
        <v/>
      </c>
      <c r="AG493" s="179" t="b">
        <f t="shared" si="24"/>
        <v>0</v>
      </c>
      <c r="AH493" s="140"/>
      <c r="AI493" s="147" t="s">
        <v>36</v>
      </c>
      <c r="AJ493" s="145">
        <f t="shared" si="26"/>
        <v>0</v>
      </c>
      <c r="AK493" s="148" t="s">
        <v>75</v>
      </c>
    </row>
    <row r="494" spans="1:37" ht="30" customHeight="1">
      <c r="A494" s="62"/>
      <c r="B494" s="62"/>
      <c r="C494" s="62"/>
      <c r="D494" s="62"/>
      <c r="E494" s="62"/>
      <c r="F494" s="62"/>
      <c r="G494" s="62"/>
      <c r="H494" s="62"/>
      <c r="I494" s="62"/>
      <c r="J494" s="62"/>
      <c r="K494" s="62"/>
      <c r="L494" s="62"/>
      <c r="M494" s="62"/>
      <c r="N494" s="186"/>
      <c r="O494" s="152"/>
      <c r="P494" s="90"/>
      <c r="Q494" s="140"/>
      <c r="R494" s="90"/>
      <c r="S494" s="140"/>
      <c r="T494" s="90"/>
      <c r="U494" s="140"/>
      <c r="V494" s="90"/>
      <c r="W494" s="140"/>
      <c r="X494" s="90"/>
      <c r="Y494" s="140"/>
      <c r="Z494" s="90"/>
      <c r="AA494" s="140"/>
      <c r="AB494" s="90"/>
      <c r="AC494" s="140"/>
      <c r="AD494" s="90"/>
      <c r="AE494" s="140"/>
      <c r="AF494" s="137" t="str">
        <f t="shared" si="25"/>
        <v/>
      </c>
      <c r="AG494" s="179" t="b">
        <f t="shared" si="24"/>
        <v>0</v>
      </c>
      <c r="AH494" s="140"/>
      <c r="AI494" s="147" t="s">
        <v>36</v>
      </c>
      <c r="AJ494" s="145">
        <f t="shared" si="26"/>
        <v>0</v>
      </c>
      <c r="AK494" s="148" t="s">
        <v>75</v>
      </c>
    </row>
    <row r="495" spans="1:37" ht="30" customHeight="1">
      <c r="A495" s="62"/>
      <c r="B495" s="62"/>
      <c r="C495" s="62"/>
      <c r="D495" s="62"/>
      <c r="E495" s="62"/>
      <c r="F495" s="62"/>
      <c r="G495" s="62"/>
      <c r="H495" s="62"/>
      <c r="I495" s="62"/>
      <c r="J495" s="62"/>
      <c r="K495" s="62"/>
      <c r="L495" s="62"/>
      <c r="M495" s="62"/>
      <c r="N495" s="186"/>
      <c r="O495" s="152"/>
      <c r="P495" s="90"/>
      <c r="Q495" s="140"/>
      <c r="R495" s="90"/>
      <c r="S495" s="140"/>
      <c r="T495" s="90"/>
      <c r="U495" s="140"/>
      <c r="V495" s="90"/>
      <c r="W495" s="140"/>
      <c r="X495" s="90"/>
      <c r="Y495" s="140"/>
      <c r="Z495" s="90"/>
      <c r="AA495" s="140"/>
      <c r="AB495" s="90"/>
      <c r="AC495" s="140"/>
      <c r="AD495" s="90"/>
      <c r="AE495" s="140"/>
      <c r="AF495" s="137" t="str">
        <f t="shared" si="25"/>
        <v/>
      </c>
      <c r="AG495" s="179" t="b">
        <f t="shared" si="24"/>
        <v>0</v>
      </c>
      <c r="AH495" s="140"/>
      <c r="AI495" s="147" t="s">
        <v>36</v>
      </c>
      <c r="AJ495" s="145">
        <f t="shared" si="26"/>
        <v>0</v>
      </c>
      <c r="AK495" s="148" t="s">
        <v>75</v>
      </c>
    </row>
    <row r="496" spans="1:37" ht="30" customHeight="1">
      <c r="A496" s="62"/>
      <c r="B496" s="62"/>
      <c r="C496" s="62"/>
      <c r="D496" s="62"/>
      <c r="E496" s="62"/>
      <c r="F496" s="62"/>
      <c r="G496" s="62"/>
      <c r="H496" s="62"/>
      <c r="I496" s="62"/>
      <c r="J496" s="62"/>
      <c r="K496" s="62"/>
      <c r="L496" s="62"/>
      <c r="M496" s="62"/>
      <c r="N496" s="186"/>
      <c r="O496" s="152"/>
      <c r="P496" s="90"/>
      <c r="Q496" s="140"/>
      <c r="R496" s="90"/>
      <c r="S496" s="140"/>
      <c r="T496" s="90"/>
      <c r="U496" s="140"/>
      <c r="V496" s="90"/>
      <c r="W496" s="140"/>
      <c r="X496" s="90"/>
      <c r="Y496" s="140"/>
      <c r="Z496" s="90"/>
      <c r="AA496" s="140"/>
      <c r="AB496" s="90"/>
      <c r="AC496" s="140"/>
      <c r="AD496" s="90"/>
      <c r="AE496" s="140"/>
      <c r="AF496" s="137" t="str">
        <f t="shared" si="25"/>
        <v/>
      </c>
      <c r="AG496" s="179" t="b">
        <f t="shared" si="24"/>
        <v>0</v>
      </c>
      <c r="AH496" s="140"/>
      <c r="AI496" s="147" t="s">
        <v>36</v>
      </c>
      <c r="AJ496" s="145">
        <f t="shared" si="26"/>
        <v>0</v>
      </c>
      <c r="AK496" s="148" t="s">
        <v>75</v>
      </c>
    </row>
    <row r="497" spans="1:37" ht="30" customHeight="1">
      <c r="A497" s="62"/>
      <c r="B497" s="62"/>
      <c r="C497" s="62"/>
      <c r="D497" s="62"/>
      <c r="E497" s="62"/>
      <c r="F497" s="62"/>
      <c r="G497" s="62"/>
      <c r="H497" s="62"/>
      <c r="I497" s="62"/>
      <c r="J497" s="62"/>
      <c r="K497" s="62"/>
      <c r="L497" s="62"/>
      <c r="M497" s="62"/>
      <c r="N497" s="186"/>
      <c r="O497" s="152"/>
      <c r="P497" s="90"/>
      <c r="Q497" s="140"/>
      <c r="R497" s="90"/>
      <c r="S497" s="140"/>
      <c r="T497" s="90"/>
      <c r="U497" s="140"/>
      <c r="V497" s="90"/>
      <c r="W497" s="140"/>
      <c r="X497" s="90"/>
      <c r="Y497" s="140"/>
      <c r="Z497" s="90"/>
      <c r="AA497" s="140"/>
      <c r="AB497" s="90"/>
      <c r="AC497" s="140"/>
      <c r="AD497" s="90"/>
      <c r="AE497" s="140"/>
      <c r="AF497" s="137" t="str">
        <f t="shared" si="25"/>
        <v/>
      </c>
      <c r="AG497" s="179" t="b">
        <f t="shared" si="24"/>
        <v>0</v>
      </c>
      <c r="AH497" s="140"/>
      <c r="AI497" s="147" t="s">
        <v>36</v>
      </c>
      <c r="AJ497" s="145">
        <f t="shared" si="26"/>
        <v>0</v>
      </c>
      <c r="AK497" s="148" t="s">
        <v>75</v>
      </c>
    </row>
    <row r="498" spans="1:37" ht="30" customHeight="1">
      <c r="A498" s="62"/>
      <c r="B498" s="62"/>
      <c r="C498" s="62"/>
      <c r="D498" s="62"/>
      <c r="E498" s="62"/>
      <c r="F498" s="62"/>
      <c r="G498" s="62"/>
      <c r="H498" s="62"/>
      <c r="I498" s="62"/>
      <c r="J498" s="62"/>
      <c r="K498" s="62"/>
      <c r="L498" s="62"/>
      <c r="M498" s="62"/>
      <c r="N498" s="186"/>
      <c r="O498" s="152"/>
      <c r="P498" s="90"/>
      <c r="Q498" s="140"/>
      <c r="R498" s="90"/>
      <c r="S498" s="140"/>
      <c r="T498" s="90"/>
      <c r="U498" s="140"/>
      <c r="V498" s="90"/>
      <c r="W498" s="140"/>
      <c r="X498" s="90"/>
      <c r="Y498" s="140"/>
      <c r="Z498" s="90"/>
      <c r="AA498" s="140"/>
      <c r="AB498" s="90"/>
      <c r="AC498" s="140"/>
      <c r="AD498" s="90"/>
      <c r="AE498" s="140"/>
      <c r="AF498" s="137" t="str">
        <f t="shared" si="25"/>
        <v/>
      </c>
      <c r="AG498" s="179" t="b">
        <f t="shared" si="24"/>
        <v>0</v>
      </c>
      <c r="AH498" s="140"/>
      <c r="AI498" s="147" t="s">
        <v>36</v>
      </c>
      <c r="AJ498" s="145">
        <f t="shared" si="26"/>
        <v>0</v>
      </c>
      <c r="AK498" s="148" t="s">
        <v>75</v>
      </c>
    </row>
    <row r="499" spans="1:37" ht="30" customHeight="1">
      <c r="A499" s="62"/>
      <c r="B499" s="62"/>
      <c r="C499" s="62"/>
      <c r="D499" s="62"/>
      <c r="E499" s="62"/>
      <c r="F499" s="62"/>
      <c r="G499" s="62"/>
      <c r="H499" s="62"/>
      <c r="I499" s="62"/>
      <c r="J499" s="62"/>
      <c r="K499" s="62"/>
      <c r="L499" s="62"/>
      <c r="M499" s="62"/>
      <c r="N499" s="186"/>
      <c r="O499" s="152"/>
      <c r="P499" s="90"/>
      <c r="Q499" s="140"/>
      <c r="R499" s="90"/>
      <c r="S499" s="140"/>
      <c r="T499" s="90"/>
      <c r="U499" s="140"/>
      <c r="V499" s="90"/>
      <c r="W499" s="140"/>
      <c r="X499" s="90"/>
      <c r="Y499" s="140"/>
      <c r="Z499" s="90"/>
      <c r="AA499" s="140"/>
      <c r="AB499" s="90"/>
      <c r="AC499" s="140"/>
      <c r="AD499" s="90"/>
      <c r="AE499" s="140"/>
      <c r="AF499" s="137" t="str">
        <f t="shared" si="25"/>
        <v/>
      </c>
      <c r="AG499" s="179" t="b">
        <f t="shared" si="24"/>
        <v>0</v>
      </c>
      <c r="AH499" s="140"/>
      <c r="AI499" s="147" t="s">
        <v>36</v>
      </c>
      <c r="AJ499" s="145">
        <f t="shared" si="26"/>
        <v>0</v>
      </c>
      <c r="AK499" s="148" t="s">
        <v>75</v>
      </c>
    </row>
    <row r="500" spans="1:37" ht="30" customHeight="1">
      <c r="A500" s="62"/>
      <c r="B500" s="62"/>
      <c r="C500" s="62"/>
      <c r="D500" s="62"/>
      <c r="E500" s="62"/>
      <c r="F500" s="62"/>
      <c r="G500" s="62"/>
      <c r="H500" s="62"/>
      <c r="I500" s="62"/>
      <c r="J500" s="62"/>
      <c r="K500" s="62"/>
      <c r="L500" s="62"/>
      <c r="M500" s="62"/>
      <c r="N500" s="186"/>
      <c r="O500" s="152"/>
      <c r="P500" s="90"/>
      <c r="Q500" s="140"/>
      <c r="R500" s="90"/>
      <c r="S500" s="140"/>
      <c r="T500" s="90"/>
      <c r="U500" s="140"/>
      <c r="V500" s="90"/>
      <c r="W500" s="140"/>
      <c r="X500" s="90"/>
      <c r="Y500" s="140"/>
      <c r="Z500" s="90"/>
      <c r="AA500" s="140"/>
      <c r="AB500" s="90"/>
      <c r="AC500" s="140"/>
      <c r="AD500" s="90"/>
      <c r="AE500" s="140"/>
      <c r="AF500" s="137" t="str">
        <f t="shared" si="25"/>
        <v/>
      </c>
      <c r="AG500" s="179" t="b">
        <f t="shared" si="24"/>
        <v>0</v>
      </c>
      <c r="AH500" s="140"/>
      <c r="AI500" s="147" t="s">
        <v>36</v>
      </c>
      <c r="AJ500" s="145">
        <f t="shared" si="26"/>
        <v>0</v>
      </c>
      <c r="AK500" s="148" t="s">
        <v>75</v>
      </c>
    </row>
    <row r="501" spans="1:37" ht="30" customHeight="1">
      <c r="A501" s="62"/>
      <c r="B501" s="62"/>
      <c r="C501" s="62"/>
      <c r="D501" s="62"/>
      <c r="E501" s="62"/>
      <c r="F501" s="62"/>
      <c r="G501" s="62"/>
      <c r="H501" s="62"/>
      <c r="I501" s="62"/>
      <c r="J501" s="62"/>
      <c r="K501" s="62"/>
      <c r="L501" s="62"/>
      <c r="M501" s="62"/>
      <c r="N501" s="186"/>
      <c r="O501" s="152"/>
      <c r="P501" s="90"/>
      <c r="Q501" s="140"/>
      <c r="R501" s="90"/>
      <c r="S501" s="140"/>
      <c r="T501" s="90"/>
      <c r="U501" s="140"/>
      <c r="V501" s="90"/>
      <c r="W501" s="140"/>
      <c r="X501" s="90"/>
      <c r="Y501" s="140"/>
      <c r="Z501" s="90"/>
      <c r="AA501" s="140"/>
      <c r="AB501" s="90"/>
      <c r="AC501" s="140"/>
      <c r="AD501" s="90"/>
      <c r="AE501" s="140"/>
      <c r="AF501" s="137" t="str">
        <f t="shared" si="25"/>
        <v/>
      </c>
      <c r="AG501" s="179" t="b">
        <f t="shared" si="24"/>
        <v>0</v>
      </c>
      <c r="AH501" s="140"/>
      <c r="AI501" s="147" t="s">
        <v>36</v>
      </c>
      <c r="AJ501" s="145">
        <f t="shared" si="26"/>
        <v>0</v>
      </c>
      <c r="AK501" s="148" t="s">
        <v>75</v>
      </c>
    </row>
    <row r="502" spans="1:37" ht="30" customHeight="1">
      <c r="A502" s="62"/>
      <c r="B502" s="62"/>
      <c r="C502" s="62"/>
      <c r="D502" s="62"/>
      <c r="E502" s="62"/>
      <c r="F502" s="62"/>
      <c r="G502" s="62"/>
      <c r="H502" s="62"/>
      <c r="I502" s="62"/>
      <c r="J502" s="62"/>
      <c r="K502" s="62"/>
      <c r="L502" s="62"/>
      <c r="M502" s="62"/>
      <c r="N502" s="186"/>
      <c r="O502" s="152"/>
      <c r="P502" s="90"/>
      <c r="Q502" s="140"/>
      <c r="R502" s="90"/>
      <c r="S502" s="140"/>
      <c r="T502" s="90"/>
      <c r="U502" s="140"/>
      <c r="V502" s="90"/>
      <c r="W502" s="140"/>
      <c r="X502" s="90"/>
      <c r="Y502" s="140"/>
      <c r="Z502" s="90"/>
      <c r="AA502" s="140"/>
      <c r="AB502" s="90"/>
      <c r="AC502" s="140"/>
      <c r="AD502" s="90"/>
      <c r="AE502" s="140"/>
      <c r="AF502" s="137" t="str">
        <f t="shared" si="25"/>
        <v/>
      </c>
      <c r="AG502" s="179" t="b">
        <f t="shared" si="24"/>
        <v>0</v>
      </c>
      <c r="AH502" s="140"/>
      <c r="AI502" s="147" t="s">
        <v>36</v>
      </c>
      <c r="AJ502" s="145">
        <f t="shared" si="26"/>
        <v>0</v>
      </c>
      <c r="AK502" s="148" t="s">
        <v>75</v>
      </c>
    </row>
    <row r="503" spans="1:37" ht="30" customHeight="1">
      <c r="A503" s="62"/>
      <c r="B503" s="62"/>
      <c r="C503" s="62"/>
      <c r="D503" s="62"/>
      <c r="E503" s="62"/>
      <c r="F503" s="62"/>
      <c r="G503" s="62"/>
      <c r="H503" s="62"/>
      <c r="I503" s="62"/>
      <c r="J503" s="62"/>
      <c r="K503" s="62"/>
      <c r="L503" s="62"/>
      <c r="M503" s="62"/>
      <c r="N503" s="186"/>
      <c r="O503" s="152"/>
      <c r="P503" s="90"/>
      <c r="Q503" s="140"/>
      <c r="R503" s="90"/>
      <c r="S503" s="140"/>
      <c r="T503" s="90"/>
      <c r="U503" s="140"/>
      <c r="V503" s="90"/>
      <c r="W503" s="140"/>
      <c r="X503" s="90"/>
      <c r="Y503" s="140"/>
      <c r="Z503" s="90"/>
      <c r="AA503" s="140"/>
      <c r="AB503" s="90"/>
      <c r="AC503" s="140"/>
      <c r="AD503" s="90"/>
      <c r="AE503" s="140"/>
      <c r="AF503" s="137" t="str">
        <f t="shared" si="25"/>
        <v/>
      </c>
      <c r="AG503" s="179" t="b">
        <f t="shared" si="24"/>
        <v>0</v>
      </c>
      <c r="AH503" s="140"/>
      <c r="AI503" s="147" t="s">
        <v>36</v>
      </c>
      <c r="AJ503" s="145">
        <f t="shared" si="26"/>
        <v>0</v>
      </c>
      <c r="AK503" s="148" t="s">
        <v>75</v>
      </c>
    </row>
    <row r="504" spans="1:37" ht="30" customHeight="1">
      <c r="A504" s="62"/>
      <c r="B504" s="62"/>
      <c r="C504" s="62"/>
      <c r="D504" s="62"/>
      <c r="E504" s="62"/>
      <c r="F504" s="62"/>
      <c r="G504" s="62"/>
      <c r="H504" s="62"/>
      <c r="I504" s="62"/>
      <c r="J504" s="62"/>
      <c r="K504" s="62"/>
      <c r="L504" s="62"/>
      <c r="M504" s="62"/>
      <c r="N504" s="186"/>
      <c r="O504" s="152"/>
      <c r="P504" s="90"/>
      <c r="Q504" s="140"/>
      <c r="R504" s="90"/>
      <c r="S504" s="140"/>
      <c r="T504" s="90"/>
      <c r="U504" s="140"/>
      <c r="V504" s="90"/>
      <c r="W504" s="140"/>
      <c r="X504" s="90"/>
      <c r="Y504" s="140"/>
      <c r="Z504" s="90"/>
      <c r="AA504" s="140"/>
      <c r="AB504" s="90"/>
      <c r="AC504" s="140"/>
      <c r="AD504" s="90"/>
      <c r="AE504" s="140"/>
      <c r="AF504" s="137" t="str">
        <f t="shared" si="25"/>
        <v/>
      </c>
      <c r="AG504" s="179" t="b">
        <f t="shared" si="24"/>
        <v>0</v>
      </c>
      <c r="AH504" s="140"/>
      <c r="AI504" s="147" t="s">
        <v>36</v>
      </c>
      <c r="AJ504" s="145">
        <f t="shared" si="26"/>
        <v>0</v>
      </c>
      <c r="AK504" s="148" t="s">
        <v>75</v>
      </c>
    </row>
    <row r="505" spans="1:37" ht="30" customHeight="1">
      <c r="A505" s="62"/>
      <c r="B505" s="62"/>
      <c r="C505" s="62"/>
      <c r="D505" s="62"/>
      <c r="E505" s="62"/>
      <c r="F505" s="62"/>
      <c r="G505" s="62"/>
      <c r="H505" s="62"/>
      <c r="I505" s="62"/>
      <c r="J505" s="62"/>
      <c r="K505" s="62"/>
      <c r="L505" s="62"/>
      <c r="M505" s="62"/>
      <c r="N505" s="186"/>
      <c r="O505" s="152"/>
      <c r="P505" s="90"/>
      <c r="Q505" s="140"/>
      <c r="R505" s="90"/>
      <c r="S505" s="140"/>
      <c r="T505" s="90"/>
      <c r="U505" s="140"/>
      <c r="V505" s="90"/>
      <c r="W505" s="140"/>
      <c r="X505" s="90"/>
      <c r="Y505" s="140"/>
      <c r="Z505" s="90"/>
      <c r="AA505" s="140"/>
      <c r="AB505" s="90"/>
      <c r="AC505" s="140"/>
      <c r="AD505" s="90"/>
      <c r="AE505" s="140"/>
      <c r="AF505" s="137" t="str">
        <f t="shared" si="25"/>
        <v/>
      </c>
      <c r="AG505" s="179" t="b">
        <f t="shared" si="24"/>
        <v>0</v>
      </c>
      <c r="AH505" s="140"/>
      <c r="AI505" s="147" t="s">
        <v>36</v>
      </c>
      <c r="AJ505" s="145">
        <f t="shared" si="26"/>
        <v>0</v>
      </c>
      <c r="AK505" s="148" t="s">
        <v>75</v>
      </c>
    </row>
    <row r="506" spans="1:37" ht="30" customHeight="1">
      <c r="A506" s="62"/>
      <c r="B506" s="62"/>
      <c r="C506" s="62"/>
      <c r="D506" s="62"/>
      <c r="E506" s="62"/>
      <c r="F506" s="62"/>
      <c r="G506" s="62"/>
      <c r="H506" s="62"/>
      <c r="I506" s="62"/>
      <c r="J506" s="62"/>
      <c r="K506" s="62"/>
      <c r="L506" s="62"/>
      <c r="M506" s="62"/>
      <c r="N506" s="186"/>
      <c r="O506" s="152"/>
      <c r="P506" s="90"/>
      <c r="Q506" s="140"/>
      <c r="R506" s="90"/>
      <c r="S506" s="140"/>
      <c r="T506" s="90"/>
      <c r="U506" s="140"/>
      <c r="V506" s="90"/>
      <c r="W506" s="140"/>
      <c r="X506" s="90"/>
      <c r="Y506" s="140"/>
      <c r="Z506" s="90"/>
      <c r="AA506" s="140"/>
      <c r="AB506" s="90"/>
      <c r="AC506" s="140"/>
      <c r="AD506" s="90"/>
      <c r="AE506" s="140"/>
      <c r="AF506" s="137" t="str">
        <f t="shared" si="25"/>
        <v/>
      </c>
      <c r="AG506" s="179" t="b">
        <f t="shared" si="24"/>
        <v>0</v>
      </c>
      <c r="AH506" s="140"/>
      <c r="AI506" s="147" t="s">
        <v>36</v>
      </c>
      <c r="AJ506" s="145">
        <f t="shared" si="26"/>
        <v>0</v>
      </c>
      <c r="AK506" s="148" t="s">
        <v>75</v>
      </c>
    </row>
    <row r="507" spans="1:37" ht="30" customHeight="1">
      <c r="A507" s="62"/>
      <c r="B507" s="62"/>
      <c r="C507" s="62"/>
      <c r="D507" s="62"/>
      <c r="E507" s="62"/>
      <c r="F507" s="62"/>
      <c r="G507" s="62"/>
      <c r="H507" s="62"/>
      <c r="I507" s="62"/>
      <c r="J507" s="62"/>
      <c r="K507" s="62"/>
      <c r="L507" s="62"/>
      <c r="M507" s="62"/>
      <c r="N507" s="186"/>
      <c r="O507" s="152"/>
      <c r="P507" s="90"/>
      <c r="Q507" s="140"/>
      <c r="R507" s="90"/>
      <c r="S507" s="140"/>
      <c r="T507" s="90"/>
      <c r="U507" s="140"/>
      <c r="V507" s="90"/>
      <c r="W507" s="140"/>
      <c r="X507" s="90"/>
      <c r="Y507" s="140"/>
      <c r="Z507" s="90"/>
      <c r="AA507" s="140"/>
      <c r="AB507" s="90"/>
      <c r="AC507" s="140"/>
      <c r="AD507" s="90"/>
      <c r="AE507" s="140"/>
      <c r="AF507" s="137" t="str">
        <f t="shared" si="25"/>
        <v/>
      </c>
      <c r="AG507" s="179" t="b">
        <f t="shared" si="24"/>
        <v>0</v>
      </c>
      <c r="AH507" s="140"/>
      <c r="AI507" s="147" t="s">
        <v>36</v>
      </c>
      <c r="AJ507" s="145">
        <f t="shared" si="26"/>
        <v>0</v>
      </c>
      <c r="AK507" s="148" t="s">
        <v>75</v>
      </c>
    </row>
    <row r="508" spans="1:37" ht="30" customHeight="1">
      <c r="A508" s="62"/>
      <c r="B508" s="62"/>
      <c r="C508" s="62"/>
      <c r="D508" s="62"/>
      <c r="E508" s="62"/>
      <c r="F508" s="62"/>
      <c r="G508" s="62"/>
      <c r="H508" s="62"/>
      <c r="I508" s="62"/>
      <c r="J508" s="62"/>
      <c r="K508" s="62"/>
      <c r="L508" s="62"/>
      <c r="M508" s="62"/>
      <c r="N508" s="186"/>
      <c r="O508" s="152"/>
      <c r="P508" s="90"/>
      <c r="Q508" s="140"/>
      <c r="R508" s="90"/>
      <c r="S508" s="140"/>
      <c r="T508" s="90"/>
      <c r="U508" s="140"/>
      <c r="V508" s="90"/>
      <c r="W508" s="140"/>
      <c r="X508" s="90"/>
      <c r="Y508" s="140"/>
      <c r="Z508" s="90"/>
      <c r="AA508" s="140"/>
      <c r="AB508" s="90"/>
      <c r="AC508" s="140"/>
      <c r="AD508" s="90"/>
      <c r="AE508" s="140"/>
      <c r="AF508" s="137" t="str">
        <f t="shared" si="25"/>
        <v/>
      </c>
      <c r="AG508" s="179" t="b">
        <f t="shared" si="24"/>
        <v>0</v>
      </c>
      <c r="AH508" s="140"/>
      <c r="AI508" s="147" t="s">
        <v>36</v>
      </c>
      <c r="AJ508" s="145">
        <f t="shared" si="26"/>
        <v>0</v>
      </c>
      <c r="AK508" s="148" t="s">
        <v>75</v>
      </c>
    </row>
    <row r="509" spans="1:37" ht="30" customHeight="1">
      <c r="A509" s="62"/>
      <c r="B509" s="62"/>
      <c r="C509" s="62"/>
      <c r="D509" s="62"/>
      <c r="E509" s="62"/>
      <c r="F509" s="62"/>
      <c r="G509" s="62"/>
      <c r="H509" s="62"/>
      <c r="I509" s="62"/>
      <c r="J509" s="62"/>
      <c r="K509" s="62"/>
      <c r="L509" s="62"/>
      <c r="M509" s="62"/>
      <c r="N509" s="186"/>
      <c r="O509" s="152"/>
      <c r="P509" s="90"/>
      <c r="Q509" s="140"/>
      <c r="R509" s="90"/>
      <c r="S509" s="140"/>
      <c r="T509" s="90"/>
      <c r="U509" s="140"/>
      <c r="V509" s="90"/>
      <c r="W509" s="140"/>
      <c r="X509" s="90"/>
      <c r="Y509" s="140"/>
      <c r="Z509" s="90"/>
      <c r="AA509" s="140"/>
      <c r="AB509" s="90"/>
      <c r="AC509" s="140"/>
      <c r="AD509" s="90"/>
      <c r="AE509" s="140"/>
      <c r="AF509" s="137" t="str">
        <f t="shared" si="25"/>
        <v/>
      </c>
      <c r="AG509" s="179" t="b">
        <f t="shared" si="24"/>
        <v>0</v>
      </c>
      <c r="AH509" s="140"/>
      <c r="AI509" s="147" t="s">
        <v>36</v>
      </c>
      <c r="AJ509" s="145">
        <f t="shared" si="26"/>
        <v>0</v>
      </c>
      <c r="AK509" s="148" t="s">
        <v>75</v>
      </c>
    </row>
    <row r="510" spans="1:37" ht="30" customHeight="1">
      <c r="A510" s="62"/>
      <c r="B510" s="62"/>
      <c r="C510" s="62"/>
      <c r="D510" s="62"/>
      <c r="E510" s="62"/>
      <c r="F510" s="62"/>
      <c r="G510" s="62"/>
      <c r="H510" s="62"/>
      <c r="I510" s="62"/>
      <c r="J510" s="62"/>
      <c r="K510" s="62"/>
      <c r="L510" s="62"/>
      <c r="M510" s="62"/>
      <c r="N510" s="186"/>
      <c r="O510" s="152"/>
      <c r="P510" s="90"/>
      <c r="Q510" s="140"/>
      <c r="R510" s="90"/>
      <c r="S510" s="140"/>
      <c r="T510" s="90"/>
      <c r="U510" s="140"/>
      <c r="V510" s="90"/>
      <c r="W510" s="140"/>
      <c r="X510" s="90"/>
      <c r="Y510" s="140"/>
      <c r="Z510" s="90"/>
      <c r="AA510" s="140"/>
      <c r="AB510" s="90"/>
      <c r="AC510" s="140"/>
      <c r="AD510" s="90"/>
      <c r="AE510" s="140"/>
      <c r="AF510" s="137" t="str">
        <f t="shared" si="25"/>
        <v/>
      </c>
      <c r="AG510" s="179" t="b">
        <f t="shared" si="24"/>
        <v>0</v>
      </c>
      <c r="AH510" s="140"/>
      <c r="AI510" s="147" t="s">
        <v>36</v>
      </c>
      <c r="AJ510" s="145">
        <f t="shared" si="26"/>
        <v>0</v>
      </c>
      <c r="AK510" s="148" t="s">
        <v>75</v>
      </c>
    </row>
    <row r="511" spans="1:37" ht="30" customHeight="1">
      <c r="A511" s="62"/>
      <c r="B511" s="62"/>
      <c r="C511" s="62"/>
      <c r="D511" s="62"/>
      <c r="E511" s="62"/>
      <c r="F511" s="62"/>
      <c r="G511" s="62"/>
      <c r="H511" s="62"/>
      <c r="I511" s="62"/>
      <c r="J511" s="62"/>
      <c r="K511" s="62"/>
      <c r="L511" s="62"/>
      <c r="M511" s="62"/>
      <c r="N511" s="186"/>
      <c r="O511" s="152"/>
      <c r="P511" s="90"/>
      <c r="Q511" s="140"/>
      <c r="R511" s="90"/>
      <c r="S511" s="140"/>
      <c r="T511" s="90"/>
      <c r="U511" s="140"/>
      <c r="V511" s="90"/>
      <c r="W511" s="140"/>
      <c r="X511" s="90"/>
      <c r="Y511" s="140"/>
      <c r="Z511" s="90"/>
      <c r="AA511" s="140"/>
      <c r="AB511" s="90"/>
      <c r="AC511" s="140"/>
      <c r="AD511" s="90"/>
      <c r="AE511" s="140"/>
      <c r="AF511" s="137" t="str">
        <f t="shared" si="25"/>
        <v/>
      </c>
      <c r="AG511" s="179" t="b">
        <f t="shared" si="24"/>
        <v>0</v>
      </c>
      <c r="AH511" s="140"/>
      <c r="AI511" s="147" t="s">
        <v>36</v>
      </c>
      <c r="AJ511" s="145">
        <f t="shared" si="26"/>
        <v>0</v>
      </c>
      <c r="AK511" s="148" t="s">
        <v>75</v>
      </c>
    </row>
    <row r="512" spans="1:37" ht="30" customHeight="1">
      <c r="A512" s="62"/>
      <c r="B512" s="62"/>
      <c r="C512" s="62"/>
      <c r="D512" s="62"/>
      <c r="E512" s="62"/>
      <c r="F512" s="62"/>
      <c r="G512" s="62"/>
      <c r="H512" s="62"/>
      <c r="I512" s="62"/>
      <c r="J512" s="62"/>
      <c r="K512" s="62"/>
      <c r="L512" s="62"/>
      <c r="M512" s="62"/>
      <c r="N512" s="186"/>
      <c r="O512" s="152"/>
      <c r="P512" s="90"/>
      <c r="Q512" s="140"/>
      <c r="R512" s="90"/>
      <c r="S512" s="140"/>
      <c r="T512" s="90"/>
      <c r="U512" s="140"/>
      <c r="V512" s="90"/>
      <c r="W512" s="140"/>
      <c r="X512" s="90"/>
      <c r="Y512" s="140"/>
      <c r="Z512" s="90"/>
      <c r="AA512" s="140"/>
      <c r="AB512" s="90"/>
      <c r="AC512" s="140"/>
      <c r="AD512" s="90"/>
      <c r="AE512" s="140"/>
      <c r="AF512" s="137" t="str">
        <f t="shared" si="25"/>
        <v/>
      </c>
      <c r="AG512" s="179" t="b">
        <f t="shared" ref="AG512:AG575" si="27">IF(AND(AE512="C",AF512="C"),"UTILIZOU O PDA CORRETAMENTE",IF(AND(AE512="C",AF512="NC"),"UTILIZOU O PDA CORRETAMENTE. NÃO HÁ FOTOS DE TODAS AS ETAPAS",IF(AND(AE512="NC",AF512="NC"),"NÃO UTILIZOU O PDA",IF(AND(AE512="NA",AF512="NA"),"NÃO AVALIADO POR FALHA DE SINCRONISMO"))))</f>
        <v>0</v>
      </c>
      <c r="AH512" s="140"/>
      <c r="AI512" s="147" t="s">
        <v>36</v>
      </c>
      <c r="AJ512" s="145">
        <f t="shared" si="26"/>
        <v>0</v>
      </c>
      <c r="AK512" s="148" t="s">
        <v>75</v>
      </c>
    </row>
    <row r="513" spans="1:37" ht="30" customHeight="1">
      <c r="A513" s="62"/>
      <c r="B513" s="62"/>
      <c r="C513" s="62"/>
      <c r="D513" s="62"/>
      <c r="E513" s="62"/>
      <c r="F513" s="62"/>
      <c r="G513" s="62"/>
      <c r="H513" s="62"/>
      <c r="I513" s="62"/>
      <c r="J513" s="62"/>
      <c r="K513" s="62"/>
      <c r="L513" s="62"/>
      <c r="M513" s="62"/>
      <c r="N513" s="186"/>
      <c r="O513" s="152"/>
      <c r="P513" s="90"/>
      <c r="Q513" s="140"/>
      <c r="R513" s="90"/>
      <c r="S513" s="140"/>
      <c r="T513" s="90"/>
      <c r="U513" s="140"/>
      <c r="V513" s="90"/>
      <c r="W513" s="140"/>
      <c r="X513" s="90"/>
      <c r="Y513" s="140"/>
      <c r="Z513" s="90"/>
      <c r="AA513" s="140"/>
      <c r="AB513" s="90"/>
      <c r="AC513" s="140"/>
      <c r="AD513" s="90"/>
      <c r="AE513" s="140"/>
      <c r="AF513" s="137" t="str">
        <f t="shared" ref="AF513:AF576" si="28">IF(AND(O513="",Q513="",S513="",U513="",W513="",Y513="",AA513="",AC513=""),"",IF(OR(AND(O513&lt;&gt;"NA",O513&lt;&gt;"C",O513&lt;&gt;"NC",O513&lt;&gt;"SF",O513&lt;&gt;""),AND(Q513&lt;&gt;"NA",Q513&lt;&gt;"C",Q513&lt;&gt;"NC",Q513&lt;&gt;"SF",Q513&lt;&gt;""),AND(S513&lt;&gt;"NA",S513&lt;&gt;"C",S513&lt;&gt;"NC",S513&lt;&gt;"SF",S513&lt;&gt;""),AND(U513&lt;&gt;"NA",U513&lt;&gt;"C",U513&lt;&gt;"NC",U513&lt;&gt;"SF",U513&lt;&gt;""),AND(W513&lt;&gt;"NA",W513&lt;&gt;"C",W513&lt;&gt;"NC",W513&lt;&gt;"SF",W513&lt;&gt;""),AND(Y513&lt;&gt;"NA",Y513&lt;&gt;"C",Y513&lt;&gt;"NC",Y513&lt;&gt;"SF",Y513&lt;&gt;""),AND(AA513&lt;&gt;"NA",AA513&lt;&gt;"C",AA513&lt;&gt;"NC",AA513&lt;&gt;"SF",AA513&lt;&gt;""),AND(AC513&lt;&gt;"NA",AC513&lt;&gt;"C",AC513&lt;&gt;"NC",AC513&lt;&gt;"SF",AC513&lt;&gt;"")),"FALSO",IF(AND(O513="NA",Q513="NA",S513="NA",U513="NA",W513="NA",Y513="NA",AA513="NA",AC513="NA"),"NA",IF(OR(O513="NC",Q513="NC",S513="NC",U513="NC",W513="NC",Y513="NC",AA513="NC",AC513="NC",O513="SF",Q513="SF",S513="SF",U513="SF",W513="SF",Y513="SF",AA513="SF",AC513="SF"),"NC",IF(OR(O513="C",Q513="C",S513="C",U513="C",W513="C",Y513="C",AA513="C",AC513="C"),"C","")))))</f>
        <v/>
      </c>
      <c r="AG513" s="179" t="b">
        <f t="shared" si="27"/>
        <v>0</v>
      </c>
      <c r="AH513" s="140"/>
      <c r="AI513" s="147" t="s">
        <v>36</v>
      </c>
      <c r="AJ513" s="145">
        <f t="shared" si="26"/>
        <v>0</v>
      </c>
      <c r="AK513" s="148" t="s">
        <v>75</v>
      </c>
    </row>
    <row r="514" spans="1:37" ht="30" customHeight="1">
      <c r="A514" s="62"/>
      <c r="B514" s="62"/>
      <c r="C514" s="62"/>
      <c r="D514" s="62"/>
      <c r="E514" s="62"/>
      <c r="F514" s="62"/>
      <c r="G514" s="62"/>
      <c r="H514" s="62"/>
      <c r="I514" s="62"/>
      <c r="J514" s="62"/>
      <c r="K514" s="62"/>
      <c r="L514" s="62"/>
      <c r="M514" s="62"/>
      <c r="N514" s="186"/>
      <c r="O514" s="152"/>
      <c r="P514" s="90"/>
      <c r="Q514" s="140"/>
      <c r="R514" s="90"/>
      <c r="S514" s="140"/>
      <c r="T514" s="90"/>
      <c r="U514" s="140"/>
      <c r="V514" s="90"/>
      <c r="W514" s="140"/>
      <c r="X514" s="90"/>
      <c r="Y514" s="140"/>
      <c r="Z514" s="90"/>
      <c r="AA514" s="140"/>
      <c r="AB514" s="90"/>
      <c r="AC514" s="140"/>
      <c r="AD514" s="90"/>
      <c r="AE514" s="140"/>
      <c r="AF514" s="137" t="str">
        <f t="shared" si="28"/>
        <v/>
      </c>
      <c r="AG514" s="179" t="b">
        <f t="shared" si="27"/>
        <v>0</v>
      </c>
      <c r="AH514" s="140"/>
      <c r="AI514" s="147" t="s">
        <v>36</v>
      </c>
      <c r="AJ514" s="145">
        <f t="shared" si="26"/>
        <v>0</v>
      </c>
      <c r="AK514" s="148" t="s">
        <v>75</v>
      </c>
    </row>
    <row r="515" spans="1:37" ht="30" customHeight="1">
      <c r="A515" s="62"/>
      <c r="B515" s="62"/>
      <c r="C515" s="62"/>
      <c r="D515" s="62"/>
      <c r="E515" s="62"/>
      <c r="F515" s="62"/>
      <c r="G515" s="62"/>
      <c r="H515" s="62"/>
      <c r="I515" s="62"/>
      <c r="J515" s="62"/>
      <c r="K515" s="62"/>
      <c r="L515" s="62"/>
      <c r="M515" s="62"/>
      <c r="N515" s="186"/>
      <c r="O515" s="152"/>
      <c r="P515" s="90"/>
      <c r="Q515" s="140"/>
      <c r="R515" s="90"/>
      <c r="S515" s="140"/>
      <c r="T515" s="90"/>
      <c r="U515" s="140"/>
      <c r="V515" s="90"/>
      <c r="W515" s="140"/>
      <c r="X515" s="90"/>
      <c r="Y515" s="140"/>
      <c r="Z515" s="90"/>
      <c r="AA515" s="140"/>
      <c r="AB515" s="90"/>
      <c r="AC515" s="140"/>
      <c r="AD515" s="90"/>
      <c r="AE515" s="140"/>
      <c r="AF515" s="137" t="str">
        <f t="shared" si="28"/>
        <v/>
      </c>
      <c r="AG515" s="179" t="b">
        <f t="shared" si="27"/>
        <v>0</v>
      </c>
      <c r="AH515" s="140"/>
      <c r="AI515" s="147" t="s">
        <v>36</v>
      </c>
      <c r="AJ515" s="145">
        <f t="shared" si="26"/>
        <v>0</v>
      </c>
      <c r="AK515" s="148" t="s">
        <v>75</v>
      </c>
    </row>
    <row r="516" spans="1:37" ht="30" customHeight="1">
      <c r="A516" s="62"/>
      <c r="B516" s="62"/>
      <c r="C516" s="62"/>
      <c r="D516" s="62"/>
      <c r="E516" s="62"/>
      <c r="F516" s="62"/>
      <c r="G516" s="62"/>
      <c r="H516" s="62"/>
      <c r="I516" s="62"/>
      <c r="J516" s="62"/>
      <c r="K516" s="62"/>
      <c r="L516" s="62"/>
      <c r="M516" s="62"/>
      <c r="N516" s="186"/>
      <c r="O516" s="152"/>
      <c r="P516" s="90"/>
      <c r="Q516" s="140"/>
      <c r="R516" s="90"/>
      <c r="S516" s="140"/>
      <c r="T516" s="90"/>
      <c r="U516" s="140"/>
      <c r="V516" s="90"/>
      <c r="W516" s="140"/>
      <c r="X516" s="90"/>
      <c r="Y516" s="140"/>
      <c r="Z516" s="90"/>
      <c r="AA516" s="140"/>
      <c r="AB516" s="90"/>
      <c r="AC516" s="140"/>
      <c r="AD516" s="90"/>
      <c r="AE516" s="140"/>
      <c r="AF516" s="137" t="str">
        <f t="shared" si="28"/>
        <v/>
      </c>
      <c r="AG516" s="179" t="b">
        <f t="shared" si="27"/>
        <v>0</v>
      </c>
      <c r="AH516" s="140"/>
      <c r="AI516" s="147" t="s">
        <v>36</v>
      </c>
      <c r="AJ516" s="145">
        <f t="shared" si="26"/>
        <v>0</v>
      </c>
      <c r="AK516" s="148" t="s">
        <v>75</v>
      </c>
    </row>
    <row r="517" spans="1:37" ht="30" customHeight="1">
      <c r="A517" s="62"/>
      <c r="B517" s="62"/>
      <c r="C517" s="62"/>
      <c r="D517" s="62"/>
      <c r="E517" s="62"/>
      <c r="F517" s="62"/>
      <c r="G517" s="62"/>
      <c r="H517" s="62"/>
      <c r="I517" s="62"/>
      <c r="J517" s="62"/>
      <c r="K517" s="62"/>
      <c r="L517" s="62"/>
      <c r="M517" s="62"/>
      <c r="N517" s="186"/>
      <c r="O517" s="152"/>
      <c r="P517" s="90"/>
      <c r="Q517" s="140"/>
      <c r="R517" s="90"/>
      <c r="S517" s="140"/>
      <c r="T517" s="90"/>
      <c r="U517" s="140"/>
      <c r="V517" s="90"/>
      <c r="W517" s="140"/>
      <c r="X517" s="90"/>
      <c r="Y517" s="140"/>
      <c r="Z517" s="90"/>
      <c r="AA517" s="140"/>
      <c r="AB517" s="90"/>
      <c r="AC517" s="140"/>
      <c r="AD517" s="90"/>
      <c r="AE517" s="140"/>
      <c r="AF517" s="137" t="str">
        <f t="shared" si="28"/>
        <v/>
      </c>
      <c r="AG517" s="179" t="b">
        <f t="shared" si="27"/>
        <v>0</v>
      </c>
      <c r="AH517" s="140"/>
      <c r="AI517" s="147" t="s">
        <v>36</v>
      </c>
      <c r="AJ517" s="145">
        <f t="shared" si="26"/>
        <v>0</v>
      </c>
      <c r="AK517" s="148" t="s">
        <v>75</v>
      </c>
    </row>
    <row r="518" spans="1:37" ht="30" customHeight="1">
      <c r="A518" s="62"/>
      <c r="B518" s="62"/>
      <c r="C518" s="62"/>
      <c r="D518" s="62"/>
      <c r="E518" s="62"/>
      <c r="F518" s="62"/>
      <c r="G518" s="62"/>
      <c r="H518" s="62"/>
      <c r="I518" s="62"/>
      <c r="J518" s="62"/>
      <c r="K518" s="62"/>
      <c r="L518" s="62"/>
      <c r="M518" s="62"/>
      <c r="N518" s="186"/>
      <c r="O518" s="152"/>
      <c r="P518" s="90"/>
      <c r="Q518" s="140"/>
      <c r="R518" s="90"/>
      <c r="S518" s="140"/>
      <c r="T518" s="90"/>
      <c r="U518" s="140"/>
      <c r="V518" s="90"/>
      <c r="W518" s="140"/>
      <c r="X518" s="90"/>
      <c r="Y518" s="140"/>
      <c r="Z518" s="90"/>
      <c r="AA518" s="140"/>
      <c r="AB518" s="90"/>
      <c r="AC518" s="140"/>
      <c r="AD518" s="90"/>
      <c r="AE518" s="140"/>
      <c r="AF518" s="137" t="str">
        <f t="shared" si="28"/>
        <v/>
      </c>
      <c r="AG518" s="179" t="b">
        <f t="shared" si="27"/>
        <v>0</v>
      </c>
      <c r="AH518" s="140"/>
      <c r="AI518" s="147" t="s">
        <v>36</v>
      </c>
      <c r="AJ518" s="145">
        <f t="shared" si="26"/>
        <v>0</v>
      </c>
      <c r="AK518" s="148" t="s">
        <v>75</v>
      </c>
    </row>
    <row r="519" spans="1:37" ht="30" customHeight="1">
      <c r="A519" s="62"/>
      <c r="B519" s="62"/>
      <c r="C519" s="62"/>
      <c r="D519" s="62"/>
      <c r="E519" s="62"/>
      <c r="F519" s="62"/>
      <c r="G519" s="62"/>
      <c r="H519" s="62"/>
      <c r="I519" s="62"/>
      <c r="J519" s="62"/>
      <c r="K519" s="62"/>
      <c r="L519" s="62"/>
      <c r="M519" s="62"/>
      <c r="N519" s="186"/>
      <c r="O519" s="152"/>
      <c r="P519" s="90"/>
      <c r="Q519" s="140"/>
      <c r="R519" s="90"/>
      <c r="S519" s="140"/>
      <c r="T519" s="90"/>
      <c r="U519" s="140"/>
      <c r="V519" s="90"/>
      <c r="W519" s="140"/>
      <c r="X519" s="90"/>
      <c r="Y519" s="140"/>
      <c r="Z519" s="90"/>
      <c r="AA519" s="140"/>
      <c r="AB519" s="90"/>
      <c r="AC519" s="140"/>
      <c r="AD519" s="90"/>
      <c r="AE519" s="140"/>
      <c r="AF519" s="137" t="str">
        <f t="shared" si="28"/>
        <v/>
      </c>
      <c r="AG519" s="179" t="b">
        <f t="shared" si="27"/>
        <v>0</v>
      </c>
      <c r="AH519" s="140"/>
      <c r="AI519" s="147" t="s">
        <v>36</v>
      </c>
      <c r="AJ519" s="145">
        <f t="shared" si="26"/>
        <v>0</v>
      </c>
      <c r="AK519" s="148" t="s">
        <v>75</v>
      </c>
    </row>
    <row r="520" spans="1:37" ht="30" customHeight="1">
      <c r="A520" s="62"/>
      <c r="B520" s="62"/>
      <c r="C520" s="62"/>
      <c r="D520" s="62"/>
      <c r="E520" s="62"/>
      <c r="F520" s="62"/>
      <c r="G520" s="62"/>
      <c r="H520" s="62"/>
      <c r="I520" s="62"/>
      <c r="J520" s="62"/>
      <c r="K520" s="62"/>
      <c r="L520" s="62"/>
      <c r="M520" s="62"/>
      <c r="N520" s="186"/>
      <c r="O520" s="152"/>
      <c r="P520" s="90"/>
      <c r="Q520" s="140"/>
      <c r="R520" s="90"/>
      <c r="S520" s="140"/>
      <c r="T520" s="90"/>
      <c r="U520" s="140"/>
      <c r="V520" s="90"/>
      <c r="W520" s="140"/>
      <c r="X520" s="90"/>
      <c r="Y520" s="140"/>
      <c r="Z520" s="90"/>
      <c r="AA520" s="140"/>
      <c r="AB520" s="90"/>
      <c r="AC520" s="140"/>
      <c r="AD520" s="90"/>
      <c r="AE520" s="140"/>
      <c r="AF520" s="137" t="str">
        <f t="shared" si="28"/>
        <v/>
      </c>
      <c r="AG520" s="179" t="b">
        <f t="shared" si="27"/>
        <v>0</v>
      </c>
      <c r="AH520" s="140"/>
      <c r="AI520" s="147" t="s">
        <v>36</v>
      </c>
      <c r="AJ520" s="145">
        <f t="shared" si="26"/>
        <v>0</v>
      </c>
      <c r="AK520" s="148" t="s">
        <v>75</v>
      </c>
    </row>
    <row r="521" spans="1:37" ht="30" customHeight="1">
      <c r="A521" s="62"/>
      <c r="B521" s="62"/>
      <c r="C521" s="62"/>
      <c r="D521" s="62"/>
      <c r="E521" s="62"/>
      <c r="F521" s="62"/>
      <c r="G521" s="62"/>
      <c r="H521" s="62"/>
      <c r="I521" s="62"/>
      <c r="J521" s="62"/>
      <c r="K521" s="62"/>
      <c r="L521" s="62"/>
      <c r="M521" s="62"/>
      <c r="N521" s="186"/>
      <c r="O521" s="152"/>
      <c r="P521" s="90"/>
      <c r="Q521" s="140"/>
      <c r="R521" s="90"/>
      <c r="S521" s="140"/>
      <c r="T521" s="90"/>
      <c r="U521" s="140"/>
      <c r="V521" s="90"/>
      <c r="W521" s="140"/>
      <c r="X521" s="90"/>
      <c r="Y521" s="140"/>
      <c r="Z521" s="90"/>
      <c r="AA521" s="140"/>
      <c r="AB521" s="90"/>
      <c r="AC521" s="140"/>
      <c r="AD521" s="90"/>
      <c r="AE521" s="140"/>
      <c r="AF521" s="137" t="str">
        <f t="shared" si="28"/>
        <v/>
      </c>
      <c r="AG521" s="179" t="b">
        <f t="shared" si="27"/>
        <v>0</v>
      </c>
      <c r="AH521" s="140"/>
      <c r="AI521" s="147" t="s">
        <v>36</v>
      </c>
      <c r="AJ521" s="145">
        <f t="shared" si="26"/>
        <v>0</v>
      </c>
      <c r="AK521" s="148" t="s">
        <v>75</v>
      </c>
    </row>
    <row r="522" spans="1:37" ht="30" customHeight="1">
      <c r="A522" s="62"/>
      <c r="B522" s="62"/>
      <c r="C522" s="62"/>
      <c r="D522" s="62"/>
      <c r="E522" s="62"/>
      <c r="F522" s="62"/>
      <c r="G522" s="62"/>
      <c r="H522" s="62"/>
      <c r="I522" s="62"/>
      <c r="J522" s="62"/>
      <c r="K522" s="62"/>
      <c r="L522" s="62"/>
      <c r="M522" s="62"/>
      <c r="N522" s="186"/>
      <c r="O522" s="152"/>
      <c r="P522" s="90"/>
      <c r="Q522" s="140"/>
      <c r="R522" s="90"/>
      <c r="S522" s="140"/>
      <c r="T522" s="90"/>
      <c r="U522" s="140"/>
      <c r="V522" s="90"/>
      <c r="W522" s="140"/>
      <c r="X522" s="90"/>
      <c r="Y522" s="140"/>
      <c r="Z522" s="90"/>
      <c r="AA522" s="140"/>
      <c r="AB522" s="90"/>
      <c r="AC522" s="140"/>
      <c r="AD522" s="90"/>
      <c r="AE522" s="140"/>
      <c r="AF522" s="137" t="str">
        <f t="shared" si="28"/>
        <v/>
      </c>
      <c r="AG522" s="179" t="b">
        <f t="shared" si="27"/>
        <v>0</v>
      </c>
      <c r="AH522" s="140"/>
      <c r="AI522" s="147" t="s">
        <v>36</v>
      </c>
      <c r="AJ522" s="145">
        <f t="shared" si="26"/>
        <v>0</v>
      </c>
      <c r="AK522" s="148" t="s">
        <v>75</v>
      </c>
    </row>
    <row r="523" spans="1:37" ht="30" customHeight="1">
      <c r="A523" s="62"/>
      <c r="B523" s="62"/>
      <c r="C523" s="62"/>
      <c r="D523" s="62"/>
      <c r="E523" s="62"/>
      <c r="F523" s="62"/>
      <c r="G523" s="62"/>
      <c r="H523" s="62"/>
      <c r="I523" s="62"/>
      <c r="J523" s="62"/>
      <c r="K523" s="62"/>
      <c r="L523" s="62"/>
      <c r="M523" s="62"/>
      <c r="N523" s="186"/>
      <c r="O523" s="152"/>
      <c r="P523" s="90"/>
      <c r="Q523" s="140"/>
      <c r="R523" s="90"/>
      <c r="S523" s="140"/>
      <c r="T523" s="90"/>
      <c r="U523" s="140"/>
      <c r="V523" s="90"/>
      <c r="W523" s="140"/>
      <c r="X523" s="90"/>
      <c r="Y523" s="140"/>
      <c r="Z523" s="90"/>
      <c r="AA523" s="140"/>
      <c r="AB523" s="90"/>
      <c r="AC523" s="140"/>
      <c r="AD523" s="90"/>
      <c r="AE523" s="140"/>
      <c r="AF523" s="137" t="str">
        <f t="shared" si="28"/>
        <v/>
      </c>
      <c r="AG523" s="179" t="b">
        <f t="shared" si="27"/>
        <v>0</v>
      </c>
      <c r="AH523" s="140"/>
      <c r="AI523" s="147" t="s">
        <v>36</v>
      </c>
      <c r="AJ523" s="145">
        <f t="shared" si="26"/>
        <v>0</v>
      </c>
      <c r="AK523" s="148" t="s">
        <v>75</v>
      </c>
    </row>
    <row r="524" spans="1:37" ht="30" customHeight="1">
      <c r="A524" s="62"/>
      <c r="B524" s="62"/>
      <c r="C524" s="62"/>
      <c r="D524" s="62"/>
      <c r="E524" s="62"/>
      <c r="F524" s="62"/>
      <c r="G524" s="62"/>
      <c r="H524" s="62"/>
      <c r="I524" s="62"/>
      <c r="J524" s="62"/>
      <c r="K524" s="62"/>
      <c r="L524" s="62"/>
      <c r="M524" s="62"/>
      <c r="N524" s="186"/>
      <c r="O524" s="152"/>
      <c r="P524" s="90"/>
      <c r="Q524" s="140"/>
      <c r="R524" s="90"/>
      <c r="S524" s="140"/>
      <c r="T524" s="90"/>
      <c r="U524" s="140"/>
      <c r="V524" s="90"/>
      <c r="W524" s="140"/>
      <c r="X524" s="90"/>
      <c r="Y524" s="140"/>
      <c r="Z524" s="90"/>
      <c r="AA524" s="140"/>
      <c r="AB524" s="90"/>
      <c r="AC524" s="140"/>
      <c r="AD524" s="90"/>
      <c r="AE524" s="140"/>
      <c r="AF524" s="137" t="str">
        <f t="shared" si="28"/>
        <v/>
      </c>
      <c r="AG524" s="179" t="b">
        <f t="shared" si="27"/>
        <v>0</v>
      </c>
      <c r="AH524" s="140"/>
      <c r="AI524" s="147" t="s">
        <v>36</v>
      </c>
      <c r="AJ524" s="145">
        <f t="shared" si="26"/>
        <v>0</v>
      </c>
      <c r="AK524" s="148" t="s">
        <v>75</v>
      </c>
    </row>
    <row r="525" spans="1:37" ht="30" customHeight="1">
      <c r="A525" s="62"/>
      <c r="B525" s="62"/>
      <c r="C525" s="62"/>
      <c r="D525" s="62"/>
      <c r="E525" s="62"/>
      <c r="F525" s="62"/>
      <c r="G525" s="62"/>
      <c r="H525" s="62"/>
      <c r="I525" s="62"/>
      <c r="J525" s="62"/>
      <c r="K525" s="62"/>
      <c r="L525" s="62"/>
      <c r="M525" s="62"/>
      <c r="N525" s="186"/>
      <c r="O525" s="152"/>
      <c r="P525" s="90"/>
      <c r="Q525" s="140"/>
      <c r="R525" s="90"/>
      <c r="S525" s="140"/>
      <c r="T525" s="90"/>
      <c r="U525" s="140"/>
      <c r="V525" s="90"/>
      <c r="W525" s="140"/>
      <c r="X525" s="90"/>
      <c r="Y525" s="140"/>
      <c r="Z525" s="90"/>
      <c r="AA525" s="140"/>
      <c r="AB525" s="90"/>
      <c r="AC525" s="140"/>
      <c r="AD525" s="90"/>
      <c r="AE525" s="140"/>
      <c r="AF525" s="137" t="str">
        <f t="shared" si="28"/>
        <v/>
      </c>
      <c r="AG525" s="179" t="b">
        <f t="shared" si="27"/>
        <v>0</v>
      </c>
      <c r="AH525" s="140"/>
      <c r="AI525" s="147" t="s">
        <v>36</v>
      </c>
      <c r="AJ525" s="145">
        <f t="shared" si="26"/>
        <v>0</v>
      </c>
      <c r="AK525" s="148" t="s">
        <v>75</v>
      </c>
    </row>
    <row r="526" spans="1:37" ht="30" customHeight="1">
      <c r="A526" s="62"/>
      <c r="B526" s="62"/>
      <c r="C526" s="62"/>
      <c r="D526" s="62"/>
      <c r="E526" s="62"/>
      <c r="F526" s="62"/>
      <c r="G526" s="62"/>
      <c r="H526" s="62"/>
      <c r="I526" s="62"/>
      <c r="J526" s="62"/>
      <c r="K526" s="62"/>
      <c r="L526" s="62"/>
      <c r="M526" s="62"/>
      <c r="N526" s="186"/>
      <c r="O526" s="152"/>
      <c r="P526" s="90"/>
      <c r="Q526" s="140"/>
      <c r="R526" s="90"/>
      <c r="S526" s="140"/>
      <c r="T526" s="90"/>
      <c r="U526" s="140"/>
      <c r="V526" s="90"/>
      <c r="W526" s="140"/>
      <c r="X526" s="90"/>
      <c r="Y526" s="140"/>
      <c r="Z526" s="90"/>
      <c r="AA526" s="140"/>
      <c r="AB526" s="90"/>
      <c r="AC526" s="140"/>
      <c r="AD526" s="90"/>
      <c r="AE526" s="140"/>
      <c r="AF526" s="137" t="str">
        <f t="shared" si="28"/>
        <v/>
      </c>
      <c r="AG526" s="179" t="b">
        <f t="shared" si="27"/>
        <v>0</v>
      </c>
      <c r="AH526" s="140"/>
      <c r="AI526" s="147" t="s">
        <v>36</v>
      </c>
      <c r="AJ526" s="145">
        <f t="shared" si="26"/>
        <v>0</v>
      </c>
      <c r="AK526" s="148" t="s">
        <v>75</v>
      </c>
    </row>
    <row r="527" spans="1:37" ht="30" customHeight="1">
      <c r="A527" s="62"/>
      <c r="B527" s="62"/>
      <c r="C527" s="62"/>
      <c r="D527" s="62"/>
      <c r="E527" s="62"/>
      <c r="F527" s="62"/>
      <c r="G527" s="62"/>
      <c r="H527" s="62"/>
      <c r="I527" s="62"/>
      <c r="J527" s="62"/>
      <c r="K527" s="62"/>
      <c r="L527" s="62"/>
      <c r="M527" s="62"/>
      <c r="N527" s="186"/>
      <c r="O527" s="152"/>
      <c r="P527" s="90"/>
      <c r="Q527" s="140"/>
      <c r="R527" s="90"/>
      <c r="S527" s="140"/>
      <c r="T527" s="90"/>
      <c r="U527" s="140"/>
      <c r="V527" s="90"/>
      <c r="W527" s="140"/>
      <c r="X527" s="90"/>
      <c r="Y527" s="140"/>
      <c r="Z527" s="90"/>
      <c r="AA527" s="140"/>
      <c r="AB527" s="90"/>
      <c r="AC527" s="140"/>
      <c r="AD527" s="90"/>
      <c r="AE527" s="140"/>
      <c r="AF527" s="137" t="str">
        <f t="shared" si="28"/>
        <v/>
      </c>
      <c r="AG527" s="179" t="b">
        <f t="shared" si="27"/>
        <v>0</v>
      </c>
      <c r="AH527" s="140"/>
      <c r="AI527" s="147" t="s">
        <v>36</v>
      </c>
      <c r="AJ527" s="145">
        <f t="shared" si="26"/>
        <v>0</v>
      </c>
      <c r="AK527" s="148" t="s">
        <v>75</v>
      </c>
    </row>
    <row r="528" spans="1:37" ht="30" customHeight="1">
      <c r="A528" s="62"/>
      <c r="B528" s="62"/>
      <c r="C528" s="62"/>
      <c r="D528" s="62"/>
      <c r="E528" s="62"/>
      <c r="F528" s="62"/>
      <c r="G528" s="62"/>
      <c r="H528" s="62"/>
      <c r="I528" s="62"/>
      <c r="J528" s="62"/>
      <c r="K528" s="62"/>
      <c r="L528" s="62"/>
      <c r="M528" s="62"/>
      <c r="N528" s="186"/>
      <c r="O528" s="152"/>
      <c r="P528" s="90"/>
      <c r="Q528" s="140"/>
      <c r="R528" s="90"/>
      <c r="S528" s="140"/>
      <c r="T528" s="90"/>
      <c r="U528" s="140"/>
      <c r="V528" s="90"/>
      <c r="W528" s="140"/>
      <c r="X528" s="90"/>
      <c r="Y528" s="140"/>
      <c r="Z528" s="90"/>
      <c r="AA528" s="140"/>
      <c r="AB528" s="90"/>
      <c r="AC528" s="140"/>
      <c r="AD528" s="90"/>
      <c r="AE528" s="140"/>
      <c r="AF528" s="137" t="str">
        <f t="shared" si="28"/>
        <v/>
      </c>
      <c r="AG528" s="179" t="b">
        <f t="shared" si="27"/>
        <v>0</v>
      </c>
      <c r="AH528" s="140"/>
      <c r="AI528" s="147" t="s">
        <v>36</v>
      </c>
      <c r="AJ528" s="145">
        <f t="shared" si="26"/>
        <v>0</v>
      </c>
      <c r="AK528" s="148" t="s">
        <v>75</v>
      </c>
    </row>
    <row r="529" spans="1:37" ht="30" customHeight="1">
      <c r="A529" s="62"/>
      <c r="B529" s="62"/>
      <c r="C529" s="62"/>
      <c r="D529" s="62"/>
      <c r="E529" s="62"/>
      <c r="F529" s="62"/>
      <c r="G529" s="62"/>
      <c r="H529" s="62"/>
      <c r="I529" s="62"/>
      <c r="J529" s="62"/>
      <c r="K529" s="62"/>
      <c r="L529" s="62"/>
      <c r="M529" s="62"/>
      <c r="N529" s="186"/>
      <c r="O529" s="152"/>
      <c r="P529" s="90"/>
      <c r="Q529" s="140"/>
      <c r="R529" s="90"/>
      <c r="S529" s="140"/>
      <c r="T529" s="90"/>
      <c r="U529" s="140"/>
      <c r="V529" s="90"/>
      <c r="W529" s="140"/>
      <c r="X529" s="90"/>
      <c r="Y529" s="140"/>
      <c r="Z529" s="90"/>
      <c r="AA529" s="140"/>
      <c r="AB529" s="90"/>
      <c r="AC529" s="140"/>
      <c r="AD529" s="90"/>
      <c r="AE529" s="140"/>
      <c r="AF529" s="137" t="str">
        <f t="shared" si="28"/>
        <v/>
      </c>
      <c r="AG529" s="179" t="b">
        <f t="shared" si="27"/>
        <v>0</v>
      </c>
      <c r="AH529" s="140"/>
      <c r="AI529" s="147" t="s">
        <v>36</v>
      </c>
      <c r="AJ529" s="145">
        <f t="shared" si="26"/>
        <v>0</v>
      </c>
      <c r="AK529" s="148" t="s">
        <v>75</v>
      </c>
    </row>
    <row r="530" spans="1:37" ht="30" customHeight="1">
      <c r="A530" s="62"/>
      <c r="B530" s="62"/>
      <c r="C530" s="62"/>
      <c r="D530" s="62"/>
      <c r="E530" s="62"/>
      <c r="F530" s="62"/>
      <c r="G530" s="62"/>
      <c r="H530" s="62"/>
      <c r="I530" s="62"/>
      <c r="J530" s="62"/>
      <c r="K530" s="62"/>
      <c r="L530" s="62"/>
      <c r="M530" s="62"/>
      <c r="N530" s="186"/>
      <c r="O530" s="152"/>
      <c r="P530" s="90"/>
      <c r="Q530" s="140"/>
      <c r="R530" s="90"/>
      <c r="S530" s="140"/>
      <c r="T530" s="90"/>
      <c r="U530" s="140"/>
      <c r="V530" s="90"/>
      <c r="W530" s="140"/>
      <c r="X530" s="90"/>
      <c r="Y530" s="140"/>
      <c r="Z530" s="90"/>
      <c r="AA530" s="140"/>
      <c r="AB530" s="90"/>
      <c r="AC530" s="140"/>
      <c r="AD530" s="90"/>
      <c r="AE530" s="140"/>
      <c r="AF530" s="137" t="str">
        <f t="shared" si="28"/>
        <v/>
      </c>
      <c r="AG530" s="179" t="b">
        <f t="shared" si="27"/>
        <v>0</v>
      </c>
      <c r="AH530" s="140"/>
      <c r="AI530" s="147" t="s">
        <v>36</v>
      </c>
      <c r="AJ530" s="145">
        <f t="shared" si="26"/>
        <v>0</v>
      </c>
      <c r="AK530" s="148" t="s">
        <v>75</v>
      </c>
    </row>
    <row r="531" spans="1:37" ht="30" customHeight="1">
      <c r="A531" s="62"/>
      <c r="B531" s="62"/>
      <c r="C531" s="62"/>
      <c r="D531" s="62"/>
      <c r="E531" s="62"/>
      <c r="F531" s="62"/>
      <c r="G531" s="62"/>
      <c r="H531" s="62"/>
      <c r="I531" s="62"/>
      <c r="J531" s="62"/>
      <c r="K531" s="62"/>
      <c r="L531" s="62"/>
      <c r="M531" s="62"/>
      <c r="N531" s="186"/>
      <c r="O531" s="152"/>
      <c r="P531" s="90"/>
      <c r="Q531" s="140"/>
      <c r="R531" s="90"/>
      <c r="S531" s="140"/>
      <c r="T531" s="90"/>
      <c r="U531" s="140"/>
      <c r="V531" s="90"/>
      <c r="W531" s="140"/>
      <c r="X531" s="90"/>
      <c r="Y531" s="140"/>
      <c r="Z531" s="90"/>
      <c r="AA531" s="140"/>
      <c r="AB531" s="90"/>
      <c r="AC531" s="140"/>
      <c r="AD531" s="90"/>
      <c r="AE531" s="140"/>
      <c r="AF531" s="137" t="str">
        <f t="shared" si="28"/>
        <v/>
      </c>
      <c r="AG531" s="179" t="b">
        <f t="shared" si="27"/>
        <v>0</v>
      </c>
      <c r="AH531" s="140"/>
      <c r="AI531" s="147" t="s">
        <v>36</v>
      </c>
      <c r="AJ531" s="145">
        <f t="shared" si="26"/>
        <v>0</v>
      </c>
      <c r="AK531" s="148" t="s">
        <v>75</v>
      </c>
    </row>
    <row r="532" spans="1:37" ht="30" customHeight="1">
      <c r="A532" s="62"/>
      <c r="B532" s="62"/>
      <c r="C532" s="62"/>
      <c r="D532" s="62"/>
      <c r="E532" s="62"/>
      <c r="F532" s="62"/>
      <c r="G532" s="62"/>
      <c r="H532" s="62"/>
      <c r="I532" s="62"/>
      <c r="J532" s="62"/>
      <c r="K532" s="62"/>
      <c r="L532" s="62"/>
      <c r="M532" s="62"/>
      <c r="N532" s="186"/>
      <c r="O532" s="152"/>
      <c r="P532" s="90"/>
      <c r="Q532" s="140"/>
      <c r="R532" s="90"/>
      <c r="S532" s="140"/>
      <c r="T532" s="90"/>
      <c r="U532" s="140"/>
      <c r="V532" s="90"/>
      <c r="W532" s="140"/>
      <c r="X532" s="90"/>
      <c r="Y532" s="140"/>
      <c r="Z532" s="90"/>
      <c r="AA532" s="140"/>
      <c r="AB532" s="90"/>
      <c r="AC532" s="140"/>
      <c r="AD532" s="90"/>
      <c r="AE532" s="140"/>
      <c r="AF532" s="137" t="str">
        <f t="shared" si="28"/>
        <v/>
      </c>
      <c r="AG532" s="179" t="b">
        <f t="shared" si="27"/>
        <v>0</v>
      </c>
      <c r="AH532" s="140"/>
      <c r="AI532" s="147" t="s">
        <v>36</v>
      </c>
      <c r="AJ532" s="145">
        <f t="shared" si="26"/>
        <v>0</v>
      </c>
      <c r="AK532" s="148" t="s">
        <v>75</v>
      </c>
    </row>
    <row r="533" spans="1:37" ht="30" customHeight="1">
      <c r="A533" s="62"/>
      <c r="B533" s="62"/>
      <c r="C533" s="62"/>
      <c r="D533" s="62"/>
      <c r="E533" s="62"/>
      <c r="F533" s="62"/>
      <c r="G533" s="62"/>
      <c r="H533" s="62"/>
      <c r="I533" s="62"/>
      <c r="J533" s="62"/>
      <c r="K533" s="62"/>
      <c r="L533" s="62"/>
      <c r="M533" s="62"/>
      <c r="N533" s="186"/>
      <c r="O533" s="152"/>
      <c r="P533" s="90"/>
      <c r="Q533" s="140"/>
      <c r="R533" s="90"/>
      <c r="S533" s="140"/>
      <c r="T533" s="90"/>
      <c r="U533" s="140"/>
      <c r="V533" s="90"/>
      <c r="W533" s="140"/>
      <c r="X533" s="90"/>
      <c r="Y533" s="140"/>
      <c r="Z533" s="90"/>
      <c r="AA533" s="140"/>
      <c r="AB533" s="90"/>
      <c r="AC533" s="140"/>
      <c r="AD533" s="90"/>
      <c r="AE533" s="140"/>
      <c r="AF533" s="137" t="str">
        <f t="shared" si="28"/>
        <v/>
      </c>
      <c r="AG533" s="179" t="b">
        <f t="shared" si="27"/>
        <v>0</v>
      </c>
      <c r="AH533" s="140"/>
      <c r="AI533" s="147" t="s">
        <v>36</v>
      </c>
      <c r="AJ533" s="145">
        <f t="shared" si="26"/>
        <v>0</v>
      </c>
      <c r="AK533" s="148" t="s">
        <v>75</v>
      </c>
    </row>
    <row r="534" spans="1:37" ht="30" customHeight="1">
      <c r="A534" s="62"/>
      <c r="B534" s="62"/>
      <c r="C534" s="62"/>
      <c r="D534" s="62"/>
      <c r="E534" s="62"/>
      <c r="F534" s="62"/>
      <c r="G534" s="62"/>
      <c r="H534" s="62"/>
      <c r="I534" s="62"/>
      <c r="J534" s="62"/>
      <c r="K534" s="62"/>
      <c r="L534" s="62"/>
      <c r="M534" s="62"/>
      <c r="N534" s="186"/>
      <c r="O534" s="152"/>
      <c r="P534" s="90"/>
      <c r="Q534" s="140"/>
      <c r="R534" s="90"/>
      <c r="S534" s="140"/>
      <c r="T534" s="90"/>
      <c r="U534" s="140"/>
      <c r="V534" s="90"/>
      <c r="W534" s="140"/>
      <c r="X534" s="90"/>
      <c r="Y534" s="140"/>
      <c r="Z534" s="90"/>
      <c r="AA534" s="140"/>
      <c r="AB534" s="90"/>
      <c r="AC534" s="140"/>
      <c r="AD534" s="90"/>
      <c r="AE534" s="140"/>
      <c r="AF534" s="137" t="str">
        <f t="shared" si="28"/>
        <v/>
      </c>
      <c r="AG534" s="179" t="b">
        <f t="shared" si="27"/>
        <v>0</v>
      </c>
      <c r="AH534" s="140"/>
      <c r="AI534" s="147" t="s">
        <v>36</v>
      </c>
      <c r="AJ534" s="145">
        <f t="shared" si="26"/>
        <v>0</v>
      </c>
      <c r="AK534" s="148" t="s">
        <v>75</v>
      </c>
    </row>
    <row r="535" spans="1:37" ht="30" customHeight="1">
      <c r="A535" s="62"/>
      <c r="B535" s="62"/>
      <c r="C535" s="62"/>
      <c r="D535" s="62"/>
      <c r="E535" s="62"/>
      <c r="F535" s="62"/>
      <c r="G535" s="62"/>
      <c r="H535" s="62"/>
      <c r="I535" s="62"/>
      <c r="J535" s="62"/>
      <c r="K535" s="62"/>
      <c r="L535" s="62"/>
      <c r="M535" s="62"/>
      <c r="N535" s="186"/>
      <c r="O535" s="152"/>
      <c r="P535" s="90"/>
      <c r="Q535" s="140"/>
      <c r="R535" s="90"/>
      <c r="S535" s="140"/>
      <c r="T535" s="90"/>
      <c r="U535" s="140"/>
      <c r="V535" s="90"/>
      <c r="W535" s="140"/>
      <c r="X535" s="90"/>
      <c r="Y535" s="140"/>
      <c r="Z535" s="90"/>
      <c r="AA535" s="140"/>
      <c r="AB535" s="90"/>
      <c r="AC535" s="140"/>
      <c r="AD535" s="90"/>
      <c r="AE535" s="140"/>
      <c r="AF535" s="137" t="str">
        <f t="shared" si="28"/>
        <v/>
      </c>
      <c r="AG535" s="179" t="b">
        <f t="shared" si="27"/>
        <v>0</v>
      </c>
      <c r="AH535" s="140"/>
      <c r="AI535" s="147" t="s">
        <v>36</v>
      </c>
      <c r="AJ535" s="145">
        <f t="shared" si="26"/>
        <v>0</v>
      </c>
      <c r="AK535" s="148" t="s">
        <v>75</v>
      </c>
    </row>
    <row r="536" spans="1:37" ht="30" customHeight="1">
      <c r="A536" s="62"/>
      <c r="B536" s="62"/>
      <c r="C536" s="62"/>
      <c r="D536" s="62"/>
      <c r="E536" s="62"/>
      <c r="F536" s="62"/>
      <c r="G536" s="62"/>
      <c r="H536" s="62"/>
      <c r="I536" s="62"/>
      <c r="J536" s="62"/>
      <c r="K536" s="62"/>
      <c r="L536" s="62"/>
      <c r="M536" s="62"/>
      <c r="N536" s="186"/>
      <c r="O536" s="152"/>
      <c r="P536" s="90"/>
      <c r="Q536" s="140"/>
      <c r="R536" s="90"/>
      <c r="S536" s="140"/>
      <c r="T536" s="90"/>
      <c r="U536" s="140"/>
      <c r="V536" s="90"/>
      <c r="W536" s="140"/>
      <c r="X536" s="90"/>
      <c r="Y536" s="140"/>
      <c r="Z536" s="90"/>
      <c r="AA536" s="140"/>
      <c r="AB536" s="90"/>
      <c r="AC536" s="140"/>
      <c r="AD536" s="90"/>
      <c r="AE536" s="140"/>
      <c r="AF536" s="137" t="str">
        <f t="shared" si="28"/>
        <v/>
      </c>
      <c r="AG536" s="179" t="b">
        <f t="shared" si="27"/>
        <v>0</v>
      </c>
      <c r="AH536" s="140"/>
      <c r="AI536" s="147" t="s">
        <v>36</v>
      </c>
      <c r="AJ536" s="145">
        <f t="shared" si="26"/>
        <v>0</v>
      </c>
      <c r="AK536" s="148" t="s">
        <v>75</v>
      </c>
    </row>
    <row r="537" spans="1:37" ht="30" customHeight="1">
      <c r="A537" s="62"/>
      <c r="B537" s="62"/>
      <c r="C537" s="62"/>
      <c r="D537" s="62"/>
      <c r="E537" s="62"/>
      <c r="F537" s="62"/>
      <c r="G537" s="62"/>
      <c r="H537" s="62"/>
      <c r="I537" s="62"/>
      <c r="J537" s="62"/>
      <c r="K537" s="62"/>
      <c r="L537" s="62"/>
      <c r="M537" s="62"/>
      <c r="N537" s="186"/>
      <c r="O537" s="152"/>
      <c r="P537" s="90"/>
      <c r="Q537" s="140"/>
      <c r="R537" s="90"/>
      <c r="S537" s="140"/>
      <c r="T537" s="90"/>
      <c r="U537" s="140"/>
      <c r="V537" s="90"/>
      <c r="W537" s="140"/>
      <c r="X537" s="90"/>
      <c r="Y537" s="140"/>
      <c r="Z537" s="90"/>
      <c r="AA537" s="140"/>
      <c r="AB537" s="90"/>
      <c r="AC537" s="140"/>
      <c r="AD537" s="90"/>
      <c r="AE537" s="140"/>
      <c r="AF537" s="137" t="str">
        <f t="shared" si="28"/>
        <v/>
      </c>
      <c r="AG537" s="179" t="b">
        <f t="shared" si="27"/>
        <v>0</v>
      </c>
      <c r="AH537" s="140"/>
      <c r="AI537" s="147" t="s">
        <v>36</v>
      </c>
      <c r="AJ537" s="145">
        <f t="shared" si="26"/>
        <v>0</v>
      </c>
      <c r="AK537" s="148" t="s">
        <v>75</v>
      </c>
    </row>
    <row r="538" spans="1:37" ht="30" customHeight="1">
      <c r="A538" s="62"/>
      <c r="B538" s="62"/>
      <c r="C538" s="62"/>
      <c r="D538" s="62"/>
      <c r="E538" s="62"/>
      <c r="F538" s="62"/>
      <c r="G538" s="62"/>
      <c r="H538" s="62"/>
      <c r="I538" s="62"/>
      <c r="J538" s="62"/>
      <c r="K538" s="62"/>
      <c r="L538" s="62"/>
      <c r="M538" s="62"/>
      <c r="N538" s="186"/>
      <c r="O538" s="152"/>
      <c r="P538" s="90"/>
      <c r="Q538" s="140"/>
      <c r="R538" s="90"/>
      <c r="S538" s="140"/>
      <c r="T538" s="90"/>
      <c r="U538" s="140"/>
      <c r="V538" s="90"/>
      <c r="W538" s="140"/>
      <c r="X538" s="90"/>
      <c r="Y538" s="140"/>
      <c r="Z538" s="90"/>
      <c r="AA538" s="140"/>
      <c r="AB538" s="90"/>
      <c r="AC538" s="140"/>
      <c r="AD538" s="90"/>
      <c r="AE538" s="140"/>
      <c r="AF538" s="137" t="str">
        <f t="shared" si="28"/>
        <v/>
      </c>
      <c r="AG538" s="179" t="b">
        <f t="shared" si="27"/>
        <v>0</v>
      </c>
      <c r="AH538" s="140"/>
      <c r="AI538" s="147" t="s">
        <v>36</v>
      </c>
      <c r="AJ538" s="145">
        <f t="shared" si="26"/>
        <v>0</v>
      </c>
      <c r="AK538" s="148" t="s">
        <v>75</v>
      </c>
    </row>
    <row r="539" spans="1:37" ht="30" customHeight="1">
      <c r="A539" s="62"/>
      <c r="B539" s="62"/>
      <c r="C539" s="62"/>
      <c r="D539" s="62"/>
      <c r="E539" s="62"/>
      <c r="F539" s="62"/>
      <c r="G539" s="62"/>
      <c r="H539" s="62"/>
      <c r="I539" s="62"/>
      <c r="J539" s="62"/>
      <c r="K539" s="62"/>
      <c r="L539" s="62"/>
      <c r="M539" s="62"/>
      <c r="N539" s="186"/>
      <c r="O539" s="152"/>
      <c r="P539" s="90"/>
      <c r="Q539" s="140"/>
      <c r="R539" s="90"/>
      <c r="S539" s="140"/>
      <c r="T539" s="90"/>
      <c r="U539" s="140"/>
      <c r="V539" s="90"/>
      <c r="W539" s="140"/>
      <c r="X539" s="90"/>
      <c r="Y539" s="140"/>
      <c r="Z539" s="90"/>
      <c r="AA539" s="140"/>
      <c r="AB539" s="90"/>
      <c r="AC539" s="140"/>
      <c r="AD539" s="90"/>
      <c r="AE539" s="140"/>
      <c r="AF539" s="137" t="str">
        <f t="shared" si="28"/>
        <v/>
      </c>
      <c r="AG539" s="179" t="b">
        <f t="shared" si="27"/>
        <v>0</v>
      </c>
      <c r="AH539" s="140"/>
      <c r="AI539" s="147" t="s">
        <v>36</v>
      </c>
      <c r="AJ539" s="145">
        <f t="shared" si="26"/>
        <v>0</v>
      </c>
      <c r="AK539" s="148" t="s">
        <v>75</v>
      </c>
    </row>
    <row r="540" spans="1:37" ht="30" customHeight="1">
      <c r="A540" s="62"/>
      <c r="B540" s="62"/>
      <c r="C540" s="62"/>
      <c r="D540" s="62"/>
      <c r="E540" s="62"/>
      <c r="F540" s="62"/>
      <c r="G540" s="62"/>
      <c r="H540" s="62"/>
      <c r="I540" s="62"/>
      <c r="J540" s="62"/>
      <c r="K540" s="62"/>
      <c r="L540" s="62"/>
      <c r="M540" s="62"/>
      <c r="N540" s="186"/>
      <c r="O540" s="152"/>
      <c r="P540" s="90"/>
      <c r="Q540" s="140"/>
      <c r="R540" s="90"/>
      <c r="S540" s="140"/>
      <c r="T540" s="90"/>
      <c r="U540" s="140"/>
      <c r="V540" s="90"/>
      <c r="W540" s="140"/>
      <c r="X540" s="90"/>
      <c r="Y540" s="140"/>
      <c r="Z540" s="90"/>
      <c r="AA540" s="140"/>
      <c r="AB540" s="90"/>
      <c r="AC540" s="140"/>
      <c r="AD540" s="90"/>
      <c r="AE540" s="140"/>
      <c r="AF540" s="137" t="str">
        <f t="shared" si="28"/>
        <v/>
      </c>
      <c r="AG540" s="179" t="b">
        <f t="shared" si="27"/>
        <v>0</v>
      </c>
      <c r="AH540" s="140"/>
      <c r="AI540" s="147" t="s">
        <v>36</v>
      </c>
      <c r="AJ540" s="145">
        <f t="shared" si="26"/>
        <v>0</v>
      </c>
      <c r="AK540" s="148" t="s">
        <v>75</v>
      </c>
    </row>
    <row r="541" spans="1:37" ht="30" customHeight="1">
      <c r="A541" s="62"/>
      <c r="B541" s="62"/>
      <c r="C541" s="62"/>
      <c r="D541" s="62"/>
      <c r="E541" s="62"/>
      <c r="F541" s="62"/>
      <c r="G541" s="62"/>
      <c r="H541" s="62"/>
      <c r="I541" s="62"/>
      <c r="J541" s="62"/>
      <c r="K541" s="62"/>
      <c r="L541" s="62"/>
      <c r="M541" s="62"/>
      <c r="N541" s="186"/>
      <c r="O541" s="152"/>
      <c r="P541" s="90"/>
      <c r="Q541" s="140"/>
      <c r="R541" s="90"/>
      <c r="S541" s="140"/>
      <c r="T541" s="90"/>
      <c r="U541" s="140"/>
      <c r="V541" s="90"/>
      <c r="W541" s="140"/>
      <c r="X541" s="90"/>
      <c r="Y541" s="140"/>
      <c r="Z541" s="90"/>
      <c r="AA541" s="140"/>
      <c r="AB541" s="90"/>
      <c r="AC541" s="140"/>
      <c r="AD541" s="90"/>
      <c r="AE541" s="140"/>
      <c r="AF541" s="137" t="str">
        <f t="shared" si="28"/>
        <v/>
      </c>
      <c r="AG541" s="179" t="b">
        <f t="shared" si="27"/>
        <v>0</v>
      </c>
      <c r="AH541" s="140"/>
      <c r="AI541" s="147" t="s">
        <v>36</v>
      </c>
      <c r="AJ541" s="145">
        <f t="shared" si="26"/>
        <v>0</v>
      </c>
      <c r="AK541" s="148" t="s">
        <v>75</v>
      </c>
    </row>
    <row r="542" spans="1:37" ht="30" customHeight="1">
      <c r="A542" s="62"/>
      <c r="B542" s="62"/>
      <c r="C542" s="62"/>
      <c r="D542" s="62"/>
      <c r="E542" s="62"/>
      <c r="F542" s="62"/>
      <c r="G542" s="62"/>
      <c r="H542" s="62"/>
      <c r="I542" s="62"/>
      <c r="J542" s="62"/>
      <c r="K542" s="62"/>
      <c r="L542" s="62"/>
      <c r="M542" s="62"/>
      <c r="N542" s="186"/>
      <c r="O542" s="152"/>
      <c r="P542" s="90"/>
      <c r="Q542" s="140"/>
      <c r="R542" s="90"/>
      <c r="S542" s="140"/>
      <c r="T542" s="90"/>
      <c r="U542" s="140"/>
      <c r="V542" s="90"/>
      <c r="W542" s="140"/>
      <c r="X542" s="90"/>
      <c r="Y542" s="140"/>
      <c r="Z542" s="90"/>
      <c r="AA542" s="140"/>
      <c r="AB542" s="90"/>
      <c r="AC542" s="140"/>
      <c r="AD542" s="90"/>
      <c r="AE542" s="140"/>
      <c r="AF542" s="137" t="str">
        <f t="shared" si="28"/>
        <v/>
      </c>
      <c r="AG542" s="179" t="b">
        <f t="shared" si="27"/>
        <v>0</v>
      </c>
      <c r="AH542" s="140"/>
      <c r="AI542" s="147" t="s">
        <v>36</v>
      </c>
      <c r="AJ542" s="145">
        <f t="shared" si="26"/>
        <v>0</v>
      </c>
      <c r="AK542" s="148" t="s">
        <v>75</v>
      </c>
    </row>
    <row r="543" spans="1:37" ht="30" customHeight="1">
      <c r="A543" s="62"/>
      <c r="B543" s="62"/>
      <c r="C543" s="62"/>
      <c r="D543" s="62"/>
      <c r="E543" s="62"/>
      <c r="F543" s="62"/>
      <c r="G543" s="62"/>
      <c r="H543" s="62"/>
      <c r="I543" s="62"/>
      <c r="J543" s="62"/>
      <c r="K543" s="62"/>
      <c r="L543" s="62"/>
      <c r="M543" s="62"/>
      <c r="N543" s="186"/>
      <c r="O543" s="152"/>
      <c r="P543" s="90"/>
      <c r="Q543" s="140"/>
      <c r="R543" s="90"/>
      <c r="S543" s="140"/>
      <c r="T543" s="90"/>
      <c r="U543" s="140"/>
      <c r="V543" s="90"/>
      <c r="W543" s="140"/>
      <c r="X543" s="90"/>
      <c r="Y543" s="140"/>
      <c r="Z543" s="90"/>
      <c r="AA543" s="140"/>
      <c r="AB543" s="90"/>
      <c r="AC543" s="140"/>
      <c r="AD543" s="90"/>
      <c r="AE543" s="140"/>
      <c r="AF543" s="137" t="str">
        <f t="shared" si="28"/>
        <v/>
      </c>
      <c r="AG543" s="179" t="b">
        <f t="shared" si="27"/>
        <v>0</v>
      </c>
      <c r="AH543" s="140"/>
      <c r="AI543" s="147" t="s">
        <v>36</v>
      </c>
      <c r="AJ543" s="145">
        <f t="shared" si="26"/>
        <v>0</v>
      </c>
      <c r="AK543" s="148" t="s">
        <v>75</v>
      </c>
    </row>
    <row r="544" spans="1:37" ht="30" customHeight="1">
      <c r="A544" s="62"/>
      <c r="B544" s="62"/>
      <c r="C544" s="62"/>
      <c r="D544" s="62"/>
      <c r="E544" s="62"/>
      <c r="F544" s="62"/>
      <c r="G544" s="62"/>
      <c r="H544" s="62"/>
      <c r="I544" s="62"/>
      <c r="J544" s="62"/>
      <c r="K544" s="62"/>
      <c r="L544" s="62"/>
      <c r="M544" s="62"/>
      <c r="N544" s="186"/>
      <c r="O544" s="152"/>
      <c r="P544" s="90"/>
      <c r="Q544" s="140"/>
      <c r="R544" s="90"/>
      <c r="S544" s="140"/>
      <c r="T544" s="90"/>
      <c r="U544" s="140"/>
      <c r="V544" s="90"/>
      <c r="W544" s="140"/>
      <c r="X544" s="90"/>
      <c r="Y544" s="140"/>
      <c r="Z544" s="90"/>
      <c r="AA544" s="140"/>
      <c r="AB544" s="90"/>
      <c r="AC544" s="140"/>
      <c r="AD544" s="90"/>
      <c r="AE544" s="140"/>
      <c r="AF544" s="137" t="str">
        <f t="shared" si="28"/>
        <v/>
      </c>
      <c r="AG544" s="179" t="b">
        <f t="shared" si="27"/>
        <v>0</v>
      </c>
      <c r="AH544" s="140"/>
      <c r="AI544" s="147" t="s">
        <v>36</v>
      </c>
      <c r="AJ544" s="145">
        <f t="shared" ref="AJ544:AJ607" si="29">E544</f>
        <v>0</v>
      </c>
      <c r="AK544" s="148" t="s">
        <v>75</v>
      </c>
    </row>
    <row r="545" spans="1:37" ht="30" customHeight="1">
      <c r="A545" s="62"/>
      <c r="B545" s="62"/>
      <c r="C545" s="62"/>
      <c r="D545" s="62"/>
      <c r="E545" s="62"/>
      <c r="F545" s="62"/>
      <c r="G545" s="62"/>
      <c r="H545" s="62"/>
      <c r="I545" s="62"/>
      <c r="J545" s="62"/>
      <c r="K545" s="62"/>
      <c r="L545" s="62"/>
      <c r="M545" s="62"/>
      <c r="N545" s="186"/>
      <c r="O545" s="152"/>
      <c r="P545" s="90"/>
      <c r="Q545" s="140"/>
      <c r="R545" s="90"/>
      <c r="S545" s="140"/>
      <c r="T545" s="90"/>
      <c r="U545" s="140"/>
      <c r="V545" s="90"/>
      <c r="W545" s="140"/>
      <c r="X545" s="90"/>
      <c r="Y545" s="140"/>
      <c r="Z545" s="90"/>
      <c r="AA545" s="140"/>
      <c r="AB545" s="90"/>
      <c r="AC545" s="140"/>
      <c r="AD545" s="90"/>
      <c r="AE545" s="140"/>
      <c r="AF545" s="137" t="str">
        <f t="shared" si="28"/>
        <v/>
      </c>
      <c r="AG545" s="179" t="b">
        <f t="shared" si="27"/>
        <v>0</v>
      </c>
      <c r="AH545" s="140"/>
      <c r="AI545" s="147" t="s">
        <v>36</v>
      </c>
      <c r="AJ545" s="145">
        <f t="shared" si="29"/>
        <v>0</v>
      </c>
      <c r="AK545" s="148" t="s">
        <v>75</v>
      </c>
    </row>
    <row r="546" spans="1:37" ht="30" customHeight="1">
      <c r="A546" s="62"/>
      <c r="B546" s="62"/>
      <c r="C546" s="62"/>
      <c r="D546" s="62"/>
      <c r="E546" s="62"/>
      <c r="F546" s="62"/>
      <c r="G546" s="62"/>
      <c r="H546" s="62"/>
      <c r="I546" s="62"/>
      <c r="J546" s="62"/>
      <c r="K546" s="62"/>
      <c r="L546" s="62"/>
      <c r="M546" s="62"/>
      <c r="N546" s="186"/>
      <c r="O546" s="152"/>
      <c r="P546" s="90"/>
      <c r="Q546" s="140"/>
      <c r="R546" s="90"/>
      <c r="S546" s="140"/>
      <c r="T546" s="90"/>
      <c r="U546" s="140"/>
      <c r="V546" s="90"/>
      <c r="W546" s="140"/>
      <c r="X546" s="90"/>
      <c r="Y546" s="140"/>
      <c r="Z546" s="90"/>
      <c r="AA546" s="140"/>
      <c r="AB546" s="90"/>
      <c r="AC546" s="140"/>
      <c r="AD546" s="90"/>
      <c r="AE546" s="140"/>
      <c r="AF546" s="137" t="str">
        <f t="shared" si="28"/>
        <v/>
      </c>
      <c r="AG546" s="179" t="b">
        <f t="shared" si="27"/>
        <v>0</v>
      </c>
      <c r="AH546" s="140"/>
      <c r="AI546" s="147" t="s">
        <v>36</v>
      </c>
      <c r="AJ546" s="145">
        <f t="shared" si="29"/>
        <v>0</v>
      </c>
      <c r="AK546" s="148" t="s">
        <v>75</v>
      </c>
    </row>
    <row r="547" spans="1:37" ht="30" customHeight="1">
      <c r="A547" s="62"/>
      <c r="B547" s="62"/>
      <c r="C547" s="62"/>
      <c r="D547" s="62"/>
      <c r="E547" s="62"/>
      <c r="F547" s="62"/>
      <c r="G547" s="62"/>
      <c r="H547" s="62"/>
      <c r="I547" s="62"/>
      <c r="J547" s="62"/>
      <c r="K547" s="62"/>
      <c r="L547" s="62"/>
      <c r="M547" s="62"/>
      <c r="N547" s="186"/>
      <c r="O547" s="152"/>
      <c r="P547" s="90"/>
      <c r="Q547" s="140"/>
      <c r="R547" s="90"/>
      <c r="S547" s="140"/>
      <c r="T547" s="90"/>
      <c r="U547" s="140"/>
      <c r="V547" s="90"/>
      <c r="W547" s="140"/>
      <c r="X547" s="90"/>
      <c r="Y547" s="140"/>
      <c r="Z547" s="90"/>
      <c r="AA547" s="140"/>
      <c r="AB547" s="90"/>
      <c r="AC547" s="140"/>
      <c r="AD547" s="90"/>
      <c r="AE547" s="140"/>
      <c r="AF547" s="137" t="str">
        <f t="shared" si="28"/>
        <v/>
      </c>
      <c r="AG547" s="179" t="b">
        <f t="shared" si="27"/>
        <v>0</v>
      </c>
      <c r="AH547" s="140"/>
      <c r="AI547" s="147" t="s">
        <v>36</v>
      </c>
      <c r="AJ547" s="145">
        <f t="shared" si="29"/>
        <v>0</v>
      </c>
      <c r="AK547" s="148" t="s">
        <v>75</v>
      </c>
    </row>
    <row r="548" spans="1:37" ht="30" customHeight="1">
      <c r="A548" s="62"/>
      <c r="B548" s="62"/>
      <c r="C548" s="62"/>
      <c r="D548" s="62"/>
      <c r="E548" s="62"/>
      <c r="F548" s="62"/>
      <c r="G548" s="62"/>
      <c r="H548" s="62"/>
      <c r="I548" s="62"/>
      <c r="J548" s="62"/>
      <c r="K548" s="62"/>
      <c r="L548" s="62"/>
      <c r="M548" s="62"/>
      <c r="N548" s="186"/>
      <c r="O548" s="152"/>
      <c r="P548" s="90"/>
      <c r="Q548" s="140"/>
      <c r="R548" s="90"/>
      <c r="S548" s="140"/>
      <c r="T548" s="90"/>
      <c r="U548" s="140"/>
      <c r="V548" s="90"/>
      <c r="W548" s="140"/>
      <c r="X548" s="90"/>
      <c r="Y548" s="140"/>
      <c r="Z548" s="90"/>
      <c r="AA548" s="140"/>
      <c r="AB548" s="90"/>
      <c r="AC548" s="140"/>
      <c r="AD548" s="90"/>
      <c r="AE548" s="140"/>
      <c r="AF548" s="137" t="str">
        <f t="shared" si="28"/>
        <v/>
      </c>
      <c r="AG548" s="179" t="b">
        <f t="shared" si="27"/>
        <v>0</v>
      </c>
      <c r="AH548" s="140"/>
      <c r="AI548" s="147" t="s">
        <v>36</v>
      </c>
      <c r="AJ548" s="145">
        <f t="shared" si="29"/>
        <v>0</v>
      </c>
      <c r="AK548" s="148" t="s">
        <v>75</v>
      </c>
    </row>
    <row r="549" spans="1:37" ht="30" customHeight="1">
      <c r="A549" s="62"/>
      <c r="B549" s="62"/>
      <c r="C549" s="62"/>
      <c r="D549" s="62"/>
      <c r="E549" s="62"/>
      <c r="F549" s="62"/>
      <c r="G549" s="62"/>
      <c r="H549" s="62"/>
      <c r="I549" s="62"/>
      <c r="J549" s="62"/>
      <c r="K549" s="62"/>
      <c r="L549" s="62"/>
      <c r="M549" s="62"/>
      <c r="N549" s="186"/>
      <c r="O549" s="152"/>
      <c r="P549" s="90"/>
      <c r="Q549" s="140"/>
      <c r="R549" s="90"/>
      <c r="S549" s="140"/>
      <c r="T549" s="90"/>
      <c r="U549" s="140"/>
      <c r="V549" s="90"/>
      <c r="W549" s="140"/>
      <c r="X549" s="90"/>
      <c r="Y549" s="140"/>
      <c r="Z549" s="90"/>
      <c r="AA549" s="140"/>
      <c r="AB549" s="90"/>
      <c r="AC549" s="140"/>
      <c r="AD549" s="90"/>
      <c r="AE549" s="140"/>
      <c r="AF549" s="137" t="str">
        <f t="shared" si="28"/>
        <v/>
      </c>
      <c r="AG549" s="179" t="b">
        <f t="shared" si="27"/>
        <v>0</v>
      </c>
      <c r="AH549" s="140"/>
      <c r="AI549" s="147" t="s">
        <v>36</v>
      </c>
      <c r="AJ549" s="145">
        <f t="shared" si="29"/>
        <v>0</v>
      </c>
      <c r="AK549" s="148" t="s">
        <v>75</v>
      </c>
    </row>
    <row r="550" spans="1:37" ht="30" customHeight="1">
      <c r="A550" s="62"/>
      <c r="B550" s="62"/>
      <c r="C550" s="62"/>
      <c r="D550" s="62"/>
      <c r="E550" s="62"/>
      <c r="F550" s="62"/>
      <c r="G550" s="62"/>
      <c r="H550" s="62"/>
      <c r="I550" s="62"/>
      <c r="J550" s="62"/>
      <c r="K550" s="62"/>
      <c r="L550" s="62"/>
      <c r="M550" s="62"/>
      <c r="N550" s="186"/>
      <c r="O550" s="152"/>
      <c r="P550" s="90"/>
      <c r="Q550" s="140"/>
      <c r="R550" s="90"/>
      <c r="S550" s="140"/>
      <c r="T550" s="90"/>
      <c r="U550" s="140"/>
      <c r="V550" s="90"/>
      <c r="W550" s="140"/>
      <c r="X550" s="90"/>
      <c r="Y550" s="140"/>
      <c r="Z550" s="90"/>
      <c r="AA550" s="140"/>
      <c r="AB550" s="90"/>
      <c r="AC550" s="140"/>
      <c r="AD550" s="90"/>
      <c r="AE550" s="140"/>
      <c r="AF550" s="137" t="str">
        <f t="shared" si="28"/>
        <v/>
      </c>
      <c r="AG550" s="179" t="b">
        <f t="shared" si="27"/>
        <v>0</v>
      </c>
      <c r="AH550" s="140"/>
      <c r="AI550" s="147" t="s">
        <v>36</v>
      </c>
      <c r="AJ550" s="145">
        <f t="shared" si="29"/>
        <v>0</v>
      </c>
      <c r="AK550" s="148" t="s">
        <v>75</v>
      </c>
    </row>
    <row r="551" spans="1:37" ht="30" customHeight="1">
      <c r="A551" s="62"/>
      <c r="B551" s="62"/>
      <c r="C551" s="62"/>
      <c r="D551" s="62"/>
      <c r="E551" s="62"/>
      <c r="F551" s="62"/>
      <c r="G551" s="62"/>
      <c r="H551" s="62"/>
      <c r="I551" s="62"/>
      <c r="J551" s="62"/>
      <c r="K551" s="62"/>
      <c r="L551" s="62"/>
      <c r="M551" s="62"/>
      <c r="N551" s="186"/>
      <c r="O551" s="152"/>
      <c r="P551" s="90"/>
      <c r="Q551" s="140"/>
      <c r="R551" s="90"/>
      <c r="S551" s="140"/>
      <c r="T551" s="90"/>
      <c r="U551" s="140"/>
      <c r="V551" s="90"/>
      <c r="W551" s="140"/>
      <c r="X551" s="90"/>
      <c r="Y551" s="140"/>
      <c r="Z551" s="90"/>
      <c r="AA551" s="140"/>
      <c r="AB551" s="90"/>
      <c r="AC551" s="140"/>
      <c r="AD551" s="90"/>
      <c r="AE551" s="140"/>
      <c r="AF551" s="137" t="str">
        <f t="shared" si="28"/>
        <v/>
      </c>
      <c r="AG551" s="179" t="b">
        <f t="shared" si="27"/>
        <v>0</v>
      </c>
      <c r="AH551" s="140"/>
      <c r="AI551" s="147" t="s">
        <v>36</v>
      </c>
      <c r="AJ551" s="145">
        <f t="shared" si="29"/>
        <v>0</v>
      </c>
      <c r="AK551" s="148" t="s">
        <v>75</v>
      </c>
    </row>
    <row r="552" spans="1:37" ht="30" customHeight="1">
      <c r="A552" s="62"/>
      <c r="B552" s="62"/>
      <c r="C552" s="62"/>
      <c r="D552" s="62"/>
      <c r="E552" s="62"/>
      <c r="F552" s="62"/>
      <c r="G552" s="62"/>
      <c r="H552" s="62"/>
      <c r="I552" s="62"/>
      <c r="J552" s="62"/>
      <c r="K552" s="62"/>
      <c r="L552" s="62"/>
      <c r="M552" s="62"/>
      <c r="N552" s="186"/>
      <c r="O552" s="152"/>
      <c r="P552" s="90"/>
      <c r="Q552" s="140"/>
      <c r="R552" s="90"/>
      <c r="S552" s="140"/>
      <c r="T552" s="90"/>
      <c r="U552" s="140"/>
      <c r="V552" s="90"/>
      <c r="W552" s="140"/>
      <c r="X552" s="90"/>
      <c r="Y552" s="140"/>
      <c r="Z552" s="90"/>
      <c r="AA552" s="140"/>
      <c r="AB552" s="90"/>
      <c r="AC552" s="140"/>
      <c r="AD552" s="90"/>
      <c r="AE552" s="140"/>
      <c r="AF552" s="137" t="str">
        <f t="shared" si="28"/>
        <v/>
      </c>
      <c r="AG552" s="179" t="b">
        <f t="shared" si="27"/>
        <v>0</v>
      </c>
      <c r="AH552" s="140"/>
      <c r="AI552" s="147" t="s">
        <v>36</v>
      </c>
      <c r="AJ552" s="145">
        <f t="shared" si="29"/>
        <v>0</v>
      </c>
      <c r="AK552" s="148" t="s">
        <v>75</v>
      </c>
    </row>
    <row r="553" spans="1:37" ht="30" customHeight="1">
      <c r="A553" s="62"/>
      <c r="B553" s="62"/>
      <c r="C553" s="62"/>
      <c r="D553" s="62"/>
      <c r="E553" s="62"/>
      <c r="F553" s="62"/>
      <c r="G553" s="62"/>
      <c r="H553" s="62"/>
      <c r="I553" s="62"/>
      <c r="J553" s="62"/>
      <c r="K553" s="62"/>
      <c r="L553" s="62"/>
      <c r="M553" s="62"/>
      <c r="N553" s="186"/>
      <c r="O553" s="152"/>
      <c r="P553" s="90"/>
      <c r="Q553" s="140"/>
      <c r="R553" s="90"/>
      <c r="S553" s="140"/>
      <c r="T553" s="90"/>
      <c r="U553" s="140"/>
      <c r="V553" s="90"/>
      <c r="W553" s="140"/>
      <c r="X553" s="90"/>
      <c r="Y553" s="140"/>
      <c r="Z553" s="90"/>
      <c r="AA553" s="140"/>
      <c r="AB553" s="90"/>
      <c r="AC553" s="140"/>
      <c r="AD553" s="90"/>
      <c r="AE553" s="140"/>
      <c r="AF553" s="137" t="str">
        <f t="shared" si="28"/>
        <v/>
      </c>
      <c r="AG553" s="179" t="b">
        <f t="shared" si="27"/>
        <v>0</v>
      </c>
      <c r="AH553" s="140"/>
      <c r="AI553" s="147" t="s">
        <v>36</v>
      </c>
      <c r="AJ553" s="145">
        <f t="shared" si="29"/>
        <v>0</v>
      </c>
      <c r="AK553" s="148" t="s">
        <v>75</v>
      </c>
    </row>
    <row r="554" spans="1:37" ht="30" customHeight="1">
      <c r="A554" s="62"/>
      <c r="B554" s="62"/>
      <c r="C554" s="62"/>
      <c r="D554" s="62"/>
      <c r="E554" s="62"/>
      <c r="F554" s="62"/>
      <c r="G554" s="62"/>
      <c r="H554" s="62"/>
      <c r="I554" s="62"/>
      <c r="J554" s="62"/>
      <c r="K554" s="62"/>
      <c r="L554" s="62"/>
      <c r="M554" s="62"/>
      <c r="N554" s="186"/>
      <c r="O554" s="152"/>
      <c r="P554" s="90"/>
      <c r="Q554" s="140"/>
      <c r="R554" s="90"/>
      <c r="S554" s="140"/>
      <c r="T554" s="90"/>
      <c r="U554" s="140"/>
      <c r="V554" s="90"/>
      <c r="W554" s="140"/>
      <c r="X554" s="90"/>
      <c r="Y554" s="140"/>
      <c r="Z554" s="90"/>
      <c r="AA554" s="140"/>
      <c r="AB554" s="90"/>
      <c r="AC554" s="140"/>
      <c r="AD554" s="90"/>
      <c r="AE554" s="140"/>
      <c r="AF554" s="137" t="str">
        <f t="shared" si="28"/>
        <v/>
      </c>
      <c r="AG554" s="179" t="b">
        <f t="shared" si="27"/>
        <v>0</v>
      </c>
      <c r="AH554" s="140"/>
      <c r="AI554" s="147" t="s">
        <v>36</v>
      </c>
      <c r="AJ554" s="145">
        <f t="shared" si="29"/>
        <v>0</v>
      </c>
      <c r="AK554" s="148" t="s">
        <v>75</v>
      </c>
    </row>
    <row r="555" spans="1:37" ht="30" customHeight="1">
      <c r="A555" s="62"/>
      <c r="B555" s="62"/>
      <c r="C555" s="62"/>
      <c r="D555" s="62"/>
      <c r="E555" s="62"/>
      <c r="F555" s="62"/>
      <c r="G555" s="62"/>
      <c r="H555" s="62"/>
      <c r="I555" s="62"/>
      <c r="J555" s="62"/>
      <c r="K555" s="62"/>
      <c r="L555" s="62"/>
      <c r="M555" s="62"/>
      <c r="N555" s="186"/>
      <c r="O555" s="152"/>
      <c r="P555" s="90"/>
      <c r="Q555" s="140"/>
      <c r="R555" s="90"/>
      <c r="S555" s="140"/>
      <c r="T555" s="90"/>
      <c r="U555" s="140"/>
      <c r="V555" s="90"/>
      <c r="W555" s="140"/>
      <c r="X555" s="90"/>
      <c r="Y555" s="140"/>
      <c r="Z555" s="90"/>
      <c r="AA555" s="140"/>
      <c r="AB555" s="90"/>
      <c r="AC555" s="140"/>
      <c r="AD555" s="90"/>
      <c r="AE555" s="140"/>
      <c r="AF555" s="137" t="str">
        <f t="shared" si="28"/>
        <v/>
      </c>
      <c r="AG555" s="179" t="b">
        <f t="shared" si="27"/>
        <v>0</v>
      </c>
      <c r="AH555" s="140"/>
      <c r="AI555" s="147" t="s">
        <v>36</v>
      </c>
      <c r="AJ555" s="145">
        <f t="shared" si="29"/>
        <v>0</v>
      </c>
      <c r="AK555" s="148" t="s">
        <v>75</v>
      </c>
    </row>
    <row r="556" spans="1:37" ht="30" customHeight="1">
      <c r="A556" s="62"/>
      <c r="B556" s="62"/>
      <c r="C556" s="62"/>
      <c r="D556" s="62"/>
      <c r="E556" s="62"/>
      <c r="F556" s="62"/>
      <c r="G556" s="62"/>
      <c r="H556" s="62"/>
      <c r="I556" s="62"/>
      <c r="J556" s="62"/>
      <c r="K556" s="62"/>
      <c r="L556" s="62"/>
      <c r="M556" s="62"/>
      <c r="N556" s="186"/>
      <c r="O556" s="152"/>
      <c r="P556" s="90"/>
      <c r="Q556" s="140"/>
      <c r="R556" s="90"/>
      <c r="S556" s="140"/>
      <c r="T556" s="90"/>
      <c r="U556" s="140"/>
      <c r="V556" s="90"/>
      <c r="W556" s="140"/>
      <c r="X556" s="90"/>
      <c r="Y556" s="140"/>
      <c r="Z556" s="90"/>
      <c r="AA556" s="140"/>
      <c r="AB556" s="90"/>
      <c r="AC556" s="140"/>
      <c r="AD556" s="90"/>
      <c r="AE556" s="140"/>
      <c r="AF556" s="137" t="str">
        <f t="shared" si="28"/>
        <v/>
      </c>
      <c r="AG556" s="179" t="b">
        <f t="shared" si="27"/>
        <v>0</v>
      </c>
      <c r="AH556" s="140"/>
      <c r="AI556" s="147" t="s">
        <v>36</v>
      </c>
      <c r="AJ556" s="145">
        <f t="shared" si="29"/>
        <v>0</v>
      </c>
      <c r="AK556" s="148" t="s">
        <v>75</v>
      </c>
    </row>
    <row r="557" spans="1:37" ht="30" customHeight="1">
      <c r="A557" s="62"/>
      <c r="B557" s="62"/>
      <c r="C557" s="62"/>
      <c r="D557" s="62"/>
      <c r="E557" s="62"/>
      <c r="F557" s="62"/>
      <c r="G557" s="62"/>
      <c r="H557" s="62"/>
      <c r="I557" s="62"/>
      <c r="J557" s="62"/>
      <c r="K557" s="62"/>
      <c r="L557" s="62"/>
      <c r="M557" s="62"/>
      <c r="N557" s="186"/>
      <c r="O557" s="152"/>
      <c r="P557" s="90"/>
      <c r="Q557" s="140"/>
      <c r="R557" s="90"/>
      <c r="S557" s="140"/>
      <c r="T557" s="90"/>
      <c r="U557" s="140"/>
      <c r="V557" s="90"/>
      <c r="W557" s="140"/>
      <c r="X557" s="90"/>
      <c r="Y557" s="140"/>
      <c r="Z557" s="90"/>
      <c r="AA557" s="140"/>
      <c r="AB557" s="90"/>
      <c r="AC557" s="140"/>
      <c r="AD557" s="90"/>
      <c r="AE557" s="140"/>
      <c r="AF557" s="137" t="str">
        <f t="shared" si="28"/>
        <v/>
      </c>
      <c r="AG557" s="179" t="b">
        <f t="shared" si="27"/>
        <v>0</v>
      </c>
      <c r="AH557" s="140"/>
      <c r="AI557" s="147" t="s">
        <v>36</v>
      </c>
      <c r="AJ557" s="145">
        <f t="shared" si="29"/>
        <v>0</v>
      </c>
      <c r="AK557" s="148" t="s">
        <v>75</v>
      </c>
    </row>
    <row r="558" spans="1:37" ht="30" customHeight="1">
      <c r="A558" s="62"/>
      <c r="B558" s="62"/>
      <c r="C558" s="62"/>
      <c r="D558" s="62"/>
      <c r="E558" s="62"/>
      <c r="F558" s="62"/>
      <c r="G558" s="62"/>
      <c r="H558" s="62"/>
      <c r="I558" s="62"/>
      <c r="J558" s="62"/>
      <c r="K558" s="62"/>
      <c r="L558" s="62"/>
      <c r="M558" s="62"/>
      <c r="N558" s="186"/>
      <c r="O558" s="152"/>
      <c r="P558" s="90"/>
      <c r="Q558" s="140"/>
      <c r="R558" s="90"/>
      <c r="S558" s="140"/>
      <c r="T558" s="90"/>
      <c r="U558" s="140"/>
      <c r="V558" s="90"/>
      <c r="W558" s="140"/>
      <c r="X558" s="90"/>
      <c r="Y558" s="140"/>
      <c r="Z558" s="90"/>
      <c r="AA558" s="140"/>
      <c r="AB558" s="90"/>
      <c r="AC558" s="140"/>
      <c r="AD558" s="90"/>
      <c r="AE558" s="140"/>
      <c r="AF558" s="137" t="str">
        <f t="shared" si="28"/>
        <v/>
      </c>
      <c r="AG558" s="179" t="b">
        <f t="shared" si="27"/>
        <v>0</v>
      </c>
      <c r="AH558" s="140"/>
      <c r="AI558" s="147" t="s">
        <v>36</v>
      </c>
      <c r="AJ558" s="145">
        <f t="shared" si="29"/>
        <v>0</v>
      </c>
      <c r="AK558" s="148" t="s">
        <v>75</v>
      </c>
    </row>
    <row r="559" spans="1:37" ht="30" customHeight="1">
      <c r="A559" s="62"/>
      <c r="B559" s="62"/>
      <c r="C559" s="62"/>
      <c r="D559" s="62"/>
      <c r="E559" s="62"/>
      <c r="F559" s="62"/>
      <c r="G559" s="62"/>
      <c r="H559" s="62"/>
      <c r="I559" s="62"/>
      <c r="J559" s="62"/>
      <c r="K559" s="62"/>
      <c r="L559" s="62"/>
      <c r="M559" s="62"/>
      <c r="N559" s="186"/>
      <c r="O559" s="152"/>
      <c r="P559" s="90"/>
      <c r="Q559" s="140"/>
      <c r="R559" s="90"/>
      <c r="S559" s="140"/>
      <c r="T559" s="90"/>
      <c r="U559" s="140"/>
      <c r="V559" s="90"/>
      <c r="W559" s="140"/>
      <c r="X559" s="90"/>
      <c r="Y559" s="140"/>
      <c r="Z559" s="90"/>
      <c r="AA559" s="140"/>
      <c r="AB559" s="90"/>
      <c r="AC559" s="140"/>
      <c r="AD559" s="90"/>
      <c r="AE559" s="140"/>
      <c r="AF559" s="137" t="str">
        <f t="shared" si="28"/>
        <v/>
      </c>
      <c r="AG559" s="179" t="b">
        <f t="shared" si="27"/>
        <v>0</v>
      </c>
      <c r="AH559" s="140"/>
      <c r="AI559" s="147" t="s">
        <v>36</v>
      </c>
      <c r="AJ559" s="145">
        <f t="shared" si="29"/>
        <v>0</v>
      </c>
      <c r="AK559" s="148" t="s">
        <v>75</v>
      </c>
    </row>
    <row r="560" spans="1:37" ht="30" customHeight="1">
      <c r="A560" s="62"/>
      <c r="B560" s="62"/>
      <c r="C560" s="62"/>
      <c r="D560" s="62"/>
      <c r="E560" s="62"/>
      <c r="F560" s="62"/>
      <c r="G560" s="62"/>
      <c r="H560" s="62"/>
      <c r="I560" s="62"/>
      <c r="J560" s="62"/>
      <c r="K560" s="62"/>
      <c r="L560" s="62"/>
      <c r="M560" s="62"/>
      <c r="N560" s="186"/>
      <c r="O560" s="152"/>
      <c r="P560" s="90"/>
      <c r="Q560" s="140"/>
      <c r="R560" s="90"/>
      <c r="S560" s="140"/>
      <c r="T560" s="90"/>
      <c r="U560" s="140"/>
      <c r="V560" s="90"/>
      <c r="W560" s="140"/>
      <c r="X560" s="90"/>
      <c r="Y560" s="140"/>
      <c r="Z560" s="90"/>
      <c r="AA560" s="140"/>
      <c r="AB560" s="90"/>
      <c r="AC560" s="140"/>
      <c r="AD560" s="90"/>
      <c r="AE560" s="140"/>
      <c r="AF560" s="137" t="str">
        <f t="shared" si="28"/>
        <v/>
      </c>
      <c r="AG560" s="179" t="b">
        <f t="shared" si="27"/>
        <v>0</v>
      </c>
      <c r="AH560" s="140"/>
      <c r="AI560" s="147" t="s">
        <v>36</v>
      </c>
      <c r="AJ560" s="145">
        <f t="shared" si="29"/>
        <v>0</v>
      </c>
      <c r="AK560" s="148" t="s">
        <v>75</v>
      </c>
    </row>
    <row r="561" spans="1:37" ht="30" customHeight="1">
      <c r="A561" s="62"/>
      <c r="B561" s="62"/>
      <c r="C561" s="62"/>
      <c r="D561" s="62"/>
      <c r="E561" s="62"/>
      <c r="F561" s="62"/>
      <c r="G561" s="62"/>
      <c r="H561" s="62"/>
      <c r="I561" s="62"/>
      <c r="J561" s="62"/>
      <c r="K561" s="62"/>
      <c r="L561" s="62"/>
      <c r="M561" s="62"/>
      <c r="N561" s="186"/>
      <c r="O561" s="152"/>
      <c r="P561" s="90"/>
      <c r="Q561" s="140"/>
      <c r="R561" s="90"/>
      <c r="S561" s="140"/>
      <c r="T561" s="90"/>
      <c r="U561" s="140"/>
      <c r="V561" s="90"/>
      <c r="W561" s="140"/>
      <c r="X561" s="90"/>
      <c r="Y561" s="140"/>
      <c r="Z561" s="90"/>
      <c r="AA561" s="140"/>
      <c r="AB561" s="90"/>
      <c r="AC561" s="140"/>
      <c r="AD561" s="90"/>
      <c r="AE561" s="140"/>
      <c r="AF561" s="137" t="str">
        <f t="shared" si="28"/>
        <v/>
      </c>
      <c r="AG561" s="179" t="b">
        <f t="shared" si="27"/>
        <v>0</v>
      </c>
      <c r="AH561" s="140"/>
      <c r="AI561" s="147" t="s">
        <v>36</v>
      </c>
      <c r="AJ561" s="145">
        <f t="shared" si="29"/>
        <v>0</v>
      </c>
      <c r="AK561" s="148" t="s">
        <v>75</v>
      </c>
    </row>
    <row r="562" spans="1:37" ht="30" customHeight="1">
      <c r="A562" s="62"/>
      <c r="B562" s="62"/>
      <c r="C562" s="62"/>
      <c r="D562" s="62"/>
      <c r="E562" s="62"/>
      <c r="F562" s="62"/>
      <c r="G562" s="62"/>
      <c r="H562" s="62"/>
      <c r="I562" s="62"/>
      <c r="J562" s="62"/>
      <c r="K562" s="62"/>
      <c r="L562" s="62"/>
      <c r="M562" s="62"/>
      <c r="N562" s="186"/>
      <c r="O562" s="152"/>
      <c r="P562" s="90"/>
      <c r="Q562" s="140"/>
      <c r="R562" s="90"/>
      <c r="S562" s="140"/>
      <c r="T562" s="90"/>
      <c r="U562" s="140"/>
      <c r="V562" s="90"/>
      <c r="W562" s="140"/>
      <c r="X562" s="90"/>
      <c r="Y562" s="140"/>
      <c r="Z562" s="90"/>
      <c r="AA562" s="140"/>
      <c r="AB562" s="90"/>
      <c r="AC562" s="140"/>
      <c r="AD562" s="90"/>
      <c r="AE562" s="140"/>
      <c r="AF562" s="137" t="str">
        <f t="shared" si="28"/>
        <v/>
      </c>
      <c r="AG562" s="179" t="b">
        <f t="shared" si="27"/>
        <v>0</v>
      </c>
      <c r="AH562" s="140"/>
      <c r="AI562" s="147" t="s">
        <v>36</v>
      </c>
      <c r="AJ562" s="145">
        <f t="shared" si="29"/>
        <v>0</v>
      </c>
      <c r="AK562" s="148" t="s">
        <v>75</v>
      </c>
    </row>
    <row r="563" spans="1:37" ht="30" customHeight="1">
      <c r="A563" s="62"/>
      <c r="B563" s="62"/>
      <c r="C563" s="62"/>
      <c r="D563" s="62"/>
      <c r="E563" s="62"/>
      <c r="F563" s="62"/>
      <c r="G563" s="62"/>
      <c r="H563" s="62"/>
      <c r="I563" s="62"/>
      <c r="J563" s="62"/>
      <c r="K563" s="62"/>
      <c r="L563" s="62"/>
      <c r="M563" s="62"/>
      <c r="N563" s="186"/>
      <c r="O563" s="152"/>
      <c r="P563" s="90"/>
      <c r="Q563" s="140"/>
      <c r="R563" s="90"/>
      <c r="S563" s="140"/>
      <c r="T563" s="90"/>
      <c r="U563" s="140"/>
      <c r="V563" s="90"/>
      <c r="W563" s="140"/>
      <c r="X563" s="90"/>
      <c r="Y563" s="140"/>
      <c r="Z563" s="90"/>
      <c r="AA563" s="140"/>
      <c r="AB563" s="90"/>
      <c r="AC563" s="140"/>
      <c r="AD563" s="90"/>
      <c r="AE563" s="140"/>
      <c r="AF563" s="137" t="str">
        <f t="shared" si="28"/>
        <v/>
      </c>
      <c r="AG563" s="179" t="b">
        <f t="shared" si="27"/>
        <v>0</v>
      </c>
      <c r="AH563" s="140"/>
      <c r="AI563" s="147" t="s">
        <v>36</v>
      </c>
      <c r="AJ563" s="145">
        <f t="shared" si="29"/>
        <v>0</v>
      </c>
      <c r="AK563" s="148" t="s">
        <v>75</v>
      </c>
    </row>
    <row r="564" spans="1:37" ht="30" customHeight="1">
      <c r="A564" s="62"/>
      <c r="B564" s="62"/>
      <c r="C564" s="62"/>
      <c r="D564" s="62"/>
      <c r="E564" s="62"/>
      <c r="F564" s="62"/>
      <c r="G564" s="62"/>
      <c r="H564" s="62"/>
      <c r="I564" s="62"/>
      <c r="J564" s="62"/>
      <c r="K564" s="62"/>
      <c r="L564" s="62"/>
      <c r="M564" s="62"/>
      <c r="N564" s="186"/>
      <c r="O564" s="152"/>
      <c r="P564" s="90"/>
      <c r="Q564" s="140"/>
      <c r="R564" s="90"/>
      <c r="S564" s="140"/>
      <c r="T564" s="90"/>
      <c r="U564" s="140"/>
      <c r="V564" s="90"/>
      <c r="W564" s="140"/>
      <c r="X564" s="90"/>
      <c r="Y564" s="140"/>
      <c r="Z564" s="90"/>
      <c r="AA564" s="140"/>
      <c r="AB564" s="90"/>
      <c r="AC564" s="140"/>
      <c r="AD564" s="90"/>
      <c r="AE564" s="140"/>
      <c r="AF564" s="137" t="str">
        <f t="shared" si="28"/>
        <v/>
      </c>
      <c r="AG564" s="179" t="b">
        <f t="shared" si="27"/>
        <v>0</v>
      </c>
      <c r="AH564" s="140"/>
      <c r="AI564" s="147" t="s">
        <v>36</v>
      </c>
      <c r="AJ564" s="145">
        <f t="shared" si="29"/>
        <v>0</v>
      </c>
      <c r="AK564" s="148" t="s">
        <v>75</v>
      </c>
    </row>
    <row r="565" spans="1:37" ht="30" customHeight="1">
      <c r="A565" s="62"/>
      <c r="B565" s="62"/>
      <c r="C565" s="62"/>
      <c r="D565" s="62"/>
      <c r="E565" s="62"/>
      <c r="F565" s="62"/>
      <c r="G565" s="62"/>
      <c r="H565" s="62"/>
      <c r="I565" s="62"/>
      <c r="J565" s="62"/>
      <c r="K565" s="62"/>
      <c r="L565" s="62"/>
      <c r="M565" s="62"/>
      <c r="N565" s="186"/>
      <c r="O565" s="152"/>
      <c r="P565" s="90"/>
      <c r="Q565" s="140"/>
      <c r="R565" s="90"/>
      <c r="S565" s="140"/>
      <c r="T565" s="90"/>
      <c r="U565" s="140"/>
      <c r="V565" s="90"/>
      <c r="W565" s="140"/>
      <c r="X565" s="90"/>
      <c r="Y565" s="140"/>
      <c r="Z565" s="90"/>
      <c r="AA565" s="140"/>
      <c r="AB565" s="90"/>
      <c r="AC565" s="140"/>
      <c r="AD565" s="90"/>
      <c r="AE565" s="140"/>
      <c r="AF565" s="137" t="str">
        <f t="shared" si="28"/>
        <v/>
      </c>
      <c r="AG565" s="179" t="b">
        <f t="shared" si="27"/>
        <v>0</v>
      </c>
      <c r="AH565" s="140"/>
      <c r="AI565" s="147" t="s">
        <v>36</v>
      </c>
      <c r="AJ565" s="145">
        <f t="shared" si="29"/>
        <v>0</v>
      </c>
      <c r="AK565" s="148" t="s">
        <v>75</v>
      </c>
    </row>
    <row r="566" spans="1:37" ht="30" customHeight="1">
      <c r="A566" s="62"/>
      <c r="B566" s="62"/>
      <c r="C566" s="62"/>
      <c r="D566" s="62"/>
      <c r="E566" s="62"/>
      <c r="F566" s="62"/>
      <c r="G566" s="62"/>
      <c r="H566" s="62"/>
      <c r="I566" s="62"/>
      <c r="J566" s="62"/>
      <c r="K566" s="62"/>
      <c r="L566" s="62"/>
      <c r="M566" s="62"/>
      <c r="N566" s="186"/>
      <c r="O566" s="152"/>
      <c r="P566" s="90"/>
      <c r="Q566" s="140"/>
      <c r="R566" s="90"/>
      <c r="S566" s="140"/>
      <c r="T566" s="90"/>
      <c r="U566" s="140"/>
      <c r="V566" s="90"/>
      <c r="W566" s="140"/>
      <c r="X566" s="90"/>
      <c r="Y566" s="140"/>
      <c r="Z566" s="90"/>
      <c r="AA566" s="140"/>
      <c r="AB566" s="90"/>
      <c r="AC566" s="140"/>
      <c r="AD566" s="90"/>
      <c r="AE566" s="140"/>
      <c r="AF566" s="137" t="str">
        <f t="shared" si="28"/>
        <v/>
      </c>
      <c r="AG566" s="179" t="b">
        <f t="shared" si="27"/>
        <v>0</v>
      </c>
      <c r="AH566" s="140"/>
      <c r="AI566" s="147" t="s">
        <v>36</v>
      </c>
      <c r="AJ566" s="145">
        <f t="shared" si="29"/>
        <v>0</v>
      </c>
      <c r="AK566" s="148" t="s">
        <v>75</v>
      </c>
    </row>
    <row r="567" spans="1:37" ht="30" customHeight="1">
      <c r="A567" s="62"/>
      <c r="B567" s="62"/>
      <c r="C567" s="62"/>
      <c r="D567" s="62"/>
      <c r="E567" s="62"/>
      <c r="F567" s="62"/>
      <c r="G567" s="62"/>
      <c r="H567" s="62"/>
      <c r="I567" s="62"/>
      <c r="J567" s="62"/>
      <c r="K567" s="62"/>
      <c r="L567" s="62"/>
      <c r="M567" s="62"/>
      <c r="N567" s="186"/>
      <c r="O567" s="152"/>
      <c r="P567" s="90"/>
      <c r="Q567" s="140"/>
      <c r="R567" s="90"/>
      <c r="S567" s="140"/>
      <c r="T567" s="90"/>
      <c r="U567" s="140"/>
      <c r="V567" s="90"/>
      <c r="W567" s="140"/>
      <c r="X567" s="90"/>
      <c r="Y567" s="140"/>
      <c r="Z567" s="90"/>
      <c r="AA567" s="140"/>
      <c r="AB567" s="90"/>
      <c r="AC567" s="140"/>
      <c r="AD567" s="90"/>
      <c r="AE567" s="140"/>
      <c r="AF567" s="137" t="str">
        <f t="shared" si="28"/>
        <v/>
      </c>
      <c r="AG567" s="179" t="b">
        <f t="shared" si="27"/>
        <v>0</v>
      </c>
      <c r="AH567" s="140"/>
      <c r="AI567" s="147" t="s">
        <v>36</v>
      </c>
      <c r="AJ567" s="145">
        <f t="shared" si="29"/>
        <v>0</v>
      </c>
      <c r="AK567" s="148" t="s">
        <v>75</v>
      </c>
    </row>
    <row r="568" spans="1:37" ht="30" customHeight="1">
      <c r="A568" s="62"/>
      <c r="B568" s="62"/>
      <c r="C568" s="62"/>
      <c r="D568" s="62"/>
      <c r="E568" s="62"/>
      <c r="F568" s="62"/>
      <c r="G568" s="62"/>
      <c r="H568" s="62"/>
      <c r="I568" s="62"/>
      <c r="J568" s="62"/>
      <c r="K568" s="62"/>
      <c r="L568" s="62"/>
      <c r="M568" s="62"/>
      <c r="N568" s="186"/>
      <c r="O568" s="152"/>
      <c r="P568" s="90"/>
      <c r="Q568" s="140"/>
      <c r="R568" s="90"/>
      <c r="S568" s="140"/>
      <c r="T568" s="90"/>
      <c r="U568" s="140"/>
      <c r="V568" s="90"/>
      <c r="W568" s="140"/>
      <c r="X568" s="90"/>
      <c r="Y568" s="140"/>
      <c r="Z568" s="90"/>
      <c r="AA568" s="140"/>
      <c r="AB568" s="90"/>
      <c r="AC568" s="140"/>
      <c r="AD568" s="90"/>
      <c r="AE568" s="140"/>
      <c r="AF568" s="137" t="str">
        <f t="shared" si="28"/>
        <v/>
      </c>
      <c r="AG568" s="179" t="b">
        <f t="shared" si="27"/>
        <v>0</v>
      </c>
      <c r="AH568" s="140"/>
      <c r="AI568" s="147" t="s">
        <v>36</v>
      </c>
      <c r="AJ568" s="145">
        <f t="shared" si="29"/>
        <v>0</v>
      </c>
      <c r="AK568" s="148" t="s">
        <v>75</v>
      </c>
    </row>
    <row r="569" spans="1:37" ht="30" customHeight="1">
      <c r="A569" s="62"/>
      <c r="B569" s="62"/>
      <c r="C569" s="62"/>
      <c r="D569" s="62"/>
      <c r="E569" s="62"/>
      <c r="F569" s="62"/>
      <c r="G569" s="62"/>
      <c r="H569" s="62"/>
      <c r="I569" s="62"/>
      <c r="J569" s="62"/>
      <c r="K569" s="62"/>
      <c r="L569" s="62"/>
      <c r="M569" s="62"/>
      <c r="N569" s="186"/>
      <c r="O569" s="152"/>
      <c r="P569" s="90"/>
      <c r="Q569" s="140"/>
      <c r="R569" s="90"/>
      <c r="S569" s="140"/>
      <c r="T569" s="90"/>
      <c r="U569" s="140"/>
      <c r="V569" s="90"/>
      <c r="W569" s="140"/>
      <c r="X569" s="90"/>
      <c r="Y569" s="140"/>
      <c r="Z569" s="90"/>
      <c r="AA569" s="140"/>
      <c r="AB569" s="90"/>
      <c r="AC569" s="140"/>
      <c r="AD569" s="90"/>
      <c r="AE569" s="140"/>
      <c r="AF569" s="137" t="str">
        <f t="shared" si="28"/>
        <v/>
      </c>
      <c r="AG569" s="179" t="b">
        <f t="shared" si="27"/>
        <v>0</v>
      </c>
      <c r="AH569" s="140"/>
      <c r="AI569" s="147" t="s">
        <v>36</v>
      </c>
      <c r="AJ569" s="145">
        <f t="shared" si="29"/>
        <v>0</v>
      </c>
      <c r="AK569" s="148" t="s">
        <v>75</v>
      </c>
    </row>
    <row r="570" spans="1:37" ht="30" customHeight="1">
      <c r="A570" s="62"/>
      <c r="B570" s="62"/>
      <c r="C570" s="62"/>
      <c r="D570" s="62"/>
      <c r="E570" s="62"/>
      <c r="F570" s="62"/>
      <c r="G570" s="62"/>
      <c r="H570" s="62"/>
      <c r="I570" s="62"/>
      <c r="J570" s="62"/>
      <c r="K570" s="62"/>
      <c r="L570" s="62"/>
      <c r="M570" s="62"/>
      <c r="N570" s="186"/>
      <c r="O570" s="152"/>
      <c r="P570" s="90"/>
      <c r="Q570" s="140"/>
      <c r="R570" s="90"/>
      <c r="S570" s="140"/>
      <c r="T570" s="90"/>
      <c r="U570" s="140"/>
      <c r="V570" s="90"/>
      <c r="W570" s="140"/>
      <c r="X570" s="90"/>
      <c r="Y570" s="140"/>
      <c r="Z570" s="90"/>
      <c r="AA570" s="140"/>
      <c r="AB570" s="90"/>
      <c r="AC570" s="140"/>
      <c r="AD570" s="90"/>
      <c r="AE570" s="140"/>
      <c r="AF570" s="137" t="str">
        <f t="shared" si="28"/>
        <v/>
      </c>
      <c r="AG570" s="179" t="b">
        <f t="shared" si="27"/>
        <v>0</v>
      </c>
      <c r="AH570" s="140"/>
      <c r="AI570" s="147" t="s">
        <v>36</v>
      </c>
      <c r="AJ570" s="145">
        <f t="shared" si="29"/>
        <v>0</v>
      </c>
      <c r="AK570" s="148" t="s">
        <v>75</v>
      </c>
    </row>
    <row r="571" spans="1:37" ht="30" customHeight="1">
      <c r="A571" s="62"/>
      <c r="B571" s="62"/>
      <c r="C571" s="62"/>
      <c r="D571" s="62"/>
      <c r="E571" s="62"/>
      <c r="F571" s="62"/>
      <c r="G571" s="62"/>
      <c r="H571" s="62"/>
      <c r="I571" s="62"/>
      <c r="J571" s="62"/>
      <c r="K571" s="62"/>
      <c r="L571" s="62"/>
      <c r="M571" s="62"/>
      <c r="N571" s="186"/>
      <c r="O571" s="152"/>
      <c r="P571" s="90"/>
      <c r="Q571" s="140"/>
      <c r="R571" s="90"/>
      <c r="S571" s="140"/>
      <c r="T571" s="90"/>
      <c r="U571" s="140"/>
      <c r="V571" s="90"/>
      <c r="W571" s="140"/>
      <c r="X571" s="90"/>
      <c r="Y571" s="140"/>
      <c r="Z571" s="90"/>
      <c r="AA571" s="140"/>
      <c r="AB571" s="90"/>
      <c r="AC571" s="140"/>
      <c r="AD571" s="90"/>
      <c r="AE571" s="140"/>
      <c r="AF571" s="137" t="str">
        <f t="shared" si="28"/>
        <v/>
      </c>
      <c r="AG571" s="179" t="b">
        <f t="shared" si="27"/>
        <v>0</v>
      </c>
      <c r="AH571" s="140"/>
      <c r="AI571" s="147" t="s">
        <v>36</v>
      </c>
      <c r="AJ571" s="145">
        <f t="shared" si="29"/>
        <v>0</v>
      </c>
      <c r="AK571" s="148" t="s">
        <v>75</v>
      </c>
    </row>
    <row r="572" spans="1:37" ht="30" customHeight="1">
      <c r="A572" s="62"/>
      <c r="B572" s="62"/>
      <c r="C572" s="62"/>
      <c r="D572" s="62"/>
      <c r="E572" s="62"/>
      <c r="F572" s="62"/>
      <c r="G572" s="62"/>
      <c r="H572" s="62"/>
      <c r="I572" s="62"/>
      <c r="J572" s="62"/>
      <c r="K572" s="62"/>
      <c r="L572" s="62"/>
      <c r="M572" s="62"/>
      <c r="N572" s="186"/>
      <c r="O572" s="152"/>
      <c r="P572" s="90"/>
      <c r="Q572" s="140"/>
      <c r="R572" s="90"/>
      <c r="S572" s="140"/>
      <c r="T572" s="90"/>
      <c r="U572" s="140"/>
      <c r="V572" s="90"/>
      <c r="W572" s="140"/>
      <c r="X572" s="90"/>
      <c r="Y572" s="140"/>
      <c r="Z572" s="90"/>
      <c r="AA572" s="140"/>
      <c r="AB572" s="90"/>
      <c r="AC572" s="140"/>
      <c r="AD572" s="90"/>
      <c r="AE572" s="140"/>
      <c r="AF572" s="137" t="str">
        <f t="shared" si="28"/>
        <v/>
      </c>
      <c r="AG572" s="179" t="b">
        <f t="shared" si="27"/>
        <v>0</v>
      </c>
      <c r="AH572" s="140"/>
      <c r="AI572" s="147" t="s">
        <v>36</v>
      </c>
      <c r="AJ572" s="145">
        <f t="shared" si="29"/>
        <v>0</v>
      </c>
      <c r="AK572" s="148" t="s">
        <v>75</v>
      </c>
    </row>
    <row r="573" spans="1:37" ht="30" customHeight="1">
      <c r="A573" s="62"/>
      <c r="B573" s="62"/>
      <c r="C573" s="62"/>
      <c r="D573" s="62"/>
      <c r="E573" s="62"/>
      <c r="F573" s="62"/>
      <c r="G573" s="62"/>
      <c r="H573" s="62"/>
      <c r="I573" s="62"/>
      <c r="J573" s="62"/>
      <c r="K573" s="62"/>
      <c r="L573" s="62"/>
      <c r="M573" s="62"/>
      <c r="N573" s="186"/>
      <c r="O573" s="152"/>
      <c r="P573" s="90"/>
      <c r="Q573" s="140"/>
      <c r="R573" s="90"/>
      <c r="S573" s="140"/>
      <c r="T573" s="90"/>
      <c r="U573" s="140"/>
      <c r="V573" s="90"/>
      <c r="W573" s="140"/>
      <c r="X573" s="90"/>
      <c r="Y573" s="140"/>
      <c r="Z573" s="90"/>
      <c r="AA573" s="140"/>
      <c r="AB573" s="90"/>
      <c r="AC573" s="140"/>
      <c r="AD573" s="90"/>
      <c r="AE573" s="140"/>
      <c r="AF573" s="137" t="str">
        <f t="shared" si="28"/>
        <v/>
      </c>
      <c r="AG573" s="179" t="b">
        <f t="shared" si="27"/>
        <v>0</v>
      </c>
      <c r="AH573" s="140"/>
      <c r="AI573" s="147" t="s">
        <v>36</v>
      </c>
      <c r="AJ573" s="145">
        <f t="shared" si="29"/>
        <v>0</v>
      </c>
      <c r="AK573" s="148" t="s">
        <v>75</v>
      </c>
    </row>
    <row r="574" spans="1:37" ht="30" customHeight="1">
      <c r="A574" s="62"/>
      <c r="B574" s="62"/>
      <c r="C574" s="62"/>
      <c r="D574" s="62"/>
      <c r="E574" s="62"/>
      <c r="F574" s="62"/>
      <c r="G574" s="62"/>
      <c r="H574" s="62"/>
      <c r="I574" s="62"/>
      <c r="J574" s="62"/>
      <c r="K574" s="62"/>
      <c r="L574" s="62"/>
      <c r="M574" s="62"/>
      <c r="N574" s="186"/>
      <c r="O574" s="152"/>
      <c r="P574" s="90"/>
      <c r="Q574" s="140"/>
      <c r="R574" s="90"/>
      <c r="S574" s="140"/>
      <c r="T574" s="90"/>
      <c r="U574" s="140"/>
      <c r="V574" s="90"/>
      <c r="W574" s="140"/>
      <c r="X574" s="90"/>
      <c r="Y574" s="140"/>
      <c r="Z574" s="90"/>
      <c r="AA574" s="140"/>
      <c r="AB574" s="90"/>
      <c r="AC574" s="140"/>
      <c r="AD574" s="90"/>
      <c r="AE574" s="140"/>
      <c r="AF574" s="137" t="str">
        <f t="shared" si="28"/>
        <v/>
      </c>
      <c r="AG574" s="179" t="b">
        <f t="shared" si="27"/>
        <v>0</v>
      </c>
      <c r="AH574" s="140"/>
      <c r="AI574" s="147" t="s">
        <v>36</v>
      </c>
      <c r="AJ574" s="145">
        <f t="shared" si="29"/>
        <v>0</v>
      </c>
      <c r="AK574" s="148" t="s">
        <v>75</v>
      </c>
    </row>
    <row r="575" spans="1:37" ht="30" customHeight="1">
      <c r="A575" s="62"/>
      <c r="B575" s="62"/>
      <c r="C575" s="62"/>
      <c r="D575" s="62"/>
      <c r="E575" s="62"/>
      <c r="F575" s="62"/>
      <c r="G575" s="62"/>
      <c r="H575" s="62"/>
      <c r="I575" s="62"/>
      <c r="J575" s="62"/>
      <c r="K575" s="62"/>
      <c r="L575" s="62"/>
      <c r="M575" s="62"/>
      <c r="N575" s="186"/>
      <c r="O575" s="152"/>
      <c r="P575" s="90"/>
      <c r="Q575" s="140"/>
      <c r="R575" s="90"/>
      <c r="S575" s="140"/>
      <c r="T575" s="90"/>
      <c r="U575" s="140"/>
      <c r="V575" s="90"/>
      <c r="W575" s="140"/>
      <c r="X575" s="90"/>
      <c r="Y575" s="140"/>
      <c r="Z575" s="90"/>
      <c r="AA575" s="140"/>
      <c r="AB575" s="90"/>
      <c r="AC575" s="140"/>
      <c r="AD575" s="90"/>
      <c r="AE575" s="140"/>
      <c r="AF575" s="137" t="str">
        <f t="shared" si="28"/>
        <v/>
      </c>
      <c r="AG575" s="179" t="b">
        <f t="shared" si="27"/>
        <v>0</v>
      </c>
      <c r="AH575" s="140"/>
      <c r="AI575" s="147" t="s">
        <v>36</v>
      </c>
      <c r="AJ575" s="145">
        <f t="shared" si="29"/>
        <v>0</v>
      </c>
      <c r="AK575" s="148" t="s">
        <v>75</v>
      </c>
    </row>
    <row r="576" spans="1:37" ht="30" customHeight="1">
      <c r="A576" s="62"/>
      <c r="B576" s="62"/>
      <c r="C576" s="62"/>
      <c r="D576" s="62"/>
      <c r="E576" s="62"/>
      <c r="F576" s="62"/>
      <c r="G576" s="62"/>
      <c r="H576" s="62"/>
      <c r="I576" s="62"/>
      <c r="J576" s="62"/>
      <c r="K576" s="62"/>
      <c r="L576" s="62"/>
      <c r="M576" s="62"/>
      <c r="N576" s="186"/>
      <c r="O576" s="152"/>
      <c r="P576" s="90"/>
      <c r="Q576" s="140"/>
      <c r="R576" s="90"/>
      <c r="S576" s="140"/>
      <c r="T576" s="90"/>
      <c r="U576" s="140"/>
      <c r="V576" s="90"/>
      <c r="W576" s="140"/>
      <c r="X576" s="90"/>
      <c r="Y576" s="140"/>
      <c r="Z576" s="90"/>
      <c r="AA576" s="140"/>
      <c r="AB576" s="90"/>
      <c r="AC576" s="140"/>
      <c r="AD576" s="90"/>
      <c r="AE576" s="140"/>
      <c r="AF576" s="137" t="str">
        <f t="shared" si="28"/>
        <v/>
      </c>
      <c r="AG576" s="179" t="b">
        <f t="shared" ref="AG576:AG639" si="30">IF(AND(AE576="C",AF576="C"),"UTILIZOU O PDA CORRETAMENTE",IF(AND(AE576="C",AF576="NC"),"UTILIZOU O PDA CORRETAMENTE. NÃO HÁ FOTOS DE TODAS AS ETAPAS",IF(AND(AE576="NC",AF576="NC"),"NÃO UTILIZOU O PDA",IF(AND(AE576="NA",AF576="NA"),"NÃO AVALIADO POR FALHA DE SINCRONISMO"))))</f>
        <v>0</v>
      </c>
      <c r="AH576" s="140"/>
      <c r="AI576" s="147" t="s">
        <v>36</v>
      </c>
      <c r="AJ576" s="145">
        <f t="shared" si="29"/>
        <v>0</v>
      </c>
      <c r="AK576" s="148" t="s">
        <v>75</v>
      </c>
    </row>
    <row r="577" spans="1:37" ht="30" customHeight="1">
      <c r="A577" s="62"/>
      <c r="B577" s="62"/>
      <c r="C577" s="62"/>
      <c r="D577" s="62"/>
      <c r="E577" s="62"/>
      <c r="F577" s="62"/>
      <c r="G577" s="62"/>
      <c r="H577" s="62"/>
      <c r="I577" s="62"/>
      <c r="J577" s="62"/>
      <c r="K577" s="62"/>
      <c r="L577" s="62"/>
      <c r="M577" s="62"/>
      <c r="N577" s="186"/>
      <c r="O577" s="152"/>
      <c r="P577" s="90"/>
      <c r="Q577" s="140"/>
      <c r="R577" s="90"/>
      <c r="S577" s="140"/>
      <c r="T577" s="90"/>
      <c r="U577" s="140"/>
      <c r="V577" s="90"/>
      <c r="W577" s="140"/>
      <c r="X577" s="90"/>
      <c r="Y577" s="140"/>
      <c r="Z577" s="90"/>
      <c r="AA577" s="140"/>
      <c r="AB577" s="90"/>
      <c r="AC577" s="140"/>
      <c r="AD577" s="90"/>
      <c r="AE577" s="140"/>
      <c r="AF577" s="137" t="str">
        <f t="shared" ref="AF577:AF640" si="31">IF(AND(O577="",Q577="",S577="",U577="",W577="",Y577="",AA577="",AC577=""),"",IF(OR(AND(O577&lt;&gt;"NA",O577&lt;&gt;"C",O577&lt;&gt;"NC",O577&lt;&gt;"SF",O577&lt;&gt;""),AND(Q577&lt;&gt;"NA",Q577&lt;&gt;"C",Q577&lt;&gt;"NC",Q577&lt;&gt;"SF",Q577&lt;&gt;""),AND(S577&lt;&gt;"NA",S577&lt;&gt;"C",S577&lt;&gt;"NC",S577&lt;&gt;"SF",S577&lt;&gt;""),AND(U577&lt;&gt;"NA",U577&lt;&gt;"C",U577&lt;&gt;"NC",U577&lt;&gt;"SF",U577&lt;&gt;""),AND(W577&lt;&gt;"NA",W577&lt;&gt;"C",W577&lt;&gt;"NC",W577&lt;&gt;"SF",W577&lt;&gt;""),AND(Y577&lt;&gt;"NA",Y577&lt;&gt;"C",Y577&lt;&gt;"NC",Y577&lt;&gt;"SF",Y577&lt;&gt;""),AND(AA577&lt;&gt;"NA",AA577&lt;&gt;"C",AA577&lt;&gt;"NC",AA577&lt;&gt;"SF",AA577&lt;&gt;""),AND(AC577&lt;&gt;"NA",AC577&lt;&gt;"C",AC577&lt;&gt;"NC",AC577&lt;&gt;"SF",AC577&lt;&gt;"")),"FALSO",IF(AND(O577="NA",Q577="NA",S577="NA",U577="NA",W577="NA",Y577="NA",AA577="NA",AC577="NA"),"NA",IF(OR(O577="NC",Q577="NC",S577="NC",U577="NC",W577="NC",Y577="NC",AA577="NC",AC577="NC",O577="SF",Q577="SF",S577="SF",U577="SF",W577="SF",Y577="SF",AA577="SF",AC577="SF"),"NC",IF(OR(O577="C",Q577="C",S577="C",U577="C",W577="C",Y577="C",AA577="C",AC577="C"),"C","")))))</f>
        <v/>
      </c>
      <c r="AG577" s="179" t="b">
        <f t="shared" si="30"/>
        <v>0</v>
      </c>
      <c r="AH577" s="140"/>
      <c r="AI577" s="147" t="s">
        <v>36</v>
      </c>
      <c r="AJ577" s="145">
        <f t="shared" si="29"/>
        <v>0</v>
      </c>
      <c r="AK577" s="148" t="s">
        <v>75</v>
      </c>
    </row>
    <row r="578" spans="1:37" ht="30" customHeight="1">
      <c r="A578" s="62"/>
      <c r="B578" s="62"/>
      <c r="C578" s="62"/>
      <c r="D578" s="62"/>
      <c r="E578" s="62"/>
      <c r="F578" s="62"/>
      <c r="G578" s="62"/>
      <c r="H578" s="62"/>
      <c r="I578" s="62"/>
      <c r="J578" s="62"/>
      <c r="K578" s="62"/>
      <c r="L578" s="62"/>
      <c r="M578" s="62"/>
      <c r="N578" s="186"/>
      <c r="O578" s="152"/>
      <c r="P578" s="90"/>
      <c r="Q578" s="140"/>
      <c r="R578" s="90"/>
      <c r="S578" s="140"/>
      <c r="T578" s="90"/>
      <c r="U578" s="140"/>
      <c r="V578" s="90"/>
      <c r="W578" s="140"/>
      <c r="X578" s="90"/>
      <c r="Y578" s="140"/>
      <c r="Z578" s="90"/>
      <c r="AA578" s="140"/>
      <c r="AB578" s="90"/>
      <c r="AC578" s="140"/>
      <c r="AD578" s="90"/>
      <c r="AE578" s="140"/>
      <c r="AF578" s="137" t="str">
        <f t="shared" si="31"/>
        <v/>
      </c>
      <c r="AG578" s="179" t="b">
        <f t="shared" si="30"/>
        <v>0</v>
      </c>
      <c r="AH578" s="140"/>
      <c r="AI578" s="147" t="s">
        <v>36</v>
      </c>
      <c r="AJ578" s="145">
        <f t="shared" si="29"/>
        <v>0</v>
      </c>
      <c r="AK578" s="148" t="s">
        <v>75</v>
      </c>
    </row>
    <row r="579" spans="1:37" ht="30" customHeight="1">
      <c r="A579" s="62"/>
      <c r="B579" s="62"/>
      <c r="C579" s="62"/>
      <c r="D579" s="62"/>
      <c r="E579" s="62"/>
      <c r="F579" s="62"/>
      <c r="G579" s="62"/>
      <c r="H579" s="62"/>
      <c r="I579" s="62"/>
      <c r="J579" s="62"/>
      <c r="K579" s="62"/>
      <c r="L579" s="62"/>
      <c r="M579" s="62"/>
      <c r="N579" s="186"/>
      <c r="O579" s="152"/>
      <c r="P579" s="90"/>
      <c r="Q579" s="140"/>
      <c r="R579" s="90"/>
      <c r="S579" s="140"/>
      <c r="T579" s="90"/>
      <c r="U579" s="140"/>
      <c r="V579" s="90"/>
      <c r="W579" s="140"/>
      <c r="X579" s="90"/>
      <c r="Y579" s="140"/>
      <c r="Z579" s="90"/>
      <c r="AA579" s="140"/>
      <c r="AB579" s="90"/>
      <c r="AC579" s="140"/>
      <c r="AD579" s="90"/>
      <c r="AE579" s="140"/>
      <c r="AF579" s="137" t="str">
        <f t="shared" si="31"/>
        <v/>
      </c>
      <c r="AG579" s="179" t="b">
        <f t="shared" si="30"/>
        <v>0</v>
      </c>
      <c r="AH579" s="140"/>
      <c r="AI579" s="147" t="s">
        <v>36</v>
      </c>
      <c r="AJ579" s="145">
        <f t="shared" si="29"/>
        <v>0</v>
      </c>
      <c r="AK579" s="148" t="s">
        <v>75</v>
      </c>
    </row>
    <row r="580" spans="1:37" ht="30" customHeight="1">
      <c r="A580" s="62"/>
      <c r="B580" s="62"/>
      <c r="C580" s="62"/>
      <c r="D580" s="62"/>
      <c r="E580" s="62"/>
      <c r="F580" s="62"/>
      <c r="G580" s="62"/>
      <c r="H580" s="62"/>
      <c r="I580" s="62"/>
      <c r="J580" s="62"/>
      <c r="K580" s="62"/>
      <c r="L580" s="62"/>
      <c r="M580" s="62"/>
      <c r="N580" s="186"/>
      <c r="O580" s="152"/>
      <c r="P580" s="90"/>
      <c r="Q580" s="140"/>
      <c r="R580" s="90"/>
      <c r="S580" s="140"/>
      <c r="T580" s="90"/>
      <c r="U580" s="140"/>
      <c r="V580" s="90"/>
      <c r="W580" s="140"/>
      <c r="X580" s="90"/>
      <c r="Y580" s="140"/>
      <c r="Z580" s="90"/>
      <c r="AA580" s="140"/>
      <c r="AB580" s="90"/>
      <c r="AC580" s="140"/>
      <c r="AD580" s="90"/>
      <c r="AE580" s="140"/>
      <c r="AF580" s="137" t="str">
        <f t="shared" si="31"/>
        <v/>
      </c>
      <c r="AG580" s="179" t="b">
        <f t="shared" si="30"/>
        <v>0</v>
      </c>
      <c r="AH580" s="140"/>
      <c r="AI580" s="147" t="s">
        <v>36</v>
      </c>
      <c r="AJ580" s="145">
        <f t="shared" si="29"/>
        <v>0</v>
      </c>
      <c r="AK580" s="148" t="s">
        <v>75</v>
      </c>
    </row>
    <row r="581" spans="1:37" ht="30" customHeight="1">
      <c r="A581" s="62"/>
      <c r="B581" s="62"/>
      <c r="C581" s="62"/>
      <c r="D581" s="62"/>
      <c r="E581" s="62"/>
      <c r="F581" s="62"/>
      <c r="G581" s="62"/>
      <c r="H581" s="62"/>
      <c r="I581" s="62"/>
      <c r="J581" s="62"/>
      <c r="K581" s="62"/>
      <c r="L581" s="62"/>
      <c r="M581" s="62"/>
      <c r="N581" s="186"/>
      <c r="O581" s="152"/>
      <c r="P581" s="90"/>
      <c r="Q581" s="140"/>
      <c r="R581" s="90"/>
      <c r="S581" s="140"/>
      <c r="T581" s="90"/>
      <c r="U581" s="140"/>
      <c r="V581" s="90"/>
      <c r="W581" s="140"/>
      <c r="X581" s="90"/>
      <c r="Y581" s="140"/>
      <c r="Z581" s="90"/>
      <c r="AA581" s="140"/>
      <c r="AB581" s="90"/>
      <c r="AC581" s="140"/>
      <c r="AD581" s="90"/>
      <c r="AE581" s="140"/>
      <c r="AF581" s="137" t="str">
        <f t="shared" si="31"/>
        <v/>
      </c>
      <c r="AG581" s="179" t="b">
        <f t="shared" si="30"/>
        <v>0</v>
      </c>
      <c r="AH581" s="140"/>
      <c r="AI581" s="147" t="s">
        <v>36</v>
      </c>
      <c r="AJ581" s="145">
        <f t="shared" si="29"/>
        <v>0</v>
      </c>
      <c r="AK581" s="148" t="s">
        <v>75</v>
      </c>
    </row>
    <row r="582" spans="1:37" ht="30" customHeight="1">
      <c r="A582" s="62"/>
      <c r="B582" s="62"/>
      <c r="C582" s="62"/>
      <c r="D582" s="62"/>
      <c r="E582" s="62"/>
      <c r="F582" s="62"/>
      <c r="G582" s="62"/>
      <c r="H582" s="62"/>
      <c r="I582" s="62"/>
      <c r="J582" s="62"/>
      <c r="K582" s="62"/>
      <c r="L582" s="62"/>
      <c r="M582" s="62"/>
      <c r="N582" s="186"/>
      <c r="O582" s="152"/>
      <c r="P582" s="90"/>
      <c r="Q582" s="140"/>
      <c r="R582" s="90"/>
      <c r="S582" s="140"/>
      <c r="T582" s="90"/>
      <c r="U582" s="140"/>
      <c r="V582" s="90"/>
      <c r="W582" s="140"/>
      <c r="X582" s="90"/>
      <c r="Y582" s="140"/>
      <c r="Z582" s="90"/>
      <c r="AA582" s="140"/>
      <c r="AB582" s="90"/>
      <c r="AC582" s="140"/>
      <c r="AD582" s="90"/>
      <c r="AE582" s="140"/>
      <c r="AF582" s="137" t="str">
        <f t="shared" si="31"/>
        <v/>
      </c>
      <c r="AG582" s="179" t="b">
        <f t="shared" si="30"/>
        <v>0</v>
      </c>
      <c r="AH582" s="140"/>
      <c r="AI582" s="147" t="s">
        <v>36</v>
      </c>
      <c r="AJ582" s="145">
        <f t="shared" si="29"/>
        <v>0</v>
      </c>
      <c r="AK582" s="148" t="s">
        <v>75</v>
      </c>
    </row>
    <row r="583" spans="1:37" ht="30" customHeight="1">
      <c r="A583" s="62"/>
      <c r="B583" s="62"/>
      <c r="C583" s="62"/>
      <c r="D583" s="62"/>
      <c r="E583" s="62"/>
      <c r="F583" s="62"/>
      <c r="G583" s="62"/>
      <c r="H583" s="62"/>
      <c r="I583" s="62"/>
      <c r="J583" s="62"/>
      <c r="K583" s="62"/>
      <c r="L583" s="62"/>
      <c r="M583" s="62"/>
      <c r="N583" s="186"/>
      <c r="O583" s="152"/>
      <c r="P583" s="90"/>
      <c r="Q583" s="140"/>
      <c r="R583" s="90"/>
      <c r="S583" s="140"/>
      <c r="T583" s="90"/>
      <c r="U583" s="140"/>
      <c r="V583" s="90"/>
      <c r="W583" s="140"/>
      <c r="X583" s="90"/>
      <c r="Y583" s="140"/>
      <c r="Z583" s="90"/>
      <c r="AA583" s="140"/>
      <c r="AB583" s="90"/>
      <c r="AC583" s="140"/>
      <c r="AD583" s="90"/>
      <c r="AE583" s="140"/>
      <c r="AF583" s="137" t="str">
        <f t="shared" si="31"/>
        <v/>
      </c>
      <c r="AG583" s="179" t="b">
        <f t="shared" si="30"/>
        <v>0</v>
      </c>
      <c r="AH583" s="140"/>
      <c r="AI583" s="147" t="s">
        <v>36</v>
      </c>
      <c r="AJ583" s="145">
        <f t="shared" si="29"/>
        <v>0</v>
      </c>
      <c r="AK583" s="148" t="s">
        <v>75</v>
      </c>
    </row>
    <row r="584" spans="1:37" ht="30" customHeight="1">
      <c r="A584" s="62"/>
      <c r="B584" s="62"/>
      <c r="C584" s="62"/>
      <c r="D584" s="62"/>
      <c r="E584" s="62"/>
      <c r="F584" s="62"/>
      <c r="G584" s="62"/>
      <c r="H584" s="62"/>
      <c r="I584" s="62"/>
      <c r="J584" s="62"/>
      <c r="K584" s="62"/>
      <c r="L584" s="62"/>
      <c r="M584" s="62"/>
      <c r="N584" s="186"/>
      <c r="O584" s="152"/>
      <c r="P584" s="90"/>
      <c r="Q584" s="140"/>
      <c r="R584" s="90"/>
      <c r="S584" s="140"/>
      <c r="T584" s="90"/>
      <c r="U584" s="140"/>
      <c r="V584" s="90"/>
      <c r="W584" s="140"/>
      <c r="X584" s="90"/>
      <c r="Y584" s="140"/>
      <c r="Z584" s="90"/>
      <c r="AA584" s="140"/>
      <c r="AB584" s="90"/>
      <c r="AC584" s="140"/>
      <c r="AD584" s="90"/>
      <c r="AE584" s="140"/>
      <c r="AF584" s="137" t="str">
        <f t="shared" si="31"/>
        <v/>
      </c>
      <c r="AG584" s="179" t="b">
        <f t="shared" si="30"/>
        <v>0</v>
      </c>
      <c r="AH584" s="140"/>
      <c r="AI584" s="147" t="s">
        <v>36</v>
      </c>
      <c r="AJ584" s="145">
        <f t="shared" si="29"/>
        <v>0</v>
      </c>
      <c r="AK584" s="148" t="s">
        <v>75</v>
      </c>
    </row>
    <row r="585" spans="1:37" ht="30" customHeight="1">
      <c r="A585" s="62"/>
      <c r="B585" s="62"/>
      <c r="C585" s="62"/>
      <c r="D585" s="62"/>
      <c r="E585" s="62"/>
      <c r="F585" s="62"/>
      <c r="G585" s="62"/>
      <c r="H585" s="62"/>
      <c r="I585" s="62"/>
      <c r="J585" s="62"/>
      <c r="K585" s="62"/>
      <c r="L585" s="62"/>
      <c r="M585" s="62"/>
      <c r="N585" s="186"/>
      <c r="O585" s="152"/>
      <c r="P585" s="90"/>
      <c r="Q585" s="140"/>
      <c r="R585" s="90"/>
      <c r="S585" s="140"/>
      <c r="T585" s="90"/>
      <c r="U585" s="140"/>
      <c r="V585" s="90"/>
      <c r="W585" s="140"/>
      <c r="X585" s="90"/>
      <c r="Y585" s="140"/>
      <c r="Z585" s="90"/>
      <c r="AA585" s="140"/>
      <c r="AB585" s="90"/>
      <c r="AC585" s="140"/>
      <c r="AD585" s="90"/>
      <c r="AE585" s="140"/>
      <c r="AF585" s="137" t="str">
        <f t="shared" si="31"/>
        <v/>
      </c>
      <c r="AG585" s="179" t="b">
        <f t="shared" si="30"/>
        <v>0</v>
      </c>
      <c r="AH585" s="140"/>
      <c r="AI585" s="147" t="s">
        <v>36</v>
      </c>
      <c r="AJ585" s="145">
        <f t="shared" si="29"/>
        <v>0</v>
      </c>
      <c r="AK585" s="148" t="s">
        <v>75</v>
      </c>
    </row>
    <row r="586" spans="1:37" ht="30" customHeight="1">
      <c r="A586" s="62"/>
      <c r="B586" s="62"/>
      <c r="C586" s="62"/>
      <c r="D586" s="62"/>
      <c r="E586" s="62"/>
      <c r="F586" s="62"/>
      <c r="G586" s="62"/>
      <c r="H586" s="62"/>
      <c r="I586" s="62"/>
      <c r="J586" s="62"/>
      <c r="K586" s="62"/>
      <c r="L586" s="62"/>
      <c r="M586" s="62"/>
      <c r="N586" s="186"/>
      <c r="O586" s="152"/>
      <c r="P586" s="90"/>
      <c r="Q586" s="140"/>
      <c r="R586" s="90"/>
      <c r="S586" s="140"/>
      <c r="T586" s="90"/>
      <c r="U586" s="140"/>
      <c r="V586" s="90"/>
      <c r="W586" s="140"/>
      <c r="X586" s="90"/>
      <c r="Y586" s="140"/>
      <c r="Z586" s="90"/>
      <c r="AA586" s="140"/>
      <c r="AB586" s="90"/>
      <c r="AC586" s="140"/>
      <c r="AD586" s="90"/>
      <c r="AE586" s="140"/>
      <c r="AF586" s="137" t="str">
        <f t="shared" si="31"/>
        <v/>
      </c>
      <c r="AG586" s="179" t="b">
        <f t="shared" si="30"/>
        <v>0</v>
      </c>
      <c r="AH586" s="140"/>
      <c r="AI586" s="147" t="s">
        <v>36</v>
      </c>
      <c r="AJ586" s="145">
        <f t="shared" si="29"/>
        <v>0</v>
      </c>
      <c r="AK586" s="148" t="s">
        <v>75</v>
      </c>
    </row>
    <row r="587" spans="1:37" ht="30" customHeight="1">
      <c r="A587" s="62"/>
      <c r="B587" s="62"/>
      <c r="C587" s="62"/>
      <c r="D587" s="62"/>
      <c r="E587" s="62"/>
      <c r="F587" s="62"/>
      <c r="G587" s="62"/>
      <c r="H587" s="62"/>
      <c r="I587" s="62"/>
      <c r="J587" s="62"/>
      <c r="K587" s="62"/>
      <c r="L587" s="62"/>
      <c r="M587" s="62"/>
      <c r="N587" s="186"/>
      <c r="O587" s="152"/>
      <c r="P587" s="90"/>
      <c r="Q587" s="140"/>
      <c r="R587" s="90"/>
      <c r="S587" s="140"/>
      <c r="T587" s="90"/>
      <c r="U587" s="140"/>
      <c r="V587" s="90"/>
      <c r="W587" s="140"/>
      <c r="X587" s="90"/>
      <c r="Y587" s="140"/>
      <c r="Z587" s="90"/>
      <c r="AA587" s="140"/>
      <c r="AB587" s="90"/>
      <c r="AC587" s="140"/>
      <c r="AD587" s="90"/>
      <c r="AE587" s="140"/>
      <c r="AF587" s="137" t="str">
        <f t="shared" si="31"/>
        <v/>
      </c>
      <c r="AG587" s="179" t="b">
        <f t="shared" si="30"/>
        <v>0</v>
      </c>
      <c r="AH587" s="140"/>
      <c r="AI587" s="147" t="s">
        <v>36</v>
      </c>
      <c r="AJ587" s="145">
        <f t="shared" si="29"/>
        <v>0</v>
      </c>
      <c r="AK587" s="148" t="s">
        <v>75</v>
      </c>
    </row>
    <row r="588" spans="1:37" ht="30" customHeight="1">
      <c r="A588" s="62"/>
      <c r="B588" s="62"/>
      <c r="C588" s="62"/>
      <c r="D588" s="62"/>
      <c r="E588" s="62"/>
      <c r="F588" s="62"/>
      <c r="G588" s="62"/>
      <c r="H588" s="62"/>
      <c r="I588" s="62"/>
      <c r="J588" s="62"/>
      <c r="K588" s="62"/>
      <c r="L588" s="62"/>
      <c r="M588" s="62"/>
      <c r="N588" s="186"/>
      <c r="O588" s="152"/>
      <c r="P588" s="90"/>
      <c r="Q588" s="140"/>
      <c r="R588" s="90"/>
      <c r="S588" s="140"/>
      <c r="T588" s="90"/>
      <c r="U588" s="140"/>
      <c r="V588" s="90"/>
      <c r="W588" s="140"/>
      <c r="X588" s="90"/>
      <c r="Y588" s="140"/>
      <c r="Z588" s="90"/>
      <c r="AA588" s="140"/>
      <c r="AB588" s="90"/>
      <c r="AC588" s="140"/>
      <c r="AD588" s="90"/>
      <c r="AE588" s="140"/>
      <c r="AF588" s="137" t="str">
        <f t="shared" si="31"/>
        <v/>
      </c>
      <c r="AG588" s="179" t="b">
        <f t="shared" si="30"/>
        <v>0</v>
      </c>
      <c r="AH588" s="140"/>
      <c r="AI588" s="147" t="s">
        <v>36</v>
      </c>
      <c r="AJ588" s="145">
        <f t="shared" si="29"/>
        <v>0</v>
      </c>
      <c r="AK588" s="148" t="s">
        <v>75</v>
      </c>
    </row>
    <row r="589" spans="1:37" ht="30" customHeight="1">
      <c r="A589" s="62"/>
      <c r="B589" s="62"/>
      <c r="C589" s="62"/>
      <c r="D589" s="62"/>
      <c r="E589" s="62"/>
      <c r="F589" s="62"/>
      <c r="G589" s="62"/>
      <c r="H589" s="62"/>
      <c r="I589" s="62"/>
      <c r="J589" s="62"/>
      <c r="K589" s="62"/>
      <c r="L589" s="62"/>
      <c r="M589" s="62"/>
      <c r="N589" s="186"/>
      <c r="O589" s="152"/>
      <c r="P589" s="90"/>
      <c r="Q589" s="140"/>
      <c r="R589" s="90"/>
      <c r="S589" s="140"/>
      <c r="T589" s="90"/>
      <c r="U589" s="140"/>
      <c r="V589" s="90"/>
      <c r="W589" s="140"/>
      <c r="X589" s="90"/>
      <c r="Y589" s="140"/>
      <c r="Z589" s="90"/>
      <c r="AA589" s="140"/>
      <c r="AB589" s="90"/>
      <c r="AC589" s="140"/>
      <c r="AD589" s="90"/>
      <c r="AE589" s="140"/>
      <c r="AF589" s="137" t="str">
        <f t="shared" si="31"/>
        <v/>
      </c>
      <c r="AG589" s="179" t="b">
        <f t="shared" si="30"/>
        <v>0</v>
      </c>
      <c r="AH589" s="140"/>
      <c r="AI589" s="147" t="s">
        <v>36</v>
      </c>
      <c r="AJ589" s="145">
        <f t="shared" si="29"/>
        <v>0</v>
      </c>
      <c r="AK589" s="148" t="s">
        <v>75</v>
      </c>
    </row>
    <row r="590" spans="1:37" ht="30" customHeight="1">
      <c r="A590" s="62"/>
      <c r="B590" s="62"/>
      <c r="C590" s="62"/>
      <c r="D590" s="62"/>
      <c r="E590" s="62"/>
      <c r="F590" s="62"/>
      <c r="G590" s="62"/>
      <c r="H590" s="62"/>
      <c r="I590" s="62"/>
      <c r="J590" s="62"/>
      <c r="K590" s="62"/>
      <c r="L590" s="62"/>
      <c r="M590" s="62"/>
      <c r="N590" s="186"/>
      <c r="O590" s="152"/>
      <c r="P590" s="90"/>
      <c r="Q590" s="140"/>
      <c r="R590" s="90"/>
      <c r="S590" s="140"/>
      <c r="T590" s="90"/>
      <c r="U590" s="140"/>
      <c r="V590" s="90"/>
      <c r="W590" s="140"/>
      <c r="X590" s="90"/>
      <c r="Y590" s="140"/>
      <c r="Z590" s="90"/>
      <c r="AA590" s="140"/>
      <c r="AB590" s="90"/>
      <c r="AC590" s="140"/>
      <c r="AD590" s="90"/>
      <c r="AE590" s="140"/>
      <c r="AF590" s="137" t="str">
        <f t="shared" si="31"/>
        <v/>
      </c>
      <c r="AG590" s="179" t="b">
        <f t="shared" si="30"/>
        <v>0</v>
      </c>
      <c r="AH590" s="140"/>
      <c r="AI590" s="147" t="s">
        <v>36</v>
      </c>
      <c r="AJ590" s="145">
        <f t="shared" si="29"/>
        <v>0</v>
      </c>
      <c r="AK590" s="148" t="s">
        <v>75</v>
      </c>
    </row>
    <row r="591" spans="1:37" ht="30" customHeight="1">
      <c r="A591" s="62"/>
      <c r="B591" s="62"/>
      <c r="C591" s="62"/>
      <c r="D591" s="62"/>
      <c r="E591" s="62"/>
      <c r="F591" s="62"/>
      <c r="G591" s="62"/>
      <c r="H591" s="62"/>
      <c r="I591" s="62"/>
      <c r="J591" s="62"/>
      <c r="K591" s="62"/>
      <c r="L591" s="62"/>
      <c r="M591" s="62"/>
      <c r="N591" s="186"/>
      <c r="O591" s="152"/>
      <c r="P591" s="90"/>
      <c r="Q591" s="140"/>
      <c r="R591" s="90"/>
      <c r="S591" s="140"/>
      <c r="T591" s="90"/>
      <c r="U591" s="140"/>
      <c r="V591" s="90"/>
      <c r="W591" s="140"/>
      <c r="X591" s="90"/>
      <c r="Y591" s="140"/>
      <c r="Z591" s="90"/>
      <c r="AA591" s="140"/>
      <c r="AB591" s="90"/>
      <c r="AC591" s="140"/>
      <c r="AD591" s="90"/>
      <c r="AE591" s="140"/>
      <c r="AF591" s="137" t="str">
        <f t="shared" si="31"/>
        <v/>
      </c>
      <c r="AG591" s="179" t="b">
        <f t="shared" si="30"/>
        <v>0</v>
      </c>
      <c r="AH591" s="140"/>
      <c r="AI591" s="147" t="s">
        <v>36</v>
      </c>
      <c r="AJ591" s="145">
        <f t="shared" si="29"/>
        <v>0</v>
      </c>
      <c r="AK591" s="148" t="s">
        <v>75</v>
      </c>
    </row>
    <row r="592" spans="1:37" ht="30" customHeight="1">
      <c r="A592" s="62"/>
      <c r="B592" s="62"/>
      <c r="C592" s="62"/>
      <c r="D592" s="62"/>
      <c r="E592" s="62"/>
      <c r="F592" s="62"/>
      <c r="G592" s="62"/>
      <c r="H592" s="62"/>
      <c r="I592" s="62"/>
      <c r="J592" s="62"/>
      <c r="K592" s="62"/>
      <c r="L592" s="62"/>
      <c r="M592" s="62"/>
      <c r="N592" s="186"/>
      <c r="O592" s="152"/>
      <c r="P592" s="90"/>
      <c r="Q592" s="140"/>
      <c r="R592" s="90"/>
      <c r="S592" s="140"/>
      <c r="T592" s="90"/>
      <c r="U592" s="140"/>
      <c r="V592" s="90"/>
      <c r="W592" s="140"/>
      <c r="X592" s="90"/>
      <c r="Y592" s="140"/>
      <c r="Z592" s="90"/>
      <c r="AA592" s="140"/>
      <c r="AB592" s="90"/>
      <c r="AC592" s="140"/>
      <c r="AD592" s="90"/>
      <c r="AE592" s="140"/>
      <c r="AF592" s="137" t="str">
        <f t="shared" si="31"/>
        <v/>
      </c>
      <c r="AG592" s="179" t="b">
        <f t="shared" si="30"/>
        <v>0</v>
      </c>
      <c r="AH592" s="140"/>
      <c r="AI592" s="147" t="s">
        <v>36</v>
      </c>
      <c r="AJ592" s="145">
        <f t="shared" si="29"/>
        <v>0</v>
      </c>
      <c r="AK592" s="148" t="s">
        <v>75</v>
      </c>
    </row>
    <row r="593" spans="1:37" ht="30" customHeight="1">
      <c r="A593" s="62"/>
      <c r="B593" s="62"/>
      <c r="C593" s="62"/>
      <c r="D593" s="62"/>
      <c r="E593" s="62"/>
      <c r="F593" s="62"/>
      <c r="G593" s="62"/>
      <c r="H593" s="62"/>
      <c r="I593" s="62"/>
      <c r="J593" s="62"/>
      <c r="K593" s="62"/>
      <c r="L593" s="62"/>
      <c r="M593" s="62"/>
      <c r="N593" s="186"/>
      <c r="O593" s="152"/>
      <c r="P593" s="90"/>
      <c r="Q593" s="140"/>
      <c r="R593" s="90"/>
      <c r="S593" s="140"/>
      <c r="T593" s="90"/>
      <c r="U593" s="140"/>
      <c r="V593" s="90"/>
      <c r="W593" s="140"/>
      <c r="X593" s="90"/>
      <c r="Y593" s="140"/>
      <c r="Z593" s="90"/>
      <c r="AA593" s="140"/>
      <c r="AB593" s="90"/>
      <c r="AC593" s="140"/>
      <c r="AD593" s="90"/>
      <c r="AE593" s="140"/>
      <c r="AF593" s="137" t="str">
        <f t="shared" si="31"/>
        <v/>
      </c>
      <c r="AG593" s="179" t="b">
        <f t="shared" si="30"/>
        <v>0</v>
      </c>
      <c r="AH593" s="140"/>
      <c r="AI593" s="147" t="s">
        <v>36</v>
      </c>
      <c r="AJ593" s="145">
        <f t="shared" si="29"/>
        <v>0</v>
      </c>
      <c r="AK593" s="148" t="s">
        <v>75</v>
      </c>
    </row>
    <row r="594" spans="1:37" ht="30" customHeight="1">
      <c r="A594" s="62"/>
      <c r="B594" s="62"/>
      <c r="C594" s="62"/>
      <c r="D594" s="62"/>
      <c r="E594" s="62"/>
      <c r="F594" s="62"/>
      <c r="G594" s="62"/>
      <c r="H594" s="62"/>
      <c r="I594" s="62"/>
      <c r="J594" s="62"/>
      <c r="K594" s="62"/>
      <c r="L594" s="62"/>
      <c r="M594" s="62"/>
      <c r="N594" s="186"/>
      <c r="O594" s="152"/>
      <c r="P594" s="90"/>
      <c r="Q594" s="140"/>
      <c r="R594" s="90"/>
      <c r="S594" s="140"/>
      <c r="T594" s="90"/>
      <c r="U594" s="140"/>
      <c r="V594" s="90"/>
      <c r="W594" s="140"/>
      <c r="X594" s="90"/>
      <c r="Y594" s="140"/>
      <c r="Z594" s="90"/>
      <c r="AA594" s="140"/>
      <c r="AB594" s="90"/>
      <c r="AC594" s="140"/>
      <c r="AD594" s="90"/>
      <c r="AE594" s="140"/>
      <c r="AF594" s="137" t="str">
        <f t="shared" si="31"/>
        <v/>
      </c>
      <c r="AG594" s="179" t="b">
        <f t="shared" si="30"/>
        <v>0</v>
      </c>
      <c r="AH594" s="140"/>
      <c r="AI594" s="147" t="s">
        <v>36</v>
      </c>
      <c r="AJ594" s="145">
        <f t="shared" si="29"/>
        <v>0</v>
      </c>
      <c r="AK594" s="148" t="s">
        <v>75</v>
      </c>
    </row>
    <row r="595" spans="1:37" ht="30" customHeight="1">
      <c r="A595" s="62"/>
      <c r="B595" s="62"/>
      <c r="C595" s="62"/>
      <c r="D595" s="62"/>
      <c r="E595" s="62"/>
      <c r="F595" s="62"/>
      <c r="G595" s="62"/>
      <c r="H595" s="62"/>
      <c r="I595" s="62"/>
      <c r="J595" s="62"/>
      <c r="K595" s="62"/>
      <c r="L595" s="62"/>
      <c r="M595" s="62"/>
      <c r="N595" s="186"/>
      <c r="O595" s="152"/>
      <c r="P595" s="90"/>
      <c r="Q595" s="140"/>
      <c r="R595" s="90"/>
      <c r="S595" s="140"/>
      <c r="T595" s="90"/>
      <c r="U595" s="140"/>
      <c r="V595" s="90"/>
      <c r="W595" s="140"/>
      <c r="X595" s="90"/>
      <c r="Y595" s="140"/>
      <c r="Z595" s="90"/>
      <c r="AA595" s="140"/>
      <c r="AB595" s="90"/>
      <c r="AC595" s="140"/>
      <c r="AD595" s="90"/>
      <c r="AE595" s="140"/>
      <c r="AF595" s="137" t="str">
        <f t="shared" si="31"/>
        <v/>
      </c>
      <c r="AG595" s="179" t="b">
        <f t="shared" si="30"/>
        <v>0</v>
      </c>
      <c r="AH595" s="140"/>
      <c r="AI595" s="147" t="s">
        <v>36</v>
      </c>
      <c r="AJ595" s="145">
        <f t="shared" si="29"/>
        <v>0</v>
      </c>
      <c r="AK595" s="148" t="s">
        <v>75</v>
      </c>
    </row>
    <row r="596" spans="1:37" ht="30" customHeight="1">
      <c r="A596" s="62"/>
      <c r="B596" s="62"/>
      <c r="C596" s="62"/>
      <c r="D596" s="62"/>
      <c r="E596" s="62"/>
      <c r="F596" s="62"/>
      <c r="G596" s="62"/>
      <c r="H596" s="62"/>
      <c r="I596" s="62"/>
      <c r="J596" s="62"/>
      <c r="K596" s="62"/>
      <c r="L596" s="62"/>
      <c r="M596" s="62"/>
      <c r="N596" s="186"/>
      <c r="O596" s="152"/>
      <c r="P596" s="90"/>
      <c r="Q596" s="140"/>
      <c r="R596" s="90"/>
      <c r="S596" s="140"/>
      <c r="T596" s="90"/>
      <c r="U596" s="140"/>
      <c r="V596" s="90"/>
      <c r="W596" s="140"/>
      <c r="X596" s="90"/>
      <c r="Y596" s="140"/>
      <c r="Z596" s="90"/>
      <c r="AA596" s="140"/>
      <c r="AB596" s="90"/>
      <c r="AC596" s="140"/>
      <c r="AD596" s="90"/>
      <c r="AE596" s="140"/>
      <c r="AF596" s="137" t="str">
        <f t="shared" si="31"/>
        <v/>
      </c>
      <c r="AG596" s="179" t="b">
        <f t="shared" si="30"/>
        <v>0</v>
      </c>
      <c r="AH596" s="140"/>
      <c r="AI596" s="147" t="s">
        <v>36</v>
      </c>
      <c r="AJ596" s="145">
        <f t="shared" si="29"/>
        <v>0</v>
      </c>
      <c r="AK596" s="148" t="s">
        <v>75</v>
      </c>
    </row>
    <row r="597" spans="1:37" ht="30" customHeight="1">
      <c r="A597" s="62"/>
      <c r="B597" s="62"/>
      <c r="C597" s="62"/>
      <c r="D597" s="62"/>
      <c r="E597" s="62"/>
      <c r="F597" s="62"/>
      <c r="G597" s="62"/>
      <c r="H597" s="62"/>
      <c r="I597" s="62"/>
      <c r="J597" s="62"/>
      <c r="K597" s="62"/>
      <c r="L597" s="62"/>
      <c r="M597" s="62"/>
      <c r="N597" s="186"/>
      <c r="O597" s="152"/>
      <c r="P597" s="90"/>
      <c r="Q597" s="140"/>
      <c r="R597" s="90"/>
      <c r="S597" s="140"/>
      <c r="T597" s="90"/>
      <c r="U597" s="140"/>
      <c r="V597" s="90"/>
      <c r="W597" s="140"/>
      <c r="X597" s="90"/>
      <c r="Y597" s="140"/>
      <c r="Z597" s="90"/>
      <c r="AA597" s="140"/>
      <c r="AB597" s="90"/>
      <c r="AC597" s="140"/>
      <c r="AD597" s="90"/>
      <c r="AE597" s="140"/>
      <c r="AF597" s="137" t="str">
        <f t="shared" si="31"/>
        <v/>
      </c>
      <c r="AG597" s="179" t="b">
        <f t="shared" si="30"/>
        <v>0</v>
      </c>
      <c r="AH597" s="140"/>
      <c r="AI597" s="147" t="s">
        <v>36</v>
      </c>
      <c r="AJ597" s="145">
        <f t="shared" si="29"/>
        <v>0</v>
      </c>
      <c r="AK597" s="148" t="s">
        <v>75</v>
      </c>
    </row>
    <row r="598" spans="1:37" ht="30" customHeight="1">
      <c r="A598" s="62"/>
      <c r="B598" s="62"/>
      <c r="C598" s="62"/>
      <c r="D598" s="62"/>
      <c r="E598" s="62"/>
      <c r="F598" s="62"/>
      <c r="G598" s="62"/>
      <c r="H598" s="62"/>
      <c r="I598" s="62"/>
      <c r="J598" s="62"/>
      <c r="K598" s="62"/>
      <c r="L598" s="62"/>
      <c r="M598" s="62"/>
      <c r="N598" s="186"/>
      <c r="O598" s="152"/>
      <c r="P598" s="90"/>
      <c r="Q598" s="140"/>
      <c r="R598" s="90"/>
      <c r="S598" s="140"/>
      <c r="T598" s="90"/>
      <c r="U598" s="140"/>
      <c r="V598" s="90"/>
      <c r="W598" s="140"/>
      <c r="X598" s="90"/>
      <c r="Y598" s="140"/>
      <c r="Z598" s="90"/>
      <c r="AA598" s="140"/>
      <c r="AB598" s="90"/>
      <c r="AC598" s="140"/>
      <c r="AD598" s="90"/>
      <c r="AE598" s="140"/>
      <c r="AF598" s="137" t="str">
        <f t="shared" si="31"/>
        <v/>
      </c>
      <c r="AG598" s="179" t="b">
        <f t="shared" si="30"/>
        <v>0</v>
      </c>
      <c r="AH598" s="140"/>
      <c r="AI598" s="147" t="s">
        <v>36</v>
      </c>
      <c r="AJ598" s="145">
        <f t="shared" si="29"/>
        <v>0</v>
      </c>
      <c r="AK598" s="148" t="s">
        <v>75</v>
      </c>
    </row>
    <row r="599" spans="1:37" ht="30" customHeight="1">
      <c r="A599" s="62"/>
      <c r="B599" s="62"/>
      <c r="C599" s="62"/>
      <c r="D599" s="62"/>
      <c r="E599" s="62"/>
      <c r="F599" s="62"/>
      <c r="G599" s="62"/>
      <c r="H599" s="62"/>
      <c r="I599" s="62"/>
      <c r="J599" s="62"/>
      <c r="K599" s="62"/>
      <c r="L599" s="62"/>
      <c r="M599" s="62"/>
      <c r="N599" s="186"/>
      <c r="O599" s="152"/>
      <c r="P599" s="90"/>
      <c r="Q599" s="140"/>
      <c r="R599" s="90"/>
      <c r="S599" s="140"/>
      <c r="T599" s="90"/>
      <c r="U599" s="140"/>
      <c r="V599" s="90"/>
      <c r="W599" s="140"/>
      <c r="X599" s="90"/>
      <c r="Y599" s="140"/>
      <c r="Z599" s="90"/>
      <c r="AA599" s="140"/>
      <c r="AB599" s="90"/>
      <c r="AC599" s="140"/>
      <c r="AD599" s="90"/>
      <c r="AE599" s="140"/>
      <c r="AF599" s="137" t="str">
        <f t="shared" si="31"/>
        <v/>
      </c>
      <c r="AG599" s="179" t="b">
        <f t="shared" si="30"/>
        <v>0</v>
      </c>
      <c r="AH599" s="140"/>
      <c r="AI599" s="147" t="s">
        <v>36</v>
      </c>
      <c r="AJ599" s="145">
        <f t="shared" si="29"/>
        <v>0</v>
      </c>
      <c r="AK599" s="148" t="s">
        <v>75</v>
      </c>
    </row>
    <row r="600" spans="1:37" ht="30" customHeight="1">
      <c r="A600" s="62"/>
      <c r="B600" s="62"/>
      <c r="C600" s="62"/>
      <c r="D600" s="62"/>
      <c r="E600" s="62"/>
      <c r="F600" s="62"/>
      <c r="G600" s="62"/>
      <c r="H600" s="62"/>
      <c r="I600" s="62"/>
      <c r="J600" s="62"/>
      <c r="K600" s="62"/>
      <c r="L600" s="62"/>
      <c r="M600" s="62"/>
      <c r="N600" s="186"/>
      <c r="O600" s="152"/>
      <c r="P600" s="90"/>
      <c r="Q600" s="140"/>
      <c r="R600" s="90"/>
      <c r="S600" s="140"/>
      <c r="T600" s="90"/>
      <c r="U600" s="140"/>
      <c r="V600" s="90"/>
      <c r="W600" s="140"/>
      <c r="X600" s="90"/>
      <c r="Y600" s="140"/>
      <c r="Z600" s="90"/>
      <c r="AA600" s="140"/>
      <c r="AB600" s="90"/>
      <c r="AC600" s="140"/>
      <c r="AD600" s="90"/>
      <c r="AE600" s="140"/>
      <c r="AF600" s="137" t="str">
        <f t="shared" si="31"/>
        <v/>
      </c>
      <c r="AG600" s="179" t="b">
        <f t="shared" si="30"/>
        <v>0</v>
      </c>
      <c r="AH600" s="140"/>
      <c r="AI600" s="147" t="s">
        <v>36</v>
      </c>
      <c r="AJ600" s="145">
        <f t="shared" si="29"/>
        <v>0</v>
      </c>
      <c r="AK600" s="148" t="s">
        <v>75</v>
      </c>
    </row>
    <row r="601" spans="1:37" ht="30" customHeight="1">
      <c r="A601" s="62"/>
      <c r="B601" s="62"/>
      <c r="C601" s="62"/>
      <c r="D601" s="62"/>
      <c r="E601" s="62"/>
      <c r="F601" s="62"/>
      <c r="G601" s="62"/>
      <c r="H601" s="62"/>
      <c r="I601" s="62"/>
      <c r="J601" s="62"/>
      <c r="K601" s="62"/>
      <c r="L601" s="62"/>
      <c r="M601" s="62"/>
      <c r="N601" s="186"/>
      <c r="O601" s="152"/>
      <c r="P601" s="90"/>
      <c r="Q601" s="140"/>
      <c r="R601" s="90"/>
      <c r="S601" s="140"/>
      <c r="T601" s="90"/>
      <c r="U601" s="140"/>
      <c r="V601" s="90"/>
      <c r="W601" s="140"/>
      <c r="X601" s="90"/>
      <c r="Y601" s="140"/>
      <c r="Z601" s="90"/>
      <c r="AA601" s="140"/>
      <c r="AB601" s="90"/>
      <c r="AC601" s="140"/>
      <c r="AD601" s="90"/>
      <c r="AE601" s="140"/>
      <c r="AF601" s="137" t="str">
        <f t="shared" si="31"/>
        <v/>
      </c>
      <c r="AG601" s="179" t="b">
        <f t="shared" si="30"/>
        <v>0</v>
      </c>
      <c r="AH601" s="140"/>
      <c r="AI601" s="147" t="s">
        <v>36</v>
      </c>
      <c r="AJ601" s="145">
        <f t="shared" si="29"/>
        <v>0</v>
      </c>
      <c r="AK601" s="148" t="s">
        <v>75</v>
      </c>
    </row>
    <row r="602" spans="1:37" ht="30" customHeight="1">
      <c r="A602" s="62"/>
      <c r="B602" s="62"/>
      <c r="C602" s="62"/>
      <c r="D602" s="62"/>
      <c r="E602" s="62"/>
      <c r="F602" s="62"/>
      <c r="G602" s="62"/>
      <c r="H602" s="62"/>
      <c r="I602" s="62"/>
      <c r="J602" s="62"/>
      <c r="K602" s="62"/>
      <c r="L602" s="62"/>
      <c r="M602" s="62"/>
      <c r="N602" s="186"/>
      <c r="O602" s="152"/>
      <c r="P602" s="90"/>
      <c r="Q602" s="140"/>
      <c r="R602" s="90"/>
      <c r="S602" s="140"/>
      <c r="T602" s="90"/>
      <c r="U602" s="140"/>
      <c r="V602" s="90"/>
      <c r="W602" s="140"/>
      <c r="X602" s="90"/>
      <c r="Y602" s="140"/>
      <c r="Z602" s="90"/>
      <c r="AA602" s="140"/>
      <c r="AB602" s="90"/>
      <c r="AC602" s="140"/>
      <c r="AD602" s="90"/>
      <c r="AE602" s="140"/>
      <c r="AF602" s="137" t="str">
        <f t="shared" si="31"/>
        <v/>
      </c>
      <c r="AG602" s="179" t="b">
        <f t="shared" si="30"/>
        <v>0</v>
      </c>
      <c r="AH602" s="140"/>
      <c r="AI602" s="147" t="s">
        <v>36</v>
      </c>
      <c r="AJ602" s="145">
        <f t="shared" si="29"/>
        <v>0</v>
      </c>
      <c r="AK602" s="148" t="s">
        <v>75</v>
      </c>
    </row>
    <row r="603" spans="1:37" ht="30" customHeight="1">
      <c r="A603" s="62"/>
      <c r="B603" s="62"/>
      <c r="C603" s="62"/>
      <c r="D603" s="62"/>
      <c r="E603" s="62"/>
      <c r="F603" s="62"/>
      <c r="G603" s="62"/>
      <c r="H603" s="62"/>
      <c r="I603" s="62"/>
      <c r="J603" s="62"/>
      <c r="K603" s="62"/>
      <c r="L603" s="62"/>
      <c r="M603" s="62"/>
      <c r="N603" s="186"/>
      <c r="O603" s="152"/>
      <c r="P603" s="90"/>
      <c r="Q603" s="140"/>
      <c r="R603" s="90"/>
      <c r="S603" s="140"/>
      <c r="T603" s="90"/>
      <c r="U603" s="140"/>
      <c r="V603" s="90"/>
      <c r="W603" s="140"/>
      <c r="X603" s="90"/>
      <c r="Y603" s="140"/>
      <c r="Z603" s="90"/>
      <c r="AA603" s="140"/>
      <c r="AB603" s="90"/>
      <c r="AC603" s="140"/>
      <c r="AD603" s="90"/>
      <c r="AE603" s="140"/>
      <c r="AF603" s="137" t="str">
        <f t="shared" si="31"/>
        <v/>
      </c>
      <c r="AG603" s="179" t="b">
        <f t="shared" si="30"/>
        <v>0</v>
      </c>
      <c r="AH603" s="140"/>
      <c r="AI603" s="147" t="s">
        <v>36</v>
      </c>
      <c r="AJ603" s="145">
        <f t="shared" si="29"/>
        <v>0</v>
      </c>
      <c r="AK603" s="148" t="s">
        <v>75</v>
      </c>
    </row>
    <row r="604" spans="1:37" ht="30" customHeight="1">
      <c r="A604" s="62"/>
      <c r="B604" s="62"/>
      <c r="C604" s="62"/>
      <c r="D604" s="62"/>
      <c r="E604" s="62"/>
      <c r="F604" s="62"/>
      <c r="G604" s="62"/>
      <c r="H604" s="62"/>
      <c r="I604" s="62"/>
      <c r="J604" s="62"/>
      <c r="K604" s="62"/>
      <c r="L604" s="62"/>
      <c r="M604" s="62"/>
      <c r="N604" s="186"/>
      <c r="O604" s="152"/>
      <c r="P604" s="90"/>
      <c r="Q604" s="140"/>
      <c r="R604" s="90"/>
      <c r="S604" s="140"/>
      <c r="T604" s="90"/>
      <c r="U604" s="140"/>
      <c r="V604" s="90"/>
      <c r="W604" s="140"/>
      <c r="X604" s="90"/>
      <c r="Y604" s="140"/>
      <c r="Z604" s="90"/>
      <c r="AA604" s="140"/>
      <c r="AB604" s="90"/>
      <c r="AC604" s="140"/>
      <c r="AD604" s="90"/>
      <c r="AE604" s="140"/>
      <c r="AF604" s="137" t="str">
        <f t="shared" si="31"/>
        <v/>
      </c>
      <c r="AG604" s="179" t="b">
        <f t="shared" si="30"/>
        <v>0</v>
      </c>
      <c r="AH604" s="140"/>
      <c r="AI604" s="147" t="s">
        <v>36</v>
      </c>
      <c r="AJ604" s="145">
        <f t="shared" si="29"/>
        <v>0</v>
      </c>
      <c r="AK604" s="148" t="s">
        <v>75</v>
      </c>
    </row>
    <row r="605" spans="1:37" ht="30" customHeight="1">
      <c r="A605" s="62"/>
      <c r="B605" s="62"/>
      <c r="C605" s="62"/>
      <c r="D605" s="62"/>
      <c r="E605" s="62"/>
      <c r="F605" s="62"/>
      <c r="G605" s="62"/>
      <c r="H605" s="62"/>
      <c r="I605" s="62"/>
      <c r="J605" s="62"/>
      <c r="K605" s="62"/>
      <c r="L605" s="62"/>
      <c r="M605" s="62"/>
      <c r="N605" s="186"/>
      <c r="O605" s="152"/>
      <c r="P605" s="90"/>
      <c r="Q605" s="140"/>
      <c r="R605" s="90"/>
      <c r="S605" s="140"/>
      <c r="T605" s="90"/>
      <c r="U605" s="140"/>
      <c r="V605" s="90"/>
      <c r="W605" s="140"/>
      <c r="X605" s="90"/>
      <c r="Y605" s="140"/>
      <c r="Z605" s="90"/>
      <c r="AA605" s="140"/>
      <c r="AB605" s="90"/>
      <c r="AC605" s="140"/>
      <c r="AD605" s="90"/>
      <c r="AE605" s="140"/>
      <c r="AF605" s="137" t="str">
        <f t="shared" si="31"/>
        <v/>
      </c>
      <c r="AG605" s="179" t="b">
        <f t="shared" si="30"/>
        <v>0</v>
      </c>
      <c r="AH605" s="140"/>
      <c r="AI605" s="147" t="s">
        <v>36</v>
      </c>
      <c r="AJ605" s="145">
        <f t="shared" si="29"/>
        <v>0</v>
      </c>
      <c r="AK605" s="148" t="s">
        <v>75</v>
      </c>
    </row>
    <row r="606" spans="1:37" ht="30" customHeight="1">
      <c r="A606" s="62"/>
      <c r="B606" s="62"/>
      <c r="C606" s="62"/>
      <c r="D606" s="62"/>
      <c r="E606" s="62"/>
      <c r="F606" s="62"/>
      <c r="G606" s="62"/>
      <c r="H606" s="62"/>
      <c r="I606" s="62"/>
      <c r="J606" s="62"/>
      <c r="K606" s="62"/>
      <c r="L606" s="62"/>
      <c r="M606" s="62"/>
      <c r="N606" s="186"/>
      <c r="O606" s="152"/>
      <c r="P606" s="90"/>
      <c r="Q606" s="140"/>
      <c r="R606" s="90"/>
      <c r="S606" s="140"/>
      <c r="T606" s="90"/>
      <c r="U606" s="140"/>
      <c r="V606" s="90"/>
      <c r="W606" s="140"/>
      <c r="X606" s="90"/>
      <c r="Y606" s="140"/>
      <c r="Z606" s="90"/>
      <c r="AA606" s="140"/>
      <c r="AB606" s="90"/>
      <c r="AC606" s="140"/>
      <c r="AD606" s="90"/>
      <c r="AE606" s="140"/>
      <c r="AF606" s="137" t="str">
        <f t="shared" si="31"/>
        <v/>
      </c>
      <c r="AG606" s="179" t="b">
        <f t="shared" si="30"/>
        <v>0</v>
      </c>
      <c r="AH606" s="140"/>
      <c r="AI606" s="147" t="s">
        <v>36</v>
      </c>
      <c r="AJ606" s="145">
        <f t="shared" si="29"/>
        <v>0</v>
      </c>
      <c r="AK606" s="148" t="s">
        <v>75</v>
      </c>
    </row>
    <row r="607" spans="1:37" ht="30" customHeight="1">
      <c r="A607" s="62"/>
      <c r="B607" s="62"/>
      <c r="C607" s="62"/>
      <c r="D607" s="62"/>
      <c r="E607" s="62"/>
      <c r="F607" s="62"/>
      <c r="G607" s="62"/>
      <c r="H607" s="62"/>
      <c r="I607" s="62"/>
      <c r="J607" s="62"/>
      <c r="K607" s="62"/>
      <c r="L607" s="62"/>
      <c r="M607" s="62"/>
      <c r="N607" s="186"/>
      <c r="O607" s="152"/>
      <c r="P607" s="90"/>
      <c r="Q607" s="140"/>
      <c r="R607" s="90"/>
      <c r="S607" s="140"/>
      <c r="T607" s="90"/>
      <c r="U607" s="140"/>
      <c r="V607" s="90"/>
      <c r="W607" s="140"/>
      <c r="X607" s="90"/>
      <c r="Y607" s="140"/>
      <c r="Z607" s="90"/>
      <c r="AA607" s="140"/>
      <c r="AB607" s="90"/>
      <c r="AC607" s="140"/>
      <c r="AD607" s="90"/>
      <c r="AE607" s="140"/>
      <c r="AF607" s="137" t="str">
        <f t="shared" si="31"/>
        <v/>
      </c>
      <c r="AG607" s="179" t="b">
        <f t="shared" si="30"/>
        <v>0</v>
      </c>
      <c r="AH607" s="140"/>
      <c r="AI607" s="147" t="s">
        <v>36</v>
      </c>
      <c r="AJ607" s="145">
        <f t="shared" si="29"/>
        <v>0</v>
      </c>
      <c r="AK607" s="148" t="s">
        <v>75</v>
      </c>
    </row>
    <row r="608" spans="1:37" ht="30" customHeight="1">
      <c r="A608" s="62"/>
      <c r="B608" s="62"/>
      <c r="C608" s="62"/>
      <c r="D608" s="62"/>
      <c r="E608" s="62"/>
      <c r="F608" s="62"/>
      <c r="G608" s="62"/>
      <c r="H608" s="62"/>
      <c r="I608" s="62"/>
      <c r="J608" s="62"/>
      <c r="K608" s="62"/>
      <c r="L608" s="62"/>
      <c r="M608" s="62"/>
      <c r="N608" s="186"/>
      <c r="O608" s="152"/>
      <c r="P608" s="90"/>
      <c r="Q608" s="140"/>
      <c r="R608" s="90"/>
      <c r="S608" s="140"/>
      <c r="T608" s="90"/>
      <c r="U608" s="140"/>
      <c r="V608" s="90"/>
      <c r="W608" s="140"/>
      <c r="X608" s="90"/>
      <c r="Y608" s="140"/>
      <c r="Z608" s="90"/>
      <c r="AA608" s="140"/>
      <c r="AB608" s="90"/>
      <c r="AC608" s="140"/>
      <c r="AD608" s="90"/>
      <c r="AE608" s="140"/>
      <c r="AF608" s="137" t="str">
        <f t="shared" si="31"/>
        <v/>
      </c>
      <c r="AG608" s="179" t="b">
        <f t="shared" si="30"/>
        <v>0</v>
      </c>
      <c r="AH608" s="140"/>
      <c r="AI608" s="147" t="s">
        <v>36</v>
      </c>
      <c r="AJ608" s="145">
        <f t="shared" ref="AJ608:AJ671" si="32">E608</f>
        <v>0</v>
      </c>
      <c r="AK608" s="148" t="s">
        <v>75</v>
      </c>
    </row>
    <row r="609" spans="1:37" ht="30" customHeight="1">
      <c r="A609" s="62"/>
      <c r="B609" s="62"/>
      <c r="C609" s="62"/>
      <c r="D609" s="62"/>
      <c r="E609" s="62"/>
      <c r="F609" s="62"/>
      <c r="G609" s="62"/>
      <c r="H609" s="62"/>
      <c r="I609" s="62"/>
      <c r="J609" s="62"/>
      <c r="K609" s="62"/>
      <c r="L609" s="62"/>
      <c r="M609" s="62"/>
      <c r="N609" s="186"/>
      <c r="O609" s="152"/>
      <c r="P609" s="90"/>
      <c r="Q609" s="140"/>
      <c r="R609" s="90"/>
      <c r="S609" s="140"/>
      <c r="T609" s="90"/>
      <c r="U609" s="140"/>
      <c r="V609" s="90"/>
      <c r="W609" s="140"/>
      <c r="X609" s="90"/>
      <c r="Y609" s="140"/>
      <c r="Z609" s="90"/>
      <c r="AA609" s="140"/>
      <c r="AB609" s="90"/>
      <c r="AC609" s="140"/>
      <c r="AD609" s="90"/>
      <c r="AE609" s="140"/>
      <c r="AF609" s="137" t="str">
        <f t="shared" si="31"/>
        <v/>
      </c>
      <c r="AG609" s="179" t="b">
        <f t="shared" si="30"/>
        <v>0</v>
      </c>
      <c r="AH609" s="140"/>
      <c r="AI609" s="147" t="s">
        <v>36</v>
      </c>
      <c r="AJ609" s="145">
        <f t="shared" si="32"/>
        <v>0</v>
      </c>
      <c r="AK609" s="148" t="s">
        <v>75</v>
      </c>
    </row>
    <row r="610" spans="1:37" ht="30" customHeight="1">
      <c r="A610" s="62"/>
      <c r="B610" s="62"/>
      <c r="C610" s="62"/>
      <c r="D610" s="62"/>
      <c r="E610" s="62"/>
      <c r="F610" s="62"/>
      <c r="G610" s="62"/>
      <c r="H610" s="62"/>
      <c r="I610" s="62"/>
      <c r="J610" s="62"/>
      <c r="K610" s="62"/>
      <c r="L610" s="62"/>
      <c r="M610" s="62"/>
      <c r="N610" s="186"/>
      <c r="O610" s="152"/>
      <c r="P610" s="90"/>
      <c r="Q610" s="140"/>
      <c r="R610" s="90"/>
      <c r="S610" s="140"/>
      <c r="T610" s="90"/>
      <c r="U610" s="140"/>
      <c r="V610" s="90"/>
      <c r="W610" s="140"/>
      <c r="X610" s="90"/>
      <c r="Y610" s="140"/>
      <c r="Z610" s="90"/>
      <c r="AA610" s="140"/>
      <c r="AB610" s="90"/>
      <c r="AC610" s="140"/>
      <c r="AD610" s="90"/>
      <c r="AE610" s="140"/>
      <c r="AF610" s="137" t="str">
        <f t="shared" si="31"/>
        <v/>
      </c>
      <c r="AG610" s="179" t="b">
        <f t="shared" si="30"/>
        <v>0</v>
      </c>
      <c r="AH610" s="140"/>
      <c r="AI610" s="147" t="s">
        <v>36</v>
      </c>
      <c r="AJ610" s="145">
        <f t="shared" si="32"/>
        <v>0</v>
      </c>
      <c r="AK610" s="148" t="s">
        <v>75</v>
      </c>
    </row>
    <row r="611" spans="1:37" ht="30" customHeight="1">
      <c r="A611" s="62"/>
      <c r="B611" s="62"/>
      <c r="C611" s="62"/>
      <c r="D611" s="62"/>
      <c r="E611" s="62"/>
      <c r="F611" s="62"/>
      <c r="G611" s="62"/>
      <c r="H611" s="62"/>
      <c r="I611" s="62"/>
      <c r="J611" s="62"/>
      <c r="K611" s="62"/>
      <c r="L611" s="62"/>
      <c r="M611" s="62"/>
      <c r="N611" s="186"/>
      <c r="O611" s="152"/>
      <c r="P611" s="90"/>
      <c r="Q611" s="140"/>
      <c r="R611" s="90"/>
      <c r="S611" s="140"/>
      <c r="T611" s="90"/>
      <c r="U611" s="140"/>
      <c r="V611" s="90"/>
      <c r="W611" s="140"/>
      <c r="X611" s="90"/>
      <c r="Y611" s="140"/>
      <c r="Z611" s="90"/>
      <c r="AA611" s="140"/>
      <c r="AB611" s="90"/>
      <c r="AC611" s="140"/>
      <c r="AD611" s="90"/>
      <c r="AE611" s="140"/>
      <c r="AF611" s="137" t="str">
        <f t="shared" si="31"/>
        <v/>
      </c>
      <c r="AG611" s="179" t="b">
        <f t="shared" si="30"/>
        <v>0</v>
      </c>
      <c r="AH611" s="140"/>
      <c r="AI611" s="147" t="s">
        <v>36</v>
      </c>
      <c r="AJ611" s="145">
        <f t="shared" si="32"/>
        <v>0</v>
      </c>
      <c r="AK611" s="148" t="s">
        <v>75</v>
      </c>
    </row>
    <row r="612" spans="1:37" ht="30" customHeight="1">
      <c r="A612" s="62"/>
      <c r="B612" s="62"/>
      <c r="C612" s="62"/>
      <c r="D612" s="62"/>
      <c r="E612" s="62"/>
      <c r="F612" s="62"/>
      <c r="G612" s="62"/>
      <c r="H612" s="62"/>
      <c r="I612" s="62"/>
      <c r="J612" s="62"/>
      <c r="K612" s="62"/>
      <c r="L612" s="62"/>
      <c r="M612" s="62"/>
      <c r="N612" s="186"/>
      <c r="O612" s="152"/>
      <c r="P612" s="90"/>
      <c r="Q612" s="140"/>
      <c r="R612" s="90"/>
      <c r="S612" s="140"/>
      <c r="T612" s="90"/>
      <c r="U612" s="140"/>
      <c r="V612" s="90"/>
      <c r="W612" s="140"/>
      <c r="X612" s="90"/>
      <c r="Y612" s="140"/>
      <c r="Z612" s="90"/>
      <c r="AA612" s="140"/>
      <c r="AB612" s="90"/>
      <c r="AC612" s="140"/>
      <c r="AD612" s="90"/>
      <c r="AE612" s="140"/>
      <c r="AF612" s="137" t="str">
        <f t="shared" si="31"/>
        <v/>
      </c>
      <c r="AG612" s="179" t="b">
        <f t="shared" si="30"/>
        <v>0</v>
      </c>
      <c r="AH612" s="140"/>
      <c r="AI612" s="147" t="s">
        <v>36</v>
      </c>
      <c r="AJ612" s="145">
        <f t="shared" si="32"/>
        <v>0</v>
      </c>
      <c r="AK612" s="148" t="s">
        <v>75</v>
      </c>
    </row>
    <row r="613" spans="1:37" ht="30" customHeight="1">
      <c r="A613" s="62"/>
      <c r="B613" s="62"/>
      <c r="C613" s="62"/>
      <c r="D613" s="62"/>
      <c r="E613" s="62"/>
      <c r="F613" s="62"/>
      <c r="G613" s="62"/>
      <c r="H613" s="62"/>
      <c r="I613" s="62"/>
      <c r="J613" s="62"/>
      <c r="K613" s="62"/>
      <c r="L613" s="62"/>
      <c r="M613" s="62"/>
      <c r="N613" s="186"/>
      <c r="O613" s="152"/>
      <c r="P613" s="90"/>
      <c r="Q613" s="140"/>
      <c r="R613" s="90"/>
      <c r="S613" s="140"/>
      <c r="T613" s="90"/>
      <c r="U613" s="140"/>
      <c r="V613" s="90"/>
      <c r="W613" s="140"/>
      <c r="X613" s="90"/>
      <c r="Y613" s="140"/>
      <c r="Z613" s="90"/>
      <c r="AA613" s="140"/>
      <c r="AB613" s="90"/>
      <c r="AC613" s="140"/>
      <c r="AD613" s="90"/>
      <c r="AE613" s="140"/>
      <c r="AF613" s="137" t="str">
        <f t="shared" si="31"/>
        <v/>
      </c>
      <c r="AG613" s="179" t="b">
        <f t="shared" si="30"/>
        <v>0</v>
      </c>
      <c r="AH613" s="140"/>
      <c r="AI613" s="147" t="s">
        <v>36</v>
      </c>
      <c r="AJ613" s="145">
        <f t="shared" si="32"/>
        <v>0</v>
      </c>
      <c r="AK613" s="148" t="s">
        <v>75</v>
      </c>
    </row>
    <row r="614" spans="1:37" ht="30" customHeight="1">
      <c r="A614" s="62"/>
      <c r="B614" s="62"/>
      <c r="C614" s="62"/>
      <c r="D614" s="62"/>
      <c r="E614" s="62"/>
      <c r="F614" s="62"/>
      <c r="G614" s="62"/>
      <c r="H614" s="62"/>
      <c r="I614" s="62"/>
      <c r="J614" s="62"/>
      <c r="K614" s="62"/>
      <c r="L614" s="62"/>
      <c r="M614" s="62"/>
      <c r="N614" s="186"/>
      <c r="O614" s="152"/>
      <c r="P614" s="90"/>
      <c r="Q614" s="140"/>
      <c r="R614" s="90"/>
      <c r="S614" s="140"/>
      <c r="T614" s="90"/>
      <c r="U614" s="140"/>
      <c r="V614" s="90"/>
      <c r="W614" s="140"/>
      <c r="X614" s="90"/>
      <c r="Y614" s="140"/>
      <c r="Z614" s="90"/>
      <c r="AA614" s="140"/>
      <c r="AB614" s="90"/>
      <c r="AC614" s="140"/>
      <c r="AD614" s="90"/>
      <c r="AE614" s="140"/>
      <c r="AF614" s="137" t="str">
        <f t="shared" si="31"/>
        <v/>
      </c>
      <c r="AG614" s="179" t="b">
        <f t="shared" si="30"/>
        <v>0</v>
      </c>
      <c r="AH614" s="140"/>
      <c r="AI614" s="147" t="s">
        <v>36</v>
      </c>
      <c r="AJ614" s="145">
        <f t="shared" si="32"/>
        <v>0</v>
      </c>
      <c r="AK614" s="148" t="s">
        <v>75</v>
      </c>
    </row>
    <row r="615" spans="1:37" ht="30" customHeight="1">
      <c r="A615" s="62"/>
      <c r="B615" s="62"/>
      <c r="C615" s="62"/>
      <c r="D615" s="62"/>
      <c r="E615" s="62"/>
      <c r="F615" s="62"/>
      <c r="G615" s="62"/>
      <c r="H615" s="62"/>
      <c r="I615" s="62"/>
      <c r="J615" s="62"/>
      <c r="K615" s="62"/>
      <c r="L615" s="62"/>
      <c r="M615" s="62"/>
      <c r="N615" s="186"/>
      <c r="O615" s="152"/>
      <c r="P615" s="90"/>
      <c r="Q615" s="140"/>
      <c r="R615" s="90"/>
      <c r="S615" s="140"/>
      <c r="T615" s="90"/>
      <c r="U615" s="140"/>
      <c r="V615" s="90"/>
      <c r="W615" s="140"/>
      <c r="X615" s="90"/>
      <c r="Y615" s="140"/>
      <c r="Z615" s="90"/>
      <c r="AA615" s="140"/>
      <c r="AB615" s="90"/>
      <c r="AC615" s="140"/>
      <c r="AD615" s="90"/>
      <c r="AE615" s="140"/>
      <c r="AF615" s="137" t="str">
        <f t="shared" si="31"/>
        <v/>
      </c>
      <c r="AG615" s="179" t="b">
        <f t="shared" si="30"/>
        <v>0</v>
      </c>
      <c r="AH615" s="140"/>
      <c r="AI615" s="147" t="s">
        <v>36</v>
      </c>
      <c r="AJ615" s="145">
        <f t="shared" si="32"/>
        <v>0</v>
      </c>
      <c r="AK615" s="148" t="s">
        <v>75</v>
      </c>
    </row>
    <row r="616" spans="1:37" ht="30" customHeight="1">
      <c r="A616" s="62"/>
      <c r="B616" s="62"/>
      <c r="C616" s="62"/>
      <c r="D616" s="62"/>
      <c r="E616" s="62"/>
      <c r="F616" s="62"/>
      <c r="G616" s="62"/>
      <c r="H616" s="62"/>
      <c r="I616" s="62"/>
      <c r="J616" s="62"/>
      <c r="K616" s="62"/>
      <c r="L616" s="62"/>
      <c r="M616" s="62"/>
      <c r="N616" s="186"/>
      <c r="O616" s="152"/>
      <c r="P616" s="90"/>
      <c r="Q616" s="140"/>
      <c r="R616" s="90"/>
      <c r="S616" s="140"/>
      <c r="T616" s="90"/>
      <c r="U616" s="140"/>
      <c r="V616" s="90"/>
      <c r="W616" s="140"/>
      <c r="X616" s="90"/>
      <c r="Y616" s="140"/>
      <c r="Z616" s="90"/>
      <c r="AA616" s="140"/>
      <c r="AB616" s="90"/>
      <c r="AC616" s="140"/>
      <c r="AD616" s="90"/>
      <c r="AE616" s="140"/>
      <c r="AF616" s="137" t="str">
        <f t="shared" si="31"/>
        <v/>
      </c>
      <c r="AG616" s="179" t="b">
        <f t="shared" si="30"/>
        <v>0</v>
      </c>
      <c r="AH616" s="140"/>
      <c r="AI616" s="147" t="s">
        <v>36</v>
      </c>
      <c r="AJ616" s="145">
        <f t="shared" si="32"/>
        <v>0</v>
      </c>
      <c r="AK616" s="148" t="s">
        <v>75</v>
      </c>
    </row>
    <row r="617" spans="1:37" ht="30" customHeight="1">
      <c r="A617" s="62"/>
      <c r="B617" s="62"/>
      <c r="C617" s="62"/>
      <c r="D617" s="62"/>
      <c r="E617" s="62"/>
      <c r="F617" s="62"/>
      <c r="G617" s="62"/>
      <c r="H617" s="62"/>
      <c r="I617" s="62"/>
      <c r="J617" s="62"/>
      <c r="K617" s="62"/>
      <c r="L617" s="62"/>
      <c r="M617" s="62"/>
      <c r="N617" s="186"/>
      <c r="O617" s="152"/>
      <c r="P617" s="90"/>
      <c r="Q617" s="140"/>
      <c r="R617" s="90"/>
      <c r="S617" s="140"/>
      <c r="T617" s="90"/>
      <c r="U617" s="140"/>
      <c r="V617" s="90"/>
      <c r="W617" s="140"/>
      <c r="X617" s="90"/>
      <c r="Y617" s="140"/>
      <c r="Z617" s="90"/>
      <c r="AA617" s="140"/>
      <c r="AB617" s="90"/>
      <c r="AC617" s="140"/>
      <c r="AD617" s="90"/>
      <c r="AE617" s="140"/>
      <c r="AF617" s="137" t="str">
        <f t="shared" si="31"/>
        <v/>
      </c>
      <c r="AG617" s="179" t="b">
        <f t="shared" si="30"/>
        <v>0</v>
      </c>
      <c r="AH617" s="140"/>
      <c r="AI617" s="147" t="s">
        <v>36</v>
      </c>
      <c r="AJ617" s="145">
        <f t="shared" si="32"/>
        <v>0</v>
      </c>
      <c r="AK617" s="148" t="s">
        <v>75</v>
      </c>
    </row>
    <row r="618" spans="1:37" ht="30" customHeight="1">
      <c r="A618" s="62"/>
      <c r="B618" s="62"/>
      <c r="C618" s="62"/>
      <c r="D618" s="62"/>
      <c r="E618" s="62"/>
      <c r="F618" s="62"/>
      <c r="G618" s="62"/>
      <c r="H618" s="62"/>
      <c r="I618" s="62"/>
      <c r="J618" s="62"/>
      <c r="K618" s="62"/>
      <c r="L618" s="62"/>
      <c r="M618" s="62"/>
      <c r="N618" s="186"/>
      <c r="O618" s="152"/>
      <c r="P618" s="90"/>
      <c r="Q618" s="140"/>
      <c r="R618" s="90"/>
      <c r="S618" s="140"/>
      <c r="T618" s="90"/>
      <c r="U618" s="140"/>
      <c r="V618" s="90"/>
      <c r="W618" s="140"/>
      <c r="X618" s="90"/>
      <c r="Y618" s="140"/>
      <c r="Z618" s="90"/>
      <c r="AA618" s="140"/>
      <c r="AB618" s="90"/>
      <c r="AC618" s="140"/>
      <c r="AD618" s="90"/>
      <c r="AE618" s="140"/>
      <c r="AF618" s="137" t="str">
        <f t="shared" si="31"/>
        <v/>
      </c>
      <c r="AG618" s="179" t="b">
        <f t="shared" si="30"/>
        <v>0</v>
      </c>
      <c r="AH618" s="140"/>
      <c r="AI618" s="147" t="s">
        <v>36</v>
      </c>
      <c r="AJ618" s="145">
        <f t="shared" si="32"/>
        <v>0</v>
      </c>
      <c r="AK618" s="148" t="s">
        <v>75</v>
      </c>
    </row>
    <row r="619" spans="1:37" ht="30" customHeight="1">
      <c r="A619" s="62"/>
      <c r="B619" s="62"/>
      <c r="C619" s="62"/>
      <c r="D619" s="62"/>
      <c r="E619" s="62"/>
      <c r="F619" s="62"/>
      <c r="G619" s="62"/>
      <c r="H619" s="62"/>
      <c r="I619" s="62"/>
      <c r="J619" s="62"/>
      <c r="K619" s="62"/>
      <c r="L619" s="62"/>
      <c r="M619" s="62"/>
      <c r="N619" s="186"/>
      <c r="O619" s="152"/>
      <c r="P619" s="90"/>
      <c r="Q619" s="140"/>
      <c r="R619" s="90"/>
      <c r="S619" s="140"/>
      <c r="T619" s="90"/>
      <c r="U619" s="140"/>
      <c r="V619" s="90"/>
      <c r="W619" s="140"/>
      <c r="X619" s="90"/>
      <c r="Y619" s="140"/>
      <c r="Z619" s="90"/>
      <c r="AA619" s="140"/>
      <c r="AB619" s="90"/>
      <c r="AC619" s="140"/>
      <c r="AD619" s="90"/>
      <c r="AE619" s="140"/>
      <c r="AF619" s="137" t="str">
        <f t="shared" si="31"/>
        <v/>
      </c>
      <c r="AG619" s="179" t="b">
        <f t="shared" si="30"/>
        <v>0</v>
      </c>
      <c r="AH619" s="140"/>
      <c r="AI619" s="147" t="s">
        <v>36</v>
      </c>
      <c r="AJ619" s="145">
        <f t="shared" si="32"/>
        <v>0</v>
      </c>
      <c r="AK619" s="148" t="s">
        <v>75</v>
      </c>
    </row>
    <row r="620" spans="1:37" ht="30" customHeight="1">
      <c r="A620" s="62"/>
      <c r="B620" s="62"/>
      <c r="C620" s="62"/>
      <c r="D620" s="62"/>
      <c r="E620" s="62"/>
      <c r="F620" s="62"/>
      <c r="G620" s="62"/>
      <c r="H620" s="62"/>
      <c r="I620" s="62"/>
      <c r="J620" s="62"/>
      <c r="K620" s="62"/>
      <c r="L620" s="62"/>
      <c r="M620" s="62"/>
      <c r="N620" s="186"/>
      <c r="O620" s="152"/>
      <c r="P620" s="90"/>
      <c r="Q620" s="140"/>
      <c r="R620" s="90"/>
      <c r="S620" s="140"/>
      <c r="T620" s="90"/>
      <c r="U620" s="140"/>
      <c r="V620" s="90"/>
      <c r="W620" s="140"/>
      <c r="X620" s="90"/>
      <c r="Y620" s="140"/>
      <c r="Z620" s="90"/>
      <c r="AA620" s="140"/>
      <c r="AB620" s="90"/>
      <c r="AC620" s="140"/>
      <c r="AD620" s="90"/>
      <c r="AE620" s="140"/>
      <c r="AF620" s="137" t="str">
        <f t="shared" si="31"/>
        <v/>
      </c>
      <c r="AG620" s="179" t="b">
        <f t="shared" si="30"/>
        <v>0</v>
      </c>
      <c r="AH620" s="140"/>
      <c r="AI620" s="147" t="s">
        <v>36</v>
      </c>
      <c r="AJ620" s="145">
        <f t="shared" si="32"/>
        <v>0</v>
      </c>
      <c r="AK620" s="148" t="s">
        <v>75</v>
      </c>
    </row>
    <row r="621" spans="1:37" ht="30" customHeight="1">
      <c r="A621" s="62"/>
      <c r="B621" s="62"/>
      <c r="C621" s="62"/>
      <c r="D621" s="62"/>
      <c r="E621" s="62"/>
      <c r="F621" s="62"/>
      <c r="G621" s="62"/>
      <c r="H621" s="62"/>
      <c r="I621" s="62"/>
      <c r="J621" s="62"/>
      <c r="K621" s="62"/>
      <c r="L621" s="62"/>
      <c r="M621" s="62"/>
      <c r="N621" s="186"/>
      <c r="O621" s="152"/>
      <c r="P621" s="90"/>
      <c r="Q621" s="140"/>
      <c r="R621" s="90"/>
      <c r="S621" s="140"/>
      <c r="T621" s="90"/>
      <c r="U621" s="140"/>
      <c r="V621" s="90"/>
      <c r="W621" s="140"/>
      <c r="X621" s="90"/>
      <c r="Y621" s="140"/>
      <c r="Z621" s="90"/>
      <c r="AA621" s="140"/>
      <c r="AB621" s="90"/>
      <c r="AC621" s="140"/>
      <c r="AD621" s="90"/>
      <c r="AE621" s="140"/>
      <c r="AF621" s="137" t="str">
        <f t="shared" si="31"/>
        <v/>
      </c>
      <c r="AG621" s="179" t="b">
        <f t="shared" si="30"/>
        <v>0</v>
      </c>
      <c r="AH621" s="140"/>
      <c r="AI621" s="147" t="s">
        <v>36</v>
      </c>
      <c r="AJ621" s="145">
        <f t="shared" si="32"/>
        <v>0</v>
      </c>
      <c r="AK621" s="148" t="s">
        <v>75</v>
      </c>
    </row>
    <row r="622" spans="1:37" ht="30" customHeight="1">
      <c r="A622" s="62"/>
      <c r="B622" s="62"/>
      <c r="C622" s="62"/>
      <c r="D622" s="62"/>
      <c r="E622" s="62"/>
      <c r="F622" s="62"/>
      <c r="G622" s="62"/>
      <c r="H622" s="62"/>
      <c r="I622" s="62"/>
      <c r="J622" s="62"/>
      <c r="K622" s="62"/>
      <c r="L622" s="62"/>
      <c r="M622" s="62"/>
      <c r="N622" s="186"/>
      <c r="O622" s="152"/>
      <c r="P622" s="90"/>
      <c r="Q622" s="140"/>
      <c r="R622" s="90"/>
      <c r="S622" s="140"/>
      <c r="T622" s="90"/>
      <c r="U622" s="140"/>
      <c r="V622" s="90"/>
      <c r="W622" s="140"/>
      <c r="X622" s="90"/>
      <c r="Y622" s="140"/>
      <c r="Z622" s="90"/>
      <c r="AA622" s="140"/>
      <c r="AB622" s="90"/>
      <c r="AC622" s="140"/>
      <c r="AD622" s="90"/>
      <c r="AE622" s="140"/>
      <c r="AF622" s="137" t="str">
        <f t="shared" si="31"/>
        <v/>
      </c>
      <c r="AG622" s="179" t="b">
        <f t="shared" si="30"/>
        <v>0</v>
      </c>
      <c r="AH622" s="140"/>
      <c r="AI622" s="147" t="s">
        <v>36</v>
      </c>
      <c r="AJ622" s="145">
        <f t="shared" si="32"/>
        <v>0</v>
      </c>
      <c r="AK622" s="148" t="s">
        <v>75</v>
      </c>
    </row>
    <row r="623" spans="1:37" ht="30" customHeight="1">
      <c r="A623" s="62"/>
      <c r="B623" s="62"/>
      <c r="C623" s="62"/>
      <c r="D623" s="62"/>
      <c r="E623" s="62"/>
      <c r="F623" s="62"/>
      <c r="G623" s="62"/>
      <c r="H623" s="62"/>
      <c r="I623" s="62"/>
      <c r="J623" s="62"/>
      <c r="K623" s="62"/>
      <c r="L623" s="62"/>
      <c r="M623" s="62"/>
      <c r="N623" s="186"/>
      <c r="O623" s="152"/>
      <c r="P623" s="90"/>
      <c r="Q623" s="140"/>
      <c r="R623" s="90"/>
      <c r="S623" s="140"/>
      <c r="T623" s="90"/>
      <c r="U623" s="140"/>
      <c r="V623" s="90"/>
      <c r="W623" s="140"/>
      <c r="X623" s="90"/>
      <c r="Y623" s="140"/>
      <c r="Z623" s="90"/>
      <c r="AA623" s="140"/>
      <c r="AB623" s="90"/>
      <c r="AC623" s="140"/>
      <c r="AD623" s="90"/>
      <c r="AE623" s="140"/>
      <c r="AF623" s="137" t="str">
        <f t="shared" si="31"/>
        <v/>
      </c>
      <c r="AG623" s="179" t="b">
        <f t="shared" si="30"/>
        <v>0</v>
      </c>
      <c r="AH623" s="140"/>
      <c r="AI623" s="147" t="s">
        <v>36</v>
      </c>
      <c r="AJ623" s="145">
        <f t="shared" si="32"/>
        <v>0</v>
      </c>
      <c r="AK623" s="148" t="s">
        <v>75</v>
      </c>
    </row>
    <row r="624" spans="1:37" ht="30" customHeight="1">
      <c r="A624" s="62"/>
      <c r="B624" s="62"/>
      <c r="C624" s="62"/>
      <c r="D624" s="62"/>
      <c r="E624" s="62"/>
      <c r="F624" s="62"/>
      <c r="G624" s="62"/>
      <c r="H624" s="62"/>
      <c r="I624" s="62"/>
      <c r="J624" s="62"/>
      <c r="K624" s="62"/>
      <c r="L624" s="62"/>
      <c r="M624" s="62"/>
      <c r="N624" s="186"/>
      <c r="O624" s="152"/>
      <c r="P624" s="90"/>
      <c r="Q624" s="140"/>
      <c r="R624" s="90"/>
      <c r="S624" s="140"/>
      <c r="T624" s="90"/>
      <c r="U624" s="140"/>
      <c r="V624" s="90"/>
      <c r="W624" s="140"/>
      <c r="X624" s="90"/>
      <c r="Y624" s="140"/>
      <c r="Z624" s="90"/>
      <c r="AA624" s="140"/>
      <c r="AB624" s="90"/>
      <c r="AC624" s="140"/>
      <c r="AD624" s="90"/>
      <c r="AE624" s="140"/>
      <c r="AF624" s="137" t="str">
        <f t="shared" si="31"/>
        <v/>
      </c>
      <c r="AG624" s="179" t="b">
        <f t="shared" si="30"/>
        <v>0</v>
      </c>
      <c r="AH624" s="140"/>
      <c r="AI624" s="147" t="s">
        <v>36</v>
      </c>
      <c r="AJ624" s="145">
        <f t="shared" si="32"/>
        <v>0</v>
      </c>
      <c r="AK624" s="148" t="s">
        <v>75</v>
      </c>
    </row>
    <row r="625" spans="1:37" ht="30" customHeight="1">
      <c r="A625" s="62"/>
      <c r="B625" s="62"/>
      <c r="C625" s="62"/>
      <c r="D625" s="62"/>
      <c r="E625" s="62"/>
      <c r="F625" s="62"/>
      <c r="G625" s="62"/>
      <c r="H625" s="62"/>
      <c r="I625" s="62"/>
      <c r="J625" s="62"/>
      <c r="K625" s="62"/>
      <c r="L625" s="62"/>
      <c r="M625" s="62"/>
      <c r="N625" s="186"/>
      <c r="O625" s="152"/>
      <c r="P625" s="90"/>
      <c r="Q625" s="140"/>
      <c r="R625" s="90"/>
      <c r="S625" s="140"/>
      <c r="T625" s="90"/>
      <c r="U625" s="140"/>
      <c r="V625" s="90"/>
      <c r="W625" s="140"/>
      <c r="X625" s="90"/>
      <c r="Y625" s="140"/>
      <c r="Z625" s="90"/>
      <c r="AA625" s="140"/>
      <c r="AB625" s="90"/>
      <c r="AC625" s="140"/>
      <c r="AD625" s="90"/>
      <c r="AE625" s="140"/>
      <c r="AF625" s="137" t="str">
        <f t="shared" si="31"/>
        <v/>
      </c>
      <c r="AG625" s="179" t="b">
        <f t="shared" si="30"/>
        <v>0</v>
      </c>
      <c r="AH625" s="140"/>
      <c r="AI625" s="147" t="s">
        <v>36</v>
      </c>
      <c r="AJ625" s="145">
        <f t="shared" si="32"/>
        <v>0</v>
      </c>
      <c r="AK625" s="148" t="s">
        <v>75</v>
      </c>
    </row>
    <row r="626" spans="1:37" ht="30" customHeight="1">
      <c r="A626" s="62"/>
      <c r="B626" s="62"/>
      <c r="C626" s="62"/>
      <c r="D626" s="62"/>
      <c r="E626" s="62"/>
      <c r="F626" s="62"/>
      <c r="G626" s="62"/>
      <c r="H626" s="62"/>
      <c r="I626" s="62"/>
      <c r="J626" s="62"/>
      <c r="K626" s="62"/>
      <c r="L626" s="62"/>
      <c r="M626" s="62"/>
      <c r="N626" s="186"/>
      <c r="O626" s="152"/>
      <c r="P626" s="90"/>
      <c r="Q626" s="140"/>
      <c r="R626" s="90"/>
      <c r="S626" s="140"/>
      <c r="T626" s="90"/>
      <c r="U626" s="140"/>
      <c r="V626" s="90"/>
      <c r="W626" s="140"/>
      <c r="X626" s="90"/>
      <c r="Y626" s="140"/>
      <c r="Z626" s="90"/>
      <c r="AA626" s="140"/>
      <c r="AB626" s="90"/>
      <c r="AC626" s="140"/>
      <c r="AD626" s="90"/>
      <c r="AE626" s="140"/>
      <c r="AF626" s="137" t="str">
        <f t="shared" si="31"/>
        <v/>
      </c>
      <c r="AG626" s="179" t="b">
        <f t="shared" si="30"/>
        <v>0</v>
      </c>
      <c r="AH626" s="140"/>
      <c r="AI626" s="147" t="s">
        <v>36</v>
      </c>
      <c r="AJ626" s="145">
        <f t="shared" si="32"/>
        <v>0</v>
      </c>
      <c r="AK626" s="148" t="s">
        <v>75</v>
      </c>
    </row>
    <row r="627" spans="1:37" ht="30" customHeight="1">
      <c r="A627" s="62"/>
      <c r="B627" s="62"/>
      <c r="C627" s="62"/>
      <c r="D627" s="62"/>
      <c r="E627" s="62"/>
      <c r="F627" s="62"/>
      <c r="G627" s="62"/>
      <c r="H627" s="62"/>
      <c r="I627" s="62"/>
      <c r="J627" s="62"/>
      <c r="K627" s="62"/>
      <c r="L627" s="62"/>
      <c r="M627" s="62"/>
      <c r="N627" s="186"/>
      <c r="O627" s="152"/>
      <c r="P627" s="90"/>
      <c r="Q627" s="140"/>
      <c r="R627" s="90"/>
      <c r="S627" s="140"/>
      <c r="T627" s="90"/>
      <c r="U627" s="140"/>
      <c r="V627" s="90"/>
      <c r="W627" s="140"/>
      <c r="X627" s="90"/>
      <c r="Y627" s="140"/>
      <c r="Z627" s="90"/>
      <c r="AA627" s="140"/>
      <c r="AB627" s="90"/>
      <c r="AC627" s="140"/>
      <c r="AD627" s="90"/>
      <c r="AE627" s="140"/>
      <c r="AF627" s="137" t="str">
        <f t="shared" si="31"/>
        <v/>
      </c>
      <c r="AG627" s="179" t="b">
        <f t="shared" si="30"/>
        <v>0</v>
      </c>
      <c r="AH627" s="140"/>
      <c r="AI627" s="147" t="s">
        <v>36</v>
      </c>
      <c r="AJ627" s="145">
        <f t="shared" si="32"/>
        <v>0</v>
      </c>
      <c r="AK627" s="148" t="s">
        <v>75</v>
      </c>
    </row>
    <row r="628" spans="1:37" ht="30" customHeight="1">
      <c r="A628" s="62"/>
      <c r="B628" s="62"/>
      <c r="C628" s="62"/>
      <c r="D628" s="62"/>
      <c r="E628" s="62"/>
      <c r="F628" s="62"/>
      <c r="G628" s="62"/>
      <c r="H628" s="62"/>
      <c r="I628" s="62"/>
      <c r="J628" s="62"/>
      <c r="K628" s="62"/>
      <c r="L628" s="62"/>
      <c r="M628" s="62"/>
      <c r="N628" s="186"/>
      <c r="O628" s="152"/>
      <c r="P628" s="90"/>
      <c r="Q628" s="140"/>
      <c r="R628" s="90"/>
      <c r="S628" s="140"/>
      <c r="T628" s="90"/>
      <c r="U628" s="140"/>
      <c r="V628" s="90"/>
      <c r="W628" s="140"/>
      <c r="X628" s="90"/>
      <c r="Y628" s="140"/>
      <c r="Z628" s="90"/>
      <c r="AA628" s="140"/>
      <c r="AB628" s="90"/>
      <c r="AC628" s="140"/>
      <c r="AD628" s="90"/>
      <c r="AE628" s="140"/>
      <c r="AF628" s="137" t="str">
        <f t="shared" si="31"/>
        <v/>
      </c>
      <c r="AG628" s="179" t="b">
        <f t="shared" si="30"/>
        <v>0</v>
      </c>
      <c r="AH628" s="140"/>
      <c r="AI628" s="147" t="s">
        <v>36</v>
      </c>
      <c r="AJ628" s="145">
        <f t="shared" si="32"/>
        <v>0</v>
      </c>
      <c r="AK628" s="148" t="s">
        <v>75</v>
      </c>
    </row>
    <row r="629" spans="1:37" ht="30" customHeight="1">
      <c r="A629" s="62"/>
      <c r="B629" s="62"/>
      <c r="C629" s="62"/>
      <c r="D629" s="62"/>
      <c r="E629" s="62"/>
      <c r="F629" s="62"/>
      <c r="G629" s="62"/>
      <c r="H629" s="62"/>
      <c r="I629" s="62"/>
      <c r="J629" s="62"/>
      <c r="K629" s="62"/>
      <c r="L629" s="62"/>
      <c r="M629" s="62"/>
      <c r="N629" s="186"/>
      <c r="O629" s="152"/>
      <c r="P629" s="90"/>
      <c r="Q629" s="140"/>
      <c r="R629" s="90"/>
      <c r="S629" s="140"/>
      <c r="T629" s="90"/>
      <c r="U629" s="140"/>
      <c r="V629" s="90"/>
      <c r="W629" s="140"/>
      <c r="X629" s="90"/>
      <c r="Y629" s="140"/>
      <c r="Z629" s="90"/>
      <c r="AA629" s="140"/>
      <c r="AB629" s="90"/>
      <c r="AC629" s="140"/>
      <c r="AD629" s="90"/>
      <c r="AE629" s="140"/>
      <c r="AF629" s="137" t="str">
        <f t="shared" si="31"/>
        <v/>
      </c>
      <c r="AG629" s="179" t="b">
        <f t="shared" si="30"/>
        <v>0</v>
      </c>
      <c r="AH629" s="140"/>
      <c r="AI629" s="147" t="s">
        <v>36</v>
      </c>
      <c r="AJ629" s="145">
        <f t="shared" si="32"/>
        <v>0</v>
      </c>
      <c r="AK629" s="148" t="s">
        <v>75</v>
      </c>
    </row>
    <row r="630" spans="1:37" ht="30" customHeight="1">
      <c r="A630" s="62"/>
      <c r="B630" s="62"/>
      <c r="C630" s="62"/>
      <c r="D630" s="62"/>
      <c r="E630" s="62"/>
      <c r="F630" s="62"/>
      <c r="G630" s="62"/>
      <c r="H630" s="62"/>
      <c r="I630" s="62"/>
      <c r="J630" s="62"/>
      <c r="K630" s="62"/>
      <c r="L630" s="62"/>
      <c r="M630" s="62"/>
      <c r="N630" s="186"/>
      <c r="O630" s="152"/>
      <c r="P630" s="90"/>
      <c r="Q630" s="140"/>
      <c r="R630" s="90"/>
      <c r="S630" s="140"/>
      <c r="T630" s="90"/>
      <c r="U630" s="140"/>
      <c r="V630" s="90"/>
      <c r="W630" s="140"/>
      <c r="X630" s="90"/>
      <c r="Y630" s="140"/>
      <c r="Z630" s="90"/>
      <c r="AA630" s="140"/>
      <c r="AB630" s="90"/>
      <c r="AC630" s="140"/>
      <c r="AD630" s="90"/>
      <c r="AE630" s="140"/>
      <c r="AF630" s="137" t="str">
        <f t="shared" si="31"/>
        <v/>
      </c>
      <c r="AG630" s="179" t="b">
        <f t="shared" si="30"/>
        <v>0</v>
      </c>
      <c r="AH630" s="140"/>
      <c r="AI630" s="147" t="s">
        <v>36</v>
      </c>
      <c r="AJ630" s="145">
        <f t="shared" si="32"/>
        <v>0</v>
      </c>
      <c r="AK630" s="148" t="s">
        <v>75</v>
      </c>
    </row>
    <row r="631" spans="1:37" ht="30" customHeight="1">
      <c r="A631" s="62"/>
      <c r="B631" s="62"/>
      <c r="C631" s="62"/>
      <c r="D631" s="62"/>
      <c r="E631" s="62"/>
      <c r="F631" s="62"/>
      <c r="G631" s="62"/>
      <c r="H631" s="62"/>
      <c r="I631" s="62"/>
      <c r="J631" s="62"/>
      <c r="K631" s="62"/>
      <c r="L631" s="62"/>
      <c r="M631" s="62"/>
      <c r="N631" s="186"/>
      <c r="O631" s="152"/>
      <c r="P631" s="90"/>
      <c r="Q631" s="140"/>
      <c r="R631" s="90"/>
      <c r="S631" s="140"/>
      <c r="T631" s="90"/>
      <c r="U631" s="140"/>
      <c r="V631" s="90"/>
      <c r="W631" s="140"/>
      <c r="X631" s="90"/>
      <c r="Y631" s="140"/>
      <c r="Z631" s="90"/>
      <c r="AA631" s="140"/>
      <c r="AB631" s="90"/>
      <c r="AC631" s="140"/>
      <c r="AD631" s="90"/>
      <c r="AE631" s="140"/>
      <c r="AF631" s="137" t="str">
        <f t="shared" si="31"/>
        <v/>
      </c>
      <c r="AG631" s="179" t="b">
        <f t="shared" si="30"/>
        <v>0</v>
      </c>
      <c r="AH631" s="140"/>
      <c r="AI631" s="147" t="s">
        <v>36</v>
      </c>
      <c r="AJ631" s="145">
        <f t="shared" si="32"/>
        <v>0</v>
      </c>
      <c r="AK631" s="148" t="s">
        <v>75</v>
      </c>
    </row>
    <row r="632" spans="1:37" ht="30" customHeight="1">
      <c r="A632" s="62"/>
      <c r="B632" s="62"/>
      <c r="C632" s="62"/>
      <c r="D632" s="62"/>
      <c r="E632" s="62"/>
      <c r="F632" s="62"/>
      <c r="G632" s="62"/>
      <c r="H632" s="62"/>
      <c r="I632" s="62"/>
      <c r="J632" s="62"/>
      <c r="K632" s="62"/>
      <c r="L632" s="62"/>
      <c r="M632" s="62"/>
      <c r="N632" s="186"/>
      <c r="O632" s="152"/>
      <c r="P632" s="90"/>
      <c r="Q632" s="140"/>
      <c r="R632" s="90"/>
      <c r="S632" s="140"/>
      <c r="T632" s="90"/>
      <c r="U632" s="140"/>
      <c r="V632" s="90"/>
      <c r="W632" s="140"/>
      <c r="X632" s="90"/>
      <c r="Y632" s="140"/>
      <c r="Z632" s="90"/>
      <c r="AA632" s="140"/>
      <c r="AB632" s="90"/>
      <c r="AC632" s="140"/>
      <c r="AD632" s="90"/>
      <c r="AE632" s="140"/>
      <c r="AF632" s="137" t="str">
        <f t="shared" si="31"/>
        <v/>
      </c>
      <c r="AG632" s="179" t="b">
        <f t="shared" si="30"/>
        <v>0</v>
      </c>
      <c r="AH632" s="140"/>
      <c r="AI632" s="147" t="s">
        <v>36</v>
      </c>
      <c r="AJ632" s="145">
        <f t="shared" si="32"/>
        <v>0</v>
      </c>
      <c r="AK632" s="148" t="s">
        <v>75</v>
      </c>
    </row>
    <row r="633" spans="1:37" ht="30" customHeight="1">
      <c r="A633" s="62"/>
      <c r="B633" s="62"/>
      <c r="C633" s="62"/>
      <c r="D633" s="62"/>
      <c r="E633" s="62"/>
      <c r="F633" s="62"/>
      <c r="G633" s="62"/>
      <c r="H633" s="62"/>
      <c r="I633" s="62"/>
      <c r="J633" s="62"/>
      <c r="K633" s="62"/>
      <c r="L633" s="62"/>
      <c r="M633" s="62"/>
      <c r="N633" s="186"/>
      <c r="O633" s="152"/>
      <c r="P633" s="90"/>
      <c r="Q633" s="140"/>
      <c r="R633" s="90"/>
      <c r="S633" s="140"/>
      <c r="T633" s="90"/>
      <c r="U633" s="140"/>
      <c r="V633" s="90"/>
      <c r="W633" s="140"/>
      <c r="X633" s="90"/>
      <c r="Y633" s="140"/>
      <c r="Z633" s="90"/>
      <c r="AA633" s="140"/>
      <c r="AB633" s="90"/>
      <c r="AC633" s="140"/>
      <c r="AD633" s="90"/>
      <c r="AE633" s="140"/>
      <c r="AF633" s="137" t="str">
        <f t="shared" si="31"/>
        <v/>
      </c>
      <c r="AG633" s="179" t="b">
        <f t="shared" si="30"/>
        <v>0</v>
      </c>
      <c r="AH633" s="140"/>
      <c r="AI633" s="147" t="s">
        <v>36</v>
      </c>
      <c r="AJ633" s="145">
        <f t="shared" si="32"/>
        <v>0</v>
      </c>
      <c r="AK633" s="148" t="s">
        <v>75</v>
      </c>
    </row>
    <row r="634" spans="1:37" ht="30" customHeight="1">
      <c r="A634" s="62"/>
      <c r="B634" s="62"/>
      <c r="C634" s="62"/>
      <c r="D634" s="62"/>
      <c r="E634" s="62"/>
      <c r="F634" s="62"/>
      <c r="G634" s="62"/>
      <c r="H634" s="62"/>
      <c r="I634" s="62"/>
      <c r="J634" s="62"/>
      <c r="K634" s="62"/>
      <c r="L634" s="62"/>
      <c r="M634" s="62"/>
      <c r="N634" s="186"/>
      <c r="O634" s="152"/>
      <c r="P634" s="90"/>
      <c r="Q634" s="140"/>
      <c r="R634" s="90"/>
      <c r="S634" s="140"/>
      <c r="T634" s="90"/>
      <c r="U634" s="140"/>
      <c r="V634" s="90"/>
      <c r="W634" s="140"/>
      <c r="X634" s="90"/>
      <c r="Y634" s="140"/>
      <c r="Z634" s="90"/>
      <c r="AA634" s="140"/>
      <c r="AB634" s="90"/>
      <c r="AC634" s="140"/>
      <c r="AD634" s="90"/>
      <c r="AE634" s="140"/>
      <c r="AF634" s="137" t="str">
        <f t="shared" si="31"/>
        <v/>
      </c>
      <c r="AG634" s="179" t="b">
        <f t="shared" si="30"/>
        <v>0</v>
      </c>
      <c r="AH634" s="140"/>
      <c r="AI634" s="147" t="s">
        <v>36</v>
      </c>
      <c r="AJ634" s="145">
        <f t="shared" si="32"/>
        <v>0</v>
      </c>
      <c r="AK634" s="148" t="s">
        <v>75</v>
      </c>
    </row>
    <row r="635" spans="1:37" ht="30" customHeight="1">
      <c r="A635" s="62"/>
      <c r="B635" s="62"/>
      <c r="C635" s="62"/>
      <c r="D635" s="62"/>
      <c r="E635" s="62"/>
      <c r="F635" s="62"/>
      <c r="G635" s="62"/>
      <c r="H635" s="62"/>
      <c r="I635" s="62"/>
      <c r="J635" s="62"/>
      <c r="K635" s="62"/>
      <c r="L635" s="62"/>
      <c r="M635" s="62"/>
      <c r="N635" s="186"/>
      <c r="O635" s="152"/>
      <c r="P635" s="90"/>
      <c r="Q635" s="140"/>
      <c r="R635" s="90"/>
      <c r="S635" s="140"/>
      <c r="T635" s="90"/>
      <c r="U635" s="140"/>
      <c r="V635" s="90"/>
      <c r="W635" s="140"/>
      <c r="X635" s="90"/>
      <c r="Y635" s="140"/>
      <c r="Z635" s="90"/>
      <c r="AA635" s="140"/>
      <c r="AB635" s="90"/>
      <c r="AC635" s="140"/>
      <c r="AD635" s="90"/>
      <c r="AE635" s="140"/>
      <c r="AF635" s="137" t="str">
        <f t="shared" si="31"/>
        <v/>
      </c>
      <c r="AG635" s="179" t="b">
        <f t="shared" si="30"/>
        <v>0</v>
      </c>
      <c r="AH635" s="140"/>
      <c r="AI635" s="147" t="s">
        <v>36</v>
      </c>
      <c r="AJ635" s="145">
        <f t="shared" si="32"/>
        <v>0</v>
      </c>
      <c r="AK635" s="148" t="s">
        <v>75</v>
      </c>
    </row>
    <row r="636" spans="1:37" ht="30" customHeight="1">
      <c r="A636" s="62"/>
      <c r="B636" s="62"/>
      <c r="C636" s="62"/>
      <c r="D636" s="62"/>
      <c r="E636" s="62"/>
      <c r="F636" s="62"/>
      <c r="G636" s="62"/>
      <c r="H636" s="62"/>
      <c r="I636" s="62"/>
      <c r="J636" s="62"/>
      <c r="K636" s="62"/>
      <c r="L636" s="62"/>
      <c r="M636" s="62"/>
      <c r="N636" s="186"/>
      <c r="O636" s="152"/>
      <c r="P636" s="90"/>
      <c r="Q636" s="140"/>
      <c r="R636" s="90"/>
      <c r="S636" s="140"/>
      <c r="T636" s="90"/>
      <c r="U636" s="140"/>
      <c r="V636" s="90"/>
      <c r="W636" s="140"/>
      <c r="X636" s="90"/>
      <c r="Y636" s="140"/>
      <c r="Z636" s="90"/>
      <c r="AA636" s="140"/>
      <c r="AB636" s="90"/>
      <c r="AC636" s="140"/>
      <c r="AD636" s="90"/>
      <c r="AE636" s="140"/>
      <c r="AF636" s="137" t="str">
        <f t="shared" si="31"/>
        <v/>
      </c>
      <c r="AG636" s="179" t="b">
        <f t="shared" si="30"/>
        <v>0</v>
      </c>
      <c r="AH636" s="140"/>
      <c r="AI636" s="147" t="s">
        <v>36</v>
      </c>
      <c r="AJ636" s="145">
        <f t="shared" si="32"/>
        <v>0</v>
      </c>
      <c r="AK636" s="148" t="s">
        <v>75</v>
      </c>
    </row>
    <row r="637" spans="1:37" ht="30" customHeight="1">
      <c r="A637" s="62"/>
      <c r="B637" s="62"/>
      <c r="C637" s="62"/>
      <c r="D637" s="62"/>
      <c r="E637" s="62"/>
      <c r="F637" s="62"/>
      <c r="G637" s="62"/>
      <c r="H637" s="62"/>
      <c r="I637" s="62"/>
      <c r="J637" s="62"/>
      <c r="K637" s="62"/>
      <c r="L637" s="62"/>
      <c r="M637" s="62"/>
      <c r="N637" s="186"/>
      <c r="O637" s="152"/>
      <c r="P637" s="90"/>
      <c r="Q637" s="140"/>
      <c r="R637" s="90"/>
      <c r="S637" s="140"/>
      <c r="T637" s="90"/>
      <c r="U637" s="140"/>
      <c r="V637" s="90"/>
      <c r="W637" s="140"/>
      <c r="X637" s="90"/>
      <c r="Y637" s="140"/>
      <c r="Z637" s="90"/>
      <c r="AA637" s="140"/>
      <c r="AB637" s="90"/>
      <c r="AC637" s="140"/>
      <c r="AD637" s="90"/>
      <c r="AE637" s="140"/>
      <c r="AF637" s="137" t="str">
        <f t="shared" si="31"/>
        <v/>
      </c>
      <c r="AG637" s="179" t="b">
        <f t="shared" si="30"/>
        <v>0</v>
      </c>
      <c r="AH637" s="140"/>
      <c r="AI637" s="147" t="s">
        <v>36</v>
      </c>
      <c r="AJ637" s="145">
        <f t="shared" si="32"/>
        <v>0</v>
      </c>
      <c r="AK637" s="148" t="s">
        <v>75</v>
      </c>
    </row>
    <row r="638" spans="1:37" ht="30" customHeight="1">
      <c r="A638" s="62"/>
      <c r="B638" s="62"/>
      <c r="C638" s="62"/>
      <c r="D638" s="62"/>
      <c r="E638" s="62"/>
      <c r="F638" s="62"/>
      <c r="G638" s="62"/>
      <c r="H638" s="62"/>
      <c r="I638" s="62"/>
      <c r="J638" s="62"/>
      <c r="K638" s="62"/>
      <c r="L638" s="62"/>
      <c r="M638" s="62"/>
      <c r="N638" s="186"/>
      <c r="O638" s="152"/>
      <c r="P638" s="90"/>
      <c r="Q638" s="140"/>
      <c r="R638" s="90"/>
      <c r="S638" s="140"/>
      <c r="T638" s="90"/>
      <c r="U638" s="140"/>
      <c r="V638" s="90"/>
      <c r="W638" s="140"/>
      <c r="X638" s="90"/>
      <c r="Y638" s="140"/>
      <c r="Z638" s="90"/>
      <c r="AA638" s="140"/>
      <c r="AB638" s="90"/>
      <c r="AC638" s="140"/>
      <c r="AD638" s="90"/>
      <c r="AE638" s="140"/>
      <c r="AF638" s="137" t="str">
        <f t="shared" si="31"/>
        <v/>
      </c>
      <c r="AG638" s="179" t="b">
        <f t="shared" si="30"/>
        <v>0</v>
      </c>
      <c r="AH638" s="140"/>
      <c r="AI638" s="147" t="s">
        <v>36</v>
      </c>
      <c r="AJ638" s="145">
        <f t="shared" si="32"/>
        <v>0</v>
      </c>
      <c r="AK638" s="148" t="s">
        <v>75</v>
      </c>
    </row>
    <row r="639" spans="1:37" ht="30" customHeight="1">
      <c r="A639" s="62"/>
      <c r="B639" s="62"/>
      <c r="C639" s="62"/>
      <c r="D639" s="62"/>
      <c r="E639" s="62"/>
      <c r="F639" s="62"/>
      <c r="G639" s="62"/>
      <c r="H639" s="62"/>
      <c r="I639" s="62"/>
      <c r="J639" s="62"/>
      <c r="K639" s="62"/>
      <c r="L639" s="62"/>
      <c r="M639" s="62"/>
      <c r="N639" s="186"/>
      <c r="O639" s="152"/>
      <c r="P639" s="90"/>
      <c r="Q639" s="140"/>
      <c r="R639" s="90"/>
      <c r="S639" s="140"/>
      <c r="T639" s="90"/>
      <c r="U639" s="140"/>
      <c r="V639" s="90"/>
      <c r="W639" s="140"/>
      <c r="X639" s="90"/>
      <c r="Y639" s="140"/>
      <c r="Z639" s="90"/>
      <c r="AA639" s="140"/>
      <c r="AB639" s="90"/>
      <c r="AC639" s="140"/>
      <c r="AD639" s="90"/>
      <c r="AE639" s="140"/>
      <c r="AF639" s="137" t="str">
        <f t="shared" si="31"/>
        <v/>
      </c>
      <c r="AG639" s="179" t="b">
        <f t="shared" si="30"/>
        <v>0</v>
      </c>
      <c r="AH639" s="140"/>
      <c r="AI639" s="147" t="s">
        <v>36</v>
      </c>
      <c r="AJ639" s="145">
        <f t="shared" si="32"/>
        <v>0</v>
      </c>
      <c r="AK639" s="148" t="s">
        <v>75</v>
      </c>
    </row>
    <row r="640" spans="1:37" ht="30" customHeight="1">
      <c r="A640" s="62"/>
      <c r="B640" s="62"/>
      <c r="C640" s="62"/>
      <c r="D640" s="62"/>
      <c r="E640" s="62"/>
      <c r="F640" s="62"/>
      <c r="G640" s="62"/>
      <c r="H640" s="62"/>
      <c r="I640" s="62"/>
      <c r="J640" s="62"/>
      <c r="K640" s="62"/>
      <c r="L640" s="62"/>
      <c r="M640" s="62"/>
      <c r="N640" s="186"/>
      <c r="O640" s="152"/>
      <c r="P640" s="90"/>
      <c r="Q640" s="140"/>
      <c r="R640" s="90"/>
      <c r="S640" s="140"/>
      <c r="T640" s="90"/>
      <c r="U640" s="140"/>
      <c r="V640" s="90"/>
      <c r="W640" s="140"/>
      <c r="X640" s="90"/>
      <c r="Y640" s="140"/>
      <c r="Z640" s="90"/>
      <c r="AA640" s="140"/>
      <c r="AB640" s="90"/>
      <c r="AC640" s="140"/>
      <c r="AD640" s="90"/>
      <c r="AE640" s="140"/>
      <c r="AF640" s="137" t="str">
        <f t="shared" si="31"/>
        <v/>
      </c>
      <c r="AG640" s="179" t="b">
        <f t="shared" ref="AG640:AG703" si="33">IF(AND(AE640="C",AF640="C"),"UTILIZOU O PDA CORRETAMENTE",IF(AND(AE640="C",AF640="NC"),"UTILIZOU O PDA CORRETAMENTE. NÃO HÁ FOTOS DE TODAS AS ETAPAS",IF(AND(AE640="NC",AF640="NC"),"NÃO UTILIZOU O PDA",IF(AND(AE640="NA",AF640="NA"),"NÃO AVALIADO POR FALHA DE SINCRONISMO"))))</f>
        <v>0</v>
      </c>
      <c r="AH640" s="140"/>
      <c r="AI640" s="147" t="s">
        <v>36</v>
      </c>
      <c r="AJ640" s="145">
        <f t="shared" si="32"/>
        <v>0</v>
      </c>
      <c r="AK640" s="148" t="s">
        <v>75</v>
      </c>
    </row>
    <row r="641" spans="1:37" ht="30" customHeight="1">
      <c r="A641" s="62"/>
      <c r="B641" s="62"/>
      <c r="C641" s="62"/>
      <c r="D641" s="62"/>
      <c r="E641" s="62"/>
      <c r="F641" s="62"/>
      <c r="G641" s="62"/>
      <c r="H641" s="62"/>
      <c r="I641" s="62"/>
      <c r="J641" s="62"/>
      <c r="K641" s="62"/>
      <c r="L641" s="62"/>
      <c r="M641" s="62"/>
      <c r="N641" s="186"/>
      <c r="O641" s="152"/>
      <c r="P641" s="90"/>
      <c r="Q641" s="140"/>
      <c r="R641" s="90"/>
      <c r="S641" s="140"/>
      <c r="T641" s="90"/>
      <c r="U641" s="140"/>
      <c r="V641" s="90"/>
      <c r="W641" s="140"/>
      <c r="X641" s="90"/>
      <c r="Y641" s="140"/>
      <c r="Z641" s="90"/>
      <c r="AA641" s="140"/>
      <c r="AB641" s="90"/>
      <c r="AC641" s="140"/>
      <c r="AD641" s="90"/>
      <c r="AE641" s="140"/>
      <c r="AF641" s="137" t="str">
        <f t="shared" ref="AF641:AF704" si="34">IF(AND(O641="",Q641="",S641="",U641="",W641="",Y641="",AA641="",AC641=""),"",IF(OR(AND(O641&lt;&gt;"NA",O641&lt;&gt;"C",O641&lt;&gt;"NC",O641&lt;&gt;"SF",O641&lt;&gt;""),AND(Q641&lt;&gt;"NA",Q641&lt;&gt;"C",Q641&lt;&gt;"NC",Q641&lt;&gt;"SF",Q641&lt;&gt;""),AND(S641&lt;&gt;"NA",S641&lt;&gt;"C",S641&lt;&gt;"NC",S641&lt;&gt;"SF",S641&lt;&gt;""),AND(U641&lt;&gt;"NA",U641&lt;&gt;"C",U641&lt;&gt;"NC",U641&lt;&gt;"SF",U641&lt;&gt;""),AND(W641&lt;&gt;"NA",W641&lt;&gt;"C",W641&lt;&gt;"NC",W641&lt;&gt;"SF",W641&lt;&gt;""),AND(Y641&lt;&gt;"NA",Y641&lt;&gt;"C",Y641&lt;&gt;"NC",Y641&lt;&gt;"SF",Y641&lt;&gt;""),AND(AA641&lt;&gt;"NA",AA641&lt;&gt;"C",AA641&lt;&gt;"NC",AA641&lt;&gt;"SF",AA641&lt;&gt;""),AND(AC641&lt;&gt;"NA",AC641&lt;&gt;"C",AC641&lt;&gt;"NC",AC641&lt;&gt;"SF",AC641&lt;&gt;"")),"FALSO",IF(AND(O641="NA",Q641="NA",S641="NA",U641="NA",W641="NA",Y641="NA",AA641="NA",AC641="NA"),"NA",IF(OR(O641="NC",Q641="NC",S641="NC",U641="NC",W641="NC",Y641="NC",AA641="NC",AC641="NC",O641="SF",Q641="SF",S641="SF",U641="SF",W641="SF",Y641="SF",AA641="SF",AC641="SF"),"NC",IF(OR(O641="C",Q641="C",S641="C",U641="C",W641="C",Y641="C",AA641="C",AC641="C"),"C","")))))</f>
        <v/>
      </c>
      <c r="AG641" s="179" t="b">
        <f t="shared" si="33"/>
        <v>0</v>
      </c>
      <c r="AH641" s="140"/>
      <c r="AI641" s="147" t="s">
        <v>36</v>
      </c>
      <c r="AJ641" s="145">
        <f t="shared" si="32"/>
        <v>0</v>
      </c>
      <c r="AK641" s="148" t="s">
        <v>75</v>
      </c>
    </row>
    <row r="642" spans="1:37" ht="30" customHeight="1">
      <c r="A642" s="62"/>
      <c r="B642" s="62"/>
      <c r="C642" s="62"/>
      <c r="D642" s="62"/>
      <c r="E642" s="62"/>
      <c r="F642" s="62"/>
      <c r="G642" s="62"/>
      <c r="H642" s="62"/>
      <c r="I642" s="62"/>
      <c r="J642" s="62"/>
      <c r="K642" s="62"/>
      <c r="L642" s="62"/>
      <c r="M642" s="62"/>
      <c r="N642" s="186"/>
      <c r="O642" s="152"/>
      <c r="P642" s="90"/>
      <c r="Q642" s="140"/>
      <c r="R642" s="90"/>
      <c r="S642" s="140"/>
      <c r="T642" s="90"/>
      <c r="U642" s="140"/>
      <c r="V642" s="90"/>
      <c r="W642" s="140"/>
      <c r="X642" s="90"/>
      <c r="Y642" s="140"/>
      <c r="Z642" s="90"/>
      <c r="AA642" s="140"/>
      <c r="AB642" s="90"/>
      <c r="AC642" s="140"/>
      <c r="AD642" s="90"/>
      <c r="AE642" s="140"/>
      <c r="AF642" s="137" t="str">
        <f t="shared" si="34"/>
        <v/>
      </c>
      <c r="AG642" s="179" t="b">
        <f t="shared" si="33"/>
        <v>0</v>
      </c>
      <c r="AH642" s="140"/>
      <c r="AI642" s="147" t="s">
        <v>36</v>
      </c>
      <c r="AJ642" s="145">
        <f t="shared" si="32"/>
        <v>0</v>
      </c>
      <c r="AK642" s="148" t="s">
        <v>75</v>
      </c>
    </row>
    <row r="643" spans="1:37" ht="30" customHeight="1">
      <c r="A643" s="62"/>
      <c r="B643" s="62"/>
      <c r="C643" s="62"/>
      <c r="D643" s="62"/>
      <c r="E643" s="62"/>
      <c r="F643" s="62"/>
      <c r="G643" s="62"/>
      <c r="H643" s="62"/>
      <c r="I643" s="62"/>
      <c r="J643" s="62"/>
      <c r="K643" s="62"/>
      <c r="L643" s="62"/>
      <c r="M643" s="62"/>
      <c r="N643" s="186"/>
      <c r="O643" s="152"/>
      <c r="P643" s="90"/>
      <c r="Q643" s="140"/>
      <c r="R643" s="90"/>
      <c r="S643" s="140"/>
      <c r="T643" s="90"/>
      <c r="U643" s="140"/>
      <c r="V643" s="90"/>
      <c r="W643" s="140"/>
      <c r="X643" s="90"/>
      <c r="Y643" s="140"/>
      <c r="Z643" s="90"/>
      <c r="AA643" s="140"/>
      <c r="AB643" s="90"/>
      <c r="AC643" s="140"/>
      <c r="AD643" s="90"/>
      <c r="AE643" s="140"/>
      <c r="AF643" s="137" t="str">
        <f t="shared" si="34"/>
        <v/>
      </c>
      <c r="AG643" s="179" t="b">
        <f t="shared" si="33"/>
        <v>0</v>
      </c>
      <c r="AH643" s="140"/>
      <c r="AI643" s="147" t="s">
        <v>36</v>
      </c>
      <c r="AJ643" s="145">
        <f t="shared" si="32"/>
        <v>0</v>
      </c>
      <c r="AK643" s="148" t="s">
        <v>75</v>
      </c>
    </row>
    <row r="644" spans="1:37" ht="30" customHeight="1">
      <c r="A644" s="62"/>
      <c r="B644" s="62"/>
      <c r="C644" s="62"/>
      <c r="D644" s="62"/>
      <c r="E644" s="62"/>
      <c r="F644" s="62"/>
      <c r="G644" s="62"/>
      <c r="H644" s="62"/>
      <c r="I644" s="62"/>
      <c r="J644" s="62"/>
      <c r="K644" s="62"/>
      <c r="L644" s="62"/>
      <c r="M644" s="62"/>
      <c r="N644" s="186"/>
      <c r="O644" s="152"/>
      <c r="P644" s="90"/>
      <c r="Q644" s="140"/>
      <c r="R644" s="90"/>
      <c r="S644" s="140"/>
      <c r="T644" s="90"/>
      <c r="U644" s="140"/>
      <c r="V644" s="90"/>
      <c r="W644" s="140"/>
      <c r="X644" s="90"/>
      <c r="Y644" s="140"/>
      <c r="Z644" s="90"/>
      <c r="AA644" s="140"/>
      <c r="AB644" s="90"/>
      <c r="AC644" s="140"/>
      <c r="AD644" s="90"/>
      <c r="AE644" s="140"/>
      <c r="AF644" s="137" t="str">
        <f t="shared" si="34"/>
        <v/>
      </c>
      <c r="AG644" s="179" t="b">
        <f t="shared" si="33"/>
        <v>0</v>
      </c>
      <c r="AH644" s="140"/>
      <c r="AI644" s="147" t="s">
        <v>36</v>
      </c>
      <c r="AJ644" s="145">
        <f t="shared" si="32"/>
        <v>0</v>
      </c>
      <c r="AK644" s="148" t="s">
        <v>75</v>
      </c>
    </row>
    <row r="645" spans="1:37" ht="30" customHeight="1">
      <c r="A645" s="62"/>
      <c r="B645" s="62"/>
      <c r="C645" s="62"/>
      <c r="D645" s="62"/>
      <c r="E645" s="62"/>
      <c r="F645" s="62"/>
      <c r="G645" s="62"/>
      <c r="H645" s="62"/>
      <c r="I645" s="62"/>
      <c r="J645" s="62"/>
      <c r="K645" s="62"/>
      <c r="L645" s="62"/>
      <c r="M645" s="62"/>
      <c r="N645" s="186"/>
      <c r="O645" s="152"/>
      <c r="P645" s="90"/>
      <c r="Q645" s="140"/>
      <c r="R645" s="90"/>
      <c r="S645" s="140"/>
      <c r="T645" s="90"/>
      <c r="U645" s="140"/>
      <c r="V645" s="90"/>
      <c r="W645" s="140"/>
      <c r="X645" s="90"/>
      <c r="Y645" s="140"/>
      <c r="Z645" s="90"/>
      <c r="AA645" s="140"/>
      <c r="AB645" s="90"/>
      <c r="AC645" s="140"/>
      <c r="AD645" s="90"/>
      <c r="AE645" s="140"/>
      <c r="AF645" s="137" t="str">
        <f t="shared" si="34"/>
        <v/>
      </c>
      <c r="AG645" s="179" t="b">
        <f t="shared" si="33"/>
        <v>0</v>
      </c>
      <c r="AH645" s="140"/>
      <c r="AI645" s="147" t="s">
        <v>36</v>
      </c>
      <c r="AJ645" s="145">
        <f t="shared" si="32"/>
        <v>0</v>
      </c>
      <c r="AK645" s="148" t="s">
        <v>75</v>
      </c>
    </row>
    <row r="646" spans="1:37" ht="30" customHeight="1">
      <c r="A646" s="62"/>
      <c r="B646" s="62"/>
      <c r="C646" s="62"/>
      <c r="D646" s="62"/>
      <c r="E646" s="62"/>
      <c r="F646" s="62"/>
      <c r="G646" s="62"/>
      <c r="H646" s="62"/>
      <c r="I646" s="62"/>
      <c r="J646" s="62"/>
      <c r="K646" s="62"/>
      <c r="L646" s="62"/>
      <c r="M646" s="62"/>
      <c r="N646" s="186"/>
      <c r="O646" s="152"/>
      <c r="P646" s="90"/>
      <c r="Q646" s="140"/>
      <c r="R646" s="90"/>
      <c r="S646" s="140"/>
      <c r="T646" s="90"/>
      <c r="U646" s="140"/>
      <c r="V646" s="90"/>
      <c r="W646" s="140"/>
      <c r="X646" s="90"/>
      <c r="Y646" s="140"/>
      <c r="Z646" s="90"/>
      <c r="AA646" s="140"/>
      <c r="AB646" s="90"/>
      <c r="AC646" s="140"/>
      <c r="AD646" s="90"/>
      <c r="AE646" s="140"/>
      <c r="AF646" s="137" t="str">
        <f t="shared" si="34"/>
        <v/>
      </c>
      <c r="AG646" s="179" t="b">
        <f t="shared" si="33"/>
        <v>0</v>
      </c>
      <c r="AH646" s="140"/>
      <c r="AI646" s="147" t="s">
        <v>36</v>
      </c>
      <c r="AJ646" s="145">
        <f t="shared" si="32"/>
        <v>0</v>
      </c>
      <c r="AK646" s="148" t="s">
        <v>75</v>
      </c>
    </row>
    <row r="647" spans="1:37" ht="30" customHeight="1">
      <c r="A647" s="62"/>
      <c r="B647" s="62"/>
      <c r="C647" s="62"/>
      <c r="D647" s="62"/>
      <c r="E647" s="62"/>
      <c r="F647" s="62"/>
      <c r="G647" s="62"/>
      <c r="H647" s="62"/>
      <c r="I647" s="62"/>
      <c r="J647" s="62"/>
      <c r="K647" s="62"/>
      <c r="L647" s="62"/>
      <c r="M647" s="62"/>
      <c r="N647" s="186"/>
      <c r="O647" s="152"/>
      <c r="P647" s="90"/>
      <c r="Q647" s="140"/>
      <c r="R647" s="90"/>
      <c r="S647" s="140"/>
      <c r="T647" s="90"/>
      <c r="U647" s="140"/>
      <c r="V647" s="90"/>
      <c r="W647" s="140"/>
      <c r="X647" s="90"/>
      <c r="Y647" s="140"/>
      <c r="Z647" s="90"/>
      <c r="AA647" s="140"/>
      <c r="AB647" s="90"/>
      <c r="AC647" s="140"/>
      <c r="AD647" s="90"/>
      <c r="AE647" s="140"/>
      <c r="AF647" s="137" t="str">
        <f t="shared" si="34"/>
        <v/>
      </c>
      <c r="AG647" s="179" t="b">
        <f t="shared" si="33"/>
        <v>0</v>
      </c>
      <c r="AH647" s="140"/>
      <c r="AI647" s="147" t="s">
        <v>36</v>
      </c>
      <c r="AJ647" s="145">
        <f t="shared" si="32"/>
        <v>0</v>
      </c>
      <c r="AK647" s="148" t="s">
        <v>75</v>
      </c>
    </row>
    <row r="648" spans="1:37" ht="30" customHeight="1">
      <c r="A648" s="62"/>
      <c r="B648" s="62"/>
      <c r="C648" s="62"/>
      <c r="D648" s="62"/>
      <c r="E648" s="62"/>
      <c r="F648" s="62"/>
      <c r="G648" s="62"/>
      <c r="H648" s="62"/>
      <c r="I648" s="62"/>
      <c r="J648" s="62"/>
      <c r="K648" s="62"/>
      <c r="L648" s="62"/>
      <c r="M648" s="62"/>
      <c r="N648" s="186"/>
      <c r="O648" s="152"/>
      <c r="P648" s="90"/>
      <c r="Q648" s="140"/>
      <c r="R648" s="90"/>
      <c r="S648" s="140"/>
      <c r="T648" s="90"/>
      <c r="U648" s="140"/>
      <c r="V648" s="90"/>
      <c r="W648" s="140"/>
      <c r="X648" s="90"/>
      <c r="Y648" s="140"/>
      <c r="Z648" s="90"/>
      <c r="AA648" s="140"/>
      <c r="AB648" s="90"/>
      <c r="AC648" s="140"/>
      <c r="AD648" s="90"/>
      <c r="AE648" s="140"/>
      <c r="AF648" s="137" t="str">
        <f t="shared" si="34"/>
        <v/>
      </c>
      <c r="AG648" s="179" t="b">
        <f t="shared" si="33"/>
        <v>0</v>
      </c>
      <c r="AH648" s="140"/>
      <c r="AI648" s="147" t="s">
        <v>36</v>
      </c>
      <c r="AJ648" s="145">
        <f t="shared" si="32"/>
        <v>0</v>
      </c>
      <c r="AK648" s="148" t="s">
        <v>75</v>
      </c>
    </row>
    <row r="649" spans="1:37" ht="30" customHeight="1">
      <c r="A649" s="62"/>
      <c r="B649" s="62"/>
      <c r="C649" s="62"/>
      <c r="D649" s="62"/>
      <c r="E649" s="62"/>
      <c r="F649" s="62"/>
      <c r="G649" s="62"/>
      <c r="H649" s="62"/>
      <c r="I649" s="62"/>
      <c r="J649" s="62"/>
      <c r="K649" s="62"/>
      <c r="L649" s="62"/>
      <c r="M649" s="62"/>
      <c r="N649" s="186"/>
      <c r="O649" s="152"/>
      <c r="P649" s="90"/>
      <c r="Q649" s="140"/>
      <c r="R649" s="90"/>
      <c r="S649" s="140"/>
      <c r="T649" s="90"/>
      <c r="U649" s="140"/>
      <c r="V649" s="90"/>
      <c r="W649" s="140"/>
      <c r="X649" s="90"/>
      <c r="Y649" s="140"/>
      <c r="Z649" s="90"/>
      <c r="AA649" s="140"/>
      <c r="AB649" s="90"/>
      <c r="AC649" s="140"/>
      <c r="AD649" s="90"/>
      <c r="AE649" s="140"/>
      <c r="AF649" s="137" t="str">
        <f t="shared" si="34"/>
        <v/>
      </c>
      <c r="AG649" s="179" t="b">
        <f t="shared" si="33"/>
        <v>0</v>
      </c>
      <c r="AH649" s="140"/>
      <c r="AI649" s="147" t="s">
        <v>36</v>
      </c>
      <c r="AJ649" s="145">
        <f t="shared" si="32"/>
        <v>0</v>
      </c>
      <c r="AK649" s="148" t="s">
        <v>75</v>
      </c>
    </row>
    <row r="650" spans="1:37" ht="30" customHeight="1">
      <c r="A650" s="62"/>
      <c r="B650" s="62"/>
      <c r="C650" s="62"/>
      <c r="D650" s="62"/>
      <c r="E650" s="62"/>
      <c r="F650" s="62"/>
      <c r="G650" s="62"/>
      <c r="H650" s="62"/>
      <c r="I650" s="62"/>
      <c r="J650" s="62"/>
      <c r="K650" s="62"/>
      <c r="L650" s="62"/>
      <c r="M650" s="62"/>
      <c r="N650" s="186"/>
      <c r="O650" s="152"/>
      <c r="P650" s="90"/>
      <c r="Q650" s="140"/>
      <c r="R650" s="90"/>
      <c r="S650" s="140"/>
      <c r="T650" s="90"/>
      <c r="U650" s="140"/>
      <c r="V650" s="90"/>
      <c r="W650" s="140"/>
      <c r="X650" s="90"/>
      <c r="Y650" s="140"/>
      <c r="Z650" s="90"/>
      <c r="AA650" s="140"/>
      <c r="AB650" s="90"/>
      <c r="AC650" s="140"/>
      <c r="AD650" s="90"/>
      <c r="AE650" s="140"/>
      <c r="AF650" s="137" t="str">
        <f t="shared" si="34"/>
        <v/>
      </c>
      <c r="AG650" s="179" t="b">
        <f t="shared" si="33"/>
        <v>0</v>
      </c>
      <c r="AH650" s="140"/>
      <c r="AI650" s="147" t="s">
        <v>36</v>
      </c>
      <c r="AJ650" s="145">
        <f t="shared" si="32"/>
        <v>0</v>
      </c>
      <c r="AK650" s="148" t="s">
        <v>75</v>
      </c>
    </row>
    <row r="651" spans="1:37" ht="30" customHeight="1">
      <c r="A651" s="62"/>
      <c r="B651" s="62"/>
      <c r="C651" s="62"/>
      <c r="D651" s="62"/>
      <c r="E651" s="62"/>
      <c r="F651" s="62"/>
      <c r="G651" s="62"/>
      <c r="H651" s="62"/>
      <c r="I651" s="62"/>
      <c r="J651" s="62"/>
      <c r="K651" s="62"/>
      <c r="L651" s="62"/>
      <c r="M651" s="62"/>
      <c r="N651" s="186"/>
      <c r="O651" s="152"/>
      <c r="P651" s="90"/>
      <c r="Q651" s="140"/>
      <c r="R651" s="90"/>
      <c r="S651" s="140"/>
      <c r="T651" s="90"/>
      <c r="U651" s="140"/>
      <c r="V651" s="90"/>
      <c r="W651" s="140"/>
      <c r="X651" s="90"/>
      <c r="Y651" s="140"/>
      <c r="Z651" s="90"/>
      <c r="AA651" s="140"/>
      <c r="AB651" s="90"/>
      <c r="AC651" s="140"/>
      <c r="AD651" s="90"/>
      <c r="AE651" s="140"/>
      <c r="AF651" s="137" t="str">
        <f t="shared" si="34"/>
        <v/>
      </c>
      <c r="AG651" s="179" t="b">
        <f t="shared" si="33"/>
        <v>0</v>
      </c>
      <c r="AH651" s="140"/>
      <c r="AI651" s="147" t="s">
        <v>36</v>
      </c>
      <c r="AJ651" s="145">
        <f t="shared" si="32"/>
        <v>0</v>
      </c>
      <c r="AK651" s="148" t="s">
        <v>75</v>
      </c>
    </row>
    <row r="652" spans="1:37" ht="30" customHeight="1">
      <c r="A652" s="62"/>
      <c r="B652" s="62"/>
      <c r="C652" s="62"/>
      <c r="D652" s="62"/>
      <c r="E652" s="62"/>
      <c r="F652" s="62"/>
      <c r="G652" s="62"/>
      <c r="H652" s="62"/>
      <c r="I652" s="62"/>
      <c r="J652" s="62"/>
      <c r="K652" s="62"/>
      <c r="L652" s="62"/>
      <c r="M652" s="62"/>
      <c r="N652" s="186"/>
      <c r="O652" s="152"/>
      <c r="P652" s="90"/>
      <c r="Q652" s="140"/>
      <c r="R652" s="90"/>
      <c r="S652" s="140"/>
      <c r="T652" s="90"/>
      <c r="U652" s="140"/>
      <c r="V652" s="90"/>
      <c r="W652" s="140"/>
      <c r="X652" s="90"/>
      <c r="Y652" s="140"/>
      <c r="Z652" s="90"/>
      <c r="AA652" s="140"/>
      <c r="AB652" s="90"/>
      <c r="AC652" s="140"/>
      <c r="AD652" s="90"/>
      <c r="AE652" s="140"/>
      <c r="AF652" s="137" t="str">
        <f t="shared" si="34"/>
        <v/>
      </c>
      <c r="AG652" s="179" t="b">
        <f t="shared" si="33"/>
        <v>0</v>
      </c>
      <c r="AH652" s="140"/>
      <c r="AI652" s="147" t="s">
        <v>36</v>
      </c>
      <c r="AJ652" s="145">
        <f t="shared" si="32"/>
        <v>0</v>
      </c>
      <c r="AK652" s="148" t="s">
        <v>75</v>
      </c>
    </row>
    <row r="653" spans="1:37" ht="30" customHeight="1">
      <c r="A653" s="62"/>
      <c r="B653" s="62"/>
      <c r="C653" s="62"/>
      <c r="D653" s="62"/>
      <c r="E653" s="62"/>
      <c r="F653" s="62"/>
      <c r="G653" s="62"/>
      <c r="H653" s="62"/>
      <c r="I653" s="62"/>
      <c r="J653" s="62"/>
      <c r="K653" s="62"/>
      <c r="L653" s="62"/>
      <c r="M653" s="62"/>
      <c r="N653" s="186"/>
      <c r="O653" s="152"/>
      <c r="P653" s="90"/>
      <c r="Q653" s="140"/>
      <c r="R653" s="90"/>
      <c r="S653" s="140"/>
      <c r="T653" s="90"/>
      <c r="U653" s="140"/>
      <c r="V653" s="90"/>
      <c r="W653" s="140"/>
      <c r="X653" s="90"/>
      <c r="Y653" s="140"/>
      <c r="Z653" s="90"/>
      <c r="AA653" s="140"/>
      <c r="AB653" s="90"/>
      <c r="AC653" s="140"/>
      <c r="AD653" s="90"/>
      <c r="AE653" s="140"/>
      <c r="AF653" s="137" t="str">
        <f t="shared" si="34"/>
        <v/>
      </c>
      <c r="AG653" s="179" t="b">
        <f t="shared" si="33"/>
        <v>0</v>
      </c>
      <c r="AH653" s="140"/>
      <c r="AI653" s="147" t="s">
        <v>36</v>
      </c>
      <c r="AJ653" s="145">
        <f t="shared" si="32"/>
        <v>0</v>
      </c>
      <c r="AK653" s="148" t="s">
        <v>75</v>
      </c>
    </row>
    <row r="654" spans="1:37" ht="30" customHeight="1">
      <c r="A654" s="62"/>
      <c r="B654" s="62"/>
      <c r="C654" s="62"/>
      <c r="D654" s="62"/>
      <c r="E654" s="62"/>
      <c r="F654" s="62"/>
      <c r="G654" s="62"/>
      <c r="H654" s="62"/>
      <c r="I654" s="62"/>
      <c r="J654" s="62"/>
      <c r="K654" s="62"/>
      <c r="L654" s="62"/>
      <c r="M654" s="62"/>
      <c r="N654" s="186"/>
      <c r="O654" s="152"/>
      <c r="P654" s="90"/>
      <c r="Q654" s="140"/>
      <c r="R654" s="90"/>
      <c r="S654" s="140"/>
      <c r="T654" s="90"/>
      <c r="U654" s="140"/>
      <c r="V654" s="90"/>
      <c r="W654" s="140"/>
      <c r="X654" s="90"/>
      <c r="Y654" s="140"/>
      <c r="Z654" s="90"/>
      <c r="AA654" s="140"/>
      <c r="AB654" s="90"/>
      <c r="AC654" s="140"/>
      <c r="AD654" s="90"/>
      <c r="AE654" s="140"/>
      <c r="AF654" s="137" t="str">
        <f t="shared" si="34"/>
        <v/>
      </c>
      <c r="AG654" s="179" t="b">
        <f t="shared" si="33"/>
        <v>0</v>
      </c>
      <c r="AH654" s="140"/>
      <c r="AI654" s="147" t="s">
        <v>36</v>
      </c>
      <c r="AJ654" s="145">
        <f t="shared" si="32"/>
        <v>0</v>
      </c>
      <c r="AK654" s="148" t="s">
        <v>75</v>
      </c>
    </row>
    <row r="655" spans="1:37" ht="30" customHeight="1">
      <c r="A655" s="62"/>
      <c r="B655" s="62"/>
      <c r="C655" s="62"/>
      <c r="D655" s="62"/>
      <c r="E655" s="62"/>
      <c r="F655" s="62"/>
      <c r="G655" s="62"/>
      <c r="H655" s="62"/>
      <c r="I655" s="62"/>
      <c r="J655" s="62"/>
      <c r="K655" s="62"/>
      <c r="L655" s="62"/>
      <c r="M655" s="62"/>
      <c r="N655" s="186"/>
      <c r="O655" s="152"/>
      <c r="P655" s="90"/>
      <c r="Q655" s="140"/>
      <c r="R655" s="90"/>
      <c r="S655" s="140"/>
      <c r="T655" s="90"/>
      <c r="U655" s="140"/>
      <c r="V655" s="90"/>
      <c r="W655" s="140"/>
      <c r="X655" s="90"/>
      <c r="Y655" s="140"/>
      <c r="Z655" s="90"/>
      <c r="AA655" s="140"/>
      <c r="AB655" s="90"/>
      <c r="AC655" s="140"/>
      <c r="AD655" s="90"/>
      <c r="AE655" s="140"/>
      <c r="AF655" s="137" t="str">
        <f t="shared" si="34"/>
        <v/>
      </c>
      <c r="AG655" s="179" t="b">
        <f t="shared" si="33"/>
        <v>0</v>
      </c>
      <c r="AH655" s="140"/>
      <c r="AI655" s="147" t="s">
        <v>36</v>
      </c>
      <c r="AJ655" s="145">
        <f t="shared" si="32"/>
        <v>0</v>
      </c>
      <c r="AK655" s="148" t="s">
        <v>75</v>
      </c>
    </row>
    <row r="656" spans="1:37" ht="30" customHeight="1">
      <c r="A656" s="62"/>
      <c r="B656" s="62"/>
      <c r="C656" s="62"/>
      <c r="D656" s="62"/>
      <c r="E656" s="62"/>
      <c r="F656" s="62"/>
      <c r="G656" s="62"/>
      <c r="H656" s="62"/>
      <c r="I656" s="62"/>
      <c r="J656" s="62"/>
      <c r="K656" s="62"/>
      <c r="L656" s="62"/>
      <c r="M656" s="62"/>
      <c r="N656" s="186"/>
      <c r="O656" s="152"/>
      <c r="P656" s="90"/>
      <c r="Q656" s="140"/>
      <c r="R656" s="90"/>
      <c r="S656" s="140"/>
      <c r="T656" s="90"/>
      <c r="U656" s="140"/>
      <c r="V656" s="90"/>
      <c r="W656" s="140"/>
      <c r="X656" s="90"/>
      <c r="Y656" s="140"/>
      <c r="Z656" s="90"/>
      <c r="AA656" s="140"/>
      <c r="AB656" s="90"/>
      <c r="AC656" s="140"/>
      <c r="AD656" s="90"/>
      <c r="AE656" s="140"/>
      <c r="AF656" s="137" t="str">
        <f t="shared" si="34"/>
        <v/>
      </c>
      <c r="AG656" s="179" t="b">
        <f t="shared" si="33"/>
        <v>0</v>
      </c>
      <c r="AH656" s="140"/>
      <c r="AI656" s="147" t="s">
        <v>36</v>
      </c>
      <c r="AJ656" s="145">
        <f t="shared" si="32"/>
        <v>0</v>
      </c>
      <c r="AK656" s="148" t="s">
        <v>75</v>
      </c>
    </row>
    <row r="657" spans="1:37" ht="30" customHeight="1">
      <c r="A657" s="62"/>
      <c r="B657" s="62"/>
      <c r="C657" s="62"/>
      <c r="D657" s="62"/>
      <c r="E657" s="62"/>
      <c r="F657" s="62"/>
      <c r="G657" s="62"/>
      <c r="H657" s="62"/>
      <c r="I657" s="62"/>
      <c r="J657" s="62"/>
      <c r="K657" s="62"/>
      <c r="L657" s="62"/>
      <c r="M657" s="62"/>
      <c r="N657" s="186"/>
      <c r="O657" s="152"/>
      <c r="P657" s="90"/>
      <c r="Q657" s="140"/>
      <c r="R657" s="90"/>
      <c r="S657" s="140"/>
      <c r="T657" s="90"/>
      <c r="U657" s="140"/>
      <c r="V657" s="90"/>
      <c r="W657" s="140"/>
      <c r="X657" s="90"/>
      <c r="Y657" s="140"/>
      <c r="Z657" s="90"/>
      <c r="AA657" s="140"/>
      <c r="AB657" s="90"/>
      <c r="AC657" s="140"/>
      <c r="AD657" s="90"/>
      <c r="AE657" s="140"/>
      <c r="AF657" s="137" t="str">
        <f t="shared" si="34"/>
        <v/>
      </c>
      <c r="AG657" s="179" t="b">
        <f t="shared" si="33"/>
        <v>0</v>
      </c>
      <c r="AH657" s="140"/>
      <c r="AI657" s="147" t="s">
        <v>36</v>
      </c>
      <c r="AJ657" s="145">
        <f t="shared" si="32"/>
        <v>0</v>
      </c>
      <c r="AK657" s="148" t="s">
        <v>75</v>
      </c>
    </row>
    <row r="658" spans="1:37" ht="30" customHeight="1">
      <c r="A658" s="62"/>
      <c r="B658" s="62"/>
      <c r="C658" s="62"/>
      <c r="D658" s="62"/>
      <c r="E658" s="62"/>
      <c r="F658" s="62"/>
      <c r="G658" s="62"/>
      <c r="H658" s="62"/>
      <c r="I658" s="62"/>
      <c r="J658" s="62"/>
      <c r="K658" s="62"/>
      <c r="L658" s="62"/>
      <c r="M658" s="62"/>
      <c r="N658" s="186"/>
      <c r="O658" s="152"/>
      <c r="P658" s="90"/>
      <c r="Q658" s="140"/>
      <c r="R658" s="90"/>
      <c r="S658" s="140"/>
      <c r="T658" s="90"/>
      <c r="U658" s="140"/>
      <c r="V658" s="90"/>
      <c r="W658" s="140"/>
      <c r="X658" s="90"/>
      <c r="Y658" s="140"/>
      <c r="Z658" s="90"/>
      <c r="AA658" s="140"/>
      <c r="AB658" s="90"/>
      <c r="AC658" s="140"/>
      <c r="AD658" s="90"/>
      <c r="AE658" s="140"/>
      <c r="AF658" s="137" t="str">
        <f t="shared" si="34"/>
        <v/>
      </c>
      <c r="AG658" s="179" t="b">
        <f t="shared" si="33"/>
        <v>0</v>
      </c>
      <c r="AH658" s="140"/>
      <c r="AI658" s="147" t="s">
        <v>36</v>
      </c>
      <c r="AJ658" s="145">
        <f t="shared" si="32"/>
        <v>0</v>
      </c>
      <c r="AK658" s="148" t="s">
        <v>75</v>
      </c>
    </row>
    <row r="659" spans="1:37" ht="30" customHeight="1">
      <c r="A659" s="62"/>
      <c r="B659" s="62"/>
      <c r="C659" s="62"/>
      <c r="D659" s="62"/>
      <c r="E659" s="62"/>
      <c r="F659" s="62"/>
      <c r="G659" s="62"/>
      <c r="H659" s="62"/>
      <c r="I659" s="62"/>
      <c r="J659" s="62"/>
      <c r="K659" s="62"/>
      <c r="L659" s="62"/>
      <c r="M659" s="62"/>
      <c r="N659" s="186"/>
      <c r="O659" s="152"/>
      <c r="P659" s="90"/>
      <c r="Q659" s="140"/>
      <c r="R659" s="90"/>
      <c r="S659" s="140"/>
      <c r="T659" s="90"/>
      <c r="U659" s="140"/>
      <c r="V659" s="90"/>
      <c r="W659" s="140"/>
      <c r="X659" s="90"/>
      <c r="Y659" s="140"/>
      <c r="Z659" s="90"/>
      <c r="AA659" s="140"/>
      <c r="AB659" s="90"/>
      <c r="AC659" s="140"/>
      <c r="AD659" s="90"/>
      <c r="AE659" s="140"/>
      <c r="AF659" s="137" t="str">
        <f t="shared" si="34"/>
        <v/>
      </c>
      <c r="AG659" s="179" t="b">
        <f t="shared" si="33"/>
        <v>0</v>
      </c>
      <c r="AH659" s="140"/>
      <c r="AI659" s="147" t="s">
        <v>36</v>
      </c>
      <c r="AJ659" s="145">
        <f t="shared" si="32"/>
        <v>0</v>
      </c>
      <c r="AK659" s="148" t="s">
        <v>75</v>
      </c>
    </row>
    <row r="660" spans="1:37" ht="30" customHeight="1">
      <c r="A660" s="62"/>
      <c r="B660" s="62"/>
      <c r="C660" s="62"/>
      <c r="D660" s="62"/>
      <c r="E660" s="62"/>
      <c r="F660" s="62"/>
      <c r="G660" s="62"/>
      <c r="H660" s="62"/>
      <c r="I660" s="62"/>
      <c r="J660" s="62"/>
      <c r="K660" s="62"/>
      <c r="L660" s="62"/>
      <c r="M660" s="62"/>
      <c r="N660" s="186"/>
      <c r="O660" s="152"/>
      <c r="P660" s="90"/>
      <c r="Q660" s="140"/>
      <c r="R660" s="90"/>
      <c r="S660" s="140"/>
      <c r="T660" s="90"/>
      <c r="U660" s="140"/>
      <c r="V660" s="90"/>
      <c r="W660" s="140"/>
      <c r="X660" s="90"/>
      <c r="Y660" s="140"/>
      <c r="Z660" s="90"/>
      <c r="AA660" s="140"/>
      <c r="AB660" s="90"/>
      <c r="AC660" s="140"/>
      <c r="AD660" s="90"/>
      <c r="AE660" s="140"/>
      <c r="AF660" s="137" t="str">
        <f t="shared" si="34"/>
        <v/>
      </c>
      <c r="AG660" s="179" t="b">
        <f t="shared" si="33"/>
        <v>0</v>
      </c>
      <c r="AH660" s="140"/>
      <c r="AI660" s="147" t="s">
        <v>36</v>
      </c>
      <c r="AJ660" s="145">
        <f t="shared" si="32"/>
        <v>0</v>
      </c>
      <c r="AK660" s="148" t="s">
        <v>75</v>
      </c>
    </row>
    <row r="661" spans="1:37" ht="30" customHeight="1">
      <c r="A661" s="62"/>
      <c r="B661" s="62"/>
      <c r="C661" s="62"/>
      <c r="D661" s="62"/>
      <c r="E661" s="62"/>
      <c r="F661" s="62"/>
      <c r="G661" s="62"/>
      <c r="H661" s="62"/>
      <c r="I661" s="62"/>
      <c r="J661" s="62"/>
      <c r="K661" s="62"/>
      <c r="L661" s="62"/>
      <c r="M661" s="62"/>
      <c r="N661" s="186"/>
      <c r="O661" s="152"/>
      <c r="P661" s="90"/>
      <c r="Q661" s="140"/>
      <c r="R661" s="90"/>
      <c r="S661" s="140"/>
      <c r="T661" s="90"/>
      <c r="U661" s="140"/>
      <c r="V661" s="90"/>
      <c r="W661" s="140"/>
      <c r="X661" s="90"/>
      <c r="Y661" s="140"/>
      <c r="Z661" s="90"/>
      <c r="AA661" s="140"/>
      <c r="AB661" s="90"/>
      <c r="AC661" s="140"/>
      <c r="AD661" s="90"/>
      <c r="AE661" s="140"/>
      <c r="AF661" s="137" t="str">
        <f t="shared" si="34"/>
        <v/>
      </c>
      <c r="AG661" s="179" t="b">
        <f t="shared" si="33"/>
        <v>0</v>
      </c>
      <c r="AH661" s="140"/>
      <c r="AI661" s="147" t="s">
        <v>36</v>
      </c>
      <c r="AJ661" s="145">
        <f t="shared" si="32"/>
        <v>0</v>
      </c>
      <c r="AK661" s="148" t="s">
        <v>75</v>
      </c>
    </row>
    <row r="662" spans="1:37" ht="30" customHeight="1">
      <c r="A662" s="62"/>
      <c r="B662" s="62"/>
      <c r="C662" s="62"/>
      <c r="D662" s="62"/>
      <c r="E662" s="62"/>
      <c r="F662" s="62"/>
      <c r="G662" s="62"/>
      <c r="H662" s="62"/>
      <c r="I662" s="62"/>
      <c r="J662" s="62"/>
      <c r="K662" s="62"/>
      <c r="L662" s="62"/>
      <c r="M662" s="62"/>
      <c r="N662" s="186"/>
      <c r="O662" s="152"/>
      <c r="P662" s="90"/>
      <c r="Q662" s="140"/>
      <c r="R662" s="90"/>
      <c r="S662" s="140"/>
      <c r="T662" s="90"/>
      <c r="U662" s="140"/>
      <c r="V662" s="90"/>
      <c r="W662" s="140"/>
      <c r="X662" s="90"/>
      <c r="Y662" s="140"/>
      <c r="Z662" s="90"/>
      <c r="AA662" s="140"/>
      <c r="AB662" s="90"/>
      <c r="AC662" s="140"/>
      <c r="AD662" s="90"/>
      <c r="AE662" s="140"/>
      <c r="AF662" s="137" t="str">
        <f t="shared" si="34"/>
        <v/>
      </c>
      <c r="AG662" s="179" t="b">
        <f t="shared" si="33"/>
        <v>0</v>
      </c>
      <c r="AH662" s="140"/>
      <c r="AI662" s="147" t="s">
        <v>36</v>
      </c>
      <c r="AJ662" s="145">
        <f t="shared" si="32"/>
        <v>0</v>
      </c>
      <c r="AK662" s="148" t="s">
        <v>75</v>
      </c>
    </row>
    <row r="663" spans="1:37" ht="30" customHeight="1">
      <c r="A663" s="62"/>
      <c r="B663" s="62"/>
      <c r="C663" s="62"/>
      <c r="D663" s="62"/>
      <c r="E663" s="62"/>
      <c r="F663" s="62"/>
      <c r="G663" s="62"/>
      <c r="H663" s="62"/>
      <c r="I663" s="62"/>
      <c r="J663" s="62"/>
      <c r="K663" s="62"/>
      <c r="L663" s="62"/>
      <c r="M663" s="62"/>
      <c r="N663" s="186"/>
      <c r="O663" s="152"/>
      <c r="P663" s="90"/>
      <c r="Q663" s="140"/>
      <c r="R663" s="90"/>
      <c r="S663" s="140"/>
      <c r="T663" s="90"/>
      <c r="U663" s="140"/>
      <c r="V663" s="90"/>
      <c r="W663" s="140"/>
      <c r="X663" s="90"/>
      <c r="Y663" s="140"/>
      <c r="Z663" s="90"/>
      <c r="AA663" s="140"/>
      <c r="AB663" s="90"/>
      <c r="AC663" s="140"/>
      <c r="AD663" s="90"/>
      <c r="AE663" s="140"/>
      <c r="AF663" s="137" t="str">
        <f t="shared" si="34"/>
        <v/>
      </c>
      <c r="AG663" s="179" t="b">
        <f t="shared" si="33"/>
        <v>0</v>
      </c>
      <c r="AH663" s="140"/>
      <c r="AI663" s="147" t="s">
        <v>36</v>
      </c>
      <c r="AJ663" s="145">
        <f t="shared" si="32"/>
        <v>0</v>
      </c>
      <c r="AK663" s="148" t="s">
        <v>75</v>
      </c>
    </row>
    <row r="664" spans="1:37" ht="30" customHeight="1">
      <c r="A664" s="62"/>
      <c r="B664" s="62"/>
      <c r="C664" s="62"/>
      <c r="D664" s="62"/>
      <c r="E664" s="62"/>
      <c r="F664" s="62"/>
      <c r="G664" s="62"/>
      <c r="H664" s="62"/>
      <c r="I664" s="62"/>
      <c r="J664" s="62"/>
      <c r="K664" s="62"/>
      <c r="L664" s="62"/>
      <c r="M664" s="62"/>
      <c r="N664" s="186"/>
      <c r="O664" s="152"/>
      <c r="P664" s="90"/>
      <c r="Q664" s="140"/>
      <c r="R664" s="90"/>
      <c r="S664" s="140"/>
      <c r="T664" s="90"/>
      <c r="U664" s="140"/>
      <c r="V664" s="90"/>
      <c r="W664" s="140"/>
      <c r="X664" s="90"/>
      <c r="Y664" s="140"/>
      <c r="Z664" s="90"/>
      <c r="AA664" s="140"/>
      <c r="AB664" s="90"/>
      <c r="AC664" s="140"/>
      <c r="AD664" s="90"/>
      <c r="AE664" s="140"/>
      <c r="AF664" s="137" t="str">
        <f t="shared" si="34"/>
        <v/>
      </c>
      <c r="AG664" s="179" t="b">
        <f t="shared" si="33"/>
        <v>0</v>
      </c>
      <c r="AH664" s="140"/>
      <c r="AI664" s="147" t="s">
        <v>36</v>
      </c>
      <c r="AJ664" s="145">
        <f t="shared" si="32"/>
        <v>0</v>
      </c>
      <c r="AK664" s="148" t="s">
        <v>75</v>
      </c>
    </row>
    <row r="665" spans="1:37" ht="30" customHeight="1">
      <c r="A665" s="62"/>
      <c r="B665" s="62"/>
      <c r="C665" s="62"/>
      <c r="D665" s="62"/>
      <c r="E665" s="62"/>
      <c r="F665" s="62"/>
      <c r="G665" s="62"/>
      <c r="H665" s="62"/>
      <c r="I665" s="62"/>
      <c r="J665" s="62"/>
      <c r="K665" s="62"/>
      <c r="L665" s="62"/>
      <c r="M665" s="62"/>
      <c r="N665" s="186"/>
      <c r="O665" s="152"/>
      <c r="P665" s="90"/>
      <c r="Q665" s="140"/>
      <c r="R665" s="90"/>
      <c r="S665" s="140"/>
      <c r="T665" s="90"/>
      <c r="U665" s="140"/>
      <c r="V665" s="90"/>
      <c r="W665" s="140"/>
      <c r="X665" s="90"/>
      <c r="Y665" s="140"/>
      <c r="Z665" s="90"/>
      <c r="AA665" s="140"/>
      <c r="AB665" s="90"/>
      <c r="AC665" s="140"/>
      <c r="AD665" s="90"/>
      <c r="AE665" s="140"/>
      <c r="AF665" s="137" t="str">
        <f t="shared" si="34"/>
        <v/>
      </c>
      <c r="AG665" s="179" t="b">
        <f t="shared" si="33"/>
        <v>0</v>
      </c>
      <c r="AH665" s="140"/>
      <c r="AI665" s="147" t="s">
        <v>36</v>
      </c>
      <c r="AJ665" s="145">
        <f t="shared" si="32"/>
        <v>0</v>
      </c>
      <c r="AK665" s="148" t="s">
        <v>75</v>
      </c>
    </row>
    <row r="666" spans="1:37" ht="30" customHeight="1">
      <c r="A666" s="62"/>
      <c r="B666" s="62"/>
      <c r="C666" s="62"/>
      <c r="D666" s="62"/>
      <c r="E666" s="62"/>
      <c r="F666" s="62"/>
      <c r="G666" s="62"/>
      <c r="H666" s="62"/>
      <c r="I666" s="62"/>
      <c r="J666" s="62"/>
      <c r="K666" s="62"/>
      <c r="L666" s="62"/>
      <c r="M666" s="62"/>
      <c r="N666" s="186"/>
      <c r="O666" s="152"/>
      <c r="P666" s="90"/>
      <c r="Q666" s="140"/>
      <c r="R666" s="90"/>
      <c r="S666" s="140"/>
      <c r="T666" s="90"/>
      <c r="U666" s="140"/>
      <c r="V666" s="90"/>
      <c r="W666" s="140"/>
      <c r="X666" s="90"/>
      <c r="Y666" s="140"/>
      <c r="Z666" s="90"/>
      <c r="AA666" s="140"/>
      <c r="AB666" s="90"/>
      <c r="AC666" s="140"/>
      <c r="AD666" s="90"/>
      <c r="AE666" s="140"/>
      <c r="AF666" s="137" t="str">
        <f t="shared" si="34"/>
        <v/>
      </c>
      <c r="AG666" s="179" t="b">
        <f t="shared" si="33"/>
        <v>0</v>
      </c>
      <c r="AH666" s="140"/>
      <c r="AI666" s="147" t="s">
        <v>36</v>
      </c>
      <c r="AJ666" s="145">
        <f t="shared" si="32"/>
        <v>0</v>
      </c>
      <c r="AK666" s="148" t="s">
        <v>75</v>
      </c>
    </row>
    <row r="667" spans="1:37" ht="30" customHeight="1">
      <c r="A667" s="62"/>
      <c r="B667" s="62"/>
      <c r="C667" s="62"/>
      <c r="D667" s="62"/>
      <c r="E667" s="62"/>
      <c r="F667" s="62"/>
      <c r="G667" s="62"/>
      <c r="H667" s="62"/>
      <c r="I667" s="62"/>
      <c r="J667" s="62"/>
      <c r="K667" s="62"/>
      <c r="L667" s="62"/>
      <c r="M667" s="62"/>
      <c r="N667" s="186"/>
      <c r="O667" s="152"/>
      <c r="P667" s="90"/>
      <c r="Q667" s="140"/>
      <c r="R667" s="90"/>
      <c r="S667" s="140"/>
      <c r="T667" s="90"/>
      <c r="U667" s="140"/>
      <c r="V667" s="90"/>
      <c r="W667" s="140"/>
      <c r="X667" s="90"/>
      <c r="Y667" s="140"/>
      <c r="Z667" s="90"/>
      <c r="AA667" s="140"/>
      <c r="AB667" s="90"/>
      <c r="AC667" s="140"/>
      <c r="AD667" s="90"/>
      <c r="AE667" s="140"/>
      <c r="AF667" s="137" t="str">
        <f t="shared" si="34"/>
        <v/>
      </c>
      <c r="AG667" s="179" t="b">
        <f t="shared" si="33"/>
        <v>0</v>
      </c>
      <c r="AH667" s="140"/>
      <c r="AI667" s="147" t="s">
        <v>36</v>
      </c>
      <c r="AJ667" s="145">
        <f t="shared" si="32"/>
        <v>0</v>
      </c>
      <c r="AK667" s="148" t="s">
        <v>75</v>
      </c>
    </row>
    <row r="668" spans="1:37" ht="30" customHeight="1">
      <c r="A668" s="62"/>
      <c r="B668" s="62"/>
      <c r="C668" s="62"/>
      <c r="D668" s="62"/>
      <c r="E668" s="62"/>
      <c r="F668" s="62"/>
      <c r="G668" s="62"/>
      <c r="H668" s="62"/>
      <c r="I668" s="62"/>
      <c r="J668" s="62"/>
      <c r="K668" s="62"/>
      <c r="L668" s="62"/>
      <c r="M668" s="62"/>
      <c r="N668" s="186"/>
      <c r="O668" s="152"/>
      <c r="P668" s="90"/>
      <c r="Q668" s="140"/>
      <c r="R668" s="90"/>
      <c r="S668" s="140"/>
      <c r="T668" s="90"/>
      <c r="U668" s="140"/>
      <c r="V668" s="90"/>
      <c r="W668" s="140"/>
      <c r="X668" s="90"/>
      <c r="Y668" s="140"/>
      <c r="Z668" s="90"/>
      <c r="AA668" s="140"/>
      <c r="AB668" s="90"/>
      <c r="AC668" s="140"/>
      <c r="AD668" s="90"/>
      <c r="AE668" s="140"/>
      <c r="AF668" s="137" t="str">
        <f t="shared" si="34"/>
        <v/>
      </c>
      <c r="AG668" s="179" t="b">
        <f t="shared" si="33"/>
        <v>0</v>
      </c>
      <c r="AH668" s="140"/>
      <c r="AI668" s="147" t="s">
        <v>36</v>
      </c>
      <c r="AJ668" s="145">
        <f t="shared" si="32"/>
        <v>0</v>
      </c>
      <c r="AK668" s="148" t="s">
        <v>75</v>
      </c>
    </row>
    <row r="669" spans="1:37" ht="30" customHeight="1">
      <c r="A669" s="62"/>
      <c r="B669" s="62"/>
      <c r="C669" s="62"/>
      <c r="D669" s="62"/>
      <c r="E669" s="62"/>
      <c r="F669" s="62"/>
      <c r="G669" s="62"/>
      <c r="H669" s="62"/>
      <c r="I669" s="62"/>
      <c r="J669" s="62"/>
      <c r="K669" s="62"/>
      <c r="L669" s="62"/>
      <c r="M669" s="62"/>
      <c r="N669" s="186"/>
      <c r="O669" s="152"/>
      <c r="P669" s="90"/>
      <c r="Q669" s="140"/>
      <c r="R669" s="90"/>
      <c r="S669" s="140"/>
      <c r="T669" s="90"/>
      <c r="U669" s="140"/>
      <c r="V669" s="90"/>
      <c r="W669" s="140"/>
      <c r="X669" s="90"/>
      <c r="Y669" s="140"/>
      <c r="Z669" s="90"/>
      <c r="AA669" s="140"/>
      <c r="AB669" s="90"/>
      <c r="AC669" s="140"/>
      <c r="AD669" s="90"/>
      <c r="AE669" s="140"/>
      <c r="AF669" s="137" t="str">
        <f t="shared" si="34"/>
        <v/>
      </c>
      <c r="AG669" s="179" t="b">
        <f t="shared" si="33"/>
        <v>0</v>
      </c>
      <c r="AH669" s="140"/>
      <c r="AI669" s="147" t="s">
        <v>36</v>
      </c>
      <c r="AJ669" s="145">
        <f t="shared" si="32"/>
        <v>0</v>
      </c>
      <c r="AK669" s="148" t="s">
        <v>75</v>
      </c>
    </row>
    <row r="670" spans="1:37" ht="30" customHeight="1">
      <c r="A670" s="62"/>
      <c r="B670" s="62"/>
      <c r="C670" s="62"/>
      <c r="D670" s="62"/>
      <c r="E670" s="62"/>
      <c r="F670" s="62"/>
      <c r="G670" s="62"/>
      <c r="H670" s="62"/>
      <c r="I670" s="62"/>
      <c r="J670" s="62"/>
      <c r="K670" s="62"/>
      <c r="L670" s="62"/>
      <c r="M670" s="62"/>
      <c r="N670" s="186"/>
      <c r="O670" s="152"/>
      <c r="P670" s="90"/>
      <c r="Q670" s="140"/>
      <c r="R670" s="90"/>
      <c r="S670" s="140"/>
      <c r="T670" s="90"/>
      <c r="U670" s="140"/>
      <c r="V670" s="90"/>
      <c r="W670" s="140"/>
      <c r="X670" s="90"/>
      <c r="Y670" s="140"/>
      <c r="Z670" s="90"/>
      <c r="AA670" s="140"/>
      <c r="AB670" s="90"/>
      <c r="AC670" s="140"/>
      <c r="AD670" s="90"/>
      <c r="AE670" s="140"/>
      <c r="AF670" s="137" t="str">
        <f t="shared" si="34"/>
        <v/>
      </c>
      <c r="AG670" s="179" t="b">
        <f t="shared" si="33"/>
        <v>0</v>
      </c>
      <c r="AH670" s="140"/>
      <c r="AI670" s="147" t="s">
        <v>36</v>
      </c>
      <c r="AJ670" s="145">
        <f t="shared" si="32"/>
        <v>0</v>
      </c>
      <c r="AK670" s="148" t="s">
        <v>75</v>
      </c>
    </row>
    <row r="671" spans="1:37" ht="30" customHeight="1">
      <c r="A671" s="62"/>
      <c r="B671" s="62"/>
      <c r="C671" s="62"/>
      <c r="D671" s="62"/>
      <c r="E671" s="62"/>
      <c r="F671" s="62"/>
      <c r="G671" s="62"/>
      <c r="H671" s="62"/>
      <c r="I671" s="62"/>
      <c r="J671" s="62"/>
      <c r="K671" s="62"/>
      <c r="L671" s="62"/>
      <c r="M671" s="62"/>
      <c r="N671" s="186"/>
      <c r="O671" s="152"/>
      <c r="P671" s="90"/>
      <c r="Q671" s="140"/>
      <c r="R671" s="90"/>
      <c r="S671" s="140"/>
      <c r="T671" s="90"/>
      <c r="U671" s="140"/>
      <c r="V671" s="90"/>
      <c r="W671" s="140"/>
      <c r="X671" s="90"/>
      <c r="Y671" s="140"/>
      <c r="Z671" s="90"/>
      <c r="AA671" s="140"/>
      <c r="AB671" s="90"/>
      <c r="AC671" s="140"/>
      <c r="AD671" s="90"/>
      <c r="AE671" s="140"/>
      <c r="AF671" s="137" t="str">
        <f t="shared" si="34"/>
        <v/>
      </c>
      <c r="AG671" s="179" t="b">
        <f t="shared" si="33"/>
        <v>0</v>
      </c>
      <c r="AH671" s="140"/>
      <c r="AI671" s="147" t="s">
        <v>36</v>
      </c>
      <c r="AJ671" s="145">
        <f t="shared" si="32"/>
        <v>0</v>
      </c>
      <c r="AK671" s="148" t="s">
        <v>75</v>
      </c>
    </row>
    <row r="672" spans="1:37" ht="30" customHeight="1">
      <c r="A672" s="62"/>
      <c r="B672" s="62"/>
      <c r="C672" s="62"/>
      <c r="D672" s="62"/>
      <c r="E672" s="62"/>
      <c r="F672" s="62"/>
      <c r="G672" s="62"/>
      <c r="H672" s="62"/>
      <c r="I672" s="62"/>
      <c r="J672" s="62"/>
      <c r="K672" s="62"/>
      <c r="L672" s="62"/>
      <c r="M672" s="62"/>
      <c r="N672" s="186"/>
      <c r="O672" s="152"/>
      <c r="P672" s="90"/>
      <c r="Q672" s="140"/>
      <c r="R672" s="90"/>
      <c r="S672" s="140"/>
      <c r="T672" s="90"/>
      <c r="U672" s="140"/>
      <c r="V672" s="90"/>
      <c r="W672" s="140"/>
      <c r="X672" s="90"/>
      <c r="Y672" s="140"/>
      <c r="Z672" s="90"/>
      <c r="AA672" s="140"/>
      <c r="AB672" s="90"/>
      <c r="AC672" s="140"/>
      <c r="AD672" s="90"/>
      <c r="AE672" s="140"/>
      <c r="AF672" s="137" t="str">
        <f t="shared" si="34"/>
        <v/>
      </c>
      <c r="AG672" s="179" t="b">
        <f t="shared" si="33"/>
        <v>0</v>
      </c>
      <c r="AH672" s="140"/>
      <c r="AI672" s="147" t="s">
        <v>36</v>
      </c>
      <c r="AJ672" s="145">
        <f t="shared" ref="AJ672:AJ735" si="35">E672</f>
        <v>0</v>
      </c>
      <c r="AK672" s="148" t="s">
        <v>75</v>
      </c>
    </row>
    <row r="673" spans="1:37" ht="30" customHeight="1">
      <c r="A673" s="62"/>
      <c r="B673" s="62"/>
      <c r="C673" s="62"/>
      <c r="D673" s="62"/>
      <c r="E673" s="62"/>
      <c r="F673" s="62"/>
      <c r="G673" s="62"/>
      <c r="H673" s="62"/>
      <c r="I673" s="62"/>
      <c r="J673" s="62"/>
      <c r="K673" s="62"/>
      <c r="L673" s="62"/>
      <c r="M673" s="62"/>
      <c r="N673" s="186"/>
      <c r="O673" s="152"/>
      <c r="P673" s="90"/>
      <c r="Q673" s="140"/>
      <c r="R673" s="90"/>
      <c r="S673" s="140"/>
      <c r="T673" s="90"/>
      <c r="U673" s="140"/>
      <c r="V673" s="90"/>
      <c r="W673" s="140"/>
      <c r="X673" s="90"/>
      <c r="Y673" s="140"/>
      <c r="Z673" s="90"/>
      <c r="AA673" s="140"/>
      <c r="AB673" s="90"/>
      <c r="AC673" s="140"/>
      <c r="AD673" s="90"/>
      <c r="AE673" s="140"/>
      <c r="AF673" s="137" t="str">
        <f t="shared" si="34"/>
        <v/>
      </c>
      <c r="AG673" s="179" t="b">
        <f t="shared" si="33"/>
        <v>0</v>
      </c>
      <c r="AH673" s="140"/>
      <c r="AI673" s="147" t="s">
        <v>36</v>
      </c>
      <c r="AJ673" s="145">
        <f t="shared" si="35"/>
        <v>0</v>
      </c>
      <c r="AK673" s="148" t="s">
        <v>75</v>
      </c>
    </row>
    <row r="674" spans="1:37" ht="30" customHeight="1">
      <c r="A674" s="62"/>
      <c r="B674" s="62"/>
      <c r="C674" s="62"/>
      <c r="D674" s="62"/>
      <c r="E674" s="62"/>
      <c r="F674" s="62"/>
      <c r="G674" s="62"/>
      <c r="H674" s="62"/>
      <c r="I674" s="62"/>
      <c r="J674" s="62"/>
      <c r="K674" s="62"/>
      <c r="L674" s="62"/>
      <c r="M674" s="62"/>
      <c r="N674" s="186"/>
      <c r="O674" s="152"/>
      <c r="P674" s="90"/>
      <c r="Q674" s="140"/>
      <c r="R674" s="90"/>
      <c r="S674" s="140"/>
      <c r="T674" s="90"/>
      <c r="U674" s="140"/>
      <c r="V674" s="90"/>
      <c r="W674" s="140"/>
      <c r="X674" s="90"/>
      <c r="Y674" s="140"/>
      <c r="Z674" s="90"/>
      <c r="AA674" s="140"/>
      <c r="AB674" s="90"/>
      <c r="AC674" s="140"/>
      <c r="AD674" s="90"/>
      <c r="AE674" s="140"/>
      <c r="AF674" s="137" t="str">
        <f t="shared" si="34"/>
        <v/>
      </c>
      <c r="AG674" s="179" t="b">
        <f t="shared" si="33"/>
        <v>0</v>
      </c>
      <c r="AH674" s="140"/>
      <c r="AI674" s="147" t="s">
        <v>36</v>
      </c>
      <c r="AJ674" s="145">
        <f t="shared" si="35"/>
        <v>0</v>
      </c>
      <c r="AK674" s="148" t="s">
        <v>75</v>
      </c>
    </row>
    <row r="675" spans="1:37" ht="30" customHeight="1">
      <c r="A675" s="62"/>
      <c r="B675" s="62"/>
      <c r="C675" s="62"/>
      <c r="D675" s="62"/>
      <c r="E675" s="62"/>
      <c r="F675" s="62"/>
      <c r="G675" s="62"/>
      <c r="H675" s="62"/>
      <c r="I675" s="62"/>
      <c r="J675" s="62"/>
      <c r="K675" s="62"/>
      <c r="L675" s="62"/>
      <c r="M675" s="62"/>
      <c r="N675" s="186"/>
      <c r="O675" s="152"/>
      <c r="P675" s="90"/>
      <c r="Q675" s="140"/>
      <c r="R675" s="90"/>
      <c r="S675" s="140"/>
      <c r="T675" s="90"/>
      <c r="U675" s="140"/>
      <c r="V675" s="90"/>
      <c r="W675" s="140"/>
      <c r="X675" s="90"/>
      <c r="Y675" s="140"/>
      <c r="Z675" s="90"/>
      <c r="AA675" s="140"/>
      <c r="AB675" s="90"/>
      <c r="AC675" s="140"/>
      <c r="AD675" s="90"/>
      <c r="AE675" s="140"/>
      <c r="AF675" s="137" t="str">
        <f t="shared" si="34"/>
        <v/>
      </c>
      <c r="AG675" s="179" t="b">
        <f t="shared" si="33"/>
        <v>0</v>
      </c>
      <c r="AH675" s="140"/>
      <c r="AI675" s="147" t="s">
        <v>36</v>
      </c>
      <c r="AJ675" s="145">
        <f t="shared" si="35"/>
        <v>0</v>
      </c>
      <c r="AK675" s="148" t="s">
        <v>75</v>
      </c>
    </row>
    <row r="676" spans="1:37" ht="30" customHeight="1">
      <c r="A676" s="62"/>
      <c r="B676" s="62"/>
      <c r="C676" s="62"/>
      <c r="D676" s="62"/>
      <c r="E676" s="62"/>
      <c r="F676" s="62"/>
      <c r="G676" s="62"/>
      <c r="H676" s="62"/>
      <c r="I676" s="62"/>
      <c r="J676" s="62"/>
      <c r="K676" s="62"/>
      <c r="L676" s="62"/>
      <c r="M676" s="62"/>
      <c r="N676" s="186"/>
      <c r="O676" s="152"/>
      <c r="P676" s="90"/>
      <c r="Q676" s="140"/>
      <c r="R676" s="90"/>
      <c r="S676" s="140"/>
      <c r="T676" s="90"/>
      <c r="U676" s="140"/>
      <c r="V676" s="90"/>
      <c r="W676" s="140"/>
      <c r="X676" s="90"/>
      <c r="Y676" s="140"/>
      <c r="Z676" s="90"/>
      <c r="AA676" s="140"/>
      <c r="AB676" s="90"/>
      <c r="AC676" s="140"/>
      <c r="AD676" s="90"/>
      <c r="AE676" s="140"/>
      <c r="AF676" s="137" t="str">
        <f t="shared" si="34"/>
        <v/>
      </c>
      <c r="AG676" s="179" t="b">
        <f t="shared" si="33"/>
        <v>0</v>
      </c>
      <c r="AH676" s="140"/>
      <c r="AI676" s="147" t="s">
        <v>36</v>
      </c>
      <c r="AJ676" s="145">
        <f t="shared" si="35"/>
        <v>0</v>
      </c>
      <c r="AK676" s="148" t="s">
        <v>75</v>
      </c>
    </row>
    <row r="677" spans="1:37" ht="30" customHeight="1">
      <c r="A677" s="62"/>
      <c r="B677" s="62"/>
      <c r="C677" s="62"/>
      <c r="D677" s="62"/>
      <c r="E677" s="62"/>
      <c r="F677" s="62"/>
      <c r="G677" s="62"/>
      <c r="H677" s="62"/>
      <c r="I677" s="62"/>
      <c r="J677" s="62"/>
      <c r="K677" s="62"/>
      <c r="L677" s="62"/>
      <c r="M677" s="62"/>
      <c r="N677" s="186"/>
      <c r="O677" s="152"/>
      <c r="P677" s="90"/>
      <c r="Q677" s="140"/>
      <c r="R677" s="90"/>
      <c r="S677" s="140"/>
      <c r="T677" s="90"/>
      <c r="U677" s="140"/>
      <c r="V677" s="90"/>
      <c r="W677" s="140"/>
      <c r="X677" s="90"/>
      <c r="Y677" s="140"/>
      <c r="Z677" s="90"/>
      <c r="AA677" s="140"/>
      <c r="AB677" s="90"/>
      <c r="AC677" s="140"/>
      <c r="AD677" s="90"/>
      <c r="AE677" s="140"/>
      <c r="AF677" s="137" t="str">
        <f t="shared" si="34"/>
        <v/>
      </c>
      <c r="AG677" s="179" t="b">
        <f t="shared" si="33"/>
        <v>0</v>
      </c>
      <c r="AH677" s="140"/>
      <c r="AI677" s="147" t="s">
        <v>36</v>
      </c>
      <c r="AJ677" s="145">
        <f t="shared" si="35"/>
        <v>0</v>
      </c>
      <c r="AK677" s="148" t="s">
        <v>75</v>
      </c>
    </row>
    <row r="678" spans="1:37" ht="30" customHeight="1">
      <c r="A678" s="62"/>
      <c r="B678" s="62"/>
      <c r="C678" s="62"/>
      <c r="D678" s="62"/>
      <c r="E678" s="62"/>
      <c r="F678" s="62"/>
      <c r="G678" s="62"/>
      <c r="H678" s="62"/>
      <c r="I678" s="62"/>
      <c r="J678" s="62"/>
      <c r="K678" s="62"/>
      <c r="L678" s="62"/>
      <c r="M678" s="62"/>
      <c r="N678" s="186"/>
      <c r="O678" s="152"/>
      <c r="P678" s="90"/>
      <c r="Q678" s="140"/>
      <c r="R678" s="90"/>
      <c r="S678" s="140"/>
      <c r="T678" s="90"/>
      <c r="U678" s="140"/>
      <c r="V678" s="90"/>
      <c r="W678" s="140"/>
      <c r="X678" s="90"/>
      <c r="Y678" s="140"/>
      <c r="Z678" s="90"/>
      <c r="AA678" s="140"/>
      <c r="AB678" s="90"/>
      <c r="AC678" s="140"/>
      <c r="AD678" s="90"/>
      <c r="AE678" s="140"/>
      <c r="AF678" s="137" t="str">
        <f t="shared" si="34"/>
        <v/>
      </c>
      <c r="AG678" s="179" t="b">
        <f t="shared" si="33"/>
        <v>0</v>
      </c>
      <c r="AH678" s="140"/>
      <c r="AI678" s="147" t="s">
        <v>36</v>
      </c>
      <c r="AJ678" s="145">
        <f t="shared" si="35"/>
        <v>0</v>
      </c>
      <c r="AK678" s="148" t="s">
        <v>75</v>
      </c>
    </row>
    <row r="679" spans="1:37" ht="30" customHeight="1">
      <c r="A679" s="62"/>
      <c r="B679" s="62"/>
      <c r="C679" s="62"/>
      <c r="D679" s="62"/>
      <c r="E679" s="62"/>
      <c r="F679" s="62"/>
      <c r="G679" s="62"/>
      <c r="H679" s="62"/>
      <c r="I679" s="62"/>
      <c r="J679" s="62"/>
      <c r="K679" s="62"/>
      <c r="L679" s="62"/>
      <c r="M679" s="62"/>
      <c r="N679" s="186"/>
      <c r="O679" s="152"/>
      <c r="P679" s="90"/>
      <c r="Q679" s="140"/>
      <c r="R679" s="90"/>
      <c r="S679" s="140"/>
      <c r="T679" s="90"/>
      <c r="U679" s="140"/>
      <c r="V679" s="90"/>
      <c r="W679" s="140"/>
      <c r="X679" s="90"/>
      <c r="Y679" s="140"/>
      <c r="Z679" s="90"/>
      <c r="AA679" s="140"/>
      <c r="AB679" s="90"/>
      <c r="AC679" s="140"/>
      <c r="AD679" s="90"/>
      <c r="AE679" s="140"/>
      <c r="AF679" s="137" t="str">
        <f t="shared" si="34"/>
        <v/>
      </c>
      <c r="AG679" s="179" t="b">
        <f t="shared" si="33"/>
        <v>0</v>
      </c>
      <c r="AH679" s="140"/>
      <c r="AI679" s="147" t="s">
        <v>36</v>
      </c>
      <c r="AJ679" s="145">
        <f t="shared" si="35"/>
        <v>0</v>
      </c>
      <c r="AK679" s="148" t="s">
        <v>75</v>
      </c>
    </row>
    <row r="680" spans="1:37" ht="30" customHeight="1">
      <c r="A680" s="62"/>
      <c r="B680" s="62"/>
      <c r="C680" s="62"/>
      <c r="D680" s="62"/>
      <c r="E680" s="62"/>
      <c r="F680" s="62"/>
      <c r="G680" s="62"/>
      <c r="H680" s="62"/>
      <c r="I680" s="62"/>
      <c r="J680" s="62"/>
      <c r="K680" s="62"/>
      <c r="L680" s="62"/>
      <c r="M680" s="62"/>
      <c r="N680" s="186"/>
      <c r="O680" s="152"/>
      <c r="P680" s="90"/>
      <c r="Q680" s="140"/>
      <c r="R680" s="90"/>
      <c r="S680" s="140"/>
      <c r="T680" s="90"/>
      <c r="U680" s="140"/>
      <c r="V680" s="90"/>
      <c r="W680" s="140"/>
      <c r="X680" s="90"/>
      <c r="Y680" s="140"/>
      <c r="Z680" s="90"/>
      <c r="AA680" s="140"/>
      <c r="AB680" s="90"/>
      <c r="AC680" s="140"/>
      <c r="AD680" s="90"/>
      <c r="AE680" s="140"/>
      <c r="AF680" s="137" t="str">
        <f t="shared" si="34"/>
        <v/>
      </c>
      <c r="AG680" s="179" t="b">
        <f t="shared" si="33"/>
        <v>0</v>
      </c>
      <c r="AH680" s="140"/>
      <c r="AI680" s="147" t="s">
        <v>36</v>
      </c>
      <c r="AJ680" s="145">
        <f t="shared" si="35"/>
        <v>0</v>
      </c>
      <c r="AK680" s="148" t="s">
        <v>75</v>
      </c>
    </row>
    <row r="681" spans="1:37" ht="30" customHeight="1">
      <c r="A681" s="62"/>
      <c r="B681" s="62"/>
      <c r="C681" s="62"/>
      <c r="D681" s="62"/>
      <c r="E681" s="62"/>
      <c r="F681" s="62"/>
      <c r="G681" s="62"/>
      <c r="H681" s="62"/>
      <c r="I681" s="62"/>
      <c r="J681" s="62"/>
      <c r="K681" s="62"/>
      <c r="L681" s="62"/>
      <c r="M681" s="62"/>
      <c r="N681" s="186"/>
      <c r="O681" s="152"/>
      <c r="P681" s="90"/>
      <c r="Q681" s="140"/>
      <c r="R681" s="90"/>
      <c r="S681" s="140"/>
      <c r="T681" s="90"/>
      <c r="U681" s="140"/>
      <c r="V681" s="90"/>
      <c r="W681" s="140"/>
      <c r="X681" s="90"/>
      <c r="Y681" s="140"/>
      <c r="Z681" s="90"/>
      <c r="AA681" s="140"/>
      <c r="AB681" s="90"/>
      <c r="AC681" s="140"/>
      <c r="AD681" s="90"/>
      <c r="AE681" s="140"/>
      <c r="AF681" s="137" t="str">
        <f t="shared" si="34"/>
        <v/>
      </c>
      <c r="AG681" s="179" t="b">
        <f t="shared" si="33"/>
        <v>0</v>
      </c>
      <c r="AH681" s="140"/>
      <c r="AI681" s="147" t="s">
        <v>36</v>
      </c>
      <c r="AJ681" s="145">
        <f t="shared" si="35"/>
        <v>0</v>
      </c>
      <c r="AK681" s="148" t="s">
        <v>75</v>
      </c>
    </row>
    <row r="682" spans="1:37" ht="30" customHeight="1">
      <c r="A682" s="62"/>
      <c r="B682" s="62"/>
      <c r="C682" s="62"/>
      <c r="D682" s="62"/>
      <c r="E682" s="62"/>
      <c r="F682" s="62"/>
      <c r="G682" s="62"/>
      <c r="H682" s="62"/>
      <c r="I682" s="62"/>
      <c r="J682" s="62"/>
      <c r="K682" s="62"/>
      <c r="L682" s="62"/>
      <c r="M682" s="62"/>
      <c r="N682" s="186"/>
      <c r="O682" s="152"/>
      <c r="P682" s="90"/>
      <c r="Q682" s="140"/>
      <c r="R682" s="90"/>
      <c r="S682" s="140"/>
      <c r="T682" s="90"/>
      <c r="U682" s="140"/>
      <c r="V682" s="90"/>
      <c r="W682" s="140"/>
      <c r="X682" s="90"/>
      <c r="Y682" s="140"/>
      <c r="Z682" s="90"/>
      <c r="AA682" s="140"/>
      <c r="AB682" s="90"/>
      <c r="AC682" s="140"/>
      <c r="AD682" s="90"/>
      <c r="AE682" s="140"/>
      <c r="AF682" s="137" t="str">
        <f t="shared" si="34"/>
        <v/>
      </c>
      <c r="AG682" s="179" t="b">
        <f t="shared" si="33"/>
        <v>0</v>
      </c>
      <c r="AH682" s="140"/>
      <c r="AI682" s="147" t="s">
        <v>36</v>
      </c>
      <c r="AJ682" s="145">
        <f t="shared" si="35"/>
        <v>0</v>
      </c>
      <c r="AK682" s="148" t="s">
        <v>75</v>
      </c>
    </row>
    <row r="683" spans="1:37" ht="30" customHeight="1">
      <c r="A683" s="62"/>
      <c r="B683" s="62"/>
      <c r="C683" s="62"/>
      <c r="D683" s="62"/>
      <c r="E683" s="62"/>
      <c r="F683" s="62"/>
      <c r="G683" s="62"/>
      <c r="H683" s="62"/>
      <c r="I683" s="62"/>
      <c r="J683" s="62"/>
      <c r="K683" s="62"/>
      <c r="L683" s="62"/>
      <c r="M683" s="62"/>
      <c r="N683" s="186"/>
      <c r="O683" s="152"/>
      <c r="P683" s="90"/>
      <c r="Q683" s="140"/>
      <c r="R683" s="90"/>
      <c r="S683" s="140"/>
      <c r="T683" s="90"/>
      <c r="U683" s="140"/>
      <c r="V683" s="90"/>
      <c r="W683" s="140"/>
      <c r="X683" s="90"/>
      <c r="Y683" s="140"/>
      <c r="Z683" s="90"/>
      <c r="AA683" s="140"/>
      <c r="AB683" s="90"/>
      <c r="AC683" s="140"/>
      <c r="AD683" s="90"/>
      <c r="AE683" s="140"/>
      <c r="AF683" s="137" t="str">
        <f t="shared" si="34"/>
        <v/>
      </c>
      <c r="AG683" s="179" t="b">
        <f t="shared" si="33"/>
        <v>0</v>
      </c>
      <c r="AH683" s="140"/>
      <c r="AI683" s="147" t="s">
        <v>36</v>
      </c>
      <c r="AJ683" s="145">
        <f t="shared" si="35"/>
        <v>0</v>
      </c>
      <c r="AK683" s="148" t="s">
        <v>75</v>
      </c>
    </row>
    <row r="684" spans="1:37" ht="30" customHeight="1">
      <c r="A684" s="62"/>
      <c r="B684" s="62"/>
      <c r="C684" s="62"/>
      <c r="D684" s="62"/>
      <c r="E684" s="62"/>
      <c r="F684" s="62"/>
      <c r="G684" s="62"/>
      <c r="H684" s="62"/>
      <c r="I684" s="62"/>
      <c r="J684" s="62"/>
      <c r="K684" s="62"/>
      <c r="L684" s="62"/>
      <c r="M684" s="62"/>
      <c r="N684" s="186"/>
      <c r="O684" s="152"/>
      <c r="P684" s="90"/>
      <c r="Q684" s="140"/>
      <c r="R684" s="90"/>
      <c r="S684" s="140"/>
      <c r="T684" s="90"/>
      <c r="U684" s="140"/>
      <c r="V684" s="90"/>
      <c r="W684" s="140"/>
      <c r="X684" s="90"/>
      <c r="Y684" s="140"/>
      <c r="Z684" s="90"/>
      <c r="AA684" s="140"/>
      <c r="AB684" s="90"/>
      <c r="AC684" s="140"/>
      <c r="AD684" s="90"/>
      <c r="AE684" s="140"/>
      <c r="AF684" s="137" t="str">
        <f t="shared" si="34"/>
        <v/>
      </c>
      <c r="AG684" s="179" t="b">
        <f t="shared" si="33"/>
        <v>0</v>
      </c>
      <c r="AH684" s="140"/>
      <c r="AI684" s="147" t="s">
        <v>36</v>
      </c>
      <c r="AJ684" s="145">
        <f t="shared" si="35"/>
        <v>0</v>
      </c>
      <c r="AK684" s="148" t="s">
        <v>75</v>
      </c>
    </row>
    <row r="685" spans="1:37" ht="30" customHeight="1">
      <c r="A685" s="62"/>
      <c r="B685" s="62"/>
      <c r="C685" s="62"/>
      <c r="D685" s="62"/>
      <c r="E685" s="62"/>
      <c r="F685" s="62"/>
      <c r="G685" s="62"/>
      <c r="H685" s="62"/>
      <c r="I685" s="62"/>
      <c r="J685" s="62"/>
      <c r="K685" s="62"/>
      <c r="L685" s="62"/>
      <c r="M685" s="62"/>
      <c r="N685" s="186"/>
      <c r="O685" s="152"/>
      <c r="P685" s="90"/>
      <c r="Q685" s="140"/>
      <c r="R685" s="90"/>
      <c r="S685" s="140"/>
      <c r="T685" s="90"/>
      <c r="U685" s="140"/>
      <c r="V685" s="90"/>
      <c r="W685" s="140"/>
      <c r="X685" s="90"/>
      <c r="Y685" s="140"/>
      <c r="Z685" s="90"/>
      <c r="AA685" s="140"/>
      <c r="AB685" s="90"/>
      <c r="AC685" s="140"/>
      <c r="AD685" s="90"/>
      <c r="AE685" s="140"/>
      <c r="AF685" s="137" t="str">
        <f t="shared" si="34"/>
        <v/>
      </c>
      <c r="AG685" s="179" t="b">
        <f t="shared" si="33"/>
        <v>0</v>
      </c>
      <c r="AH685" s="140"/>
      <c r="AI685" s="147" t="s">
        <v>36</v>
      </c>
      <c r="AJ685" s="145">
        <f t="shared" si="35"/>
        <v>0</v>
      </c>
      <c r="AK685" s="148" t="s">
        <v>75</v>
      </c>
    </row>
    <row r="686" spans="1:37" ht="30" customHeight="1">
      <c r="A686" s="62"/>
      <c r="B686" s="62"/>
      <c r="C686" s="62"/>
      <c r="D686" s="62"/>
      <c r="E686" s="62"/>
      <c r="F686" s="62"/>
      <c r="G686" s="62"/>
      <c r="H686" s="62"/>
      <c r="I686" s="62"/>
      <c r="J686" s="62"/>
      <c r="K686" s="62"/>
      <c r="L686" s="62"/>
      <c r="M686" s="62"/>
      <c r="N686" s="186"/>
      <c r="O686" s="152"/>
      <c r="P686" s="90"/>
      <c r="Q686" s="140"/>
      <c r="R686" s="90"/>
      <c r="S686" s="140"/>
      <c r="T686" s="90"/>
      <c r="U686" s="140"/>
      <c r="V686" s="90"/>
      <c r="W686" s="140"/>
      <c r="X686" s="90"/>
      <c r="Y686" s="140"/>
      <c r="Z686" s="90"/>
      <c r="AA686" s="140"/>
      <c r="AB686" s="90"/>
      <c r="AC686" s="140"/>
      <c r="AD686" s="90"/>
      <c r="AE686" s="140"/>
      <c r="AF686" s="137" t="str">
        <f t="shared" si="34"/>
        <v/>
      </c>
      <c r="AG686" s="179" t="b">
        <f t="shared" si="33"/>
        <v>0</v>
      </c>
      <c r="AH686" s="140"/>
      <c r="AI686" s="147" t="s">
        <v>36</v>
      </c>
      <c r="AJ686" s="145">
        <f t="shared" si="35"/>
        <v>0</v>
      </c>
      <c r="AK686" s="148" t="s">
        <v>75</v>
      </c>
    </row>
    <row r="687" spans="1:37" ht="30" customHeight="1">
      <c r="A687" s="62"/>
      <c r="B687" s="62"/>
      <c r="C687" s="62"/>
      <c r="D687" s="62"/>
      <c r="E687" s="62"/>
      <c r="F687" s="62"/>
      <c r="G687" s="62"/>
      <c r="H687" s="62"/>
      <c r="I687" s="62"/>
      <c r="J687" s="62"/>
      <c r="K687" s="62"/>
      <c r="L687" s="62"/>
      <c r="M687" s="62"/>
      <c r="N687" s="186"/>
      <c r="O687" s="152"/>
      <c r="P687" s="90"/>
      <c r="Q687" s="140"/>
      <c r="R687" s="90"/>
      <c r="S687" s="140"/>
      <c r="T687" s="90"/>
      <c r="U687" s="140"/>
      <c r="V687" s="90"/>
      <c r="W687" s="140"/>
      <c r="X687" s="90"/>
      <c r="Y687" s="140"/>
      <c r="Z687" s="90"/>
      <c r="AA687" s="140"/>
      <c r="AB687" s="90"/>
      <c r="AC687" s="140"/>
      <c r="AD687" s="90"/>
      <c r="AE687" s="140"/>
      <c r="AF687" s="137" t="str">
        <f t="shared" si="34"/>
        <v/>
      </c>
      <c r="AG687" s="179" t="b">
        <f t="shared" si="33"/>
        <v>0</v>
      </c>
      <c r="AH687" s="140"/>
      <c r="AI687" s="147" t="s">
        <v>36</v>
      </c>
      <c r="AJ687" s="145">
        <f t="shared" si="35"/>
        <v>0</v>
      </c>
      <c r="AK687" s="148" t="s">
        <v>75</v>
      </c>
    </row>
    <row r="688" spans="1:37" ht="30" customHeight="1">
      <c r="A688" s="62"/>
      <c r="B688" s="62"/>
      <c r="C688" s="62"/>
      <c r="D688" s="62"/>
      <c r="E688" s="62"/>
      <c r="F688" s="62"/>
      <c r="G688" s="62"/>
      <c r="H688" s="62"/>
      <c r="I688" s="62"/>
      <c r="J688" s="62"/>
      <c r="K688" s="62"/>
      <c r="L688" s="62"/>
      <c r="M688" s="62"/>
      <c r="N688" s="186"/>
      <c r="O688" s="152"/>
      <c r="P688" s="90"/>
      <c r="Q688" s="140"/>
      <c r="R688" s="90"/>
      <c r="S688" s="140"/>
      <c r="T688" s="90"/>
      <c r="U688" s="140"/>
      <c r="V688" s="90"/>
      <c r="W688" s="140"/>
      <c r="X688" s="90"/>
      <c r="Y688" s="140"/>
      <c r="Z688" s="90"/>
      <c r="AA688" s="140"/>
      <c r="AB688" s="90"/>
      <c r="AC688" s="140"/>
      <c r="AD688" s="90"/>
      <c r="AE688" s="140"/>
      <c r="AF688" s="137" t="str">
        <f t="shared" si="34"/>
        <v/>
      </c>
      <c r="AG688" s="179" t="b">
        <f t="shared" si="33"/>
        <v>0</v>
      </c>
      <c r="AH688" s="140"/>
      <c r="AI688" s="147" t="s">
        <v>36</v>
      </c>
      <c r="AJ688" s="145">
        <f t="shared" si="35"/>
        <v>0</v>
      </c>
      <c r="AK688" s="148" t="s">
        <v>75</v>
      </c>
    </row>
    <row r="689" spans="1:37" ht="30" customHeight="1">
      <c r="A689" s="62"/>
      <c r="B689" s="62"/>
      <c r="C689" s="62"/>
      <c r="D689" s="62"/>
      <c r="E689" s="62"/>
      <c r="F689" s="62"/>
      <c r="G689" s="62"/>
      <c r="H689" s="62"/>
      <c r="I689" s="62"/>
      <c r="J689" s="62"/>
      <c r="K689" s="62"/>
      <c r="L689" s="62"/>
      <c r="M689" s="62"/>
      <c r="N689" s="186"/>
      <c r="O689" s="152"/>
      <c r="P689" s="90"/>
      <c r="Q689" s="140"/>
      <c r="R689" s="90"/>
      <c r="S689" s="140"/>
      <c r="T689" s="90"/>
      <c r="U689" s="140"/>
      <c r="V689" s="90"/>
      <c r="W689" s="140"/>
      <c r="X689" s="90"/>
      <c r="Y689" s="140"/>
      <c r="Z689" s="90"/>
      <c r="AA689" s="140"/>
      <c r="AB689" s="90"/>
      <c r="AC689" s="140"/>
      <c r="AD689" s="90"/>
      <c r="AE689" s="140"/>
      <c r="AF689" s="137" t="str">
        <f t="shared" si="34"/>
        <v/>
      </c>
      <c r="AG689" s="179" t="b">
        <f t="shared" si="33"/>
        <v>0</v>
      </c>
      <c r="AH689" s="140"/>
      <c r="AI689" s="147" t="s">
        <v>36</v>
      </c>
      <c r="AJ689" s="145">
        <f t="shared" si="35"/>
        <v>0</v>
      </c>
      <c r="AK689" s="148" t="s">
        <v>75</v>
      </c>
    </row>
    <row r="690" spans="1:37" ht="30" customHeight="1">
      <c r="A690" s="62"/>
      <c r="B690" s="62"/>
      <c r="C690" s="62"/>
      <c r="D690" s="62"/>
      <c r="E690" s="62"/>
      <c r="F690" s="62"/>
      <c r="G690" s="62"/>
      <c r="H690" s="62"/>
      <c r="I690" s="62"/>
      <c r="J690" s="62"/>
      <c r="K690" s="62"/>
      <c r="L690" s="62"/>
      <c r="M690" s="62"/>
      <c r="N690" s="186"/>
      <c r="O690" s="152"/>
      <c r="P690" s="90"/>
      <c r="Q690" s="140"/>
      <c r="R690" s="90"/>
      <c r="S690" s="140"/>
      <c r="T690" s="90"/>
      <c r="U690" s="140"/>
      <c r="V690" s="90"/>
      <c r="W690" s="140"/>
      <c r="X690" s="90"/>
      <c r="Y690" s="140"/>
      <c r="Z690" s="90"/>
      <c r="AA690" s="140"/>
      <c r="AB690" s="90"/>
      <c r="AC690" s="140"/>
      <c r="AD690" s="90"/>
      <c r="AE690" s="140"/>
      <c r="AF690" s="137" t="str">
        <f t="shared" si="34"/>
        <v/>
      </c>
      <c r="AG690" s="179" t="b">
        <f t="shared" si="33"/>
        <v>0</v>
      </c>
      <c r="AH690" s="140"/>
      <c r="AI690" s="147" t="s">
        <v>36</v>
      </c>
      <c r="AJ690" s="145">
        <f t="shared" si="35"/>
        <v>0</v>
      </c>
      <c r="AK690" s="148" t="s">
        <v>75</v>
      </c>
    </row>
    <row r="691" spans="1:37" ht="30" customHeight="1">
      <c r="A691" s="62"/>
      <c r="B691" s="62"/>
      <c r="C691" s="62"/>
      <c r="D691" s="62"/>
      <c r="E691" s="62"/>
      <c r="F691" s="62"/>
      <c r="G691" s="62"/>
      <c r="H691" s="62"/>
      <c r="I691" s="62"/>
      <c r="J691" s="62"/>
      <c r="K691" s="62"/>
      <c r="L691" s="62"/>
      <c r="M691" s="62"/>
      <c r="N691" s="186"/>
      <c r="O691" s="152"/>
      <c r="P691" s="90"/>
      <c r="Q691" s="140"/>
      <c r="R691" s="90"/>
      <c r="S691" s="140"/>
      <c r="T691" s="90"/>
      <c r="U691" s="140"/>
      <c r="V691" s="90"/>
      <c r="W691" s="140"/>
      <c r="X691" s="90"/>
      <c r="Y691" s="140"/>
      <c r="Z691" s="90"/>
      <c r="AA691" s="140"/>
      <c r="AB691" s="90"/>
      <c r="AC691" s="140"/>
      <c r="AD691" s="90"/>
      <c r="AE691" s="140"/>
      <c r="AF691" s="137" t="str">
        <f t="shared" si="34"/>
        <v/>
      </c>
      <c r="AG691" s="179" t="b">
        <f t="shared" si="33"/>
        <v>0</v>
      </c>
      <c r="AH691" s="140"/>
      <c r="AI691" s="147" t="s">
        <v>36</v>
      </c>
      <c r="AJ691" s="145">
        <f t="shared" si="35"/>
        <v>0</v>
      </c>
      <c r="AK691" s="148" t="s">
        <v>75</v>
      </c>
    </row>
    <row r="692" spans="1:37" ht="30" customHeight="1">
      <c r="A692" s="62"/>
      <c r="B692" s="62"/>
      <c r="C692" s="62"/>
      <c r="D692" s="62"/>
      <c r="E692" s="62"/>
      <c r="F692" s="62"/>
      <c r="G692" s="62"/>
      <c r="H692" s="62"/>
      <c r="I692" s="62"/>
      <c r="J692" s="62"/>
      <c r="K692" s="62"/>
      <c r="L692" s="62"/>
      <c r="M692" s="62"/>
      <c r="N692" s="186"/>
      <c r="O692" s="152"/>
      <c r="P692" s="90"/>
      <c r="Q692" s="140"/>
      <c r="R692" s="90"/>
      <c r="S692" s="140"/>
      <c r="T692" s="90"/>
      <c r="U692" s="140"/>
      <c r="V692" s="90"/>
      <c r="W692" s="140"/>
      <c r="X692" s="90"/>
      <c r="Y692" s="140"/>
      <c r="Z692" s="90"/>
      <c r="AA692" s="140"/>
      <c r="AB692" s="90"/>
      <c r="AC692" s="140"/>
      <c r="AD692" s="90"/>
      <c r="AE692" s="140"/>
      <c r="AF692" s="137" t="str">
        <f t="shared" si="34"/>
        <v/>
      </c>
      <c r="AG692" s="179" t="b">
        <f t="shared" si="33"/>
        <v>0</v>
      </c>
      <c r="AH692" s="140"/>
      <c r="AI692" s="147" t="s">
        <v>36</v>
      </c>
      <c r="AJ692" s="145">
        <f t="shared" si="35"/>
        <v>0</v>
      </c>
      <c r="AK692" s="148" t="s">
        <v>75</v>
      </c>
    </row>
    <row r="693" spans="1:37" ht="30" customHeight="1">
      <c r="A693" s="62"/>
      <c r="B693" s="62"/>
      <c r="C693" s="62"/>
      <c r="D693" s="62"/>
      <c r="E693" s="62"/>
      <c r="F693" s="62"/>
      <c r="G693" s="62"/>
      <c r="H693" s="62"/>
      <c r="I693" s="62"/>
      <c r="J693" s="62"/>
      <c r="K693" s="62"/>
      <c r="L693" s="62"/>
      <c r="M693" s="62"/>
      <c r="N693" s="186"/>
      <c r="O693" s="152"/>
      <c r="P693" s="90"/>
      <c r="Q693" s="140"/>
      <c r="R693" s="90"/>
      <c r="S693" s="140"/>
      <c r="T693" s="90"/>
      <c r="U693" s="140"/>
      <c r="V693" s="90"/>
      <c r="W693" s="140"/>
      <c r="X693" s="90"/>
      <c r="Y693" s="140"/>
      <c r="Z693" s="90"/>
      <c r="AA693" s="140"/>
      <c r="AB693" s="90"/>
      <c r="AC693" s="140"/>
      <c r="AD693" s="90"/>
      <c r="AE693" s="140"/>
      <c r="AF693" s="137" t="str">
        <f t="shared" si="34"/>
        <v/>
      </c>
      <c r="AG693" s="179" t="b">
        <f t="shared" si="33"/>
        <v>0</v>
      </c>
      <c r="AH693" s="140"/>
      <c r="AI693" s="147" t="s">
        <v>36</v>
      </c>
      <c r="AJ693" s="145">
        <f t="shared" si="35"/>
        <v>0</v>
      </c>
      <c r="AK693" s="148" t="s">
        <v>75</v>
      </c>
    </row>
    <row r="694" spans="1:37" ht="30" customHeight="1">
      <c r="A694" s="62"/>
      <c r="B694" s="62"/>
      <c r="C694" s="62"/>
      <c r="D694" s="62"/>
      <c r="E694" s="62"/>
      <c r="F694" s="62"/>
      <c r="G694" s="62"/>
      <c r="H694" s="62"/>
      <c r="I694" s="62"/>
      <c r="J694" s="62"/>
      <c r="K694" s="62"/>
      <c r="L694" s="62"/>
      <c r="M694" s="62"/>
      <c r="N694" s="186"/>
      <c r="O694" s="152"/>
      <c r="P694" s="90"/>
      <c r="Q694" s="140"/>
      <c r="R694" s="90"/>
      <c r="S694" s="140"/>
      <c r="T694" s="90"/>
      <c r="U694" s="140"/>
      <c r="V694" s="90"/>
      <c r="W694" s="140"/>
      <c r="X694" s="90"/>
      <c r="Y694" s="140"/>
      <c r="Z694" s="90"/>
      <c r="AA694" s="140"/>
      <c r="AB694" s="90"/>
      <c r="AC694" s="140"/>
      <c r="AD694" s="90"/>
      <c r="AE694" s="140"/>
      <c r="AF694" s="137" t="str">
        <f t="shared" si="34"/>
        <v/>
      </c>
      <c r="AG694" s="179" t="b">
        <f t="shared" si="33"/>
        <v>0</v>
      </c>
      <c r="AH694" s="140"/>
      <c r="AI694" s="147" t="s">
        <v>36</v>
      </c>
      <c r="AJ694" s="145">
        <f t="shared" si="35"/>
        <v>0</v>
      </c>
      <c r="AK694" s="148" t="s">
        <v>75</v>
      </c>
    </row>
    <row r="695" spans="1:37" ht="30" customHeight="1">
      <c r="A695" s="62"/>
      <c r="B695" s="62"/>
      <c r="C695" s="62"/>
      <c r="D695" s="62"/>
      <c r="E695" s="62"/>
      <c r="F695" s="62"/>
      <c r="G695" s="62"/>
      <c r="H695" s="62"/>
      <c r="I695" s="62"/>
      <c r="J695" s="62"/>
      <c r="K695" s="62"/>
      <c r="L695" s="62"/>
      <c r="M695" s="62"/>
      <c r="N695" s="186"/>
      <c r="O695" s="152"/>
      <c r="P695" s="90"/>
      <c r="Q695" s="140"/>
      <c r="R695" s="90"/>
      <c r="S695" s="140"/>
      <c r="T695" s="90"/>
      <c r="U695" s="140"/>
      <c r="V695" s="90"/>
      <c r="W695" s="140"/>
      <c r="X695" s="90"/>
      <c r="Y695" s="140"/>
      <c r="Z695" s="90"/>
      <c r="AA695" s="140"/>
      <c r="AB695" s="90"/>
      <c r="AC695" s="140"/>
      <c r="AD695" s="90"/>
      <c r="AE695" s="140"/>
      <c r="AF695" s="137" t="str">
        <f t="shared" si="34"/>
        <v/>
      </c>
      <c r="AG695" s="179" t="b">
        <f t="shared" si="33"/>
        <v>0</v>
      </c>
      <c r="AH695" s="140"/>
      <c r="AI695" s="147" t="s">
        <v>36</v>
      </c>
      <c r="AJ695" s="145">
        <f t="shared" si="35"/>
        <v>0</v>
      </c>
      <c r="AK695" s="148" t="s">
        <v>75</v>
      </c>
    </row>
    <row r="696" spans="1:37" ht="30" customHeight="1">
      <c r="A696" s="62"/>
      <c r="B696" s="62"/>
      <c r="C696" s="62"/>
      <c r="D696" s="62"/>
      <c r="E696" s="62"/>
      <c r="F696" s="62"/>
      <c r="G696" s="62"/>
      <c r="H696" s="62"/>
      <c r="I696" s="62"/>
      <c r="J696" s="62"/>
      <c r="K696" s="62"/>
      <c r="L696" s="62"/>
      <c r="M696" s="62"/>
      <c r="N696" s="186"/>
      <c r="O696" s="152"/>
      <c r="P696" s="90"/>
      <c r="Q696" s="140"/>
      <c r="R696" s="90"/>
      <c r="S696" s="140"/>
      <c r="T696" s="90"/>
      <c r="U696" s="140"/>
      <c r="V696" s="90"/>
      <c r="W696" s="140"/>
      <c r="X696" s="90"/>
      <c r="Y696" s="140"/>
      <c r="Z696" s="90"/>
      <c r="AA696" s="140"/>
      <c r="AB696" s="90"/>
      <c r="AC696" s="140"/>
      <c r="AD696" s="90"/>
      <c r="AE696" s="140"/>
      <c r="AF696" s="137" t="str">
        <f t="shared" si="34"/>
        <v/>
      </c>
      <c r="AG696" s="179" t="b">
        <f t="shared" si="33"/>
        <v>0</v>
      </c>
      <c r="AH696" s="140"/>
      <c r="AI696" s="147" t="s">
        <v>36</v>
      </c>
      <c r="AJ696" s="145">
        <f t="shared" si="35"/>
        <v>0</v>
      </c>
      <c r="AK696" s="148" t="s">
        <v>75</v>
      </c>
    </row>
    <row r="697" spans="1:37" ht="30" customHeight="1">
      <c r="A697" s="62"/>
      <c r="B697" s="62"/>
      <c r="C697" s="62"/>
      <c r="D697" s="62"/>
      <c r="E697" s="62"/>
      <c r="F697" s="62"/>
      <c r="G697" s="62"/>
      <c r="H697" s="62"/>
      <c r="I697" s="62"/>
      <c r="J697" s="62"/>
      <c r="K697" s="62"/>
      <c r="L697" s="62"/>
      <c r="M697" s="62"/>
      <c r="N697" s="186"/>
      <c r="O697" s="152"/>
      <c r="P697" s="90"/>
      <c r="Q697" s="140"/>
      <c r="R697" s="90"/>
      <c r="S697" s="140"/>
      <c r="T697" s="90"/>
      <c r="U697" s="140"/>
      <c r="V697" s="90"/>
      <c r="W697" s="140"/>
      <c r="X697" s="90"/>
      <c r="Y697" s="140"/>
      <c r="Z697" s="90"/>
      <c r="AA697" s="140"/>
      <c r="AB697" s="90"/>
      <c r="AC697" s="140"/>
      <c r="AD697" s="90"/>
      <c r="AE697" s="140"/>
      <c r="AF697" s="137" t="str">
        <f t="shared" si="34"/>
        <v/>
      </c>
      <c r="AG697" s="179" t="b">
        <f t="shared" si="33"/>
        <v>0</v>
      </c>
      <c r="AH697" s="140"/>
      <c r="AI697" s="147" t="s">
        <v>36</v>
      </c>
      <c r="AJ697" s="145">
        <f t="shared" si="35"/>
        <v>0</v>
      </c>
      <c r="AK697" s="148" t="s">
        <v>75</v>
      </c>
    </row>
    <row r="698" spans="1:37" ht="30" customHeight="1">
      <c r="A698" s="62"/>
      <c r="B698" s="62"/>
      <c r="C698" s="62"/>
      <c r="D698" s="62"/>
      <c r="E698" s="62"/>
      <c r="F698" s="62"/>
      <c r="G698" s="62"/>
      <c r="H698" s="62"/>
      <c r="I698" s="62"/>
      <c r="J698" s="62"/>
      <c r="K698" s="62"/>
      <c r="L698" s="62"/>
      <c r="M698" s="62"/>
      <c r="N698" s="186"/>
      <c r="O698" s="152"/>
      <c r="P698" s="90"/>
      <c r="Q698" s="140"/>
      <c r="R698" s="90"/>
      <c r="S698" s="140"/>
      <c r="T698" s="90"/>
      <c r="U698" s="140"/>
      <c r="V698" s="90"/>
      <c r="W698" s="140"/>
      <c r="X698" s="90"/>
      <c r="Y698" s="140"/>
      <c r="Z698" s="90"/>
      <c r="AA698" s="140"/>
      <c r="AB698" s="90"/>
      <c r="AC698" s="140"/>
      <c r="AD698" s="90"/>
      <c r="AE698" s="140"/>
      <c r="AF698" s="137" t="str">
        <f t="shared" si="34"/>
        <v/>
      </c>
      <c r="AG698" s="179" t="b">
        <f t="shared" si="33"/>
        <v>0</v>
      </c>
      <c r="AH698" s="140"/>
      <c r="AI698" s="147" t="s">
        <v>36</v>
      </c>
      <c r="AJ698" s="145">
        <f t="shared" si="35"/>
        <v>0</v>
      </c>
      <c r="AK698" s="148" t="s">
        <v>75</v>
      </c>
    </row>
    <row r="699" spans="1:37" ht="30" customHeight="1">
      <c r="A699" s="62"/>
      <c r="B699" s="62"/>
      <c r="C699" s="62"/>
      <c r="D699" s="62"/>
      <c r="E699" s="62"/>
      <c r="F699" s="62"/>
      <c r="G699" s="62"/>
      <c r="H699" s="62"/>
      <c r="I699" s="62"/>
      <c r="J699" s="62"/>
      <c r="K699" s="62"/>
      <c r="L699" s="62"/>
      <c r="M699" s="62"/>
      <c r="N699" s="186"/>
      <c r="O699" s="152"/>
      <c r="P699" s="90"/>
      <c r="Q699" s="140"/>
      <c r="R699" s="90"/>
      <c r="S699" s="140"/>
      <c r="T699" s="90"/>
      <c r="U699" s="140"/>
      <c r="V699" s="90"/>
      <c r="W699" s="140"/>
      <c r="X699" s="90"/>
      <c r="Y699" s="140"/>
      <c r="Z699" s="90"/>
      <c r="AA699" s="140"/>
      <c r="AB699" s="90"/>
      <c r="AC699" s="140"/>
      <c r="AD699" s="90"/>
      <c r="AE699" s="140"/>
      <c r="AF699" s="137" t="str">
        <f t="shared" si="34"/>
        <v/>
      </c>
      <c r="AG699" s="179" t="b">
        <f t="shared" si="33"/>
        <v>0</v>
      </c>
      <c r="AH699" s="140"/>
      <c r="AI699" s="147" t="s">
        <v>36</v>
      </c>
      <c r="AJ699" s="145">
        <f t="shared" si="35"/>
        <v>0</v>
      </c>
      <c r="AK699" s="148" t="s">
        <v>75</v>
      </c>
    </row>
    <row r="700" spans="1:37" ht="30" customHeight="1">
      <c r="A700" s="62"/>
      <c r="B700" s="62"/>
      <c r="C700" s="62"/>
      <c r="D700" s="62"/>
      <c r="E700" s="62"/>
      <c r="F700" s="62"/>
      <c r="G700" s="62"/>
      <c r="H700" s="62"/>
      <c r="I700" s="62"/>
      <c r="J700" s="62"/>
      <c r="K700" s="62"/>
      <c r="L700" s="62"/>
      <c r="M700" s="62"/>
      <c r="N700" s="186"/>
      <c r="O700" s="152"/>
      <c r="P700" s="90"/>
      <c r="Q700" s="140"/>
      <c r="R700" s="90"/>
      <c r="S700" s="140"/>
      <c r="T700" s="90"/>
      <c r="U700" s="140"/>
      <c r="V700" s="90"/>
      <c r="W700" s="140"/>
      <c r="X700" s="90"/>
      <c r="Y700" s="140"/>
      <c r="Z700" s="90"/>
      <c r="AA700" s="140"/>
      <c r="AB700" s="90"/>
      <c r="AC700" s="140"/>
      <c r="AD700" s="90"/>
      <c r="AE700" s="140"/>
      <c r="AF700" s="137" t="str">
        <f t="shared" si="34"/>
        <v/>
      </c>
      <c r="AG700" s="179" t="b">
        <f t="shared" si="33"/>
        <v>0</v>
      </c>
      <c r="AH700" s="140"/>
      <c r="AI700" s="147" t="s">
        <v>36</v>
      </c>
      <c r="AJ700" s="145">
        <f t="shared" si="35"/>
        <v>0</v>
      </c>
      <c r="AK700" s="148" t="s">
        <v>75</v>
      </c>
    </row>
    <row r="701" spans="1:37" ht="30" customHeight="1">
      <c r="A701" s="62"/>
      <c r="B701" s="62"/>
      <c r="C701" s="62"/>
      <c r="D701" s="62"/>
      <c r="E701" s="62"/>
      <c r="F701" s="62"/>
      <c r="G701" s="62"/>
      <c r="H701" s="62"/>
      <c r="I701" s="62"/>
      <c r="J701" s="62"/>
      <c r="K701" s="62"/>
      <c r="L701" s="62"/>
      <c r="M701" s="62"/>
      <c r="N701" s="186"/>
      <c r="O701" s="152"/>
      <c r="P701" s="90"/>
      <c r="Q701" s="140"/>
      <c r="R701" s="90"/>
      <c r="S701" s="140"/>
      <c r="T701" s="90"/>
      <c r="U701" s="140"/>
      <c r="V701" s="90"/>
      <c r="W701" s="140"/>
      <c r="X701" s="90"/>
      <c r="Y701" s="140"/>
      <c r="Z701" s="90"/>
      <c r="AA701" s="140"/>
      <c r="AB701" s="90"/>
      <c r="AC701" s="140"/>
      <c r="AD701" s="90"/>
      <c r="AE701" s="140"/>
      <c r="AF701" s="137" t="str">
        <f t="shared" si="34"/>
        <v/>
      </c>
      <c r="AG701" s="179" t="b">
        <f t="shared" si="33"/>
        <v>0</v>
      </c>
      <c r="AH701" s="140"/>
      <c r="AI701" s="147" t="s">
        <v>36</v>
      </c>
      <c r="AJ701" s="145">
        <f t="shared" si="35"/>
        <v>0</v>
      </c>
      <c r="AK701" s="148" t="s">
        <v>75</v>
      </c>
    </row>
    <row r="702" spans="1:37" ht="30" customHeight="1">
      <c r="A702" s="62"/>
      <c r="B702" s="62"/>
      <c r="C702" s="62"/>
      <c r="D702" s="62"/>
      <c r="E702" s="62"/>
      <c r="F702" s="62"/>
      <c r="G702" s="62"/>
      <c r="H702" s="62"/>
      <c r="I702" s="62"/>
      <c r="J702" s="62"/>
      <c r="K702" s="62"/>
      <c r="L702" s="62"/>
      <c r="M702" s="62"/>
      <c r="N702" s="186"/>
      <c r="O702" s="152"/>
      <c r="P702" s="90"/>
      <c r="Q702" s="140"/>
      <c r="R702" s="90"/>
      <c r="S702" s="140"/>
      <c r="T702" s="90"/>
      <c r="U702" s="140"/>
      <c r="V702" s="90"/>
      <c r="W702" s="140"/>
      <c r="X702" s="90"/>
      <c r="Y702" s="140"/>
      <c r="Z702" s="90"/>
      <c r="AA702" s="140"/>
      <c r="AB702" s="90"/>
      <c r="AC702" s="140"/>
      <c r="AD702" s="90"/>
      <c r="AE702" s="140"/>
      <c r="AF702" s="137" t="str">
        <f t="shared" si="34"/>
        <v/>
      </c>
      <c r="AG702" s="179" t="b">
        <f t="shared" si="33"/>
        <v>0</v>
      </c>
      <c r="AH702" s="140"/>
      <c r="AI702" s="147" t="s">
        <v>36</v>
      </c>
      <c r="AJ702" s="145">
        <f t="shared" si="35"/>
        <v>0</v>
      </c>
      <c r="AK702" s="148" t="s">
        <v>75</v>
      </c>
    </row>
    <row r="703" spans="1:37" ht="30" customHeight="1">
      <c r="A703" s="62"/>
      <c r="B703" s="62"/>
      <c r="C703" s="62"/>
      <c r="D703" s="62"/>
      <c r="E703" s="62"/>
      <c r="F703" s="62"/>
      <c r="G703" s="62"/>
      <c r="H703" s="62"/>
      <c r="I703" s="62"/>
      <c r="J703" s="62"/>
      <c r="K703" s="62"/>
      <c r="L703" s="62"/>
      <c r="M703" s="62"/>
      <c r="N703" s="186"/>
      <c r="O703" s="152"/>
      <c r="P703" s="90"/>
      <c r="Q703" s="140"/>
      <c r="R703" s="90"/>
      <c r="S703" s="140"/>
      <c r="T703" s="90"/>
      <c r="U703" s="140"/>
      <c r="V703" s="90"/>
      <c r="W703" s="140"/>
      <c r="X703" s="90"/>
      <c r="Y703" s="140"/>
      <c r="Z703" s="90"/>
      <c r="AA703" s="140"/>
      <c r="AB703" s="90"/>
      <c r="AC703" s="140"/>
      <c r="AD703" s="90"/>
      <c r="AE703" s="140"/>
      <c r="AF703" s="137" t="str">
        <f t="shared" si="34"/>
        <v/>
      </c>
      <c r="AG703" s="179" t="b">
        <f t="shared" si="33"/>
        <v>0</v>
      </c>
      <c r="AH703" s="140"/>
      <c r="AI703" s="147" t="s">
        <v>36</v>
      </c>
      <c r="AJ703" s="145">
        <f t="shared" si="35"/>
        <v>0</v>
      </c>
      <c r="AK703" s="148" t="s">
        <v>75</v>
      </c>
    </row>
    <row r="704" spans="1:37" ht="30" customHeight="1">
      <c r="A704" s="62"/>
      <c r="B704" s="62"/>
      <c r="C704" s="62"/>
      <c r="D704" s="62"/>
      <c r="E704" s="62"/>
      <c r="F704" s="62"/>
      <c r="G704" s="62"/>
      <c r="H704" s="62"/>
      <c r="I704" s="62"/>
      <c r="J704" s="62"/>
      <c r="K704" s="62"/>
      <c r="L704" s="62"/>
      <c r="M704" s="62"/>
      <c r="N704" s="186"/>
      <c r="O704" s="152"/>
      <c r="P704" s="90"/>
      <c r="Q704" s="140"/>
      <c r="R704" s="90"/>
      <c r="S704" s="140"/>
      <c r="T704" s="90"/>
      <c r="U704" s="140"/>
      <c r="V704" s="90"/>
      <c r="W704" s="140"/>
      <c r="X704" s="90"/>
      <c r="Y704" s="140"/>
      <c r="Z704" s="90"/>
      <c r="AA704" s="140"/>
      <c r="AB704" s="90"/>
      <c r="AC704" s="140"/>
      <c r="AD704" s="90"/>
      <c r="AE704" s="140"/>
      <c r="AF704" s="137" t="str">
        <f t="shared" si="34"/>
        <v/>
      </c>
      <c r="AG704" s="179" t="b">
        <f t="shared" ref="AG704:AG767" si="36">IF(AND(AE704="C",AF704="C"),"UTILIZOU O PDA CORRETAMENTE",IF(AND(AE704="C",AF704="NC"),"UTILIZOU O PDA CORRETAMENTE. NÃO HÁ FOTOS DE TODAS AS ETAPAS",IF(AND(AE704="NC",AF704="NC"),"NÃO UTILIZOU O PDA",IF(AND(AE704="NA",AF704="NA"),"NÃO AVALIADO POR FALHA DE SINCRONISMO"))))</f>
        <v>0</v>
      </c>
      <c r="AH704" s="140"/>
      <c r="AI704" s="147" t="s">
        <v>36</v>
      </c>
      <c r="AJ704" s="145">
        <f t="shared" si="35"/>
        <v>0</v>
      </c>
      <c r="AK704" s="148" t="s">
        <v>75</v>
      </c>
    </row>
    <row r="705" spans="1:37" ht="30" customHeight="1">
      <c r="A705" s="62"/>
      <c r="B705" s="62"/>
      <c r="C705" s="62"/>
      <c r="D705" s="62"/>
      <c r="E705" s="62"/>
      <c r="F705" s="62"/>
      <c r="G705" s="62"/>
      <c r="H705" s="62"/>
      <c r="I705" s="62"/>
      <c r="J705" s="62"/>
      <c r="K705" s="62"/>
      <c r="L705" s="62"/>
      <c r="M705" s="62"/>
      <c r="N705" s="186"/>
      <c r="O705" s="152"/>
      <c r="P705" s="90"/>
      <c r="Q705" s="140"/>
      <c r="R705" s="90"/>
      <c r="S705" s="140"/>
      <c r="T705" s="90"/>
      <c r="U705" s="140"/>
      <c r="V705" s="90"/>
      <c r="W705" s="140"/>
      <c r="X705" s="90"/>
      <c r="Y705" s="140"/>
      <c r="Z705" s="90"/>
      <c r="AA705" s="140"/>
      <c r="AB705" s="90"/>
      <c r="AC705" s="140"/>
      <c r="AD705" s="90"/>
      <c r="AE705" s="140"/>
      <c r="AF705" s="137" t="str">
        <f t="shared" ref="AF705:AF768" si="37">IF(AND(O705="",Q705="",S705="",U705="",W705="",Y705="",AA705="",AC705=""),"",IF(OR(AND(O705&lt;&gt;"NA",O705&lt;&gt;"C",O705&lt;&gt;"NC",O705&lt;&gt;"SF",O705&lt;&gt;""),AND(Q705&lt;&gt;"NA",Q705&lt;&gt;"C",Q705&lt;&gt;"NC",Q705&lt;&gt;"SF",Q705&lt;&gt;""),AND(S705&lt;&gt;"NA",S705&lt;&gt;"C",S705&lt;&gt;"NC",S705&lt;&gt;"SF",S705&lt;&gt;""),AND(U705&lt;&gt;"NA",U705&lt;&gt;"C",U705&lt;&gt;"NC",U705&lt;&gt;"SF",U705&lt;&gt;""),AND(W705&lt;&gt;"NA",W705&lt;&gt;"C",W705&lt;&gt;"NC",W705&lt;&gt;"SF",W705&lt;&gt;""),AND(Y705&lt;&gt;"NA",Y705&lt;&gt;"C",Y705&lt;&gt;"NC",Y705&lt;&gt;"SF",Y705&lt;&gt;""),AND(AA705&lt;&gt;"NA",AA705&lt;&gt;"C",AA705&lt;&gt;"NC",AA705&lt;&gt;"SF",AA705&lt;&gt;""),AND(AC705&lt;&gt;"NA",AC705&lt;&gt;"C",AC705&lt;&gt;"NC",AC705&lt;&gt;"SF",AC705&lt;&gt;"")),"FALSO",IF(AND(O705="NA",Q705="NA",S705="NA",U705="NA",W705="NA",Y705="NA",AA705="NA",AC705="NA"),"NA",IF(OR(O705="NC",Q705="NC",S705="NC",U705="NC",W705="NC",Y705="NC",AA705="NC",AC705="NC",O705="SF",Q705="SF",S705="SF",U705="SF",W705="SF",Y705="SF",AA705="SF",AC705="SF"),"NC",IF(OR(O705="C",Q705="C",S705="C",U705="C",W705="C",Y705="C",AA705="C",AC705="C"),"C","")))))</f>
        <v/>
      </c>
      <c r="AG705" s="179" t="b">
        <f t="shared" si="36"/>
        <v>0</v>
      </c>
      <c r="AH705" s="140"/>
      <c r="AI705" s="147" t="s">
        <v>36</v>
      </c>
      <c r="AJ705" s="145">
        <f t="shared" si="35"/>
        <v>0</v>
      </c>
      <c r="AK705" s="148" t="s">
        <v>75</v>
      </c>
    </row>
    <row r="706" spans="1:37" ht="30" customHeight="1">
      <c r="A706" s="62"/>
      <c r="B706" s="62"/>
      <c r="C706" s="62"/>
      <c r="D706" s="62"/>
      <c r="E706" s="62"/>
      <c r="F706" s="62"/>
      <c r="G706" s="62"/>
      <c r="H706" s="62"/>
      <c r="I706" s="62"/>
      <c r="J706" s="62"/>
      <c r="K706" s="62"/>
      <c r="L706" s="62"/>
      <c r="M706" s="62"/>
      <c r="N706" s="186"/>
      <c r="O706" s="152"/>
      <c r="P706" s="90"/>
      <c r="Q706" s="140"/>
      <c r="R706" s="90"/>
      <c r="S706" s="140"/>
      <c r="T706" s="90"/>
      <c r="U706" s="140"/>
      <c r="V706" s="90"/>
      <c r="W706" s="140"/>
      <c r="X706" s="90"/>
      <c r="Y706" s="140"/>
      <c r="Z706" s="90"/>
      <c r="AA706" s="140"/>
      <c r="AB706" s="90"/>
      <c r="AC706" s="140"/>
      <c r="AD706" s="90"/>
      <c r="AE706" s="140"/>
      <c r="AF706" s="137" t="str">
        <f t="shared" si="37"/>
        <v/>
      </c>
      <c r="AG706" s="179" t="b">
        <f t="shared" si="36"/>
        <v>0</v>
      </c>
      <c r="AH706" s="140"/>
      <c r="AI706" s="147" t="s">
        <v>36</v>
      </c>
      <c r="AJ706" s="145">
        <f t="shared" si="35"/>
        <v>0</v>
      </c>
      <c r="AK706" s="148" t="s">
        <v>75</v>
      </c>
    </row>
    <row r="707" spans="1:37" ht="30" customHeight="1">
      <c r="A707" s="62"/>
      <c r="B707" s="62"/>
      <c r="C707" s="62"/>
      <c r="D707" s="62"/>
      <c r="E707" s="62"/>
      <c r="F707" s="62"/>
      <c r="G707" s="62"/>
      <c r="H707" s="62"/>
      <c r="I707" s="62"/>
      <c r="J707" s="62"/>
      <c r="K707" s="62"/>
      <c r="L707" s="62"/>
      <c r="M707" s="62"/>
      <c r="N707" s="186"/>
      <c r="O707" s="152"/>
      <c r="P707" s="90"/>
      <c r="Q707" s="140"/>
      <c r="R707" s="90"/>
      <c r="S707" s="140"/>
      <c r="T707" s="90"/>
      <c r="U707" s="140"/>
      <c r="V707" s="90"/>
      <c r="W707" s="140"/>
      <c r="X707" s="90"/>
      <c r="Y707" s="140"/>
      <c r="Z707" s="90"/>
      <c r="AA707" s="140"/>
      <c r="AB707" s="90"/>
      <c r="AC707" s="140"/>
      <c r="AD707" s="90"/>
      <c r="AE707" s="140"/>
      <c r="AF707" s="137" t="str">
        <f t="shared" si="37"/>
        <v/>
      </c>
      <c r="AG707" s="179" t="b">
        <f t="shared" si="36"/>
        <v>0</v>
      </c>
      <c r="AH707" s="140"/>
      <c r="AI707" s="147" t="s">
        <v>36</v>
      </c>
      <c r="AJ707" s="145">
        <f t="shared" si="35"/>
        <v>0</v>
      </c>
      <c r="AK707" s="148" t="s">
        <v>75</v>
      </c>
    </row>
    <row r="708" spans="1:37" ht="30" customHeight="1">
      <c r="A708" s="62"/>
      <c r="B708" s="62"/>
      <c r="C708" s="62"/>
      <c r="D708" s="62"/>
      <c r="E708" s="62"/>
      <c r="F708" s="62"/>
      <c r="G708" s="62"/>
      <c r="H708" s="62"/>
      <c r="I708" s="62"/>
      <c r="J708" s="62"/>
      <c r="K708" s="62"/>
      <c r="L708" s="62"/>
      <c r="M708" s="62"/>
      <c r="N708" s="186"/>
      <c r="O708" s="152"/>
      <c r="P708" s="90"/>
      <c r="Q708" s="140"/>
      <c r="R708" s="90"/>
      <c r="S708" s="140"/>
      <c r="T708" s="90"/>
      <c r="U708" s="140"/>
      <c r="V708" s="90"/>
      <c r="W708" s="140"/>
      <c r="X708" s="90"/>
      <c r="Y708" s="140"/>
      <c r="Z708" s="90"/>
      <c r="AA708" s="140"/>
      <c r="AB708" s="90"/>
      <c r="AC708" s="140"/>
      <c r="AD708" s="90"/>
      <c r="AE708" s="140"/>
      <c r="AF708" s="137" t="str">
        <f t="shared" si="37"/>
        <v/>
      </c>
      <c r="AG708" s="179" t="b">
        <f t="shared" si="36"/>
        <v>0</v>
      </c>
      <c r="AH708" s="140"/>
      <c r="AI708" s="147" t="s">
        <v>36</v>
      </c>
      <c r="AJ708" s="145">
        <f t="shared" si="35"/>
        <v>0</v>
      </c>
      <c r="AK708" s="148" t="s">
        <v>75</v>
      </c>
    </row>
    <row r="709" spans="1:37" ht="30" customHeight="1">
      <c r="A709" s="62"/>
      <c r="B709" s="62"/>
      <c r="C709" s="62"/>
      <c r="D709" s="62"/>
      <c r="E709" s="62"/>
      <c r="F709" s="62"/>
      <c r="G709" s="62"/>
      <c r="H709" s="62"/>
      <c r="I709" s="62"/>
      <c r="J709" s="62"/>
      <c r="K709" s="62"/>
      <c r="L709" s="62"/>
      <c r="M709" s="62"/>
      <c r="N709" s="186"/>
      <c r="O709" s="152"/>
      <c r="P709" s="90"/>
      <c r="Q709" s="140"/>
      <c r="R709" s="90"/>
      <c r="S709" s="140"/>
      <c r="T709" s="90"/>
      <c r="U709" s="140"/>
      <c r="V709" s="90"/>
      <c r="W709" s="140"/>
      <c r="X709" s="90"/>
      <c r="Y709" s="140"/>
      <c r="Z709" s="90"/>
      <c r="AA709" s="140"/>
      <c r="AB709" s="90"/>
      <c r="AC709" s="140"/>
      <c r="AD709" s="90"/>
      <c r="AE709" s="140"/>
      <c r="AF709" s="137" t="str">
        <f t="shared" si="37"/>
        <v/>
      </c>
      <c r="AG709" s="179" t="b">
        <f t="shared" si="36"/>
        <v>0</v>
      </c>
      <c r="AH709" s="140"/>
      <c r="AI709" s="147" t="s">
        <v>36</v>
      </c>
      <c r="AJ709" s="145">
        <f t="shared" si="35"/>
        <v>0</v>
      </c>
      <c r="AK709" s="148" t="s">
        <v>75</v>
      </c>
    </row>
    <row r="710" spans="1:37" ht="30" customHeight="1">
      <c r="A710" s="62"/>
      <c r="B710" s="62"/>
      <c r="C710" s="62"/>
      <c r="D710" s="62"/>
      <c r="E710" s="62"/>
      <c r="F710" s="62"/>
      <c r="G710" s="62"/>
      <c r="H710" s="62"/>
      <c r="I710" s="62"/>
      <c r="J710" s="62"/>
      <c r="K710" s="62"/>
      <c r="L710" s="62"/>
      <c r="M710" s="62"/>
      <c r="N710" s="186"/>
      <c r="O710" s="152"/>
      <c r="P710" s="90"/>
      <c r="Q710" s="140"/>
      <c r="R710" s="90"/>
      <c r="S710" s="140"/>
      <c r="T710" s="90"/>
      <c r="U710" s="140"/>
      <c r="V710" s="90"/>
      <c r="W710" s="140"/>
      <c r="X710" s="90"/>
      <c r="Y710" s="140"/>
      <c r="Z710" s="90"/>
      <c r="AA710" s="140"/>
      <c r="AB710" s="90"/>
      <c r="AC710" s="140"/>
      <c r="AD710" s="90"/>
      <c r="AE710" s="140"/>
      <c r="AF710" s="137" t="str">
        <f t="shared" si="37"/>
        <v/>
      </c>
      <c r="AG710" s="179" t="b">
        <f t="shared" si="36"/>
        <v>0</v>
      </c>
      <c r="AH710" s="140"/>
      <c r="AI710" s="147" t="s">
        <v>36</v>
      </c>
      <c r="AJ710" s="145">
        <f t="shared" si="35"/>
        <v>0</v>
      </c>
      <c r="AK710" s="148" t="s">
        <v>75</v>
      </c>
    </row>
    <row r="711" spans="1:37" ht="30" customHeight="1">
      <c r="A711" s="62"/>
      <c r="B711" s="62"/>
      <c r="C711" s="62"/>
      <c r="D711" s="62"/>
      <c r="E711" s="62"/>
      <c r="F711" s="62"/>
      <c r="G711" s="62"/>
      <c r="H711" s="62"/>
      <c r="I711" s="62"/>
      <c r="J711" s="62"/>
      <c r="K711" s="62"/>
      <c r="L711" s="62"/>
      <c r="M711" s="62"/>
      <c r="N711" s="186"/>
      <c r="O711" s="152"/>
      <c r="P711" s="90"/>
      <c r="Q711" s="140"/>
      <c r="R711" s="90"/>
      <c r="S711" s="140"/>
      <c r="T711" s="90"/>
      <c r="U711" s="140"/>
      <c r="V711" s="90"/>
      <c r="W711" s="140"/>
      <c r="X711" s="90"/>
      <c r="Y711" s="140"/>
      <c r="Z711" s="90"/>
      <c r="AA711" s="140"/>
      <c r="AB711" s="90"/>
      <c r="AC711" s="140"/>
      <c r="AD711" s="90"/>
      <c r="AE711" s="140"/>
      <c r="AF711" s="137" t="str">
        <f t="shared" si="37"/>
        <v/>
      </c>
      <c r="AG711" s="179" t="b">
        <f t="shared" si="36"/>
        <v>0</v>
      </c>
      <c r="AH711" s="140"/>
      <c r="AI711" s="147" t="s">
        <v>36</v>
      </c>
      <c r="AJ711" s="145">
        <f t="shared" si="35"/>
        <v>0</v>
      </c>
      <c r="AK711" s="148" t="s">
        <v>75</v>
      </c>
    </row>
    <row r="712" spans="1:37" ht="30" customHeight="1">
      <c r="A712" s="62"/>
      <c r="B712" s="62"/>
      <c r="C712" s="62"/>
      <c r="D712" s="62"/>
      <c r="E712" s="62"/>
      <c r="F712" s="62"/>
      <c r="G712" s="62"/>
      <c r="H712" s="62"/>
      <c r="I712" s="62"/>
      <c r="J712" s="62"/>
      <c r="K712" s="62"/>
      <c r="L712" s="62"/>
      <c r="M712" s="62"/>
      <c r="N712" s="186"/>
      <c r="O712" s="152"/>
      <c r="P712" s="90"/>
      <c r="Q712" s="140"/>
      <c r="R712" s="90"/>
      <c r="S712" s="140"/>
      <c r="T712" s="90"/>
      <c r="U712" s="140"/>
      <c r="V712" s="90"/>
      <c r="W712" s="140"/>
      <c r="X712" s="90"/>
      <c r="Y712" s="140"/>
      <c r="Z712" s="90"/>
      <c r="AA712" s="140"/>
      <c r="AB712" s="90"/>
      <c r="AC712" s="140"/>
      <c r="AD712" s="90"/>
      <c r="AE712" s="140"/>
      <c r="AF712" s="137" t="str">
        <f t="shared" si="37"/>
        <v/>
      </c>
      <c r="AG712" s="179" t="b">
        <f t="shared" si="36"/>
        <v>0</v>
      </c>
      <c r="AH712" s="140"/>
      <c r="AI712" s="147" t="s">
        <v>36</v>
      </c>
      <c r="AJ712" s="145">
        <f t="shared" si="35"/>
        <v>0</v>
      </c>
      <c r="AK712" s="148" t="s">
        <v>75</v>
      </c>
    </row>
    <row r="713" spans="1:37" ht="30" customHeight="1">
      <c r="A713" s="62"/>
      <c r="B713" s="62"/>
      <c r="C713" s="62"/>
      <c r="D713" s="62"/>
      <c r="E713" s="62"/>
      <c r="F713" s="62"/>
      <c r="G713" s="62"/>
      <c r="H713" s="62"/>
      <c r="I713" s="62"/>
      <c r="J713" s="62"/>
      <c r="K713" s="62"/>
      <c r="L713" s="62"/>
      <c r="M713" s="62"/>
      <c r="N713" s="186"/>
      <c r="O713" s="152"/>
      <c r="P713" s="90"/>
      <c r="Q713" s="140"/>
      <c r="R713" s="90"/>
      <c r="S713" s="140"/>
      <c r="T713" s="90"/>
      <c r="U713" s="140"/>
      <c r="V713" s="90"/>
      <c r="W713" s="140"/>
      <c r="X713" s="90"/>
      <c r="Y713" s="140"/>
      <c r="Z713" s="90"/>
      <c r="AA713" s="140"/>
      <c r="AB713" s="90"/>
      <c r="AC713" s="140"/>
      <c r="AD713" s="90"/>
      <c r="AE713" s="140"/>
      <c r="AF713" s="137" t="str">
        <f t="shared" si="37"/>
        <v/>
      </c>
      <c r="AG713" s="179" t="b">
        <f t="shared" si="36"/>
        <v>0</v>
      </c>
      <c r="AH713" s="140"/>
      <c r="AI713" s="147" t="s">
        <v>36</v>
      </c>
      <c r="AJ713" s="145">
        <f t="shared" si="35"/>
        <v>0</v>
      </c>
      <c r="AK713" s="148" t="s">
        <v>75</v>
      </c>
    </row>
    <row r="714" spans="1:37" ht="30" customHeight="1">
      <c r="A714" s="62"/>
      <c r="B714" s="62"/>
      <c r="C714" s="62"/>
      <c r="D714" s="62"/>
      <c r="E714" s="62"/>
      <c r="F714" s="62"/>
      <c r="G714" s="62"/>
      <c r="H714" s="62"/>
      <c r="I714" s="62"/>
      <c r="J714" s="62"/>
      <c r="K714" s="62"/>
      <c r="L714" s="62"/>
      <c r="M714" s="62"/>
      <c r="N714" s="186"/>
      <c r="O714" s="152"/>
      <c r="P714" s="90"/>
      <c r="Q714" s="140"/>
      <c r="R714" s="90"/>
      <c r="S714" s="140"/>
      <c r="T714" s="90"/>
      <c r="U714" s="140"/>
      <c r="V714" s="90"/>
      <c r="W714" s="140"/>
      <c r="X714" s="90"/>
      <c r="Y714" s="140"/>
      <c r="Z714" s="90"/>
      <c r="AA714" s="140"/>
      <c r="AB714" s="90"/>
      <c r="AC714" s="140"/>
      <c r="AD714" s="90"/>
      <c r="AE714" s="140"/>
      <c r="AF714" s="137" t="str">
        <f t="shared" si="37"/>
        <v/>
      </c>
      <c r="AG714" s="179" t="b">
        <f t="shared" si="36"/>
        <v>0</v>
      </c>
      <c r="AH714" s="140"/>
      <c r="AI714" s="147" t="s">
        <v>36</v>
      </c>
      <c r="AJ714" s="145">
        <f t="shared" si="35"/>
        <v>0</v>
      </c>
      <c r="AK714" s="148" t="s">
        <v>75</v>
      </c>
    </row>
    <row r="715" spans="1:37" ht="30" customHeight="1">
      <c r="A715" s="62"/>
      <c r="B715" s="62"/>
      <c r="C715" s="62"/>
      <c r="D715" s="62"/>
      <c r="E715" s="62"/>
      <c r="F715" s="62"/>
      <c r="G715" s="62"/>
      <c r="H715" s="62"/>
      <c r="I715" s="62"/>
      <c r="J715" s="62"/>
      <c r="K715" s="62"/>
      <c r="L715" s="62"/>
      <c r="M715" s="62"/>
      <c r="N715" s="186"/>
      <c r="O715" s="152"/>
      <c r="P715" s="90"/>
      <c r="Q715" s="140"/>
      <c r="R715" s="90"/>
      <c r="S715" s="140"/>
      <c r="T715" s="90"/>
      <c r="U715" s="140"/>
      <c r="V715" s="90"/>
      <c r="W715" s="140"/>
      <c r="X715" s="90"/>
      <c r="Y715" s="140"/>
      <c r="Z715" s="90"/>
      <c r="AA715" s="140"/>
      <c r="AB715" s="90"/>
      <c r="AC715" s="140"/>
      <c r="AD715" s="90"/>
      <c r="AE715" s="140"/>
      <c r="AF715" s="137" t="str">
        <f t="shared" si="37"/>
        <v/>
      </c>
      <c r="AG715" s="179" t="b">
        <f t="shared" si="36"/>
        <v>0</v>
      </c>
      <c r="AH715" s="140"/>
      <c r="AI715" s="147" t="s">
        <v>36</v>
      </c>
      <c r="AJ715" s="145">
        <f t="shared" si="35"/>
        <v>0</v>
      </c>
      <c r="AK715" s="148" t="s">
        <v>75</v>
      </c>
    </row>
    <row r="716" spans="1:37" ht="30" customHeight="1">
      <c r="A716" s="62"/>
      <c r="B716" s="62"/>
      <c r="C716" s="62"/>
      <c r="D716" s="62"/>
      <c r="E716" s="62"/>
      <c r="F716" s="62"/>
      <c r="G716" s="62"/>
      <c r="H716" s="62"/>
      <c r="I716" s="62"/>
      <c r="J716" s="62"/>
      <c r="K716" s="62"/>
      <c r="L716" s="62"/>
      <c r="M716" s="62"/>
      <c r="N716" s="186"/>
      <c r="O716" s="152"/>
      <c r="P716" s="90"/>
      <c r="Q716" s="140"/>
      <c r="R716" s="90"/>
      <c r="S716" s="140"/>
      <c r="T716" s="90"/>
      <c r="U716" s="140"/>
      <c r="V716" s="90"/>
      <c r="W716" s="140"/>
      <c r="X716" s="90"/>
      <c r="Y716" s="140"/>
      <c r="Z716" s="90"/>
      <c r="AA716" s="140"/>
      <c r="AB716" s="90"/>
      <c r="AC716" s="140"/>
      <c r="AD716" s="90"/>
      <c r="AE716" s="140"/>
      <c r="AF716" s="137" t="str">
        <f t="shared" si="37"/>
        <v/>
      </c>
      <c r="AG716" s="179" t="b">
        <f t="shared" si="36"/>
        <v>0</v>
      </c>
      <c r="AH716" s="140"/>
      <c r="AI716" s="147" t="s">
        <v>36</v>
      </c>
      <c r="AJ716" s="145">
        <f t="shared" si="35"/>
        <v>0</v>
      </c>
      <c r="AK716" s="148" t="s">
        <v>75</v>
      </c>
    </row>
    <row r="717" spans="1:37" ht="30" customHeight="1">
      <c r="A717" s="62"/>
      <c r="B717" s="62"/>
      <c r="C717" s="62"/>
      <c r="D717" s="62"/>
      <c r="E717" s="62"/>
      <c r="F717" s="62"/>
      <c r="G717" s="62"/>
      <c r="H717" s="62"/>
      <c r="I717" s="62"/>
      <c r="J717" s="62"/>
      <c r="K717" s="62"/>
      <c r="L717" s="62"/>
      <c r="M717" s="62"/>
      <c r="N717" s="186"/>
      <c r="O717" s="152"/>
      <c r="P717" s="90"/>
      <c r="Q717" s="140"/>
      <c r="R717" s="90"/>
      <c r="S717" s="140"/>
      <c r="T717" s="90"/>
      <c r="U717" s="140"/>
      <c r="V717" s="90"/>
      <c r="W717" s="140"/>
      <c r="X717" s="90"/>
      <c r="Y717" s="140"/>
      <c r="Z717" s="90"/>
      <c r="AA717" s="140"/>
      <c r="AB717" s="90"/>
      <c r="AC717" s="140"/>
      <c r="AD717" s="90"/>
      <c r="AE717" s="140"/>
      <c r="AF717" s="137" t="str">
        <f t="shared" si="37"/>
        <v/>
      </c>
      <c r="AG717" s="179" t="b">
        <f t="shared" si="36"/>
        <v>0</v>
      </c>
      <c r="AH717" s="140"/>
      <c r="AI717" s="147" t="s">
        <v>36</v>
      </c>
      <c r="AJ717" s="145">
        <f t="shared" si="35"/>
        <v>0</v>
      </c>
      <c r="AK717" s="148" t="s">
        <v>75</v>
      </c>
    </row>
    <row r="718" spans="1:37" ht="30" customHeight="1">
      <c r="A718" s="62"/>
      <c r="B718" s="62"/>
      <c r="C718" s="62"/>
      <c r="D718" s="62"/>
      <c r="E718" s="62"/>
      <c r="F718" s="62"/>
      <c r="G718" s="62"/>
      <c r="H718" s="62"/>
      <c r="I718" s="62"/>
      <c r="J718" s="62"/>
      <c r="K718" s="62"/>
      <c r="L718" s="62"/>
      <c r="M718" s="62"/>
      <c r="N718" s="186"/>
      <c r="O718" s="152"/>
      <c r="P718" s="90"/>
      <c r="Q718" s="140"/>
      <c r="R718" s="90"/>
      <c r="S718" s="140"/>
      <c r="T718" s="90"/>
      <c r="U718" s="140"/>
      <c r="V718" s="90"/>
      <c r="W718" s="140"/>
      <c r="X718" s="90"/>
      <c r="Y718" s="140"/>
      <c r="Z718" s="90"/>
      <c r="AA718" s="140"/>
      <c r="AB718" s="90"/>
      <c r="AC718" s="140"/>
      <c r="AD718" s="90"/>
      <c r="AE718" s="140"/>
      <c r="AF718" s="137" t="str">
        <f t="shared" si="37"/>
        <v/>
      </c>
      <c r="AG718" s="179" t="b">
        <f t="shared" si="36"/>
        <v>0</v>
      </c>
      <c r="AH718" s="140"/>
      <c r="AI718" s="147" t="s">
        <v>36</v>
      </c>
      <c r="AJ718" s="145">
        <f t="shared" si="35"/>
        <v>0</v>
      </c>
      <c r="AK718" s="148" t="s">
        <v>75</v>
      </c>
    </row>
    <row r="719" spans="1:37" ht="30" customHeight="1">
      <c r="A719" s="62"/>
      <c r="B719" s="62"/>
      <c r="C719" s="62"/>
      <c r="D719" s="62"/>
      <c r="E719" s="62"/>
      <c r="F719" s="62"/>
      <c r="G719" s="62"/>
      <c r="H719" s="62"/>
      <c r="I719" s="62"/>
      <c r="J719" s="62"/>
      <c r="K719" s="62"/>
      <c r="L719" s="62"/>
      <c r="M719" s="62"/>
      <c r="N719" s="186"/>
      <c r="O719" s="152"/>
      <c r="P719" s="90"/>
      <c r="Q719" s="140"/>
      <c r="R719" s="90"/>
      <c r="S719" s="140"/>
      <c r="T719" s="90"/>
      <c r="U719" s="140"/>
      <c r="V719" s="90"/>
      <c r="W719" s="140"/>
      <c r="X719" s="90"/>
      <c r="Y719" s="140"/>
      <c r="Z719" s="90"/>
      <c r="AA719" s="140"/>
      <c r="AB719" s="90"/>
      <c r="AC719" s="140"/>
      <c r="AD719" s="90"/>
      <c r="AE719" s="140"/>
      <c r="AF719" s="137" t="str">
        <f t="shared" si="37"/>
        <v/>
      </c>
      <c r="AG719" s="179" t="b">
        <f t="shared" si="36"/>
        <v>0</v>
      </c>
      <c r="AH719" s="140"/>
      <c r="AI719" s="147" t="s">
        <v>36</v>
      </c>
      <c r="AJ719" s="145">
        <f t="shared" si="35"/>
        <v>0</v>
      </c>
      <c r="AK719" s="148" t="s">
        <v>75</v>
      </c>
    </row>
    <row r="720" spans="1:37" ht="30" customHeight="1">
      <c r="A720" s="62"/>
      <c r="B720" s="62"/>
      <c r="C720" s="62"/>
      <c r="D720" s="62"/>
      <c r="E720" s="62"/>
      <c r="F720" s="62"/>
      <c r="G720" s="62"/>
      <c r="H720" s="62"/>
      <c r="I720" s="62"/>
      <c r="J720" s="62"/>
      <c r="K720" s="62"/>
      <c r="L720" s="62"/>
      <c r="M720" s="62"/>
      <c r="N720" s="186"/>
      <c r="O720" s="152"/>
      <c r="P720" s="90"/>
      <c r="Q720" s="140"/>
      <c r="R720" s="90"/>
      <c r="S720" s="140"/>
      <c r="T720" s="90"/>
      <c r="U720" s="140"/>
      <c r="V720" s="90"/>
      <c r="W720" s="140"/>
      <c r="X720" s="90"/>
      <c r="Y720" s="140"/>
      <c r="Z720" s="90"/>
      <c r="AA720" s="140"/>
      <c r="AB720" s="90"/>
      <c r="AC720" s="140"/>
      <c r="AD720" s="90"/>
      <c r="AE720" s="140"/>
      <c r="AF720" s="137" t="str">
        <f t="shared" si="37"/>
        <v/>
      </c>
      <c r="AG720" s="179" t="b">
        <f t="shared" si="36"/>
        <v>0</v>
      </c>
      <c r="AH720" s="140"/>
      <c r="AI720" s="147" t="s">
        <v>36</v>
      </c>
      <c r="AJ720" s="145">
        <f t="shared" si="35"/>
        <v>0</v>
      </c>
      <c r="AK720" s="148" t="s">
        <v>75</v>
      </c>
    </row>
    <row r="721" spans="1:37" ht="30" customHeight="1">
      <c r="A721" s="62"/>
      <c r="B721" s="62"/>
      <c r="C721" s="62"/>
      <c r="D721" s="62"/>
      <c r="E721" s="62"/>
      <c r="F721" s="62"/>
      <c r="G721" s="62"/>
      <c r="H721" s="62"/>
      <c r="I721" s="62"/>
      <c r="J721" s="62"/>
      <c r="K721" s="62"/>
      <c r="L721" s="62"/>
      <c r="M721" s="62"/>
      <c r="N721" s="186"/>
      <c r="O721" s="152"/>
      <c r="P721" s="90"/>
      <c r="Q721" s="140"/>
      <c r="R721" s="90"/>
      <c r="S721" s="140"/>
      <c r="T721" s="90"/>
      <c r="U721" s="140"/>
      <c r="V721" s="90"/>
      <c r="W721" s="140"/>
      <c r="X721" s="90"/>
      <c r="Y721" s="140"/>
      <c r="Z721" s="90"/>
      <c r="AA721" s="140"/>
      <c r="AB721" s="90"/>
      <c r="AC721" s="140"/>
      <c r="AD721" s="90"/>
      <c r="AE721" s="140"/>
      <c r="AF721" s="137" t="str">
        <f t="shared" si="37"/>
        <v/>
      </c>
      <c r="AG721" s="179" t="b">
        <f t="shared" si="36"/>
        <v>0</v>
      </c>
      <c r="AH721" s="140"/>
      <c r="AI721" s="147" t="s">
        <v>36</v>
      </c>
      <c r="AJ721" s="145">
        <f t="shared" si="35"/>
        <v>0</v>
      </c>
      <c r="AK721" s="148" t="s">
        <v>75</v>
      </c>
    </row>
    <row r="722" spans="1:37" ht="30" customHeight="1">
      <c r="A722" s="62"/>
      <c r="B722" s="62"/>
      <c r="C722" s="62"/>
      <c r="D722" s="62"/>
      <c r="E722" s="62"/>
      <c r="F722" s="62"/>
      <c r="G722" s="62"/>
      <c r="H722" s="62"/>
      <c r="I722" s="62"/>
      <c r="J722" s="62"/>
      <c r="K722" s="62"/>
      <c r="L722" s="62"/>
      <c r="M722" s="62"/>
      <c r="N722" s="186"/>
      <c r="O722" s="152"/>
      <c r="P722" s="90"/>
      <c r="Q722" s="140"/>
      <c r="R722" s="90"/>
      <c r="S722" s="140"/>
      <c r="T722" s="90"/>
      <c r="U722" s="140"/>
      <c r="V722" s="90"/>
      <c r="W722" s="140"/>
      <c r="X722" s="90"/>
      <c r="Y722" s="140"/>
      <c r="Z722" s="90"/>
      <c r="AA722" s="140"/>
      <c r="AB722" s="90"/>
      <c r="AC722" s="140"/>
      <c r="AD722" s="90"/>
      <c r="AE722" s="140"/>
      <c r="AF722" s="137" t="str">
        <f t="shared" si="37"/>
        <v/>
      </c>
      <c r="AG722" s="179" t="b">
        <f t="shared" si="36"/>
        <v>0</v>
      </c>
      <c r="AH722" s="140"/>
      <c r="AI722" s="147" t="s">
        <v>36</v>
      </c>
      <c r="AJ722" s="145">
        <f t="shared" si="35"/>
        <v>0</v>
      </c>
      <c r="AK722" s="148" t="s">
        <v>75</v>
      </c>
    </row>
    <row r="723" spans="1:37" ht="30" customHeight="1">
      <c r="A723" s="62"/>
      <c r="B723" s="62"/>
      <c r="C723" s="62"/>
      <c r="D723" s="62"/>
      <c r="E723" s="62"/>
      <c r="F723" s="62"/>
      <c r="G723" s="62"/>
      <c r="H723" s="62"/>
      <c r="I723" s="62"/>
      <c r="J723" s="62"/>
      <c r="K723" s="62"/>
      <c r="L723" s="62"/>
      <c r="M723" s="62"/>
      <c r="N723" s="186"/>
      <c r="O723" s="152"/>
      <c r="P723" s="90"/>
      <c r="Q723" s="140"/>
      <c r="R723" s="90"/>
      <c r="S723" s="140"/>
      <c r="T723" s="90"/>
      <c r="U723" s="140"/>
      <c r="V723" s="90"/>
      <c r="W723" s="140"/>
      <c r="X723" s="90"/>
      <c r="Y723" s="140"/>
      <c r="Z723" s="90"/>
      <c r="AA723" s="140"/>
      <c r="AB723" s="90"/>
      <c r="AC723" s="140"/>
      <c r="AD723" s="90"/>
      <c r="AE723" s="140"/>
      <c r="AF723" s="137" t="str">
        <f t="shared" si="37"/>
        <v/>
      </c>
      <c r="AG723" s="179" t="b">
        <f t="shared" si="36"/>
        <v>0</v>
      </c>
      <c r="AH723" s="140"/>
      <c r="AI723" s="147" t="s">
        <v>36</v>
      </c>
      <c r="AJ723" s="145">
        <f t="shared" si="35"/>
        <v>0</v>
      </c>
      <c r="AK723" s="148" t="s">
        <v>75</v>
      </c>
    </row>
    <row r="724" spans="1:37" ht="30" customHeight="1">
      <c r="A724" s="62"/>
      <c r="B724" s="62"/>
      <c r="C724" s="62"/>
      <c r="D724" s="62"/>
      <c r="E724" s="62"/>
      <c r="F724" s="62"/>
      <c r="G724" s="62"/>
      <c r="H724" s="62"/>
      <c r="I724" s="62"/>
      <c r="J724" s="62"/>
      <c r="K724" s="62"/>
      <c r="L724" s="62"/>
      <c r="M724" s="62"/>
      <c r="N724" s="186"/>
      <c r="O724" s="152"/>
      <c r="P724" s="90"/>
      <c r="Q724" s="140"/>
      <c r="R724" s="90"/>
      <c r="S724" s="140"/>
      <c r="T724" s="90"/>
      <c r="U724" s="140"/>
      <c r="V724" s="90"/>
      <c r="W724" s="140"/>
      <c r="X724" s="90"/>
      <c r="Y724" s="140"/>
      <c r="Z724" s="90"/>
      <c r="AA724" s="140"/>
      <c r="AB724" s="90"/>
      <c r="AC724" s="140"/>
      <c r="AD724" s="90"/>
      <c r="AE724" s="140"/>
      <c r="AF724" s="137" t="str">
        <f t="shared" si="37"/>
        <v/>
      </c>
      <c r="AG724" s="179" t="b">
        <f t="shared" si="36"/>
        <v>0</v>
      </c>
      <c r="AH724" s="140"/>
      <c r="AI724" s="147" t="s">
        <v>36</v>
      </c>
      <c r="AJ724" s="145">
        <f t="shared" si="35"/>
        <v>0</v>
      </c>
      <c r="AK724" s="148" t="s">
        <v>75</v>
      </c>
    </row>
    <row r="725" spans="1:37" ht="30" customHeight="1">
      <c r="A725" s="62"/>
      <c r="B725" s="62"/>
      <c r="C725" s="62"/>
      <c r="D725" s="62"/>
      <c r="E725" s="62"/>
      <c r="F725" s="62"/>
      <c r="G725" s="62"/>
      <c r="H725" s="62"/>
      <c r="I725" s="62"/>
      <c r="J725" s="62"/>
      <c r="K725" s="62"/>
      <c r="L725" s="62"/>
      <c r="M725" s="62"/>
      <c r="N725" s="186"/>
      <c r="O725" s="152"/>
      <c r="P725" s="90"/>
      <c r="Q725" s="140"/>
      <c r="R725" s="90"/>
      <c r="S725" s="140"/>
      <c r="T725" s="90"/>
      <c r="U725" s="140"/>
      <c r="V725" s="90"/>
      <c r="W725" s="140"/>
      <c r="X725" s="90"/>
      <c r="Y725" s="140"/>
      <c r="Z725" s="90"/>
      <c r="AA725" s="140"/>
      <c r="AB725" s="90"/>
      <c r="AC725" s="140"/>
      <c r="AD725" s="90"/>
      <c r="AE725" s="140"/>
      <c r="AF725" s="137" t="str">
        <f t="shared" si="37"/>
        <v/>
      </c>
      <c r="AG725" s="179" t="b">
        <f t="shared" si="36"/>
        <v>0</v>
      </c>
      <c r="AH725" s="140"/>
      <c r="AI725" s="147" t="s">
        <v>36</v>
      </c>
      <c r="AJ725" s="145">
        <f t="shared" si="35"/>
        <v>0</v>
      </c>
      <c r="AK725" s="148" t="s">
        <v>75</v>
      </c>
    </row>
    <row r="726" spans="1:37" ht="30" customHeight="1">
      <c r="A726" s="62"/>
      <c r="B726" s="62"/>
      <c r="C726" s="62"/>
      <c r="D726" s="62"/>
      <c r="E726" s="62"/>
      <c r="F726" s="62"/>
      <c r="G726" s="62"/>
      <c r="H726" s="62"/>
      <c r="I726" s="62"/>
      <c r="J726" s="62"/>
      <c r="K726" s="62"/>
      <c r="L726" s="62"/>
      <c r="M726" s="62"/>
      <c r="N726" s="186"/>
      <c r="O726" s="152"/>
      <c r="P726" s="90"/>
      <c r="Q726" s="140"/>
      <c r="R726" s="90"/>
      <c r="S726" s="140"/>
      <c r="T726" s="90"/>
      <c r="U726" s="140"/>
      <c r="V726" s="90"/>
      <c r="W726" s="140"/>
      <c r="X726" s="90"/>
      <c r="Y726" s="140"/>
      <c r="Z726" s="90"/>
      <c r="AA726" s="140"/>
      <c r="AB726" s="90"/>
      <c r="AC726" s="140"/>
      <c r="AD726" s="90"/>
      <c r="AE726" s="140"/>
      <c r="AF726" s="137" t="str">
        <f t="shared" si="37"/>
        <v/>
      </c>
      <c r="AG726" s="179" t="b">
        <f t="shared" si="36"/>
        <v>0</v>
      </c>
      <c r="AH726" s="140"/>
      <c r="AI726" s="147" t="s">
        <v>36</v>
      </c>
      <c r="AJ726" s="145">
        <f t="shared" si="35"/>
        <v>0</v>
      </c>
      <c r="AK726" s="148" t="s">
        <v>75</v>
      </c>
    </row>
    <row r="727" spans="1:37" ht="30" customHeight="1">
      <c r="A727" s="62"/>
      <c r="B727" s="62"/>
      <c r="C727" s="62"/>
      <c r="D727" s="62"/>
      <c r="E727" s="62"/>
      <c r="F727" s="62"/>
      <c r="G727" s="62"/>
      <c r="H727" s="62"/>
      <c r="I727" s="62"/>
      <c r="J727" s="62"/>
      <c r="K727" s="62"/>
      <c r="L727" s="62"/>
      <c r="M727" s="62"/>
      <c r="N727" s="186"/>
      <c r="O727" s="152"/>
      <c r="P727" s="90"/>
      <c r="Q727" s="140"/>
      <c r="R727" s="90"/>
      <c r="S727" s="140"/>
      <c r="T727" s="90"/>
      <c r="U727" s="140"/>
      <c r="V727" s="90"/>
      <c r="W727" s="140"/>
      <c r="X727" s="90"/>
      <c r="Y727" s="140"/>
      <c r="Z727" s="90"/>
      <c r="AA727" s="140"/>
      <c r="AB727" s="90"/>
      <c r="AC727" s="140"/>
      <c r="AD727" s="90"/>
      <c r="AE727" s="140"/>
      <c r="AF727" s="137" t="str">
        <f t="shared" si="37"/>
        <v/>
      </c>
      <c r="AG727" s="179" t="b">
        <f t="shared" si="36"/>
        <v>0</v>
      </c>
      <c r="AH727" s="140"/>
      <c r="AI727" s="147" t="s">
        <v>36</v>
      </c>
      <c r="AJ727" s="145">
        <f t="shared" si="35"/>
        <v>0</v>
      </c>
      <c r="AK727" s="148" t="s">
        <v>75</v>
      </c>
    </row>
    <row r="728" spans="1:37" ht="30" customHeight="1">
      <c r="A728" s="62"/>
      <c r="B728" s="62"/>
      <c r="C728" s="62"/>
      <c r="D728" s="62"/>
      <c r="E728" s="62"/>
      <c r="F728" s="62"/>
      <c r="G728" s="62"/>
      <c r="H728" s="62"/>
      <c r="I728" s="62"/>
      <c r="J728" s="62"/>
      <c r="K728" s="62"/>
      <c r="L728" s="62"/>
      <c r="M728" s="62"/>
      <c r="N728" s="186"/>
      <c r="O728" s="152"/>
      <c r="P728" s="90"/>
      <c r="Q728" s="140"/>
      <c r="R728" s="90"/>
      <c r="S728" s="140"/>
      <c r="T728" s="90"/>
      <c r="U728" s="140"/>
      <c r="V728" s="90"/>
      <c r="W728" s="140"/>
      <c r="X728" s="90"/>
      <c r="Y728" s="140"/>
      <c r="Z728" s="90"/>
      <c r="AA728" s="140"/>
      <c r="AB728" s="90"/>
      <c r="AC728" s="140"/>
      <c r="AD728" s="90"/>
      <c r="AE728" s="140"/>
      <c r="AF728" s="137" t="str">
        <f t="shared" si="37"/>
        <v/>
      </c>
      <c r="AG728" s="179" t="b">
        <f t="shared" si="36"/>
        <v>0</v>
      </c>
      <c r="AH728" s="140"/>
      <c r="AI728" s="147" t="s">
        <v>36</v>
      </c>
      <c r="AJ728" s="145">
        <f t="shared" si="35"/>
        <v>0</v>
      </c>
      <c r="AK728" s="148" t="s">
        <v>75</v>
      </c>
    </row>
    <row r="729" spans="1:37" ht="30" customHeight="1">
      <c r="A729" s="62"/>
      <c r="B729" s="62"/>
      <c r="C729" s="62"/>
      <c r="D729" s="62"/>
      <c r="E729" s="62"/>
      <c r="F729" s="62"/>
      <c r="G729" s="62"/>
      <c r="H729" s="62"/>
      <c r="I729" s="62"/>
      <c r="J729" s="62"/>
      <c r="K729" s="62"/>
      <c r="L729" s="62"/>
      <c r="M729" s="62"/>
      <c r="N729" s="186"/>
      <c r="O729" s="152"/>
      <c r="P729" s="90"/>
      <c r="Q729" s="140"/>
      <c r="R729" s="90"/>
      <c r="S729" s="140"/>
      <c r="T729" s="90"/>
      <c r="U729" s="140"/>
      <c r="V729" s="90"/>
      <c r="W729" s="140"/>
      <c r="X729" s="90"/>
      <c r="Y729" s="140"/>
      <c r="Z729" s="90"/>
      <c r="AA729" s="140"/>
      <c r="AB729" s="90"/>
      <c r="AC729" s="140"/>
      <c r="AD729" s="90"/>
      <c r="AE729" s="140"/>
      <c r="AF729" s="137" t="str">
        <f t="shared" si="37"/>
        <v/>
      </c>
      <c r="AG729" s="179" t="b">
        <f t="shared" si="36"/>
        <v>0</v>
      </c>
      <c r="AH729" s="140"/>
      <c r="AI729" s="147" t="s">
        <v>36</v>
      </c>
      <c r="AJ729" s="145">
        <f t="shared" si="35"/>
        <v>0</v>
      </c>
      <c r="AK729" s="148" t="s">
        <v>75</v>
      </c>
    </row>
    <row r="730" spans="1:37" ht="30" customHeight="1">
      <c r="A730" s="62"/>
      <c r="B730" s="62"/>
      <c r="C730" s="62"/>
      <c r="D730" s="62"/>
      <c r="E730" s="62"/>
      <c r="F730" s="62"/>
      <c r="G730" s="62"/>
      <c r="H730" s="62"/>
      <c r="I730" s="62"/>
      <c r="J730" s="62"/>
      <c r="K730" s="62"/>
      <c r="L730" s="62"/>
      <c r="M730" s="62"/>
      <c r="N730" s="186"/>
      <c r="O730" s="152"/>
      <c r="P730" s="90"/>
      <c r="Q730" s="140"/>
      <c r="R730" s="90"/>
      <c r="S730" s="140"/>
      <c r="T730" s="90"/>
      <c r="U730" s="140"/>
      <c r="V730" s="90"/>
      <c r="W730" s="140"/>
      <c r="X730" s="90"/>
      <c r="Y730" s="140"/>
      <c r="Z730" s="90"/>
      <c r="AA730" s="140"/>
      <c r="AB730" s="90"/>
      <c r="AC730" s="140"/>
      <c r="AD730" s="90"/>
      <c r="AE730" s="140"/>
      <c r="AF730" s="137" t="str">
        <f t="shared" si="37"/>
        <v/>
      </c>
      <c r="AG730" s="179" t="b">
        <f t="shared" si="36"/>
        <v>0</v>
      </c>
      <c r="AH730" s="140"/>
      <c r="AI730" s="147" t="s">
        <v>36</v>
      </c>
      <c r="AJ730" s="145">
        <f t="shared" si="35"/>
        <v>0</v>
      </c>
      <c r="AK730" s="148" t="s">
        <v>75</v>
      </c>
    </row>
    <row r="731" spans="1:37" ht="30" customHeight="1">
      <c r="A731" s="62"/>
      <c r="B731" s="62"/>
      <c r="C731" s="62"/>
      <c r="D731" s="62"/>
      <c r="E731" s="62"/>
      <c r="F731" s="62"/>
      <c r="G731" s="62"/>
      <c r="H731" s="62"/>
      <c r="I731" s="62"/>
      <c r="J731" s="62"/>
      <c r="K731" s="62"/>
      <c r="L731" s="62"/>
      <c r="M731" s="62"/>
      <c r="N731" s="186"/>
      <c r="O731" s="152"/>
      <c r="P731" s="90"/>
      <c r="Q731" s="140"/>
      <c r="R731" s="90"/>
      <c r="S731" s="140"/>
      <c r="T731" s="90"/>
      <c r="U731" s="140"/>
      <c r="V731" s="90"/>
      <c r="W731" s="140"/>
      <c r="X731" s="90"/>
      <c r="Y731" s="140"/>
      <c r="Z731" s="90"/>
      <c r="AA731" s="140"/>
      <c r="AB731" s="90"/>
      <c r="AC731" s="140"/>
      <c r="AD731" s="90"/>
      <c r="AE731" s="140"/>
      <c r="AF731" s="137" t="str">
        <f t="shared" si="37"/>
        <v/>
      </c>
      <c r="AG731" s="179" t="b">
        <f t="shared" si="36"/>
        <v>0</v>
      </c>
      <c r="AH731" s="140"/>
      <c r="AI731" s="147" t="s">
        <v>36</v>
      </c>
      <c r="AJ731" s="145">
        <f t="shared" si="35"/>
        <v>0</v>
      </c>
      <c r="AK731" s="148" t="s">
        <v>75</v>
      </c>
    </row>
    <row r="732" spans="1:37" ht="30" customHeight="1">
      <c r="A732" s="62"/>
      <c r="B732" s="62"/>
      <c r="C732" s="62"/>
      <c r="D732" s="62"/>
      <c r="E732" s="62"/>
      <c r="F732" s="62"/>
      <c r="G732" s="62"/>
      <c r="H732" s="62"/>
      <c r="I732" s="62"/>
      <c r="J732" s="62"/>
      <c r="K732" s="62"/>
      <c r="L732" s="62"/>
      <c r="M732" s="62"/>
      <c r="N732" s="186"/>
      <c r="O732" s="152"/>
      <c r="P732" s="90"/>
      <c r="Q732" s="140"/>
      <c r="R732" s="90"/>
      <c r="S732" s="140"/>
      <c r="T732" s="90"/>
      <c r="U732" s="140"/>
      <c r="V732" s="90"/>
      <c r="W732" s="140"/>
      <c r="X732" s="90"/>
      <c r="Y732" s="140"/>
      <c r="Z732" s="90"/>
      <c r="AA732" s="140"/>
      <c r="AB732" s="90"/>
      <c r="AC732" s="140"/>
      <c r="AD732" s="90"/>
      <c r="AE732" s="140"/>
      <c r="AF732" s="137" t="str">
        <f t="shared" si="37"/>
        <v/>
      </c>
      <c r="AG732" s="179" t="b">
        <f t="shared" si="36"/>
        <v>0</v>
      </c>
      <c r="AH732" s="140"/>
      <c r="AI732" s="147" t="s">
        <v>36</v>
      </c>
      <c r="AJ732" s="145">
        <f t="shared" si="35"/>
        <v>0</v>
      </c>
      <c r="AK732" s="148" t="s">
        <v>75</v>
      </c>
    </row>
    <row r="733" spans="1:37" ht="30" customHeight="1">
      <c r="A733" s="62"/>
      <c r="B733" s="62"/>
      <c r="C733" s="62"/>
      <c r="D733" s="62"/>
      <c r="E733" s="62"/>
      <c r="F733" s="62"/>
      <c r="G733" s="62"/>
      <c r="H733" s="62"/>
      <c r="I733" s="62"/>
      <c r="J733" s="62"/>
      <c r="K733" s="62"/>
      <c r="L733" s="62"/>
      <c r="M733" s="62"/>
      <c r="N733" s="186"/>
      <c r="O733" s="152"/>
      <c r="P733" s="90"/>
      <c r="Q733" s="140"/>
      <c r="R733" s="90"/>
      <c r="S733" s="140"/>
      <c r="T733" s="90"/>
      <c r="U733" s="140"/>
      <c r="V733" s="90"/>
      <c r="W733" s="140"/>
      <c r="X733" s="90"/>
      <c r="Y733" s="140"/>
      <c r="Z733" s="90"/>
      <c r="AA733" s="140"/>
      <c r="AB733" s="90"/>
      <c r="AC733" s="140"/>
      <c r="AD733" s="90"/>
      <c r="AE733" s="140"/>
      <c r="AF733" s="137" t="str">
        <f t="shared" si="37"/>
        <v/>
      </c>
      <c r="AG733" s="179" t="b">
        <f t="shared" si="36"/>
        <v>0</v>
      </c>
      <c r="AH733" s="140"/>
      <c r="AI733" s="147" t="s">
        <v>36</v>
      </c>
      <c r="AJ733" s="145">
        <f t="shared" si="35"/>
        <v>0</v>
      </c>
      <c r="AK733" s="148" t="s">
        <v>75</v>
      </c>
    </row>
    <row r="734" spans="1:37" ht="30" customHeight="1">
      <c r="A734" s="62"/>
      <c r="B734" s="62"/>
      <c r="C734" s="62"/>
      <c r="D734" s="62"/>
      <c r="E734" s="62"/>
      <c r="F734" s="62"/>
      <c r="G734" s="62"/>
      <c r="H734" s="62"/>
      <c r="I734" s="62"/>
      <c r="J734" s="62"/>
      <c r="K734" s="62"/>
      <c r="L734" s="62"/>
      <c r="M734" s="62"/>
      <c r="N734" s="186"/>
      <c r="O734" s="152"/>
      <c r="P734" s="90"/>
      <c r="Q734" s="140"/>
      <c r="R734" s="90"/>
      <c r="S734" s="140"/>
      <c r="T734" s="90"/>
      <c r="U734" s="140"/>
      <c r="V734" s="90"/>
      <c r="W734" s="140"/>
      <c r="X734" s="90"/>
      <c r="Y734" s="140"/>
      <c r="Z734" s="90"/>
      <c r="AA734" s="140"/>
      <c r="AB734" s="90"/>
      <c r="AC734" s="140"/>
      <c r="AD734" s="90"/>
      <c r="AE734" s="140"/>
      <c r="AF734" s="137" t="str">
        <f t="shared" si="37"/>
        <v/>
      </c>
      <c r="AG734" s="179" t="b">
        <f t="shared" si="36"/>
        <v>0</v>
      </c>
      <c r="AH734" s="140"/>
      <c r="AI734" s="147" t="s">
        <v>36</v>
      </c>
      <c r="AJ734" s="145">
        <f t="shared" si="35"/>
        <v>0</v>
      </c>
      <c r="AK734" s="148" t="s">
        <v>75</v>
      </c>
    </row>
    <row r="735" spans="1:37" ht="30" customHeight="1">
      <c r="A735" s="62"/>
      <c r="B735" s="62"/>
      <c r="C735" s="62"/>
      <c r="D735" s="62"/>
      <c r="E735" s="62"/>
      <c r="F735" s="62"/>
      <c r="G735" s="62"/>
      <c r="H735" s="62"/>
      <c r="I735" s="62"/>
      <c r="J735" s="62"/>
      <c r="K735" s="62"/>
      <c r="L735" s="62"/>
      <c r="M735" s="62"/>
      <c r="N735" s="186"/>
      <c r="O735" s="152"/>
      <c r="P735" s="90"/>
      <c r="Q735" s="140"/>
      <c r="R735" s="90"/>
      <c r="S735" s="140"/>
      <c r="T735" s="90"/>
      <c r="U735" s="140"/>
      <c r="V735" s="90"/>
      <c r="W735" s="140"/>
      <c r="X735" s="90"/>
      <c r="Y735" s="140"/>
      <c r="Z735" s="90"/>
      <c r="AA735" s="140"/>
      <c r="AB735" s="90"/>
      <c r="AC735" s="140"/>
      <c r="AD735" s="90"/>
      <c r="AE735" s="140"/>
      <c r="AF735" s="137" t="str">
        <f t="shared" si="37"/>
        <v/>
      </c>
      <c r="AG735" s="179" t="b">
        <f t="shared" si="36"/>
        <v>0</v>
      </c>
      <c r="AH735" s="140"/>
      <c r="AI735" s="147" t="s">
        <v>36</v>
      </c>
      <c r="AJ735" s="145">
        <f t="shared" si="35"/>
        <v>0</v>
      </c>
      <c r="AK735" s="148" t="s">
        <v>75</v>
      </c>
    </row>
    <row r="736" spans="1:37" ht="30" customHeight="1">
      <c r="A736" s="62"/>
      <c r="B736" s="62"/>
      <c r="C736" s="62"/>
      <c r="D736" s="62"/>
      <c r="E736" s="62"/>
      <c r="F736" s="62"/>
      <c r="G736" s="62"/>
      <c r="H736" s="62"/>
      <c r="I736" s="62"/>
      <c r="J736" s="62"/>
      <c r="K736" s="62"/>
      <c r="L736" s="62"/>
      <c r="M736" s="62"/>
      <c r="N736" s="186"/>
      <c r="O736" s="152"/>
      <c r="P736" s="90"/>
      <c r="Q736" s="140"/>
      <c r="R736" s="90"/>
      <c r="S736" s="140"/>
      <c r="T736" s="90"/>
      <c r="U736" s="140"/>
      <c r="V736" s="90"/>
      <c r="W736" s="140"/>
      <c r="X736" s="90"/>
      <c r="Y736" s="140"/>
      <c r="Z736" s="90"/>
      <c r="AA736" s="140"/>
      <c r="AB736" s="90"/>
      <c r="AC736" s="140"/>
      <c r="AD736" s="90"/>
      <c r="AE736" s="140"/>
      <c r="AF736" s="137" t="str">
        <f t="shared" si="37"/>
        <v/>
      </c>
      <c r="AG736" s="179" t="b">
        <f t="shared" si="36"/>
        <v>0</v>
      </c>
      <c r="AH736" s="140"/>
      <c r="AI736" s="147" t="s">
        <v>36</v>
      </c>
      <c r="AJ736" s="145">
        <f t="shared" ref="AJ736:AJ799" si="38">E736</f>
        <v>0</v>
      </c>
      <c r="AK736" s="148" t="s">
        <v>75</v>
      </c>
    </row>
    <row r="737" spans="1:37" ht="30" customHeight="1">
      <c r="A737" s="62"/>
      <c r="B737" s="62"/>
      <c r="C737" s="62"/>
      <c r="D737" s="62"/>
      <c r="E737" s="62"/>
      <c r="F737" s="62"/>
      <c r="G737" s="62"/>
      <c r="H737" s="62"/>
      <c r="I737" s="62"/>
      <c r="J737" s="62"/>
      <c r="K737" s="62"/>
      <c r="L737" s="62"/>
      <c r="M737" s="62"/>
      <c r="N737" s="186"/>
      <c r="O737" s="152"/>
      <c r="P737" s="90"/>
      <c r="Q737" s="140"/>
      <c r="R737" s="90"/>
      <c r="S737" s="140"/>
      <c r="T737" s="90"/>
      <c r="U737" s="140"/>
      <c r="V737" s="90"/>
      <c r="W737" s="140"/>
      <c r="X737" s="90"/>
      <c r="Y737" s="140"/>
      <c r="Z737" s="90"/>
      <c r="AA737" s="140"/>
      <c r="AB737" s="90"/>
      <c r="AC737" s="140"/>
      <c r="AD737" s="90"/>
      <c r="AE737" s="140"/>
      <c r="AF737" s="137" t="str">
        <f t="shared" si="37"/>
        <v/>
      </c>
      <c r="AG737" s="179" t="b">
        <f t="shared" si="36"/>
        <v>0</v>
      </c>
      <c r="AH737" s="140"/>
      <c r="AI737" s="147" t="s">
        <v>36</v>
      </c>
      <c r="AJ737" s="145">
        <f t="shared" si="38"/>
        <v>0</v>
      </c>
      <c r="AK737" s="148" t="s">
        <v>75</v>
      </c>
    </row>
    <row r="738" spans="1:37" ht="30" customHeight="1">
      <c r="A738" s="62"/>
      <c r="B738" s="62"/>
      <c r="C738" s="62"/>
      <c r="D738" s="62"/>
      <c r="E738" s="62"/>
      <c r="F738" s="62"/>
      <c r="G738" s="62"/>
      <c r="H738" s="62"/>
      <c r="I738" s="62"/>
      <c r="J738" s="62"/>
      <c r="K738" s="62"/>
      <c r="L738" s="62"/>
      <c r="M738" s="62"/>
      <c r="N738" s="186"/>
      <c r="O738" s="152"/>
      <c r="P738" s="90"/>
      <c r="Q738" s="140"/>
      <c r="R738" s="90"/>
      <c r="S738" s="140"/>
      <c r="T738" s="90"/>
      <c r="U738" s="140"/>
      <c r="V738" s="90"/>
      <c r="W738" s="140"/>
      <c r="X738" s="90"/>
      <c r="Y738" s="140"/>
      <c r="Z738" s="90"/>
      <c r="AA738" s="140"/>
      <c r="AB738" s="90"/>
      <c r="AC738" s="140"/>
      <c r="AD738" s="90"/>
      <c r="AE738" s="140"/>
      <c r="AF738" s="137" t="str">
        <f t="shared" si="37"/>
        <v/>
      </c>
      <c r="AG738" s="179" t="b">
        <f t="shared" si="36"/>
        <v>0</v>
      </c>
      <c r="AH738" s="140"/>
      <c r="AI738" s="147" t="s">
        <v>36</v>
      </c>
      <c r="AJ738" s="145">
        <f t="shared" si="38"/>
        <v>0</v>
      </c>
      <c r="AK738" s="148" t="s">
        <v>75</v>
      </c>
    </row>
    <row r="739" spans="1:37" ht="30" customHeight="1">
      <c r="A739" s="62"/>
      <c r="B739" s="62"/>
      <c r="C739" s="62"/>
      <c r="D739" s="62"/>
      <c r="E739" s="62"/>
      <c r="F739" s="62"/>
      <c r="G739" s="62"/>
      <c r="H739" s="62"/>
      <c r="I739" s="62"/>
      <c r="J739" s="62"/>
      <c r="K739" s="62"/>
      <c r="L739" s="62"/>
      <c r="M739" s="62"/>
      <c r="N739" s="186"/>
      <c r="O739" s="152"/>
      <c r="P739" s="90"/>
      <c r="Q739" s="140"/>
      <c r="R739" s="90"/>
      <c r="S739" s="140"/>
      <c r="T739" s="90"/>
      <c r="U739" s="140"/>
      <c r="V739" s="90"/>
      <c r="W739" s="140"/>
      <c r="X739" s="90"/>
      <c r="Y739" s="140"/>
      <c r="Z739" s="90"/>
      <c r="AA739" s="140"/>
      <c r="AB739" s="90"/>
      <c r="AC739" s="140"/>
      <c r="AD739" s="90"/>
      <c r="AE739" s="140"/>
      <c r="AF739" s="137" t="str">
        <f t="shared" si="37"/>
        <v/>
      </c>
      <c r="AG739" s="179" t="b">
        <f t="shared" si="36"/>
        <v>0</v>
      </c>
      <c r="AH739" s="140"/>
      <c r="AI739" s="147" t="s">
        <v>36</v>
      </c>
      <c r="AJ739" s="145">
        <f t="shared" si="38"/>
        <v>0</v>
      </c>
      <c r="AK739" s="148" t="s">
        <v>75</v>
      </c>
    </row>
    <row r="740" spans="1:37" ht="30" customHeight="1">
      <c r="A740" s="62"/>
      <c r="B740" s="62"/>
      <c r="C740" s="62"/>
      <c r="D740" s="62"/>
      <c r="E740" s="62"/>
      <c r="F740" s="62"/>
      <c r="G740" s="62"/>
      <c r="H740" s="62"/>
      <c r="I740" s="62"/>
      <c r="J740" s="62"/>
      <c r="K740" s="62"/>
      <c r="L740" s="62"/>
      <c r="M740" s="62"/>
      <c r="N740" s="186"/>
      <c r="O740" s="152"/>
      <c r="P740" s="90"/>
      <c r="Q740" s="140"/>
      <c r="R740" s="90"/>
      <c r="S740" s="140"/>
      <c r="T740" s="90"/>
      <c r="U740" s="140"/>
      <c r="V740" s="90"/>
      <c r="W740" s="140"/>
      <c r="X740" s="90"/>
      <c r="Y740" s="140"/>
      <c r="Z740" s="90"/>
      <c r="AA740" s="140"/>
      <c r="AB740" s="90"/>
      <c r="AC740" s="140"/>
      <c r="AD740" s="90"/>
      <c r="AE740" s="140"/>
      <c r="AF740" s="137" t="str">
        <f t="shared" si="37"/>
        <v/>
      </c>
      <c r="AG740" s="179" t="b">
        <f t="shared" si="36"/>
        <v>0</v>
      </c>
      <c r="AH740" s="140"/>
      <c r="AI740" s="147" t="s">
        <v>36</v>
      </c>
      <c r="AJ740" s="145">
        <f t="shared" si="38"/>
        <v>0</v>
      </c>
      <c r="AK740" s="148" t="s">
        <v>75</v>
      </c>
    </row>
    <row r="741" spans="1:37" ht="30" customHeight="1">
      <c r="A741" s="62"/>
      <c r="B741" s="62"/>
      <c r="C741" s="62"/>
      <c r="D741" s="62"/>
      <c r="E741" s="62"/>
      <c r="F741" s="62"/>
      <c r="G741" s="62"/>
      <c r="H741" s="62"/>
      <c r="I741" s="62"/>
      <c r="J741" s="62"/>
      <c r="K741" s="62"/>
      <c r="L741" s="62"/>
      <c r="M741" s="62"/>
      <c r="N741" s="186"/>
      <c r="O741" s="152"/>
      <c r="P741" s="90"/>
      <c r="Q741" s="140"/>
      <c r="R741" s="90"/>
      <c r="S741" s="140"/>
      <c r="T741" s="90"/>
      <c r="U741" s="140"/>
      <c r="V741" s="90"/>
      <c r="W741" s="140"/>
      <c r="X741" s="90"/>
      <c r="Y741" s="140"/>
      <c r="Z741" s="90"/>
      <c r="AA741" s="140"/>
      <c r="AB741" s="90"/>
      <c r="AC741" s="140"/>
      <c r="AD741" s="90"/>
      <c r="AE741" s="140"/>
      <c r="AF741" s="137" t="str">
        <f t="shared" si="37"/>
        <v/>
      </c>
      <c r="AG741" s="179" t="b">
        <f t="shared" si="36"/>
        <v>0</v>
      </c>
      <c r="AH741" s="140"/>
      <c r="AI741" s="147" t="s">
        <v>36</v>
      </c>
      <c r="AJ741" s="145">
        <f t="shared" si="38"/>
        <v>0</v>
      </c>
      <c r="AK741" s="148" t="s">
        <v>75</v>
      </c>
    </row>
    <row r="742" spans="1:37" ht="30" customHeight="1">
      <c r="A742" s="62"/>
      <c r="B742" s="62"/>
      <c r="C742" s="62"/>
      <c r="D742" s="62"/>
      <c r="E742" s="62"/>
      <c r="F742" s="62"/>
      <c r="G742" s="62"/>
      <c r="H742" s="62"/>
      <c r="I742" s="62"/>
      <c r="J742" s="62"/>
      <c r="K742" s="62"/>
      <c r="L742" s="62"/>
      <c r="M742" s="62"/>
      <c r="N742" s="186"/>
      <c r="O742" s="152"/>
      <c r="P742" s="90"/>
      <c r="Q742" s="140"/>
      <c r="R742" s="90"/>
      <c r="S742" s="140"/>
      <c r="T742" s="90"/>
      <c r="U742" s="140"/>
      <c r="V742" s="90"/>
      <c r="W742" s="140"/>
      <c r="X742" s="90"/>
      <c r="Y742" s="140"/>
      <c r="Z742" s="90"/>
      <c r="AA742" s="140"/>
      <c r="AB742" s="90"/>
      <c r="AC742" s="140"/>
      <c r="AD742" s="90"/>
      <c r="AE742" s="140"/>
      <c r="AF742" s="137" t="str">
        <f t="shared" si="37"/>
        <v/>
      </c>
      <c r="AG742" s="179" t="b">
        <f t="shared" si="36"/>
        <v>0</v>
      </c>
      <c r="AH742" s="140"/>
      <c r="AI742" s="147" t="s">
        <v>36</v>
      </c>
      <c r="AJ742" s="145">
        <f t="shared" si="38"/>
        <v>0</v>
      </c>
      <c r="AK742" s="148" t="s">
        <v>75</v>
      </c>
    </row>
    <row r="743" spans="1:37" ht="30" customHeight="1">
      <c r="A743" s="62"/>
      <c r="B743" s="62"/>
      <c r="C743" s="62"/>
      <c r="D743" s="62"/>
      <c r="E743" s="62"/>
      <c r="F743" s="62"/>
      <c r="G743" s="62"/>
      <c r="H743" s="62"/>
      <c r="I743" s="62"/>
      <c r="J743" s="62"/>
      <c r="K743" s="62"/>
      <c r="L743" s="62"/>
      <c r="M743" s="62"/>
      <c r="N743" s="186"/>
      <c r="O743" s="152"/>
      <c r="P743" s="90"/>
      <c r="Q743" s="140"/>
      <c r="R743" s="90"/>
      <c r="S743" s="140"/>
      <c r="T743" s="90"/>
      <c r="U743" s="140"/>
      <c r="V743" s="90"/>
      <c r="W743" s="140"/>
      <c r="X743" s="90"/>
      <c r="Y743" s="140"/>
      <c r="Z743" s="90"/>
      <c r="AA743" s="140"/>
      <c r="AB743" s="90"/>
      <c r="AC743" s="140"/>
      <c r="AD743" s="90"/>
      <c r="AE743" s="140"/>
      <c r="AF743" s="137" t="str">
        <f t="shared" si="37"/>
        <v/>
      </c>
      <c r="AG743" s="179" t="b">
        <f t="shared" si="36"/>
        <v>0</v>
      </c>
      <c r="AH743" s="140"/>
      <c r="AI743" s="147" t="s">
        <v>36</v>
      </c>
      <c r="AJ743" s="145">
        <f t="shared" si="38"/>
        <v>0</v>
      </c>
      <c r="AK743" s="148" t="s">
        <v>75</v>
      </c>
    </row>
    <row r="744" spans="1:37" ht="30" customHeight="1">
      <c r="A744" s="62"/>
      <c r="B744" s="62"/>
      <c r="C744" s="62"/>
      <c r="D744" s="62"/>
      <c r="E744" s="62"/>
      <c r="F744" s="62"/>
      <c r="G744" s="62"/>
      <c r="H744" s="62"/>
      <c r="I744" s="62"/>
      <c r="J744" s="62"/>
      <c r="K744" s="62"/>
      <c r="L744" s="62"/>
      <c r="M744" s="62"/>
      <c r="N744" s="186"/>
      <c r="O744" s="152"/>
      <c r="P744" s="90"/>
      <c r="Q744" s="140"/>
      <c r="R744" s="90"/>
      <c r="S744" s="140"/>
      <c r="T744" s="90"/>
      <c r="U744" s="140"/>
      <c r="V744" s="90"/>
      <c r="W744" s="140"/>
      <c r="X744" s="90"/>
      <c r="Y744" s="140"/>
      <c r="Z744" s="90"/>
      <c r="AA744" s="140"/>
      <c r="AB744" s="90"/>
      <c r="AC744" s="140"/>
      <c r="AD744" s="90"/>
      <c r="AE744" s="140"/>
      <c r="AF744" s="137" t="str">
        <f t="shared" si="37"/>
        <v/>
      </c>
      <c r="AG744" s="179" t="b">
        <f t="shared" si="36"/>
        <v>0</v>
      </c>
      <c r="AH744" s="140"/>
      <c r="AI744" s="147" t="s">
        <v>36</v>
      </c>
      <c r="AJ744" s="145">
        <f t="shared" si="38"/>
        <v>0</v>
      </c>
      <c r="AK744" s="148" t="s">
        <v>75</v>
      </c>
    </row>
    <row r="745" spans="1:37" ht="30" customHeight="1">
      <c r="A745" s="62"/>
      <c r="B745" s="62"/>
      <c r="C745" s="62"/>
      <c r="D745" s="62"/>
      <c r="E745" s="62"/>
      <c r="F745" s="62"/>
      <c r="G745" s="62"/>
      <c r="H745" s="62"/>
      <c r="I745" s="62"/>
      <c r="J745" s="62"/>
      <c r="K745" s="62"/>
      <c r="L745" s="62"/>
      <c r="M745" s="62"/>
      <c r="N745" s="186"/>
      <c r="O745" s="152"/>
      <c r="P745" s="90"/>
      <c r="Q745" s="140"/>
      <c r="R745" s="90"/>
      <c r="S745" s="140"/>
      <c r="T745" s="90"/>
      <c r="U745" s="140"/>
      <c r="V745" s="90"/>
      <c r="W745" s="140"/>
      <c r="X745" s="90"/>
      <c r="Y745" s="140"/>
      <c r="Z745" s="90"/>
      <c r="AA745" s="140"/>
      <c r="AB745" s="90"/>
      <c r="AC745" s="140"/>
      <c r="AD745" s="90"/>
      <c r="AE745" s="140"/>
      <c r="AF745" s="137" t="str">
        <f t="shared" si="37"/>
        <v/>
      </c>
      <c r="AG745" s="179" t="b">
        <f t="shared" si="36"/>
        <v>0</v>
      </c>
      <c r="AH745" s="140"/>
      <c r="AI745" s="147" t="s">
        <v>36</v>
      </c>
      <c r="AJ745" s="145">
        <f t="shared" si="38"/>
        <v>0</v>
      </c>
      <c r="AK745" s="148" t="s">
        <v>75</v>
      </c>
    </row>
    <row r="746" spans="1:37" ht="30" customHeight="1">
      <c r="A746" s="62"/>
      <c r="B746" s="62"/>
      <c r="C746" s="62"/>
      <c r="D746" s="62"/>
      <c r="E746" s="62"/>
      <c r="F746" s="62"/>
      <c r="G746" s="62"/>
      <c r="H746" s="62"/>
      <c r="I746" s="62"/>
      <c r="J746" s="62"/>
      <c r="K746" s="62"/>
      <c r="L746" s="62"/>
      <c r="M746" s="62"/>
      <c r="N746" s="186"/>
      <c r="O746" s="152"/>
      <c r="P746" s="90"/>
      <c r="Q746" s="140"/>
      <c r="R746" s="90"/>
      <c r="S746" s="140"/>
      <c r="T746" s="90"/>
      <c r="U746" s="140"/>
      <c r="V746" s="90"/>
      <c r="W746" s="140"/>
      <c r="X746" s="90"/>
      <c r="Y746" s="140"/>
      <c r="Z746" s="90"/>
      <c r="AA746" s="140"/>
      <c r="AB746" s="90"/>
      <c r="AC746" s="140"/>
      <c r="AD746" s="90"/>
      <c r="AE746" s="140"/>
      <c r="AF746" s="137" t="str">
        <f t="shared" si="37"/>
        <v/>
      </c>
      <c r="AG746" s="179" t="b">
        <f t="shared" si="36"/>
        <v>0</v>
      </c>
      <c r="AH746" s="140"/>
      <c r="AI746" s="147" t="s">
        <v>36</v>
      </c>
      <c r="AJ746" s="145">
        <f t="shared" si="38"/>
        <v>0</v>
      </c>
      <c r="AK746" s="148" t="s">
        <v>75</v>
      </c>
    </row>
    <row r="747" spans="1:37" ht="30" customHeight="1">
      <c r="A747" s="62"/>
      <c r="B747" s="62"/>
      <c r="C747" s="62"/>
      <c r="D747" s="62"/>
      <c r="E747" s="62"/>
      <c r="F747" s="62"/>
      <c r="G747" s="62"/>
      <c r="H747" s="62"/>
      <c r="I747" s="62"/>
      <c r="J747" s="62"/>
      <c r="K747" s="62"/>
      <c r="L747" s="62"/>
      <c r="M747" s="62"/>
      <c r="N747" s="186"/>
      <c r="O747" s="152"/>
      <c r="P747" s="90"/>
      <c r="Q747" s="140"/>
      <c r="R747" s="90"/>
      <c r="S747" s="140"/>
      <c r="T747" s="90"/>
      <c r="U747" s="140"/>
      <c r="V747" s="90"/>
      <c r="W747" s="140"/>
      <c r="X747" s="90"/>
      <c r="Y747" s="140"/>
      <c r="Z747" s="90"/>
      <c r="AA747" s="140"/>
      <c r="AB747" s="90"/>
      <c r="AC747" s="140"/>
      <c r="AD747" s="90"/>
      <c r="AE747" s="140"/>
      <c r="AF747" s="137" t="str">
        <f t="shared" si="37"/>
        <v/>
      </c>
      <c r="AG747" s="179" t="b">
        <f t="shared" si="36"/>
        <v>0</v>
      </c>
      <c r="AH747" s="140"/>
      <c r="AI747" s="147" t="s">
        <v>36</v>
      </c>
      <c r="AJ747" s="145">
        <f t="shared" si="38"/>
        <v>0</v>
      </c>
      <c r="AK747" s="148" t="s">
        <v>75</v>
      </c>
    </row>
    <row r="748" spans="1:37" ht="30" customHeight="1">
      <c r="A748" s="62"/>
      <c r="B748" s="62"/>
      <c r="C748" s="62"/>
      <c r="D748" s="62"/>
      <c r="E748" s="62"/>
      <c r="F748" s="62"/>
      <c r="G748" s="62"/>
      <c r="H748" s="62"/>
      <c r="I748" s="62"/>
      <c r="J748" s="62"/>
      <c r="K748" s="62"/>
      <c r="L748" s="62"/>
      <c r="M748" s="62"/>
      <c r="N748" s="186"/>
      <c r="O748" s="152"/>
      <c r="P748" s="90"/>
      <c r="Q748" s="140"/>
      <c r="R748" s="90"/>
      <c r="S748" s="140"/>
      <c r="T748" s="90"/>
      <c r="U748" s="140"/>
      <c r="V748" s="90"/>
      <c r="W748" s="140"/>
      <c r="X748" s="90"/>
      <c r="Y748" s="140"/>
      <c r="Z748" s="90"/>
      <c r="AA748" s="140"/>
      <c r="AB748" s="90"/>
      <c r="AC748" s="140"/>
      <c r="AD748" s="90"/>
      <c r="AE748" s="140"/>
      <c r="AF748" s="137" t="str">
        <f t="shared" si="37"/>
        <v/>
      </c>
      <c r="AG748" s="179" t="b">
        <f t="shared" si="36"/>
        <v>0</v>
      </c>
      <c r="AH748" s="140"/>
      <c r="AI748" s="147" t="s">
        <v>36</v>
      </c>
      <c r="AJ748" s="145">
        <f t="shared" si="38"/>
        <v>0</v>
      </c>
      <c r="AK748" s="148" t="s">
        <v>75</v>
      </c>
    </row>
    <row r="749" spans="1:37" ht="30" customHeight="1">
      <c r="A749" s="62"/>
      <c r="B749" s="62"/>
      <c r="C749" s="62"/>
      <c r="D749" s="62"/>
      <c r="E749" s="62"/>
      <c r="F749" s="62"/>
      <c r="G749" s="62"/>
      <c r="H749" s="62"/>
      <c r="I749" s="62"/>
      <c r="J749" s="62"/>
      <c r="K749" s="62"/>
      <c r="L749" s="62"/>
      <c r="M749" s="62"/>
      <c r="N749" s="186"/>
      <c r="O749" s="152"/>
      <c r="P749" s="90"/>
      <c r="Q749" s="140"/>
      <c r="R749" s="90"/>
      <c r="S749" s="140"/>
      <c r="T749" s="90"/>
      <c r="U749" s="140"/>
      <c r="V749" s="90"/>
      <c r="W749" s="140"/>
      <c r="X749" s="90"/>
      <c r="Y749" s="140"/>
      <c r="Z749" s="90"/>
      <c r="AA749" s="140"/>
      <c r="AB749" s="90"/>
      <c r="AC749" s="140"/>
      <c r="AD749" s="90"/>
      <c r="AE749" s="140"/>
      <c r="AF749" s="137" t="str">
        <f t="shared" si="37"/>
        <v/>
      </c>
      <c r="AG749" s="179" t="b">
        <f t="shared" si="36"/>
        <v>0</v>
      </c>
      <c r="AH749" s="140"/>
      <c r="AI749" s="147" t="s">
        <v>36</v>
      </c>
      <c r="AJ749" s="145">
        <f t="shared" si="38"/>
        <v>0</v>
      </c>
      <c r="AK749" s="148" t="s">
        <v>75</v>
      </c>
    </row>
    <row r="750" spans="1:37" ht="30" customHeight="1">
      <c r="A750" s="62"/>
      <c r="B750" s="62"/>
      <c r="C750" s="62"/>
      <c r="D750" s="62"/>
      <c r="E750" s="62"/>
      <c r="F750" s="62"/>
      <c r="G750" s="62"/>
      <c r="H750" s="62"/>
      <c r="I750" s="62"/>
      <c r="J750" s="62"/>
      <c r="K750" s="62"/>
      <c r="L750" s="62"/>
      <c r="M750" s="62"/>
      <c r="N750" s="186"/>
      <c r="O750" s="152"/>
      <c r="P750" s="90"/>
      <c r="Q750" s="140"/>
      <c r="R750" s="90"/>
      <c r="S750" s="140"/>
      <c r="T750" s="90"/>
      <c r="U750" s="140"/>
      <c r="V750" s="90"/>
      <c r="W750" s="140"/>
      <c r="X750" s="90"/>
      <c r="Y750" s="140"/>
      <c r="Z750" s="90"/>
      <c r="AA750" s="140"/>
      <c r="AB750" s="90"/>
      <c r="AC750" s="140"/>
      <c r="AD750" s="90"/>
      <c r="AE750" s="140"/>
      <c r="AF750" s="137" t="str">
        <f t="shared" si="37"/>
        <v/>
      </c>
      <c r="AG750" s="179" t="b">
        <f t="shared" si="36"/>
        <v>0</v>
      </c>
      <c r="AH750" s="140"/>
      <c r="AI750" s="147" t="s">
        <v>36</v>
      </c>
      <c r="AJ750" s="145">
        <f t="shared" si="38"/>
        <v>0</v>
      </c>
      <c r="AK750" s="148" t="s">
        <v>75</v>
      </c>
    </row>
    <row r="751" spans="1:37" ht="30" customHeight="1">
      <c r="A751" s="62"/>
      <c r="B751" s="62"/>
      <c r="C751" s="62"/>
      <c r="D751" s="62"/>
      <c r="E751" s="62"/>
      <c r="F751" s="62"/>
      <c r="G751" s="62"/>
      <c r="H751" s="62"/>
      <c r="I751" s="62"/>
      <c r="J751" s="62"/>
      <c r="K751" s="62"/>
      <c r="L751" s="62"/>
      <c r="M751" s="62"/>
      <c r="N751" s="186"/>
      <c r="O751" s="152"/>
      <c r="P751" s="90"/>
      <c r="Q751" s="140"/>
      <c r="R751" s="90"/>
      <c r="S751" s="140"/>
      <c r="T751" s="90"/>
      <c r="U751" s="140"/>
      <c r="V751" s="90"/>
      <c r="W751" s="140"/>
      <c r="X751" s="90"/>
      <c r="Y751" s="140"/>
      <c r="Z751" s="90"/>
      <c r="AA751" s="140"/>
      <c r="AB751" s="90"/>
      <c r="AC751" s="140"/>
      <c r="AD751" s="90"/>
      <c r="AE751" s="140"/>
      <c r="AF751" s="137" t="str">
        <f t="shared" si="37"/>
        <v/>
      </c>
      <c r="AG751" s="179" t="b">
        <f t="shared" si="36"/>
        <v>0</v>
      </c>
      <c r="AH751" s="140"/>
      <c r="AI751" s="147" t="s">
        <v>36</v>
      </c>
      <c r="AJ751" s="145">
        <f t="shared" si="38"/>
        <v>0</v>
      </c>
      <c r="AK751" s="148" t="s">
        <v>75</v>
      </c>
    </row>
    <row r="752" spans="1:37" ht="30" customHeight="1">
      <c r="A752" s="62"/>
      <c r="B752" s="62"/>
      <c r="C752" s="62"/>
      <c r="D752" s="62"/>
      <c r="E752" s="62"/>
      <c r="F752" s="62"/>
      <c r="G752" s="62"/>
      <c r="H752" s="62"/>
      <c r="I752" s="62"/>
      <c r="J752" s="62"/>
      <c r="K752" s="62"/>
      <c r="L752" s="62"/>
      <c r="M752" s="62"/>
      <c r="N752" s="186"/>
      <c r="O752" s="152"/>
      <c r="P752" s="90"/>
      <c r="Q752" s="140"/>
      <c r="R752" s="90"/>
      <c r="S752" s="140"/>
      <c r="T752" s="90"/>
      <c r="U752" s="140"/>
      <c r="V752" s="90"/>
      <c r="W752" s="140"/>
      <c r="X752" s="90"/>
      <c r="Y752" s="140"/>
      <c r="Z752" s="90"/>
      <c r="AA752" s="140"/>
      <c r="AB752" s="90"/>
      <c r="AC752" s="140"/>
      <c r="AD752" s="90"/>
      <c r="AE752" s="140"/>
      <c r="AF752" s="137" t="str">
        <f t="shared" si="37"/>
        <v/>
      </c>
      <c r="AG752" s="179" t="b">
        <f t="shared" si="36"/>
        <v>0</v>
      </c>
      <c r="AH752" s="140"/>
      <c r="AI752" s="147" t="s">
        <v>36</v>
      </c>
      <c r="AJ752" s="145">
        <f t="shared" si="38"/>
        <v>0</v>
      </c>
      <c r="AK752" s="148" t="s">
        <v>75</v>
      </c>
    </row>
    <row r="753" spans="1:37" ht="30" customHeight="1">
      <c r="A753" s="62"/>
      <c r="B753" s="62"/>
      <c r="C753" s="62"/>
      <c r="D753" s="62"/>
      <c r="E753" s="62"/>
      <c r="F753" s="62"/>
      <c r="G753" s="62"/>
      <c r="H753" s="62"/>
      <c r="I753" s="62"/>
      <c r="J753" s="62"/>
      <c r="K753" s="62"/>
      <c r="L753" s="62"/>
      <c r="M753" s="62"/>
      <c r="N753" s="186"/>
      <c r="O753" s="152"/>
      <c r="P753" s="90"/>
      <c r="Q753" s="140"/>
      <c r="R753" s="90"/>
      <c r="S753" s="140"/>
      <c r="T753" s="90"/>
      <c r="U753" s="140"/>
      <c r="V753" s="90"/>
      <c r="W753" s="140"/>
      <c r="X753" s="90"/>
      <c r="Y753" s="140"/>
      <c r="Z753" s="90"/>
      <c r="AA753" s="140"/>
      <c r="AB753" s="90"/>
      <c r="AC753" s="140"/>
      <c r="AD753" s="90"/>
      <c r="AE753" s="140"/>
      <c r="AF753" s="137" t="str">
        <f t="shared" si="37"/>
        <v/>
      </c>
      <c r="AG753" s="179" t="b">
        <f t="shared" si="36"/>
        <v>0</v>
      </c>
      <c r="AH753" s="140"/>
      <c r="AI753" s="147" t="s">
        <v>36</v>
      </c>
      <c r="AJ753" s="145">
        <f t="shared" si="38"/>
        <v>0</v>
      </c>
      <c r="AK753" s="148" t="s">
        <v>75</v>
      </c>
    </row>
    <row r="754" spans="1:37" ht="30" customHeight="1">
      <c r="A754" s="62"/>
      <c r="B754" s="62"/>
      <c r="C754" s="62"/>
      <c r="D754" s="62"/>
      <c r="E754" s="62"/>
      <c r="F754" s="62"/>
      <c r="G754" s="62"/>
      <c r="H754" s="62"/>
      <c r="I754" s="62"/>
      <c r="J754" s="62"/>
      <c r="K754" s="62"/>
      <c r="L754" s="62"/>
      <c r="M754" s="62"/>
      <c r="N754" s="186"/>
      <c r="O754" s="152"/>
      <c r="P754" s="90"/>
      <c r="Q754" s="140"/>
      <c r="R754" s="90"/>
      <c r="S754" s="140"/>
      <c r="T754" s="90"/>
      <c r="U754" s="140"/>
      <c r="V754" s="90"/>
      <c r="W754" s="140"/>
      <c r="X754" s="90"/>
      <c r="Y754" s="140"/>
      <c r="Z754" s="90"/>
      <c r="AA754" s="140"/>
      <c r="AB754" s="90"/>
      <c r="AC754" s="140"/>
      <c r="AD754" s="90"/>
      <c r="AE754" s="140"/>
      <c r="AF754" s="137" t="str">
        <f t="shared" si="37"/>
        <v/>
      </c>
      <c r="AG754" s="179" t="b">
        <f t="shared" si="36"/>
        <v>0</v>
      </c>
      <c r="AH754" s="140"/>
      <c r="AI754" s="147" t="s">
        <v>36</v>
      </c>
      <c r="AJ754" s="145">
        <f t="shared" si="38"/>
        <v>0</v>
      </c>
      <c r="AK754" s="148" t="s">
        <v>75</v>
      </c>
    </row>
    <row r="755" spans="1:37" ht="30" customHeight="1">
      <c r="A755" s="62"/>
      <c r="B755" s="62"/>
      <c r="C755" s="62"/>
      <c r="D755" s="62"/>
      <c r="E755" s="62"/>
      <c r="F755" s="62"/>
      <c r="G755" s="62"/>
      <c r="H755" s="62"/>
      <c r="I755" s="62"/>
      <c r="J755" s="62"/>
      <c r="K755" s="62"/>
      <c r="L755" s="62"/>
      <c r="M755" s="62"/>
      <c r="N755" s="186"/>
      <c r="O755" s="152"/>
      <c r="P755" s="90"/>
      <c r="Q755" s="140"/>
      <c r="R755" s="90"/>
      <c r="S755" s="140"/>
      <c r="T755" s="90"/>
      <c r="U755" s="140"/>
      <c r="V755" s="90"/>
      <c r="W755" s="140"/>
      <c r="X755" s="90"/>
      <c r="Y755" s="140"/>
      <c r="Z755" s="90"/>
      <c r="AA755" s="140"/>
      <c r="AB755" s="90"/>
      <c r="AC755" s="140"/>
      <c r="AD755" s="90"/>
      <c r="AE755" s="140"/>
      <c r="AF755" s="137" t="str">
        <f t="shared" si="37"/>
        <v/>
      </c>
      <c r="AG755" s="179" t="b">
        <f t="shared" si="36"/>
        <v>0</v>
      </c>
      <c r="AH755" s="140"/>
      <c r="AI755" s="147" t="s">
        <v>36</v>
      </c>
      <c r="AJ755" s="145">
        <f t="shared" si="38"/>
        <v>0</v>
      </c>
      <c r="AK755" s="148" t="s">
        <v>75</v>
      </c>
    </row>
    <row r="756" spans="1:37" ht="30" customHeight="1">
      <c r="A756" s="62"/>
      <c r="B756" s="62"/>
      <c r="C756" s="62"/>
      <c r="D756" s="62"/>
      <c r="E756" s="62"/>
      <c r="F756" s="62"/>
      <c r="G756" s="62"/>
      <c r="H756" s="62"/>
      <c r="I756" s="62"/>
      <c r="J756" s="62"/>
      <c r="K756" s="62"/>
      <c r="L756" s="62"/>
      <c r="M756" s="62"/>
      <c r="N756" s="186"/>
      <c r="O756" s="152"/>
      <c r="P756" s="90"/>
      <c r="Q756" s="140"/>
      <c r="R756" s="90"/>
      <c r="S756" s="140"/>
      <c r="T756" s="90"/>
      <c r="U756" s="140"/>
      <c r="V756" s="90"/>
      <c r="W756" s="140"/>
      <c r="X756" s="90"/>
      <c r="Y756" s="140"/>
      <c r="Z756" s="90"/>
      <c r="AA756" s="140"/>
      <c r="AB756" s="90"/>
      <c r="AC756" s="140"/>
      <c r="AD756" s="90"/>
      <c r="AE756" s="140"/>
      <c r="AF756" s="137" t="str">
        <f t="shared" si="37"/>
        <v/>
      </c>
      <c r="AG756" s="179" t="b">
        <f t="shared" si="36"/>
        <v>0</v>
      </c>
      <c r="AH756" s="140"/>
      <c r="AI756" s="147" t="s">
        <v>36</v>
      </c>
      <c r="AJ756" s="145">
        <f t="shared" si="38"/>
        <v>0</v>
      </c>
      <c r="AK756" s="148" t="s">
        <v>75</v>
      </c>
    </row>
    <row r="757" spans="1:37" ht="30" customHeight="1">
      <c r="A757" s="62"/>
      <c r="B757" s="62"/>
      <c r="C757" s="62"/>
      <c r="D757" s="62"/>
      <c r="E757" s="62"/>
      <c r="F757" s="62"/>
      <c r="G757" s="62"/>
      <c r="H757" s="62"/>
      <c r="I757" s="62"/>
      <c r="J757" s="62"/>
      <c r="K757" s="62"/>
      <c r="L757" s="62"/>
      <c r="M757" s="62"/>
      <c r="N757" s="186"/>
      <c r="O757" s="152"/>
      <c r="P757" s="90"/>
      <c r="Q757" s="140"/>
      <c r="R757" s="90"/>
      <c r="S757" s="140"/>
      <c r="T757" s="90"/>
      <c r="U757" s="140"/>
      <c r="V757" s="90"/>
      <c r="W757" s="140"/>
      <c r="X757" s="90"/>
      <c r="Y757" s="140"/>
      <c r="Z757" s="90"/>
      <c r="AA757" s="140"/>
      <c r="AB757" s="90"/>
      <c r="AC757" s="140"/>
      <c r="AD757" s="90"/>
      <c r="AE757" s="140"/>
      <c r="AF757" s="137" t="str">
        <f t="shared" si="37"/>
        <v/>
      </c>
      <c r="AG757" s="179" t="b">
        <f t="shared" si="36"/>
        <v>0</v>
      </c>
      <c r="AH757" s="140"/>
      <c r="AI757" s="147" t="s">
        <v>36</v>
      </c>
      <c r="AJ757" s="145">
        <f t="shared" si="38"/>
        <v>0</v>
      </c>
      <c r="AK757" s="148" t="s">
        <v>75</v>
      </c>
    </row>
    <row r="758" spans="1:37" ht="30" customHeight="1">
      <c r="A758" s="62"/>
      <c r="B758" s="62"/>
      <c r="C758" s="62"/>
      <c r="D758" s="62"/>
      <c r="E758" s="62"/>
      <c r="F758" s="62"/>
      <c r="G758" s="62"/>
      <c r="H758" s="62"/>
      <c r="I758" s="62"/>
      <c r="J758" s="62"/>
      <c r="K758" s="62"/>
      <c r="L758" s="62"/>
      <c r="M758" s="62"/>
      <c r="N758" s="186"/>
      <c r="O758" s="152"/>
      <c r="P758" s="90"/>
      <c r="Q758" s="140"/>
      <c r="R758" s="90"/>
      <c r="S758" s="140"/>
      <c r="T758" s="90"/>
      <c r="U758" s="140"/>
      <c r="V758" s="90"/>
      <c r="W758" s="140"/>
      <c r="X758" s="90"/>
      <c r="Y758" s="140"/>
      <c r="Z758" s="90"/>
      <c r="AA758" s="140"/>
      <c r="AB758" s="90"/>
      <c r="AC758" s="140"/>
      <c r="AD758" s="90"/>
      <c r="AE758" s="140"/>
      <c r="AF758" s="137" t="str">
        <f t="shared" si="37"/>
        <v/>
      </c>
      <c r="AG758" s="179" t="b">
        <f t="shared" si="36"/>
        <v>0</v>
      </c>
      <c r="AH758" s="140"/>
      <c r="AI758" s="147" t="s">
        <v>36</v>
      </c>
      <c r="AJ758" s="145">
        <f t="shared" si="38"/>
        <v>0</v>
      </c>
      <c r="AK758" s="148" t="s">
        <v>75</v>
      </c>
    </row>
    <row r="759" spans="1:37" ht="30" customHeight="1">
      <c r="A759" s="62"/>
      <c r="B759" s="62"/>
      <c r="C759" s="62"/>
      <c r="D759" s="62"/>
      <c r="E759" s="62"/>
      <c r="F759" s="62"/>
      <c r="G759" s="62"/>
      <c r="H759" s="62"/>
      <c r="I759" s="62"/>
      <c r="J759" s="62"/>
      <c r="K759" s="62"/>
      <c r="L759" s="62"/>
      <c r="M759" s="62"/>
      <c r="N759" s="186"/>
      <c r="O759" s="152"/>
      <c r="P759" s="90"/>
      <c r="Q759" s="140"/>
      <c r="R759" s="90"/>
      <c r="S759" s="140"/>
      <c r="T759" s="90"/>
      <c r="U759" s="140"/>
      <c r="V759" s="90"/>
      <c r="W759" s="140"/>
      <c r="X759" s="90"/>
      <c r="Y759" s="140"/>
      <c r="Z759" s="90"/>
      <c r="AA759" s="140"/>
      <c r="AB759" s="90"/>
      <c r="AC759" s="140"/>
      <c r="AD759" s="90"/>
      <c r="AE759" s="140"/>
      <c r="AF759" s="137" t="str">
        <f t="shared" si="37"/>
        <v/>
      </c>
      <c r="AG759" s="179" t="b">
        <f t="shared" si="36"/>
        <v>0</v>
      </c>
      <c r="AH759" s="140"/>
      <c r="AI759" s="147" t="s">
        <v>36</v>
      </c>
      <c r="AJ759" s="145">
        <f t="shared" si="38"/>
        <v>0</v>
      </c>
      <c r="AK759" s="148" t="s">
        <v>75</v>
      </c>
    </row>
    <row r="760" spans="1:37" ht="30" customHeight="1">
      <c r="A760" s="62"/>
      <c r="B760" s="62"/>
      <c r="C760" s="62"/>
      <c r="D760" s="62"/>
      <c r="E760" s="62"/>
      <c r="F760" s="62"/>
      <c r="G760" s="62"/>
      <c r="H760" s="62"/>
      <c r="I760" s="62"/>
      <c r="J760" s="62"/>
      <c r="K760" s="62"/>
      <c r="L760" s="62"/>
      <c r="M760" s="62"/>
      <c r="N760" s="186"/>
      <c r="O760" s="152"/>
      <c r="P760" s="90"/>
      <c r="Q760" s="140"/>
      <c r="R760" s="90"/>
      <c r="S760" s="140"/>
      <c r="T760" s="90"/>
      <c r="U760" s="140"/>
      <c r="V760" s="90"/>
      <c r="W760" s="140"/>
      <c r="X760" s="90"/>
      <c r="Y760" s="140"/>
      <c r="Z760" s="90"/>
      <c r="AA760" s="140"/>
      <c r="AB760" s="90"/>
      <c r="AC760" s="140"/>
      <c r="AD760" s="90"/>
      <c r="AE760" s="140"/>
      <c r="AF760" s="137" t="str">
        <f t="shared" si="37"/>
        <v/>
      </c>
      <c r="AG760" s="179" t="b">
        <f t="shared" si="36"/>
        <v>0</v>
      </c>
      <c r="AH760" s="140"/>
      <c r="AI760" s="147" t="s">
        <v>36</v>
      </c>
      <c r="AJ760" s="145">
        <f t="shared" si="38"/>
        <v>0</v>
      </c>
      <c r="AK760" s="148" t="s">
        <v>75</v>
      </c>
    </row>
    <row r="761" spans="1:37" ht="30" customHeight="1">
      <c r="A761" s="62"/>
      <c r="B761" s="62"/>
      <c r="C761" s="62"/>
      <c r="D761" s="62"/>
      <c r="E761" s="62"/>
      <c r="F761" s="62"/>
      <c r="G761" s="62"/>
      <c r="H761" s="62"/>
      <c r="I761" s="62"/>
      <c r="J761" s="62"/>
      <c r="K761" s="62"/>
      <c r="L761" s="62"/>
      <c r="M761" s="62"/>
      <c r="N761" s="186"/>
      <c r="O761" s="152"/>
      <c r="P761" s="90"/>
      <c r="Q761" s="140"/>
      <c r="R761" s="90"/>
      <c r="S761" s="140"/>
      <c r="T761" s="90"/>
      <c r="U761" s="140"/>
      <c r="V761" s="90"/>
      <c r="W761" s="140"/>
      <c r="X761" s="90"/>
      <c r="Y761" s="140"/>
      <c r="Z761" s="90"/>
      <c r="AA761" s="140"/>
      <c r="AB761" s="90"/>
      <c r="AC761" s="140"/>
      <c r="AD761" s="90"/>
      <c r="AE761" s="140"/>
      <c r="AF761" s="137" t="str">
        <f t="shared" si="37"/>
        <v/>
      </c>
      <c r="AG761" s="179" t="b">
        <f t="shared" si="36"/>
        <v>0</v>
      </c>
      <c r="AH761" s="140"/>
      <c r="AI761" s="147" t="s">
        <v>36</v>
      </c>
      <c r="AJ761" s="145">
        <f t="shared" si="38"/>
        <v>0</v>
      </c>
      <c r="AK761" s="148" t="s">
        <v>75</v>
      </c>
    </row>
    <row r="762" spans="1:37" ht="30" customHeight="1">
      <c r="A762" s="62"/>
      <c r="B762" s="62"/>
      <c r="C762" s="62"/>
      <c r="D762" s="62"/>
      <c r="E762" s="62"/>
      <c r="F762" s="62"/>
      <c r="G762" s="62"/>
      <c r="H762" s="62"/>
      <c r="I762" s="62"/>
      <c r="J762" s="62"/>
      <c r="K762" s="62"/>
      <c r="L762" s="62"/>
      <c r="M762" s="62"/>
      <c r="N762" s="186"/>
      <c r="O762" s="152"/>
      <c r="P762" s="90"/>
      <c r="Q762" s="140"/>
      <c r="R762" s="90"/>
      <c r="S762" s="140"/>
      <c r="T762" s="90"/>
      <c r="U762" s="140"/>
      <c r="V762" s="90"/>
      <c r="W762" s="140"/>
      <c r="X762" s="90"/>
      <c r="Y762" s="140"/>
      <c r="Z762" s="90"/>
      <c r="AA762" s="140"/>
      <c r="AB762" s="90"/>
      <c r="AC762" s="140"/>
      <c r="AD762" s="90"/>
      <c r="AE762" s="140"/>
      <c r="AF762" s="137" t="str">
        <f t="shared" si="37"/>
        <v/>
      </c>
      <c r="AG762" s="179" t="b">
        <f t="shared" si="36"/>
        <v>0</v>
      </c>
      <c r="AH762" s="140"/>
      <c r="AI762" s="147" t="s">
        <v>36</v>
      </c>
      <c r="AJ762" s="145">
        <f t="shared" si="38"/>
        <v>0</v>
      </c>
      <c r="AK762" s="148" t="s">
        <v>75</v>
      </c>
    </row>
    <row r="763" spans="1:37" ht="30" customHeight="1">
      <c r="A763" s="62"/>
      <c r="B763" s="62"/>
      <c r="C763" s="62"/>
      <c r="D763" s="62"/>
      <c r="E763" s="62"/>
      <c r="F763" s="62"/>
      <c r="G763" s="62"/>
      <c r="H763" s="62"/>
      <c r="I763" s="62"/>
      <c r="J763" s="62"/>
      <c r="K763" s="62"/>
      <c r="L763" s="62"/>
      <c r="M763" s="62"/>
      <c r="N763" s="186"/>
      <c r="O763" s="152"/>
      <c r="P763" s="90"/>
      <c r="Q763" s="140"/>
      <c r="R763" s="90"/>
      <c r="S763" s="140"/>
      <c r="T763" s="90"/>
      <c r="U763" s="140"/>
      <c r="V763" s="90"/>
      <c r="W763" s="140"/>
      <c r="X763" s="90"/>
      <c r="Y763" s="140"/>
      <c r="Z763" s="90"/>
      <c r="AA763" s="140"/>
      <c r="AB763" s="90"/>
      <c r="AC763" s="140"/>
      <c r="AD763" s="90"/>
      <c r="AE763" s="140"/>
      <c r="AF763" s="137" t="str">
        <f t="shared" si="37"/>
        <v/>
      </c>
      <c r="AG763" s="179" t="b">
        <f t="shared" si="36"/>
        <v>0</v>
      </c>
      <c r="AH763" s="140"/>
      <c r="AI763" s="147" t="s">
        <v>36</v>
      </c>
      <c r="AJ763" s="145">
        <f t="shared" si="38"/>
        <v>0</v>
      </c>
      <c r="AK763" s="148" t="s">
        <v>75</v>
      </c>
    </row>
    <row r="764" spans="1:37" ht="30" customHeight="1">
      <c r="A764" s="62"/>
      <c r="B764" s="62"/>
      <c r="C764" s="62"/>
      <c r="D764" s="62"/>
      <c r="E764" s="62"/>
      <c r="F764" s="62"/>
      <c r="G764" s="62"/>
      <c r="H764" s="62"/>
      <c r="I764" s="62"/>
      <c r="J764" s="62"/>
      <c r="K764" s="62"/>
      <c r="L764" s="62"/>
      <c r="M764" s="62"/>
      <c r="N764" s="186"/>
      <c r="O764" s="152"/>
      <c r="P764" s="90"/>
      <c r="Q764" s="140"/>
      <c r="R764" s="90"/>
      <c r="S764" s="140"/>
      <c r="T764" s="90"/>
      <c r="U764" s="140"/>
      <c r="V764" s="90"/>
      <c r="W764" s="140"/>
      <c r="X764" s="90"/>
      <c r="Y764" s="140"/>
      <c r="Z764" s="90"/>
      <c r="AA764" s="140"/>
      <c r="AB764" s="90"/>
      <c r="AC764" s="140"/>
      <c r="AD764" s="90"/>
      <c r="AE764" s="140"/>
      <c r="AF764" s="137" t="str">
        <f t="shared" si="37"/>
        <v/>
      </c>
      <c r="AG764" s="179" t="b">
        <f t="shared" si="36"/>
        <v>0</v>
      </c>
      <c r="AH764" s="140"/>
      <c r="AI764" s="147" t="s">
        <v>36</v>
      </c>
      <c r="AJ764" s="145">
        <f t="shared" si="38"/>
        <v>0</v>
      </c>
      <c r="AK764" s="148" t="s">
        <v>75</v>
      </c>
    </row>
    <row r="765" spans="1:37" ht="30" customHeight="1">
      <c r="A765" s="62"/>
      <c r="B765" s="62"/>
      <c r="C765" s="62"/>
      <c r="D765" s="62"/>
      <c r="E765" s="62"/>
      <c r="F765" s="62"/>
      <c r="G765" s="62"/>
      <c r="H765" s="62"/>
      <c r="I765" s="62"/>
      <c r="J765" s="62"/>
      <c r="K765" s="62"/>
      <c r="L765" s="62"/>
      <c r="M765" s="62"/>
      <c r="N765" s="186"/>
      <c r="O765" s="152"/>
      <c r="P765" s="90"/>
      <c r="Q765" s="140"/>
      <c r="R765" s="90"/>
      <c r="S765" s="140"/>
      <c r="T765" s="90"/>
      <c r="U765" s="140"/>
      <c r="V765" s="90"/>
      <c r="W765" s="140"/>
      <c r="X765" s="90"/>
      <c r="Y765" s="140"/>
      <c r="Z765" s="90"/>
      <c r="AA765" s="140"/>
      <c r="AB765" s="90"/>
      <c r="AC765" s="140"/>
      <c r="AD765" s="90"/>
      <c r="AE765" s="140"/>
      <c r="AF765" s="137" t="str">
        <f t="shared" si="37"/>
        <v/>
      </c>
      <c r="AG765" s="179" t="b">
        <f t="shared" si="36"/>
        <v>0</v>
      </c>
      <c r="AH765" s="140"/>
      <c r="AI765" s="147" t="s">
        <v>36</v>
      </c>
      <c r="AJ765" s="145">
        <f t="shared" si="38"/>
        <v>0</v>
      </c>
      <c r="AK765" s="148" t="s">
        <v>75</v>
      </c>
    </row>
    <row r="766" spans="1:37" ht="30" customHeight="1">
      <c r="A766" s="62"/>
      <c r="B766" s="62"/>
      <c r="C766" s="62"/>
      <c r="D766" s="62"/>
      <c r="E766" s="62"/>
      <c r="F766" s="62"/>
      <c r="G766" s="62"/>
      <c r="H766" s="62"/>
      <c r="I766" s="62"/>
      <c r="J766" s="62"/>
      <c r="K766" s="62"/>
      <c r="L766" s="62"/>
      <c r="M766" s="62"/>
      <c r="N766" s="186"/>
      <c r="O766" s="152"/>
      <c r="P766" s="90"/>
      <c r="Q766" s="140"/>
      <c r="R766" s="90"/>
      <c r="S766" s="140"/>
      <c r="T766" s="90"/>
      <c r="U766" s="140"/>
      <c r="V766" s="90"/>
      <c r="W766" s="140"/>
      <c r="X766" s="90"/>
      <c r="Y766" s="140"/>
      <c r="Z766" s="90"/>
      <c r="AA766" s="140"/>
      <c r="AB766" s="90"/>
      <c r="AC766" s="140"/>
      <c r="AD766" s="90"/>
      <c r="AE766" s="140"/>
      <c r="AF766" s="137" t="str">
        <f t="shared" si="37"/>
        <v/>
      </c>
      <c r="AG766" s="179" t="b">
        <f t="shared" si="36"/>
        <v>0</v>
      </c>
      <c r="AH766" s="140"/>
      <c r="AI766" s="147" t="s">
        <v>36</v>
      </c>
      <c r="AJ766" s="145">
        <f t="shared" si="38"/>
        <v>0</v>
      </c>
      <c r="AK766" s="148" t="s">
        <v>75</v>
      </c>
    </row>
    <row r="767" spans="1:37" ht="30" customHeight="1">
      <c r="A767" s="62"/>
      <c r="B767" s="62"/>
      <c r="C767" s="62"/>
      <c r="D767" s="62"/>
      <c r="E767" s="62"/>
      <c r="F767" s="62"/>
      <c r="G767" s="62"/>
      <c r="H767" s="62"/>
      <c r="I767" s="62"/>
      <c r="J767" s="62"/>
      <c r="K767" s="62"/>
      <c r="L767" s="62"/>
      <c r="M767" s="62"/>
      <c r="N767" s="186"/>
      <c r="O767" s="152"/>
      <c r="P767" s="90"/>
      <c r="Q767" s="140"/>
      <c r="R767" s="90"/>
      <c r="S767" s="140"/>
      <c r="T767" s="90"/>
      <c r="U767" s="140"/>
      <c r="V767" s="90"/>
      <c r="W767" s="140"/>
      <c r="X767" s="90"/>
      <c r="Y767" s="140"/>
      <c r="Z767" s="90"/>
      <c r="AA767" s="140"/>
      <c r="AB767" s="90"/>
      <c r="AC767" s="140"/>
      <c r="AD767" s="90"/>
      <c r="AE767" s="140"/>
      <c r="AF767" s="137" t="str">
        <f t="shared" si="37"/>
        <v/>
      </c>
      <c r="AG767" s="179" t="b">
        <f t="shared" si="36"/>
        <v>0</v>
      </c>
      <c r="AH767" s="140"/>
      <c r="AI767" s="147" t="s">
        <v>36</v>
      </c>
      <c r="AJ767" s="145">
        <f t="shared" si="38"/>
        <v>0</v>
      </c>
      <c r="AK767" s="148" t="s">
        <v>75</v>
      </c>
    </row>
    <row r="768" spans="1:37" ht="30" customHeight="1">
      <c r="A768" s="62"/>
      <c r="B768" s="62"/>
      <c r="C768" s="62"/>
      <c r="D768" s="62"/>
      <c r="E768" s="62"/>
      <c r="F768" s="62"/>
      <c r="G768" s="62"/>
      <c r="H768" s="62"/>
      <c r="I768" s="62"/>
      <c r="J768" s="62"/>
      <c r="K768" s="62"/>
      <c r="L768" s="62"/>
      <c r="M768" s="62"/>
      <c r="N768" s="186"/>
      <c r="O768" s="152"/>
      <c r="P768" s="90"/>
      <c r="Q768" s="140"/>
      <c r="R768" s="90"/>
      <c r="S768" s="140"/>
      <c r="T768" s="90"/>
      <c r="U768" s="140"/>
      <c r="V768" s="90"/>
      <c r="W768" s="140"/>
      <c r="X768" s="90"/>
      <c r="Y768" s="140"/>
      <c r="Z768" s="90"/>
      <c r="AA768" s="140"/>
      <c r="AB768" s="90"/>
      <c r="AC768" s="140"/>
      <c r="AD768" s="90"/>
      <c r="AE768" s="140"/>
      <c r="AF768" s="137" t="str">
        <f t="shared" si="37"/>
        <v/>
      </c>
      <c r="AG768" s="179" t="b">
        <f t="shared" ref="AG768:AG831" si="39">IF(AND(AE768="C",AF768="C"),"UTILIZOU O PDA CORRETAMENTE",IF(AND(AE768="C",AF768="NC"),"UTILIZOU O PDA CORRETAMENTE. NÃO HÁ FOTOS DE TODAS AS ETAPAS",IF(AND(AE768="NC",AF768="NC"),"NÃO UTILIZOU O PDA",IF(AND(AE768="NA",AF768="NA"),"NÃO AVALIADO POR FALHA DE SINCRONISMO"))))</f>
        <v>0</v>
      </c>
      <c r="AH768" s="140"/>
      <c r="AI768" s="147" t="s">
        <v>36</v>
      </c>
      <c r="AJ768" s="145">
        <f t="shared" si="38"/>
        <v>0</v>
      </c>
      <c r="AK768" s="148" t="s">
        <v>75</v>
      </c>
    </row>
    <row r="769" spans="1:37" ht="30" customHeight="1">
      <c r="A769" s="62"/>
      <c r="B769" s="62"/>
      <c r="C769" s="62"/>
      <c r="D769" s="62"/>
      <c r="E769" s="62"/>
      <c r="F769" s="62"/>
      <c r="G769" s="62"/>
      <c r="H769" s="62"/>
      <c r="I769" s="62"/>
      <c r="J769" s="62"/>
      <c r="K769" s="62"/>
      <c r="L769" s="62"/>
      <c r="M769" s="62"/>
      <c r="N769" s="186"/>
      <c r="O769" s="152"/>
      <c r="P769" s="90"/>
      <c r="Q769" s="140"/>
      <c r="R769" s="90"/>
      <c r="S769" s="140"/>
      <c r="T769" s="90"/>
      <c r="U769" s="140"/>
      <c r="V769" s="90"/>
      <c r="W769" s="140"/>
      <c r="X769" s="90"/>
      <c r="Y769" s="140"/>
      <c r="Z769" s="90"/>
      <c r="AA769" s="140"/>
      <c r="AB769" s="90"/>
      <c r="AC769" s="140"/>
      <c r="AD769" s="90"/>
      <c r="AE769" s="140"/>
      <c r="AF769" s="137" t="str">
        <f t="shared" ref="AF769:AF832" si="40">IF(AND(O769="",Q769="",S769="",U769="",W769="",Y769="",AA769="",AC769=""),"",IF(OR(AND(O769&lt;&gt;"NA",O769&lt;&gt;"C",O769&lt;&gt;"NC",O769&lt;&gt;"SF",O769&lt;&gt;""),AND(Q769&lt;&gt;"NA",Q769&lt;&gt;"C",Q769&lt;&gt;"NC",Q769&lt;&gt;"SF",Q769&lt;&gt;""),AND(S769&lt;&gt;"NA",S769&lt;&gt;"C",S769&lt;&gt;"NC",S769&lt;&gt;"SF",S769&lt;&gt;""),AND(U769&lt;&gt;"NA",U769&lt;&gt;"C",U769&lt;&gt;"NC",U769&lt;&gt;"SF",U769&lt;&gt;""),AND(W769&lt;&gt;"NA",W769&lt;&gt;"C",W769&lt;&gt;"NC",W769&lt;&gt;"SF",W769&lt;&gt;""),AND(Y769&lt;&gt;"NA",Y769&lt;&gt;"C",Y769&lt;&gt;"NC",Y769&lt;&gt;"SF",Y769&lt;&gt;""),AND(AA769&lt;&gt;"NA",AA769&lt;&gt;"C",AA769&lt;&gt;"NC",AA769&lt;&gt;"SF",AA769&lt;&gt;""),AND(AC769&lt;&gt;"NA",AC769&lt;&gt;"C",AC769&lt;&gt;"NC",AC769&lt;&gt;"SF",AC769&lt;&gt;"")),"FALSO",IF(AND(O769="NA",Q769="NA",S769="NA",U769="NA",W769="NA",Y769="NA",AA769="NA",AC769="NA"),"NA",IF(OR(O769="NC",Q769="NC",S769="NC",U769="NC",W769="NC",Y769="NC",AA769="NC",AC769="NC",O769="SF",Q769="SF",S769="SF",U769="SF",W769="SF",Y769="SF",AA769="SF",AC769="SF"),"NC",IF(OR(O769="C",Q769="C",S769="C",U769="C",W769="C",Y769="C",AA769="C",AC769="C"),"C","")))))</f>
        <v/>
      </c>
      <c r="AG769" s="179" t="b">
        <f t="shared" si="39"/>
        <v>0</v>
      </c>
      <c r="AH769" s="140"/>
      <c r="AI769" s="147" t="s">
        <v>36</v>
      </c>
      <c r="AJ769" s="145">
        <f t="shared" si="38"/>
        <v>0</v>
      </c>
      <c r="AK769" s="148" t="s">
        <v>75</v>
      </c>
    </row>
    <row r="770" spans="1:37" ht="30" customHeight="1">
      <c r="A770" s="62"/>
      <c r="B770" s="62"/>
      <c r="C770" s="62"/>
      <c r="D770" s="62"/>
      <c r="E770" s="62"/>
      <c r="F770" s="62"/>
      <c r="G770" s="62"/>
      <c r="H770" s="62"/>
      <c r="I770" s="62"/>
      <c r="J770" s="62"/>
      <c r="K770" s="62"/>
      <c r="L770" s="62"/>
      <c r="M770" s="62"/>
      <c r="N770" s="186"/>
      <c r="O770" s="152"/>
      <c r="P770" s="90"/>
      <c r="Q770" s="140"/>
      <c r="R770" s="90"/>
      <c r="S770" s="140"/>
      <c r="T770" s="90"/>
      <c r="U770" s="140"/>
      <c r="V770" s="90"/>
      <c r="W770" s="140"/>
      <c r="X770" s="90"/>
      <c r="Y770" s="140"/>
      <c r="Z770" s="90"/>
      <c r="AA770" s="140"/>
      <c r="AB770" s="90"/>
      <c r="AC770" s="140"/>
      <c r="AD770" s="90"/>
      <c r="AE770" s="140"/>
      <c r="AF770" s="137" t="str">
        <f t="shared" si="40"/>
        <v/>
      </c>
      <c r="AG770" s="179" t="b">
        <f t="shared" si="39"/>
        <v>0</v>
      </c>
      <c r="AH770" s="140"/>
      <c r="AI770" s="147" t="s">
        <v>36</v>
      </c>
      <c r="AJ770" s="145">
        <f t="shared" si="38"/>
        <v>0</v>
      </c>
      <c r="AK770" s="148" t="s">
        <v>75</v>
      </c>
    </row>
    <row r="771" spans="1:37" ht="30" customHeight="1">
      <c r="A771" s="62"/>
      <c r="B771" s="62"/>
      <c r="C771" s="62"/>
      <c r="D771" s="62"/>
      <c r="E771" s="62"/>
      <c r="F771" s="62"/>
      <c r="G771" s="62"/>
      <c r="H771" s="62"/>
      <c r="I771" s="62"/>
      <c r="J771" s="62"/>
      <c r="K771" s="62"/>
      <c r="L771" s="62"/>
      <c r="M771" s="62"/>
      <c r="N771" s="186"/>
      <c r="O771" s="152"/>
      <c r="P771" s="90"/>
      <c r="Q771" s="140"/>
      <c r="R771" s="90"/>
      <c r="S771" s="140"/>
      <c r="T771" s="90"/>
      <c r="U771" s="140"/>
      <c r="V771" s="90"/>
      <c r="W771" s="140"/>
      <c r="X771" s="90"/>
      <c r="Y771" s="140"/>
      <c r="Z771" s="90"/>
      <c r="AA771" s="140"/>
      <c r="AB771" s="90"/>
      <c r="AC771" s="140"/>
      <c r="AD771" s="90"/>
      <c r="AE771" s="140"/>
      <c r="AF771" s="137" t="str">
        <f t="shared" si="40"/>
        <v/>
      </c>
      <c r="AG771" s="179" t="b">
        <f t="shared" si="39"/>
        <v>0</v>
      </c>
      <c r="AH771" s="140"/>
      <c r="AI771" s="147" t="s">
        <v>36</v>
      </c>
      <c r="AJ771" s="145">
        <f t="shared" si="38"/>
        <v>0</v>
      </c>
      <c r="AK771" s="148" t="s">
        <v>75</v>
      </c>
    </row>
    <row r="772" spans="1:37" ht="30" customHeight="1">
      <c r="A772" s="62"/>
      <c r="B772" s="62"/>
      <c r="C772" s="62"/>
      <c r="D772" s="62"/>
      <c r="E772" s="62"/>
      <c r="F772" s="62"/>
      <c r="G772" s="62"/>
      <c r="H772" s="62"/>
      <c r="I772" s="62"/>
      <c r="J772" s="62"/>
      <c r="K772" s="62"/>
      <c r="L772" s="62"/>
      <c r="M772" s="62"/>
      <c r="N772" s="186"/>
      <c r="O772" s="152"/>
      <c r="P772" s="90"/>
      <c r="Q772" s="140"/>
      <c r="R772" s="90"/>
      <c r="S772" s="140"/>
      <c r="T772" s="90"/>
      <c r="U772" s="140"/>
      <c r="V772" s="90"/>
      <c r="W772" s="140"/>
      <c r="X772" s="90"/>
      <c r="Y772" s="140"/>
      <c r="Z772" s="90"/>
      <c r="AA772" s="140"/>
      <c r="AB772" s="90"/>
      <c r="AC772" s="140"/>
      <c r="AD772" s="90"/>
      <c r="AE772" s="140"/>
      <c r="AF772" s="137" t="str">
        <f t="shared" si="40"/>
        <v/>
      </c>
      <c r="AG772" s="179" t="b">
        <f t="shared" si="39"/>
        <v>0</v>
      </c>
      <c r="AH772" s="140"/>
      <c r="AI772" s="147" t="s">
        <v>36</v>
      </c>
      <c r="AJ772" s="145">
        <f t="shared" si="38"/>
        <v>0</v>
      </c>
      <c r="AK772" s="148" t="s">
        <v>75</v>
      </c>
    </row>
    <row r="773" spans="1:37" ht="30" customHeight="1">
      <c r="A773" s="62"/>
      <c r="B773" s="62"/>
      <c r="C773" s="62"/>
      <c r="D773" s="62"/>
      <c r="E773" s="62"/>
      <c r="F773" s="62"/>
      <c r="G773" s="62"/>
      <c r="H773" s="62"/>
      <c r="I773" s="62"/>
      <c r="J773" s="62"/>
      <c r="K773" s="62"/>
      <c r="L773" s="62"/>
      <c r="M773" s="62"/>
      <c r="N773" s="186"/>
      <c r="O773" s="152"/>
      <c r="P773" s="90"/>
      <c r="Q773" s="140"/>
      <c r="R773" s="90"/>
      <c r="S773" s="140"/>
      <c r="T773" s="90"/>
      <c r="U773" s="140"/>
      <c r="V773" s="90"/>
      <c r="W773" s="140"/>
      <c r="X773" s="90"/>
      <c r="Y773" s="140"/>
      <c r="Z773" s="90"/>
      <c r="AA773" s="140"/>
      <c r="AB773" s="90"/>
      <c r="AC773" s="140"/>
      <c r="AD773" s="90"/>
      <c r="AE773" s="140"/>
      <c r="AF773" s="137" t="str">
        <f t="shared" si="40"/>
        <v/>
      </c>
      <c r="AG773" s="179" t="b">
        <f t="shared" si="39"/>
        <v>0</v>
      </c>
      <c r="AH773" s="140"/>
      <c r="AI773" s="147" t="s">
        <v>36</v>
      </c>
      <c r="AJ773" s="145">
        <f t="shared" si="38"/>
        <v>0</v>
      </c>
      <c r="AK773" s="148" t="s">
        <v>75</v>
      </c>
    </row>
    <row r="774" spans="1:37" ht="30" customHeight="1">
      <c r="A774" s="62"/>
      <c r="B774" s="62"/>
      <c r="C774" s="62"/>
      <c r="D774" s="62"/>
      <c r="E774" s="62"/>
      <c r="F774" s="62"/>
      <c r="G774" s="62"/>
      <c r="H774" s="62"/>
      <c r="I774" s="62"/>
      <c r="J774" s="62"/>
      <c r="K774" s="62"/>
      <c r="L774" s="62"/>
      <c r="M774" s="62"/>
      <c r="N774" s="186"/>
      <c r="O774" s="152"/>
      <c r="P774" s="90"/>
      <c r="Q774" s="140"/>
      <c r="R774" s="90"/>
      <c r="S774" s="140"/>
      <c r="T774" s="90"/>
      <c r="U774" s="140"/>
      <c r="V774" s="90"/>
      <c r="W774" s="140"/>
      <c r="X774" s="90"/>
      <c r="Y774" s="140"/>
      <c r="Z774" s="90"/>
      <c r="AA774" s="140"/>
      <c r="AB774" s="90"/>
      <c r="AC774" s="140"/>
      <c r="AD774" s="90"/>
      <c r="AE774" s="140"/>
      <c r="AF774" s="137" t="str">
        <f t="shared" si="40"/>
        <v/>
      </c>
      <c r="AG774" s="179" t="b">
        <f t="shared" si="39"/>
        <v>0</v>
      </c>
      <c r="AH774" s="140"/>
      <c r="AI774" s="147" t="s">
        <v>36</v>
      </c>
      <c r="AJ774" s="145">
        <f t="shared" si="38"/>
        <v>0</v>
      </c>
      <c r="AK774" s="148" t="s">
        <v>75</v>
      </c>
    </row>
    <row r="775" spans="1:37" ht="30" customHeight="1">
      <c r="A775" s="62"/>
      <c r="B775" s="62"/>
      <c r="C775" s="62"/>
      <c r="D775" s="62"/>
      <c r="E775" s="62"/>
      <c r="F775" s="62"/>
      <c r="G775" s="62"/>
      <c r="H775" s="62"/>
      <c r="I775" s="62"/>
      <c r="J775" s="62"/>
      <c r="K775" s="62"/>
      <c r="L775" s="62"/>
      <c r="M775" s="62"/>
      <c r="N775" s="186"/>
      <c r="O775" s="152"/>
      <c r="P775" s="90"/>
      <c r="Q775" s="140"/>
      <c r="R775" s="90"/>
      <c r="S775" s="140"/>
      <c r="T775" s="90"/>
      <c r="U775" s="140"/>
      <c r="V775" s="90"/>
      <c r="W775" s="140"/>
      <c r="X775" s="90"/>
      <c r="Y775" s="140"/>
      <c r="Z775" s="90"/>
      <c r="AA775" s="140"/>
      <c r="AB775" s="90"/>
      <c r="AC775" s="140"/>
      <c r="AD775" s="90"/>
      <c r="AE775" s="140"/>
      <c r="AF775" s="137" t="str">
        <f t="shared" si="40"/>
        <v/>
      </c>
      <c r="AG775" s="179" t="b">
        <f t="shared" si="39"/>
        <v>0</v>
      </c>
      <c r="AH775" s="140"/>
      <c r="AI775" s="147" t="s">
        <v>36</v>
      </c>
      <c r="AJ775" s="145">
        <f t="shared" si="38"/>
        <v>0</v>
      </c>
      <c r="AK775" s="148" t="s">
        <v>75</v>
      </c>
    </row>
    <row r="776" spans="1:37" ht="30" customHeight="1">
      <c r="A776" s="62"/>
      <c r="B776" s="62"/>
      <c r="C776" s="62"/>
      <c r="D776" s="62"/>
      <c r="E776" s="62"/>
      <c r="F776" s="62"/>
      <c r="G776" s="62"/>
      <c r="H776" s="62"/>
      <c r="I776" s="62"/>
      <c r="J776" s="62"/>
      <c r="K776" s="62"/>
      <c r="L776" s="62"/>
      <c r="M776" s="62"/>
      <c r="N776" s="186"/>
      <c r="O776" s="152"/>
      <c r="P776" s="90"/>
      <c r="Q776" s="140"/>
      <c r="R776" s="90"/>
      <c r="S776" s="140"/>
      <c r="T776" s="90"/>
      <c r="U776" s="140"/>
      <c r="V776" s="90"/>
      <c r="W776" s="140"/>
      <c r="X776" s="90"/>
      <c r="Y776" s="140"/>
      <c r="Z776" s="90"/>
      <c r="AA776" s="140"/>
      <c r="AB776" s="90"/>
      <c r="AC776" s="140"/>
      <c r="AD776" s="90"/>
      <c r="AE776" s="140"/>
      <c r="AF776" s="137" t="str">
        <f t="shared" si="40"/>
        <v/>
      </c>
      <c r="AG776" s="179" t="b">
        <f t="shared" si="39"/>
        <v>0</v>
      </c>
      <c r="AH776" s="140"/>
      <c r="AI776" s="147" t="s">
        <v>36</v>
      </c>
      <c r="AJ776" s="145">
        <f t="shared" si="38"/>
        <v>0</v>
      </c>
      <c r="AK776" s="148" t="s">
        <v>75</v>
      </c>
    </row>
    <row r="777" spans="1:37" ht="30" customHeight="1">
      <c r="A777" s="62"/>
      <c r="B777" s="62"/>
      <c r="C777" s="62"/>
      <c r="D777" s="62"/>
      <c r="E777" s="62"/>
      <c r="F777" s="62"/>
      <c r="G777" s="62"/>
      <c r="H777" s="62"/>
      <c r="I777" s="62"/>
      <c r="J777" s="62"/>
      <c r="K777" s="62"/>
      <c r="L777" s="62"/>
      <c r="M777" s="62"/>
      <c r="N777" s="186"/>
      <c r="O777" s="152"/>
      <c r="P777" s="90"/>
      <c r="Q777" s="140"/>
      <c r="R777" s="90"/>
      <c r="S777" s="140"/>
      <c r="T777" s="90"/>
      <c r="U777" s="140"/>
      <c r="V777" s="90"/>
      <c r="W777" s="140"/>
      <c r="X777" s="90"/>
      <c r="Y777" s="140"/>
      <c r="Z777" s="90"/>
      <c r="AA777" s="140"/>
      <c r="AB777" s="90"/>
      <c r="AC777" s="140"/>
      <c r="AD777" s="90"/>
      <c r="AE777" s="140"/>
      <c r="AF777" s="137" t="str">
        <f t="shared" si="40"/>
        <v/>
      </c>
      <c r="AG777" s="179" t="b">
        <f t="shared" si="39"/>
        <v>0</v>
      </c>
      <c r="AH777" s="140"/>
      <c r="AI777" s="147" t="s">
        <v>36</v>
      </c>
      <c r="AJ777" s="145">
        <f t="shared" si="38"/>
        <v>0</v>
      </c>
      <c r="AK777" s="148" t="s">
        <v>75</v>
      </c>
    </row>
    <row r="778" spans="1:37" ht="30" customHeight="1">
      <c r="A778" s="62"/>
      <c r="B778" s="62"/>
      <c r="C778" s="62"/>
      <c r="D778" s="62"/>
      <c r="E778" s="62"/>
      <c r="F778" s="62"/>
      <c r="G778" s="62"/>
      <c r="H778" s="62"/>
      <c r="I778" s="62"/>
      <c r="J778" s="62"/>
      <c r="K778" s="62"/>
      <c r="L778" s="62"/>
      <c r="M778" s="62"/>
      <c r="N778" s="186"/>
      <c r="O778" s="152"/>
      <c r="P778" s="90"/>
      <c r="Q778" s="140"/>
      <c r="R778" s="90"/>
      <c r="S778" s="140"/>
      <c r="T778" s="90"/>
      <c r="U778" s="140"/>
      <c r="V778" s="90"/>
      <c r="W778" s="140"/>
      <c r="X778" s="90"/>
      <c r="Y778" s="140"/>
      <c r="Z778" s="90"/>
      <c r="AA778" s="140"/>
      <c r="AB778" s="90"/>
      <c r="AC778" s="140"/>
      <c r="AD778" s="90"/>
      <c r="AE778" s="140"/>
      <c r="AF778" s="137" t="str">
        <f t="shared" si="40"/>
        <v/>
      </c>
      <c r="AG778" s="179" t="b">
        <f t="shared" si="39"/>
        <v>0</v>
      </c>
      <c r="AH778" s="140"/>
      <c r="AI778" s="147" t="s">
        <v>36</v>
      </c>
      <c r="AJ778" s="145">
        <f t="shared" si="38"/>
        <v>0</v>
      </c>
      <c r="AK778" s="148" t="s">
        <v>75</v>
      </c>
    </row>
    <row r="779" spans="1:37" ht="30" customHeight="1">
      <c r="A779" s="62"/>
      <c r="B779" s="62"/>
      <c r="C779" s="62"/>
      <c r="D779" s="62"/>
      <c r="E779" s="62"/>
      <c r="F779" s="62"/>
      <c r="G779" s="62"/>
      <c r="H779" s="62"/>
      <c r="I779" s="62"/>
      <c r="J779" s="62"/>
      <c r="K779" s="62"/>
      <c r="L779" s="62"/>
      <c r="M779" s="62"/>
      <c r="N779" s="186"/>
      <c r="O779" s="152"/>
      <c r="P779" s="90"/>
      <c r="Q779" s="140"/>
      <c r="R779" s="90"/>
      <c r="S779" s="140"/>
      <c r="T779" s="90"/>
      <c r="U779" s="140"/>
      <c r="V779" s="90"/>
      <c r="W779" s="140"/>
      <c r="X779" s="90"/>
      <c r="Y779" s="140"/>
      <c r="Z779" s="90"/>
      <c r="AA779" s="140"/>
      <c r="AB779" s="90"/>
      <c r="AC779" s="140"/>
      <c r="AD779" s="90"/>
      <c r="AE779" s="140"/>
      <c r="AF779" s="137" t="str">
        <f t="shared" si="40"/>
        <v/>
      </c>
      <c r="AG779" s="179" t="b">
        <f t="shared" si="39"/>
        <v>0</v>
      </c>
      <c r="AH779" s="140"/>
      <c r="AI779" s="147" t="s">
        <v>36</v>
      </c>
      <c r="AJ779" s="145">
        <f t="shared" si="38"/>
        <v>0</v>
      </c>
      <c r="AK779" s="148" t="s">
        <v>75</v>
      </c>
    </row>
    <row r="780" spans="1:37" ht="30" customHeight="1">
      <c r="A780" s="62"/>
      <c r="B780" s="62"/>
      <c r="C780" s="62"/>
      <c r="D780" s="62"/>
      <c r="E780" s="62"/>
      <c r="F780" s="62"/>
      <c r="G780" s="62"/>
      <c r="H780" s="62"/>
      <c r="I780" s="62"/>
      <c r="J780" s="62"/>
      <c r="K780" s="62"/>
      <c r="L780" s="62"/>
      <c r="M780" s="62"/>
      <c r="N780" s="186"/>
      <c r="O780" s="152"/>
      <c r="P780" s="90"/>
      <c r="Q780" s="140"/>
      <c r="R780" s="90"/>
      <c r="S780" s="140"/>
      <c r="T780" s="90"/>
      <c r="U780" s="140"/>
      <c r="V780" s="90"/>
      <c r="W780" s="140"/>
      <c r="X780" s="90"/>
      <c r="Y780" s="140"/>
      <c r="Z780" s="90"/>
      <c r="AA780" s="140"/>
      <c r="AB780" s="90"/>
      <c r="AC780" s="140"/>
      <c r="AD780" s="90"/>
      <c r="AE780" s="140"/>
      <c r="AF780" s="137" t="str">
        <f t="shared" si="40"/>
        <v/>
      </c>
      <c r="AG780" s="179" t="b">
        <f t="shared" si="39"/>
        <v>0</v>
      </c>
      <c r="AH780" s="140"/>
      <c r="AI780" s="147" t="s">
        <v>36</v>
      </c>
      <c r="AJ780" s="145">
        <f t="shared" si="38"/>
        <v>0</v>
      </c>
      <c r="AK780" s="148" t="s">
        <v>75</v>
      </c>
    </row>
    <row r="781" spans="1:37" ht="30" customHeight="1">
      <c r="A781" s="62"/>
      <c r="B781" s="62"/>
      <c r="C781" s="62"/>
      <c r="D781" s="62"/>
      <c r="E781" s="62"/>
      <c r="F781" s="62"/>
      <c r="G781" s="62"/>
      <c r="H781" s="62"/>
      <c r="I781" s="62"/>
      <c r="J781" s="62"/>
      <c r="K781" s="62"/>
      <c r="L781" s="62"/>
      <c r="M781" s="62"/>
      <c r="N781" s="186"/>
      <c r="O781" s="152"/>
      <c r="P781" s="90"/>
      <c r="Q781" s="140"/>
      <c r="R781" s="90"/>
      <c r="S781" s="140"/>
      <c r="T781" s="90"/>
      <c r="U781" s="140"/>
      <c r="V781" s="90"/>
      <c r="W781" s="140"/>
      <c r="X781" s="90"/>
      <c r="Y781" s="140"/>
      <c r="Z781" s="90"/>
      <c r="AA781" s="140"/>
      <c r="AB781" s="90"/>
      <c r="AC781" s="140"/>
      <c r="AD781" s="90"/>
      <c r="AE781" s="140"/>
      <c r="AF781" s="137" t="str">
        <f t="shared" si="40"/>
        <v/>
      </c>
      <c r="AG781" s="179" t="b">
        <f t="shared" si="39"/>
        <v>0</v>
      </c>
      <c r="AH781" s="140"/>
      <c r="AI781" s="147" t="s">
        <v>36</v>
      </c>
      <c r="AJ781" s="145">
        <f t="shared" si="38"/>
        <v>0</v>
      </c>
      <c r="AK781" s="148" t="s">
        <v>75</v>
      </c>
    </row>
    <row r="782" spans="1:37" ht="30" customHeight="1">
      <c r="A782" s="62"/>
      <c r="B782" s="62"/>
      <c r="C782" s="62"/>
      <c r="D782" s="62"/>
      <c r="E782" s="62"/>
      <c r="F782" s="62"/>
      <c r="G782" s="62"/>
      <c r="H782" s="62"/>
      <c r="I782" s="62"/>
      <c r="J782" s="62"/>
      <c r="K782" s="62"/>
      <c r="L782" s="62"/>
      <c r="M782" s="62"/>
      <c r="N782" s="186"/>
      <c r="O782" s="152"/>
      <c r="P782" s="90"/>
      <c r="Q782" s="140"/>
      <c r="R782" s="90"/>
      <c r="S782" s="140"/>
      <c r="T782" s="90"/>
      <c r="U782" s="140"/>
      <c r="V782" s="90"/>
      <c r="W782" s="140"/>
      <c r="X782" s="90"/>
      <c r="Y782" s="140"/>
      <c r="Z782" s="90"/>
      <c r="AA782" s="140"/>
      <c r="AB782" s="90"/>
      <c r="AC782" s="140"/>
      <c r="AD782" s="90"/>
      <c r="AE782" s="140"/>
      <c r="AF782" s="137" t="str">
        <f t="shared" si="40"/>
        <v/>
      </c>
      <c r="AG782" s="179" t="b">
        <f t="shared" si="39"/>
        <v>0</v>
      </c>
      <c r="AH782" s="140"/>
      <c r="AI782" s="147" t="s">
        <v>36</v>
      </c>
      <c r="AJ782" s="145">
        <f t="shared" si="38"/>
        <v>0</v>
      </c>
      <c r="AK782" s="148" t="s">
        <v>75</v>
      </c>
    </row>
    <row r="783" spans="1:37" ht="30" customHeight="1">
      <c r="A783" s="62"/>
      <c r="B783" s="62"/>
      <c r="C783" s="62"/>
      <c r="D783" s="62"/>
      <c r="E783" s="62"/>
      <c r="F783" s="62"/>
      <c r="G783" s="62"/>
      <c r="H783" s="62"/>
      <c r="I783" s="62"/>
      <c r="J783" s="62"/>
      <c r="K783" s="62"/>
      <c r="L783" s="62"/>
      <c r="M783" s="62"/>
      <c r="N783" s="186"/>
      <c r="O783" s="152"/>
      <c r="P783" s="90"/>
      <c r="Q783" s="140"/>
      <c r="R783" s="90"/>
      <c r="S783" s="140"/>
      <c r="T783" s="90"/>
      <c r="U783" s="140"/>
      <c r="V783" s="90"/>
      <c r="W783" s="140"/>
      <c r="X783" s="90"/>
      <c r="Y783" s="140"/>
      <c r="Z783" s="90"/>
      <c r="AA783" s="140"/>
      <c r="AB783" s="90"/>
      <c r="AC783" s="140"/>
      <c r="AD783" s="90"/>
      <c r="AE783" s="140"/>
      <c r="AF783" s="137" t="str">
        <f t="shared" si="40"/>
        <v/>
      </c>
      <c r="AG783" s="179" t="b">
        <f t="shared" si="39"/>
        <v>0</v>
      </c>
      <c r="AH783" s="140"/>
      <c r="AI783" s="147" t="s">
        <v>36</v>
      </c>
      <c r="AJ783" s="145">
        <f t="shared" si="38"/>
        <v>0</v>
      </c>
      <c r="AK783" s="148" t="s">
        <v>75</v>
      </c>
    </row>
    <row r="784" spans="1:37" ht="30" customHeight="1">
      <c r="A784" s="62"/>
      <c r="B784" s="62"/>
      <c r="C784" s="62"/>
      <c r="D784" s="62"/>
      <c r="E784" s="62"/>
      <c r="F784" s="62"/>
      <c r="G784" s="62"/>
      <c r="H784" s="62"/>
      <c r="I784" s="62"/>
      <c r="J784" s="62"/>
      <c r="K784" s="62"/>
      <c r="L784" s="62"/>
      <c r="M784" s="62"/>
      <c r="N784" s="186"/>
      <c r="O784" s="152"/>
      <c r="P784" s="90"/>
      <c r="Q784" s="140"/>
      <c r="R784" s="90"/>
      <c r="S784" s="140"/>
      <c r="T784" s="90"/>
      <c r="U784" s="140"/>
      <c r="V784" s="90"/>
      <c r="W784" s="140"/>
      <c r="X784" s="90"/>
      <c r="Y784" s="140"/>
      <c r="Z784" s="90"/>
      <c r="AA784" s="140"/>
      <c r="AB784" s="90"/>
      <c r="AC784" s="140"/>
      <c r="AD784" s="90"/>
      <c r="AE784" s="140"/>
      <c r="AF784" s="137" t="str">
        <f t="shared" si="40"/>
        <v/>
      </c>
      <c r="AG784" s="179" t="b">
        <f t="shared" si="39"/>
        <v>0</v>
      </c>
      <c r="AH784" s="140"/>
      <c r="AI784" s="147" t="s">
        <v>36</v>
      </c>
      <c r="AJ784" s="145">
        <f t="shared" si="38"/>
        <v>0</v>
      </c>
      <c r="AK784" s="148" t="s">
        <v>75</v>
      </c>
    </row>
    <row r="785" spans="1:37" ht="30" customHeight="1">
      <c r="A785" s="62"/>
      <c r="B785" s="62"/>
      <c r="C785" s="62"/>
      <c r="D785" s="62"/>
      <c r="E785" s="62"/>
      <c r="F785" s="62"/>
      <c r="G785" s="62"/>
      <c r="H785" s="62"/>
      <c r="I785" s="62"/>
      <c r="J785" s="62"/>
      <c r="K785" s="62"/>
      <c r="L785" s="62"/>
      <c r="M785" s="62"/>
      <c r="N785" s="186"/>
      <c r="O785" s="152"/>
      <c r="P785" s="90"/>
      <c r="Q785" s="140"/>
      <c r="R785" s="90"/>
      <c r="S785" s="140"/>
      <c r="T785" s="90"/>
      <c r="U785" s="140"/>
      <c r="V785" s="90"/>
      <c r="W785" s="140"/>
      <c r="X785" s="90"/>
      <c r="Y785" s="140"/>
      <c r="Z785" s="90"/>
      <c r="AA785" s="140"/>
      <c r="AB785" s="90"/>
      <c r="AC785" s="140"/>
      <c r="AD785" s="90"/>
      <c r="AE785" s="140"/>
      <c r="AF785" s="137" t="str">
        <f t="shared" si="40"/>
        <v/>
      </c>
      <c r="AG785" s="179" t="b">
        <f t="shared" si="39"/>
        <v>0</v>
      </c>
      <c r="AH785" s="140"/>
      <c r="AI785" s="147" t="s">
        <v>36</v>
      </c>
      <c r="AJ785" s="145">
        <f t="shared" si="38"/>
        <v>0</v>
      </c>
      <c r="AK785" s="148" t="s">
        <v>75</v>
      </c>
    </row>
    <row r="786" spans="1:37" ht="30" customHeight="1">
      <c r="A786" s="62"/>
      <c r="B786" s="62"/>
      <c r="C786" s="62"/>
      <c r="D786" s="62"/>
      <c r="E786" s="62"/>
      <c r="F786" s="62"/>
      <c r="G786" s="62"/>
      <c r="H786" s="62"/>
      <c r="I786" s="62"/>
      <c r="J786" s="62"/>
      <c r="K786" s="62"/>
      <c r="L786" s="62"/>
      <c r="M786" s="62"/>
      <c r="N786" s="186"/>
      <c r="O786" s="152"/>
      <c r="P786" s="90"/>
      <c r="Q786" s="140"/>
      <c r="R786" s="90"/>
      <c r="S786" s="140"/>
      <c r="T786" s="90"/>
      <c r="U786" s="140"/>
      <c r="V786" s="90"/>
      <c r="W786" s="140"/>
      <c r="X786" s="90"/>
      <c r="Y786" s="140"/>
      <c r="Z786" s="90"/>
      <c r="AA786" s="140"/>
      <c r="AB786" s="90"/>
      <c r="AC786" s="140"/>
      <c r="AD786" s="90"/>
      <c r="AE786" s="140"/>
      <c r="AF786" s="137" t="str">
        <f t="shared" si="40"/>
        <v/>
      </c>
      <c r="AG786" s="179" t="b">
        <f t="shared" si="39"/>
        <v>0</v>
      </c>
      <c r="AH786" s="140"/>
      <c r="AI786" s="147" t="s">
        <v>36</v>
      </c>
      <c r="AJ786" s="145">
        <f t="shared" si="38"/>
        <v>0</v>
      </c>
      <c r="AK786" s="148" t="s">
        <v>75</v>
      </c>
    </row>
    <row r="787" spans="1:37" ht="30" customHeight="1">
      <c r="A787" s="62"/>
      <c r="B787" s="62"/>
      <c r="C787" s="62"/>
      <c r="D787" s="62"/>
      <c r="E787" s="62"/>
      <c r="F787" s="62"/>
      <c r="G787" s="62"/>
      <c r="H787" s="62"/>
      <c r="I787" s="62"/>
      <c r="J787" s="62"/>
      <c r="K787" s="62"/>
      <c r="L787" s="62"/>
      <c r="M787" s="62"/>
      <c r="N787" s="186"/>
      <c r="O787" s="152"/>
      <c r="P787" s="90"/>
      <c r="Q787" s="140"/>
      <c r="R787" s="90"/>
      <c r="S787" s="140"/>
      <c r="T787" s="90"/>
      <c r="U787" s="140"/>
      <c r="V787" s="90"/>
      <c r="W787" s="140"/>
      <c r="X787" s="90"/>
      <c r="Y787" s="140"/>
      <c r="Z787" s="90"/>
      <c r="AA787" s="140"/>
      <c r="AB787" s="90"/>
      <c r="AC787" s="140"/>
      <c r="AD787" s="90"/>
      <c r="AE787" s="140"/>
      <c r="AF787" s="137" t="str">
        <f t="shared" si="40"/>
        <v/>
      </c>
      <c r="AG787" s="179" t="b">
        <f t="shared" si="39"/>
        <v>0</v>
      </c>
      <c r="AH787" s="140"/>
      <c r="AI787" s="147" t="s">
        <v>36</v>
      </c>
      <c r="AJ787" s="145">
        <f t="shared" si="38"/>
        <v>0</v>
      </c>
      <c r="AK787" s="148" t="s">
        <v>75</v>
      </c>
    </row>
    <row r="788" spans="1:37" ht="30" customHeight="1">
      <c r="A788" s="62"/>
      <c r="B788" s="62"/>
      <c r="C788" s="62"/>
      <c r="D788" s="62"/>
      <c r="E788" s="62"/>
      <c r="F788" s="62"/>
      <c r="G788" s="62"/>
      <c r="H788" s="62"/>
      <c r="I788" s="62"/>
      <c r="J788" s="62"/>
      <c r="K788" s="62"/>
      <c r="L788" s="62"/>
      <c r="M788" s="62"/>
      <c r="N788" s="186"/>
      <c r="O788" s="152"/>
      <c r="P788" s="90"/>
      <c r="Q788" s="140"/>
      <c r="R788" s="90"/>
      <c r="S788" s="140"/>
      <c r="T788" s="90"/>
      <c r="U788" s="140"/>
      <c r="V788" s="90"/>
      <c r="W788" s="140"/>
      <c r="X788" s="90"/>
      <c r="Y788" s="140"/>
      <c r="Z788" s="90"/>
      <c r="AA788" s="140"/>
      <c r="AB788" s="90"/>
      <c r="AC788" s="140"/>
      <c r="AD788" s="90"/>
      <c r="AE788" s="140"/>
      <c r="AF788" s="137" t="str">
        <f t="shared" si="40"/>
        <v/>
      </c>
      <c r="AG788" s="179" t="b">
        <f t="shared" si="39"/>
        <v>0</v>
      </c>
      <c r="AH788" s="140"/>
      <c r="AI788" s="147" t="s">
        <v>36</v>
      </c>
      <c r="AJ788" s="145">
        <f t="shared" si="38"/>
        <v>0</v>
      </c>
      <c r="AK788" s="148" t="s">
        <v>75</v>
      </c>
    </row>
    <row r="789" spans="1:37" ht="30" customHeight="1">
      <c r="A789" s="62"/>
      <c r="B789" s="62"/>
      <c r="C789" s="62"/>
      <c r="D789" s="62"/>
      <c r="E789" s="62"/>
      <c r="F789" s="62"/>
      <c r="G789" s="62"/>
      <c r="H789" s="62"/>
      <c r="I789" s="62"/>
      <c r="J789" s="62"/>
      <c r="K789" s="62"/>
      <c r="L789" s="62"/>
      <c r="M789" s="62"/>
      <c r="N789" s="186"/>
      <c r="O789" s="152"/>
      <c r="P789" s="90"/>
      <c r="Q789" s="140"/>
      <c r="R789" s="90"/>
      <c r="S789" s="140"/>
      <c r="T789" s="90"/>
      <c r="U789" s="140"/>
      <c r="V789" s="90"/>
      <c r="W789" s="140"/>
      <c r="X789" s="90"/>
      <c r="Y789" s="140"/>
      <c r="Z789" s="90"/>
      <c r="AA789" s="140"/>
      <c r="AB789" s="90"/>
      <c r="AC789" s="140"/>
      <c r="AD789" s="90"/>
      <c r="AE789" s="140"/>
      <c r="AF789" s="137" t="str">
        <f t="shared" si="40"/>
        <v/>
      </c>
      <c r="AG789" s="179" t="b">
        <f t="shared" si="39"/>
        <v>0</v>
      </c>
      <c r="AH789" s="140"/>
      <c r="AI789" s="147" t="s">
        <v>36</v>
      </c>
      <c r="AJ789" s="145">
        <f t="shared" si="38"/>
        <v>0</v>
      </c>
      <c r="AK789" s="148" t="s">
        <v>75</v>
      </c>
    </row>
    <row r="790" spans="1:37" ht="30" customHeight="1">
      <c r="A790" s="62"/>
      <c r="B790" s="62"/>
      <c r="C790" s="62"/>
      <c r="D790" s="62"/>
      <c r="E790" s="62"/>
      <c r="F790" s="62"/>
      <c r="G790" s="62"/>
      <c r="H790" s="62"/>
      <c r="I790" s="62"/>
      <c r="J790" s="62"/>
      <c r="K790" s="62"/>
      <c r="L790" s="62"/>
      <c r="M790" s="62"/>
      <c r="N790" s="186"/>
      <c r="O790" s="152"/>
      <c r="P790" s="90"/>
      <c r="Q790" s="140"/>
      <c r="R790" s="90"/>
      <c r="S790" s="140"/>
      <c r="T790" s="90"/>
      <c r="U790" s="140"/>
      <c r="V790" s="90"/>
      <c r="W790" s="140"/>
      <c r="X790" s="90"/>
      <c r="Y790" s="140"/>
      <c r="Z790" s="90"/>
      <c r="AA790" s="140"/>
      <c r="AB790" s="90"/>
      <c r="AC790" s="140"/>
      <c r="AD790" s="90"/>
      <c r="AE790" s="140"/>
      <c r="AF790" s="137" t="str">
        <f t="shared" si="40"/>
        <v/>
      </c>
      <c r="AG790" s="179" t="b">
        <f t="shared" si="39"/>
        <v>0</v>
      </c>
      <c r="AH790" s="140"/>
      <c r="AI790" s="147" t="s">
        <v>36</v>
      </c>
      <c r="AJ790" s="145">
        <f t="shared" si="38"/>
        <v>0</v>
      </c>
      <c r="AK790" s="148" t="s">
        <v>75</v>
      </c>
    </row>
    <row r="791" spans="1:37" ht="30" customHeight="1">
      <c r="A791" s="62"/>
      <c r="B791" s="62"/>
      <c r="C791" s="62"/>
      <c r="D791" s="62"/>
      <c r="E791" s="62"/>
      <c r="F791" s="62"/>
      <c r="G791" s="62"/>
      <c r="H791" s="62"/>
      <c r="I791" s="62"/>
      <c r="J791" s="62"/>
      <c r="K791" s="62"/>
      <c r="L791" s="62"/>
      <c r="M791" s="62"/>
      <c r="N791" s="186"/>
      <c r="O791" s="152"/>
      <c r="P791" s="90"/>
      <c r="Q791" s="140"/>
      <c r="R791" s="90"/>
      <c r="S791" s="140"/>
      <c r="T791" s="90"/>
      <c r="U791" s="140"/>
      <c r="V791" s="90"/>
      <c r="W791" s="140"/>
      <c r="X791" s="90"/>
      <c r="Y791" s="140"/>
      <c r="Z791" s="90"/>
      <c r="AA791" s="140"/>
      <c r="AB791" s="90"/>
      <c r="AC791" s="140"/>
      <c r="AD791" s="90"/>
      <c r="AE791" s="140"/>
      <c r="AF791" s="137" t="str">
        <f t="shared" si="40"/>
        <v/>
      </c>
      <c r="AG791" s="179" t="b">
        <f t="shared" si="39"/>
        <v>0</v>
      </c>
      <c r="AH791" s="140"/>
      <c r="AI791" s="147" t="s">
        <v>36</v>
      </c>
      <c r="AJ791" s="145">
        <f t="shared" si="38"/>
        <v>0</v>
      </c>
      <c r="AK791" s="148" t="s">
        <v>75</v>
      </c>
    </row>
    <row r="792" spans="1:37" ht="30" customHeight="1">
      <c r="A792" s="62"/>
      <c r="B792" s="62"/>
      <c r="C792" s="62"/>
      <c r="D792" s="62"/>
      <c r="E792" s="62"/>
      <c r="F792" s="62"/>
      <c r="G792" s="62"/>
      <c r="H792" s="62"/>
      <c r="I792" s="62"/>
      <c r="J792" s="62"/>
      <c r="K792" s="62"/>
      <c r="L792" s="62"/>
      <c r="M792" s="62"/>
      <c r="N792" s="186"/>
      <c r="O792" s="152"/>
      <c r="P792" s="90"/>
      <c r="Q792" s="140"/>
      <c r="R792" s="90"/>
      <c r="S792" s="140"/>
      <c r="T792" s="90"/>
      <c r="U792" s="140"/>
      <c r="V792" s="90"/>
      <c r="W792" s="140"/>
      <c r="X792" s="90"/>
      <c r="Y792" s="140"/>
      <c r="Z792" s="90"/>
      <c r="AA792" s="140"/>
      <c r="AB792" s="90"/>
      <c r="AC792" s="140"/>
      <c r="AD792" s="90"/>
      <c r="AE792" s="140"/>
      <c r="AF792" s="137" t="str">
        <f t="shared" si="40"/>
        <v/>
      </c>
      <c r="AG792" s="179" t="b">
        <f t="shared" si="39"/>
        <v>0</v>
      </c>
      <c r="AH792" s="140"/>
      <c r="AI792" s="147" t="s">
        <v>36</v>
      </c>
      <c r="AJ792" s="145">
        <f t="shared" si="38"/>
        <v>0</v>
      </c>
      <c r="AK792" s="148" t="s">
        <v>75</v>
      </c>
    </row>
    <row r="793" spans="1:37" ht="30" customHeight="1">
      <c r="A793" s="62"/>
      <c r="B793" s="62"/>
      <c r="C793" s="62"/>
      <c r="D793" s="62"/>
      <c r="E793" s="62"/>
      <c r="F793" s="62"/>
      <c r="G793" s="62"/>
      <c r="H793" s="62"/>
      <c r="I793" s="62"/>
      <c r="J793" s="62"/>
      <c r="K793" s="62"/>
      <c r="L793" s="62"/>
      <c r="M793" s="62"/>
      <c r="N793" s="186"/>
      <c r="O793" s="152"/>
      <c r="P793" s="90"/>
      <c r="Q793" s="140"/>
      <c r="R793" s="90"/>
      <c r="S793" s="140"/>
      <c r="T793" s="90"/>
      <c r="U793" s="140"/>
      <c r="V793" s="90"/>
      <c r="W793" s="140"/>
      <c r="X793" s="90"/>
      <c r="Y793" s="140"/>
      <c r="Z793" s="90"/>
      <c r="AA793" s="140"/>
      <c r="AB793" s="90"/>
      <c r="AC793" s="140"/>
      <c r="AD793" s="90"/>
      <c r="AE793" s="140"/>
      <c r="AF793" s="137" t="str">
        <f t="shared" si="40"/>
        <v/>
      </c>
      <c r="AG793" s="179" t="b">
        <f t="shared" si="39"/>
        <v>0</v>
      </c>
      <c r="AH793" s="140"/>
      <c r="AI793" s="147" t="s">
        <v>36</v>
      </c>
      <c r="AJ793" s="145">
        <f t="shared" si="38"/>
        <v>0</v>
      </c>
      <c r="AK793" s="148" t="s">
        <v>75</v>
      </c>
    </row>
    <row r="794" spans="1:37" ht="30" customHeight="1">
      <c r="A794" s="62"/>
      <c r="B794" s="62"/>
      <c r="C794" s="62"/>
      <c r="D794" s="62"/>
      <c r="E794" s="62"/>
      <c r="F794" s="62"/>
      <c r="G794" s="62"/>
      <c r="H794" s="62"/>
      <c r="I794" s="62"/>
      <c r="J794" s="62"/>
      <c r="K794" s="62"/>
      <c r="L794" s="62"/>
      <c r="M794" s="62"/>
      <c r="N794" s="186"/>
      <c r="O794" s="152"/>
      <c r="P794" s="90"/>
      <c r="Q794" s="140"/>
      <c r="R794" s="90"/>
      <c r="S794" s="140"/>
      <c r="T794" s="90"/>
      <c r="U794" s="140"/>
      <c r="V794" s="90"/>
      <c r="W794" s="140"/>
      <c r="X794" s="90"/>
      <c r="Y794" s="140"/>
      <c r="Z794" s="90"/>
      <c r="AA794" s="140"/>
      <c r="AB794" s="90"/>
      <c r="AC794" s="140"/>
      <c r="AD794" s="90"/>
      <c r="AE794" s="140"/>
      <c r="AF794" s="137" t="str">
        <f t="shared" si="40"/>
        <v/>
      </c>
      <c r="AG794" s="179" t="b">
        <f t="shared" si="39"/>
        <v>0</v>
      </c>
      <c r="AH794" s="140"/>
      <c r="AI794" s="147" t="s">
        <v>36</v>
      </c>
      <c r="AJ794" s="145">
        <f t="shared" si="38"/>
        <v>0</v>
      </c>
      <c r="AK794" s="148" t="s">
        <v>75</v>
      </c>
    </row>
    <row r="795" spans="1:37" ht="30" customHeight="1">
      <c r="A795" s="62"/>
      <c r="B795" s="62"/>
      <c r="C795" s="62"/>
      <c r="D795" s="62"/>
      <c r="E795" s="62"/>
      <c r="F795" s="62"/>
      <c r="G795" s="62"/>
      <c r="H795" s="62"/>
      <c r="I795" s="62"/>
      <c r="J795" s="62"/>
      <c r="K795" s="62"/>
      <c r="L795" s="62"/>
      <c r="M795" s="62"/>
      <c r="N795" s="186"/>
      <c r="O795" s="152"/>
      <c r="P795" s="90"/>
      <c r="Q795" s="140"/>
      <c r="R795" s="90"/>
      <c r="S795" s="140"/>
      <c r="T795" s="90"/>
      <c r="U795" s="140"/>
      <c r="V795" s="90"/>
      <c r="W795" s="140"/>
      <c r="X795" s="90"/>
      <c r="Y795" s="140"/>
      <c r="Z795" s="90"/>
      <c r="AA795" s="140"/>
      <c r="AB795" s="90"/>
      <c r="AC795" s="140"/>
      <c r="AD795" s="90"/>
      <c r="AE795" s="140"/>
      <c r="AF795" s="137" t="str">
        <f t="shared" si="40"/>
        <v/>
      </c>
      <c r="AG795" s="179" t="b">
        <f t="shared" si="39"/>
        <v>0</v>
      </c>
      <c r="AH795" s="140"/>
      <c r="AI795" s="147" t="s">
        <v>36</v>
      </c>
      <c r="AJ795" s="145">
        <f t="shared" si="38"/>
        <v>0</v>
      </c>
      <c r="AK795" s="148" t="s">
        <v>75</v>
      </c>
    </row>
    <row r="796" spans="1:37" ht="30" customHeight="1">
      <c r="A796" s="62"/>
      <c r="B796" s="62"/>
      <c r="C796" s="62"/>
      <c r="D796" s="62"/>
      <c r="E796" s="62"/>
      <c r="F796" s="62"/>
      <c r="G796" s="62"/>
      <c r="H796" s="62"/>
      <c r="I796" s="62"/>
      <c r="J796" s="62"/>
      <c r="K796" s="62"/>
      <c r="L796" s="62"/>
      <c r="M796" s="62"/>
      <c r="N796" s="186"/>
      <c r="O796" s="152"/>
      <c r="P796" s="90"/>
      <c r="Q796" s="140"/>
      <c r="R796" s="90"/>
      <c r="S796" s="140"/>
      <c r="T796" s="90"/>
      <c r="U796" s="140"/>
      <c r="V796" s="90"/>
      <c r="W796" s="140"/>
      <c r="X796" s="90"/>
      <c r="Y796" s="140"/>
      <c r="Z796" s="90"/>
      <c r="AA796" s="140"/>
      <c r="AB796" s="90"/>
      <c r="AC796" s="140"/>
      <c r="AD796" s="90"/>
      <c r="AE796" s="140"/>
      <c r="AF796" s="137" t="str">
        <f t="shared" si="40"/>
        <v/>
      </c>
      <c r="AG796" s="179" t="b">
        <f t="shared" si="39"/>
        <v>0</v>
      </c>
      <c r="AH796" s="140"/>
      <c r="AI796" s="147" t="s">
        <v>36</v>
      </c>
      <c r="AJ796" s="145">
        <f t="shared" si="38"/>
        <v>0</v>
      </c>
      <c r="AK796" s="148" t="s">
        <v>75</v>
      </c>
    </row>
    <row r="797" spans="1:37" ht="30" customHeight="1">
      <c r="A797" s="62"/>
      <c r="B797" s="62"/>
      <c r="C797" s="62"/>
      <c r="D797" s="62"/>
      <c r="E797" s="62"/>
      <c r="F797" s="62"/>
      <c r="G797" s="62"/>
      <c r="H797" s="62"/>
      <c r="I797" s="62"/>
      <c r="J797" s="62"/>
      <c r="K797" s="62"/>
      <c r="L797" s="62"/>
      <c r="M797" s="62"/>
      <c r="N797" s="186"/>
      <c r="O797" s="152"/>
      <c r="P797" s="90"/>
      <c r="Q797" s="140"/>
      <c r="R797" s="90"/>
      <c r="S797" s="140"/>
      <c r="T797" s="90"/>
      <c r="U797" s="140"/>
      <c r="V797" s="90"/>
      <c r="W797" s="140"/>
      <c r="X797" s="90"/>
      <c r="Y797" s="140"/>
      <c r="Z797" s="90"/>
      <c r="AA797" s="140"/>
      <c r="AB797" s="90"/>
      <c r="AC797" s="140"/>
      <c r="AD797" s="90"/>
      <c r="AE797" s="140"/>
      <c r="AF797" s="137" t="str">
        <f t="shared" si="40"/>
        <v/>
      </c>
      <c r="AG797" s="179" t="b">
        <f t="shared" si="39"/>
        <v>0</v>
      </c>
      <c r="AH797" s="140"/>
      <c r="AI797" s="147" t="s">
        <v>36</v>
      </c>
      <c r="AJ797" s="145">
        <f t="shared" si="38"/>
        <v>0</v>
      </c>
      <c r="AK797" s="148" t="s">
        <v>75</v>
      </c>
    </row>
    <row r="798" spans="1:37" ht="30" customHeight="1">
      <c r="A798" s="62"/>
      <c r="B798" s="62"/>
      <c r="C798" s="62"/>
      <c r="D798" s="62"/>
      <c r="E798" s="62"/>
      <c r="F798" s="62"/>
      <c r="G798" s="62"/>
      <c r="H798" s="62"/>
      <c r="I798" s="62"/>
      <c r="J798" s="62"/>
      <c r="K798" s="62"/>
      <c r="L798" s="62"/>
      <c r="M798" s="62"/>
      <c r="N798" s="186"/>
      <c r="O798" s="152"/>
      <c r="P798" s="90"/>
      <c r="Q798" s="140"/>
      <c r="R798" s="90"/>
      <c r="S798" s="140"/>
      <c r="T798" s="90"/>
      <c r="U798" s="140"/>
      <c r="V798" s="90"/>
      <c r="W798" s="140"/>
      <c r="X798" s="90"/>
      <c r="Y798" s="140"/>
      <c r="Z798" s="90"/>
      <c r="AA798" s="140"/>
      <c r="AB798" s="90"/>
      <c r="AC798" s="140"/>
      <c r="AD798" s="90"/>
      <c r="AE798" s="140"/>
      <c r="AF798" s="137" t="str">
        <f t="shared" si="40"/>
        <v/>
      </c>
      <c r="AG798" s="179" t="b">
        <f t="shared" si="39"/>
        <v>0</v>
      </c>
      <c r="AH798" s="140"/>
      <c r="AI798" s="147" t="s">
        <v>36</v>
      </c>
      <c r="AJ798" s="145">
        <f t="shared" si="38"/>
        <v>0</v>
      </c>
      <c r="AK798" s="148" t="s">
        <v>75</v>
      </c>
    </row>
    <row r="799" spans="1:37" ht="30" customHeight="1">
      <c r="A799" s="62"/>
      <c r="B799" s="62"/>
      <c r="C799" s="62"/>
      <c r="D799" s="62"/>
      <c r="E799" s="62"/>
      <c r="F799" s="62"/>
      <c r="G799" s="62"/>
      <c r="H799" s="62"/>
      <c r="I799" s="62"/>
      <c r="J799" s="62"/>
      <c r="K799" s="62"/>
      <c r="L799" s="62"/>
      <c r="M799" s="62"/>
      <c r="N799" s="186"/>
      <c r="O799" s="152"/>
      <c r="P799" s="90"/>
      <c r="Q799" s="140"/>
      <c r="R799" s="90"/>
      <c r="S799" s="140"/>
      <c r="T799" s="90"/>
      <c r="U799" s="140"/>
      <c r="V799" s="90"/>
      <c r="W799" s="140"/>
      <c r="X799" s="90"/>
      <c r="Y799" s="140"/>
      <c r="Z799" s="90"/>
      <c r="AA799" s="140"/>
      <c r="AB799" s="90"/>
      <c r="AC799" s="140"/>
      <c r="AD799" s="90"/>
      <c r="AE799" s="140"/>
      <c r="AF799" s="137" t="str">
        <f t="shared" si="40"/>
        <v/>
      </c>
      <c r="AG799" s="179" t="b">
        <f t="shared" si="39"/>
        <v>0</v>
      </c>
      <c r="AH799" s="140"/>
      <c r="AI799" s="147" t="s">
        <v>36</v>
      </c>
      <c r="AJ799" s="145">
        <f t="shared" si="38"/>
        <v>0</v>
      </c>
      <c r="AK799" s="148" t="s">
        <v>75</v>
      </c>
    </row>
    <row r="800" spans="1:37" ht="30" customHeight="1">
      <c r="A800" s="62"/>
      <c r="B800" s="62"/>
      <c r="C800" s="62"/>
      <c r="D800" s="62"/>
      <c r="E800" s="62"/>
      <c r="F800" s="62"/>
      <c r="G800" s="62"/>
      <c r="H800" s="62"/>
      <c r="I800" s="62"/>
      <c r="J800" s="62"/>
      <c r="K800" s="62"/>
      <c r="L800" s="62"/>
      <c r="M800" s="62"/>
      <c r="N800" s="186"/>
      <c r="O800" s="152"/>
      <c r="P800" s="90"/>
      <c r="Q800" s="140"/>
      <c r="R800" s="90"/>
      <c r="S800" s="140"/>
      <c r="T800" s="90"/>
      <c r="U800" s="140"/>
      <c r="V800" s="90"/>
      <c r="W800" s="140"/>
      <c r="X800" s="90"/>
      <c r="Y800" s="140"/>
      <c r="Z800" s="90"/>
      <c r="AA800" s="140"/>
      <c r="AB800" s="90"/>
      <c r="AC800" s="140"/>
      <c r="AD800" s="90"/>
      <c r="AE800" s="140"/>
      <c r="AF800" s="137" t="str">
        <f t="shared" si="40"/>
        <v/>
      </c>
      <c r="AG800" s="179" t="b">
        <f t="shared" si="39"/>
        <v>0</v>
      </c>
      <c r="AH800" s="140"/>
      <c r="AI800" s="147" t="s">
        <v>36</v>
      </c>
      <c r="AJ800" s="145">
        <f t="shared" ref="AJ800:AJ863" si="41">E800</f>
        <v>0</v>
      </c>
      <c r="AK800" s="148" t="s">
        <v>75</v>
      </c>
    </row>
    <row r="801" spans="1:37" ht="30" customHeight="1">
      <c r="A801" s="62"/>
      <c r="B801" s="62"/>
      <c r="C801" s="62"/>
      <c r="D801" s="62"/>
      <c r="E801" s="62"/>
      <c r="F801" s="62"/>
      <c r="G801" s="62"/>
      <c r="H801" s="62"/>
      <c r="I801" s="62"/>
      <c r="J801" s="62"/>
      <c r="K801" s="62"/>
      <c r="L801" s="62"/>
      <c r="M801" s="62"/>
      <c r="N801" s="186"/>
      <c r="O801" s="152"/>
      <c r="P801" s="90"/>
      <c r="Q801" s="140"/>
      <c r="R801" s="90"/>
      <c r="S801" s="140"/>
      <c r="T801" s="90"/>
      <c r="U801" s="140"/>
      <c r="V801" s="90"/>
      <c r="W801" s="140"/>
      <c r="X801" s="90"/>
      <c r="Y801" s="140"/>
      <c r="Z801" s="90"/>
      <c r="AA801" s="140"/>
      <c r="AB801" s="90"/>
      <c r="AC801" s="140"/>
      <c r="AD801" s="90"/>
      <c r="AE801" s="140"/>
      <c r="AF801" s="137" t="str">
        <f t="shared" si="40"/>
        <v/>
      </c>
      <c r="AG801" s="179" t="b">
        <f t="shared" si="39"/>
        <v>0</v>
      </c>
      <c r="AH801" s="140"/>
      <c r="AI801" s="147" t="s">
        <v>36</v>
      </c>
      <c r="AJ801" s="145">
        <f t="shared" si="41"/>
        <v>0</v>
      </c>
      <c r="AK801" s="148" t="s">
        <v>75</v>
      </c>
    </row>
    <row r="802" spans="1:37" ht="30" customHeight="1">
      <c r="A802" s="62"/>
      <c r="B802" s="62"/>
      <c r="C802" s="62"/>
      <c r="D802" s="62"/>
      <c r="E802" s="62"/>
      <c r="F802" s="62"/>
      <c r="G802" s="62"/>
      <c r="H802" s="62"/>
      <c r="I802" s="62"/>
      <c r="J802" s="62"/>
      <c r="K802" s="62"/>
      <c r="L802" s="62"/>
      <c r="M802" s="62"/>
      <c r="N802" s="186"/>
      <c r="O802" s="152"/>
      <c r="P802" s="90"/>
      <c r="Q802" s="140"/>
      <c r="R802" s="90"/>
      <c r="S802" s="140"/>
      <c r="T802" s="90"/>
      <c r="U802" s="140"/>
      <c r="V802" s="90"/>
      <c r="W802" s="140"/>
      <c r="X802" s="90"/>
      <c r="Y802" s="140"/>
      <c r="Z802" s="90"/>
      <c r="AA802" s="140"/>
      <c r="AB802" s="90"/>
      <c r="AC802" s="140"/>
      <c r="AD802" s="90"/>
      <c r="AE802" s="140"/>
      <c r="AF802" s="137" t="str">
        <f t="shared" si="40"/>
        <v/>
      </c>
      <c r="AG802" s="179" t="b">
        <f t="shared" si="39"/>
        <v>0</v>
      </c>
      <c r="AH802" s="140"/>
      <c r="AI802" s="147" t="s">
        <v>36</v>
      </c>
      <c r="AJ802" s="145">
        <f t="shared" si="41"/>
        <v>0</v>
      </c>
      <c r="AK802" s="148" t="s">
        <v>75</v>
      </c>
    </row>
    <row r="803" spans="1:37" ht="30" customHeight="1">
      <c r="A803" s="62"/>
      <c r="B803" s="62"/>
      <c r="C803" s="62"/>
      <c r="D803" s="62"/>
      <c r="E803" s="62"/>
      <c r="F803" s="62"/>
      <c r="G803" s="62"/>
      <c r="H803" s="62"/>
      <c r="I803" s="62"/>
      <c r="J803" s="62"/>
      <c r="K803" s="62"/>
      <c r="L803" s="62"/>
      <c r="M803" s="62"/>
      <c r="N803" s="186"/>
      <c r="O803" s="152"/>
      <c r="P803" s="90"/>
      <c r="Q803" s="140"/>
      <c r="R803" s="90"/>
      <c r="S803" s="140"/>
      <c r="T803" s="90"/>
      <c r="U803" s="140"/>
      <c r="V803" s="90"/>
      <c r="W803" s="140"/>
      <c r="X803" s="90"/>
      <c r="Y803" s="140"/>
      <c r="Z803" s="90"/>
      <c r="AA803" s="140"/>
      <c r="AB803" s="90"/>
      <c r="AC803" s="140"/>
      <c r="AD803" s="90"/>
      <c r="AE803" s="140"/>
      <c r="AF803" s="137" t="str">
        <f t="shared" si="40"/>
        <v/>
      </c>
      <c r="AG803" s="179" t="b">
        <f t="shared" si="39"/>
        <v>0</v>
      </c>
      <c r="AH803" s="140"/>
      <c r="AI803" s="147" t="s">
        <v>36</v>
      </c>
      <c r="AJ803" s="145">
        <f t="shared" si="41"/>
        <v>0</v>
      </c>
      <c r="AK803" s="148" t="s">
        <v>75</v>
      </c>
    </row>
    <row r="804" spans="1:37" ht="30" customHeight="1">
      <c r="A804" s="62"/>
      <c r="B804" s="62"/>
      <c r="C804" s="62"/>
      <c r="D804" s="62"/>
      <c r="E804" s="62"/>
      <c r="F804" s="62"/>
      <c r="G804" s="62"/>
      <c r="H804" s="62"/>
      <c r="I804" s="62"/>
      <c r="J804" s="62"/>
      <c r="K804" s="62"/>
      <c r="L804" s="62"/>
      <c r="M804" s="62"/>
      <c r="N804" s="186"/>
      <c r="O804" s="152"/>
      <c r="P804" s="90"/>
      <c r="Q804" s="140"/>
      <c r="R804" s="90"/>
      <c r="S804" s="140"/>
      <c r="T804" s="90"/>
      <c r="U804" s="140"/>
      <c r="V804" s="90"/>
      <c r="W804" s="140"/>
      <c r="X804" s="90"/>
      <c r="Y804" s="140"/>
      <c r="Z804" s="90"/>
      <c r="AA804" s="140"/>
      <c r="AB804" s="90"/>
      <c r="AC804" s="140"/>
      <c r="AD804" s="90"/>
      <c r="AE804" s="140"/>
      <c r="AF804" s="137" t="str">
        <f t="shared" si="40"/>
        <v/>
      </c>
      <c r="AG804" s="179" t="b">
        <f t="shared" si="39"/>
        <v>0</v>
      </c>
      <c r="AH804" s="140"/>
      <c r="AI804" s="147" t="s">
        <v>36</v>
      </c>
      <c r="AJ804" s="145">
        <f t="shared" si="41"/>
        <v>0</v>
      </c>
      <c r="AK804" s="148" t="s">
        <v>75</v>
      </c>
    </row>
    <row r="805" spans="1:37" ht="30" customHeight="1">
      <c r="A805" s="62"/>
      <c r="B805" s="62"/>
      <c r="C805" s="62"/>
      <c r="D805" s="62"/>
      <c r="E805" s="62"/>
      <c r="F805" s="62"/>
      <c r="G805" s="62"/>
      <c r="H805" s="62"/>
      <c r="I805" s="62"/>
      <c r="J805" s="62"/>
      <c r="K805" s="62"/>
      <c r="L805" s="62"/>
      <c r="M805" s="62"/>
      <c r="N805" s="186"/>
      <c r="O805" s="152"/>
      <c r="P805" s="90"/>
      <c r="Q805" s="140"/>
      <c r="R805" s="90"/>
      <c r="S805" s="140"/>
      <c r="T805" s="90"/>
      <c r="U805" s="140"/>
      <c r="V805" s="90"/>
      <c r="W805" s="140"/>
      <c r="X805" s="90"/>
      <c r="Y805" s="140"/>
      <c r="Z805" s="90"/>
      <c r="AA805" s="140"/>
      <c r="AB805" s="90"/>
      <c r="AC805" s="140"/>
      <c r="AD805" s="90"/>
      <c r="AE805" s="140"/>
      <c r="AF805" s="137" t="str">
        <f t="shared" si="40"/>
        <v/>
      </c>
      <c r="AG805" s="179" t="b">
        <f t="shared" si="39"/>
        <v>0</v>
      </c>
      <c r="AH805" s="140"/>
      <c r="AI805" s="147" t="s">
        <v>36</v>
      </c>
      <c r="AJ805" s="145">
        <f t="shared" si="41"/>
        <v>0</v>
      </c>
      <c r="AK805" s="148" t="s">
        <v>75</v>
      </c>
    </row>
    <row r="806" spans="1:37" ht="30" customHeight="1">
      <c r="A806" s="62"/>
      <c r="B806" s="62"/>
      <c r="C806" s="62"/>
      <c r="D806" s="62"/>
      <c r="E806" s="62"/>
      <c r="F806" s="62"/>
      <c r="G806" s="62"/>
      <c r="H806" s="62"/>
      <c r="I806" s="62"/>
      <c r="J806" s="62"/>
      <c r="K806" s="62"/>
      <c r="L806" s="62"/>
      <c r="M806" s="62"/>
      <c r="N806" s="186"/>
      <c r="O806" s="152"/>
      <c r="P806" s="90"/>
      <c r="Q806" s="140"/>
      <c r="R806" s="90"/>
      <c r="S806" s="140"/>
      <c r="T806" s="90"/>
      <c r="U806" s="140"/>
      <c r="V806" s="90"/>
      <c r="W806" s="140"/>
      <c r="X806" s="90"/>
      <c r="Y806" s="140"/>
      <c r="Z806" s="90"/>
      <c r="AA806" s="140"/>
      <c r="AB806" s="90"/>
      <c r="AC806" s="140"/>
      <c r="AD806" s="90"/>
      <c r="AE806" s="140"/>
      <c r="AF806" s="137" t="str">
        <f t="shared" si="40"/>
        <v/>
      </c>
      <c r="AG806" s="179" t="b">
        <f t="shared" si="39"/>
        <v>0</v>
      </c>
      <c r="AH806" s="140"/>
      <c r="AI806" s="147" t="s">
        <v>36</v>
      </c>
      <c r="AJ806" s="145">
        <f t="shared" si="41"/>
        <v>0</v>
      </c>
      <c r="AK806" s="148" t="s">
        <v>75</v>
      </c>
    </row>
    <row r="807" spans="1:37" ht="30" customHeight="1">
      <c r="A807" s="62"/>
      <c r="B807" s="62"/>
      <c r="C807" s="62"/>
      <c r="D807" s="62"/>
      <c r="E807" s="62"/>
      <c r="F807" s="62"/>
      <c r="G807" s="62"/>
      <c r="H807" s="62"/>
      <c r="I807" s="62"/>
      <c r="J807" s="62"/>
      <c r="K807" s="62"/>
      <c r="L807" s="62"/>
      <c r="M807" s="62"/>
      <c r="N807" s="186"/>
      <c r="O807" s="152"/>
      <c r="P807" s="90"/>
      <c r="Q807" s="140"/>
      <c r="R807" s="90"/>
      <c r="S807" s="140"/>
      <c r="T807" s="90"/>
      <c r="U807" s="140"/>
      <c r="V807" s="90"/>
      <c r="W807" s="140"/>
      <c r="X807" s="90"/>
      <c r="Y807" s="140"/>
      <c r="Z807" s="90"/>
      <c r="AA807" s="140"/>
      <c r="AB807" s="90"/>
      <c r="AC807" s="140"/>
      <c r="AD807" s="90"/>
      <c r="AE807" s="140"/>
      <c r="AF807" s="137" t="str">
        <f t="shared" si="40"/>
        <v/>
      </c>
      <c r="AG807" s="179" t="b">
        <f t="shared" si="39"/>
        <v>0</v>
      </c>
      <c r="AH807" s="140"/>
      <c r="AI807" s="147" t="s">
        <v>36</v>
      </c>
      <c r="AJ807" s="145">
        <f t="shared" si="41"/>
        <v>0</v>
      </c>
      <c r="AK807" s="148" t="s">
        <v>75</v>
      </c>
    </row>
    <row r="808" spans="1:37" ht="30" customHeight="1">
      <c r="A808" s="62"/>
      <c r="B808" s="62"/>
      <c r="C808" s="62"/>
      <c r="D808" s="62"/>
      <c r="E808" s="62"/>
      <c r="F808" s="62"/>
      <c r="G808" s="62"/>
      <c r="H808" s="62"/>
      <c r="I808" s="62"/>
      <c r="J808" s="62"/>
      <c r="K808" s="62"/>
      <c r="L808" s="62"/>
      <c r="M808" s="62"/>
      <c r="N808" s="186"/>
      <c r="O808" s="152"/>
      <c r="P808" s="90"/>
      <c r="Q808" s="140"/>
      <c r="R808" s="90"/>
      <c r="S808" s="140"/>
      <c r="T808" s="90"/>
      <c r="U808" s="140"/>
      <c r="V808" s="90"/>
      <c r="W808" s="140"/>
      <c r="X808" s="90"/>
      <c r="Y808" s="140"/>
      <c r="Z808" s="90"/>
      <c r="AA808" s="140"/>
      <c r="AB808" s="90"/>
      <c r="AC808" s="140"/>
      <c r="AD808" s="90"/>
      <c r="AE808" s="140"/>
      <c r="AF808" s="137" t="str">
        <f t="shared" si="40"/>
        <v/>
      </c>
      <c r="AG808" s="179" t="b">
        <f t="shared" si="39"/>
        <v>0</v>
      </c>
      <c r="AH808" s="140"/>
      <c r="AI808" s="147" t="s">
        <v>36</v>
      </c>
      <c r="AJ808" s="145">
        <f t="shared" si="41"/>
        <v>0</v>
      </c>
      <c r="AK808" s="148" t="s">
        <v>75</v>
      </c>
    </row>
    <row r="809" spans="1:37" ht="30" customHeight="1">
      <c r="A809" s="62"/>
      <c r="B809" s="62"/>
      <c r="C809" s="62"/>
      <c r="D809" s="62"/>
      <c r="E809" s="62"/>
      <c r="F809" s="62"/>
      <c r="G809" s="62"/>
      <c r="H809" s="62"/>
      <c r="I809" s="62"/>
      <c r="J809" s="62"/>
      <c r="K809" s="62"/>
      <c r="L809" s="62"/>
      <c r="M809" s="62"/>
      <c r="N809" s="186"/>
      <c r="O809" s="152"/>
      <c r="P809" s="90"/>
      <c r="Q809" s="140"/>
      <c r="R809" s="90"/>
      <c r="S809" s="140"/>
      <c r="T809" s="90"/>
      <c r="U809" s="140"/>
      <c r="V809" s="90"/>
      <c r="W809" s="140"/>
      <c r="X809" s="90"/>
      <c r="Y809" s="140"/>
      <c r="Z809" s="90"/>
      <c r="AA809" s="140"/>
      <c r="AB809" s="90"/>
      <c r="AC809" s="140"/>
      <c r="AD809" s="90"/>
      <c r="AE809" s="140"/>
      <c r="AF809" s="137" t="str">
        <f t="shared" si="40"/>
        <v/>
      </c>
      <c r="AG809" s="179" t="b">
        <f t="shared" si="39"/>
        <v>0</v>
      </c>
      <c r="AH809" s="140"/>
      <c r="AI809" s="147" t="s">
        <v>36</v>
      </c>
      <c r="AJ809" s="145">
        <f t="shared" si="41"/>
        <v>0</v>
      </c>
      <c r="AK809" s="148" t="s">
        <v>75</v>
      </c>
    </row>
    <row r="810" spans="1:37" ht="30" customHeight="1">
      <c r="A810" s="62"/>
      <c r="B810" s="62"/>
      <c r="C810" s="62"/>
      <c r="D810" s="62"/>
      <c r="E810" s="62"/>
      <c r="F810" s="62"/>
      <c r="G810" s="62"/>
      <c r="H810" s="62"/>
      <c r="I810" s="62"/>
      <c r="J810" s="62"/>
      <c r="K810" s="62"/>
      <c r="L810" s="62"/>
      <c r="M810" s="62"/>
      <c r="N810" s="186"/>
      <c r="O810" s="152"/>
      <c r="P810" s="90"/>
      <c r="Q810" s="140"/>
      <c r="R810" s="90"/>
      <c r="S810" s="140"/>
      <c r="T810" s="90"/>
      <c r="U810" s="140"/>
      <c r="V810" s="90"/>
      <c r="W810" s="140"/>
      <c r="X810" s="90"/>
      <c r="Y810" s="140"/>
      <c r="Z810" s="90"/>
      <c r="AA810" s="140"/>
      <c r="AB810" s="90"/>
      <c r="AC810" s="140"/>
      <c r="AD810" s="90"/>
      <c r="AE810" s="140"/>
      <c r="AF810" s="137" t="str">
        <f t="shared" si="40"/>
        <v/>
      </c>
      <c r="AG810" s="179" t="b">
        <f t="shared" si="39"/>
        <v>0</v>
      </c>
      <c r="AH810" s="140"/>
      <c r="AI810" s="147" t="s">
        <v>36</v>
      </c>
      <c r="AJ810" s="145">
        <f t="shared" si="41"/>
        <v>0</v>
      </c>
      <c r="AK810" s="148" t="s">
        <v>75</v>
      </c>
    </row>
    <row r="811" spans="1:37" ht="30" customHeight="1">
      <c r="A811" s="62"/>
      <c r="B811" s="62"/>
      <c r="C811" s="62"/>
      <c r="D811" s="62"/>
      <c r="E811" s="62"/>
      <c r="F811" s="62"/>
      <c r="G811" s="62"/>
      <c r="H811" s="62"/>
      <c r="I811" s="62"/>
      <c r="J811" s="62"/>
      <c r="K811" s="62"/>
      <c r="L811" s="62"/>
      <c r="M811" s="62"/>
      <c r="N811" s="186"/>
      <c r="O811" s="152"/>
      <c r="P811" s="90"/>
      <c r="Q811" s="140"/>
      <c r="R811" s="90"/>
      <c r="S811" s="140"/>
      <c r="T811" s="90"/>
      <c r="U811" s="140"/>
      <c r="V811" s="90"/>
      <c r="W811" s="140"/>
      <c r="X811" s="90"/>
      <c r="Y811" s="140"/>
      <c r="Z811" s="90"/>
      <c r="AA811" s="140"/>
      <c r="AB811" s="90"/>
      <c r="AC811" s="140"/>
      <c r="AD811" s="90"/>
      <c r="AE811" s="140"/>
      <c r="AF811" s="137" t="str">
        <f t="shared" si="40"/>
        <v/>
      </c>
      <c r="AG811" s="179" t="b">
        <f t="shared" si="39"/>
        <v>0</v>
      </c>
      <c r="AH811" s="140"/>
      <c r="AI811" s="147" t="s">
        <v>36</v>
      </c>
      <c r="AJ811" s="145">
        <f t="shared" si="41"/>
        <v>0</v>
      </c>
      <c r="AK811" s="148" t="s">
        <v>75</v>
      </c>
    </row>
    <row r="812" spans="1:37" ht="30" customHeight="1">
      <c r="A812" s="62"/>
      <c r="B812" s="62"/>
      <c r="C812" s="62"/>
      <c r="D812" s="62"/>
      <c r="E812" s="62"/>
      <c r="F812" s="62"/>
      <c r="G812" s="62"/>
      <c r="H812" s="62"/>
      <c r="I812" s="62"/>
      <c r="J812" s="62"/>
      <c r="K812" s="62"/>
      <c r="L812" s="62"/>
      <c r="M812" s="62"/>
      <c r="N812" s="186"/>
      <c r="O812" s="152"/>
      <c r="P812" s="90"/>
      <c r="Q812" s="140"/>
      <c r="R812" s="90"/>
      <c r="S812" s="140"/>
      <c r="T812" s="90"/>
      <c r="U812" s="140"/>
      <c r="V812" s="90"/>
      <c r="W812" s="140"/>
      <c r="X812" s="90"/>
      <c r="Y812" s="140"/>
      <c r="Z812" s="90"/>
      <c r="AA812" s="140"/>
      <c r="AB812" s="90"/>
      <c r="AC812" s="140"/>
      <c r="AD812" s="90"/>
      <c r="AE812" s="140"/>
      <c r="AF812" s="137" t="str">
        <f t="shared" si="40"/>
        <v/>
      </c>
      <c r="AG812" s="179" t="b">
        <f t="shared" si="39"/>
        <v>0</v>
      </c>
      <c r="AH812" s="140"/>
      <c r="AI812" s="147" t="s">
        <v>36</v>
      </c>
      <c r="AJ812" s="145">
        <f t="shared" si="41"/>
        <v>0</v>
      </c>
      <c r="AK812" s="148" t="s">
        <v>75</v>
      </c>
    </row>
    <row r="813" spans="1:37" ht="30" customHeight="1">
      <c r="A813" s="62"/>
      <c r="B813" s="62"/>
      <c r="C813" s="62"/>
      <c r="D813" s="62"/>
      <c r="E813" s="62"/>
      <c r="F813" s="62"/>
      <c r="G813" s="62"/>
      <c r="H813" s="62"/>
      <c r="I813" s="62"/>
      <c r="J813" s="62"/>
      <c r="K813" s="62"/>
      <c r="L813" s="62"/>
      <c r="M813" s="62"/>
      <c r="N813" s="186"/>
      <c r="O813" s="152"/>
      <c r="P813" s="90"/>
      <c r="Q813" s="140"/>
      <c r="R813" s="90"/>
      <c r="S813" s="140"/>
      <c r="T813" s="90"/>
      <c r="U813" s="140"/>
      <c r="V813" s="90"/>
      <c r="W813" s="140"/>
      <c r="X813" s="90"/>
      <c r="Y813" s="140"/>
      <c r="Z813" s="90"/>
      <c r="AA813" s="140"/>
      <c r="AB813" s="90"/>
      <c r="AC813" s="140"/>
      <c r="AD813" s="90"/>
      <c r="AE813" s="140"/>
      <c r="AF813" s="137" t="str">
        <f t="shared" si="40"/>
        <v/>
      </c>
      <c r="AG813" s="179" t="b">
        <f t="shared" si="39"/>
        <v>0</v>
      </c>
      <c r="AH813" s="140"/>
      <c r="AI813" s="147" t="s">
        <v>36</v>
      </c>
      <c r="AJ813" s="145">
        <f t="shared" si="41"/>
        <v>0</v>
      </c>
      <c r="AK813" s="148" t="s">
        <v>75</v>
      </c>
    </row>
    <row r="814" spans="1:37" ht="30" customHeight="1">
      <c r="A814" s="62"/>
      <c r="B814" s="62"/>
      <c r="C814" s="62"/>
      <c r="D814" s="62"/>
      <c r="E814" s="62"/>
      <c r="F814" s="62"/>
      <c r="G814" s="62"/>
      <c r="H814" s="62"/>
      <c r="I814" s="62"/>
      <c r="J814" s="62"/>
      <c r="K814" s="62"/>
      <c r="L814" s="62"/>
      <c r="M814" s="62"/>
      <c r="N814" s="186"/>
      <c r="O814" s="152"/>
      <c r="P814" s="90"/>
      <c r="Q814" s="140"/>
      <c r="R814" s="90"/>
      <c r="S814" s="140"/>
      <c r="T814" s="90"/>
      <c r="U814" s="140"/>
      <c r="V814" s="90"/>
      <c r="W814" s="140"/>
      <c r="X814" s="90"/>
      <c r="Y814" s="140"/>
      <c r="Z814" s="90"/>
      <c r="AA814" s="140"/>
      <c r="AB814" s="90"/>
      <c r="AC814" s="140"/>
      <c r="AD814" s="90"/>
      <c r="AE814" s="140"/>
      <c r="AF814" s="137" t="str">
        <f t="shared" si="40"/>
        <v/>
      </c>
      <c r="AG814" s="179" t="b">
        <f t="shared" si="39"/>
        <v>0</v>
      </c>
      <c r="AH814" s="140"/>
      <c r="AI814" s="147" t="s">
        <v>36</v>
      </c>
      <c r="AJ814" s="145">
        <f t="shared" si="41"/>
        <v>0</v>
      </c>
      <c r="AK814" s="148" t="s">
        <v>75</v>
      </c>
    </row>
    <row r="815" spans="1:37" ht="30" customHeight="1">
      <c r="A815" s="62"/>
      <c r="B815" s="62"/>
      <c r="C815" s="62"/>
      <c r="D815" s="62"/>
      <c r="E815" s="62"/>
      <c r="F815" s="62"/>
      <c r="G815" s="62"/>
      <c r="H815" s="62"/>
      <c r="I815" s="62"/>
      <c r="J815" s="62"/>
      <c r="K815" s="62"/>
      <c r="L815" s="62"/>
      <c r="M815" s="62"/>
      <c r="N815" s="186"/>
      <c r="O815" s="152"/>
      <c r="P815" s="90"/>
      <c r="Q815" s="140"/>
      <c r="R815" s="90"/>
      <c r="S815" s="140"/>
      <c r="T815" s="90"/>
      <c r="U815" s="140"/>
      <c r="V815" s="90"/>
      <c r="W815" s="140"/>
      <c r="X815" s="90"/>
      <c r="Y815" s="140"/>
      <c r="Z815" s="90"/>
      <c r="AA815" s="140"/>
      <c r="AB815" s="90"/>
      <c r="AC815" s="140"/>
      <c r="AD815" s="90"/>
      <c r="AE815" s="140"/>
      <c r="AF815" s="137" t="str">
        <f t="shared" si="40"/>
        <v/>
      </c>
      <c r="AG815" s="179" t="b">
        <f t="shared" si="39"/>
        <v>0</v>
      </c>
      <c r="AH815" s="140"/>
      <c r="AI815" s="147" t="s">
        <v>36</v>
      </c>
      <c r="AJ815" s="145">
        <f t="shared" si="41"/>
        <v>0</v>
      </c>
      <c r="AK815" s="148" t="s">
        <v>75</v>
      </c>
    </row>
    <row r="816" spans="1:37" ht="30" customHeight="1">
      <c r="A816" s="62"/>
      <c r="B816" s="62"/>
      <c r="C816" s="62"/>
      <c r="D816" s="62"/>
      <c r="E816" s="62"/>
      <c r="F816" s="62"/>
      <c r="G816" s="62"/>
      <c r="H816" s="62"/>
      <c r="I816" s="62"/>
      <c r="J816" s="62"/>
      <c r="K816" s="62"/>
      <c r="L816" s="62"/>
      <c r="M816" s="62"/>
      <c r="N816" s="186"/>
      <c r="O816" s="152"/>
      <c r="P816" s="90"/>
      <c r="Q816" s="140"/>
      <c r="R816" s="90"/>
      <c r="S816" s="140"/>
      <c r="T816" s="90"/>
      <c r="U816" s="140"/>
      <c r="V816" s="90"/>
      <c r="W816" s="140"/>
      <c r="X816" s="90"/>
      <c r="Y816" s="140"/>
      <c r="Z816" s="90"/>
      <c r="AA816" s="140"/>
      <c r="AB816" s="90"/>
      <c r="AC816" s="140"/>
      <c r="AD816" s="90"/>
      <c r="AE816" s="140"/>
      <c r="AF816" s="137" t="str">
        <f t="shared" si="40"/>
        <v/>
      </c>
      <c r="AG816" s="179" t="b">
        <f t="shared" si="39"/>
        <v>0</v>
      </c>
      <c r="AH816" s="140"/>
      <c r="AI816" s="147" t="s">
        <v>36</v>
      </c>
      <c r="AJ816" s="145">
        <f t="shared" si="41"/>
        <v>0</v>
      </c>
      <c r="AK816" s="148" t="s">
        <v>75</v>
      </c>
    </row>
    <row r="817" spans="1:37" ht="30" customHeight="1">
      <c r="A817" s="62"/>
      <c r="B817" s="62"/>
      <c r="C817" s="62"/>
      <c r="D817" s="62"/>
      <c r="E817" s="62"/>
      <c r="F817" s="62"/>
      <c r="G817" s="62"/>
      <c r="H817" s="62"/>
      <c r="I817" s="62"/>
      <c r="J817" s="62"/>
      <c r="K817" s="62"/>
      <c r="L817" s="62"/>
      <c r="M817" s="62"/>
      <c r="N817" s="186"/>
      <c r="O817" s="152"/>
      <c r="P817" s="90"/>
      <c r="Q817" s="140"/>
      <c r="R817" s="90"/>
      <c r="S817" s="140"/>
      <c r="T817" s="90"/>
      <c r="U817" s="140"/>
      <c r="V817" s="90"/>
      <c r="W817" s="140"/>
      <c r="X817" s="90"/>
      <c r="Y817" s="140"/>
      <c r="Z817" s="90"/>
      <c r="AA817" s="140"/>
      <c r="AB817" s="90"/>
      <c r="AC817" s="140"/>
      <c r="AD817" s="90"/>
      <c r="AE817" s="140"/>
      <c r="AF817" s="137" t="str">
        <f t="shared" si="40"/>
        <v/>
      </c>
      <c r="AG817" s="179" t="b">
        <f t="shared" si="39"/>
        <v>0</v>
      </c>
      <c r="AH817" s="140"/>
      <c r="AI817" s="147" t="s">
        <v>36</v>
      </c>
      <c r="AJ817" s="145">
        <f t="shared" si="41"/>
        <v>0</v>
      </c>
      <c r="AK817" s="148" t="s">
        <v>75</v>
      </c>
    </row>
    <row r="818" spans="1:37" ht="30" customHeight="1">
      <c r="A818" s="62"/>
      <c r="B818" s="62"/>
      <c r="C818" s="62"/>
      <c r="D818" s="62"/>
      <c r="E818" s="62"/>
      <c r="F818" s="62"/>
      <c r="G818" s="62"/>
      <c r="H818" s="62"/>
      <c r="I818" s="62"/>
      <c r="J818" s="62"/>
      <c r="K818" s="62"/>
      <c r="L818" s="62"/>
      <c r="M818" s="62"/>
      <c r="N818" s="186"/>
      <c r="O818" s="152"/>
      <c r="P818" s="90"/>
      <c r="Q818" s="140"/>
      <c r="R818" s="90"/>
      <c r="S818" s="140"/>
      <c r="T818" s="90"/>
      <c r="U818" s="140"/>
      <c r="V818" s="90"/>
      <c r="W818" s="140"/>
      <c r="X818" s="90"/>
      <c r="Y818" s="140"/>
      <c r="Z818" s="90"/>
      <c r="AA818" s="140"/>
      <c r="AB818" s="90"/>
      <c r="AC818" s="140"/>
      <c r="AD818" s="90"/>
      <c r="AE818" s="140"/>
      <c r="AF818" s="137" t="str">
        <f t="shared" si="40"/>
        <v/>
      </c>
      <c r="AG818" s="179" t="b">
        <f t="shared" si="39"/>
        <v>0</v>
      </c>
      <c r="AH818" s="140"/>
      <c r="AI818" s="147" t="s">
        <v>36</v>
      </c>
      <c r="AJ818" s="145">
        <f t="shared" si="41"/>
        <v>0</v>
      </c>
      <c r="AK818" s="148" t="s">
        <v>75</v>
      </c>
    </row>
    <row r="819" spans="1:37" ht="30" customHeight="1">
      <c r="A819" s="62"/>
      <c r="B819" s="62"/>
      <c r="C819" s="62"/>
      <c r="D819" s="62"/>
      <c r="E819" s="62"/>
      <c r="F819" s="62"/>
      <c r="G819" s="62"/>
      <c r="H819" s="62"/>
      <c r="I819" s="62"/>
      <c r="J819" s="62"/>
      <c r="K819" s="62"/>
      <c r="L819" s="62"/>
      <c r="M819" s="62"/>
      <c r="N819" s="186"/>
      <c r="O819" s="152"/>
      <c r="P819" s="90"/>
      <c r="Q819" s="140"/>
      <c r="R819" s="90"/>
      <c r="S819" s="140"/>
      <c r="T819" s="90"/>
      <c r="U819" s="140"/>
      <c r="V819" s="90"/>
      <c r="W819" s="140"/>
      <c r="X819" s="90"/>
      <c r="Y819" s="140"/>
      <c r="Z819" s="90"/>
      <c r="AA819" s="140"/>
      <c r="AB819" s="90"/>
      <c r="AC819" s="140"/>
      <c r="AD819" s="90"/>
      <c r="AE819" s="140"/>
      <c r="AF819" s="137" t="str">
        <f t="shared" si="40"/>
        <v/>
      </c>
      <c r="AG819" s="179" t="b">
        <f t="shared" si="39"/>
        <v>0</v>
      </c>
      <c r="AH819" s="140"/>
      <c r="AI819" s="147" t="s">
        <v>36</v>
      </c>
      <c r="AJ819" s="145">
        <f t="shared" si="41"/>
        <v>0</v>
      </c>
      <c r="AK819" s="148" t="s">
        <v>75</v>
      </c>
    </row>
    <row r="820" spans="1:37" ht="30" customHeight="1">
      <c r="A820" s="62"/>
      <c r="B820" s="62"/>
      <c r="C820" s="62"/>
      <c r="D820" s="62"/>
      <c r="E820" s="62"/>
      <c r="F820" s="62"/>
      <c r="G820" s="62"/>
      <c r="H820" s="62"/>
      <c r="I820" s="62"/>
      <c r="J820" s="62"/>
      <c r="K820" s="62"/>
      <c r="L820" s="62"/>
      <c r="M820" s="62"/>
      <c r="N820" s="186"/>
      <c r="O820" s="152"/>
      <c r="P820" s="90"/>
      <c r="Q820" s="140"/>
      <c r="R820" s="90"/>
      <c r="S820" s="140"/>
      <c r="T820" s="90"/>
      <c r="U820" s="140"/>
      <c r="V820" s="90"/>
      <c r="W820" s="140"/>
      <c r="X820" s="90"/>
      <c r="Y820" s="140"/>
      <c r="Z820" s="90"/>
      <c r="AA820" s="140"/>
      <c r="AB820" s="90"/>
      <c r="AC820" s="140"/>
      <c r="AD820" s="90"/>
      <c r="AE820" s="140"/>
      <c r="AF820" s="137" t="str">
        <f t="shared" si="40"/>
        <v/>
      </c>
      <c r="AG820" s="179" t="b">
        <f t="shared" si="39"/>
        <v>0</v>
      </c>
      <c r="AH820" s="140"/>
      <c r="AI820" s="147" t="s">
        <v>36</v>
      </c>
      <c r="AJ820" s="145">
        <f t="shared" si="41"/>
        <v>0</v>
      </c>
      <c r="AK820" s="148" t="s">
        <v>75</v>
      </c>
    </row>
    <row r="821" spans="1:37" ht="30" customHeight="1">
      <c r="A821" s="62"/>
      <c r="B821" s="62"/>
      <c r="C821" s="62"/>
      <c r="D821" s="62"/>
      <c r="E821" s="62"/>
      <c r="F821" s="62"/>
      <c r="G821" s="62"/>
      <c r="H821" s="62"/>
      <c r="I821" s="62"/>
      <c r="J821" s="62"/>
      <c r="K821" s="62"/>
      <c r="L821" s="62"/>
      <c r="M821" s="62"/>
      <c r="N821" s="186"/>
      <c r="O821" s="152"/>
      <c r="P821" s="90"/>
      <c r="Q821" s="140"/>
      <c r="R821" s="90"/>
      <c r="S821" s="140"/>
      <c r="T821" s="90"/>
      <c r="U821" s="140"/>
      <c r="V821" s="90"/>
      <c r="W821" s="140"/>
      <c r="X821" s="90"/>
      <c r="Y821" s="140"/>
      <c r="Z821" s="90"/>
      <c r="AA821" s="140"/>
      <c r="AB821" s="90"/>
      <c r="AC821" s="140"/>
      <c r="AD821" s="90"/>
      <c r="AE821" s="140"/>
      <c r="AF821" s="137" t="str">
        <f t="shared" si="40"/>
        <v/>
      </c>
      <c r="AG821" s="179" t="b">
        <f t="shared" si="39"/>
        <v>0</v>
      </c>
      <c r="AH821" s="140"/>
      <c r="AI821" s="147" t="s">
        <v>36</v>
      </c>
      <c r="AJ821" s="145">
        <f t="shared" si="41"/>
        <v>0</v>
      </c>
      <c r="AK821" s="148" t="s">
        <v>75</v>
      </c>
    </row>
    <row r="822" spans="1:37" ht="30" customHeight="1">
      <c r="A822" s="62"/>
      <c r="B822" s="62"/>
      <c r="C822" s="62"/>
      <c r="D822" s="62"/>
      <c r="E822" s="62"/>
      <c r="F822" s="62"/>
      <c r="G822" s="62"/>
      <c r="H822" s="62"/>
      <c r="I822" s="62"/>
      <c r="J822" s="62"/>
      <c r="K822" s="62"/>
      <c r="L822" s="62"/>
      <c r="M822" s="62"/>
      <c r="N822" s="186"/>
      <c r="O822" s="152"/>
      <c r="P822" s="90"/>
      <c r="Q822" s="140"/>
      <c r="R822" s="90"/>
      <c r="S822" s="140"/>
      <c r="T822" s="90"/>
      <c r="U822" s="140"/>
      <c r="V822" s="90"/>
      <c r="W822" s="140"/>
      <c r="X822" s="90"/>
      <c r="Y822" s="140"/>
      <c r="Z822" s="90"/>
      <c r="AA822" s="140"/>
      <c r="AB822" s="90"/>
      <c r="AC822" s="140"/>
      <c r="AD822" s="90"/>
      <c r="AE822" s="140"/>
      <c r="AF822" s="137" t="str">
        <f t="shared" si="40"/>
        <v/>
      </c>
      <c r="AG822" s="179" t="b">
        <f t="shared" si="39"/>
        <v>0</v>
      </c>
      <c r="AH822" s="140"/>
      <c r="AI822" s="147" t="s">
        <v>36</v>
      </c>
      <c r="AJ822" s="145">
        <f t="shared" si="41"/>
        <v>0</v>
      </c>
      <c r="AK822" s="148" t="s">
        <v>75</v>
      </c>
    </row>
    <row r="823" spans="1:37" ht="30" customHeight="1">
      <c r="A823" s="62"/>
      <c r="B823" s="62"/>
      <c r="C823" s="62"/>
      <c r="D823" s="62"/>
      <c r="E823" s="62"/>
      <c r="F823" s="62"/>
      <c r="G823" s="62"/>
      <c r="H823" s="62"/>
      <c r="I823" s="62"/>
      <c r="J823" s="62"/>
      <c r="K823" s="62"/>
      <c r="L823" s="62"/>
      <c r="M823" s="62"/>
      <c r="N823" s="186"/>
      <c r="O823" s="152"/>
      <c r="P823" s="90"/>
      <c r="Q823" s="140"/>
      <c r="R823" s="90"/>
      <c r="S823" s="140"/>
      <c r="T823" s="90"/>
      <c r="U823" s="140"/>
      <c r="V823" s="90"/>
      <c r="W823" s="140"/>
      <c r="X823" s="90"/>
      <c r="Y823" s="140"/>
      <c r="Z823" s="90"/>
      <c r="AA823" s="140"/>
      <c r="AB823" s="90"/>
      <c r="AC823" s="140"/>
      <c r="AD823" s="90"/>
      <c r="AE823" s="140"/>
      <c r="AF823" s="137" t="str">
        <f t="shared" si="40"/>
        <v/>
      </c>
      <c r="AG823" s="179" t="b">
        <f t="shared" si="39"/>
        <v>0</v>
      </c>
      <c r="AH823" s="140"/>
      <c r="AI823" s="147" t="s">
        <v>36</v>
      </c>
      <c r="AJ823" s="145">
        <f t="shared" si="41"/>
        <v>0</v>
      </c>
      <c r="AK823" s="148" t="s">
        <v>75</v>
      </c>
    </row>
    <row r="824" spans="1:37" ht="30" customHeight="1">
      <c r="A824" s="62"/>
      <c r="B824" s="62"/>
      <c r="C824" s="62"/>
      <c r="D824" s="62"/>
      <c r="E824" s="62"/>
      <c r="F824" s="62"/>
      <c r="G824" s="62"/>
      <c r="H824" s="62"/>
      <c r="I824" s="62"/>
      <c r="J824" s="62"/>
      <c r="K824" s="62"/>
      <c r="L824" s="62"/>
      <c r="M824" s="62"/>
      <c r="N824" s="186"/>
      <c r="O824" s="152"/>
      <c r="P824" s="90"/>
      <c r="Q824" s="140"/>
      <c r="R824" s="90"/>
      <c r="S824" s="140"/>
      <c r="T824" s="90"/>
      <c r="U824" s="140"/>
      <c r="V824" s="90"/>
      <c r="W824" s="140"/>
      <c r="X824" s="90"/>
      <c r="Y824" s="140"/>
      <c r="Z824" s="90"/>
      <c r="AA824" s="140"/>
      <c r="AB824" s="90"/>
      <c r="AC824" s="140"/>
      <c r="AD824" s="90"/>
      <c r="AE824" s="140"/>
      <c r="AF824" s="137" t="str">
        <f t="shared" si="40"/>
        <v/>
      </c>
      <c r="AG824" s="179" t="b">
        <f t="shared" si="39"/>
        <v>0</v>
      </c>
      <c r="AH824" s="140"/>
      <c r="AI824" s="147" t="s">
        <v>36</v>
      </c>
      <c r="AJ824" s="145">
        <f t="shared" si="41"/>
        <v>0</v>
      </c>
      <c r="AK824" s="148" t="s">
        <v>75</v>
      </c>
    </row>
    <row r="825" spans="1:37" ht="30" customHeight="1">
      <c r="A825" s="62"/>
      <c r="B825" s="62"/>
      <c r="C825" s="62"/>
      <c r="D825" s="62"/>
      <c r="E825" s="62"/>
      <c r="F825" s="62"/>
      <c r="G825" s="62"/>
      <c r="H825" s="62"/>
      <c r="I825" s="62"/>
      <c r="J825" s="62"/>
      <c r="K825" s="62"/>
      <c r="L825" s="62"/>
      <c r="M825" s="62"/>
      <c r="N825" s="186"/>
      <c r="O825" s="152"/>
      <c r="P825" s="90"/>
      <c r="Q825" s="140"/>
      <c r="R825" s="90"/>
      <c r="S825" s="140"/>
      <c r="T825" s="90"/>
      <c r="U825" s="140"/>
      <c r="V825" s="90"/>
      <c r="W825" s="140"/>
      <c r="X825" s="90"/>
      <c r="Y825" s="140"/>
      <c r="Z825" s="90"/>
      <c r="AA825" s="140"/>
      <c r="AB825" s="90"/>
      <c r="AC825" s="140"/>
      <c r="AD825" s="90"/>
      <c r="AE825" s="140"/>
      <c r="AF825" s="137" t="str">
        <f t="shared" si="40"/>
        <v/>
      </c>
      <c r="AG825" s="179" t="b">
        <f t="shared" si="39"/>
        <v>0</v>
      </c>
      <c r="AH825" s="140"/>
      <c r="AI825" s="147" t="s">
        <v>36</v>
      </c>
      <c r="AJ825" s="145">
        <f t="shared" si="41"/>
        <v>0</v>
      </c>
      <c r="AK825" s="148" t="s">
        <v>75</v>
      </c>
    </row>
    <row r="826" spans="1:37" ht="30" customHeight="1">
      <c r="A826" s="62"/>
      <c r="B826" s="62"/>
      <c r="C826" s="62"/>
      <c r="D826" s="62"/>
      <c r="E826" s="62"/>
      <c r="F826" s="62"/>
      <c r="G826" s="62"/>
      <c r="H826" s="62"/>
      <c r="I826" s="62"/>
      <c r="J826" s="62"/>
      <c r="K826" s="62"/>
      <c r="L826" s="62"/>
      <c r="M826" s="62"/>
      <c r="N826" s="186"/>
      <c r="O826" s="152"/>
      <c r="P826" s="90"/>
      <c r="Q826" s="140"/>
      <c r="R826" s="90"/>
      <c r="S826" s="140"/>
      <c r="T826" s="90"/>
      <c r="U826" s="140"/>
      <c r="V826" s="90"/>
      <c r="W826" s="140"/>
      <c r="X826" s="90"/>
      <c r="Y826" s="140"/>
      <c r="Z826" s="90"/>
      <c r="AA826" s="140"/>
      <c r="AB826" s="90"/>
      <c r="AC826" s="140"/>
      <c r="AD826" s="90"/>
      <c r="AE826" s="140"/>
      <c r="AF826" s="137" t="str">
        <f t="shared" si="40"/>
        <v/>
      </c>
      <c r="AG826" s="179" t="b">
        <f t="shared" si="39"/>
        <v>0</v>
      </c>
      <c r="AH826" s="140"/>
      <c r="AI826" s="147" t="s">
        <v>36</v>
      </c>
      <c r="AJ826" s="145">
        <f t="shared" si="41"/>
        <v>0</v>
      </c>
      <c r="AK826" s="148" t="s">
        <v>75</v>
      </c>
    </row>
    <row r="827" spans="1:37" ht="30" customHeight="1">
      <c r="A827" s="62"/>
      <c r="B827" s="62"/>
      <c r="C827" s="62"/>
      <c r="D827" s="62"/>
      <c r="E827" s="62"/>
      <c r="F827" s="62"/>
      <c r="G827" s="62"/>
      <c r="H827" s="62"/>
      <c r="I827" s="62"/>
      <c r="J827" s="62"/>
      <c r="K827" s="62"/>
      <c r="L827" s="62"/>
      <c r="M827" s="62"/>
      <c r="N827" s="186"/>
      <c r="O827" s="152"/>
      <c r="P827" s="90"/>
      <c r="Q827" s="140"/>
      <c r="R827" s="90"/>
      <c r="S827" s="140"/>
      <c r="T827" s="90"/>
      <c r="U827" s="140"/>
      <c r="V827" s="90"/>
      <c r="W827" s="140"/>
      <c r="X827" s="90"/>
      <c r="Y827" s="140"/>
      <c r="Z827" s="90"/>
      <c r="AA827" s="140"/>
      <c r="AB827" s="90"/>
      <c r="AC827" s="140"/>
      <c r="AD827" s="90"/>
      <c r="AE827" s="140"/>
      <c r="AF827" s="137" t="str">
        <f t="shared" si="40"/>
        <v/>
      </c>
      <c r="AG827" s="179" t="b">
        <f t="shared" si="39"/>
        <v>0</v>
      </c>
      <c r="AH827" s="140"/>
      <c r="AI827" s="147" t="s">
        <v>36</v>
      </c>
      <c r="AJ827" s="145">
        <f t="shared" si="41"/>
        <v>0</v>
      </c>
      <c r="AK827" s="148" t="s">
        <v>75</v>
      </c>
    </row>
    <row r="828" spans="1:37" ht="30" customHeight="1">
      <c r="A828" s="62"/>
      <c r="B828" s="62"/>
      <c r="C828" s="62"/>
      <c r="D828" s="62"/>
      <c r="E828" s="62"/>
      <c r="F828" s="62"/>
      <c r="G828" s="62"/>
      <c r="H828" s="62"/>
      <c r="I828" s="62"/>
      <c r="J828" s="62"/>
      <c r="K828" s="62"/>
      <c r="L828" s="62"/>
      <c r="M828" s="62"/>
      <c r="N828" s="186"/>
      <c r="O828" s="152"/>
      <c r="P828" s="90"/>
      <c r="Q828" s="140"/>
      <c r="R828" s="90"/>
      <c r="S828" s="140"/>
      <c r="T828" s="90"/>
      <c r="U828" s="140"/>
      <c r="V828" s="90"/>
      <c r="W828" s="140"/>
      <c r="X828" s="90"/>
      <c r="Y828" s="140"/>
      <c r="Z828" s="90"/>
      <c r="AA828" s="140"/>
      <c r="AB828" s="90"/>
      <c r="AC828" s="140"/>
      <c r="AD828" s="90"/>
      <c r="AE828" s="140"/>
      <c r="AF828" s="137" t="str">
        <f t="shared" si="40"/>
        <v/>
      </c>
      <c r="AG828" s="179" t="b">
        <f t="shared" si="39"/>
        <v>0</v>
      </c>
      <c r="AH828" s="140"/>
      <c r="AI828" s="147" t="s">
        <v>36</v>
      </c>
      <c r="AJ828" s="145">
        <f t="shared" si="41"/>
        <v>0</v>
      </c>
      <c r="AK828" s="148" t="s">
        <v>75</v>
      </c>
    </row>
    <row r="829" spans="1:37" ht="30" customHeight="1">
      <c r="A829" s="62"/>
      <c r="B829" s="62"/>
      <c r="C829" s="62"/>
      <c r="D829" s="62"/>
      <c r="E829" s="62"/>
      <c r="F829" s="62"/>
      <c r="G829" s="62"/>
      <c r="H829" s="62"/>
      <c r="I829" s="62"/>
      <c r="J829" s="62"/>
      <c r="K829" s="62"/>
      <c r="L829" s="62"/>
      <c r="M829" s="62"/>
      <c r="N829" s="186"/>
      <c r="O829" s="152"/>
      <c r="P829" s="90"/>
      <c r="Q829" s="140"/>
      <c r="R829" s="90"/>
      <c r="S829" s="140"/>
      <c r="T829" s="90"/>
      <c r="U829" s="140"/>
      <c r="V829" s="90"/>
      <c r="W829" s="140"/>
      <c r="X829" s="90"/>
      <c r="Y829" s="140"/>
      <c r="Z829" s="90"/>
      <c r="AA829" s="140"/>
      <c r="AB829" s="90"/>
      <c r="AC829" s="140"/>
      <c r="AD829" s="90"/>
      <c r="AE829" s="140"/>
      <c r="AF829" s="137" t="str">
        <f t="shared" si="40"/>
        <v/>
      </c>
      <c r="AG829" s="179" t="b">
        <f t="shared" si="39"/>
        <v>0</v>
      </c>
      <c r="AH829" s="140"/>
      <c r="AI829" s="147" t="s">
        <v>36</v>
      </c>
      <c r="AJ829" s="145">
        <f t="shared" si="41"/>
        <v>0</v>
      </c>
      <c r="AK829" s="148" t="s">
        <v>75</v>
      </c>
    </row>
    <row r="830" spans="1:37" ht="30" customHeight="1">
      <c r="A830" s="62"/>
      <c r="B830" s="62"/>
      <c r="C830" s="62"/>
      <c r="D830" s="62"/>
      <c r="E830" s="62"/>
      <c r="F830" s="62"/>
      <c r="G830" s="62"/>
      <c r="H830" s="62"/>
      <c r="I830" s="62"/>
      <c r="J830" s="62"/>
      <c r="K830" s="62"/>
      <c r="L830" s="62"/>
      <c r="M830" s="62"/>
      <c r="N830" s="186"/>
      <c r="O830" s="152"/>
      <c r="P830" s="90"/>
      <c r="Q830" s="140"/>
      <c r="R830" s="90"/>
      <c r="S830" s="140"/>
      <c r="T830" s="90"/>
      <c r="U830" s="140"/>
      <c r="V830" s="90"/>
      <c r="W830" s="140"/>
      <c r="X830" s="90"/>
      <c r="Y830" s="140"/>
      <c r="Z830" s="90"/>
      <c r="AA830" s="140"/>
      <c r="AB830" s="90"/>
      <c r="AC830" s="140"/>
      <c r="AD830" s="90"/>
      <c r="AE830" s="140"/>
      <c r="AF830" s="137" t="str">
        <f t="shared" si="40"/>
        <v/>
      </c>
      <c r="AG830" s="179" t="b">
        <f t="shared" si="39"/>
        <v>0</v>
      </c>
      <c r="AH830" s="140"/>
      <c r="AI830" s="147" t="s">
        <v>36</v>
      </c>
      <c r="AJ830" s="145">
        <f t="shared" si="41"/>
        <v>0</v>
      </c>
      <c r="AK830" s="148" t="s">
        <v>75</v>
      </c>
    </row>
    <row r="831" spans="1:37" ht="30" customHeight="1">
      <c r="A831" s="62"/>
      <c r="B831" s="62"/>
      <c r="C831" s="62"/>
      <c r="D831" s="62"/>
      <c r="E831" s="62"/>
      <c r="F831" s="62"/>
      <c r="G831" s="62"/>
      <c r="H831" s="62"/>
      <c r="I831" s="62"/>
      <c r="J831" s="62"/>
      <c r="K831" s="62"/>
      <c r="L831" s="62"/>
      <c r="M831" s="62"/>
      <c r="N831" s="186"/>
      <c r="O831" s="152"/>
      <c r="P831" s="90"/>
      <c r="Q831" s="140"/>
      <c r="R831" s="90"/>
      <c r="S831" s="140"/>
      <c r="T831" s="90"/>
      <c r="U831" s="140"/>
      <c r="V831" s="90"/>
      <c r="W831" s="140"/>
      <c r="X831" s="90"/>
      <c r="Y831" s="140"/>
      <c r="Z831" s="90"/>
      <c r="AA831" s="140"/>
      <c r="AB831" s="90"/>
      <c r="AC831" s="140"/>
      <c r="AD831" s="90"/>
      <c r="AE831" s="140"/>
      <c r="AF831" s="137" t="str">
        <f t="shared" si="40"/>
        <v/>
      </c>
      <c r="AG831" s="179" t="b">
        <f t="shared" si="39"/>
        <v>0</v>
      </c>
      <c r="AH831" s="140"/>
      <c r="AI831" s="147" t="s">
        <v>36</v>
      </c>
      <c r="AJ831" s="145">
        <f t="shared" si="41"/>
        <v>0</v>
      </c>
      <c r="AK831" s="148" t="s">
        <v>75</v>
      </c>
    </row>
    <row r="832" spans="1:37" ht="30" customHeight="1">
      <c r="A832" s="62"/>
      <c r="B832" s="62"/>
      <c r="C832" s="62"/>
      <c r="D832" s="62"/>
      <c r="E832" s="62"/>
      <c r="F832" s="62"/>
      <c r="G832" s="62"/>
      <c r="H832" s="62"/>
      <c r="I832" s="62"/>
      <c r="J832" s="62"/>
      <c r="K832" s="62"/>
      <c r="L832" s="62"/>
      <c r="M832" s="62"/>
      <c r="N832" s="186"/>
      <c r="O832" s="152"/>
      <c r="P832" s="90"/>
      <c r="Q832" s="140"/>
      <c r="R832" s="90"/>
      <c r="S832" s="140"/>
      <c r="T832" s="90"/>
      <c r="U832" s="140"/>
      <c r="V832" s="90"/>
      <c r="W832" s="140"/>
      <c r="X832" s="90"/>
      <c r="Y832" s="140"/>
      <c r="Z832" s="90"/>
      <c r="AA832" s="140"/>
      <c r="AB832" s="90"/>
      <c r="AC832" s="140"/>
      <c r="AD832" s="90"/>
      <c r="AE832" s="140"/>
      <c r="AF832" s="137" t="str">
        <f t="shared" si="40"/>
        <v/>
      </c>
      <c r="AG832" s="179" t="b">
        <f t="shared" ref="AG832:AG895" si="42">IF(AND(AE832="C",AF832="C"),"UTILIZOU O PDA CORRETAMENTE",IF(AND(AE832="C",AF832="NC"),"UTILIZOU O PDA CORRETAMENTE. NÃO HÁ FOTOS DE TODAS AS ETAPAS",IF(AND(AE832="NC",AF832="NC"),"NÃO UTILIZOU O PDA",IF(AND(AE832="NA",AF832="NA"),"NÃO AVALIADO POR FALHA DE SINCRONISMO"))))</f>
        <v>0</v>
      </c>
      <c r="AH832" s="140"/>
      <c r="AI832" s="147" t="s">
        <v>36</v>
      </c>
      <c r="AJ832" s="145">
        <f t="shared" si="41"/>
        <v>0</v>
      </c>
      <c r="AK832" s="148" t="s">
        <v>75</v>
      </c>
    </row>
    <row r="833" spans="1:37" ht="30" customHeight="1">
      <c r="A833" s="62"/>
      <c r="B833" s="62"/>
      <c r="C833" s="62"/>
      <c r="D833" s="62"/>
      <c r="E833" s="62"/>
      <c r="F833" s="62"/>
      <c r="G833" s="62"/>
      <c r="H833" s="62"/>
      <c r="I833" s="62"/>
      <c r="J833" s="62"/>
      <c r="K833" s="62"/>
      <c r="L833" s="62"/>
      <c r="M833" s="62"/>
      <c r="N833" s="186"/>
      <c r="O833" s="152"/>
      <c r="P833" s="90"/>
      <c r="Q833" s="140"/>
      <c r="R833" s="90"/>
      <c r="S833" s="140"/>
      <c r="T833" s="90"/>
      <c r="U833" s="140"/>
      <c r="V833" s="90"/>
      <c r="W833" s="140"/>
      <c r="X833" s="90"/>
      <c r="Y833" s="140"/>
      <c r="Z833" s="90"/>
      <c r="AA833" s="140"/>
      <c r="AB833" s="90"/>
      <c r="AC833" s="140"/>
      <c r="AD833" s="90"/>
      <c r="AE833" s="140"/>
      <c r="AF833" s="137" t="str">
        <f t="shared" ref="AF833:AF896" si="43">IF(AND(O833="",Q833="",S833="",U833="",W833="",Y833="",AA833="",AC833=""),"",IF(OR(AND(O833&lt;&gt;"NA",O833&lt;&gt;"C",O833&lt;&gt;"NC",O833&lt;&gt;"SF",O833&lt;&gt;""),AND(Q833&lt;&gt;"NA",Q833&lt;&gt;"C",Q833&lt;&gt;"NC",Q833&lt;&gt;"SF",Q833&lt;&gt;""),AND(S833&lt;&gt;"NA",S833&lt;&gt;"C",S833&lt;&gt;"NC",S833&lt;&gt;"SF",S833&lt;&gt;""),AND(U833&lt;&gt;"NA",U833&lt;&gt;"C",U833&lt;&gt;"NC",U833&lt;&gt;"SF",U833&lt;&gt;""),AND(W833&lt;&gt;"NA",W833&lt;&gt;"C",W833&lt;&gt;"NC",W833&lt;&gt;"SF",W833&lt;&gt;""),AND(Y833&lt;&gt;"NA",Y833&lt;&gt;"C",Y833&lt;&gt;"NC",Y833&lt;&gt;"SF",Y833&lt;&gt;""),AND(AA833&lt;&gt;"NA",AA833&lt;&gt;"C",AA833&lt;&gt;"NC",AA833&lt;&gt;"SF",AA833&lt;&gt;""),AND(AC833&lt;&gt;"NA",AC833&lt;&gt;"C",AC833&lt;&gt;"NC",AC833&lt;&gt;"SF",AC833&lt;&gt;"")),"FALSO",IF(AND(O833="NA",Q833="NA",S833="NA",U833="NA",W833="NA",Y833="NA",AA833="NA",AC833="NA"),"NA",IF(OR(O833="NC",Q833="NC",S833="NC",U833="NC",W833="NC",Y833="NC",AA833="NC",AC833="NC",O833="SF",Q833="SF",S833="SF",U833="SF",W833="SF",Y833="SF",AA833="SF",AC833="SF"),"NC",IF(OR(O833="C",Q833="C",S833="C",U833="C",W833="C",Y833="C",AA833="C",AC833="C"),"C","")))))</f>
        <v/>
      </c>
      <c r="AG833" s="179" t="b">
        <f t="shared" si="42"/>
        <v>0</v>
      </c>
      <c r="AH833" s="140"/>
      <c r="AI833" s="147" t="s">
        <v>36</v>
      </c>
      <c r="AJ833" s="145">
        <f t="shared" si="41"/>
        <v>0</v>
      </c>
      <c r="AK833" s="148" t="s">
        <v>75</v>
      </c>
    </row>
    <row r="834" spans="1:37" ht="30" customHeight="1">
      <c r="A834" s="62"/>
      <c r="B834" s="62"/>
      <c r="C834" s="62"/>
      <c r="D834" s="62"/>
      <c r="E834" s="62"/>
      <c r="F834" s="62"/>
      <c r="G834" s="62"/>
      <c r="H834" s="62"/>
      <c r="I834" s="62"/>
      <c r="J834" s="62"/>
      <c r="K834" s="62"/>
      <c r="L834" s="62"/>
      <c r="M834" s="62"/>
      <c r="N834" s="186"/>
      <c r="O834" s="152"/>
      <c r="P834" s="90"/>
      <c r="Q834" s="140"/>
      <c r="R834" s="90"/>
      <c r="S834" s="140"/>
      <c r="T834" s="90"/>
      <c r="U834" s="140"/>
      <c r="V834" s="90"/>
      <c r="W834" s="140"/>
      <c r="X834" s="90"/>
      <c r="Y834" s="140"/>
      <c r="Z834" s="90"/>
      <c r="AA834" s="140"/>
      <c r="AB834" s="90"/>
      <c r="AC834" s="140"/>
      <c r="AD834" s="90"/>
      <c r="AE834" s="140"/>
      <c r="AF834" s="137" t="str">
        <f t="shared" si="43"/>
        <v/>
      </c>
      <c r="AG834" s="179" t="b">
        <f t="shared" si="42"/>
        <v>0</v>
      </c>
      <c r="AH834" s="140"/>
      <c r="AI834" s="147" t="s">
        <v>36</v>
      </c>
      <c r="AJ834" s="145">
        <f t="shared" si="41"/>
        <v>0</v>
      </c>
      <c r="AK834" s="148" t="s">
        <v>75</v>
      </c>
    </row>
    <row r="835" spans="1:37" ht="30" customHeight="1">
      <c r="A835" s="62"/>
      <c r="B835" s="62"/>
      <c r="C835" s="62"/>
      <c r="D835" s="62"/>
      <c r="E835" s="62"/>
      <c r="F835" s="62"/>
      <c r="G835" s="62"/>
      <c r="H835" s="62"/>
      <c r="I835" s="62"/>
      <c r="J835" s="62"/>
      <c r="K835" s="62"/>
      <c r="L835" s="62"/>
      <c r="M835" s="62"/>
      <c r="N835" s="186"/>
      <c r="O835" s="152"/>
      <c r="P835" s="90"/>
      <c r="Q835" s="140"/>
      <c r="R835" s="90"/>
      <c r="S835" s="140"/>
      <c r="T835" s="90"/>
      <c r="U835" s="140"/>
      <c r="V835" s="90"/>
      <c r="W835" s="140"/>
      <c r="X835" s="90"/>
      <c r="Y835" s="140"/>
      <c r="Z835" s="90"/>
      <c r="AA835" s="140"/>
      <c r="AB835" s="90"/>
      <c r="AC835" s="140"/>
      <c r="AD835" s="90"/>
      <c r="AE835" s="140"/>
      <c r="AF835" s="137" t="str">
        <f t="shared" si="43"/>
        <v/>
      </c>
      <c r="AG835" s="179" t="b">
        <f t="shared" si="42"/>
        <v>0</v>
      </c>
      <c r="AH835" s="140"/>
      <c r="AI835" s="147" t="s">
        <v>36</v>
      </c>
      <c r="AJ835" s="145">
        <f t="shared" si="41"/>
        <v>0</v>
      </c>
      <c r="AK835" s="148" t="s">
        <v>75</v>
      </c>
    </row>
    <row r="836" spans="1:37" ht="30" customHeight="1">
      <c r="A836" s="62"/>
      <c r="B836" s="62"/>
      <c r="C836" s="62"/>
      <c r="D836" s="62"/>
      <c r="E836" s="62"/>
      <c r="F836" s="62"/>
      <c r="G836" s="62"/>
      <c r="H836" s="62"/>
      <c r="I836" s="62"/>
      <c r="J836" s="62"/>
      <c r="K836" s="62"/>
      <c r="L836" s="62"/>
      <c r="M836" s="62"/>
      <c r="N836" s="186"/>
      <c r="O836" s="152"/>
      <c r="P836" s="90"/>
      <c r="Q836" s="140"/>
      <c r="R836" s="90"/>
      <c r="S836" s="140"/>
      <c r="T836" s="90"/>
      <c r="U836" s="140"/>
      <c r="V836" s="90"/>
      <c r="W836" s="140"/>
      <c r="X836" s="90"/>
      <c r="Y836" s="140"/>
      <c r="Z836" s="90"/>
      <c r="AA836" s="140"/>
      <c r="AB836" s="90"/>
      <c r="AC836" s="140"/>
      <c r="AD836" s="90"/>
      <c r="AE836" s="140"/>
      <c r="AF836" s="137" t="str">
        <f t="shared" si="43"/>
        <v/>
      </c>
      <c r="AG836" s="179" t="b">
        <f t="shared" si="42"/>
        <v>0</v>
      </c>
      <c r="AH836" s="140"/>
      <c r="AI836" s="147" t="s">
        <v>36</v>
      </c>
      <c r="AJ836" s="145">
        <f t="shared" si="41"/>
        <v>0</v>
      </c>
      <c r="AK836" s="148" t="s">
        <v>75</v>
      </c>
    </row>
    <row r="837" spans="1:37" ht="30" customHeight="1">
      <c r="A837" s="62"/>
      <c r="B837" s="62"/>
      <c r="C837" s="62"/>
      <c r="D837" s="62"/>
      <c r="E837" s="62"/>
      <c r="F837" s="62"/>
      <c r="G837" s="62"/>
      <c r="H837" s="62"/>
      <c r="I837" s="62"/>
      <c r="J837" s="62"/>
      <c r="K837" s="62"/>
      <c r="L837" s="62"/>
      <c r="M837" s="62"/>
      <c r="N837" s="186"/>
      <c r="O837" s="152"/>
      <c r="P837" s="90"/>
      <c r="Q837" s="140"/>
      <c r="R837" s="90"/>
      <c r="S837" s="140"/>
      <c r="T837" s="90"/>
      <c r="U837" s="140"/>
      <c r="V837" s="90"/>
      <c r="W837" s="140"/>
      <c r="X837" s="90"/>
      <c r="Y837" s="140"/>
      <c r="Z837" s="90"/>
      <c r="AA837" s="140"/>
      <c r="AB837" s="90"/>
      <c r="AC837" s="140"/>
      <c r="AD837" s="90"/>
      <c r="AE837" s="140"/>
      <c r="AF837" s="137" t="str">
        <f t="shared" si="43"/>
        <v/>
      </c>
      <c r="AG837" s="179" t="b">
        <f t="shared" si="42"/>
        <v>0</v>
      </c>
      <c r="AH837" s="140"/>
      <c r="AI837" s="147" t="s">
        <v>36</v>
      </c>
      <c r="AJ837" s="145">
        <f t="shared" si="41"/>
        <v>0</v>
      </c>
      <c r="AK837" s="148" t="s">
        <v>75</v>
      </c>
    </row>
    <row r="838" spans="1:37" ht="30" customHeight="1">
      <c r="A838" s="62"/>
      <c r="B838" s="62"/>
      <c r="C838" s="62"/>
      <c r="D838" s="62"/>
      <c r="E838" s="62"/>
      <c r="F838" s="62"/>
      <c r="G838" s="62"/>
      <c r="H838" s="62"/>
      <c r="I838" s="62"/>
      <c r="J838" s="62"/>
      <c r="K838" s="62"/>
      <c r="L838" s="62"/>
      <c r="M838" s="62"/>
      <c r="N838" s="186"/>
      <c r="O838" s="152"/>
      <c r="P838" s="90"/>
      <c r="Q838" s="140"/>
      <c r="R838" s="90"/>
      <c r="S838" s="140"/>
      <c r="T838" s="90"/>
      <c r="U838" s="140"/>
      <c r="V838" s="90"/>
      <c r="W838" s="140"/>
      <c r="X838" s="90"/>
      <c r="Y838" s="140"/>
      <c r="Z838" s="90"/>
      <c r="AA838" s="140"/>
      <c r="AB838" s="90"/>
      <c r="AC838" s="140"/>
      <c r="AD838" s="90"/>
      <c r="AE838" s="140"/>
      <c r="AF838" s="137" t="str">
        <f t="shared" si="43"/>
        <v/>
      </c>
      <c r="AG838" s="179" t="b">
        <f t="shared" si="42"/>
        <v>0</v>
      </c>
      <c r="AH838" s="140"/>
      <c r="AI838" s="147" t="s">
        <v>36</v>
      </c>
      <c r="AJ838" s="145">
        <f t="shared" si="41"/>
        <v>0</v>
      </c>
      <c r="AK838" s="148" t="s">
        <v>75</v>
      </c>
    </row>
    <row r="839" spans="1:37" ht="30" customHeight="1">
      <c r="A839" s="62"/>
      <c r="B839" s="62"/>
      <c r="C839" s="62"/>
      <c r="D839" s="62"/>
      <c r="E839" s="62"/>
      <c r="F839" s="62"/>
      <c r="G839" s="62"/>
      <c r="H839" s="62"/>
      <c r="I839" s="62"/>
      <c r="J839" s="62"/>
      <c r="K839" s="62"/>
      <c r="L839" s="62"/>
      <c r="M839" s="62"/>
      <c r="N839" s="186"/>
      <c r="O839" s="152"/>
      <c r="P839" s="90"/>
      <c r="Q839" s="140"/>
      <c r="R839" s="90"/>
      <c r="S839" s="140"/>
      <c r="T839" s="90"/>
      <c r="U839" s="140"/>
      <c r="V839" s="90"/>
      <c r="W839" s="140"/>
      <c r="X839" s="90"/>
      <c r="Y839" s="140"/>
      <c r="Z839" s="90"/>
      <c r="AA839" s="140"/>
      <c r="AB839" s="90"/>
      <c r="AC839" s="140"/>
      <c r="AD839" s="90"/>
      <c r="AE839" s="140"/>
      <c r="AF839" s="137" t="str">
        <f t="shared" si="43"/>
        <v/>
      </c>
      <c r="AG839" s="179" t="b">
        <f t="shared" si="42"/>
        <v>0</v>
      </c>
      <c r="AH839" s="140"/>
      <c r="AI839" s="147" t="s">
        <v>36</v>
      </c>
      <c r="AJ839" s="145">
        <f t="shared" si="41"/>
        <v>0</v>
      </c>
      <c r="AK839" s="148" t="s">
        <v>75</v>
      </c>
    </row>
    <row r="840" spans="1:37" ht="30" customHeight="1">
      <c r="A840" s="62"/>
      <c r="B840" s="62"/>
      <c r="C840" s="62"/>
      <c r="D840" s="62"/>
      <c r="E840" s="62"/>
      <c r="F840" s="62"/>
      <c r="G840" s="62"/>
      <c r="H840" s="62"/>
      <c r="I840" s="62"/>
      <c r="J840" s="62"/>
      <c r="K840" s="62"/>
      <c r="L840" s="62"/>
      <c r="M840" s="62"/>
      <c r="N840" s="186"/>
      <c r="O840" s="152"/>
      <c r="P840" s="90"/>
      <c r="Q840" s="140"/>
      <c r="R840" s="90"/>
      <c r="S840" s="140"/>
      <c r="T840" s="90"/>
      <c r="U840" s="140"/>
      <c r="V840" s="90"/>
      <c r="W840" s="140"/>
      <c r="X840" s="90"/>
      <c r="Y840" s="140"/>
      <c r="Z840" s="90"/>
      <c r="AA840" s="140"/>
      <c r="AB840" s="90"/>
      <c r="AC840" s="140"/>
      <c r="AD840" s="90"/>
      <c r="AE840" s="140"/>
      <c r="AF840" s="137" t="str">
        <f t="shared" si="43"/>
        <v/>
      </c>
      <c r="AG840" s="179" t="b">
        <f t="shared" si="42"/>
        <v>0</v>
      </c>
      <c r="AH840" s="140"/>
      <c r="AI840" s="147" t="s">
        <v>36</v>
      </c>
      <c r="AJ840" s="145">
        <f t="shared" si="41"/>
        <v>0</v>
      </c>
      <c r="AK840" s="148" t="s">
        <v>75</v>
      </c>
    </row>
    <row r="841" spans="1:37" ht="30" customHeight="1">
      <c r="A841" s="62"/>
      <c r="B841" s="62"/>
      <c r="C841" s="62"/>
      <c r="D841" s="62"/>
      <c r="E841" s="62"/>
      <c r="F841" s="62"/>
      <c r="G841" s="62"/>
      <c r="H841" s="62"/>
      <c r="I841" s="62"/>
      <c r="J841" s="62"/>
      <c r="K841" s="62"/>
      <c r="L841" s="62"/>
      <c r="M841" s="62"/>
      <c r="N841" s="186"/>
      <c r="O841" s="152"/>
      <c r="P841" s="90"/>
      <c r="Q841" s="140"/>
      <c r="R841" s="90"/>
      <c r="S841" s="140"/>
      <c r="T841" s="90"/>
      <c r="U841" s="140"/>
      <c r="V841" s="90"/>
      <c r="W841" s="140"/>
      <c r="X841" s="90"/>
      <c r="Y841" s="140"/>
      <c r="Z841" s="90"/>
      <c r="AA841" s="140"/>
      <c r="AB841" s="90"/>
      <c r="AC841" s="140"/>
      <c r="AD841" s="90"/>
      <c r="AE841" s="140"/>
      <c r="AF841" s="137" t="str">
        <f t="shared" si="43"/>
        <v/>
      </c>
      <c r="AG841" s="179" t="b">
        <f t="shared" si="42"/>
        <v>0</v>
      </c>
      <c r="AH841" s="140"/>
      <c r="AI841" s="147" t="s">
        <v>36</v>
      </c>
      <c r="AJ841" s="145">
        <f t="shared" si="41"/>
        <v>0</v>
      </c>
      <c r="AK841" s="148" t="s">
        <v>75</v>
      </c>
    </row>
    <row r="842" spans="1:37" ht="30" customHeight="1">
      <c r="A842" s="62"/>
      <c r="B842" s="62"/>
      <c r="C842" s="62"/>
      <c r="D842" s="62"/>
      <c r="E842" s="62"/>
      <c r="F842" s="62"/>
      <c r="G842" s="62"/>
      <c r="H842" s="62"/>
      <c r="I842" s="62"/>
      <c r="J842" s="62"/>
      <c r="K842" s="62"/>
      <c r="L842" s="62"/>
      <c r="M842" s="62"/>
      <c r="N842" s="186"/>
      <c r="O842" s="152"/>
      <c r="P842" s="90"/>
      <c r="Q842" s="140"/>
      <c r="R842" s="90"/>
      <c r="S842" s="140"/>
      <c r="T842" s="90"/>
      <c r="U842" s="140"/>
      <c r="V842" s="90"/>
      <c r="W842" s="140"/>
      <c r="X842" s="90"/>
      <c r="Y842" s="140"/>
      <c r="Z842" s="90"/>
      <c r="AA842" s="140"/>
      <c r="AB842" s="90"/>
      <c r="AC842" s="140"/>
      <c r="AD842" s="90"/>
      <c r="AE842" s="140"/>
      <c r="AF842" s="137" t="str">
        <f t="shared" si="43"/>
        <v/>
      </c>
      <c r="AG842" s="179" t="b">
        <f t="shared" si="42"/>
        <v>0</v>
      </c>
      <c r="AH842" s="140"/>
      <c r="AI842" s="147" t="s">
        <v>36</v>
      </c>
      <c r="AJ842" s="145">
        <f t="shared" si="41"/>
        <v>0</v>
      </c>
      <c r="AK842" s="148" t="s">
        <v>75</v>
      </c>
    </row>
    <row r="843" spans="1:37" ht="30" customHeight="1">
      <c r="A843" s="62"/>
      <c r="B843" s="62"/>
      <c r="C843" s="62"/>
      <c r="D843" s="62"/>
      <c r="E843" s="62"/>
      <c r="F843" s="62"/>
      <c r="G843" s="62"/>
      <c r="H843" s="62"/>
      <c r="I843" s="62"/>
      <c r="J843" s="62"/>
      <c r="K843" s="62"/>
      <c r="L843" s="62"/>
      <c r="M843" s="62"/>
      <c r="N843" s="186"/>
      <c r="O843" s="152"/>
      <c r="P843" s="90"/>
      <c r="Q843" s="140"/>
      <c r="R843" s="90"/>
      <c r="S843" s="140"/>
      <c r="T843" s="90"/>
      <c r="U843" s="140"/>
      <c r="V843" s="90"/>
      <c r="W843" s="140"/>
      <c r="X843" s="90"/>
      <c r="Y843" s="140"/>
      <c r="Z843" s="90"/>
      <c r="AA843" s="140"/>
      <c r="AB843" s="90"/>
      <c r="AC843" s="140"/>
      <c r="AD843" s="90"/>
      <c r="AE843" s="140"/>
      <c r="AF843" s="137" t="str">
        <f t="shared" si="43"/>
        <v/>
      </c>
      <c r="AG843" s="179" t="b">
        <f t="shared" si="42"/>
        <v>0</v>
      </c>
      <c r="AH843" s="140"/>
      <c r="AI843" s="147" t="s">
        <v>36</v>
      </c>
      <c r="AJ843" s="145">
        <f t="shared" si="41"/>
        <v>0</v>
      </c>
      <c r="AK843" s="148" t="s">
        <v>75</v>
      </c>
    </row>
    <row r="844" spans="1:37" ht="30" customHeight="1">
      <c r="A844" s="62"/>
      <c r="B844" s="62"/>
      <c r="C844" s="62"/>
      <c r="D844" s="62"/>
      <c r="E844" s="62"/>
      <c r="F844" s="62"/>
      <c r="G844" s="62"/>
      <c r="H844" s="62"/>
      <c r="I844" s="62"/>
      <c r="J844" s="62"/>
      <c r="K844" s="62"/>
      <c r="L844" s="62"/>
      <c r="M844" s="62"/>
      <c r="N844" s="186"/>
      <c r="O844" s="152"/>
      <c r="P844" s="90"/>
      <c r="Q844" s="140"/>
      <c r="R844" s="90"/>
      <c r="S844" s="140"/>
      <c r="T844" s="90"/>
      <c r="U844" s="140"/>
      <c r="V844" s="90"/>
      <c r="W844" s="140"/>
      <c r="X844" s="90"/>
      <c r="Y844" s="140"/>
      <c r="Z844" s="90"/>
      <c r="AA844" s="140"/>
      <c r="AB844" s="90"/>
      <c r="AC844" s="140"/>
      <c r="AD844" s="90"/>
      <c r="AE844" s="140"/>
      <c r="AF844" s="137" t="str">
        <f t="shared" si="43"/>
        <v/>
      </c>
      <c r="AG844" s="179" t="b">
        <f t="shared" si="42"/>
        <v>0</v>
      </c>
      <c r="AH844" s="140"/>
      <c r="AI844" s="147" t="s">
        <v>36</v>
      </c>
      <c r="AJ844" s="145">
        <f t="shared" si="41"/>
        <v>0</v>
      </c>
      <c r="AK844" s="148" t="s">
        <v>75</v>
      </c>
    </row>
    <row r="845" spans="1:37" ht="30" customHeight="1">
      <c r="A845" s="62"/>
      <c r="B845" s="62"/>
      <c r="C845" s="62"/>
      <c r="D845" s="62"/>
      <c r="E845" s="62"/>
      <c r="F845" s="62"/>
      <c r="G845" s="62"/>
      <c r="H845" s="62"/>
      <c r="I845" s="62"/>
      <c r="J845" s="62"/>
      <c r="K845" s="62"/>
      <c r="L845" s="62"/>
      <c r="M845" s="62"/>
      <c r="N845" s="186"/>
      <c r="O845" s="152"/>
      <c r="P845" s="90"/>
      <c r="Q845" s="140"/>
      <c r="R845" s="90"/>
      <c r="S845" s="140"/>
      <c r="T845" s="90"/>
      <c r="U845" s="140"/>
      <c r="V845" s="90"/>
      <c r="W845" s="140"/>
      <c r="X845" s="90"/>
      <c r="Y845" s="140"/>
      <c r="Z845" s="90"/>
      <c r="AA845" s="140"/>
      <c r="AB845" s="90"/>
      <c r="AC845" s="140"/>
      <c r="AD845" s="90"/>
      <c r="AE845" s="140"/>
      <c r="AF845" s="137" t="str">
        <f t="shared" si="43"/>
        <v/>
      </c>
      <c r="AG845" s="179" t="b">
        <f t="shared" si="42"/>
        <v>0</v>
      </c>
      <c r="AH845" s="140"/>
      <c r="AI845" s="147" t="s">
        <v>36</v>
      </c>
      <c r="AJ845" s="145">
        <f t="shared" si="41"/>
        <v>0</v>
      </c>
      <c r="AK845" s="148" t="s">
        <v>75</v>
      </c>
    </row>
    <row r="846" spans="1:37" ht="30" customHeight="1">
      <c r="A846" s="62"/>
      <c r="B846" s="62"/>
      <c r="C846" s="62"/>
      <c r="D846" s="62"/>
      <c r="E846" s="62"/>
      <c r="F846" s="62"/>
      <c r="G846" s="62"/>
      <c r="H846" s="62"/>
      <c r="I846" s="62"/>
      <c r="J846" s="62"/>
      <c r="K846" s="62"/>
      <c r="L846" s="62"/>
      <c r="M846" s="62"/>
      <c r="N846" s="186"/>
      <c r="O846" s="152"/>
      <c r="P846" s="90"/>
      <c r="Q846" s="140"/>
      <c r="R846" s="90"/>
      <c r="S846" s="140"/>
      <c r="T846" s="90"/>
      <c r="U846" s="140"/>
      <c r="V846" s="90"/>
      <c r="W846" s="140"/>
      <c r="X846" s="90"/>
      <c r="Y846" s="140"/>
      <c r="Z846" s="90"/>
      <c r="AA846" s="140"/>
      <c r="AB846" s="90"/>
      <c r="AC846" s="140"/>
      <c r="AD846" s="90"/>
      <c r="AE846" s="140"/>
      <c r="AF846" s="137" t="str">
        <f t="shared" si="43"/>
        <v/>
      </c>
      <c r="AG846" s="179" t="b">
        <f t="shared" si="42"/>
        <v>0</v>
      </c>
      <c r="AH846" s="140"/>
      <c r="AI846" s="147" t="s">
        <v>36</v>
      </c>
      <c r="AJ846" s="145">
        <f t="shared" si="41"/>
        <v>0</v>
      </c>
      <c r="AK846" s="148" t="s">
        <v>75</v>
      </c>
    </row>
    <row r="847" spans="1:37" ht="30" customHeight="1">
      <c r="A847" s="62"/>
      <c r="B847" s="62"/>
      <c r="C847" s="62"/>
      <c r="D847" s="62"/>
      <c r="E847" s="62"/>
      <c r="F847" s="62"/>
      <c r="G847" s="62"/>
      <c r="H847" s="62"/>
      <c r="I847" s="62"/>
      <c r="J847" s="62"/>
      <c r="K847" s="62"/>
      <c r="L847" s="62"/>
      <c r="M847" s="62"/>
      <c r="N847" s="186"/>
      <c r="O847" s="152"/>
      <c r="P847" s="90"/>
      <c r="Q847" s="140"/>
      <c r="R847" s="90"/>
      <c r="S847" s="140"/>
      <c r="T847" s="90"/>
      <c r="U847" s="140"/>
      <c r="V847" s="90"/>
      <c r="W847" s="140"/>
      <c r="X847" s="90"/>
      <c r="Y847" s="140"/>
      <c r="Z847" s="90"/>
      <c r="AA847" s="140"/>
      <c r="AB847" s="90"/>
      <c r="AC847" s="140"/>
      <c r="AD847" s="90"/>
      <c r="AE847" s="140"/>
      <c r="AF847" s="137" t="str">
        <f t="shared" si="43"/>
        <v/>
      </c>
      <c r="AG847" s="179" t="b">
        <f t="shared" si="42"/>
        <v>0</v>
      </c>
      <c r="AH847" s="140"/>
      <c r="AI847" s="147" t="s">
        <v>36</v>
      </c>
      <c r="AJ847" s="145">
        <f t="shared" si="41"/>
        <v>0</v>
      </c>
      <c r="AK847" s="148" t="s">
        <v>75</v>
      </c>
    </row>
    <row r="848" spans="1:37" ht="30" customHeight="1">
      <c r="A848" s="62"/>
      <c r="B848" s="62"/>
      <c r="C848" s="62"/>
      <c r="D848" s="62"/>
      <c r="E848" s="62"/>
      <c r="F848" s="62"/>
      <c r="G848" s="62"/>
      <c r="H848" s="62"/>
      <c r="I848" s="62"/>
      <c r="J848" s="62"/>
      <c r="K848" s="62"/>
      <c r="L848" s="62"/>
      <c r="M848" s="62"/>
      <c r="N848" s="186"/>
      <c r="O848" s="152"/>
      <c r="P848" s="90"/>
      <c r="Q848" s="140"/>
      <c r="R848" s="90"/>
      <c r="S848" s="140"/>
      <c r="T848" s="90"/>
      <c r="U848" s="140"/>
      <c r="V848" s="90"/>
      <c r="W848" s="140"/>
      <c r="X848" s="90"/>
      <c r="Y848" s="140"/>
      <c r="Z848" s="90"/>
      <c r="AA848" s="140"/>
      <c r="AB848" s="90"/>
      <c r="AC848" s="140"/>
      <c r="AD848" s="90"/>
      <c r="AE848" s="140"/>
      <c r="AF848" s="137" t="str">
        <f t="shared" si="43"/>
        <v/>
      </c>
      <c r="AG848" s="179" t="b">
        <f t="shared" si="42"/>
        <v>0</v>
      </c>
      <c r="AH848" s="140"/>
      <c r="AI848" s="147" t="s">
        <v>36</v>
      </c>
      <c r="AJ848" s="145">
        <f t="shared" si="41"/>
        <v>0</v>
      </c>
      <c r="AK848" s="148" t="s">
        <v>75</v>
      </c>
    </row>
    <row r="849" spans="1:37" ht="30" customHeight="1">
      <c r="A849" s="62"/>
      <c r="B849" s="62"/>
      <c r="C849" s="62"/>
      <c r="D849" s="62"/>
      <c r="E849" s="62"/>
      <c r="F849" s="62"/>
      <c r="G849" s="62"/>
      <c r="H849" s="62"/>
      <c r="I849" s="62"/>
      <c r="J849" s="62"/>
      <c r="K849" s="62"/>
      <c r="L849" s="62"/>
      <c r="M849" s="62"/>
      <c r="N849" s="186"/>
      <c r="O849" s="152"/>
      <c r="P849" s="90"/>
      <c r="Q849" s="140"/>
      <c r="R849" s="90"/>
      <c r="S849" s="140"/>
      <c r="T849" s="90"/>
      <c r="U849" s="140"/>
      <c r="V849" s="90"/>
      <c r="W849" s="140"/>
      <c r="X849" s="90"/>
      <c r="Y849" s="140"/>
      <c r="Z849" s="90"/>
      <c r="AA849" s="140"/>
      <c r="AB849" s="90"/>
      <c r="AC849" s="140"/>
      <c r="AD849" s="90"/>
      <c r="AE849" s="140"/>
      <c r="AF849" s="137" t="str">
        <f t="shared" si="43"/>
        <v/>
      </c>
      <c r="AG849" s="179" t="b">
        <f t="shared" si="42"/>
        <v>0</v>
      </c>
      <c r="AH849" s="140"/>
      <c r="AI849" s="147" t="s">
        <v>36</v>
      </c>
      <c r="AJ849" s="145">
        <f t="shared" si="41"/>
        <v>0</v>
      </c>
      <c r="AK849" s="148" t="s">
        <v>75</v>
      </c>
    </row>
    <row r="850" spans="1:37" ht="30" customHeight="1">
      <c r="A850" s="62"/>
      <c r="B850" s="62"/>
      <c r="C850" s="62"/>
      <c r="D850" s="62"/>
      <c r="E850" s="62"/>
      <c r="F850" s="62"/>
      <c r="G850" s="62"/>
      <c r="H850" s="62"/>
      <c r="I850" s="62"/>
      <c r="J850" s="62"/>
      <c r="K850" s="62"/>
      <c r="L850" s="62"/>
      <c r="M850" s="62"/>
      <c r="N850" s="186"/>
      <c r="O850" s="152"/>
      <c r="P850" s="90"/>
      <c r="Q850" s="140"/>
      <c r="R850" s="90"/>
      <c r="S850" s="140"/>
      <c r="T850" s="90"/>
      <c r="U850" s="140"/>
      <c r="V850" s="90"/>
      <c r="W850" s="140"/>
      <c r="X850" s="90"/>
      <c r="Y850" s="140"/>
      <c r="Z850" s="90"/>
      <c r="AA850" s="140"/>
      <c r="AB850" s="90"/>
      <c r="AC850" s="140"/>
      <c r="AD850" s="90"/>
      <c r="AE850" s="140"/>
      <c r="AF850" s="137" t="str">
        <f t="shared" si="43"/>
        <v/>
      </c>
      <c r="AG850" s="179" t="b">
        <f t="shared" si="42"/>
        <v>0</v>
      </c>
      <c r="AH850" s="140"/>
      <c r="AI850" s="147" t="s">
        <v>36</v>
      </c>
      <c r="AJ850" s="145">
        <f t="shared" si="41"/>
        <v>0</v>
      </c>
      <c r="AK850" s="148" t="s">
        <v>75</v>
      </c>
    </row>
    <row r="851" spans="1:37" ht="30" customHeight="1">
      <c r="A851" s="62"/>
      <c r="B851" s="62"/>
      <c r="C851" s="62"/>
      <c r="D851" s="62"/>
      <c r="E851" s="62"/>
      <c r="F851" s="62"/>
      <c r="G851" s="62"/>
      <c r="H851" s="62"/>
      <c r="I851" s="62"/>
      <c r="J851" s="62"/>
      <c r="K851" s="62"/>
      <c r="L851" s="62"/>
      <c r="M851" s="62"/>
      <c r="N851" s="186"/>
      <c r="O851" s="152"/>
      <c r="P851" s="90"/>
      <c r="Q851" s="140"/>
      <c r="R851" s="90"/>
      <c r="S851" s="140"/>
      <c r="T851" s="90"/>
      <c r="U851" s="140"/>
      <c r="V851" s="90"/>
      <c r="W851" s="140"/>
      <c r="X851" s="90"/>
      <c r="Y851" s="140"/>
      <c r="Z851" s="90"/>
      <c r="AA851" s="140"/>
      <c r="AB851" s="90"/>
      <c r="AC851" s="140"/>
      <c r="AD851" s="90"/>
      <c r="AE851" s="140"/>
      <c r="AF851" s="137" t="str">
        <f t="shared" si="43"/>
        <v/>
      </c>
      <c r="AG851" s="179" t="b">
        <f t="shared" si="42"/>
        <v>0</v>
      </c>
      <c r="AH851" s="140"/>
      <c r="AI851" s="147" t="s">
        <v>36</v>
      </c>
      <c r="AJ851" s="145">
        <f t="shared" si="41"/>
        <v>0</v>
      </c>
      <c r="AK851" s="148" t="s">
        <v>75</v>
      </c>
    </row>
    <row r="852" spans="1:37" ht="30" customHeight="1">
      <c r="A852" s="62"/>
      <c r="B852" s="62"/>
      <c r="C852" s="62"/>
      <c r="D852" s="62"/>
      <c r="E852" s="62"/>
      <c r="F852" s="62"/>
      <c r="G852" s="62"/>
      <c r="H852" s="62"/>
      <c r="I852" s="62"/>
      <c r="J852" s="62"/>
      <c r="K852" s="62"/>
      <c r="L852" s="62"/>
      <c r="M852" s="62"/>
      <c r="N852" s="186"/>
      <c r="O852" s="152"/>
      <c r="P852" s="90"/>
      <c r="Q852" s="140"/>
      <c r="R852" s="90"/>
      <c r="S852" s="140"/>
      <c r="T852" s="90"/>
      <c r="U852" s="140"/>
      <c r="V852" s="90"/>
      <c r="W852" s="140"/>
      <c r="X852" s="90"/>
      <c r="Y852" s="140"/>
      <c r="Z852" s="90"/>
      <c r="AA852" s="140"/>
      <c r="AB852" s="90"/>
      <c r="AC852" s="140"/>
      <c r="AD852" s="90"/>
      <c r="AE852" s="140"/>
      <c r="AF852" s="137" t="str">
        <f t="shared" si="43"/>
        <v/>
      </c>
      <c r="AG852" s="179" t="b">
        <f t="shared" si="42"/>
        <v>0</v>
      </c>
      <c r="AH852" s="140"/>
      <c r="AI852" s="147" t="s">
        <v>36</v>
      </c>
      <c r="AJ852" s="145">
        <f t="shared" si="41"/>
        <v>0</v>
      </c>
      <c r="AK852" s="148" t="s">
        <v>75</v>
      </c>
    </row>
    <row r="853" spans="1:37" ht="30" customHeight="1">
      <c r="A853" s="62"/>
      <c r="B853" s="62"/>
      <c r="C853" s="62"/>
      <c r="D853" s="62"/>
      <c r="E853" s="62"/>
      <c r="F853" s="62"/>
      <c r="G853" s="62"/>
      <c r="H853" s="62"/>
      <c r="I853" s="62"/>
      <c r="J853" s="62"/>
      <c r="K853" s="62"/>
      <c r="L853" s="62"/>
      <c r="M853" s="62"/>
      <c r="N853" s="186"/>
      <c r="O853" s="152"/>
      <c r="P853" s="90"/>
      <c r="Q853" s="140"/>
      <c r="R853" s="90"/>
      <c r="S853" s="140"/>
      <c r="T853" s="90"/>
      <c r="U853" s="140"/>
      <c r="V853" s="90"/>
      <c r="W853" s="140"/>
      <c r="X853" s="90"/>
      <c r="Y853" s="140"/>
      <c r="Z853" s="90"/>
      <c r="AA853" s="140"/>
      <c r="AB853" s="90"/>
      <c r="AC853" s="140"/>
      <c r="AD853" s="90"/>
      <c r="AE853" s="140"/>
      <c r="AF853" s="137" t="str">
        <f t="shared" si="43"/>
        <v/>
      </c>
      <c r="AG853" s="179" t="b">
        <f t="shared" si="42"/>
        <v>0</v>
      </c>
      <c r="AH853" s="140"/>
      <c r="AI853" s="147" t="s">
        <v>36</v>
      </c>
      <c r="AJ853" s="145">
        <f t="shared" si="41"/>
        <v>0</v>
      </c>
      <c r="AK853" s="148" t="s">
        <v>75</v>
      </c>
    </row>
    <row r="854" spans="1:37" ht="30" customHeight="1">
      <c r="A854" s="62"/>
      <c r="B854" s="62"/>
      <c r="C854" s="62"/>
      <c r="D854" s="62"/>
      <c r="E854" s="62"/>
      <c r="F854" s="62"/>
      <c r="G854" s="62"/>
      <c r="H854" s="62"/>
      <c r="I854" s="62"/>
      <c r="J854" s="62"/>
      <c r="K854" s="62"/>
      <c r="L854" s="62"/>
      <c r="M854" s="62"/>
      <c r="N854" s="186"/>
      <c r="O854" s="152"/>
      <c r="P854" s="90"/>
      <c r="Q854" s="140"/>
      <c r="R854" s="90"/>
      <c r="S854" s="140"/>
      <c r="T854" s="90"/>
      <c r="U854" s="140"/>
      <c r="V854" s="90"/>
      <c r="W854" s="140"/>
      <c r="X854" s="90"/>
      <c r="Y854" s="140"/>
      <c r="Z854" s="90"/>
      <c r="AA854" s="140"/>
      <c r="AB854" s="90"/>
      <c r="AC854" s="140"/>
      <c r="AD854" s="90"/>
      <c r="AE854" s="140"/>
      <c r="AF854" s="137" t="str">
        <f t="shared" si="43"/>
        <v/>
      </c>
      <c r="AG854" s="179" t="b">
        <f t="shared" si="42"/>
        <v>0</v>
      </c>
      <c r="AH854" s="140"/>
      <c r="AI854" s="147" t="s">
        <v>36</v>
      </c>
      <c r="AJ854" s="145">
        <f t="shared" si="41"/>
        <v>0</v>
      </c>
      <c r="AK854" s="148" t="s">
        <v>75</v>
      </c>
    </row>
    <row r="855" spans="1:37" ht="30" customHeight="1">
      <c r="A855" s="62"/>
      <c r="B855" s="62"/>
      <c r="C855" s="62"/>
      <c r="D855" s="62"/>
      <c r="E855" s="62"/>
      <c r="F855" s="62"/>
      <c r="G855" s="62"/>
      <c r="H855" s="62"/>
      <c r="I855" s="62"/>
      <c r="J855" s="62"/>
      <c r="K855" s="62"/>
      <c r="L855" s="62"/>
      <c r="M855" s="62"/>
      <c r="N855" s="186"/>
      <c r="O855" s="152"/>
      <c r="P855" s="90"/>
      <c r="Q855" s="140"/>
      <c r="R855" s="90"/>
      <c r="S855" s="140"/>
      <c r="T855" s="90"/>
      <c r="U855" s="140"/>
      <c r="V855" s="90"/>
      <c r="W855" s="140"/>
      <c r="X855" s="90"/>
      <c r="Y855" s="140"/>
      <c r="Z855" s="90"/>
      <c r="AA855" s="140"/>
      <c r="AB855" s="90"/>
      <c r="AC855" s="140"/>
      <c r="AD855" s="90"/>
      <c r="AE855" s="140"/>
      <c r="AF855" s="137" t="str">
        <f t="shared" si="43"/>
        <v/>
      </c>
      <c r="AG855" s="179" t="b">
        <f t="shared" si="42"/>
        <v>0</v>
      </c>
      <c r="AH855" s="140"/>
      <c r="AI855" s="147" t="s">
        <v>36</v>
      </c>
      <c r="AJ855" s="145">
        <f t="shared" si="41"/>
        <v>0</v>
      </c>
      <c r="AK855" s="148" t="s">
        <v>75</v>
      </c>
    </row>
    <row r="856" spans="1:37" ht="30" customHeight="1">
      <c r="A856" s="62"/>
      <c r="B856" s="62"/>
      <c r="C856" s="62"/>
      <c r="D856" s="62"/>
      <c r="E856" s="62"/>
      <c r="F856" s="62"/>
      <c r="G856" s="62"/>
      <c r="H856" s="62"/>
      <c r="I856" s="62"/>
      <c r="J856" s="62"/>
      <c r="K856" s="62"/>
      <c r="L856" s="62"/>
      <c r="M856" s="62"/>
      <c r="N856" s="186"/>
      <c r="O856" s="152"/>
      <c r="P856" s="90"/>
      <c r="Q856" s="140"/>
      <c r="R856" s="90"/>
      <c r="S856" s="140"/>
      <c r="T856" s="90"/>
      <c r="U856" s="140"/>
      <c r="V856" s="90"/>
      <c r="W856" s="140"/>
      <c r="X856" s="90"/>
      <c r="Y856" s="140"/>
      <c r="Z856" s="90"/>
      <c r="AA856" s="140"/>
      <c r="AB856" s="90"/>
      <c r="AC856" s="140"/>
      <c r="AD856" s="90"/>
      <c r="AE856" s="140"/>
      <c r="AF856" s="137" t="str">
        <f t="shared" si="43"/>
        <v/>
      </c>
      <c r="AG856" s="179" t="b">
        <f t="shared" si="42"/>
        <v>0</v>
      </c>
      <c r="AH856" s="140"/>
      <c r="AI856" s="147" t="s">
        <v>36</v>
      </c>
      <c r="AJ856" s="145">
        <f t="shared" si="41"/>
        <v>0</v>
      </c>
      <c r="AK856" s="148" t="s">
        <v>75</v>
      </c>
    </row>
    <row r="857" spans="1:37" ht="30" customHeight="1">
      <c r="A857" s="62"/>
      <c r="B857" s="62"/>
      <c r="C857" s="62"/>
      <c r="D857" s="62"/>
      <c r="E857" s="62"/>
      <c r="F857" s="62"/>
      <c r="G857" s="62"/>
      <c r="H857" s="62"/>
      <c r="I857" s="62"/>
      <c r="J857" s="62"/>
      <c r="K857" s="62"/>
      <c r="L857" s="62"/>
      <c r="M857" s="62"/>
      <c r="N857" s="186"/>
      <c r="O857" s="152"/>
      <c r="P857" s="90"/>
      <c r="Q857" s="140"/>
      <c r="R857" s="90"/>
      <c r="S857" s="140"/>
      <c r="T857" s="90"/>
      <c r="U857" s="140"/>
      <c r="V857" s="90"/>
      <c r="W857" s="140"/>
      <c r="X857" s="90"/>
      <c r="Y857" s="140"/>
      <c r="Z857" s="90"/>
      <c r="AA857" s="140"/>
      <c r="AB857" s="90"/>
      <c r="AC857" s="140"/>
      <c r="AD857" s="90"/>
      <c r="AE857" s="140"/>
      <c r="AF857" s="137" t="str">
        <f t="shared" si="43"/>
        <v/>
      </c>
      <c r="AG857" s="179" t="b">
        <f t="shared" si="42"/>
        <v>0</v>
      </c>
      <c r="AH857" s="140"/>
      <c r="AI857" s="147" t="s">
        <v>36</v>
      </c>
      <c r="AJ857" s="145">
        <f t="shared" si="41"/>
        <v>0</v>
      </c>
      <c r="AK857" s="148" t="s">
        <v>75</v>
      </c>
    </row>
    <row r="858" spans="1:37" ht="30" customHeight="1">
      <c r="A858" s="62"/>
      <c r="B858" s="62"/>
      <c r="C858" s="62"/>
      <c r="D858" s="62"/>
      <c r="E858" s="62"/>
      <c r="F858" s="62"/>
      <c r="G858" s="62"/>
      <c r="H858" s="62"/>
      <c r="I858" s="62"/>
      <c r="J858" s="62"/>
      <c r="K858" s="62"/>
      <c r="L858" s="62"/>
      <c r="M858" s="62"/>
      <c r="N858" s="186"/>
      <c r="O858" s="152"/>
      <c r="P858" s="90"/>
      <c r="Q858" s="140"/>
      <c r="R858" s="90"/>
      <c r="S858" s="140"/>
      <c r="T858" s="90"/>
      <c r="U858" s="140"/>
      <c r="V858" s="90"/>
      <c r="W858" s="140"/>
      <c r="X858" s="90"/>
      <c r="Y858" s="140"/>
      <c r="Z858" s="90"/>
      <c r="AA858" s="140"/>
      <c r="AB858" s="90"/>
      <c r="AC858" s="140"/>
      <c r="AD858" s="90"/>
      <c r="AE858" s="140"/>
      <c r="AF858" s="137" t="str">
        <f t="shared" si="43"/>
        <v/>
      </c>
      <c r="AG858" s="179" t="b">
        <f t="shared" si="42"/>
        <v>0</v>
      </c>
      <c r="AH858" s="140"/>
      <c r="AI858" s="147" t="s">
        <v>36</v>
      </c>
      <c r="AJ858" s="145">
        <f t="shared" si="41"/>
        <v>0</v>
      </c>
      <c r="AK858" s="148" t="s">
        <v>75</v>
      </c>
    </row>
    <row r="859" spans="1:37" ht="30" customHeight="1">
      <c r="A859" s="62"/>
      <c r="B859" s="62"/>
      <c r="C859" s="62"/>
      <c r="D859" s="62"/>
      <c r="E859" s="62"/>
      <c r="F859" s="62"/>
      <c r="G859" s="62"/>
      <c r="H859" s="62"/>
      <c r="I859" s="62"/>
      <c r="J859" s="62"/>
      <c r="K859" s="62"/>
      <c r="L859" s="62"/>
      <c r="M859" s="62"/>
      <c r="N859" s="186"/>
      <c r="O859" s="152"/>
      <c r="P859" s="90"/>
      <c r="Q859" s="140"/>
      <c r="R859" s="90"/>
      <c r="S859" s="140"/>
      <c r="T859" s="90"/>
      <c r="U859" s="140"/>
      <c r="V859" s="90"/>
      <c r="W859" s="140"/>
      <c r="X859" s="90"/>
      <c r="Y859" s="140"/>
      <c r="Z859" s="90"/>
      <c r="AA859" s="140"/>
      <c r="AB859" s="90"/>
      <c r="AC859" s="140"/>
      <c r="AD859" s="90"/>
      <c r="AE859" s="140"/>
      <c r="AF859" s="137" t="str">
        <f t="shared" si="43"/>
        <v/>
      </c>
      <c r="AG859" s="179" t="b">
        <f t="shared" si="42"/>
        <v>0</v>
      </c>
      <c r="AH859" s="140"/>
      <c r="AI859" s="147" t="s">
        <v>36</v>
      </c>
      <c r="AJ859" s="145">
        <f t="shared" si="41"/>
        <v>0</v>
      </c>
      <c r="AK859" s="148" t="s">
        <v>75</v>
      </c>
    </row>
    <row r="860" spans="1:37" ht="30" customHeight="1">
      <c r="A860" s="62"/>
      <c r="B860" s="62"/>
      <c r="C860" s="62"/>
      <c r="D860" s="62"/>
      <c r="E860" s="62"/>
      <c r="F860" s="62"/>
      <c r="G860" s="62"/>
      <c r="H860" s="62"/>
      <c r="I860" s="62"/>
      <c r="J860" s="62"/>
      <c r="K860" s="62"/>
      <c r="L860" s="62"/>
      <c r="M860" s="62"/>
      <c r="N860" s="186"/>
      <c r="O860" s="152"/>
      <c r="P860" s="90"/>
      <c r="Q860" s="140"/>
      <c r="R860" s="90"/>
      <c r="S860" s="140"/>
      <c r="T860" s="90"/>
      <c r="U860" s="140"/>
      <c r="V860" s="90"/>
      <c r="W860" s="140"/>
      <c r="X860" s="90"/>
      <c r="Y860" s="140"/>
      <c r="Z860" s="90"/>
      <c r="AA860" s="140"/>
      <c r="AB860" s="90"/>
      <c r="AC860" s="140"/>
      <c r="AD860" s="90"/>
      <c r="AE860" s="140"/>
      <c r="AF860" s="137" t="str">
        <f t="shared" si="43"/>
        <v/>
      </c>
      <c r="AG860" s="179" t="b">
        <f t="shared" si="42"/>
        <v>0</v>
      </c>
      <c r="AH860" s="140"/>
      <c r="AI860" s="147" t="s">
        <v>36</v>
      </c>
      <c r="AJ860" s="145">
        <f t="shared" si="41"/>
        <v>0</v>
      </c>
      <c r="AK860" s="148" t="s">
        <v>75</v>
      </c>
    </row>
    <row r="861" spans="1:37" ht="30" customHeight="1">
      <c r="A861" s="62"/>
      <c r="B861" s="62"/>
      <c r="C861" s="62"/>
      <c r="D861" s="62"/>
      <c r="E861" s="62"/>
      <c r="F861" s="62"/>
      <c r="G861" s="62"/>
      <c r="H861" s="62"/>
      <c r="I861" s="62"/>
      <c r="J861" s="62"/>
      <c r="K861" s="62"/>
      <c r="L861" s="62"/>
      <c r="M861" s="62"/>
      <c r="N861" s="186"/>
      <c r="O861" s="152"/>
      <c r="P861" s="90"/>
      <c r="Q861" s="140"/>
      <c r="R861" s="90"/>
      <c r="S861" s="140"/>
      <c r="T861" s="90"/>
      <c r="U861" s="140"/>
      <c r="V861" s="90"/>
      <c r="W861" s="140"/>
      <c r="X861" s="90"/>
      <c r="Y861" s="140"/>
      <c r="Z861" s="90"/>
      <c r="AA861" s="140"/>
      <c r="AB861" s="90"/>
      <c r="AC861" s="140"/>
      <c r="AD861" s="90"/>
      <c r="AE861" s="140"/>
      <c r="AF861" s="137" t="str">
        <f t="shared" si="43"/>
        <v/>
      </c>
      <c r="AG861" s="179" t="b">
        <f t="shared" si="42"/>
        <v>0</v>
      </c>
      <c r="AH861" s="140"/>
      <c r="AI861" s="147" t="s">
        <v>36</v>
      </c>
      <c r="AJ861" s="145">
        <f t="shared" si="41"/>
        <v>0</v>
      </c>
      <c r="AK861" s="148" t="s">
        <v>75</v>
      </c>
    </row>
    <row r="862" spans="1:37" ht="30" customHeight="1">
      <c r="A862" s="62"/>
      <c r="B862" s="62"/>
      <c r="C862" s="62"/>
      <c r="D862" s="62"/>
      <c r="E862" s="62"/>
      <c r="F862" s="62"/>
      <c r="G862" s="62"/>
      <c r="H862" s="62"/>
      <c r="I862" s="62"/>
      <c r="J862" s="62"/>
      <c r="K862" s="62"/>
      <c r="L862" s="62"/>
      <c r="M862" s="62"/>
      <c r="N862" s="186"/>
      <c r="O862" s="152"/>
      <c r="P862" s="90"/>
      <c r="Q862" s="140"/>
      <c r="R862" s="90"/>
      <c r="S862" s="140"/>
      <c r="T862" s="90"/>
      <c r="U862" s="140"/>
      <c r="V862" s="90"/>
      <c r="W862" s="140"/>
      <c r="X862" s="90"/>
      <c r="Y862" s="140"/>
      <c r="Z862" s="90"/>
      <c r="AA862" s="140"/>
      <c r="AB862" s="90"/>
      <c r="AC862" s="140"/>
      <c r="AD862" s="90"/>
      <c r="AE862" s="140"/>
      <c r="AF862" s="137" t="str">
        <f t="shared" si="43"/>
        <v/>
      </c>
      <c r="AG862" s="179" t="b">
        <f t="shared" si="42"/>
        <v>0</v>
      </c>
      <c r="AH862" s="140"/>
      <c r="AI862" s="147" t="s">
        <v>36</v>
      </c>
      <c r="AJ862" s="145">
        <f t="shared" si="41"/>
        <v>0</v>
      </c>
      <c r="AK862" s="148" t="s">
        <v>75</v>
      </c>
    </row>
    <row r="863" spans="1:37" ht="30" customHeight="1">
      <c r="A863" s="62"/>
      <c r="B863" s="62"/>
      <c r="C863" s="62"/>
      <c r="D863" s="62"/>
      <c r="E863" s="62"/>
      <c r="F863" s="62"/>
      <c r="G863" s="62"/>
      <c r="H863" s="62"/>
      <c r="I863" s="62"/>
      <c r="J863" s="62"/>
      <c r="K863" s="62"/>
      <c r="L863" s="62"/>
      <c r="M863" s="62"/>
      <c r="N863" s="186"/>
      <c r="O863" s="152"/>
      <c r="P863" s="90"/>
      <c r="Q863" s="140"/>
      <c r="R863" s="90"/>
      <c r="S863" s="140"/>
      <c r="T863" s="90"/>
      <c r="U863" s="140"/>
      <c r="V863" s="90"/>
      <c r="W863" s="140"/>
      <c r="X863" s="90"/>
      <c r="Y863" s="140"/>
      <c r="Z863" s="90"/>
      <c r="AA863" s="140"/>
      <c r="AB863" s="90"/>
      <c r="AC863" s="140"/>
      <c r="AD863" s="90"/>
      <c r="AE863" s="140"/>
      <c r="AF863" s="137" t="str">
        <f t="shared" si="43"/>
        <v/>
      </c>
      <c r="AG863" s="179" t="b">
        <f t="shared" si="42"/>
        <v>0</v>
      </c>
      <c r="AH863" s="140"/>
      <c r="AI863" s="147" t="s">
        <v>36</v>
      </c>
      <c r="AJ863" s="145">
        <f t="shared" si="41"/>
        <v>0</v>
      </c>
      <c r="AK863" s="148" t="s">
        <v>75</v>
      </c>
    </row>
    <row r="864" spans="1:37" ht="30" customHeight="1">
      <c r="A864" s="62"/>
      <c r="B864" s="62"/>
      <c r="C864" s="62"/>
      <c r="D864" s="62"/>
      <c r="E864" s="62"/>
      <c r="F864" s="62"/>
      <c r="G864" s="62"/>
      <c r="H864" s="62"/>
      <c r="I864" s="62"/>
      <c r="J864" s="62"/>
      <c r="K864" s="62"/>
      <c r="L864" s="62"/>
      <c r="M864" s="62"/>
      <c r="N864" s="186"/>
      <c r="O864" s="152"/>
      <c r="P864" s="90"/>
      <c r="Q864" s="140"/>
      <c r="R864" s="90"/>
      <c r="S864" s="140"/>
      <c r="T864" s="90"/>
      <c r="U864" s="140"/>
      <c r="V864" s="90"/>
      <c r="W864" s="140"/>
      <c r="X864" s="90"/>
      <c r="Y864" s="140"/>
      <c r="Z864" s="90"/>
      <c r="AA864" s="140"/>
      <c r="AB864" s="90"/>
      <c r="AC864" s="140"/>
      <c r="AD864" s="90"/>
      <c r="AE864" s="140"/>
      <c r="AF864" s="137" t="str">
        <f t="shared" si="43"/>
        <v/>
      </c>
      <c r="AG864" s="179" t="b">
        <f t="shared" si="42"/>
        <v>0</v>
      </c>
      <c r="AH864" s="140"/>
      <c r="AI864" s="147" t="s">
        <v>36</v>
      </c>
      <c r="AJ864" s="145">
        <f t="shared" ref="AJ864:AJ927" si="44">E864</f>
        <v>0</v>
      </c>
      <c r="AK864" s="148" t="s">
        <v>75</v>
      </c>
    </row>
    <row r="865" spans="1:37" ht="30" customHeight="1">
      <c r="A865" s="62"/>
      <c r="B865" s="62"/>
      <c r="C865" s="62"/>
      <c r="D865" s="62"/>
      <c r="E865" s="62"/>
      <c r="F865" s="62"/>
      <c r="G865" s="62"/>
      <c r="H865" s="62"/>
      <c r="I865" s="62"/>
      <c r="J865" s="62"/>
      <c r="K865" s="62"/>
      <c r="L865" s="62"/>
      <c r="M865" s="62"/>
      <c r="N865" s="186"/>
      <c r="O865" s="152"/>
      <c r="P865" s="90"/>
      <c r="Q865" s="140"/>
      <c r="R865" s="90"/>
      <c r="S865" s="140"/>
      <c r="T865" s="90"/>
      <c r="U865" s="140"/>
      <c r="V865" s="90"/>
      <c r="W865" s="140"/>
      <c r="X865" s="90"/>
      <c r="Y865" s="140"/>
      <c r="Z865" s="90"/>
      <c r="AA865" s="140"/>
      <c r="AB865" s="90"/>
      <c r="AC865" s="140"/>
      <c r="AD865" s="90"/>
      <c r="AE865" s="140"/>
      <c r="AF865" s="137" t="str">
        <f t="shared" si="43"/>
        <v/>
      </c>
      <c r="AG865" s="179" t="b">
        <f t="shared" si="42"/>
        <v>0</v>
      </c>
      <c r="AH865" s="140"/>
      <c r="AI865" s="147" t="s">
        <v>36</v>
      </c>
      <c r="AJ865" s="145">
        <f t="shared" si="44"/>
        <v>0</v>
      </c>
      <c r="AK865" s="148" t="s">
        <v>75</v>
      </c>
    </row>
    <row r="866" spans="1:37" ht="30" customHeight="1">
      <c r="A866" s="62"/>
      <c r="B866" s="62"/>
      <c r="C866" s="62"/>
      <c r="D866" s="62"/>
      <c r="E866" s="62"/>
      <c r="F866" s="62"/>
      <c r="G866" s="62"/>
      <c r="H866" s="62"/>
      <c r="I866" s="62"/>
      <c r="J866" s="62"/>
      <c r="K866" s="62"/>
      <c r="L866" s="62"/>
      <c r="M866" s="62"/>
      <c r="N866" s="186"/>
      <c r="O866" s="152"/>
      <c r="P866" s="90"/>
      <c r="Q866" s="140"/>
      <c r="R866" s="90"/>
      <c r="S866" s="140"/>
      <c r="T866" s="90"/>
      <c r="U866" s="140"/>
      <c r="V866" s="90"/>
      <c r="W866" s="140"/>
      <c r="X866" s="90"/>
      <c r="Y866" s="140"/>
      <c r="Z866" s="90"/>
      <c r="AA866" s="140"/>
      <c r="AB866" s="90"/>
      <c r="AC866" s="140"/>
      <c r="AD866" s="90"/>
      <c r="AE866" s="140"/>
      <c r="AF866" s="137" t="str">
        <f t="shared" si="43"/>
        <v/>
      </c>
      <c r="AG866" s="179" t="b">
        <f t="shared" si="42"/>
        <v>0</v>
      </c>
      <c r="AH866" s="140"/>
      <c r="AI866" s="147" t="s">
        <v>36</v>
      </c>
      <c r="AJ866" s="145">
        <f t="shared" si="44"/>
        <v>0</v>
      </c>
      <c r="AK866" s="148" t="s">
        <v>75</v>
      </c>
    </row>
    <row r="867" spans="1:37" ht="30" customHeight="1">
      <c r="A867" s="62"/>
      <c r="B867" s="62"/>
      <c r="C867" s="62"/>
      <c r="D867" s="62"/>
      <c r="E867" s="62"/>
      <c r="F867" s="62"/>
      <c r="G867" s="62"/>
      <c r="H867" s="62"/>
      <c r="I867" s="62"/>
      <c r="J867" s="62"/>
      <c r="K867" s="62"/>
      <c r="L867" s="62"/>
      <c r="M867" s="62"/>
      <c r="N867" s="186"/>
      <c r="O867" s="152"/>
      <c r="P867" s="90"/>
      <c r="Q867" s="140"/>
      <c r="R867" s="90"/>
      <c r="S867" s="140"/>
      <c r="T867" s="90"/>
      <c r="U867" s="140"/>
      <c r="V867" s="90"/>
      <c r="W867" s="140"/>
      <c r="X867" s="90"/>
      <c r="Y867" s="140"/>
      <c r="Z867" s="90"/>
      <c r="AA867" s="140"/>
      <c r="AB867" s="90"/>
      <c r="AC867" s="140"/>
      <c r="AD867" s="90"/>
      <c r="AE867" s="140"/>
      <c r="AF867" s="137" t="str">
        <f t="shared" si="43"/>
        <v/>
      </c>
      <c r="AG867" s="179" t="b">
        <f t="shared" si="42"/>
        <v>0</v>
      </c>
      <c r="AH867" s="140"/>
      <c r="AI867" s="147" t="s">
        <v>36</v>
      </c>
      <c r="AJ867" s="145">
        <f t="shared" si="44"/>
        <v>0</v>
      </c>
      <c r="AK867" s="148" t="s">
        <v>75</v>
      </c>
    </row>
    <row r="868" spans="1:37" ht="30" customHeight="1">
      <c r="A868" s="62"/>
      <c r="B868" s="62"/>
      <c r="C868" s="62"/>
      <c r="D868" s="62"/>
      <c r="E868" s="62"/>
      <c r="F868" s="62"/>
      <c r="G868" s="62"/>
      <c r="H868" s="62"/>
      <c r="I868" s="62"/>
      <c r="J868" s="62"/>
      <c r="K868" s="62"/>
      <c r="L868" s="62"/>
      <c r="M868" s="62"/>
      <c r="N868" s="186"/>
      <c r="O868" s="152"/>
      <c r="P868" s="90"/>
      <c r="Q868" s="140"/>
      <c r="R868" s="90"/>
      <c r="S868" s="140"/>
      <c r="T868" s="90"/>
      <c r="U868" s="140"/>
      <c r="V868" s="90"/>
      <c r="W868" s="140"/>
      <c r="X868" s="90"/>
      <c r="Y868" s="140"/>
      <c r="Z868" s="90"/>
      <c r="AA868" s="140"/>
      <c r="AB868" s="90"/>
      <c r="AC868" s="140"/>
      <c r="AD868" s="90"/>
      <c r="AE868" s="140"/>
      <c r="AF868" s="137" t="str">
        <f t="shared" si="43"/>
        <v/>
      </c>
      <c r="AG868" s="179" t="b">
        <f t="shared" si="42"/>
        <v>0</v>
      </c>
      <c r="AH868" s="140"/>
      <c r="AI868" s="147" t="s">
        <v>36</v>
      </c>
      <c r="AJ868" s="145">
        <f t="shared" si="44"/>
        <v>0</v>
      </c>
      <c r="AK868" s="148" t="s">
        <v>75</v>
      </c>
    </row>
    <row r="869" spans="1:37" ht="30" customHeight="1">
      <c r="A869" s="62"/>
      <c r="B869" s="62"/>
      <c r="C869" s="62"/>
      <c r="D869" s="62"/>
      <c r="E869" s="62"/>
      <c r="F869" s="62"/>
      <c r="G869" s="62"/>
      <c r="H869" s="62"/>
      <c r="I869" s="62"/>
      <c r="J869" s="62"/>
      <c r="K869" s="62"/>
      <c r="L869" s="62"/>
      <c r="M869" s="62"/>
      <c r="N869" s="186"/>
      <c r="O869" s="152"/>
      <c r="P869" s="90"/>
      <c r="Q869" s="140"/>
      <c r="R869" s="90"/>
      <c r="S869" s="140"/>
      <c r="T869" s="90"/>
      <c r="U869" s="140"/>
      <c r="V869" s="90"/>
      <c r="W869" s="140"/>
      <c r="X869" s="90"/>
      <c r="Y869" s="140"/>
      <c r="Z869" s="90"/>
      <c r="AA869" s="140"/>
      <c r="AB869" s="90"/>
      <c r="AC869" s="140"/>
      <c r="AD869" s="90"/>
      <c r="AE869" s="140"/>
      <c r="AF869" s="137" t="str">
        <f t="shared" si="43"/>
        <v/>
      </c>
      <c r="AG869" s="179" t="b">
        <f t="shared" si="42"/>
        <v>0</v>
      </c>
      <c r="AH869" s="140"/>
      <c r="AI869" s="147" t="s">
        <v>36</v>
      </c>
      <c r="AJ869" s="145">
        <f t="shared" si="44"/>
        <v>0</v>
      </c>
      <c r="AK869" s="148" t="s">
        <v>75</v>
      </c>
    </row>
    <row r="870" spans="1:37" ht="30" customHeight="1">
      <c r="A870" s="62"/>
      <c r="B870" s="62"/>
      <c r="C870" s="62"/>
      <c r="D870" s="62"/>
      <c r="E870" s="62"/>
      <c r="F870" s="62"/>
      <c r="G870" s="62"/>
      <c r="H870" s="62"/>
      <c r="I870" s="62"/>
      <c r="J870" s="62"/>
      <c r="K870" s="62"/>
      <c r="L870" s="62"/>
      <c r="M870" s="62"/>
      <c r="N870" s="186"/>
      <c r="O870" s="152"/>
      <c r="P870" s="90"/>
      <c r="Q870" s="140"/>
      <c r="R870" s="90"/>
      <c r="S870" s="140"/>
      <c r="T870" s="90"/>
      <c r="U870" s="140"/>
      <c r="V870" s="90"/>
      <c r="W870" s="140"/>
      <c r="X870" s="90"/>
      <c r="Y870" s="140"/>
      <c r="Z870" s="90"/>
      <c r="AA870" s="140"/>
      <c r="AB870" s="90"/>
      <c r="AC870" s="140"/>
      <c r="AD870" s="90"/>
      <c r="AE870" s="140"/>
      <c r="AF870" s="137" t="str">
        <f t="shared" si="43"/>
        <v/>
      </c>
      <c r="AG870" s="179" t="b">
        <f t="shared" si="42"/>
        <v>0</v>
      </c>
      <c r="AH870" s="140"/>
      <c r="AI870" s="147" t="s">
        <v>36</v>
      </c>
      <c r="AJ870" s="145">
        <f t="shared" si="44"/>
        <v>0</v>
      </c>
      <c r="AK870" s="148" t="s">
        <v>75</v>
      </c>
    </row>
    <row r="871" spans="1:37" ht="30" customHeight="1">
      <c r="A871" s="62"/>
      <c r="B871" s="62"/>
      <c r="C871" s="62"/>
      <c r="D871" s="62"/>
      <c r="E871" s="62"/>
      <c r="F871" s="62"/>
      <c r="G871" s="62"/>
      <c r="H871" s="62"/>
      <c r="I871" s="62"/>
      <c r="J871" s="62"/>
      <c r="K871" s="62"/>
      <c r="L871" s="62"/>
      <c r="M871" s="62"/>
      <c r="N871" s="186"/>
      <c r="O871" s="152"/>
      <c r="P871" s="90"/>
      <c r="Q871" s="140"/>
      <c r="R871" s="90"/>
      <c r="S871" s="140"/>
      <c r="T871" s="90"/>
      <c r="U871" s="140"/>
      <c r="V871" s="90"/>
      <c r="W871" s="140"/>
      <c r="X871" s="90"/>
      <c r="Y871" s="140"/>
      <c r="Z871" s="90"/>
      <c r="AA871" s="140"/>
      <c r="AB871" s="90"/>
      <c r="AC871" s="140"/>
      <c r="AD871" s="90"/>
      <c r="AE871" s="140"/>
      <c r="AF871" s="137" t="str">
        <f t="shared" si="43"/>
        <v/>
      </c>
      <c r="AG871" s="179" t="b">
        <f t="shared" si="42"/>
        <v>0</v>
      </c>
      <c r="AH871" s="140"/>
      <c r="AI871" s="147" t="s">
        <v>36</v>
      </c>
      <c r="AJ871" s="145">
        <f t="shared" si="44"/>
        <v>0</v>
      </c>
      <c r="AK871" s="148" t="s">
        <v>75</v>
      </c>
    </row>
    <row r="872" spans="1:37" ht="30" customHeight="1">
      <c r="A872" s="62"/>
      <c r="B872" s="62"/>
      <c r="C872" s="62"/>
      <c r="D872" s="62"/>
      <c r="E872" s="62"/>
      <c r="F872" s="62"/>
      <c r="G872" s="62"/>
      <c r="H872" s="62"/>
      <c r="I872" s="62"/>
      <c r="J872" s="62"/>
      <c r="K872" s="62"/>
      <c r="L872" s="62"/>
      <c r="M872" s="62"/>
      <c r="N872" s="186"/>
      <c r="O872" s="152"/>
      <c r="P872" s="90"/>
      <c r="Q872" s="140"/>
      <c r="R872" s="90"/>
      <c r="S872" s="140"/>
      <c r="T872" s="90"/>
      <c r="U872" s="140"/>
      <c r="V872" s="90"/>
      <c r="W872" s="140"/>
      <c r="X872" s="90"/>
      <c r="Y872" s="140"/>
      <c r="Z872" s="90"/>
      <c r="AA872" s="140"/>
      <c r="AB872" s="90"/>
      <c r="AC872" s="140"/>
      <c r="AD872" s="90"/>
      <c r="AE872" s="140"/>
      <c r="AF872" s="137" t="str">
        <f t="shared" si="43"/>
        <v/>
      </c>
      <c r="AG872" s="179" t="b">
        <f t="shared" si="42"/>
        <v>0</v>
      </c>
      <c r="AH872" s="140"/>
      <c r="AI872" s="147" t="s">
        <v>36</v>
      </c>
      <c r="AJ872" s="145">
        <f t="shared" si="44"/>
        <v>0</v>
      </c>
      <c r="AK872" s="148" t="s">
        <v>75</v>
      </c>
    </row>
    <row r="873" spans="1:37" ht="30" customHeight="1">
      <c r="A873" s="62"/>
      <c r="B873" s="62"/>
      <c r="C873" s="62"/>
      <c r="D873" s="62"/>
      <c r="E873" s="62"/>
      <c r="F873" s="62"/>
      <c r="G873" s="62"/>
      <c r="H873" s="62"/>
      <c r="I873" s="62"/>
      <c r="J873" s="62"/>
      <c r="K873" s="62"/>
      <c r="L873" s="62"/>
      <c r="M873" s="62"/>
      <c r="N873" s="186"/>
      <c r="O873" s="152"/>
      <c r="P873" s="90"/>
      <c r="Q873" s="140"/>
      <c r="R873" s="90"/>
      <c r="S873" s="140"/>
      <c r="T873" s="90"/>
      <c r="U873" s="140"/>
      <c r="V873" s="90"/>
      <c r="W873" s="140"/>
      <c r="X873" s="90"/>
      <c r="Y873" s="140"/>
      <c r="Z873" s="90"/>
      <c r="AA873" s="140"/>
      <c r="AB873" s="90"/>
      <c r="AC873" s="140"/>
      <c r="AD873" s="90"/>
      <c r="AE873" s="140"/>
      <c r="AF873" s="137" t="str">
        <f t="shared" si="43"/>
        <v/>
      </c>
      <c r="AG873" s="179" t="b">
        <f t="shared" si="42"/>
        <v>0</v>
      </c>
      <c r="AH873" s="140"/>
      <c r="AI873" s="147" t="s">
        <v>36</v>
      </c>
      <c r="AJ873" s="145">
        <f t="shared" si="44"/>
        <v>0</v>
      </c>
      <c r="AK873" s="148" t="s">
        <v>75</v>
      </c>
    </row>
    <row r="874" spans="1:37" ht="30" customHeight="1">
      <c r="A874" s="62"/>
      <c r="B874" s="62"/>
      <c r="C874" s="62"/>
      <c r="D874" s="62"/>
      <c r="E874" s="62"/>
      <c r="F874" s="62"/>
      <c r="G874" s="62"/>
      <c r="H874" s="62"/>
      <c r="I874" s="62"/>
      <c r="J874" s="62"/>
      <c r="K874" s="62"/>
      <c r="L874" s="62"/>
      <c r="M874" s="62"/>
      <c r="N874" s="186"/>
      <c r="O874" s="152"/>
      <c r="P874" s="90"/>
      <c r="Q874" s="140"/>
      <c r="R874" s="90"/>
      <c r="S874" s="140"/>
      <c r="T874" s="90"/>
      <c r="U874" s="140"/>
      <c r="V874" s="90"/>
      <c r="W874" s="140"/>
      <c r="X874" s="90"/>
      <c r="Y874" s="140"/>
      <c r="Z874" s="90"/>
      <c r="AA874" s="140"/>
      <c r="AB874" s="90"/>
      <c r="AC874" s="140"/>
      <c r="AD874" s="90"/>
      <c r="AE874" s="140"/>
      <c r="AF874" s="137" t="str">
        <f t="shared" si="43"/>
        <v/>
      </c>
      <c r="AG874" s="179" t="b">
        <f t="shared" si="42"/>
        <v>0</v>
      </c>
      <c r="AH874" s="140"/>
      <c r="AI874" s="147" t="s">
        <v>36</v>
      </c>
      <c r="AJ874" s="145">
        <f t="shared" si="44"/>
        <v>0</v>
      </c>
      <c r="AK874" s="148" t="s">
        <v>75</v>
      </c>
    </row>
    <row r="875" spans="1:37" ht="30" customHeight="1">
      <c r="A875" s="62"/>
      <c r="B875" s="62"/>
      <c r="C875" s="62"/>
      <c r="D875" s="62"/>
      <c r="E875" s="62"/>
      <c r="F875" s="62"/>
      <c r="G875" s="62"/>
      <c r="H875" s="62"/>
      <c r="I875" s="62"/>
      <c r="J875" s="62"/>
      <c r="K875" s="62"/>
      <c r="L875" s="62"/>
      <c r="M875" s="62"/>
      <c r="N875" s="186"/>
      <c r="O875" s="152"/>
      <c r="P875" s="90"/>
      <c r="Q875" s="140"/>
      <c r="R875" s="90"/>
      <c r="S875" s="140"/>
      <c r="T875" s="90"/>
      <c r="U875" s="140"/>
      <c r="V875" s="90"/>
      <c r="W875" s="140"/>
      <c r="X875" s="90"/>
      <c r="Y875" s="140"/>
      <c r="Z875" s="90"/>
      <c r="AA875" s="140"/>
      <c r="AB875" s="90"/>
      <c r="AC875" s="140"/>
      <c r="AD875" s="90"/>
      <c r="AE875" s="140"/>
      <c r="AF875" s="137" t="str">
        <f t="shared" si="43"/>
        <v/>
      </c>
      <c r="AG875" s="179" t="b">
        <f t="shared" si="42"/>
        <v>0</v>
      </c>
      <c r="AH875" s="140"/>
      <c r="AI875" s="147" t="s">
        <v>36</v>
      </c>
      <c r="AJ875" s="145">
        <f t="shared" si="44"/>
        <v>0</v>
      </c>
      <c r="AK875" s="148" t="s">
        <v>75</v>
      </c>
    </row>
    <row r="876" spans="1:37" ht="30" customHeight="1">
      <c r="A876" s="62"/>
      <c r="B876" s="62"/>
      <c r="C876" s="62"/>
      <c r="D876" s="62"/>
      <c r="E876" s="62"/>
      <c r="F876" s="62"/>
      <c r="G876" s="62"/>
      <c r="H876" s="62"/>
      <c r="I876" s="62"/>
      <c r="J876" s="62"/>
      <c r="K876" s="62"/>
      <c r="L876" s="62"/>
      <c r="M876" s="62"/>
      <c r="N876" s="186"/>
      <c r="O876" s="152"/>
      <c r="P876" s="90"/>
      <c r="Q876" s="140"/>
      <c r="R876" s="90"/>
      <c r="S876" s="140"/>
      <c r="T876" s="90"/>
      <c r="U876" s="140"/>
      <c r="V876" s="90"/>
      <c r="W876" s="140"/>
      <c r="X876" s="90"/>
      <c r="Y876" s="140"/>
      <c r="Z876" s="90"/>
      <c r="AA876" s="140"/>
      <c r="AB876" s="90"/>
      <c r="AC876" s="140"/>
      <c r="AD876" s="90"/>
      <c r="AE876" s="140"/>
      <c r="AF876" s="137" t="str">
        <f t="shared" si="43"/>
        <v/>
      </c>
      <c r="AG876" s="179" t="b">
        <f t="shared" si="42"/>
        <v>0</v>
      </c>
      <c r="AH876" s="140"/>
      <c r="AI876" s="147" t="s">
        <v>36</v>
      </c>
      <c r="AJ876" s="145">
        <f t="shared" si="44"/>
        <v>0</v>
      </c>
      <c r="AK876" s="148" t="s">
        <v>75</v>
      </c>
    </row>
    <row r="877" spans="1:37" ht="30" customHeight="1">
      <c r="A877" s="62"/>
      <c r="B877" s="62"/>
      <c r="C877" s="62"/>
      <c r="D877" s="62"/>
      <c r="E877" s="62"/>
      <c r="F877" s="62"/>
      <c r="G877" s="62"/>
      <c r="H877" s="62"/>
      <c r="I877" s="62"/>
      <c r="J877" s="62"/>
      <c r="K877" s="62"/>
      <c r="L877" s="62"/>
      <c r="M877" s="62"/>
      <c r="N877" s="186"/>
      <c r="O877" s="152"/>
      <c r="P877" s="90"/>
      <c r="Q877" s="140"/>
      <c r="R877" s="90"/>
      <c r="S877" s="140"/>
      <c r="T877" s="90"/>
      <c r="U877" s="140"/>
      <c r="V877" s="90"/>
      <c r="W877" s="140"/>
      <c r="X877" s="90"/>
      <c r="Y877" s="140"/>
      <c r="Z877" s="90"/>
      <c r="AA877" s="140"/>
      <c r="AB877" s="90"/>
      <c r="AC877" s="140"/>
      <c r="AD877" s="90"/>
      <c r="AE877" s="140"/>
      <c r="AF877" s="137" t="str">
        <f t="shared" si="43"/>
        <v/>
      </c>
      <c r="AG877" s="179" t="b">
        <f t="shared" si="42"/>
        <v>0</v>
      </c>
      <c r="AH877" s="140"/>
      <c r="AI877" s="147" t="s">
        <v>36</v>
      </c>
      <c r="AJ877" s="145">
        <f t="shared" si="44"/>
        <v>0</v>
      </c>
      <c r="AK877" s="148" t="s">
        <v>75</v>
      </c>
    </row>
    <row r="878" spans="1:37" ht="30" customHeight="1">
      <c r="A878" s="62"/>
      <c r="B878" s="62"/>
      <c r="C878" s="62"/>
      <c r="D878" s="62"/>
      <c r="E878" s="62"/>
      <c r="F878" s="62"/>
      <c r="G878" s="62"/>
      <c r="H878" s="62"/>
      <c r="I878" s="62"/>
      <c r="J878" s="62"/>
      <c r="K878" s="62"/>
      <c r="L878" s="62"/>
      <c r="M878" s="62"/>
      <c r="N878" s="186"/>
      <c r="O878" s="152"/>
      <c r="P878" s="90"/>
      <c r="Q878" s="140"/>
      <c r="R878" s="90"/>
      <c r="S878" s="140"/>
      <c r="T878" s="90"/>
      <c r="U878" s="140"/>
      <c r="V878" s="90"/>
      <c r="W878" s="140"/>
      <c r="X878" s="90"/>
      <c r="Y878" s="140"/>
      <c r="Z878" s="90"/>
      <c r="AA878" s="140"/>
      <c r="AB878" s="90"/>
      <c r="AC878" s="140"/>
      <c r="AD878" s="90"/>
      <c r="AE878" s="140"/>
      <c r="AF878" s="137" t="str">
        <f t="shared" si="43"/>
        <v/>
      </c>
      <c r="AG878" s="179" t="b">
        <f t="shared" si="42"/>
        <v>0</v>
      </c>
      <c r="AH878" s="140"/>
      <c r="AI878" s="147" t="s">
        <v>36</v>
      </c>
      <c r="AJ878" s="145">
        <f t="shared" si="44"/>
        <v>0</v>
      </c>
      <c r="AK878" s="148" t="s">
        <v>75</v>
      </c>
    </row>
    <row r="879" spans="1:37" ht="30" customHeight="1">
      <c r="A879" s="62"/>
      <c r="B879" s="62"/>
      <c r="C879" s="62"/>
      <c r="D879" s="62"/>
      <c r="E879" s="62"/>
      <c r="F879" s="62"/>
      <c r="G879" s="62"/>
      <c r="H879" s="62"/>
      <c r="I879" s="62"/>
      <c r="J879" s="62"/>
      <c r="K879" s="62"/>
      <c r="L879" s="62"/>
      <c r="M879" s="62"/>
      <c r="N879" s="186"/>
      <c r="O879" s="152"/>
      <c r="P879" s="90"/>
      <c r="Q879" s="140"/>
      <c r="R879" s="90"/>
      <c r="S879" s="140"/>
      <c r="T879" s="90"/>
      <c r="U879" s="140"/>
      <c r="V879" s="90"/>
      <c r="W879" s="140"/>
      <c r="X879" s="90"/>
      <c r="Y879" s="140"/>
      <c r="Z879" s="90"/>
      <c r="AA879" s="140"/>
      <c r="AB879" s="90"/>
      <c r="AC879" s="140"/>
      <c r="AD879" s="90"/>
      <c r="AE879" s="140"/>
      <c r="AF879" s="137" t="str">
        <f t="shared" si="43"/>
        <v/>
      </c>
      <c r="AG879" s="179" t="b">
        <f t="shared" si="42"/>
        <v>0</v>
      </c>
      <c r="AH879" s="140"/>
      <c r="AI879" s="147" t="s">
        <v>36</v>
      </c>
      <c r="AJ879" s="145">
        <f t="shared" si="44"/>
        <v>0</v>
      </c>
      <c r="AK879" s="148" t="s">
        <v>75</v>
      </c>
    </row>
    <row r="880" spans="1:37" ht="30" customHeight="1">
      <c r="A880" s="62"/>
      <c r="B880" s="62"/>
      <c r="C880" s="62"/>
      <c r="D880" s="62"/>
      <c r="E880" s="62"/>
      <c r="F880" s="62"/>
      <c r="G880" s="62"/>
      <c r="H880" s="62"/>
      <c r="I880" s="62"/>
      <c r="J880" s="62"/>
      <c r="K880" s="62"/>
      <c r="L880" s="62"/>
      <c r="M880" s="62"/>
      <c r="N880" s="186"/>
      <c r="O880" s="152"/>
      <c r="P880" s="90"/>
      <c r="Q880" s="140"/>
      <c r="R880" s="90"/>
      <c r="S880" s="140"/>
      <c r="T880" s="90"/>
      <c r="U880" s="140"/>
      <c r="V880" s="90"/>
      <c r="W880" s="140"/>
      <c r="X880" s="90"/>
      <c r="Y880" s="140"/>
      <c r="Z880" s="90"/>
      <c r="AA880" s="140"/>
      <c r="AB880" s="90"/>
      <c r="AC880" s="140"/>
      <c r="AD880" s="90"/>
      <c r="AE880" s="140"/>
      <c r="AF880" s="137" t="str">
        <f t="shared" si="43"/>
        <v/>
      </c>
      <c r="AG880" s="179" t="b">
        <f t="shared" si="42"/>
        <v>0</v>
      </c>
      <c r="AH880" s="140"/>
      <c r="AI880" s="147" t="s">
        <v>36</v>
      </c>
      <c r="AJ880" s="145">
        <f t="shared" si="44"/>
        <v>0</v>
      </c>
      <c r="AK880" s="148" t="s">
        <v>75</v>
      </c>
    </row>
    <row r="881" spans="1:37" ht="30" customHeight="1">
      <c r="A881" s="62"/>
      <c r="B881" s="62"/>
      <c r="C881" s="62"/>
      <c r="D881" s="62"/>
      <c r="E881" s="62"/>
      <c r="F881" s="62"/>
      <c r="G881" s="62"/>
      <c r="H881" s="62"/>
      <c r="I881" s="62"/>
      <c r="J881" s="62"/>
      <c r="K881" s="62"/>
      <c r="L881" s="62"/>
      <c r="M881" s="62"/>
      <c r="N881" s="186"/>
      <c r="O881" s="152"/>
      <c r="P881" s="90"/>
      <c r="Q881" s="140"/>
      <c r="R881" s="90"/>
      <c r="S881" s="140"/>
      <c r="T881" s="90"/>
      <c r="U881" s="140"/>
      <c r="V881" s="90"/>
      <c r="W881" s="140"/>
      <c r="X881" s="90"/>
      <c r="Y881" s="140"/>
      <c r="Z881" s="90"/>
      <c r="AA881" s="140"/>
      <c r="AB881" s="90"/>
      <c r="AC881" s="140"/>
      <c r="AD881" s="90"/>
      <c r="AE881" s="140"/>
      <c r="AF881" s="137" t="str">
        <f t="shared" si="43"/>
        <v/>
      </c>
      <c r="AG881" s="179" t="b">
        <f t="shared" si="42"/>
        <v>0</v>
      </c>
      <c r="AH881" s="140"/>
      <c r="AI881" s="147" t="s">
        <v>36</v>
      </c>
      <c r="AJ881" s="145">
        <f t="shared" si="44"/>
        <v>0</v>
      </c>
      <c r="AK881" s="148" t="s">
        <v>75</v>
      </c>
    </row>
    <row r="882" spans="1:37" ht="30" customHeight="1">
      <c r="A882" s="62"/>
      <c r="B882" s="62"/>
      <c r="C882" s="62"/>
      <c r="D882" s="62"/>
      <c r="E882" s="62"/>
      <c r="F882" s="62"/>
      <c r="G882" s="62"/>
      <c r="H882" s="62"/>
      <c r="I882" s="62"/>
      <c r="J882" s="62"/>
      <c r="K882" s="62"/>
      <c r="L882" s="62"/>
      <c r="M882" s="62"/>
      <c r="N882" s="186"/>
      <c r="O882" s="152"/>
      <c r="P882" s="90"/>
      <c r="Q882" s="140"/>
      <c r="R882" s="90"/>
      <c r="S882" s="140"/>
      <c r="T882" s="90"/>
      <c r="U882" s="140"/>
      <c r="V882" s="90"/>
      <c r="W882" s="140"/>
      <c r="X882" s="90"/>
      <c r="Y882" s="140"/>
      <c r="Z882" s="90"/>
      <c r="AA882" s="140"/>
      <c r="AB882" s="90"/>
      <c r="AC882" s="140"/>
      <c r="AD882" s="90"/>
      <c r="AE882" s="140"/>
      <c r="AF882" s="137" t="str">
        <f t="shared" si="43"/>
        <v/>
      </c>
      <c r="AG882" s="179" t="b">
        <f t="shared" si="42"/>
        <v>0</v>
      </c>
      <c r="AH882" s="140"/>
      <c r="AI882" s="147" t="s">
        <v>36</v>
      </c>
      <c r="AJ882" s="145">
        <f t="shared" si="44"/>
        <v>0</v>
      </c>
      <c r="AK882" s="148" t="s">
        <v>75</v>
      </c>
    </row>
    <row r="883" spans="1:37" ht="30" customHeight="1">
      <c r="A883" s="62"/>
      <c r="B883" s="62"/>
      <c r="C883" s="62"/>
      <c r="D883" s="62"/>
      <c r="E883" s="62"/>
      <c r="F883" s="62"/>
      <c r="G883" s="62"/>
      <c r="H883" s="62"/>
      <c r="I883" s="62"/>
      <c r="J883" s="62"/>
      <c r="K883" s="62"/>
      <c r="L883" s="62"/>
      <c r="M883" s="62"/>
      <c r="N883" s="186"/>
      <c r="O883" s="152"/>
      <c r="P883" s="90"/>
      <c r="Q883" s="140"/>
      <c r="R883" s="90"/>
      <c r="S883" s="140"/>
      <c r="T883" s="90"/>
      <c r="U883" s="140"/>
      <c r="V883" s="90"/>
      <c r="W883" s="140"/>
      <c r="X883" s="90"/>
      <c r="Y883" s="140"/>
      <c r="Z883" s="90"/>
      <c r="AA883" s="140"/>
      <c r="AB883" s="90"/>
      <c r="AC883" s="140"/>
      <c r="AD883" s="90"/>
      <c r="AE883" s="140"/>
      <c r="AF883" s="137" t="str">
        <f t="shared" si="43"/>
        <v/>
      </c>
      <c r="AG883" s="179" t="b">
        <f t="shared" si="42"/>
        <v>0</v>
      </c>
      <c r="AH883" s="140"/>
      <c r="AI883" s="147" t="s">
        <v>36</v>
      </c>
      <c r="AJ883" s="145">
        <f t="shared" si="44"/>
        <v>0</v>
      </c>
      <c r="AK883" s="148" t="s">
        <v>75</v>
      </c>
    </row>
    <row r="884" spans="1:37" ht="30" customHeight="1">
      <c r="A884" s="62"/>
      <c r="B884" s="62"/>
      <c r="C884" s="62"/>
      <c r="D884" s="62"/>
      <c r="E884" s="62"/>
      <c r="F884" s="62"/>
      <c r="G884" s="62"/>
      <c r="H884" s="62"/>
      <c r="I884" s="62"/>
      <c r="J884" s="62"/>
      <c r="K884" s="62"/>
      <c r="L884" s="62"/>
      <c r="M884" s="62"/>
      <c r="N884" s="186"/>
      <c r="O884" s="152"/>
      <c r="P884" s="90"/>
      <c r="Q884" s="140"/>
      <c r="R884" s="90"/>
      <c r="S884" s="140"/>
      <c r="T884" s="90"/>
      <c r="U884" s="140"/>
      <c r="V884" s="90"/>
      <c r="W884" s="140"/>
      <c r="X884" s="90"/>
      <c r="Y884" s="140"/>
      <c r="Z884" s="90"/>
      <c r="AA884" s="140"/>
      <c r="AB884" s="90"/>
      <c r="AC884" s="140"/>
      <c r="AD884" s="90"/>
      <c r="AE884" s="140"/>
      <c r="AF884" s="137" t="str">
        <f t="shared" si="43"/>
        <v/>
      </c>
      <c r="AG884" s="179" t="b">
        <f t="shared" si="42"/>
        <v>0</v>
      </c>
      <c r="AH884" s="140"/>
      <c r="AI884" s="147" t="s">
        <v>36</v>
      </c>
      <c r="AJ884" s="145">
        <f t="shared" si="44"/>
        <v>0</v>
      </c>
      <c r="AK884" s="148" t="s">
        <v>75</v>
      </c>
    </row>
    <row r="885" spans="1:37" ht="30" customHeight="1">
      <c r="A885" s="62"/>
      <c r="B885" s="62"/>
      <c r="C885" s="62"/>
      <c r="D885" s="62"/>
      <c r="E885" s="62"/>
      <c r="F885" s="62"/>
      <c r="G885" s="62"/>
      <c r="H885" s="62"/>
      <c r="I885" s="62"/>
      <c r="J885" s="62"/>
      <c r="K885" s="62"/>
      <c r="L885" s="62"/>
      <c r="M885" s="62"/>
      <c r="N885" s="186"/>
      <c r="O885" s="152"/>
      <c r="P885" s="90"/>
      <c r="Q885" s="140"/>
      <c r="R885" s="90"/>
      <c r="S885" s="140"/>
      <c r="T885" s="90"/>
      <c r="U885" s="140"/>
      <c r="V885" s="90"/>
      <c r="W885" s="140"/>
      <c r="X885" s="90"/>
      <c r="Y885" s="140"/>
      <c r="Z885" s="90"/>
      <c r="AA885" s="140"/>
      <c r="AB885" s="90"/>
      <c r="AC885" s="140"/>
      <c r="AD885" s="90"/>
      <c r="AE885" s="140"/>
      <c r="AF885" s="137" t="str">
        <f t="shared" si="43"/>
        <v/>
      </c>
      <c r="AG885" s="179" t="b">
        <f t="shared" si="42"/>
        <v>0</v>
      </c>
      <c r="AH885" s="140"/>
      <c r="AI885" s="147" t="s">
        <v>36</v>
      </c>
      <c r="AJ885" s="145">
        <f t="shared" si="44"/>
        <v>0</v>
      </c>
      <c r="AK885" s="148" t="s">
        <v>75</v>
      </c>
    </row>
    <row r="886" spans="1:37" ht="30" customHeight="1">
      <c r="A886" s="62"/>
      <c r="B886" s="62"/>
      <c r="C886" s="62"/>
      <c r="D886" s="62"/>
      <c r="E886" s="62"/>
      <c r="F886" s="62"/>
      <c r="G886" s="62"/>
      <c r="H886" s="62"/>
      <c r="I886" s="62"/>
      <c r="J886" s="62"/>
      <c r="K886" s="62"/>
      <c r="L886" s="62"/>
      <c r="M886" s="62"/>
      <c r="N886" s="186"/>
      <c r="O886" s="152"/>
      <c r="P886" s="90"/>
      <c r="Q886" s="140"/>
      <c r="R886" s="90"/>
      <c r="S886" s="140"/>
      <c r="T886" s="90"/>
      <c r="U886" s="140"/>
      <c r="V886" s="90"/>
      <c r="W886" s="140"/>
      <c r="X886" s="90"/>
      <c r="Y886" s="140"/>
      <c r="Z886" s="90"/>
      <c r="AA886" s="140"/>
      <c r="AB886" s="90"/>
      <c r="AC886" s="140"/>
      <c r="AD886" s="90"/>
      <c r="AE886" s="140"/>
      <c r="AF886" s="137" t="str">
        <f t="shared" si="43"/>
        <v/>
      </c>
      <c r="AG886" s="179" t="b">
        <f t="shared" si="42"/>
        <v>0</v>
      </c>
      <c r="AH886" s="140"/>
      <c r="AI886" s="147" t="s">
        <v>36</v>
      </c>
      <c r="AJ886" s="145">
        <f t="shared" si="44"/>
        <v>0</v>
      </c>
      <c r="AK886" s="148" t="s">
        <v>75</v>
      </c>
    </row>
    <row r="887" spans="1:37" ht="30" customHeight="1">
      <c r="A887" s="62"/>
      <c r="B887" s="62"/>
      <c r="C887" s="62"/>
      <c r="D887" s="62"/>
      <c r="E887" s="62"/>
      <c r="F887" s="62"/>
      <c r="G887" s="62"/>
      <c r="H887" s="62"/>
      <c r="I887" s="62"/>
      <c r="J887" s="62"/>
      <c r="K887" s="62"/>
      <c r="L887" s="62"/>
      <c r="M887" s="62"/>
      <c r="N887" s="186"/>
      <c r="O887" s="152"/>
      <c r="P887" s="90"/>
      <c r="Q887" s="140"/>
      <c r="R887" s="90"/>
      <c r="S887" s="140"/>
      <c r="T887" s="90"/>
      <c r="U887" s="140"/>
      <c r="V887" s="90"/>
      <c r="W887" s="140"/>
      <c r="X887" s="90"/>
      <c r="Y887" s="140"/>
      <c r="Z887" s="90"/>
      <c r="AA887" s="140"/>
      <c r="AB887" s="90"/>
      <c r="AC887" s="140"/>
      <c r="AD887" s="90"/>
      <c r="AE887" s="140"/>
      <c r="AF887" s="137" t="str">
        <f t="shared" si="43"/>
        <v/>
      </c>
      <c r="AG887" s="179" t="b">
        <f t="shared" si="42"/>
        <v>0</v>
      </c>
      <c r="AH887" s="140"/>
      <c r="AI887" s="147" t="s">
        <v>36</v>
      </c>
      <c r="AJ887" s="145">
        <f t="shared" si="44"/>
        <v>0</v>
      </c>
      <c r="AK887" s="148" t="s">
        <v>75</v>
      </c>
    </row>
    <row r="888" spans="1:37" ht="30" customHeight="1">
      <c r="A888" s="62"/>
      <c r="B888" s="62"/>
      <c r="C888" s="62"/>
      <c r="D888" s="62"/>
      <c r="E888" s="62"/>
      <c r="F888" s="62"/>
      <c r="G888" s="62"/>
      <c r="H888" s="62"/>
      <c r="I888" s="62"/>
      <c r="J888" s="62"/>
      <c r="K888" s="62"/>
      <c r="L888" s="62"/>
      <c r="M888" s="62"/>
      <c r="N888" s="186"/>
      <c r="O888" s="152"/>
      <c r="P888" s="90"/>
      <c r="Q888" s="140"/>
      <c r="R888" s="90"/>
      <c r="S888" s="140"/>
      <c r="T888" s="90"/>
      <c r="U888" s="140"/>
      <c r="V888" s="90"/>
      <c r="W888" s="140"/>
      <c r="X888" s="90"/>
      <c r="Y888" s="140"/>
      <c r="Z888" s="90"/>
      <c r="AA888" s="140"/>
      <c r="AB888" s="90"/>
      <c r="AC888" s="140"/>
      <c r="AD888" s="90"/>
      <c r="AE888" s="140"/>
      <c r="AF888" s="137" t="str">
        <f t="shared" si="43"/>
        <v/>
      </c>
      <c r="AG888" s="179" t="b">
        <f t="shared" si="42"/>
        <v>0</v>
      </c>
      <c r="AH888" s="140"/>
      <c r="AI888" s="147" t="s">
        <v>36</v>
      </c>
      <c r="AJ888" s="145">
        <f t="shared" si="44"/>
        <v>0</v>
      </c>
      <c r="AK888" s="148" t="s">
        <v>75</v>
      </c>
    </row>
    <row r="889" spans="1:37" ht="30" customHeight="1">
      <c r="A889" s="62"/>
      <c r="B889" s="62"/>
      <c r="C889" s="62"/>
      <c r="D889" s="62"/>
      <c r="E889" s="62"/>
      <c r="F889" s="62"/>
      <c r="G889" s="62"/>
      <c r="H889" s="62"/>
      <c r="I889" s="62"/>
      <c r="J889" s="62"/>
      <c r="K889" s="62"/>
      <c r="L889" s="62"/>
      <c r="M889" s="62"/>
      <c r="N889" s="186"/>
      <c r="O889" s="152"/>
      <c r="P889" s="90"/>
      <c r="Q889" s="140"/>
      <c r="R889" s="90"/>
      <c r="S889" s="140"/>
      <c r="T889" s="90"/>
      <c r="U889" s="140"/>
      <c r="V889" s="90"/>
      <c r="W889" s="140"/>
      <c r="X889" s="90"/>
      <c r="Y889" s="140"/>
      <c r="Z889" s="90"/>
      <c r="AA889" s="140"/>
      <c r="AB889" s="90"/>
      <c r="AC889" s="140"/>
      <c r="AD889" s="90"/>
      <c r="AE889" s="140"/>
      <c r="AF889" s="137" t="str">
        <f t="shared" si="43"/>
        <v/>
      </c>
      <c r="AG889" s="179" t="b">
        <f t="shared" si="42"/>
        <v>0</v>
      </c>
      <c r="AH889" s="140"/>
      <c r="AI889" s="147" t="s">
        <v>36</v>
      </c>
      <c r="AJ889" s="145">
        <f t="shared" si="44"/>
        <v>0</v>
      </c>
      <c r="AK889" s="148" t="s">
        <v>75</v>
      </c>
    </row>
    <row r="890" spans="1:37" ht="30" customHeight="1">
      <c r="A890" s="62"/>
      <c r="B890" s="62"/>
      <c r="C890" s="62"/>
      <c r="D890" s="62"/>
      <c r="E890" s="62"/>
      <c r="F890" s="62"/>
      <c r="G890" s="62"/>
      <c r="H890" s="62"/>
      <c r="I890" s="62"/>
      <c r="J890" s="62"/>
      <c r="K890" s="62"/>
      <c r="L890" s="62"/>
      <c r="M890" s="62"/>
      <c r="N890" s="186"/>
      <c r="O890" s="152"/>
      <c r="P890" s="90"/>
      <c r="Q890" s="140"/>
      <c r="R890" s="90"/>
      <c r="S890" s="140"/>
      <c r="T890" s="90"/>
      <c r="U890" s="140"/>
      <c r="V890" s="90"/>
      <c r="W890" s="140"/>
      <c r="X890" s="90"/>
      <c r="Y890" s="140"/>
      <c r="Z890" s="90"/>
      <c r="AA890" s="140"/>
      <c r="AB890" s="90"/>
      <c r="AC890" s="140"/>
      <c r="AD890" s="90"/>
      <c r="AE890" s="140"/>
      <c r="AF890" s="137" t="str">
        <f t="shared" si="43"/>
        <v/>
      </c>
      <c r="AG890" s="179" t="b">
        <f t="shared" si="42"/>
        <v>0</v>
      </c>
      <c r="AH890" s="140"/>
      <c r="AI890" s="147" t="s">
        <v>36</v>
      </c>
      <c r="AJ890" s="145">
        <f t="shared" si="44"/>
        <v>0</v>
      </c>
      <c r="AK890" s="148" t="s">
        <v>75</v>
      </c>
    </row>
    <row r="891" spans="1:37" ht="30" customHeight="1">
      <c r="A891" s="62"/>
      <c r="B891" s="62"/>
      <c r="C891" s="62"/>
      <c r="D891" s="62"/>
      <c r="E891" s="62"/>
      <c r="F891" s="62"/>
      <c r="G891" s="62"/>
      <c r="H891" s="62"/>
      <c r="I891" s="62"/>
      <c r="J891" s="62"/>
      <c r="K891" s="62"/>
      <c r="L891" s="62"/>
      <c r="M891" s="62"/>
      <c r="N891" s="186"/>
      <c r="O891" s="152"/>
      <c r="P891" s="90"/>
      <c r="Q891" s="140"/>
      <c r="R891" s="90"/>
      <c r="S891" s="140"/>
      <c r="T891" s="90"/>
      <c r="U891" s="140"/>
      <c r="V891" s="90"/>
      <c r="W891" s="140"/>
      <c r="X891" s="90"/>
      <c r="Y891" s="140"/>
      <c r="Z891" s="90"/>
      <c r="AA891" s="140"/>
      <c r="AB891" s="90"/>
      <c r="AC891" s="140"/>
      <c r="AD891" s="90"/>
      <c r="AE891" s="140"/>
      <c r="AF891" s="137" t="str">
        <f t="shared" si="43"/>
        <v/>
      </c>
      <c r="AG891" s="179" t="b">
        <f t="shared" si="42"/>
        <v>0</v>
      </c>
      <c r="AH891" s="140"/>
      <c r="AI891" s="147" t="s">
        <v>36</v>
      </c>
      <c r="AJ891" s="145">
        <f t="shared" si="44"/>
        <v>0</v>
      </c>
      <c r="AK891" s="148" t="s">
        <v>75</v>
      </c>
    </row>
    <row r="892" spans="1:37" ht="30" customHeight="1">
      <c r="A892" s="62"/>
      <c r="B892" s="62"/>
      <c r="C892" s="62"/>
      <c r="D892" s="62"/>
      <c r="E892" s="62"/>
      <c r="F892" s="62"/>
      <c r="G892" s="62"/>
      <c r="H892" s="62"/>
      <c r="I892" s="62"/>
      <c r="J892" s="62"/>
      <c r="K892" s="62"/>
      <c r="L892" s="62"/>
      <c r="M892" s="62"/>
      <c r="N892" s="186"/>
      <c r="O892" s="152"/>
      <c r="P892" s="90"/>
      <c r="Q892" s="140"/>
      <c r="R892" s="90"/>
      <c r="S892" s="140"/>
      <c r="T892" s="90"/>
      <c r="U892" s="140"/>
      <c r="V892" s="90"/>
      <c r="W892" s="140"/>
      <c r="X892" s="90"/>
      <c r="Y892" s="140"/>
      <c r="Z892" s="90"/>
      <c r="AA892" s="140"/>
      <c r="AB892" s="90"/>
      <c r="AC892" s="140"/>
      <c r="AD892" s="90"/>
      <c r="AE892" s="140"/>
      <c r="AF892" s="137" t="str">
        <f t="shared" si="43"/>
        <v/>
      </c>
      <c r="AG892" s="179" t="b">
        <f t="shared" si="42"/>
        <v>0</v>
      </c>
      <c r="AH892" s="140"/>
      <c r="AI892" s="147" t="s">
        <v>36</v>
      </c>
      <c r="AJ892" s="145">
        <f t="shared" si="44"/>
        <v>0</v>
      </c>
      <c r="AK892" s="148" t="s">
        <v>75</v>
      </c>
    </row>
    <row r="893" spans="1:37" ht="30" customHeight="1">
      <c r="A893" s="62"/>
      <c r="B893" s="62"/>
      <c r="C893" s="62"/>
      <c r="D893" s="62"/>
      <c r="E893" s="62"/>
      <c r="F893" s="62"/>
      <c r="G893" s="62"/>
      <c r="H893" s="62"/>
      <c r="I893" s="62"/>
      <c r="J893" s="62"/>
      <c r="K893" s="62"/>
      <c r="L893" s="62"/>
      <c r="M893" s="62"/>
      <c r="N893" s="186"/>
      <c r="O893" s="152"/>
      <c r="P893" s="90"/>
      <c r="Q893" s="140"/>
      <c r="R893" s="90"/>
      <c r="S893" s="140"/>
      <c r="T893" s="90"/>
      <c r="U893" s="140"/>
      <c r="V893" s="90"/>
      <c r="W893" s="140"/>
      <c r="X893" s="90"/>
      <c r="Y893" s="140"/>
      <c r="Z893" s="90"/>
      <c r="AA893" s="140"/>
      <c r="AB893" s="90"/>
      <c r="AC893" s="140"/>
      <c r="AD893" s="90"/>
      <c r="AE893" s="140"/>
      <c r="AF893" s="137" t="str">
        <f t="shared" si="43"/>
        <v/>
      </c>
      <c r="AG893" s="179" t="b">
        <f t="shared" si="42"/>
        <v>0</v>
      </c>
      <c r="AH893" s="140"/>
      <c r="AI893" s="147" t="s">
        <v>36</v>
      </c>
      <c r="AJ893" s="145">
        <f t="shared" si="44"/>
        <v>0</v>
      </c>
      <c r="AK893" s="148" t="s">
        <v>75</v>
      </c>
    </row>
    <row r="894" spans="1:37" ht="30" customHeight="1">
      <c r="A894" s="62"/>
      <c r="B894" s="62"/>
      <c r="C894" s="62"/>
      <c r="D894" s="62"/>
      <c r="E894" s="62"/>
      <c r="F894" s="62"/>
      <c r="G894" s="62"/>
      <c r="H894" s="62"/>
      <c r="I894" s="62"/>
      <c r="J894" s="62"/>
      <c r="K894" s="62"/>
      <c r="L894" s="62"/>
      <c r="M894" s="62"/>
      <c r="N894" s="186"/>
      <c r="O894" s="152"/>
      <c r="P894" s="90"/>
      <c r="Q894" s="140"/>
      <c r="R894" s="90"/>
      <c r="S894" s="140"/>
      <c r="T894" s="90"/>
      <c r="U894" s="140"/>
      <c r="V894" s="90"/>
      <c r="W894" s="140"/>
      <c r="X894" s="90"/>
      <c r="Y894" s="140"/>
      <c r="Z894" s="90"/>
      <c r="AA894" s="140"/>
      <c r="AB894" s="90"/>
      <c r="AC894" s="140"/>
      <c r="AD894" s="90"/>
      <c r="AE894" s="140"/>
      <c r="AF894" s="137" t="str">
        <f t="shared" si="43"/>
        <v/>
      </c>
      <c r="AG894" s="179" t="b">
        <f t="shared" si="42"/>
        <v>0</v>
      </c>
      <c r="AH894" s="140"/>
      <c r="AI894" s="147" t="s">
        <v>36</v>
      </c>
      <c r="AJ894" s="145">
        <f t="shared" si="44"/>
        <v>0</v>
      </c>
      <c r="AK894" s="148" t="s">
        <v>75</v>
      </c>
    </row>
    <row r="895" spans="1:37" ht="30" customHeight="1">
      <c r="A895" s="62"/>
      <c r="B895" s="62"/>
      <c r="C895" s="62"/>
      <c r="D895" s="62"/>
      <c r="E895" s="62"/>
      <c r="F895" s="62"/>
      <c r="G895" s="62"/>
      <c r="H895" s="62"/>
      <c r="I895" s="62"/>
      <c r="J895" s="62"/>
      <c r="K895" s="62"/>
      <c r="L895" s="62"/>
      <c r="M895" s="62"/>
      <c r="N895" s="186"/>
      <c r="O895" s="152"/>
      <c r="P895" s="90"/>
      <c r="Q895" s="140"/>
      <c r="R895" s="90"/>
      <c r="S895" s="140"/>
      <c r="T895" s="90"/>
      <c r="U895" s="140"/>
      <c r="V895" s="90"/>
      <c r="W895" s="140"/>
      <c r="X895" s="90"/>
      <c r="Y895" s="140"/>
      <c r="Z895" s="90"/>
      <c r="AA895" s="140"/>
      <c r="AB895" s="90"/>
      <c r="AC895" s="140"/>
      <c r="AD895" s="90"/>
      <c r="AE895" s="140"/>
      <c r="AF895" s="137" t="str">
        <f t="shared" si="43"/>
        <v/>
      </c>
      <c r="AG895" s="179" t="b">
        <f t="shared" si="42"/>
        <v>0</v>
      </c>
      <c r="AH895" s="140"/>
      <c r="AI895" s="147" t="s">
        <v>36</v>
      </c>
      <c r="AJ895" s="145">
        <f t="shared" si="44"/>
        <v>0</v>
      </c>
      <c r="AK895" s="148" t="s">
        <v>75</v>
      </c>
    </row>
    <row r="896" spans="1:37" ht="30" customHeight="1">
      <c r="A896" s="62"/>
      <c r="B896" s="62"/>
      <c r="C896" s="62"/>
      <c r="D896" s="62"/>
      <c r="E896" s="62"/>
      <c r="F896" s="62"/>
      <c r="G896" s="62"/>
      <c r="H896" s="62"/>
      <c r="I896" s="62"/>
      <c r="J896" s="62"/>
      <c r="K896" s="62"/>
      <c r="L896" s="62"/>
      <c r="M896" s="62"/>
      <c r="N896" s="186"/>
      <c r="O896" s="152"/>
      <c r="P896" s="90"/>
      <c r="Q896" s="140"/>
      <c r="R896" s="90"/>
      <c r="S896" s="140"/>
      <c r="T896" s="90"/>
      <c r="U896" s="140"/>
      <c r="V896" s="90"/>
      <c r="W896" s="140"/>
      <c r="X896" s="90"/>
      <c r="Y896" s="140"/>
      <c r="Z896" s="90"/>
      <c r="AA896" s="140"/>
      <c r="AB896" s="90"/>
      <c r="AC896" s="140"/>
      <c r="AD896" s="90"/>
      <c r="AE896" s="140"/>
      <c r="AF896" s="137" t="str">
        <f t="shared" si="43"/>
        <v/>
      </c>
      <c r="AG896" s="179" t="b">
        <f t="shared" ref="AG896:AG959" si="45">IF(AND(AE896="C",AF896="C"),"UTILIZOU O PDA CORRETAMENTE",IF(AND(AE896="C",AF896="NC"),"UTILIZOU O PDA CORRETAMENTE. NÃO HÁ FOTOS DE TODAS AS ETAPAS",IF(AND(AE896="NC",AF896="NC"),"NÃO UTILIZOU O PDA",IF(AND(AE896="NA",AF896="NA"),"NÃO AVALIADO POR FALHA DE SINCRONISMO"))))</f>
        <v>0</v>
      </c>
      <c r="AH896" s="140"/>
      <c r="AI896" s="147" t="s">
        <v>36</v>
      </c>
      <c r="AJ896" s="145">
        <f t="shared" si="44"/>
        <v>0</v>
      </c>
      <c r="AK896" s="148" t="s">
        <v>75</v>
      </c>
    </row>
    <row r="897" spans="1:37" ht="30" customHeight="1">
      <c r="A897" s="62"/>
      <c r="B897" s="62"/>
      <c r="C897" s="62"/>
      <c r="D897" s="62"/>
      <c r="E897" s="62"/>
      <c r="F897" s="62"/>
      <c r="G897" s="62"/>
      <c r="H897" s="62"/>
      <c r="I897" s="62"/>
      <c r="J897" s="62"/>
      <c r="K897" s="62"/>
      <c r="L897" s="62"/>
      <c r="M897" s="62"/>
      <c r="N897" s="186"/>
      <c r="O897" s="152"/>
      <c r="P897" s="90"/>
      <c r="Q897" s="140"/>
      <c r="R897" s="90"/>
      <c r="S897" s="140"/>
      <c r="T897" s="90"/>
      <c r="U897" s="140"/>
      <c r="V897" s="90"/>
      <c r="W897" s="140"/>
      <c r="X897" s="90"/>
      <c r="Y897" s="140"/>
      <c r="Z897" s="90"/>
      <c r="AA897" s="140"/>
      <c r="AB897" s="90"/>
      <c r="AC897" s="140"/>
      <c r="AD897" s="90"/>
      <c r="AE897" s="140"/>
      <c r="AF897" s="137" t="str">
        <f t="shared" ref="AF897:AF960" si="46">IF(AND(O897="",Q897="",S897="",U897="",W897="",Y897="",AA897="",AC897=""),"",IF(OR(AND(O897&lt;&gt;"NA",O897&lt;&gt;"C",O897&lt;&gt;"NC",O897&lt;&gt;"SF",O897&lt;&gt;""),AND(Q897&lt;&gt;"NA",Q897&lt;&gt;"C",Q897&lt;&gt;"NC",Q897&lt;&gt;"SF",Q897&lt;&gt;""),AND(S897&lt;&gt;"NA",S897&lt;&gt;"C",S897&lt;&gt;"NC",S897&lt;&gt;"SF",S897&lt;&gt;""),AND(U897&lt;&gt;"NA",U897&lt;&gt;"C",U897&lt;&gt;"NC",U897&lt;&gt;"SF",U897&lt;&gt;""),AND(W897&lt;&gt;"NA",W897&lt;&gt;"C",W897&lt;&gt;"NC",W897&lt;&gt;"SF",W897&lt;&gt;""),AND(Y897&lt;&gt;"NA",Y897&lt;&gt;"C",Y897&lt;&gt;"NC",Y897&lt;&gt;"SF",Y897&lt;&gt;""),AND(AA897&lt;&gt;"NA",AA897&lt;&gt;"C",AA897&lt;&gt;"NC",AA897&lt;&gt;"SF",AA897&lt;&gt;""),AND(AC897&lt;&gt;"NA",AC897&lt;&gt;"C",AC897&lt;&gt;"NC",AC897&lt;&gt;"SF",AC897&lt;&gt;"")),"FALSO",IF(AND(O897="NA",Q897="NA",S897="NA",U897="NA",W897="NA",Y897="NA",AA897="NA",AC897="NA"),"NA",IF(OR(O897="NC",Q897="NC",S897="NC",U897="NC",W897="NC",Y897="NC",AA897="NC",AC897="NC",O897="SF",Q897="SF",S897="SF",U897="SF",W897="SF",Y897="SF",AA897="SF",AC897="SF"),"NC",IF(OR(O897="C",Q897="C",S897="C",U897="C",W897="C",Y897="C",AA897="C",AC897="C"),"C","")))))</f>
        <v/>
      </c>
      <c r="AG897" s="179" t="b">
        <f t="shared" si="45"/>
        <v>0</v>
      </c>
      <c r="AH897" s="140"/>
      <c r="AI897" s="147" t="s">
        <v>36</v>
      </c>
      <c r="AJ897" s="145">
        <f t="shared" si="44"/>
        <v>0</v>
      </c>
      <c r="AK897" s="148" t="s">
        <v>75</v>
      </c>
    </row>
    <row r="898" spans="1:37" ht="30" customHeight="1">
      <c r="A898" s="62"/>
      <c r="B898" s="62"/>
      <c r="C898" s="62"/>
      <c r="D898" s="62"/>
      <c r="E898" s="62"/>
      <c r="F898" s="62"/>
      <c r="G898" s="62"/>
      <c r="H898" s="62"/>
      <c r="I898" s="62"/>
      <c r="J898" s="62"/>
      <c r="K898" s="62"/>
      <c r="L898" s="62"/>
      <c r="M898" s="62"/>
      <c r="N898" s="186"/>
      <c r="O898" s="152"/>
      <c r="P898" s="90"/>
      <c r="Q898" s="140"/>
      <c r="R898" s="90"/>
      <c r="S898" s="140"/>
      <c r="T898" s="90"/>
      <c r="U898" s="140"/>
      <c r="V898" s="90"/>
      <c r="W898" s="140"/>
      <c r="X898" s="90"/>
      <c r="Y898" s="140"/>
      <c r="Z898" s="90"/>
      <c r="AA898" s="140"/>
      <c r="AB898" s="90"/>
      <c r="AC898" s="140"/>
      <c r="AD898" s="90"/>
      <c r="AE898" s="140"/>
      <c r="AF898" s="137" t="str">
        <f t="shared" si="46"/>
        <v/>
      </c>
      <c r="AG898" s="179" t="b">
        <f t="shared" si="45"/>
        <v>0</v>
      </c>
      <c r="AH898" s="140"/>
      <c r="AI898" s="147" t="s">
        <v>36</v>
      </c>
      <c r="AJ898" s="145">
        <f t="shared" si="44"/>
        <v>0</v>
      </c>
      <c r="AK898" s="148" t="s">
        <v>75</v>
      </c>
    </row>
    <row r="899" spans="1:37" ht="30" customHeight="1">
      <c r="A899" s="62"/>
      <c r="B899" s="62"/>
      <c r="C899" s="62"/>
      <c r="D899" s="62"/>
      <c r="E899" s="62"/>
      <c r="F899" s="62"/>
      <c r="G899" s="62"/>
      <c r="H899" s="62"/>
      <c r="I899" s="62"/>
      <c r="J899" s="62"/>
      <c r="K899" s="62"/>
      <c r="L899" s="62"/>
      <c r="M899" s="62"/>
      <c r="N899" s="186"/>
      <c r="O899" s="152"/>
      <c r="P899" s="90"/>
      <c r="Q899" s="140"/>
      <c r="R899" s="90"/>
      <c r="S899" s="140"/>
      <c r="T899" s="90"/>
      <c r="U899" s="140"/>
      <c r="V899" s="90"/>
      <c r="W899" s="140"/>
      <c r="X899" s="90"/>
      <c r="Y899" s="140"/>
      <c r="Z899" s="90"/>
      <c r="AA899" s="140"/>
      <c r="AB899" s="90"/>
      <c r="AC899" s="140"/>
      <c r="AD899" s="90"/>
      <c r="AE899" s="140"/>
      <c r="AF899" s="137" t="str">
        <f t="shared" si="46"/>
        <v/>
      </c>
      <c r="AG899" s="179" t="b">
        <f t="shared" si="45"/>
        <v>0</v>
      </c>
      <c r="AH899" s="140"/>
      <c r="AI899" s="147" t="s">
        <v>36</v>
      </c>
      <c r="AJ899" s="145">
        <f t="shared" si="44"/>
        <v>0</v>
      </c>
      <c r="AK899" s="148" t="s">
        <v>75</v>
      </c>
    </row>
    <row r="900" spans="1:37" ht="30" customHeight="1">
      <c r="A900" s="62"/>
      <c r="B900" s="62"/>
      <c r="C900" s="62"/>
      <c r="D900" s="62"/>
      <c r="E900" s="62"/>
      <c r="F900" s="62"/>
      <c r="G900" s="62"/>
      <c r="H900" s="62"/>
      <c r="I900" s="62"/>
      <c r="J900" s="62"/>
      <c r="K900" s="62"/>
      <c r="L900" s="62"/>
      <c r="M900" s="62"/>
      <c r="N900" s="186"/>
      <c r="O900" s="152"/>
      <c r="P900" s="90"/>
      <c r="Q900" s="140"/>
      <c r="R900" s="90"/>
      <c r="S900" s="140"/>
      <c r="T900" s="90"/>
      <c r="U900" s="140"/>
      <c r="V900" s="90"/>
      <c r="W900" s="140"/>
      <c r="X900" s="90"/>
      <c r="Y900" s="140"/>
      <c r="Z900" s="90"/>
      <c r="AA900" s="140"/>
      <c r="AB900" s="90"/>
      <c r="AC900" s="140"/>
      <c r="AD900" s="90"/>
      <c r="AE900" s="140"/>
      <c r="AF900" s="137" t="str">
        <f t="shared" si="46"/>
        <v/>
      </c>
      <c r="AG900" s="179" t="b">
        <f t="shared" si="45"/>
        <v>0</v>
      </c>
      <c r="AH900" s="140"/>
      <c r="AI900" s="147" t="s">
        <v>36</v>
      </c>
      <c r="AJ900" s="145">
        <f t="shared" si="44"/>
        <v>0</v>
      </c>
      <c r="AK900" s="148" t="s">
        <v>75</v>
      </c>
    </row>
    <row r="901" spans="1:37" ht="30" customHeight="1">
      <c r="A901" s="62"/>
      <c r="B901" s="62"/>
      <c r="C901" s="62"/>
      <c r="D901" s="62"/>
      <c r="E901" s="62"/>
      <c r="F901" s="62"/>
      <c r="G901" s="62"/>
      <c r="H901" s="62"/>
      <c r="I901" s="62"/>
      <c r="J901" s="62"/>
      <c r="K901" s="62"/>
      <c r="L901" s="62"/>
      <c r="M901" s="62"/>
      <c r="N901" s="186"/>
      <c r="O901" s="152"/>
      <c r="P901" s="90"/>
      <c r="Q901" s="140"/>
      <c r="R901" s="90"/>
      <c r="S901" s="140"/>
      <c r="T901" s="90"/>
      <c r="U901" s="140"/>
      <c r="V901" s="90"/>
      <c r="W901" s="140"/>
      <c r="X901" s="90"/>
      <c r="Y901" s="140"/>
      <c r="Z901" s="90"/>
      <c r="AA901" s="140"/>
      <c r="AB901" s="90"/>
      <c r="AC901" s="140"/>
      <c r="AD901" s="90"/>
      <c r="AE901" s="140"/>
      <c r="AF901" s="137" t="str">
        <f t="shared" si="46"/>
        <v/>
      </c>
      <c r="AG901" s="179" t="b">
        <f t="shared" si="45"/>
        <v>0</v>
      </c>
      <c r="AH901" s="140"/>
      <c r="AI901" s="147" t="s">
        <v>36</v>
      </c>
      <c r="AJ901" s="145">
        <f t="shared" si="44"/>
        <v>0</v>
      </c>
      <c r="AK901" s="148" t="s">
        <v>75</v>
      </c>
    </row>
    <row r="902" spans="1:37" ht="30" customHeight="1">
      <c r="A902" s="62"/>
      <c r="B902" s="62"/>
      <c r="C902" s="62"/>
      <c r="D902" s="62"/>
      <c r="E902" s="62"/>
      <c r="F902" s="62"/>
      <c r="G902" s="62"/>
      <c r="H902" s="62"/>
      <c r="I902" s="62"/>
      <c r="J902" s="62"/>
      <c r="K902" s="62"/>
      <c r="L902" s="62"/>
      <c r="M902" s="62"/>
      <c r="N902" s="186"/>
      <c r="O902" s="152"/>
      <c r="P902" s="90"/>
      <c r="Q902" s="140"/>
      <c r="R902" s="90"/>
      <c r="S902" s="140"/>
      <c r="T902" s="90"/>
      <c r="U902" s="140"/>
      <c r="V902" s="90"/>
      <c r="W902" s="140"/>
      <c r="X902" s="90"/>
      <c r="Y902" s="140"/>
      <c r="Z902" s="90"/>
      <c r="AA902" s="140"/>
      <c r="AB902" s="90"/>
      <c r="AC902" s="140"/>
      <c r="AD902" s="90"/>
      <c r="AE902" s="140"/>
      <c r="AF902" s="137" t="str">
        <f t="shared" si="46"/>
        <v/>
      </c>
      <c r="AG902" s="179" t="b">
        <f t="shared" si="45"/>
        <v>0</v>
      </c>
      <c r="AH902" s="140"/>
      <c r="AI902" s="147" t="s">
        <v>36</v>
      </c>
      <c r="AJ902" s="145">
        <f t="shared" si="44"/>
        <v>0</v>
      </c>
      <c r="AK902" s="148" t="s">
        <v>75</v>
      </c>
    </row>
    <row r="903" spans="1:37" ht="30" customHeight="1">
      <c r="A903" s="62"/>
      <c r="B903" s="62"/>
      <c r="C903" s="62"/>
      <c r="D903" s="62"/>
      <c r="E903" s="62"/>
      <c r="F903" s="62"/>
      <c r="G903" s="62"/>
      <c r="H903" s="62"/>
      <c r="I903" s="62"/>
      <c r="J903" s="62"/>
      <c r="K903" s="62"/>
      <c r="L903" s="62"/>
      <c r="M903" s="62"/>
      <c r="N903" s="186"/>
      <c r="O903" s="152"/>
      <c r="P903" s="90"/>
      <c r="Q903" s="140"/>
      <c r="R903" s="90"/>
      <c r="S903" s="140"/>
      <c r="T903" s="90"/>
      <c r="U903" s="140"/>
      <c r="V903" s="90"/>
      <c r="W903" s="140"/>
      <c r="X903" s="90"/>
      <c r="Y903" s="140"/>
      <c r="Z903" s="90"/>
      <c r="AA903" s="140"/>
      <c r="AB903" s="90"/>
      <c r="AC903" s="140"/>
      <c r="AD903" s="90"/>
      <c r="AE903" s="140"/>
      <c r="AF903" s="137" t="str">
        <f t="shared" si="46"/>
        <v/>
      </c>
      <c r="AG903" s="179" t="b">
        <f t="shared" si="45"/>
        <v>0</v>
      </c>
      <c r="AH903" s="140"/>
      <c r="AI903" s="147" t="s">
        <v>36</v>
      </c>
      <c r="AJ903" s="145">
        <f t="shared" si="44"/>
        <v>0</v>
      </c>
      <c r="AK903" s="148" t="s">
        <v>75</v>
      </c>
    </row>
    <row r="904" spans="1:37" ht="30" customHeight="1">
      <c r="A904" s="62"/>
      <c r="B904" s="62"/>
      <c r="C904" s="62"/>
      <c r="D904" s="62"/>
      <c r="E904" s="62"/>
      <c r="F904" s="62"/>
      <c r="G904" s="62"/>
      <c r="H904" s="62"/>
      <c r="I904" s="62"/>
      <c r="J904" s="62"/>
      <c r="K904" s="62"/>
      <c r="L904" s="62"/>
      <c r="M904" s="62"/>
      <c r="N904" s="186"/>
      <c r="O904" s="152"/>
      <c r="P904" s="90"/>
      <c r="Q904" s="140"/>
      <c r="R904" s="90"/>
      <c r="S904" s="140"/>
      <c r="T904" s="90"/>
      <c r="U904" s="140"/>
      <c r="V904" s="90"/>
      <c r="W904" s="140"/>
      <c r="X904" s="90"/>
      <c r="Y904" s="140"/>
      <c r="Z904" s="90"/>
      <c r="AA904" s="140"/>
      <c r="AB904" s="90"/>
      <c r="AC904" s="140"/>
      <c r="AD904" s="90"/>
      <c r="AE904" s="140"/>
      <c r="AF904" s="137" t="str">
        <f t="shared" si="46"/>
        <v/>
      </c>
      <c r="AG904" s="179" t="b">
        <f t="shared" si="45"/>
        <v>0</v>
      </c>
      <c r="AH904" s="140"/>
      <c r="AI904" s="147" t="s">
        <v>36</v>
      </c>
      <c r="AJ904" s="145">
        <f t="shared" si="44"/>
        <v>0</v>
      </c>
      <c r="AK904" s="148" t="s">
        <v>75</v>
      </c>
    </row>
    <row r="905" spans="1:37" ht="30" customHeight="1">
      <c r="A905" s="62"/>
      <c r="B905" s="62"/>
      <c r="C905" s="62"/>
      <c r="D905" s="62"/>
      <c r="E905" s="62"/>
      <c r="F905" s="62"/>
      <c r="G905" s="62"/>
      <c r="H905" s="62"/>
      <c r="I905" s="62"/>
      <c r="J905" s="62"/>
      <c r="K905" s="62"/>
      <c r="L905" s="62"/>
      <c r="M905" s="62"/>
      <c r="N905" s="186"/>
      <c r="O905" s="152"/>
      <c r="P905" s="90"/>
      <c r="Q905" s="140"/>
      <c r="R905" s="90"/>
      <c r="S905" s="140"/>
      <c r="T905" s="90"/>
      <c r="U905" s="140"/>
      <c r="V905" s="90"/>
      <c r="W905" s="140"/>
      <c r="X905" s="90"/>
      <c r="Y905" s="140"/>
      <c r="Z905" s="90"/>
      <c r="AA905" s="140"/>
      <c r="AB905" s="90"/>
      <c r="AC905" s="140"/>
      <c r="AD905" s="90"/>
      <c r="AE905" s="140"/>
      <c r="AF905" s="137" t="str">
        <f t="shared" si="46"/>
        <v/>
      </c>
      <c r="AG905" s="179" t="b">
        <f t="shared" si="45"/>
        <v>0</v>
      </c>
      <c r="AH905" s="140"/>
      <c r="AI905" s="147" t="s">
        <v>36</v>
      </c>
      <c r="AJ905" s="145">
        <f t="shared" si="44"/>
        <v>0</v>
      </c>
      <c r="AK905" s="148" t="s">
        <v>75</v>
      </c>
    </row>
    <row r="906" spans="1:37" ht="30" customHeight="1">
      <c r="A906" s="62"/>
      <c r="B906" s="62"/>
      <c r="C906" s="62"/>
      <c r="D906" s="62"/>
      <c r="E906" s="62"/>
      <c r="F906" s="62"/>
      <c r="G906" s="62"/>
      <c r="H906" s="62"/>
      <c r="I906" s="62"/>
      <c r="J906" s="62"/>
      <c r="K906" s="62"/>
      <c r="L906" s="62"/>
      <c r="M906" s="62"/>
      <c r="N906" s="186"/>
      <c r="O906" s="152"/>
      <c r="P906" s="90"/>
      <c r="Q906" s="140"/>
      <c r="R906" s="90"/>
      <c r="S906" s="140"/>
      <c r="T906" s="90"/>
      <c r="U906" s="140"/>
      <c r="V906" s="90"/>
      <c r="W906" s="140"/>
      <c r="X906" s="90"/>
      <c r="Y906" s="140"/>
      <c r="Z906" s="90"/>
      <c r="AA906" s="140"/>
      <c r="AB906" s="90"/>
      <c r="AC906" s="140"/>
      <c r="AD906" s="90"/>
      <c r="AE906" s="140"/>
      <c r="AF906" s="137" t="str">
        <f t="shared" si="46"/>
        <v/>
      </c>
      <c r="AG906" s="179" t="b">
        <f t="shared" si="45"/>
        <v>0</v>
      </c>
      <c r="AH906" s="140"/>
      <c r="AI906" s="147" t="s">
        <v>36</v>
      </c>
      <c r="AJ906" s="145">
        <f t="shared" si="44"/>
        <v>0</v>
      </c>
      <c r="AK906" s="148" t="s">
        <v>75</v>
      </c>
    </row>
    <row r="907" spans="1:37" ht="30" customHeight="1">
      <c r="A907" s="62"/>
      <c r="B907" s="62"/>
      <c r="C907" s="62"/>
      <c r="D907" s="62"/>
      <c r="E907" s="62"/>
      <c r="F907" s="62"/>
      <c r="G907" s="62"/>
      <c r="H907" s="62"/>
      <c r="I907" s="62"/>
      <c r="J907" s="62"/>
      <c r="K907" s="62"/>
      <c r="L907" s="62"/>
      <c r="M907" s="62"/>
      <c r="N907" s="186"/>
      <c r="O907" s="152"/>
      <c r="P907" s="90"/>
      <c r="Q907" s="140"/>
      <c r="R907" s="90"/>
      <c r="S907" s="140"/>
      <c r="T907" s="90"/>
      <c r="U907" s="140"/>
      <c r="V907" s="90"/>
      <c r="W907" s="140"/>
      <c r="X907" s="90"/>
      <c r="Y907" s="140"/>
      <c r="Z907" s="90"/>
      <c r="AA907" s="140"/>
      <c r="AB907" s="90"/>
      <c r="AC907" s="140"/>
      <c r="AD907" s="90"/>
      <c r="AE907" s="140"/>
      <c r="AF907" s="137" t="str">
        <f t="shared" si="46"/>
        <v/>
      </c>
      <c r="AG907" s="179" t="b">
        <f t="shared" si="45"/>
        <v>0</v>
      </c>
      <c r="AH907" s="140"/>
      <c r="AI907" s="147" t="s">
        <v>36</v>
      </c>
      <c r="AJ907" s="145">
        <f t="shared" si="44"/>
        <v>0</v>
      </c>
      <c r="AK907" s="148" t="s">
        <v>75</v>
      </c>
    </row>
    <row r="908" spans="1:37" ht="30" customHeight="1">
      <c r="A908" s="62"/>
      <c r="B908" s="62"/>
      <c r="C908" s="62"/>
      <c r="D908" s="62"/>
      <c r="E908" s="62"/>
      <c r="F908" s="62"/>
      <c r="G908" s="62"/>
      <c r="H908" s="62"/>
      <c r="I908" s="62"/>
      <c r="J908" s="62"/>
      <c r="K908" s="62"/>
      <c r="L908" s="62"/>
      <c r="M908" s="62"/>
      <c r="N908" s="186"/>
      <c r="O908" s="152"/>
      <c r="P908" s="90"/>
      <c r="Q908" s="140"/>
      <c r="R908" s="90"/>
      <c r="S908" s="140"/>
      <c r="T908" s="90"/>
      <c r="U908" s="140"/>
      <c r="V908" s="90"/>
      <c r="W908" s="140"/>
      <c r="X908" s="90"/>
      <c r="Y908" s="140"/>
      <c r="Z908" s="90"/>
      <c r="AA908" s="140"/>
      <c r="AB908" s="90"/>
      <c r="AC908" s="140"/>
      <c r="AD908" s="90"/>
      <c r="AE908" s="140"/>
      <c r="AF908" s="137" t="str">
        <f t="shared" si="46"/>
        <v/>
      </c>
      <c r="AG908" s="179" t="b">
        <f t="shared" si="45"/>
        <v>0</v>
      </c>
      <c r="AH908" s="140"/>
      <c r="AI908" s="147" t="s">
        <v>36</v>
      </c>
      <c r="AJ908" s="145">
        <f t="shared" si="44"/>
        <v>0</v>
      </c>
      <c r="AK908" s="148" t="s">
        <v>75</v>
      </c>
    </row>
    <row r="909" spans="1:37" ht="30" customHeight="1">
      <c r="A909" s="62"/>
      <c r="B909" s="62"/>
      <c r="C909" s="62"/>
      <c r="D909" s="62"/>
      <c r="E909" s="62"/>
      <c r="F909" s="62"/>
      <c r="G909" s="62"/>
      <c r="H909" s="62"/>
      <c r="I909" s="62"/>
      <c r="J909" s="62"/>
      <c r="K909" s="62"/>
      <c r="L909" s="62"/>
      <c r="M909" s="62"/>
      <c r="N909" s="186"/>
      <c r="O909" s="152"/>
      <c r="P909" s="90"/>
      <c r="Q909" s="140"/>
      <c r="R909" s="90"/>
      <c r="S909" s="140"/>
      <c r="T909" s="90"/>
      <c r="U909" s="140"/>
      <c r="V909" s="90"/>
      <c r="W909" s="140"/>
      <c r="X909" s="90"/>
      <c r="Y909" s="140"/>
      <c r="Z909" s="90"/>
      <c r="AA909" s="140"/>
      <c r="AB909" s="90"/>
      <c r="AC909" s="140"/>
      <c r="AD909" s="90"/>
      <c r="AE909" s="140"/>
      <c r="AF909" s="137" t="str">
        <f t="shared" si="46"/>
        <v/>
      </c>
      <c r="AG909" s="179" t="b">
        <f t="shared" si="45"/>
        <v>0</v>
      </c>
      <c r="AH909" s="140"/>
      <c r="AI909" s="147" t="s">
        <v>36</v>
      </c>
      <c r="AJ909" s="145">
        <f t="shared" si="44"/>
        <v>0</v>
      </c>
      <c r="AK909" s="148" t="s">
        <v>75</v>
      </c>
    </row>
    <row r="910" spans="1:37" ht="30" customHeight="1">
      <c r="A910" s="62"/>
      <c r="B910" s="62"/>
      <c r="C910" s="62"/>
      <c r="D910" s="62"/>
      <c r="E910" s="62"/>
      <c r="F910" s="62"/>
      <c r="G910" s="62"/>
      <c r="H910" s="62"/>
      <c r="I910" s="62"/>
      <c r="J910" s="62"/>
      <c r="K910" s="62"/>
      <c r="L910" s="62"/>
      <c r="M910" s="62"/>
      <c r="N910" s="186"/>
      <c r="O910" s="152"/>
      <c r="P910" s="90"/>
      <c r="Q910" s="140"/>
      <c r="R910" s="90"/>
      <c r="S910" s="140"/>
      <c r="T910" s="90"/>
      <c r="U910" s="140"/>
      <c r="V910" s="90"/>
      <c r="W910" s="140"/>
      <c r="X910" s="90"/>
      <c r="Y910" s="140"/>
      <c r="Z910" s="90"/>
      <c r="AA910" s="140"/>
      <c r="AB910" s="90"/>
      <c r="AC910" s="140"/>
      <c r="AD910" s="90"/>
      <c r="AE910" s="140"/>
      <c r="AF910" s="137" t="str">
        <f t="shared" si="46"/>
        <v/>
      </c>
      <c r="AG910" s="179" t="b">
        <f t="shared" si="45"/>
        <v>0</v>
      </c>
      <c r="AH910" s="140"/>
      <c r="AI910" s="147" t="s">
        <v>36</v>
      </c>
      <c r="AJ910" s="145">
        <f t="shared" si="44"/>
        <v>0</v>
      </c>
      <c r="AK910" s="148" t="s">
        <v>75</v>
      </c>
    </row>
    <row r="911" spans="1:37" ht="30" customHeight="1">
      <c r="A911" s="62"/>
      <c r="B911" s="62"/>
      <c r="C911" s="62"/>
      <c r="D911" s="62"/>
      <c r="E911" s="62"/>
      <c r="F911" s="62"/>
      <c r="G911" s="62"/>
      <c r="H911" s="62"/>
      <c r="I911" s="62"/>
      <c r="J911" s="62"/>
      <c r="K911" s="62"/>
      <c r="L911" s="62"/>
      <c r="M911" s="62"/>
      <c r="N911" s="186"/>
      <c r="O911" s="152"/>
      <c r="P911" s="90"/>
      <c r="Q911" s="140"/>
      <c r="R911" s="90"/>
      <c r="S911" s="140"/>
      <c r="T911" s="90"/>
      <c r="U911" s="140"/>
      <c r="V911" s="90"/>
      <c r="W911" s="140"/>
      <c r="X911" s="90"/>
      <c r="Y911" s="140"/>
      <c r="Z911" s="90"/>
      <c r="AA911" s="140"/>
      <c r="AB911" s="90"/>
      <c r="AC911" s="140"/>
      <c r="AD911" s="90"/>
      <c r="AE911" s="140"/>
      <c r="AF911" s="137" t="str">
        <f t="shared" si="46"/>
        <v/>
      </c>
      <c r="AG911" s="179" t="b">
        <f t="shared" si="45"/>
        <v>0</v>
      </c>
      <c r="AH911" s="140"/>
      <c r="AI911" s="147" t="s">
        <v>36</v>
      </c>
      <c r="AJ911" s="145">
        <f t="shared" si="44"/>
        <v>0</v>
      </c>
      <c r="AK911" s="148" t="s">
        <v>75</v>
      </c>
    </row>
    <row r="912" spans="1:37" ht="30" customHeight="1">
      <c r="A912" s="62"/>
      <c r="B912" s="62"/>
      <c r="C912" s="62"/>
      <c r="D912" s="62"/>
      <c r="E912" s="62"/>
      <c r="F912" s="62"/>
      <c r="G912" s="62"/>
      <c r="H912" s="62"/>
      <c r="I912" s="62"/>
      <c r="J912" s="62"/>
      <c r="K912" s="62"/>
      <c r="L912" s="62"/>
      <c r="M912" s="62"/>
      <c r="N912" s="186"/>
      <c r="O912" s="152"/>
      <c r="P912" s="90"/>
      <c r="Q912" s="140"/>
      <c r="R912" s="90"/>
      <c r="S912" s="140"/>
      <c r="T912" s="90"/>
      <c r="U912" s="140"/>
      <c r="V912" s="90"/>
      <c r="W912" s="140"/>
      <c r="X912" s="90"/>
      <c r="Y912" s="140"/>
      <c r="Z912" s="90"/>
      <c r="AA912" s="140"/>
      <c r="AB912" s="90"/>
      <c r="AC912" s="140"/>
      <c r="AD912" s="90"/>
      <c r="AE912" s="140"/>
      <c r="AF912" s="137" t="str">
        <f t="shared" si="46"/>
        <v/>
      </c>
      <c r="AG912" s="179" t="b">
        <f t="shared" si="45"/>
        <v>0</v>
      </c>
      <c r="AH912" s="140"/>
      <c r="AI912" s="147" t="s">
        <v>36</v>
      </c>
      <c r="AJ912" s="145">
        <f t="shared" si="44"/>
        <v>0</v>
      </c>
      <c r="AK912" s="148" t="s">
        <v>75</v>
      </c>
    </row>
    <row r="913" spans="1:37" ht="30" customHeight="1">
      <c r="A913" s="62"/>
      <c r="B913" s="62"/>
      <c r="C913" s="62"/>
      <c r="D913" s="62"/>
      <c r="E913" s="62"/>
      <c r="F913" s="62"/>
      <c r="G913" s="62"/>
      <c r="H913" s="62"/>
      <c r="I913" s="62"/>
      <c r="J913" s="62"/>
      <c r="K913" s="62"/>
      <c r="L913" s="62"/>
      <c r="M913" s="62"/>
      <c r="N913" s="186"/>
      <c r="O913" s="152"/>
      <c r="P913" s="90"/>
      <c r="Q913" s="140"/>
      <c r="R913" s="90"/>
      <c r="S913" s="140"/>
      <c r="T913" s="90"/>
      <c r="U913" s="140"/>
      <c r="V913" s="90"/>
      <c r="W913" s="140"/>
      <c r="X913" s="90"/>
      <c r="Y913" s="140"/>
      <c r="Z913" s="90"/>
      <c r="AA913" s="140"/>
      <c r="AB913" s="90"/>
      <c r="AC913" s="140"/>
      <c r="AD913" s="90"/>
      <c r="AE913" s="140"/>
      <c r="AF913" s="137" t="str">
        <f t="shared" si="46"/>
        <v/>
      </c>
      <c r="AG913" s="179" t="b">
        <f t="shared" si="45"/>
        <v>0</v>
      </c>
      <c r="AH913" s="140"/>
      <c r="AI913" s="147" t="s">
        <v>36</v>
      </c>
      <c r="AJ913" s="145">
        <f t="shared" si="44"/>
        <v>0</v>
      </c>
      <c r="AK913" s="148" t="s">
        <v>75</v>
      </c>
    </row>
    <row r="914" spans="1:37" ht="30" customHeight="1">
      <c r="A914" s="62"/>
      <c r="B914" s="62"/>
      <c r="C914" s="62"/>
      <c r="D914" s="62"/>
      <c r="E914" s="62"/>
      <c r="F914" s="62"/>
      <c r="G914" s="62"/>
      <c r="H914" s="62"/>
      <c r="I914" s="62"/>
      <c r="J914" s="62"/>
      <c r="K914" s="62"/>
      <c r="L914" s="62"/>
      <c r="M914" s="62"/>
      <c r="N914" s="186"/>
      <c r="O914" s="152"/>
      <c r="P914" s="90"/>
      <c r="Q914" s="140"/>
      <c r="R914" s="90"/>
      <c r="S914" s="140"/>
      <c r="T914" s="90"/>
      <c r="U914" s="140"/>
      <c r="V914" s="90"/>
      <c r="W914" s="140"/>
      <c r="X914" s="90"/>
      <c r="Y914" s="140"/>
      <c r="Z914" s="90"/>
      <c r="AA914" s="140"/>
      <c r="AB914" s="90"/>
      <c r="AC914" s="140"/>
      <c r="AD914" s="90"/>
      <c r="AE914" s="140"/>
      <c r="AF914" s="137" t="str">
        <f t="shared" si="46"/>
        <v/>
      </c>
      <c r="AG914" s="179" t="b">
        <f t="shared" si="45"/>
        <v>0</v>
      </c>
      <c r="AH914" s="140"/>
      <c r="AI914" s="147" t="s">
        <v>36</v>
      </c>
      <c r="AJ914" s="145">
        <f t="shared" si="44"/>
        <v>0</v>
      </c>
      <c r="AK914" s="148" t="s">
        <v>75</v>
      </c>
    </row>
    <row r="915" spans="1:37" ht="30" customHeight="1">
      <c r="A915" s="62"/>
      <c r="B915" s="62"/>
      <c r="C915" s="62"/>
      <c r="D915" s="62"/>
      <c r="E915" s="62"/>
      <c r="F915" s="62"/>
      <c r="G915" s="62"/>
      <c r="H915" s="62"/>
      <c r="I915" s="62"/>
      <c r="J915" s="62"/>
      <c r="K915" s="62"/>
      <c r="L915" s="62"/>
      <c r="M915" s="62"/>
      <c r="N915" s="186"/>
      <c r="O915" s="152"/>
      <c r="P915" s="90"/>
      <c r="Q915" s="140"/>
      <c r="R915" s="90"/>
      <c r="S915" s="140"/>
      <c r="T915" s="90"/>
      <c r="U915" s="140"/>
      <c r="V915" s="90"/>
      <c r="W915" s="140"/>
      <c r="X915" s="90"/>
      <c r="Y915" s="140"/>
      <c r="Z915" s="90"/>
      <c r="AA915" s="140"/>
      <c r="AB915" s="90"/>
      <c r="AC915" s="140"/>
      <c r="AD915" s="90"/>
      <c r="AE915" s="140"/>
      <c r="AF915" s="137" t="str">
        <f t="shared" si="46"/>
        <v/>
      </c>
      <c r="AG915" s="179" t="b">
        <f t="shared" si="45"/>
        <v>0</v>
      </c>
      <c r="AH915" s="140"/>
      <c r="AI915" s="147" t="s">
        <v>36</v>
      </c>
      <c r="AJ915" s="145">
        <f t="shared" si="44"/>
        <v>0</v>
      </c>
      <c r="AK915" s="148" t="s">
        <v>75</v>
      </c>
    </row>
    <row r="916" spans="1:37" ht="30" customHeight="1">
      <c r="A916" s="62"/>
      <c r="B916" s="62"/>
      <c r="C916" s="62"/>
      <c r="D916" s="62"/>
      <c r="E916" s="62"/>
      <c r="F916" s="62"/>
      <c r="G916" s="62"/>
      <c r="H916" s="62"/>
      <c r="I916" s="62"/>
      <c r="J916" s="62"/>
      <c r="K916" s="62"/>
      <c r="L916" s="62"/>
      <c r="M916" s="62"/>
      <c r="N916" s="186"/>
      <c r="O916" s="152"/>
      <c r="P916" s="90"/>
      <c r="Q916" s="140"/>
      <c r="R916" s="90"/>
      <c r="S916" s="140"/>
      <c r="T916" s="90"/>
      <c r="U916" s="140"/>
      <c r="V916" s="90"/>
      <c r="W916" s="140"/>
      <c r="X916" s="90"/>
      <c r="Y916" s="140"/>
      <c r="Z916" s="90"/>
      <c r="AA916" s="140"/>
      <c r="AB916" s="90"/>
      <c r="AC916" s="140"/>
      <c r="AD916" s="90"/>
      <c r="AE916" s="140"/>
      <c r="AF916" s="137" t="str">
        <f t="shared" si="46"/>
        <v/>
      </c>
      <c r="AG916" s="179" t="b">
        <f t="shared" si="45"/>
        <v>0</v>
      </c>
      <c r="AH916" s="140"/>
      <c r="AI916" s="147" t="s">
        <v>36</v>
      </c>
      <c r="AJ916" s="145">
        <f t="shared" si="44"/>
        <v>0</v>
      </c>
      <c r="AK916" s="148" t="s">
        <v>75</v>
      </c>
    </row>
    <row r="917" spans="1:37" ht="30" customHeight="1">
      <c r="A917" s="62"/>
      <c r="B917" s="62"/>
      <c r="C917" s="62"/>
      <c r="D917" s="62"/>
      <c r="E917" s="62"/>
      <c r="F917" s="62"/>
      <c r="G917" s="62"/>
      <c r="H917" s="62"/>
      <c r="I917" s="62"/>
      <c r="J917" s="62"/>
      <c r="K917" s="62"/>
      <c r="L917" s="62"/>
      <c r="M917" s="62"/>
      <c r="N917" s="186"/>
      <c r="O917" s="152"/>
      <c r="P917" s="90"/>
      <c r="Q917" s="140"/>
      <c r="R917" s="90"/>
      <c r="S917" s="140"/>
      <c r="T917" s="90"/>
      <c r="U917" s="140"/>
      <c r="V917" s="90"/>
      <c r="W917" s="140"/>
      <c r="X917" s="90"/>
      <c r="Y917" s="140"/>
      <c r="Z917" s="90"/>
      <c r="AA917" s="140"/>
      <c r="AB917" s="90"/>
      <c r="AC917" s="140"/>
      <c r="AD917" s="90"/>
      <c r="AE917" s="140"/>
      <c r="AF917" s="137" t="str">
        <f t="shared" si="46"/>
        <v/>
      </c>
      <c r="AG917" s="179" t="b">
        <f t="shared" si="45"/>
        <v>0</v>
      </c>
      <c r="AH917" s="140"/>
      <c r="AI917" s="147" t="s">
        <v>36</v>
      </c>
      <c r="AJ917" s="145">
        <f t="shared" si="44"/>
        <v>0</v>
      </c>
      <c r="AK917" s="148" t="s">
        <v>75</v>
      </c>
    </row>
    <row r="918" spans="1:37" ht="30" customHeight="1">
      <c r="A918" s="62"/>
      <c r="B918" s="62"/>
      <c r="C918" s="62"/>
      <c r="D918" s="62"/>
      <c r="E918" s="62"/>
      <c r="F918" s="62"/>
      <c r="G918" s="62"/>
      <c r="H918" s="62"/>
      <c r="I918" s="62"/>
      <c r="J918" s="62"/>
      <c r="K918" s="62"/>
      <c r="L918" s="62"/>
      <c r="M918" s="62"/>
      <c r="N918" s="186"/>
      <c r="O918" s="152"/>
      <c r="P918" s="90"/>
      <c r="Q918" s="140"/>
      <c r="R918" s="90"/>
      <c r="S918" s="140"/>
      <c r="T918" s="90"/>
      <c r="U918" s="140"/>
      <c r="V918" s="90"/>
      <c r="W918" s="140"/>
      <c r="X918" s="90"/>
      <c r="Y918" s="140"/>
      <c r="Z918" s="90"/>
      <c r="AA918" s="140"/>
      <c r="AB918" s="90"/>
      <c r="AC918" s="140"/>
      <c r="AD918" s="90"/>
      <c r="AE918" s="140"/>
      <c r="AF918" s="137" t="str">
        <f t="shared" si="46"/>
        <v/>
      </c>
      <c r="AG918" s="179" t="b">
        <f t="shared" si="45"/>
        <v>0</v>
      </c>
      <c r="AH918" s="140"/>
      <c r="AI918" s="147" t="s">
        <v>36</v>
      </c>
      <c r="AJ918" s="145">
        <f t="shared" si="44"/>
        <v>0</v>
      </c>
      <c r="AK918" s="148" t="s">
        <v>75</v>
      </c>
    </row>
    <row r="919" spans="1:37" ht="30" customHeight="1">
      <c r="A919" s="62"/>
      <c r="B919" s="62"/>
      <c r="C919" s="62"/>
      <c r="D919" s="62"/>
      <c r="E919" s="62"/>
      <c r="F919" s="62"/>
      <c r="G919" s="62"/>
      <c r="H919" s="62"/>
      <c r="I919" s="62"/>
      <c r="J919" s="62"/>
      <c r="K919" s="62"/>
      <c r="L919" s="62"/>
      <c r="M919" s="62"/>
      <c r="N919" s="186"/>
      <c r="O919" s="152"/>
      <c r="P919" s="90"/>
      <c r="Q919" s="140"/>
      <c r="R919" s="90"/>
      <c r="S919" s="140"/>
      <c r="T919" s="90"/>
      <c r="U919" s="140"/>
      <c r="V919" s="90"/>
      <c r="W919" s="140"/>
      <c r="X919" s="90"/>
      <c r="Y919" s="140"/>
      <c r="Z919" s="90"/>
      <c r="AA919" s="140"/>
      <c r="AB919" s="90"/>
      <c r="AC919" s="140"/>
      <c r="AD919" s="90"/>
      <c r="AE919" s="140"/>
      <c r="AF919" s="137" t="str">
        <f t="shared" si="46"/>
        <v/>
      </c>
      <c r="AG919" s="179" t="b">
        <f t="shared" si="45"/>
        <v>0</v>
      </c>
      <c r="AH919" s="140"/>
      <c r="AI919" s="147" t="s">
        <v>36</v>
      </c>
      <c r="AJ919" s="145">
        <f t="shared" si="44"/>
        <v>0</v>
      </c>
      <c r="AK919" s="148" t="s">
        <v>75</v>
      </c>
    </row>
    <row r="920" spans="1:37" ht="30" customHeight="1">
      <c r="A920" s="62"/>
      <c r="B920" s="62"/>
      <c r="C920" s="62"/>
      <c r="D920" s="62"/>
      <c r="E920" s="62"/>
      <c r="F920" s="62"/>
      <c r="G920" s="62"/>
      <c r="H920" s="62"/>
      <c r="I920" s="62"/>
      <c r="J920" s="62"/>
      <c r="K920" s="62"/>
      <c r="L920" s="62"/>
      <c r="M920" s="62"/>
      <c r="N920" s="186"/>
      <c r="O920" s="152"/>
      <c r="P920" s="90"/>
      <c r="Q920" s="140"/>
      <c r="R920" s="90"/>
      <c r="S920" s="140"/>
      <c r="T920" s="90"/>
      <c r="U920" s="140"/>
      <c r="V920" s="90"/>
      <c r="W920" s="140"/>
      <c r="X920" s="90"/>
      <c r="Y920" s="140"/>
      <c r="Z920" s="90"/>
      <c r="AA920" s="140"/>
      <c r="AB920" s="90"/>
      <c r="AC920" s="140"/>
      <c r="AD920" s="90"/>
      <c r="AE920" s="140"/>
      <c r="AF920" s="137" t="str">
        <f t="shared" si="46"/>
        <v/>
      </c>
      <c r="AG920" s="179" t="b">
        <f t="shared" si="45"/>
        <v>0</v>
      </c>
      <c r="AH920" s="140"/>
      <c r="AI920" s="147" t="s">
        <v>36</v>
      </c>
      <c r="AJ920" s="145">
        <f t="shared" si="44"/>
        <v>0</v>
      </c>
      <c r="AK920" s="148" t="s">
        <v>75</v>
      </c>
    </row>
    <row r="921" spans="1:37" ht="30" customHeight="1">
      <c r="A921" s="62"/>
      <c r="B921" s="62"/>
      <c r="C921" s="62"/>
      <c r="D921" s="62"/>
      <c r="E921" s="62"/>
      <c r="F921" s="62"/>
      <c r="G921" s="62"/>
      <c r="H921" s="62"/>
      <c r="I921" s="62"/>
      <c r="J921" s="62"/>
      <c r="K921" s="62"/>
      <c r="L921" s="62"/>
      <c r="M921" s="62"/>
      <c r="N921" s="186"/>
      <c r="O921" s="152"/>
      <c r="P921" s="90"/>
      <c r="Q921" s="140"/>
      <c r="R921" s="90"/>
      <c r="S921" s="140"/>
      <c r="T921" s="90"/>
      <c r="U921" s="140"/>
      <c r="V921" s="90"/>
      <c r="W921" s="140"/>
      <c r="X921" s="90"/>
      <c r="Y921" s="140"/>
      <c r="Z921" s="90"/>
      <c r="AA921" s="140"/>
      <c r="AB921" s="90"/>
      <c r="AC921" s="140"/>
      <c r="AD921" s="90"/>
      <c r="AE921" s="140"/>
      <c r="AF921" s="137" t="str">
        <f t="shared" si="46"/>
        <v/>
      </c>
      <c r="AG921" s="179" t="b">
        <f t="shared" si="45"/>
        <v>0</v>
      </c>
      <c r="AH921" s="140"/>
      <c r="AI921" s="147" t="s">
        <v>36</v>
      </c>
      <c r="AJ921" s="145">
        <f t="shared" si="44"/>
        <v>0</v>
      </c>
      <c r="AK921" s="148" t="s">
        <v>75</v>
      </c>
    </row>
    <row r="922" spans="1:37" ht="30" customHeight="1">
      <c r="A922" s="62"/>
      <c r="B922" s="62"/>
      <c r="C922" s="62"/>
      <c r="D922" s="62"/>
      <c r="E922" s="62"/>
      <c r="F922" s="62"/>
      <c r="G922" s="62"/>
      <c r="H922" s="62"/>
      <c r="I922" s="62"/>
      <c r="J922" s="62"/>
      <c r="K922" s="62"/>
      <c r="L922" s="62"/>
      <c r="M922" s="62"/>
      <c r="N922" s="186"/>
      <c r="O922" s="152"/>
      <c r="P922" s="90"/>
      <c r="Q922" s="140"/>
      <c r="R922" s="90"/>
      <c r="S922" s="140"/>
      <c r="T922" s="90"/>
      <c r="U922" s="140"/>
      <c r="V922" s="90"/>
      <c r="W922" s="140"/>
      <c r="X922" s="90"/>
      <c r="Y922" s="140"/>
      <c r="Z922" s="90"/>
      <c r="AA922" s="140"/>
      <c r="AB922" s="90"/>
      <c r="AC922" s="140"/>
      <c r="AD922" s="90"/>
      <c r="AE922" s="140"/>
      <c r="AF922" s="137" t="str">
        <f t="shared" si="46"/>
        <v/>
      </c>
      <c r="AG922" s="179" t="b">
        <f t="shared" si="45"/>
        <v>0</v>
      </c>
      <c r="AH922" s="140"/>
      <c r="AI922" s="147" t="s">
        <v>36</v>
      </c>
      <c r="AJ922" s="145">
        <f t="shared" si="44"/>
        <v>0</v>
      </c>
      <c r="AK922" s="148" t="s">
        <v>75</v>
      </c>
    </row>
    <row r="923" spans="1:37" ht="30" customHeight="1">
      <c r="A923" s="62"/>
      <c r="B923" s="62"/>
      <c r="C923" s="62"/>
      <c r="D923" s="62"/>
      <c r="E923" s="62"/>
      <c r="F923" s="62"/>
      <c r="G923" s="62"/>
      <c r="H923" s="62"/>
      <c r="I923" s="62"/>
      <c r="J923" s="62"/>
      <c r="K923" s="62"/>
      <c r="L923" s="62"/>
      <c r="M923" s="62"/>
      <c r="N923" s="186"/>
      <c r="O923" s="152"/>
      <c r="P923" s="90"/>
      <c r="Q923" s="140"/>
      <c r="R923" s="90"/>
      <c r="S923" s="140"/>
      <c r="T923" s="90"/>
      <c r="U923" s="140"/>
      <c r="V923" s="90"/>
      <c r="W923" s="140"/>
      <c r="X923" s="90"/>
      <c r="Y923" s="140"/>
      <c r="Z923" s="90"/>
      <c r="AA923" s="140"/>
      <c r="AB923" s="90"/>
      <c r="AC923" s="140"/>
      <c r="AD923" s="90"/>
      <c r="AE923" s="140"/>
      <c r="AF923" s="137" t="str">
        <f t="shared" si="46"/>
        <v/>
      </c>
      <c r="AG923" s="179" t="b">
        <f t="shared" si="45"/>
        <v>0</v>
      </c>
      <c r="AH923" s="140"/>
      <c r="AI923" s="147" t="s">
        <v>36</v>
      </c>
      <c r="AJ923" s="145">
        <f t="shared" si="44"/>
        <v>0</v>
      </c>
      <c r="AK923" s="148" t="s">
        <v>75</v>
      </c>
    </row>
    <row r="924" spans="1:37" ht="30" customHeight="1">
      <c r="A924" s="62"/>
      <c r="B924" s="62"/>
      <c r="C924" s="62"/>
      <c r="D924" s="62"/>
      <c r="E924" s="62"/>
      <c r="F924" s="62"/>
      <c r="G924" s="62"/>
      <c r="H924" s="62"/>
      <c r="I924" s="62"/>
      <c r="J924" s="62"/>
      <c r="K924" s="62"/>
      <c r="L924" s="62"/>
      <c r="M924" s="62"/>
      <c r="N924" s="186"/>
      <c r="O924" s="152"/>
      <c r="P924" s="90"/>
      <c r="Q924" s="140"/>
      <c r="R924" s="90"/>
      <c r="S924" s="140"/>
      <c r="T924" s="90"/>
      <c r="U924" s="140"/>
      <c r="V924" s="90"/>
      <c r="W924" s="140"/>
      <c r="X924" s="90"/>
      <c r="Y924" s="140"/>
      <c r="Z924" s="90"/>
      <c r="AA924" s="140"/>
      <c r="AB924" s="90"/>
      <c r="AC924" s="140"/>
      <c r="AD924" s="90"/>
      <c r="AE924" s="140"/>
      <c r="AF924" s="137" t="str">
        <f t="shared" si="46"/>
        <v/>
      </c>
      <c r="AG924" s="179" t="b">
        <f t="shared" si="45"/>
        <v>0</v>
      </c>
      <c r="AH924" s="140"/>
      <c r="AI924" s="147" t="s">
        <v>36</v>
      </c>
      <c r="AJ924" s="145">
        <f t="shared" si="44"/>
        <v>0</v>
      </c>
      <c r="AK924" s="148" t="s">
        <v>75</v>
      </c>
    </row>
    <row r="925" spans="1:37" ht="30" customHeight="1">
      <c r="A925" s="62"/>
      <c r="B925" s="62"/>
      <c r="C925" s="62"/>
      <c r="D925" s="62"/>
      <c r="E925" s="62"/>
      <c r="F925" s="62"/>
      <c r="G925" s="62"/>
      <c r="H925" s="62"/>
      <c r="I925" s="62"/>
      <c r="J925" s="62"/>
      <c r="K925" s="62"/>
      <c r="L925" s="62"/>
      <c r="M925" s="62"/>
      <c r="N925" s="186"/>
      <c r="O925" s="152"/>
      <c r="P925" s="90"/>
      <c r="Q925" s="140"/>
      <c r="R925" s="90"/>
      <c r="S925" s="140"/>
      <c r="T925" s="90"/>
      <c r="U925" s="140"/>
      <c r="V925" s="90"/>
      <c r="W925" s="140"/>
      <c r="X925" s="90"/>
      <c r="Y925" s="140"/>
      <c r="Z925" s="90"/>
      <c r="AA925" s="140"/>
      <c r="AB925" s="90"/>
      <c r="AC925" s="140"/>
      <c r="AD925" s="90"/>
      <c r="AE925" s="140"/>
      <c r="AF925" s="137" t="str">
        <f t="shared" si="46"/>
        <v/>
      </c>
      <c r="AG925" s="179" t="b">
        <f t="shared" si="45"/>
        <v>0</v>
      </c>
      <c r="AH925" s="140"/>
      <c r="AI925" s="147" t="s">
        <v>36</v>
      </c>
      <c r="AJ925" s="145">
        <f t="shared" si="44"/>
        <v>0</v>
      </c>
      <c r="AK925" s="148" t="s">
        <v>75</v>
      </c>
    </row>
    <row r="926" spans="1:37" ht="30" customHeight="1">
      <c r="A926" s="62"/>
      <c r="B926" s="62"/>
      <c r="C926" s="62"/>
      <c r="D926" s="62"/>
      <c r="E926" s="62"/>
      <c r="F926" s="62"/>
      <c r="G926" s="62"/>
      <c r="H926" s="62"/>
      <c r="I926" s="62"/>
      <c r="J926" s="62"/>
      <c r="K926" s="62"/>
      <c r="L926" s="62"/>
      <c r="M926" s="62"/>
      <c r="N926" s="186"/>
      <c r="O926" s="152"/>
      <c r="P926" s="90"/>
      <c r="Q926" s="140"/>
      <c r="R926" s="90"/>
      <c r="S926" s="140"/>
      <c r="T926" s="90"/>
      <c r="U926" s="140"/>
      <c r="V926" s="90"/>
      <c r="W926" s="140"/>
      <c r="X926" s="90"/>
      <c r="Y926" s="140"/>
      <c r="Z926" s="90"/>
      <c r="AA926" s="140"/>
      <c r="AB926" s="90"/>
      <c r="AC926" s="140"/>
      <c r="AD926" s="90"/>
      <c r="AE926" s="140"/>
      <c r="AF926" s="137" t="str">
        <f t="shared" si="46"/>
        <v/>
      </c>
      <c r="AG926" s="179" t="b">
        <f t="shared" si="45"/>
        <v>0</v>
      </c>
      <c r="AH926" s="140"/>
      <c r="AI926" s="147" t="s">
        <v>36</v>
      </c>
      <c r="AJ926" s="145">
        <f t="shared" si="44"/>
        <v>0</v>
      </c>
      <c r="AK926" s="148" t="s">
        <v>75</v>
      </c>
    </row>
    <row r="927" spans="1:37" ht="30" customHeight="1">
      <c r="A927" s="62"/>
      <c r="B927" s="62"/>
      <c r="C927" s="62"/>
      <c r="D927" s="62"/>
      <c r="E927" s="62"/>
      <c r="F927" s="62"/>
      <c r="G927" s="62"/>
      <c r="H927" s="62"/>
      <c r="I927" s="62"/>
      <c r="J927" s="62"/>
      <c r="K927" s="62"/>
      <c r="L927" s="62"/>
      <c r="M927" s="62"/>
      <c r="N927" s="186"/>
      <c r="O927" s="152"/>
      <c r="P927" s="90"/>
      <c r="Q927" s="140"/>
      <c r="R927" s="90"/>
      <c r="S927" s="140"/>
      <c r="T927" s="90"/>
      <c r="U927" s="140"/>
      <c r="V927" s="90"/>
      <c r="W927" s="140"/>
      <c r="X927" s="90"/>
      <c r="Y927" s="140"/>
      <c r="Z927" s="90"/>
      <c r="AA927" s="140"/>
      <c r="AB927" s="90"/>
      <c r="AC927" s="140"/>
      <c r="AD927" s="90"/>
      <c r="AE927" s="140"/>
      <c r="AF927" s="137" t="str">
        <f t="shared" si="46"/>
        <v/>
      </c>
      <c r="AG927" s="179" t="b">
        <f t="shared" si="45"/>
        <v>0</v>
      </c>
      <c r="AH927" s="140"/>
      <c r="AI927" s="147" t="s">
        <v>36</v>
      </c>
      <c r="AJ927" s="145">
        <f t="shared" si="44"/>
        <v>0</v>
      </c>
      <c r="AK927" s="148" t="s">
        <v>75</v>
      </c>
    </row>
    <row r="928" spans="1:37" ht="30" customHeight="1">
      <c r="A928" s="62"/>
      <c r="B928" s="62"/>
      <c r="C928" s="62"/>
      <c r="D928" s="62"/>
      <c r="E928" s="62"/>
      <c r="F928" s="62"/>
      <c r="G928" s="62"/>
      <c r="H928" s="62"/>
      <c r="I928" s="62"/>
      <c r="J928" s="62"/>
      <c r="K928" s="62"/>
      <c r="L928" s="62"/>
      <c r="M928" s="62"/>
      <c r="N928" s="186"/>
      <c r="O928" s="152"/>
      <c r="P928" s="90"/>
      <c r="Q928" s="140"/>
      <c r="R928" s="90"/>
      <c r="S928" s="140"/>
      <c r="T928" s="90"/>
      <c r="U928" s="140"/>
      <c r="V928" s="90"/>
      <c r="W928" s="140"/>
      <c r="X928" s="90"/>
      <c r="Y928" s="140"/>
      <c r="Z928" s="90"/>
      <c r="AA928" s="140"/>
      <c r="AB928" s="90"/>
      <c r="AC928" s="140"/>
      <c r="AD928" s="90"/>
      <c r="AE928" s="140"/>
      <c r="AF928" s="137" t="str">
        <f t="shared" si="46"/>
        <v/>
      </c>
      <c r="AG928" s="179" t="b">
        <f t="shared" si="45"/>
        <v>0</v>
      </c>
      <c r="AH928" s="140"/>
      <c r="AI928" s="147" t="s">
        <v>36</v>
      </c>
      <c r="AJ928" s="145">
        <f t="shared" ref="AJ928:AJ957" si="47">E928</f>
        <v>0</v>
      </c>
      <c r="AK928" s="148" t="s">
        <v>75</v>
      </c>
    </row>
    <row r="929" spans="1:37" ht="30" customHeight="1">
      <c r="A929" s="62"/>
      <c r="B929" s="62"/>
      <c r="C929" s="62"/>
      <c r="D929" s="62"/>
      <c r="E929" s="62"/>
      <c r="F929" s="62"/>
      <c r="G929" s="62"/>
      <c r="H929" s="62"/>
      <c r="I929" s="62"/>
      <c r="J929" s="62"/>
      <c r="K929" s="62"/>
      <c r="L929" s="62"/>
      <c r="M929" s="62"/>
      <c r="N929" s="186"/>
      <c r="O929" s="152"/>
      <c r="P929" s="90"/>
      <c r="Q929" s="140"/>
      <c r="R929" s="90"/>
      <c r="S929" s="140"/>
      <c r="T929" s="90"/>
      <c r="U929" s="140"/>
      <c r="V929" s="90"/>
      <c r="W929" s="140"/>
      <c r="X929" s="90"/>
      <c r="Y929" s="140"/>
      <c r="Z929" s="90"/>
      <c r="AA929" s="140"/>
      <c r="AB929" s="90"/>
      <c r="AC929" s="140"/>
      <c r="AD929" s="90"/>
      <c r="AE929" s="140"/>
      <c r="AF929" s="137" t="str">
        <f t="shared" si="46"/>
        <v/>
      </c>
      <c r="AG929" s="179" t="b">
        <f t="shared" si="45"/>
        <v>0</v>
      </c>
      <c r="AH929" s="140"/>
      <c r="AI929" s="147" t="s">
        <v>36</v>
      </c>
      <c r="AJ929" s="145">
        <f t="shared" si="47"/>
        <v>0</v>
      </c>
      <c r="AK929" s="148" t="s">
        <v>75</v>
      </c>
    </row>
    <row r="930" spans="1:37" ht="30" customHeight="1">
      <c r="A930" s="62"/>
      <c r="B930" s="62"/>
      <c r="C930" s="62"/>
      <c r="D930" s="62"/>
      <c r="E930" s="62"/>
      <c r="F930" s="62"/>
      <c r="G930" s="62"/>
      <c r="H930" s="62"/>
      <c r="I930" s="62"/>
      <c r="J930" s="62"/>
      <c r="K930" s="62"/>
      <c r="L930" s="62"/>
      <c r="M930" s="62"/>
      <c r="N930" s="186"/>
      <c r="O930" s="152"/>
      <c r="P930" s="90"/>
      <c r="Q930" s="140"/>
      <c r="R930" s="90"/>
      <c r="S930" s="140"/>
      <c r="T930" s="90"/>
      <c r="U930" s="140"/>
      <c r="V930" s="90"/>
      <c r="W930" s="140"/>
      <c r="X930" s="90"/>
      <c r="Y930" s="140"/>
      <c r="Z930" s="90"/>
      <c r="AA930" s="140"/>
      <c r="AB930" s="90"/>
      <c r="AC930" s="140"/>
      <c r="AD930" s="90"/>
      <c r="AE930" s="140"/>
      <c r="AF930" s="137" t="str">
        <f t="shared" si="46"/>
        <v/>
      </c>
      <c r="AG930" s="179" t="b">
        <f t="shared" si="45"/>
        <v>0</v>
      </c>
      <c r="AH930" s="140"/>
      <c r="AI930" s="147" t="s">
        <v>36</v>
      </c>
      <c r="AJ930" s="145">
        <f t="shared" si="47"/>
        <v>0</v>
      </c>
      <c r="AK930" s="148" t="s">
        <v>75</v>
      </c>
    </row>
    <row r="931" spans="1:37" ht="30" customHeight="1">
      <c r="A931" s="62"/>
      <c r="B931" s="62"/>
      <c r="C931" s="62"/>
      <c r="D931" s="62"/>
      <c r="E931" s="62"/>
      <c r="F931" s="62"/>
      <c r="G931" s="62"/>
      <c r="H931" s="62"/>
      <c r="I931" s="62"/>
      <c r="J931" s="62"/>
      <c r="K931" s="62"/>
      <c r="L931" s="62"/>
      <c r="M931" s="62"/>
      <c r="N931" s="186"/>
      <c r="O931" s="152"/>
      <c r="P931" s="90"/>
      <c r="Q931" s="140"/>
      <c r="R931" s="90"/>
      <c r="S931" s="140"/>
      <c r="T931" s="90"/>
      <c r="U931" s="140"/>
      <c r="V931" s="90"/>
      <c r="W931" s="140"/>
      <c r="X931" s="90"/>
      <c r="Y931" s="140"/>
      <c r="Z931" s="90"/>
      <c r="AA931" s="140"/>
      <c r="AB931" s="90"/>
      <c r="AC931" s="140"/>
      <c r="AD931" s="90"/>
      <c r="AE931" s="140"/>
      <c r="AF931" s="137" t="str">
        <f t="shared" si="46"/>
        <v/>
      </c>
      <c r="AG931" s="179" t="b">
        <f t="shared" si="45"/>
        <v>0</v>
      </c>
      <c r="AH931" s="140"/>
      <c r="AI931" s="147" t="s">
        <v>36</v>
      </c>
      <c r="AJ931" s="145">
        <f t="shared" si="47"/>
        <v>0</v>
      </c>
      <c r="AK931" s="148" t="s">
        <v>75</v>
      </c>
    </row>
    <row r="932" spans="1:37" ht="30" customHeight="1">
      <c r="A932" s="62"/>
      <c r="B932" s="62"/>
      <c r="C932" s="62"/>
      <c r="D932" s="62"/>
      <c r="E932" s="62"/>
      <c r="F932" s="62"/>
      <c r="G932" s="62"/>
      <c r="H932" s="62"/>
      <c r="I932" s="62"/>
      <c r="J932" s="62"/>
      <c r="K932" s="62"/>
      <c r="L932" s="62"/>
      <c r="M932" s="62"/>
      <c r="N932" s="186"/>
      <c r="O932" s="152"/>
      <c r="P932" s="90"/>
      <c r="Q932" s="140"/>
      <c r="R932" s="90"/>
      <c r="S932" s="140"/>
      <c r="T932" s="90"/>
      <c r="U932" s="140"/>
      <c r="V932" s="90"/>
      <c r="W932" s="140"/>
      <c r="X932" s="90"/>
      <c r="Y932" s="140"/>
      <c r="Z932" s="90"/>
      <c r="AA932" s="140"/>
      <c r="AB932" s="90"/>
      <c r="AC932" s="140"/>
      <c r="AD932" s="90"/>
      <c r="AE932" s="140"/>
      <c r="AF932" s="137" t="str">
        <f t="shared" si="46"/>
        <v/>
      </c>
      <c r="AG932" s="179" t="b">
        <f t="shared" si="45"/>
        <v>0</v>
      </c>
      <c r="AH932" s="140"/>
      <c r="AI932" s="147" t="s">
        <v>36</v>
      </c>
      <c r="AJ932" s="145">
        <f t="shared" si="47"/>
        <v>0</v>
      </c>
      <c r="AK932" s="148" t="s">
        <v>75</v>
      </c>
    </row>
    <row r="933" spans="1:37" ht="30" customHeight="1">
      <c r="A933" s="62"/>
      <c r="B933" s="62"/>
      <c r="C933" s="62"/>
      <c r="D933" s="62"/>
      <c r="E933" s="62"/>
      <c r="F933" s="62"/>
      <c r="G933" s="62"/>
      <c r="H933" s="62"/>
      <c r="I933" s="62"/>
      <c r="J933" s="62"/>
      <c r="K933" s="62"/>
      <c r="L933" s="62"/>
      <c r="M933" s="62"/>
      <c r="N933" s="186"/>
      <c r="O933" s="152"/>
      <c r="P933" s="90"/>
      <c r="Q933" s="140"/>
      <c r="R933" s="90"/>
      <c r="S933" s="140"/>
      <c r="T933" s="90"/>
      <c r="U933" s="140"/>
      <c r="V933" s="90"/>
      <c r="W933" s="140"/>
      <c r="X933" s="90"/>
      <c r="Y933" s="140"/>
      <c r="Z933" s="90"/>
      <c r="AA933" s="140"/>
      <c r="AB933" s="90"/>
      <c r="AC933" s="140"/>
      <c r="AD933" s="90"/>
      <c r="AE933" s="140"/>
      <c r="AF933" s="137" t="str">
        <f t="shared" si="46"/>
        <v/>
      </c>
      <c r="AG933" s="179" t="b">
        <f t="shared" si="45"/>
        <v>0</v>
      </c>
      <c r="AH933" s="140"/>
      <c r="AI933" s="147" t="s">
        <v>36</v>
      </c>
      <c r="AJ933" s="145">
        <f t="shared" si="47"/>
        <v>0</v>
      </c>
      <c r="AK933" s="148" t="s">
        <v>75</v>
      </c>
    </row>
    <row r="934" spans="1:37" ht="30" customHeight="1">
      <c r="A934" s="62"/>
      <c r="B934" s="62"/>
      <c r="C934" s="62"/>
      <c r="D934" s="62"/>
      <c r="E934" s="62"/>
      <c r="F934" s="62"/>
      <c r="G934" s="62"/>
      <c r="H934" s="62"/>
      <c r="I934" s="62"/>
      <c r="J934" s="62"/>
      <c r="K934" s="62"/>
      <c r="L934" s="62"/>
      <c r="M934" s="62"/>
      <c r="N934" s="186"/>
      <c r="O934" s="152"/>
      <c r="P934" s="90"/>
      <c r="Q934" s="140"/>
      <c r="R934" s="90"/>
      <c r="S934" s="140"/>
      <c r="T934" s="90"/>
      <c r="U934" s="140"/>
      <c r="V934" s="90"/>
      <c r="W934" s="140"/>
      <c r="X934" s="90"/>
      <c r="Y934" s="140"/>
      <c r="Z934" s="90"/>
      <c r="AA934" s="140"/>
      <c r="AB934" s="90"/>
      <c r="AC934" s="140"/>
      <c r="AD934" s="90"/>
      <c r="AE934" s="140"/>
      <c r="AF934" s="137" t="str">
        <f t="shared" si="46"/>
        <v/>
      </c>
      <c r="AG934" s="179" t="b">
        <f t="shared" si="45"/>
        <v>0</v>
      </c>
      <c r="AH934" s="140"/>
      <c r="AI934" s="147" t="s">
        <v>36</v>
      </c>
      <c r="AJ934" s="145">
        <f t="shared" si="47"/>
        <v>0</v>
      </c>
      <c r="AK934" s="148" t="s">
        <v>75</v>
      </c>
    </row>
    <row r="935" spans="1:37" ht="30" customHeight="1">
      <c r="A935" s="62"/>
      <c r="B935" s="62"/>
      <c r="C935" s="62"/>
      <c r="D935" s="62"/>
      <c r="E935" s="62"/>
      <c r="F935" s="62"/>
      <c r="G935" s="62"/>
      <c r="H935" s="62"/>
      <c r="I935" s="62"/>
      <c r="J935" s="62"/>
      <c r="K935" s="62"/>
      <c r="L935" s="62"/>
      <c r="M935" s="62"/>
      <c r="N935" s="186"/>
      <c r="O935" s="152"/>
      <c r="P935" s="90"/>
      <c r="Q935" s="140"/>
      <c r="R935" s="90"/>
      <c r="S935" s="140"/>
      <c r="T935" s="90"/>
      <c r="U935" s="140"/>
      <c r="V935" s="90"/>
      <c r="W935" s="140"/>
      <c r="X935" s="90"/>
      <c r="Y935" s="140"/>
      <c r="Z935" s="90"/>
      <c r="AA935" s="140"/>
      <c r="AB935" s="90"/>
      <c r="AC935" s="140"/>
      <c r="AD935" s="90"/>
      <c r="AE935" s="140"/>
      <c r="AF935" s="137" t="str">
        <f t="shared" si="46"/>
        <v/>
      </c>
      <c r="AG935" s="179" t="b">
        <f t="shared" si="45"/>
        <v>0</v>
      </c>
      <c r="AH935" s="140"/>
      <c r="AI935" s="147" t="s">
        <v>36</v>
      </c>
      <c r="AJ935" s="145">
        <f t="shared" si="47"/>
        <v>0</v>
      </c>
      <c r="AK935" s="148" t="s">
        <v>75</v>
      </c>
    </row>
    <row r="936" spans="1:37" ht="30" customHeight="1">
      <c r="A936" s="62"/>
      <c r="B936" s="62"/>
      <c r="C936" s="62"/>
      <c r="D936" s="62"/>
      <c r="E936" s="62"/>
      <c r="F936" s="62"/>
      <c r="G936" s="62"/>
      <c r="H936" s="62"/>
      <c r="I936" s="62"/>
      <c r="J936" s="62"/>
      <c r="K936" s="62"/>
      <c r="L936" s="62"/>
      <c r="M936" s="62"/>
      <c r="N936" s="186"/>
      <c r="O936" s="152"/>
      <c r="P936" s="90"/>
      <c r="Q936" s="140"/>
      <c r="R936" s="90"/>
      <c r="S936" s="140"/>
      <c r="T936" s="90"/>
      <c r="U936" s="140"/>
      <c r="V936" s="90"/>
      <c r="W936" s="140"/>
      <c r="X936" s="90"/>
      <c r="Y936" s="140"/>
      <c r="Z936" s="90"/>
      <c r="AA936" s="140"/>
      <c r="AB936" s="90"/>
      <c r="AC936" s="140"/>
      <c r="AD936" s="90"/>
      <c r="AE936" s="140"/>
      <c r="AF936" s="137" t="str">
        <f t="shared" si="46"/>
        <v/>
      </c>
      <c r="AG936" s="179" t="b">
        <f t="shared" si="45"/>
        <v>0</v>
      </c>
      <c r="AH936" s="140"/>
      <c r="AI936" s="147" t="s">
        <v>36</v>
      </c>
      <c r="AJ936" s="145">
        <f t="shared" si="47"/>
        <v>0</v>
      </c>
      <c r="AK936" s="148" t="s">
        <v>75</v>
      </c>
    </row>
    <row r="937" spans="1:37" ht="30" customHeight="1">
      <c r="A937" s="62"/>
      <c r="B937" s="62"/>
      <c r="C937" s="62"/>
      <c r="D937" s="62"/>
      <c r="E937" s="62"/>
      <c r="F937" s="62"/>
      <c r="G937" s="62"/>
      <c r="H937" s="62"/>
      <c r="I937" s="62"/>
      <c r="J937" s="62"/>
      <c r="K937" s="62"/>
      <c r="L937" s="62"/>
      <c r="M937" s="62"/>
      <c r="N937" s="186"/>
      <c r="O937" s="152"/>
      <c r="P937" s="90"/>
      <c r="Q937" s="140"/>
      <c r="R937" s="90"/>
      <c r="S937" s="140"/>
      <c r="T937" s="90"/>
      <c r="U937" s="140"/>
      <c r="V937" s="90"/>
      <c r="W937" s="140"/>
      <c r="X937" s="90"/>
      <c r="Y937" s="140"/>
      <c r="Z937" s="90"/>
      <c r="AA937" s="140"/>
      <c r="AB937" s="90"/>
      <c r="AC937" s="140"/>
      <c r="AD937" s="90"/>
      <c r="AE937" s="140"/>
      <c r="AF937" s="137" t="str">
        <f t="shared" si="46"/>
        <v/>
      </c>
      <c r="AG937" s="179" t="b">
        <f t="shared" si="45"/>
        <v>0</v>
      </c>
      <c r="AH937" s="140"/>
      <c r="AI937" s="147" t="s">
        <v>36</v>
      </c>
      <c r="AJ937" s="145">
        <f t="shared" si="47"/>
        <v>0</v>
      </c>
      <c r="AK937" s="148" t="s">
        <v>75</v>
      </c>
    </row>
    <row r="938" spans="1:37" ht="30" customHeight="1">
      <c r="A938" s="62"/>
      <c r="B938" s="62"/>
      <c r="C938" s="62"/>
      <c r="D938" s="62"/>
      <c r="E938" s="62"/>
      <c r="F938" s="62"/>
      <c r="G938" s="62"/>
      <c r="H938" s="62"/>
      <c r="I938" s="62"/>
      <c r="J938" s="62"/>
      <c r="K938" s="62"/>
      <c r="L938" s="62"/>
      <c r="M938" s="62"/>
      <c r="N938" s="186"/>
      <c r="O938" s="152"/>
      <c r="P938" s="90"/>
      <c r="Q938" s="140"/>
      <c r="R938" s="90"/>
      <c r="S938" s="140"/>
      <c r="T938" s="90"/>
      <c r="U938" s="140"/>
      <c r="V938" s="90"/>
      <c r="W938" s="140"/>
      <c r="X938" s="90"/>
      <c r="Y938" s="140"/>
      <c r="Z938" s="90"/>
      <c r="AA938" s="140"/>
      <c r="AB938" s="90"/>
      <c r="AC938" s="140"/>
      <c r="AD938" s="90"/>
      <c r="AE938" s="140"/>
      <c r="AF938" s="137" t="str">
        <f t="shared" si="46"/>
        <v/>
      </c>
      <c r="AG938" s="179" t="b">
        <f t="shared" si="45"/>
        <v>0</v>
      </c>
      <c r="AH938" s="140"/>
      <c r="AI938" s="147" t="s">
        <v>36</v>
      </c>
      <c r="AJ938" s="145">
        <f t="shared" si="47"/>
        <v>0</v>
      </c>
      <c r="AK938" s="148" t="s">
        <v>75</v>
      </c>
    </row>
    <row r="939" spans="1:37" ht="30" customHeight="1">
      <c r="A939" s="62"/>
      <c r="B939" s="62"/>
      <c r="C939" s="62"/>
      <c r="D939" s="62"/>
      <c r="E939" s="62"/>
      <c r="F939" s="62"/>
      <c r="G939" s="62"/>
      <c r="H939" s="62"/>
      <c r="I939" s="62"/>
      <c r="J939" s="62"/>
      <c r="K939" s="62"/>
      <c r="L939" s="62"/>
      <c r="M939" s="62"/>
      <c r="N939" s="186"/>
      <c r="O939" s="152"/>
      <c r="P939" s="90"/>
      <c r="Q939" s="140"/>
      <c r="R939" s="90"/>
      <c r="S939" s="140"/>
      <c r="T939" s="90"/>
      <c r="U939" s="140"/>
      <c r="V939" s="90"/>
      <c r="W939" s="140"/>
      <c r="X939" s="90"/>
      <c r="Y939" s="140"/>
      <c r="Z939" s="90"/>
      <c r="AA939" s="140"/>
      <c r="AB939" s="90"/>
      <c r="AC939" s="140"/>
      <c r="AD939" s="90"/>
      <c r="AE939" s="140"/>
      <c r="AF939" s="137" t="str">
        <f t="shared" si="46"/>
        <v/>
      </c>
      <c r="AG939" s="179" t="b">
        <f t="shared" si="45"/>
        <v>0</v>
      </c>
      <c r="AH939" s="140"/>
      <c r="AI939" s="147" t="s">
        <v>36</v>
      </c>
      <c r="AJ939" s="145">
        <f t="shared" si="47"/>
        <v>0</v>
      </c>
      <c r="AK939" s="148" t="s">
        <v>75</v>
      </c>
    </row>
    <row r="940" spans="1:37" ht="30" customHeight="1">
      <c r="A940" s="62"/>
      <c r="B940" s="62"/>
      <c r="C940" s="62"/>
      <c r="D940" s="62"/>
      <c r="E940" s="62"/>
      <c r="F940" s="62"/>
      <c r="G940" s="62"/>
      <c r="H940" s="62"/>
      <c r="I940" s="62"/>
      <c r="J940" s="62"/>
      <c r="K940" s="62"/>
      <c r="L940" s="62"/>
      <c r="M940" s="62"/>
      <c r="N940" s="186"/>
      <c r="O940" s="152"/>
      <c r="P940" s="90"/>
      <c r="Q940" s="140"/>
      <c r="R940" s="90"/>
      <c r="S940" s="140"/>
      <c r="T940" s="90"/>
      <c r="U940" s="140"/>
      <c r="V940" s="90"/>
      <c r="W940" s="140"/>
      <c r="X940" s="90"/>
      <c r="Y940" s="140"/>
      <c r="Z940" s="90"/>
      <c r="AA940" s="140"/>
      <c r="AB940" s="90"/>
      <c r="AC940" s="140"/>
      <c r="AD940" s="90"/>
      <c r="AE940" s="140"/>
      <c r="AF940" s="137" t="str">
        <f t="shared" si="46"/>
        <v/>
      </c>
      <c r="AG940" s="179" t="b">
        <f t="shared" si="45"/>
        <v>0</v>
      </c>
      <c r="AH940" s="140"/>
      <c r="AI940" s="147" t="s">
        <v>36</v>
      </c>
      <c r="AJ940" s="145">
        <f t="shared" si="47"/>
        <v>0</v>
      </c>
      <c r="AK940" s="148" t="s">
        <v>75</v>
      </c>
    </row>
    <row r="941" spans="1:37" ht="30" customHeight="1">
      <c r="A941" s="62"/>
      <c r="B941" s="62"/>
      <c r="C941" s="62"/>
      <c r="D941" s="62"/>
      <c r="E941" s="62"/>
      <c r="F941" s="62"/>
      <c r="G941" s="62"/>
      <c r="H941" s="62"/>
      <c r="I941" s="62"/>
      <c r="J941" s="62"/>
      <c r="K941" s="62"/>
      <c r="L941" s="62"/>
      <c r="M941" s="62"/>
      <c r="N941" s="186"/>
      <c r="O941" s="152"/>
      <c r="P941" s="90"/>
      <c r="Q941" s="140"/>
      <c r="R941" s="90"/>
      <c r="S941" s="140"/>
      <c r="T941" s="90"/>
      <c r="U941" s="140"/>
      <c r="V941" s="90"/>
      <c r="W941" s="140"/>
      <c r="X941" s="90"/>
      <c r="Y941" s="140"/>
      <c r="Z941" s="90"/>
      <c r="AA941" s="140"/>
      <c r="AB941" s="90"/>
      <c r="AC941" s="140"/>
      <c r="AD941" s="90"/>
      <c r="AE941" s="140"/>
      <c r="AF941" s="137" t="str">
        <f t="shared" si="46"/>
        <v/>
      </c>
      <c r="AG941" s="179" t="b">
        <f t="shared" si="45"/>
        <v>0</v>
      </c>
      <c r="AH941" s="140"/>
      <c r="AI941" s="147" t="s">
        <v>36</v>
      </c>
      <c r="AJ941" s="145">
        <f t="shared" si="47"/>
        <v>0</v>
      </c>
      <c r="AK941" s="148" t="s">
        <v>75</v>
      </c>
    </row>
    <row r="942" spans="1:37" ht="30" customHeight="1">
      <c r="A942" s="62"/>
      <c r="B942" s="62"/>
      <c r="C942" s="62"/>
      <c r="D942" s="62"/>
      <c r="E942" s="62"/>
      <c r="F942" s="62"/>
      <c r="G942" s="62"/>
      <c r="H942" s="62"/>
      <c r="I942" s="62"/>
      <c r="J942" s="62"/>
      <c r="K942" s="62"/>
      <c r="L942" s="62"/>
      <c r="M942" s="62"/>
      <c r="N942" s="186"/>
      <c r="O942" s="152"/>
      <c r="P942" s="90"/>
      <c r="Q942" s="140"/>
      <c r="R942" s="90"/>
      <c r="S942" s="140"/>
      <c r="T942" s="90"/>
      <c r="U942" s="140"/>
      <c r="V942" s="90"/>
      <c r="W942" s="140"/>
      <c r="X942" s="90"/>
      <c r="Y942" s="140"/>
      <c r="Z942" s="90"/>
      <c r="AA942" s="140"/>
      <c r="AB942" s="90"/>
      <c r="AC942" s="140"/>
      <c r="AD942" s="90"/>
      <c r="AE942" s="140"/>
      <c r="AF942" s="137" t="str">
        <f t="shared" si="46"/>
        <v/>
      </c>
      <c r="AG942" s="179" t="b">
        <f t="shared" si="45"/>
        <v>0</v>
      </c>
      <c r="AH942" s="140"/>
      <c r="AI942" s="147" t="s">
        <v>36</v>
      </c>
      <c r="AJ942" s="145">
        <f t="shared" si="47"/>
        <v>0</v>
      </c>
      <c r="AK942" s="148" t="s">
        <v>75</v>
      </c>
    </row>
    <row r="943" spans="1:37" ht="30" customHeight="1">
      <c r="A943" s="62"/>
      <c r="B943" s="62"/>
      <c r="C943" s="62"/>
      <c r="D943" s="62"/>
      <c r="E943" s="62"/>
      <c r="F943" s="62"/>
      <c r="G943" s="62"/>
      <c r="H943" s="62"/>
      <c r="I943" s="62"/>
      <c r="J943" s="62"/>
      <c r="K943" s="62"/>
      <c r="L943" s="62"/>
      <c r="M943" s="62"/>
      <c r="N943" s="186"/>
      <c r="O943" s="152"/>
      <c r="P943" s="90"/>
      <c r="Q943" s="140"/>
      <c r="R943" s="90"/>
      <c r="S943" s="140"/>
      <c r="T943" s="90"/>
      <c r="U943" s="140"/>
      <c r="V943" s="90"/>
      <c r="W943" s="140"/>
      <c r="X943" s="90"/>
      <c r="Y943" s="140"/>
      <c r="Z943" s="90"/>
      <c r="AA943" s="140"/>
      <c r="AB943" s="90"/>
      <c r="AC943" s="140"/>
      <c r="AD943" s="90"/>
      <c r="AE943" s="140"/>
      <c r="AF943" s="137" t="str">
        <f t="shared" si="46"/>
        <v/>
      </c>
      <c r="AG943" s="179" t="b">
        <f t="shared" si="45"/>
        <v>0</v>
      </c>
      <c r="AH943" s="140"/>
      <c r="AI943" s="147" t="s">
        <v>36</v>
      </c>
      <c r="AJ943" s="145">
        <f t="shared" si="47"/>
        <v>0</v>
      </c>
      <c r="AK943" s="148" t="s">
        <v>75</v>
      </c>
    </row>
    <row r="944" spans="1:37" ht="30" customHeight="1">
      <c r="A944" s="62"/>
      <c r="B944" s="62"/>
      <c r="C944" s="62"/>
      <c r="D944" s="62"/>
      <c r="E944" s="62"/>
      <c r="F944" s="62"/>
      <c r="G944" s="62"/>
      <c r="H944" s="62"/>
      <c r="I944" s="62"/>
      <c r="J944" s="62"/>
      <c r="K944" s="62"/>
      <c r="L944" s="62"/>
      <c r="M944" s="62"/>
      <c r="N944" s="186"/>
      <c r="O944" s="152"/>
      <c r="P944" s="90"/>
      <c r="Q944" s="140"/>
      <c r="R944" s="90"/>
      <c r="S944" s="140"/>
      <c r="T944" s="90"/>
      <c r="U944" s="140"/>
      <c r="V944" s="90"/>
      <c r="W944" s="140"/>
      <c r="X944" s="90"/>
      <c r="Y944" s="140"/>
      <c r="Z944" s="90"/>
      <c r="AA944" s="140"/>
      <c r="AB944" s="90"/>
      <c r="AC944" s="140"/>
      <c r="AD944" s="90"/>
      <c r="AE944" s="140"/>
      <c r="AF944" s="137" t="str">
        <f t="shared" si="46"/>
        <v/>
      </c>
      <c r="AG944" s="179" t="b">
        <f t="shared" si="45"/>
        <v>0</v>
      </c>
      <c r="AH944" s="140"/>
      <c r="AI944" s="147" t="s">
        <v>36</v>
      </c>
      <c r="AJ944" s="145">
        <f t="shared" si="47"/>
        <v>0</v>
      </c>
      <c r="AK944" s="148" t="s">
        <v>75</v>
      </c>
    </row>
    <row r="945" spans="1:37" ht="30" customHeight="1">
      <c r="A945" s="62"/>
      <c r="B945" s="62"/>
      <c r="C945" s="62"/>
      <c r="D945" s="62"/>
      <c r="E945" s="62"/>
      <c r="F945" s="62"/>
      <c r="G945" s="62"/>
      <c r="H945" s="62"/>
      <c r="I945" s="62"/>
      <c r="J945" s="62"/>
      <c r="K945" s="62"/>
      <c r="L945" s="62"/>
      <c r="M945" s="62"/>
      <c r="N945" s="186"/>
      <c r="O945" s="152"/>
      <c r="P945" s="90"/>
      <c r="Q945" s="140"/>
      <c r="R945" s="90"/>
      <c r="S945" s="140"/>
      <c r="T945" s="90"/>
      <c r="U945" s="140"/>
      <c r="V945" s="90"/>
      <c r="W945" s="140"/>
      <c r="X945" s="90"/>
      <c r="Y945" s="140"/>
      <c r="Z945" s="90"/>
      <c r="AA945" s="140"/>
      <c r="AB945" s="90"/>
      <c r="AC945" s="140"/>
      <c r="AD945" s="90"/>
      <c r="AE945" s="140"/>
      <c r="AF945" s="137" t="str">
        <f t="shared" si="46"/>
        <v/>
      </c>
      <c r="AG945" s="179" t="b">
        <f t="shared" si="45"/>
        <v>0</v>
      </c>
      <c r="AH945" s="140"/>
      <c r="AI945" s="147" t="s">
        <v>36</v>
      </c>
      <c r="AJ945" s="145">
        <f t="shared" si="47"/>
        <v>0</v>
      </c>
      <c r="AK945" s="148" t="s">
        <v>75</v>
      </c>
    </row>
    <row r="946" spans="1:37" ht="30" customHeight="1">
      <c r="A946" s="62"/>
      <c r="B946" s="62"/>
      <c r="C946" s="62"/>
      <c r="D946" s="62"/>
      <c r="E946" s="62"/>
      <c r="F946" s="62"/>
      <c r="G946" s="62"/>
      <c r="H946" s="62"/>
      <c r="I946" s="62"/>
      <c r="J946" s="62"/>
      <c r="K946" s="62"/>
      <c r="L946" s="62"/>
      <c r="M946" s="62"/>
      <c r="N946" s="186"/>
      <c r="O946" s="152"/>
      <c r="P946" s="90"/>
      <c r="Q946" s="140"/>
      <c r="R946" s="90"/>
      <c r="S946" s="140"/>
      <c r="T946" s="90"/>
      <c r="U946" s="140"/>
      <c r="V946" s="90"/>
      <c r="W946" s="140"/>
      <c r="X946" s="90"/>
      <c r="Y946" s="140"/>
      <c r="Z946" s="90"/>
      <c r="AA946" s="140"/>
      <c r="AB946" s="90"/>
      <c r="AC946" s="140"/>
      <c r="AD946" s="90"/>
      <c r="AE946" s="140"/>
      <c r="AF946" s="137" t="str">
        <f t="shared" si="46"/>
        <v/>
      </c>
      <c r="AG946" s="179" t="b">
        <f t="shared" si="45"/>
        <v>0</v>
      </c>
      <c r="AH946" s="140"/>
      <c r="AI946" s="147" t="s">
        <v>36</v>
      </c>
      <c r="AJ946" s="145">
        <f t="shared" si="47"/>
        <v>0</v>
      </c>
      <c r="AK946" s="148" t="s">
        <v>75</v>
      </c>
    </row>
    <row r="947" spans="1:37" ht="30" customHeight="1">
      <c r="A947" s="62"/>
      <c r="B947" s="62"/>
      <c r="C947" s="62"/>
      <c r="D947" s="62"/>
      <c r="E947" s="62"/>
      <c r="F947" s="62"/>
      <c r="G947" s="62"/>
      <c r="H947" s="62"/>
      <c r="I947" s="62"/>
      <c r="J947" s="62"/>
      <c r="K947" s="62"/>
      <c r="L947" s="62"/>
      <c r="M947" s="62"/>
      <c r="N947" s="186"/>
      <c r="O947" s="152"/>
      <c r="P947" s="90"/>
      <c r="Q947" s="140"/>
      <c r="R947" s="90"/>
      <c r="S947" s="140"/>
      <c r="T947" s="90"/>
      <c r="U947" s="140"/>
      <c r="V947" s="90"/>
      <c r="W947" s="140"/>
      <c r="X947" s="90"/>
      <c r="Y947" s="140"/>
      <c r="Z947" s="90"/>
      <c r="AA947" s="140"/>
      <c r="AB947" s="90"/>
      <c r="AC947" s="140"/>
      <c r="AD947" s="90"/>
      <c r="AE947" s="140"/>
      <c r="AF947" s="137" t="str">
        <f t="shared" si="46"/>
        <v/>
      </c>
      <c r="AG947" s="179" t="b">
        <f t="shared" si="45"/>
        <v>0</v>
      </c>
      <c r="AH947" s="140"/>
      <c r="AI947" s="147" t="s">
        <v>36</v>
      </c>
      <c r="AJ947" s="145">
        <f t="shared" si="47"/>
        <v>0</v>
      </c>
      <c r="AK947" s="148" t="s">
        <v>75</v>
      </c>
    </row>
    <row r="948" spans="1:37" ht="30" customHeight="1">
      <c r="A948" s="62"/>
      <c r="B948" s="62"/>
      <c r="C948" s="62"/>
      <c r="D948" s="62"/>
      <c r="E948" s="62"/>
      <c r="F948" s="62"/>
      <c r="G948" s="62"/>
      <c r="H948" s="62"/>
      <c r="I948" s="62"/>
      <c r="J948" s="62"/>
      <c r="K948" s="62"/>
      <c r="L948" s="62"/>
      <c r="M948" s="62"/>
      <c r="N948" s="186"/>
      <c r="O948" s="152"/>
      <c r="P948" s="90"/>
      <c r="Q948" s="140"/>
      <c r="R948" s="90"/>
      <c r="S948" s="140"/>
      <c r="T948" s="90"/>
      <c r="U948" s="140"/>
      <c r="V948" s="90"/>
      <c r="W948" s="140"/>
      <c r="X948" s="90"/>
      <c r="Y948" s="140"/>
      <c r="Z948" s="90"/>
      <c r="AA948" s="140"/>
      <c r="AB948" s="90"/>
      <c r="AC948" s="140"/>
      <c r="AD948" s="90"/>
      <c r="AE948" s="140"/>
      <c r="AF948" s="137" t="str">
        <f t="shared" si="46"/>
        <v/>
      </c>
      <c r="AG948" s="179" t="b">
        <f t="shared" si="45"/>
        <v>0</v>
      </c>
      <c r="AH948" s="140"/>
      <c r="AI948" s="147" t="s">
        <v>36</v>
      </c>
      <c r="AJ948" s="145">
        <f t="shared" si="47"/>
        <v>0</v>
      </c>
      <c r="AK948" s="148" t="s">
        <v>75</v>
      </c>
    </row>
    <row r="949" spans="1:37" ht="30" customHeight="1">
      <c r="A949" s="62"/>
      <c r="B949" s="62"/>
      <c r="C949" s="62"/>
      <c r="D949" s="62"/>
      <c r="E949" s="62"/>
      <c r="F949" s="62"/>
      <c r="G949" s="62"/>
      <c r="H949" s="62"/>
      <c r="I949" s="62"/>
      <c r="J949" s="62"/>
      <c r="K949" s="62"/>
      <c r="L949" s="62"/>
      <c r="M949" s="62"/>
      <c r="N949" s="186"/>
      <c r="O949" s="152"/>
      <c r="P949" s="90"/>
      <c r="Q949" s="140"/>
      <c r="R949" s="90"/>
      <c r="S949" s="140"/>
      <c r="T949" s="90"/>
      <c r="U949" s="140"/>
      <c r="V949" s="90"/>
      <c r="W949" s="140"/>
      <c r="X949" s="90"/>
      <c r="Y949" s="140"/>
      <c r="Z949" s="90"/>
      <c r="AA949" s="140"/>
      <c r="AB949" s="90"/>
      <c r="AC949" s="140"/>
      <c r="AD949" s="90"/>
      <c r="AE949" s="140"/>
      <c r="AF949" s="137" t="str">
        <f t="shared" si="46"/>
        <v/>
      </c>
      <c r="AG949" s="179" t="b">
        <f t="shared" si="45"/>
        <v>0</v>
      </c>
      <c r="AH949" s="140"/>
      <c r="AI949" s="147" t="s">
        <v>36</v>
      </c>
      <c r="AJ949" s="145">
        <f t="shared" si="47"/>
        <v>0</v>
      </c>
      <c r="AK949" s="148" t="s">
        <v>75</v>
      </c>
    </row>
    <row r="950" spans="1:37" ht="30" customHeight="1">
      <c r="A950" s="62"/>
      <c r="B950" s="62"/>
      <c r="C950" s="62"/>
      <c r="D950" s="62"/>
      <c r="E950" s="62"/>
      <c r="F950" s="62"/>
      <c r="G950" s="62"/>
      <c r="H950" s="62"/>
      <c r="I950" s="62"/>
      <c r="J950" s="62"/>
      <c r="K950" s="62"/>
      <c r="L950" s="62"/>
      <c r="M950" s="62"/>
      <c r="N950" s="186"/>
      <c r="O950" s="152"/>
      <c r="P950" s="90"/>
      <c r="Q950" s="140"/>
      <c r="R950" s="90"/>
      <c r="S950" s="140"/>
      <c r="T950" s="90"/>
      <c r="U950" s="140"/>
      <c r="V950" s="90"/>
      <c r="W950" s="140"/>
      <c r="X950" s="90"/>
      <c r="Y950" s="140"/>
      <c r="Z950" s="90"/>
      <c r="AA950" s="140"/>
      <c r="AB950" s="90"/>
      <c r="AC950" s="140"/>
      <c r="AD950" s="90"/>
      <c r="AE950" s="140"/>
      <c r="AF950" s="137" t="str">
        <f t="shared" si="46"/>
        <v/>
      </c>
      <c r="AG950" s="179" t="b">
        <f t="shared" si="45"/>
        <v>0</v>
      </c>
      <c r="AH950" s="140"/>
      <c r="AI950" s="147" t="s">
        <v>36</v>
      </c>
      <c r="AJ950" s="145">
        <f t="shared" si="47"/>
        <v>0</v>
      </c>
      <c r="AK950" s="148" t="s">
        <v>75</v>
      </c>
    </row>
    <row r="951" spans="1:37" ht="30" customHeight="1">
      <c r="A951" s="62"/>
      <c r="B951" s="62"/>
      <c r="C951" s="62"/>
      <c r="D951" s="62"/>
      <c r="E951" s="62"/>
      <c r="F951" s="62"/>
      <c r="G951" s="62"/>
      <c r="H951" s="62"/>
      <c r="I951" s="62"/>
      <c r="J951" s="62"/>
      <c r="K951" s="62"/>
      <c r="L951" s="62"/>
      <c r="M951" s="62"/>
      <c r="N951" s="186"/>
      <c r="O951" s="152"/>
      <c r="P951" s="90"/>
      <c r="Q951" s="140"/>
      <c r="R951" s="90"/>
      <c r="S951" s="140"/>
      <c r="T951" s="90"/>
      <c r="U951" s="140"/>
      <c r="V951" s="90"/>
      <c r="W951" s="140"/>
      <c r="X951" s="90"/>
      <c r="Y951" s="140"/>
      <c r="Z951" s="90"/>
      <c r="AA951" s="140"/>
      <c r="AB951" s="90"/>
      <c r="AC951" s="140"/>
      <c r="AD951" s="90"/>
      <c r="AE951" s="140"/>
      <c r="AF951" s="137" t="str">
        <f t="shared" si="46"/>
        <v/>
      </c>
      <c r="AG951" s="179" t="b">
        <f t="shared" si="45"/>
        <v>0</v>
      </c>
      <c r="AH951" s="140"/>
      <c r="AI951" s="147" t="s">
        <v>36</v>
      </c>
      <c r="AJ951" s="145">
        <f t="shared" si="47"/>
        <v>0</v>
      </c>
      <c r="AK951" s="148" t="s">
        <v>75</v>
      </c>
    </row>
    <row r="952" spans="1:37" ht="30" customHeight="1">
      <c r="A952" s="62"/>
      <c r="B952" s="62"/>
      <c r="C952" s="62"/>
      <c r="D952" s="62"/>
      <c r="E952" s="62"/>
      <c r="F952" s="62"/>
      <c r="G952" s="62"/>
      <c r="H952" s="62"/>
      <c r="I952" s="62"/>
      <c r="J952" s="62"/>
      <c r="K952" s="62"/>
      <c r="L952" s="62"/>
      <c r="M952" s="62"/>
      <c r="N952" s="186"/>
      <c r="O952" s="152"/>
      <c r="P952" s="90"/>
      <c r="Q952" s="140"/>
      <c r="R952" s="90"/>
      <c r="S952" s="140"/>
      <c r="T952" s="90"/>
      <c r="U952" s="140"/>
      <c r="V952" s="90"/>
      <c r="W952" s="140"/>
      <c r="X952" s="90"/>
      <c r="Y952" s="140"/>
      <c r="Z952" s="90"/>
      <c r="AA952" s="140"/>
      <c r="AB952" s="90"/>
      <c r="AC952" s="140"/>
      <c r="AD952" s="90"/>
      <c r="AE952" s="140"/>
      <c r="AF952" s="137" t="str">
        <f t="shared" si="46"/>
        <v/>
      </c>
      <c r="AG952" s="179" t="b">
        <f t="shared" si="45"/>
        <v>0</v>
      </c>
      <c r="AH952" s="140"/>
      <c r="AI952" s="147" t="s">
        <v>36</v>
      </c>
      <c r="AJ952" s="145">
        <f t="shared" si="47"/>
        <v>0</v>
      </c>
      <c r="AK952" s="148" t="s">
        <v>75</v>
      </c>
    </row>
    <row r="953" spans="1:37" ht="30" customHeight="1">
      <c r="A953" s="62"/>
      <c r="B953" s="62"/>
      <c r="C953" s="62"/>
      <c r="D953" s="62"/>
      <c r="E953" s="62"/>
      <c r="F953" s="62"/>
      <c r="G953" s="62"/>
      <c r="H953" s="62"/>
      <c r="I953" s="62"/>
      <c r="J953" s="62"/>
      <c r="K953" s="62"/>
      <c r="L953" s="62"/>
      <c r="M953" s="62"/>
      <c r="N953" s="186"/>
      <c r="O953" s="152"/>
      <c r="P953" s="90"/>
      <c r="Q953" s="140"/>
      <c r="R953" s="90"/>
      <c r="S953" s="140"/>
      <c r="T953" s="90"/>
      <c r="U953" s="140"/>
      <c r="V953" s="90"/>
      <c r="W953" s="140"/>
      <c r="X953" s="90"/>
      <c r="Y953" s="140"/>
      <c r="Z953" s="90"/>
      <c r="AA953" s="140"/>
      <c r="AB953" s="90"/>
      <c r="AC953" s="140"/>
      <c r="AD953" s="90"/>
      <c r="AE953" s="140"/>
      <c r="AF953" s="137" t="str">
        <f t="shared" si="46"/>
        <v/>
      </c>
      <c r="AG953" s="179" t="b">
        <f t="shared" si="45"/>
        <v>0</v>
      </c>
      <c r="AH953" s="140"/>
      <c r="AI953" s="147" t="s">
        <v>36</v>
      </c>
      <c r="AJ953" s="145">
        <f t="shared" si="47"/>
        <v>0</v>
      </c>
      <c r="AK953" s="148" t="s">
        <v>75</v>
      </c>
    </row>
    <row r="954" spans="1:37" ht="30" customHeight="1">
      <c r="A954" s="62"/>
      <c r="B954" s="62"/>
      <c r="C954" s="62"/>
      <c r="D954" s="62"/>
      <c r="E954" s="62"/>
      <c r="F954" s="62"/>
      <c r="G954" s="62"/>
      <c r="H954" s="62"/>
      <c r="I954" s="62"/>
      <c r="J954" s="62"/>
      <c r="K954" s="62"/>
      <c r="L954" s="62"/>
      <c r="M954" s="62"/>
      <c r="N954" s="186"/>
      <c r="O954" s="152"/>
      <c r="P954" s="90"/>
      <c r="Q954" s="140"/>
      <c r="R954" s="90"/>
      <c r="S954" s="140"/>
      <c r="T954" s="90"/>
      <c r="U954" s="140"/>
      <c r="V954" s="90"/>
      <c r="W954" s="140"/>
      <c r="X954" s="90"/>
      <c r="Y954" s="140"/>
      <c r="Z954" s="90"/>
      <c r="AA954" s="140"/>
      <c r="AB954" s="90"/>
      <c r="AC954" s="140"/>
      <c r="AD954" s="90"/>
      <c r="AE954" s="140"/>
      <c r="AF954" s="137" t="str">
        <f t="shared" si="46"/>
        <v/>
      </c>
      <c r="AG954" s="179" t="b">
        <f t="shared" si="45"/>
        <v>0</v>
      </c>
      <c r="AH954" s="140"/>
      <c r="AI954" s="147" t="s">
        <v>36</v>
      </c>
      <c r="AJ954" s="145">
        <f t="shared" si="47"/>
        <v>0</v>
      </c>
      <c r="AK954" s="148" t="s">
        <v>75</v>
      </c>
    </row>
    <row r="955" spans="1:37" ht="30" customHeight="1">
      <c r="A955" s="62"/>
      <c r="B955" s="62"/>
      <c r="C955" s="62"/>
      <c r="D955" s="62"/>
      <c r="E955" s="62"/>
      <c r="F955" s="62"/>
      <c r="G955" s="62"/>
      <c r="H955" s="62"/>
      <c r="I955" s="62"/>
      <c r="J955" s="62"/>
      <c r="K955" s="62"/>
      <c r="L955" s="62"/>
      <c r="M955" s="62"/>
      <c r="N955" s="186"/>
      <c r="O955" s="152"/>
      <c r="P955" s="90"/>
      <c r="Q955" s="140"/>
      <c r="R955" s="90"/>
      <c r="S955" s="140"/>
      <c r="T955" s="90"/>
      <c r="U955" s="140"/>
      <c r="V955" s="90"/>
      <c r="W955" s="140"/>
      <c r="X955" s="90"/>
      <c r="Y955" s="140"/>
      <c r="Z955" s="90"/>
      <c r="AA955" s="140"/>
      <c r="AB955" s="90"/>
      <c r="AC955" s="140"/>
      <c r="AD955" s="90"/>
      <c r="AE955" s="140"/>
      <c r="AF955" s="137" t="str">
        <f t="shared" si="46"/>
        <v/>
      </c>
      <c r="AG955" s="179" t="b">
        <f t="shared" si="45"/>
        <v>0</v>
      </c>
      <c r="AH955" s="140"/>
      <c r="AI955" s="147" t="s">
        <v>36</v>
      </c>
      <c r="AJ955" s="145">
        <f t="shared" si="47"/>
        <v>0</v>
      </c>
      <c r="AK955" s="148" t="s">
        <v>75</v>
      </c>
    </row>
    <row r="956" spans="1:37" ht="30" customHeight="1">
      <c r="A956" s="62"/>
      <c r="B956" s="62"/>
      <c r="C956" s="62"/>
      <c r="D956" s="62"/>
      <c r="E956" s="62"/>
      <c r="F956" s="62"/>
      <c r="G956" s="62"/>
      <c r="H956" s="62"/>
      <c r="I956" s="62"/>
      <c r="J956" s="62"/>
      <c r="K956" s="62"/>
      <c r="L956" s="62"/>
      <c r="M956" s="62"/>
      <c r="N956" s="186"/>
      <c r="O956" s="152"/>
      <c r="P956" s="90"/>
      <c r="Q956" s="140"/>
      <c r="R956" s="90"/>
      <c r="S956" s="140"/>
      <c r="T956" s="90"/>
      <c r="U956" s="140"/>
      <c r="V956" s="90"/>
      <c r="W956" s="140"/>
      <c r="X956" s="90"/>
      <c r="Y956" s="140"/>
      <c r="Z956" s="90"/>
      <c r="AA956" s="140"/>
      <c r="AB956" s="90"/>
      <c r="AC956" s="140"/>
      <c r="AD956" s="90"/>
      <c r="AE956" s="140"/>
      <c r="AF956" s="137" t="str">
        <f t="shared" si="46"/>
        <v/>
      </c>
      <c r="AG956" s="179" t="b">
        <f t="shared" si="45"/>
        <v>0</v>
      </c>
      <c r="AH956" s="140"/>
      <c r="AI956" s="147" t="s">
        <v>36</v>
      </c>
      <c r="AJ956" s="145">
        <f t="shared" si="47"/>
        <v>0</v>
      </c>
      <c r="AK956" s="148" t="s">
        <v>75</v>
      </c>
    </row>
    <row r="957" spans="1:37" ht="30" customHeight="1">
      <c r="A957" s="62"/>
      <c r="B957" s="62"/>
      <c r="C957" s="62"/>
      <c r="D957" s="62"/>
      <c r="E957" s="62"/>
      <c r="F957" s="62"/>
      <c r="G957" s="62"/>
      <c r="H957" s="62"/>
      <c r="I957" s="62"/>
      <c r="J957" s="62"/>
      <c r="K957" s="62"/>
      <c r="L957" s="62"/>
      <c r="M957" s="62"/>
      <c r="N957" s="186"/>
      <c r="O957" s="152"/>
      <c r="P957" s="90"/>
      <c r="Q957" s="140"/>
      <c r="R957" s="90"/>
      <c r="S957" s="140"/>
      <c r="T957" s="90"/>
      <c r="U957" s="140"/>
      <c r="V957" s="90"/>
      <c r="W957" s="140"/>
      <c r="X957" s="90"/>
      <c r="Y957" s="140"/>
      <c r="Z957" s="90"/>
      <c r="AA957" s="140"/>
      <c r="AB957" s="90"/>
      <c r="AC957" s="140"/>
      <c r="AD957" s="90"/>
      <c r="AE957" s="140"/>
      <c r="AF957" s="137" t="str">
        <f t="shared" si="46"/>
        <v/>
      </c>
      <c r="AG957" s="179" t="b">
        <f t="shared" si="45"/>
        <v>0</v>
      </c>
      <c r="AH957" s="140"/>
      <c r="AI957" s="147" t="s">
        <v>36</v>
      </c>
      <c r="AJ957" s="147">
        <f t="shared" si="47"/>
        <v>0</v>
      </c>
      <c r="AK957" s="148" t="s">
        <v>75</v>
      </c>
    </row>
    <row r="958" spans="1:37" ht="30" customHeight="1">
      <c r="A958" s="62"/>
      <c r="B958" s="62"/>
      <c r="C958" s="62"/>
      <c r="D958" s="62"/>
      <c r="E958" s="62"/>
      <c r="F958" s="62"/>
      <c r="G958" s="62"/>
      <c r="H958" s="62"/>
      <c r="I958" s="62"/>
      <c r="J958" s="62"/>
      <c r="K958" s="62"/>
      <c r="L958" s="62"/>
      <c r="M958" s="62"/>
      <c r="N958" s="186"/>
      <c r="O958" s="152"/>
      <c r="P958" s="90"/>
      <c r="Q958" s="140"/>
      <c r="R958" s="90"/>
      <c r="S958" s="140"/>
      <c r="T958" s="90"/>
      <c r="U958" s="140"/>
      <c r="V958" s="90"/>
      <c r="W958" s="140"/>
      <c r="X958" s="90"/>
      <c r="Y958" s="140"/>
      <c r="Z958" s="90"/>
      <c r="AA958" s="140"/>
      <c r="AB958" s="90"/>
      <c r="AC958" s="140"/>
      <c r="AD958" s="90"/>
      <c r="AE958" s="140"/>
      <c r="AF958" s="137" t="str">
        <f t="shared" si="46"/>
        <v/>
      </c>
      <c r="AG958" s="179" t="b">
        <f t="shared" si="45"/>
        <v>0</v>
      </c>
      <c r="AH958" s="140"/>
      <c r="AI958" s="147" t="s">
        <v>36</v>
      </c>
      <c r="AJ958" s="147">
        <f t="shared" ref="AJ958:AJ998" si="48">E958</f>
        <v>0</v>
      </c>
      <c r="AK958" s="148" t="s">
        <v>75</v>
      </c>
    </row>
    <row r="959" spans="1:37" ht="30" customHeight="1">
      <c r="A959" s="62"/>
      <c r="B959" s="62"/>
      <c r="C959" s="62"/>
      <c r="D959" s="62"/>
      <c r="E959" s="62"/>
      <c r="F959" s="62"/>
      <c r="G959" s="62"/>
      <c r="H959" s="62"/>
      <c r="I959" s="62"/>
      <c r="J959" s="62"/>
      <c r="K959" s="62"/>
      <c r="L959" s="62"/>
      <c r="M959" s="62"/>
      <c r="N959" s="186"/>
      <c r="O959" s="152"/>
      <c r="P959" s="90"/>
      <c r="Q959" s="140"/>
      <c r="R959" s="90"/>
      <c r="S959" s="140"/>
      <c r="T959" s="90"/>
      <c r="U959" s="140"/>
      <c r="V959" s="90"/>
      <c r="W959" s="140"/>
      <c r="X959" s="90"/>
      <c r="Y959" s="140"/>
      <c r="Z959" s="90"/>
      <c r="AA959" s="140"/>
      <c r="AB959" s="90"/>
      <c r="AC959" s="140"/>
      <c r="AD959" s="90"/>
      <c r="AE959" s="140"/>
      <c r="AF959" s="137" t="str">
        <f t="shared" si="46"/>
        <v/>
      </c>
      <c r="AG959" s="179" t="b">
        <f t="shared" si="45"/>
        <v>0</v>
      </c>
      <c r="AH959" s="140"/>
      <c r="AI959" s="147" t="s">
        <v>36</v>
      </c>
      <c r="AJ959" s="147">
        <f t="shared" si="48"/>
        <v>0</v>
      </c>
      <c r="AK959" s="148" t="s">
        <v>75</v>
      </c>
    </row>
    <row r="960" spans="1:37" ht="30" customHeight="1">
      <c r="A960" s="62"/>
      <c r="B960" s="62"/>
      <c r="C960" s="62"/>
      <c r="D960" s="62"/>
      <c r="E960" s="62"/>
      <c r="F960" s="62"/>
      <c r="G960" s="62"/>
      <c r="H960" s="62"/>
      <c r="I960" s="62"/>
      <c r="J960" s="62"/>
      <c r="K960" s="62"/>
      <c r="L960" s="62"/>
      <c r="M960" s="62"/>
      <c r="N960" s="186"/>
      <c r="O960" s="152"/>
      <c r="P960" s="90"/>
      <c r="Q960" s="140"/>
      <c r="R960" s="90"/>
      <c r="S960" s="140"/>
      <c r="T960" s="90"/>
      <c r="U960" s="140"/>
      <c r="V960" s="90"/>
      <c r="W960" s="140"/>
      <c r="X960" s="90"/>
      <c r="Y960" s="140"/>
      <c r="Z960" s="90"/>
      <c r="AA960" s="140"/>
      <c r="AB960" s="90"/>
      <c r="AC960" s="140"/>
      <c r="AD960" s="90"/>
      <c r="AE960" s="140"/>
      <c r="AF960" s="137" t="str">
        <f t="shared" si="46"/>
        <v/>
      </c>
      <c r="AG960" s="179" t="b">
        <f t="shared" ref="AG960:AG998" si="49">IF(AND(AE960="C",AF960="C"),"UTILIZOU O PDA CORRETAMENTE",IF(AND(AE960="C",AF960="NC"),"UTILIZOU O PDA CORRETAMENTE. NÃO HÁ FOTOS DE TODAS AS ETAPAS",IF(AND(AE960="NC",AF960="NC"),"NÃO UTILIZOU O PDA",IF(AND(AE960="NA",AF960="NA"),"NÃO AVALIADO POR FALHA DE SINCRONISMO"))))</f>
        <v>0</v>
      </c>
      <c r="AH960" s="140"/>
      <c r="AI960" s="147" t="s">
        <v>36</v>
      </c>
      <c r="AJ960" s="147">
        <f t="shared" si="48"/>
        <v>0</v>
      </c>
      <c r="AK960" s="148" t="s">
        <v>75</v>
      </c>
    </row>
    <row r="961" spans="1:37" ht="30" customHeight="1">
      <c r="A961" s="62"/>
      <c r="B961" s="62"/>
      <c r="C961" s="62"/>
      <c r="D961" s="62"/>
      <c r="E961" s="62"/>
      <c r="F961" s="62"/>
      <c r="G961" s="62"/>
      <c r="H961" s="62"/>
      <c r="I961" s="62"/>
      <c r="J961" s="62"/>
      <c r="K961" s="62"/>
      <c r="L961" s="62"/>
      <c r="M961" s="62"/>
      <c r="N961" s="186"/>
      <c r="O961" s="152"/>
      <c r="P961" s="90"/>
      <c r="Q961" s="140"/>
      <c r="R961" s="90"/>
      <c r="S961" s="140"/>
      <c r="T961" s="90"/>
      <c r="U961" s="140"/>
      <c r="V961" s="90"/>
      <c r="W961" s="140"/>
      <c r="X961" s="90"/>
      <c r="Y961" s="140"/>
      <c r="Z961" s="90"/>
      <c r="AA961" s="140"/>
      <c r="AB961" s="90"/>
      <c r="AC961" s="140"/>
      <c r="AD961" s="90"/>
      <c r="AE961" s="140"/>
      <c r="AF961" s="137" t="str">
        <f t="shared" ref="AF961:AF998" si="50">IF(AND(O961="",Q961="",S961="",U961="",W961="",Y961="",AA961="",AC961=""),"",IF(OR(AND(O961&lt;&gt;"NA",O961&lt;&gt;"C",O961&lt;&gt;"NC",O961&lt;&gt;"SF",O961&lt;&gt;""),AND(Q961&lt;&gt;"NA",Q961&lt;&gt;"C",Q961&lt;&gt;"NC",Q961&lt;&gt;"SF",Q961&lt;&gt;""),AND(S961&lt;&gt;"NA",S961&lt;&gt;"C",S961&lt;&gt;"NC",S961&lt;&gt;"SF",S961&lt;&gt;""),AND(U961&lt;&gt;"NA",U961&lt;&gt;"C",U961&lt;&gt;"NC",U961&lt;&gt;"SF",U961&lt;&gt;""),AND(W961&lt;&gt;"NA",W961&lt;&gt;"C",W961&lt;&gt;"NC",W961&lt;&gt;"SF",W961&lt;&gt;""),AND(Y961&lt;&gt;"NA",Y961&lt;&gt;"C",Y961&lt;&gt;"NC",Y961&lt;&gt;"SF",Y961&lt;&gt;""),AND(AA961&lt;&gt;"NA",AA961&lt;&gt;"C",AA961&lt;&gt;"NC",AA961&lt;&gt;"SF",AA961&lt;&gt;""),AND(AC961&lt;&gt;"NA",AC961&lt;&gt;"C",AC961&lt;&gt;"NC",AC961&lt;&gt;"SF",AC961&lt;&gt;"")),"FALSO",IF(AND(O961="NA",Q961="NA",S961="NA",U961="NA",W961="NA",Y961="NA",AA961="NA",AC961="NA"),"NA",IF(OR(O961="NC",Q961="NC",S961="NC",U961="NC",W961="NC",Y961="NC",AA961="NC",AC961="NC",O961="SF",Q961="SF",S961="SF",U961="SF",W961="SF",Y961="SF",AA961="SF",AC961="SF"),"NC",IF(OR(O961="C",Q961="C",S961="C",U961="C",W961="C",Y961="C",AA961="C",AC961="C"),"C","")))))</f>
        <v/>
      </c>
      <c r="AG961" s="179" t="b">
        <f t="shared" si="49"/>
        <v>0</v>
      </c>
      <c r="AH961" s="140"/>
      <c r="AI961" s="147" t="s">
        <v>36</v>
      </c>
      <c r="AJ961" s="147">
        <f t="shared" si="48"/>
        <v>0</v>
      </c>
      <c r="AK961" s="148" t="s">
        <v>75</v>
      </c>
    </row>
    <row r="962" spans="1:37" ht="30" customHeight="1">
      <c r="A962" s="62"/>
      <c r="B962" s="62"/>
      <c r="C962" s="62"/>
      <c r="D962" s="62"/>
      <c r="E962" s="62"/>
      <c r="F962" s="62"/>
      <c r="G962" s="62"/>
      <c r="H962" s="62"/>
      <c r="I962" s="62"/>
      <c r="J962" s="62"/>
      <c r="K962" s="62"/>
      <c r="L962" s="62"/>
      <c r="M962" s="62"/>
      <c r="N962" s="186"/>
      <c r="O962" s="152"/>
      <c r="P962" s="90"/>
      <c r="Q962" s="140"/>
      <c r="R962" s="90"/>
      <c r="S962" s="140"/>
      <c r="T962" s="90"/>
      <c r="U962" s="140"/>
      <c r="V962" s="90"/>
      <c r="W962" s="140"/>
      <c r="X962" s="90"/>
      <c r="Y962" s="140"/>
      <c r="Z962" s="90"/>
      <c r="AA962" s="140"/>
      <c r="AB962" s="90"/>
      <c r="AC962" s="140"/>
      <c r="AD962" s="90"/>
      <c r="AE962" s="140"/>
      <c r="AF962" s="137" t="str">
        <f t="shared" si="50"/>
        <v/>
      </c>
      <c r="AG962" s="179" t="b">
        <f t="shared" si="49"/>
        <v>0</v>
      </c>
      <c r="AH962" s="140"/>
      <c r="AI962" s="147" t="s">
        <v>36</v>
      </c>
      <c r="AJ962" s="147">
        <f t="shared" si="48"/>
        <v>0</v>
      </c>
      <c r="AK962" s="148" t="s">
        <v>75</v>
      </c>
    </row>
    <row r="963" spans="1:37" ht="30" customHeight="1">
      <c r="A963" s="62"/>
      <c r="B963" s="62"/>
      <c r="C963" s="62"/>
      <c r="D963" s="62"/>
      <c r="E963" s="62"/>
      <c r="F963" s="62"/>
      <c r="G963" s="62"/>
      <c r="H963" s="62"/>
      <c r="I963" s="62"/>
      <c r="J963" s="62"/>
      <c r="K963" s="62"/>
      <c r="L963" s="62"/>
      <c r="M963" s="62"/>
      <c r="N963" s="186"/>
      <c r="O963" s="152"/>
      <c r="P963" s="90"/>
      <c r="Q963" s="140"/>
      <c r="R963" s="90"/>
      <c r="S963" s="140"/>
      <c r="T963" s="90"/>
      <c r="U963" s="140"/>
      <c r="V963" s="90"/>
      <c r="W963" s="140"/>
      <c r="X963" s="90"/>
      <c r="Y963" s="140"/>
      <c r="Z963" s="90"/>
      <c r="AA963" s="140"/>
      <c r="AB963" s="90"/>
      <c r="AC963" s="140"/>
      <c r="AD963" s="90"/>
      <c r="AE963" s="140"/>
      <c r="AF963" s="137" t="str">
        <f t="shared" si="50"/>
        <v/>
      </c>
      <c r="AG963" s="179" t="b">
        <f t="shared" si="49"/>
        <v>0</v>
      </c>
      <c r="AH963" s="140"/>
      <c r="AI963" s="147" t="s">
        <v>36</v>
      </c>
      <c r="AJ963" s="147">
        <f t="shared" si="48"/>
        <v>0</v>
      </c>
      <c r="AK963" s="148" t="s">
        <v>75</v>
      </c>
    </row>
    <row r="964" spans="1:37" ht="30" customHeight="1">
      <c r="A964" s="62"/>
      <c r="B964" s="62"/>
      <c r="C964" s="62"/>
      <c r="D964" s="62"/>
      <c r="E964" s="62"/>
      <c r="F964" s="62"/>
      <c r="G964" s="62"/>
      <c r="H964" s="62"/>
      <c r="I964" s="62"/>
      <c r="J964" s="62"/>
      <c r="K964" s="62"/>
      <c r="L964" s="62"/>
      <c r="M964" s="62"/>
      <c r="N964" s="186"/>
      <c r="O964" s="152"/>
      <c r="P964" s="90"/>
      <c r="Q964" s="140"/>
      <c r="R964" s="90"/>
      <c r="S964" s="140"/>
      <c r="T964" s="90"/>
      <c r="U964" s="140"/>
      <c r="V964" s="90"/>
      <c r="W964" s="140"/>
      <c r="X964" s="90"/>
      <c r="Y964" s="140"/>
      <c r="Z964" s="90"/>
      <c r="AA964" s="140"/>
      <c r="AB964" s="90"/>
      <c r="AC964" s="140"/>
      <c r="AD964" s="90"/>
      <c r="AE964" s="140"/>
      <c r="AF964" s="137" t="str">
        <f t="shared" si="50"/>
        <v/>
      </c>
      <c r="AG964" s="179" t="b">
        <f t="shared" si="49"/>
        <v>0</v>
      </c>
      <c r="AH964" s="140"/>
      <c r="AI964" s="147" t="s">
        <v>36</v>
      </c>
      <c r="AJ964" s="147">
        <f t="shared" si="48"/>
        <v>0</v>
      </c>
      <c r="AK964" s="148" t="s">
        <v>75</v>
      </c>
    </row>
    <row r="965" spans="1:37" ht="30" customHeight="1">
      <c r="A965" s="62"/>
      <c r="B965" s="62"/>
      <c r="C965" s="62"/>
      <c r="D965" s="62"/>
      <c r="E965" s="62"/>
      <c r="F965" s="62"/>
      <c r="G965" s="62"/>
      <c r="H965" s="62"/>
      <c r="I965" s="62"/>
      <c r="J965" s="62"/>
      <c r="K965" s="62"/>
      <c r="L965" s="62"/>
      <c r="M965" s="62"/>
      <c r="N965" s="186"/>
      <c r="O965" s="152"/>
      <c r="P965" s="90"/>
      <c r="Q965" s="140"/>
      <c r="R965" s="90"/>
      <c r="S965" s="140"/>
      <c r="T965" s="90"/>
      <c r="U965" s="140"/>
      <c r="V965" s="90"/>
      <c r="W965" s="140"/>
      <c r="X965" s="90"/>
      <c r="Y965" s="140"/>
      <c r="Z965" s="90"/>
      <c r="AA965" s="140"/>
      <c r="AB965" s="90"/>
      <c r="AC965" s="140"/>
      <c r="AD965" s="90"/>
      <c r="AE965" s="140"/>
      <c r="AF965" s="137" t="str">
        <f t="shared" si="50"/>
        <v/>
      </c>
      <c r="AG965" s="179" t="b">
        <f t="shared" si="49"/>
        <v>0</v>
      </c>
      <c r="AH965" s="140"/>
      <c r="AI965" s="147" t="s">
        <v>36</v>
      </c>
      <c r="AJ965" s="147">
        <f t="shared" si="48"/>
        <v>0</v>
      </c>
      <c r="AK965" s="148" t="s">
        <v>75</v>
      </c>
    </row>
    <row r="966" spans="1:37" ht="30" customHeight="1">
      <c r="A966" s="62"/>
      <c r="B966" s="62"/>
      <c r="C966" s="62"/>
      <c r="D966" s="62"/>
      <c r="E966" s="62"/>
      <c r="F966" s="62"/>
      <c r="G966" s="62"/>
      <c r="H966" s="62"/>
      <c r="I966" s="62"/>
      <c r="J966" s="62"/>
      <c r="K966" s="62"/>
      <c r="L966" s="62"/>
      <c r="M966" s="62"/>
      <c r="N966" s="186"/>
      <c r="O966" s="152"/>
      <c r="P966" s="90"/>
      <c r="Q966" s="140"/>
      <c r="R966" s="90"/>
      <c r="S966" s="140"/>
      <c r="T966" s="90"/>
      <c r="U966" s="140"/>
      <c r="V966" s="90"/>
      <c r="W966" s="140"/>
      <c r="X966" s="90"/>
      <c r="Y966" s="140"/>
      <c r="Z966" s="90"/>
      <c r="AA966" s="140"/>
      <c r="AB966" s="90"/>
      <c r="AC966" s="140"/>
      <c r="AD966" s="90"/>
      <c r="AE966" s="140"/>
      <c r="AF966" s="137" t="str">
        <f t="shared" si="50"/>
        <v/>
      </c>
      <c r="AG966" s="179" t="b">
        <f t="shared" si="49"/>
        <v>0</v>
      </c>
      <c r="AH966" s="140"/>
      <c r="AI966" s="147" t="s">
        <v>36</v>
      </c>
      <c r="AJ966" s="147">
        <f t="shared" si="48"/>
        <v>0</v>
      </c>
      <c r="AK966" s="148" t="s">
        <v>75</v>
      </c>
    </row>
    <row r="967" spans="1:37" ht="30" customHeight="1">
      <c r="A967" s="62"/>
      <c r="B967" s="62"/>
      <c r="C967" s="62"/>
      <c r="D967" s="62"/>
      <c r="E967" s="62"/>
      <c r="F967" s="62"/>
      <c r="G967" s="62"/>
      <c r="H967" s="62"/>
      <c r="I967" s="62"/>
      <c r="J967" s="62"/>
      <c r="K967" s="62"/>
      <c r="L967" s="62"/>
      <c r="M967" s="62"/>
      <c r="N967" s="186"/>
      <c r="O967" s="152"/>
      <c r="P967" s="90"/>
      <c r="Q967" s="140"/>
      <c r="R967" s="90"/>
      <c r="S967" s="140"/>
      <c r="T967" s="90"/>
      <c r="U967" s="140"/>
      <c r="V967" s="90"/>
      <c r="W967" s="140"/>
      <c r="X967" s="90"/>
      <c r="Y967" s="140"/>
      <c r="Z967" s="90"/>
      <c r="AA967" s="140"/>
      <c r="AB967" s="90"/>
      <c r="AC967" s="140"/>
      <c r="AD967" s="90"/>
      <c r="AE967" s="140"/>
      <c r="AF967" s="137" t="str">
        <f t="shared" si="50"/>
        <v/>
      </c>
      <c r="AG967" s="179" t="b">
        <f t="shared" si="49"/>
        <v>0</v>
      </c>
      <c r="AH967" s="140"/>
      <c r="AI967" s="147" t="s">
        <v>36</v>
      </c>
      <c r="AJ967" s="147">
        <f t="shared" si="48"/>
        <v>0</v>
      </c>
      <c r="AK967" s="148" t="s">
        <v>75</v>
      </c>
    </row>
    <row r="968" spans="1:37" ht="30" customHeight="1">
      <c r="A968" s="62"/>
      <c r="B968" s="62"/>
      <c r="C968" s="62"/>
      <c r="D968" s="62"/>
      <c r="E968" s="62"/>
      <c r="F968" s="62"/>
      <c r="G968" s="62"/>
      <c r="H968" s="62"/>
      <c r="I968" s="62"/>
      <c r="J968" s="62"/>
      <c r="K968" s="62"/>
      <c r="L968" s="62"/>
      <c r="M968" s="62"/>
      <c r="N968" s="186"/>
      <c r="O968" s="152"/>
      <c r="P968" s="90"/>
      <c r="Q968" s="140"/>
      <c r="R968" s="90"/>
      <c r="S968" s="140"/>
      <c r="T968" s="90"/>
      <c r="U968" s="140"/>
      <c r="V968" s="90"/>
      <c r="W968" s="140"/>
      <c r="X968" s="90"/>
      <c r="Y968" s="140"/>
      <c r="Z968" s="90"/>
      <c r="AA968" s="140"/>
      <c r="AB968" s="90"/>
      <c r="AC968" s="140"/>
      <c r="AD968" s="90"/>
      <c r="AE968" s="140"/>
      <c r="AF968" s="137" t="str">
        <f t="shared" si="50"/>
        <v/>
      </c>
      <c r="AG968" s="179" t="b">
        <f t="shared" si="49"/>
        <v>0</v>
      </c>
      <c r="AH968" s="140"/>
      <c r="AI968" s="147" t="s">
        <v>36</v>
      </c>
      <c r="AJ968" s="147">
        <f t="shared" si="48"/>
        <v>0</v>
      </c>
      <c r="AK968" s="148" t="s">
        <v>75</v>
      </c>
    </row>
    <row r="969" spans="1:37" ht="30" customHeight="1">
      <c r="A969" s="62"/>
      <c r="B969" s="62"/>
      <c r="C969" s="62"/>
      <c r="D969" s="62"/>
      <c r="E969" s="62"/>
      <c r="F969" s="62"/>
      <c r="G969" s="62"/>
      <c r="H969" s="62"/>
      <c r="I969" s="62"/>
      <c r="J969" s="62"/>
      <c r="K969" s="62"/>
      <c r="L969" s="62"/>
      <c r="M969" s="62"/>
      <c r="N969" s="186"/>
      <c r="O969" s="152"/>
      <c r="P969" s="90"/>
      <c r="Q969" s="140"/>
      <c r="R969" s="90"/>
      <c r="S969" s="140"/>
      <c r="T969" s="90"/>
      <c r="U969" s="140"/>
      <c r="V969" s="90"/>
      <c r="W969" s="140"/>
      <c r="X969" s="90"/>
      <c r="Y969" s="140"/>
      <c r="Z969" s="90"/>
      <c r="AA969" s="140"/>
      <c r="AB969" s="90"/>
      <c r="AC969" s="140"/>
      <c r="AD969" s="90"/>
      <c r="AE969" s="140"/>
      <c r="AF969" s="137" t="str">
        <f t="shared" si="50"/>
        <v/>
      </c>
      <c r="AG969" s="179" t="b">
        <f t="shared" si="49"/>
        <v>0</v>
      </c>
      <c r="AH969" s="140"/>
      <c r="AI969" s="147" t="s">
        <v>36</v>
      </c>
      <c r="AJ969" s="147">
        <f t="shared" si="48"/>
        <v>0</v>
      </c>
      <c r="AK969" s="148" t="s">
        <v>75</v>
      </c>
    </row>
    <row r="970" spans="1:37" ht="30" customHeight="1">
      <c r="A970" s="62"/>
      <c r="B970" s="62"/>
      <c r="C970" s="62"/>
      <c r="D970" s="62"/>
      <c r="E970" s="62"/>
      <c r="F970" s="62"/>
      <c r="G970" s="62"/>
      <c r="H970" s="62"/>
      <c r="I970" s="62"/>
      <c r="J970" s="62"/>
      <c r="K970" s="62"/>
      <c r="L970" s="62"/>
      <c r="M970" s="62"/>
      <c r="N970" s="186"/>
      <c r="O970" s="152"/>
      <c r="P970" s="90"/>
      <c r="Q970" s="140"/>
      <c r="R970" s="90"/>
      <c r="S970" s="140"/>
      <c r="T970" s="90"/>
      <c r="U970" s="140"/>
      <c r="V970" s="90"/>
      <c r="W970" s="140"/>
      <c r="X970" s="90"/>
      <c r="Y970" s="140"/>
      <c r="Z970" s="90"/>
      <c r="AA970" s="140"/>
      <c r="AB970" s="90"/>
      <c r="AC970" s="140"/>
      <c r="AD970" s="90"/>
      <c r="AE970" s="140"/>
      <c r="AF970" s="137" t="str">
        <f t="shared" si="50"/>
        <v/>
      </c>
      <c r="AG970" s="179" t="b">
        <f t="shared" si="49"/>
        <v>0</v>
      </c>
      <c r="AH970" s="140"/>
      <c r="AI970" s="147" t="s">
        <v>36</v>
      </c>
      <c r="AJ970" s="147">
        <f t="shared" si="48"/>
        <v>0</v>
      </c>
      <c r="AK970" s="148" t="s">
        <v>75</v>
      </c>
    </row>
    <row r="971" spans="1:37" ht="30" customHeight="1">
      <c r="A971" s="62"/>
      <c r="B971" s="62"/>
      <c r="C971" s="62"/>
      <c r="D971" s="62"/>
      <c r="E971" s="62"/>
      <c r="F971" s="62"/>
      <c r="G971" s="62"/>
      <c r="H971" s="62"/>
      <c r="I971" s="62"/>
      <c r="J971" s="62"/>
      <c r="K971" s="62"/>
      <c r="L971" s="62"/>
      <c r="M971" s="62"/>
      <c r="N971" s="186"/>
      <c r="O971" s="152"/>
      <c r="P971" s="90"/>
      <c r="Q971" s="140"/>
      <c r="R971" s="90"/>
      <c r="S971" s="140"/>
      <c r="T971" s="90"/>
      <c r="U971" s="140"/>
      <c r="V971" s="90"/>
      <c r="W971" s="140"/>
      <c r="X971" s="90"/>
      <c r="Y971" s="140"/>
      <c r="Z971" s="90"/>
      <c r="AA971" s="140"/>
      <c r="AB971" s="90"/>
      <c r="AC971" s="140"/>
      <c r="AD971" s="90"/>
      <c r="AE971" s="140"/>
      <c r="AF971" s="137" t="str">
        <f t="shared" si="50"/>
        <v/>
      </c>
      <c r="AG971" s="179" t="b">
        <f t="shared" si="49"/>
        <v>0</v>
      </c>
      <c r="AH971" s="140"/>
      <c r="AI971" s="147" t="s">
        <v>36</v>
      </c>
      <c r="AJ971" s="147">
        <f t="shared" si="48"/>
        <v>0</v>
      </c>
      <c r="AK971" s="148" t="s">
        <v>75</v>
      </c>
    </row>
    <row r="972" spans="1:37" ht="30" customHeight="1">
      <c r="A972" s="62"/>
      <c r="B972" s="62"/>
      <c r="C972" s="62"/>
      <c r="D972" s="62"/>
      <c r="E972" s="62"/>
      <c r="F972" s="62"/>
      <c r="G972" s="62"/>
      <c r="H972" s="62"/>
      <c r="I972" s="62"/>
      <c r="J972" s="62"/>
      <c r="K972" s="62"/>
      <c r="L972" s="62"/>
      <c r="M972" s="62"/>
      <c r="N972" s="186"/>
      <c r="O972" s="152"/>
      <c r="P972" s="90"/>
      <c r="Q972" s="140"/>
      <c r="R972" s="90"/>
      <c r="S972" s="140"/>
      <c r="T972" s="90"/>
      <c r="U972" s="140"/>
      <c r="V972" s="90"/>
      <c r="W972" s="140"/>
      <c r="X972" s="90"/>
      <c r="Y972" s="140"/>
      <c r="Z972" s="90"/>
      <c r="AA972" s="140"/>
      <c r="AB972" s="90"/>
      <c r="AC972" s="140"/>
      <c r="AD972" s="90"/>
      <c r="AE972" s="140"/>
      <c r="AF972" s="137" t="str">
        <f t="shared" si="50"/>
        <v/>
      </c>
      <c r="AG972" s="179" t="b">
        <f t="shared" si="49"/>
        <v>0</v>
      </c>
      <c r="AH972" s="140"/>
      <c r="AI972" s="147" t="s">
        <v>36</v>
      </c>
      <c r="AJ972" s="147">
        <f t="shared" si="48"/>
        <v>0</v>
      </c>
      <c r="AK972" s="148" t="s">
        <v>75</v>
      </c>
    </row>
    <row r="973" spans="1:37" ht="30" customHeight="1">
      <c r="A973" s="62"/>
      <c r="B973" s="62"/>
      <c r="C973" s="62"/>
      <c r="D973" s="62"/>
      <c r="E973" s="62"/>
      <c r="F973" s="62"/>
      <c r="G973" s="62"/>
      <c r="H973" s="62"/>
      <c r="I973" s="62"/>
      <c r="J973" s="62"/>
      <c r="K973" s="62"/>
      <c r="L973" s="62"/>
      <c r="M973" s="62"/>
      <c r="N973" s="186"/>
      <c r="O973" s="152"/>
      <c r="P973" s="90"/>
      <c r="Q973" s="140"/>
      <c r="R973" s="90"/>
      <c r="S973" s="140"/>
      <c r="T973" s="90"/>
      <c r="U973" s="140"/>
      <c r="V973" s="90"/>
      <c r="W973" s="140"/>
      <c r="X973" s="90"/>
      <c r="Y973" s="140"/>
      <c r="Z973" s="90"/>
      <c r="AA973" s="140"/>
      <c r="AB973" s="90"/>
      <c r="AC973" s="140"/>
      <c r="AD973" s="90"/>
      <c r="AE973" s="140"/>
      <c r="AF973" s="137" t="str">
        <f t="shared" si="50"/>
        <v/>
      </c>
      <c r="AG973" s="179" t="b">
        <f t="shared" si="49"/>
        <v>0</v>
      </c>
      <c r="AH973" s="140"/>
      <c r="AI973" s="147" t="s">
        <v>36</v>
      </c>
      <c r="AJ973" s="147">
        <f t="shared" si="48"/>
        <v>0</v>
      </c>
      <c r="AK973" s="148" t="s">
        <v>75</v>
      </c>
    </row>
    <row r="974" spans="1:37" ht="30" customHeight="1">
      <c r="A974" s="62"/>
      <c r="B974" s="62"/>
      <c r="C974" s="62"/>
      <c r="D974" s="62"/>
      <c r="E974" s="62"/>
      <c r="F974" s="62"/>
      <c r="G974" s="62"/>
      <c r="H974" s="62"/>
      <c r="I974" s="62"/>
      <c r="J974" s="62"/>
      <c r="K974" s="62"/>
      <c r="L974" s="62"/>
      <c r="M974" s="62"/>
      <c r="N974" s="186"/>
      <c r="O974" s="152"/>
      <c r="P974" s="90"/>
      <c r="Q974" s="140"/>
      <c r="R974" s="90"/>
      <c r="S974" s="140"/>
      <c r="T974" s="90"/>
      <c r="U974" s="140"/>
      <c r="V974" s="90"/>
      <c r="W974" s="140"/>
      <c r="X974" s="90"/>
      <c r="Y974" s="140"/>
      <c r="Z974" s="90"/>
      <c r="AA974" s="140"/>
      <c r="AB974" s="90"/>
      <c r="AC974" s="140"/>
      <c r="AD974" s="90"/>
      <c r="AE974" s="140"/>
      <c r="AF974" s="137" t="str">
        <f t="shared" si="50"/>
        <v/>
      </c>
      <c r="AG974" s="179" t="b">
        <f t="shared" si="49"/>
        <v>0</v>
      </c>
      <c r="AH974" s="140"/>
      <c r="AI974" s="147" t="s">
        <v>36</v>
      </c>
      <c r="AJ974" s="147">
        <f t="shared" si="48"/>
        <v>0</v>
      </c>
      <c r="AK974" s="148" t="s">
        <v>75</v>
      </c>
    </row>
    <row r="975" spans="1:37" ht="30" customHeight="1">
      <c r="A975" s="62"/>
      <c r="B975" s="62"/>
      <c r="C975" s="62"/>
      <c r="D975" s="62"/>
      <c r="E975" s="62"/>
      <c r="F975" s="62"/>
      <c r="G975" s="62"/>
      <c r="H975" s="62"/>
      <c r="I975" s="62"/>
      <c r="J975" s="62"/>
      <c r="K975" s="62"/>
      <c r="L975" s="62"/>
      <c r="M975" s="62"/>
      <c r="N975" s="186"/>
      <c r="O975" s="152"/>
      <c r="P975" s="90"/>
      <c r="Q975" s="140"/>
      <c r="R975" s="90"/>
      <c r="S975" s="140"/>
      <c r="T975" s="90"/>
      <c r="U975" s="140"/>
      <c r="V975" s="90"/>
      <c r="W975" s="140"/>
      <c r="X975" s="90"/>
      <c r="Y975" s="140"/>
      <c r="Z975" s="90"/>
      <c r="AA975" s="140"/>
      <c r="AB975" s="90"/>
      <c r="AC975" s="140"/>
      <c r="AD975" s="90"/>
      <c r="AE975" s="140"/>
      <c r="AF975" s="137" t="str">
        <f t="shared" si="50"/>
        <v/>
      </c>
      <c r="AG975" s="179" t="b">
        <f t="shared" si="49"/>
        <v>0</v>
      </c>
      <c r="AH975" s="140"/>
      <c r="AI975" s="147" t="s">
        <v>36</v>
      </c>
      <c r="AJ975" s="147">
        <f t="shared" si="48"/>
        <v>0</v>
      </c>
      <c r="AK975" s="148" t="s">
        <v>75</v>
      </c>
    </row>
    <row r="976" spans="1:37" ht="30" customHeight="1">
      <c r="A976" s="62"/>
      <c r="B976" s="62"/>
      <c r="C976" s="62"/>
      <c r="D976" s="62"/>
      <c r="E976" s="62"/>
      <c r="F976" s="62"/>
      <c r="G976" s="62"/>
      <c r="H976" s="62"/>
      <c r="I976" s="62"/>
      <c r="J976" s="62"/>
      <c r="K976" s="62"/>
      <c r="L976" s="62"/>
      <c r="M976" s="62"/>
      <c r="N976" s="186"/>
      <c r="O976" s="152"/>
      <c r="P976" s="90"/>
      <c r="Q976" s="140"/>
      <c r="R976" s="90"/>
      <c r="S976" s="140"/>
      <c r="T976" s="90"/>
      <c r="U976" s="140"/>
      <c r="V976" s="90"/>
      <c r="W976" s="140"/>
      <c r="X976" s="90"/>
      <c r="Y976" s="140"/>
      <c r="Z976" s="90"/>
      <c r="AA976" s="140"/>
      <c r="AB976" s="90"/>
      <c r="AC976" s="140"/>
      <c r="AD976" s="90"/>
      <c r="AE976" s="140"/>
      <c r="AF976" s="137" t="str">
        <f t="shared" si="50"/>
        <v/>
      </c>
      <c r="AG976" s="179" t="b">
        <f t="shared" si="49"/>
        <v>0</v>
      </c>
      <c r="AH976" s="140"/>
      <c r="AI976" s="147" t="s">
        <v>36</v>
      </c>
      <c r="AJ976" s="147">
        <f t="shared" si="48"/>
        <v>0</v>
      </c>
      <c r="AK976" s="148" t="s">
        <v>75</v>
      </c>
    </row>
    <row r="977" spans="1:37" ht="30" customHeight="1">
      <c r="A977" s="62"/>
      <c r="B977" s="62"/>
      <c r="C977" s="62"/>
      <c r="D977" s="62"/>
      <c r="E977" s="62"/>
      <c r="F977" s="62"/>
      <c r="G977" s="62"/>
      <c r="H977" s="62"/>
      <c r="I977" s="62"/>
      <c r="J977" s="62"/>
      <c r="K977" s="62"/>
      <c r="L977" s="62"/>
      <c r="M977" s="62"/>
      <c r="N977" s="186"/>
      <c r="O977" s="152"/>
      <c r="P977" s="90"/>
      <c r="Q977" s="140"/>
      <c r="R977" s="90"/>
      <c r="S977" s="140"/>
      <c r="T977" s="90"/>
      <c r="U977" s="140"/>
      <c r="V977" s="90"/>
      <c r="W977" s="140"/>
      <c r="X977" s="90"/>
      <c r="Y977" s="140"/>
      <c r="Z977" s="90"/>
      <c r="AA977" s="140"/>
      <c r="AB977" s="90"/>
      <c r="AC977" s="140"/>
      <c r="AD977" s="90"/>
      <c r="AE977" s="140"/>
      <c r="AF977" s="137" t="str">
        <f t="shared" si="50"/>
        <v/>
      </c>
      <c r="AG977" s="179" t="b">
        <f t="shared" si="49"/>
        <v>0</v>
      </c>
      <c r="AH977" s="140"/>
      <c r="AI977" s="147" t="s">
        <v>36</v>
      </c>
      <c r="AJ977" s="147">
        <f t="shared" si="48"/>
        <v>0</v>
      </c>
      <c r="AK977" s="148" t="s">
        <v>75</v>
      </c>
    </row>
    <row r="978" spans="1:37" ht="30" customHeight="1">
      <c r="A978" s="62"/>
      <c r="B978" s="62"/>
      <c r="C978" s="62"/>
      <c r="D978" s="62"/>
      <c r="E978" s="62"/>
      <c r="F978" s="62"/>
      <c r="G978" s="62"/>
      <c r="H978" s="62"/>
      <c r="I978" s="62"/>
      <c r="J978" s="62"/>
      <c r="K978" s="62"/>
      <c r="L978" s="62"/>
      <c r="M978" s="62"/>
      <c r="N978" s="186"/>
      <c r="O978" s="152"/>
      <c r="P978" s="90"/>
      <c r="Q978" s="140"/>
      <c r="R978" s="90"/>
      <c r="S978" s="140"/>
      <c r="T978" s="90"/>
      <c r="U978" s="140"/>
      <c r="V978" s="90"/>
      <c r="W978" s="140"/>
      <c r="X978" s="90"/>
      <c r="Y978" s="140"/>
      <c r="Z978" s="90"/>
      <c r="AA978" s="140"/>
      <c r="AB978" s="90"/>
      <c r="AC978" s="140"/>
      <c r="AD978" s="90"/>
      <c r="AE978" s="140"/>
      <c r="AF978" s="137" t="str">
        <f t="shared" si="50"/>
        <v/>
      </c>
      <c r="AG978" s="179" t="b">
        <f t="shared" si="49"/>
        <v>0</v>
      </c>
      <c r="AH978" s="140"/>
      <c r="AI978" s="147" t="s">
        <v>36</v>
      </c>
      <c r="AJ978" s="147">
        <f t="shared" si="48"/>
        <v>0</v>
      </c>
      <c r="AK978" s="148" t="s">
        <v>75</v>
      </c>
    </row>
    <row r="979" spans="1:37" ht="30" customHeight="1">
      <c r="A979" s="62"/>
      <c r="B979" s="62"/>
      <c r="C979" s="62"/>
      <c r="D979" s="62"/>
      <c r="E979" s="62"/>
      <c r="F979" s="62"/>
      <c r="G979" s="62"/>
      <c r="H979" s="62"/>
      <c r="I979" s="62"/>
      <c r="J979" s="62"/>
      <c r="K979" s="62"/>
      <c r="L979" s="62"/>
      <c r="M979" s="62"/>
      <c r="N979" s="186"/>
      <c r="O979" s="152"/>
      <c r="P979" s="90"/>
      <c r="Q979" s="140"/>
      <c r="R979" s="90"/>
      <c r="S979" s="140"/>
      <c r="T979" s="90"/>
      <c r="U979" s="140"/>
      <c r="V979" s="90"/>
      <c r="W979" s="140"/>
      <c r="X979" s="90"/>
      <c r="Y979" s="140"/>
      <c r="Z979" s="90"/>
      <c r="AA979" s="140"/>
      <c r="AB979" s="90"/>
      <c r="AC979" s="140"/>
      <c r="AD979" s="90"/>
      <c r="AE979" s="140"/>
      <c r="AF979" s="137" t="str">
        <f t="shared" si="50"/>
        <v/>
      </c>
      <c r="AG979" s="179" t="b">
        <f t="shared" si="49"/>
        <v>0</v>
      </c>
      <c r="AH979" s="140"/>
      <c r="AI979" s="147" t="s">
        <v>36</v>
      </c>
      <c r="AJ979" s="147">
        <f t="shared" si="48"/>
        <v>0</v>
      </c>
      <c r="AK979" s="148" t="s">
        <v>75</v>
      </c>
    </row>
    <row r="980" spans="1:37" ht="30" customHeight="1">
      <c r="A980" s="62"/>
      <c r="B980" s="62"/>
      <c r="C980" s="62"/>
      <c r="D980" s="62"/>
      <c r="E980" s="62"/>
      <c r="F980" s="62"/>
      <c r="G980" s="62"/>
      <c r="H980" s="62"/>
      <c r="I980" s="62"/>
      <c r="J980" s="62"/>
      <c r="K980" s="62"/>
      <c r="L980" s="62"/>
      <c r="M980" s="62"/>
      <c r="N980" s="186"/>
      <c r="O980" s="152"/>
      <c r="P980" s="90"/>
      <c r="Q980" s="140"/>
      <c r="R980" s="90"/>
      <c r="S980" s="140"/>
      <c r="T980" s="90"/>
      <c r="U980" s="140"/>
      <c r="V980" s="90"/>
      <c r="W980" s="140"/>
      <c r="X980" s="90"/>
      <c r="Y980" s="140"/>
      <c r="Z980" s="90"/>
      <c r="AA980" s="140"/>
      <c r="AB980" s="90"/>
      <c r="AC980" s="140"/>
      <c r="AD980" s="90"/>
      <c r="AE980" s="140"/>
      <c r="AF980" s="137" t="str">
        <f t="shared" si="50"/>
        <v/>
      </c>
      <c r="AG980" s="179" t="b">
        <f t="shared" si="49"/>
        <v>0</v>
      </c>
      <c r="AH980" s="140"/>
      <c r="AI980" s="147" t="s">
        <v>36</v>
      </c>
      <c r="AJ980" s="147">
        <f t="shared" si="48"/>
        <v>0</v>
      </c>
      <c r="AK980" s="148" t="s">
        <v>75</v>
      </c>
    </row>
    <row r="981" spans="1:37" ht="30" customHeight="1">
      <c r="A981" s="62"/>
      <c r="B981" s="62"/>
      <c r="C981" s="62"/>
      <c r="D981" s="62"/>
      <c r="E981" s="62"/>
      <c r="F981" s="62"/>
      <c r="G981" s="62"/>
      <c r="H981" s="62"/>
      <c r="I981" s="62"/>
      <c r="J981" s="62"/>
      <c r="K981" s="62"/>
      <c r="L981" s="62"/>
      <c r="M981" s="62"/>
      <c r="N981" s="186"/>
      <c r="O981" s="152"/>
      <c r="P981" s="90"/>
      <c r="Q981" s="140"/>
      <c r="R981" s="90"/>
      <c r="S981" s="140"/>
      <c r="T981" s="90"/>
      <c r="U981" s="140"/>
      <c r="V981" s="90"/>
      <c r="W981" s="140"/>
      <c r="X981" s="90"/>
      <c r="Y981" s="140"/>
      <c r="Z981" s="90"/>
      <c r="AA981" s="140"/>
      <c r="AB981" s="90"/>
      <c r="AC981" s="140"/>
      <c r="AD981" s="90"/>
      <c r="AE981" s="140"/>
      <c r="AF981" s="137" t="str">
        <f t="shared" si="50"/>
        <v/>
      </c>
      <c r="AG981" s="179" t="b">
        <f t="shared" si="49"/>
        <v>0</v>
      </c>
      <c r="AH981" s="140"/>
      <c r="AI981" s="147" t="s">
        <v>36</v>
      </c>
      <c r="AJ981" s="147">
        <f t="shared" si="48"/>
        <v>0</v>
      </c>
      <c r="AK981" s="148" t="s">
        <v>75</v>
      </c>
    </row>
    <row r="982" spans="1:37" ht="30" customHeight="1">
      <c r="A982" s="62"/>
      <c r="B982" s="62"/>
      <c r="C982" s="62"/>
      <c r="D982" s="62"/>
      <c r="E982" s="62"/>
      <c r="F982" s="62"/>
      <c r="G982" s="62"/>
      <c r="H982" s="62"/>
      <c r="I982" s="62"/>
      <c r="J982" s="62"/>
      <c r="K982" s="62"/>
      <c r="L982" s="62"/>
      <c r="M982" s="62"/>
      <c r="N982" s="186"/>
      <c r="O982" s="152"/>
      <c r="P982" s="90"/>
      <c r="Q982" s="140"/>
      <c r="R982" s="90"/>
      <c r="S982" s="140"/>
      <c r="T982" s="90"/>
      <c r="U982" s="140"/>
      <c r="V982" s="90"/>
      <c r="W982" s="140"/>
      <c r="X982" s="90"/>
      <c r="Y982" s="140"/>
      <c r="Z982" s="90"/>
      <c r="AA982" s="140"/>
      <c r="AB982" s="90"/>
      <c r="AC982" s="140"/>
      <c r="AD982" s="90"/>
      <c r="AE982" s="140"/>
      <c r="AF982" s="137" t="str">
        <f t="shared" si="50"/>
        <v/>
      </c>
      <c r="AG982" s="179" t="b">
        <f t="shared" si="49"/>
        <v>0</v>
      </c>
      <c r="AH982" s="140"/>
      <c r="AI982" s="147" t="s">
        <v>36</v>
      </c>
      <c r="AJ982" s="147">
        <f t="shared" si="48"/>
        <v>0</v>
      </c>
      <c r="AK982" s="148" t="s">
        <v>75</v>
      </c>
    </row>
    <row r="983" spans="1:37" ht="30" customHeight="1">
      <c r="A983" s="62"/>
      <c r="B983" s="62"/>
      <c r="C983" s="62"/>
      <c r="D983" s="62"/>
      <c r="E983" s="62"/>
      <c r="F983" s="62"/>
      <c r="G983" s="62"/>
      <c r="H983" s="62"/>
      <c r="I983" s="62"/>
      <c r="J983" s="62"/>
      <c r="K983" s="62"/>
      <c r="L983" s="62"/>
      <c r="M983" s="62"/>
      <c r="N983" s="186"/>
      <c r="O983" s="152"/>
      <c r="P983" s="90"/>
      <c r="Q983" s="140"/>
      <c r="R983" s="90"/>
      <c r="S983" s="140"/>
      <c r="T983" s="90"/>
      <c r="U983" s="140"/>
      <c r="V983" s="90"/>
      <c r="W983" s="140"/>
      <c r="X983" s="90"/>
      <c r="Y983" s="140"/>
      <c r="Z983" s="90"/>
      <c r="AA983" s="140"/>
      <c r="AB983" s="90"/>
      <c r="AC983" s="140"/>
      <c r="AD983" s="90"/>
      <c r="AE983" s="140"/>
      <c r="AF983" s="137" t="str">
        <f t="shared" si="50"/>
        <v/>
      </c>
      <c r="AG983" s="179" t="b">
        <f t="shared" si="49"/>
        <v>0</v>
      </c>
      <c r="AH983" s="140"/>
      <c r="AI983" s="147" t="s">
        <v>36</v>
      </c>
      <c r="AJ983" s="147">
        <f t="shared" si="48"/>
        <v>0</v>
      </c>
      <c r="AK983" s="148" t="s">
        <v>75</v>
      </c>
    </row>
    <row r="984" spans="1:37" ht="30" customHeight="1">
      <c r="A984" s="62"/>
      <c r="B984" s="62"/>
      <c r="C984" s="62"/>
      <c r="D984" s="62"/>
      <c r="E984" s="62"/>
      <c r="F984" s="62"/>
      <c r="G984" s="62"/>
      <c r="H984" s="62"/>
      <c r="I984" s="62"/>
      <c r="J984" s="62"/>
      <c r="K984" s="62"/>
      <c r="L984" s="62"/>
      <c r="M984" s="62"/>
      <c r="N984" s="186"/>
      <c r="O984" s="152"/>
      <c r="P984" s="90"/>
      <c r="Q984" s="140"/>
      <c r="R984" s="90"/>
      <c r="S984" s="140"/>
      <c r="T984" s="90"/>
      <c r="U984" s="140"/>
      <c r="V984" s="90"/>
      <c r="W984" s="140"/>
      <c r="X984" s="90"/>
      <c r="Y984" s="140"/>
      <c r="Z984" s="90"/>
      <c r="AA984" s="140"/>
      <c r="AB984" s="90"/>
      <c r="AC984" s="140"/>
      <c r="AD984" s="90"/>
      <c r="AE984" s="140"/>
      <c r="AF984" s="137" t="str">
        <f t="shared" si="50"/>
        <v/>
      </c>
      <c r="AG984" s="179" t="b">
        <f t="shared" si="49"/>
        <v>0</v>
      </c>
      <c r="AH984" s="140"/>
      <c r="AI984" s="147" t="s">
        <v>36</v>
      </c>
      <c r="AJ984" s="147">
        <f t="shared" si="48"/>
        <v>0</v>
      </c>
      <c r="AK984" s="148" t="s">
        <v>75</v>
      </c>
    </row>
    <row r="985" spans="1:37" ht="30" customHeight="1">
      <c r="A985" s="62"/>
      <c r="B985" s="62"/>
      <c r="C985" s="62"/>
      <c r="D985" s="62"/>
      <c r="E985" s="62"/>
      <c r="F985" s="62"/>
      <c r="G985" s="62"/>
      <c r="H985" s="62"/>
      <c r="I985" s="62"/>
      <c r="J985" s="62"/>
      <c r="K985" s="62"/>
      <c r="L985" s="62"/>
      <c r="M985" s="62"/>
      <c r="N985" s="186"/>
      <c r="O985" s="152"/>
      <c r="P985" s="90"/>
      <c r="Q985" s="140"/>
      <c r="R985" s="90"/>
      <c r="S985" s="140"/>
      <c r="T985" s="90"/>
      <c r="U985" s="140"/>
      <c r="V985" s="90"/>
      <c r="W985" s="140"/>
      <c r="X985" s="90"/>
      <c r="Y985" s="140"/>
      <c r="Z985" s="90"/>
      <c r="AA985" s="140"/>
      <c r="AB985" s="90"/>
      <c r="AC985" s="140"/>
      <c r="AD985" s="90"/>
      <c r="AE985" s="140"/>
      <c r="AF985" s="137" t="str">
        <f t="shared" si="50"/>
        <v/>
      </c>
      <c r="AG985" s="179" t="b">
        <f t="shared" si="49"/>
        <v>0</v>
      </c>
      <c r="AH985" s="140"/>
      <c r="AI985" s="147" t="s">
        <v>36</v>
      </c>
      <c r="AJ985" s="147">
        <f t="shared" si="48"/>
        <v>0</v>
      </c>
      <c r="AK985" s="148" t="s">
        <v>75</v>
      </c>
    </row>
    <row r="986" spans="1:37" ht="30" customHeight="1">
      <c r="A986" s="62"/>
      <c r="B986" s="62"/>
      <c r="C986" s="62"/>
      <c r="D986" s="62"/>
      <c r="E986" s="62"/>
      <c r="F986" s="62"/>
      <c r="G986" s="62"/>
      <c r="H986" s="62"/>
      <c r="I986" s="62"/>
      <c r="J986" s="62"/>
      <c r="K986" s="62"/>
      <c r="L986" s="62"/>
      <c r="M986" s="62"/>
      <c r="N986" s="186"/>
      <c r="O986" s="152"/>
      <c r="P986" s="90"/>
      <c r="Q986" s="140"/>
      <c r="R986" s="90"/>
      <c r="S986" s="140"/>
      <c r="T986" s="90"/>
      <c r="U986" s="140"/>
      <c r="V986" s="90"/>
      <c r="W986" s="140"/>
      <c r="X986" s="90"/>
      <c r="Y986" s="140"/>
      <c r="Z986" s="90"/>
      <c r="AA986" s="140"/>
      <c r="AB986" s="90"/>
      <c r="AC986" s="140"/>
      <c r="AD986" s="90"/>
      <c r="AE986" s="140"/>
      <c r="AF986" s="137" t="str">
        <f t="shared" si="50"/>
        <v/>
      </c>
      <c r="AG986" s="179" t="b">
        <f t="shared" si="49"/>
        <v>0</v>
      </c>
      <c r="AH986" s="140"/>
      <c r="AI986" s="147" t="s">
        <v>36</v>
      </c>
      <c r="AJ986" s="147">
        <f t="shared" si="48"/>
        <v>0</v>
      </c>
      <c r="AK986" s="148" t="s">
        <v>75</v>
      </c>
    </row>
    <row r="987" spans="1:37" ht="30" customHeight="1">
      <c r="A987" s="62"/>
      <c r="B987" s="62"/>
      <c r="C987" s="62"/>
      <c r="D987" s="62"/>
      <c r="E987" s="62"/>
      <c r="F987" s="62"/>
      <c r="G987" s="62"/>
      <c r="H987" s="62"/>
      <c r="I987" s="62"/>
      <c r="J987" s="62"/>
      <c r="K987" s="62"/>
      <c r="L987" s="62"/>
      <c r="M987" s="62"/>
      <c r="N987" s="186"/>
      <c r="O987" s="152"/>
      <c r="P987" s="90"/>
      <c r="Q987" s="140"/>
      <c r="R987" s="90"/>
      <c r="S987" s="140"/>
      <c r="T987" s="90"/>
      <c r="U987" s="140"/>
      <c r="V987" s="90"/>
      <c r="W987" s="140"/>
      <c r="X987" s="90"/>
      <c r="Y987" s="140"/>
      <c r="Z987" s="90"/>
      <c r="AA987" s="140"/>
      <c r="AB987" s="90"/>
      <c r="AC987" s="140"/>
      <c r="AD987" s="90"/>
      <c r="AE987" s="140"/>
      <c r="AF987" s="137" t="str">
        <f t="shared" si="50"/>
        <v/>
      </c>
      <c r="AG987" s="179" t="b">
        <f t="shared" si="49"/>
        <v>0</v>
      </c>
      <c r="AH987" s="140"/>
      <c r="AI987" s="147" t="s">
        <v>36</v>
      </c>
      <c r="AJ987" s="147">
        <f t="shared" si="48"/>
        <v>0</v>
      </c>
      <c r="AK987" s="148" t="s">
        <v>75</v>
      </c>
    </row>
    <row r="988" spans="1:37" ht="30" customHeight="1">
      <c r="A988" s="62"/>
      <c r="B988" s="62"/>
      <c r="C988" s="62"/>
      <c r="D988" s="62"/>
      <c r="E988" s="62"/>
      <c r="F988" s="62"/>
      <c r="G988" s="62"/>
      <c r="H988" s="62"/>
      <c r="I988" s="62"/>
      <c r="J988" s="62"/>
      <c r="K988" s="62"/>
      <c r="L988" s="62"/>
      <c r="M988" s="62"/>
      <c r="N988" s="186"/>
      <c r="O988" s="152"/>
      <c r="P988" s="90"/>
      <c r="Q988" s="140"/>
      <c r="R988" s="90"/>
      <c r="S988" s="140"/>
      <c r="T988" s="90"/>
      <c r="U988" s="140"/>
      <c r="V988" s="90"/>
      <c r="W988" s="140"/>
      <c r="X988" s="90"/>
      <c r="Y988" s="140"/>
      <c r="Z988" s="90"/>
      <c r="AA988" s="140"/>
      <c r="AB988" s="90"/>
      <c r="AC988" s="140"/>
      <c r="AD988" s="90"/>
      <c r="AE988" s="140"/>
      <c r="AF988" s="137" t="str">
        <f t="shared" si="50"/>
        <v/>
      </c>
      <c r="AG988" s="179" t="b">
        <f t="shared" si="49"/>
        <v>0</v>
      </c>
      <c r="AH988" s="140"/>
      <c r="AI988" s="147" t="s">
        <v>36</v>
      </c>
      <c r="AJ988" s="147">
        <f t="shared" si="48"/>
        <v>0</v>
      </c>
      <c r="AK988" s="148" t="s">
        <v>75</v>
      </c>
    </row>
    <row r="989" spans="1:37" ht="30" customHeight="1">
      <c r="A989" s="62"/>
      <c r="B989" s="62"/>
      <c r="C989" s="62"/>
      <c r="D989" s="62"/>
      <c r="E989" s="62"/>
      <c r="F989" s="62"/>
      <c r="G989" s="62"/>
      <c r="H989" s="62"/>
      <c r="I989" s="62"/>
      <c r="J989" s="62"/>
      <c r="K989" s="62"/>
      <c r="L989" s="62"/>
      <c r="M989" s="62"/>
      <c r="N989" s="186"/>
      <c r="O989" s="152"/>
      <c r="P989" s="90"/>
      <c r="Q989" s="140"/>
      <c r="R989" s="90"/>
      <c r="S989" s="140"/>
      <c r="T989" s="90"/>
      <c r="U989" s="140"/>
      <c r="V989" s="90"/>
      <c r="W989" s="140"/>
      <c r="X989" s="90"/>
      <c r="Y989" s="140"/>
      <c r="Z989" s="90"/>
      <c r="AA989" s="140"/>
      <c r="AB989" s="90"/>
      <c r="AC989" s="140"/>
      <c r="AD989" s="90"/>
      <c r="AE989" s="140"/>
      <c r="AF989" s="137" t="str">
        <f t="shared" si="50"/>
        <v/>
      </c>
      <c r="AG989" s="179" t="b">
        <f t="shared" si="49"/>
        <v>0</v>
      </c>
      <c r="AH989" s="140"/>
      <c r="AI989" s="147" t="s">
        <v>36</v>
      </c>
      <c r="AJ989" s="147">
        <f t="shared" si="48"/>
        <v>0</v>
      </c>
      <c r="AK989" s="148" t="s">
        <v>75</v>
      </c>
    </row>
    <row r="990" spans="1:37" ht="30" customHeight="1">
      <c r="A990" s="62"/>
      <c r="B990" s="62"/>
      <c r="C990" s="62"/>
      <c r="D990" s="62"/>
      <c r="E990" s="62"/>
      <c r="F990" s="62"/>
      <c r="G990" s="62"/>
      <c r="H990" s="62"/>
      <c r="I990" s="62"/>
      <c r="J990" s="62"/>
      <c r="K990" s="62"/>
      <c r="L990" s="62"/>
      <c r="M990" s="62"/>
      <c r="N990" s="186"/>
      <c r="O990" s="152"/>
      <c r="P990" s="90"/>
      <c r="Q990" s="140"/>
      <c r="R990" s="90"/>
      <c r="S990" s="140"/>
      <c r="T990" s="90"/>
      <c r="U990" s="140"/>
      <c r="V990" s="90"/>
      <c r="W990" s="140"/>
      <c r="X990" s="90"/>
      <c r="Y990" s="140"/>
      <c r="Z990" s="90"/>
      <c r="AA990" s="140"/>
      <c r="AB990" s="90"/>
      <c r="AC990" s="140"/>
      <c r="AD990" s="90"/>
      <c r="AE990" s="140"/>
      <c r="AF990" s="137" t="str">
        <f t="shared" si="50"/>
        <v/>
      </c>
      <c r="AG990" s="179" t="b">
        <f t="shared" si="49"/>
        <v>0</v>
      </c>
      <c r="AH990" s="140"/>
      <c r="AI990" s="147" t="s">
        <v>36</v>
      </c>
      <c r="AJ990" s="147">
        <f t="shared" si="48"/>
        <v>0</v>
      </c>
      <c r="AK990" s="148" t="s">
        <v>75</v>
      </c>
    </row>
    <row r="991" spans="1:37" ht="30" customHeight="1">
      <c r="A991" s="62"/>
      <c r="B991" s="62"/>
      <c r="C991" s="62"/>
      <c r="D991" s="62"/>
      <c r="E991" s="62"/>
      <c r="F991" s="62"/>
      <c r="G991" s="62"/>
      <c r="H991" s="62"/>
      <c r="I991" s="62"/>
      <c r="J991" s="62"/>
      <c r="K991" s="62"/>
      <c r="L991" s="62"/>
      <c r="M991" s="62"/>
      <c r="N991" s="186"/>
      <c r="O991" s="152"/>
      <c r="P991" s="90"/>
      <c r="Q991" s="140"/>
      <c r="R991" s="90"/>
      <c r="S991" s="140"/>
      <c r="T991" s="90"/>
      <c r="U991" s="140"/>
      <c r="V991" s="90"/>
      <c r="W991" s="140"/>
      <c r="X991" s="90"/>
      <c r="Y991" s="140"/>
      <c r="Z991" s="90"/>
      <c r="AA991" s="140"/>
      <c r="AB991" s="90"/>
      <c r="AC991" s="140"/>
      <c r="AD991" s="90"/>
      <c r="AE991" s="140"/>
      <c r="AF991" s="137" t="str">
        <f t="shared" si="50"/>
        <v/>
      </c>
      <c r="AG991" s="179" t="b">
        <f t="shared" si="49"/>
        <v>0</v>
      </c>
      <c r="AH991" s="140"/>
      <c r="AI991" s="147" t="s">
        <v>36</v>
      </c>
      <c r="AJ991" s="147">
        <f t="shared" si="48"/>
        <v>0</v>
      </c>
      <c r="AK991" s="148" t="s">
        <v>75</v>
      </c>
    </row>
    <row r="992" spans="1:37" ht="30" customHeight="1">
      <c r="A992" s="62"/>
      <c r="B992" s="62"/>
      <c r="C992" s="62"/>
      <c r="D992" s="62"/>
      <c r="E992" s="62"/>
      <c r="F992" s="62"/>
      <c r="G992" s="62"/>
      <c r="H992" s="62"/>
      <c r="I992" s="62"/>
      <c r="J992" s="62"/>
      <c r="K992" s="62"/>
      <c r="L992" s="62"/>
      <c r="M992" s="62"/>
      <c r="N992" s="186"/>
      <c r="O992" s="152"/>
      <c r="P992" s="90"/>
      <c r="Q992" s="140"/>
      <c r="R992" s="90"/>
      <c r="S992" s="140"/>
      <c r="T992" s="90"/>
      <c r="U992" s="140"/>
      <c r="V992" s="90"/>
      <c r="W992" s="140"/>
      <c r="X992" s="90"/>
      <c r="Y992" s="140"/>
      <c r="Z992" s="90"/>
      <c r="AA992" s="140"/>
      <c r="AB992" s="90"/>
      <c r="AC992" s="140"/>
      <c r="AD992" s="90"/>
      <c r="AE992" s="140"/>
      <c r="AF992" s="137" t="str">
        <f t="shared" si="50"/>
        <v/>
      </c>
      <c r="AG992" s="179" t="b">
        <f t="shared" si="49"/>
        <v>0</v>
      </c>
      <c r="AH992" s="140"/>
      <c r="AI992" s="147" t="s">
        <v>36</v>
      </c>
      <c r="AJ992" s="147">
        <f t="shared" si="48"/>
        <v>0</v>
      </c>
      <c r="AK992" s="148" t="s">
        <v>75</v>
      </c>
    </row>
    <row r="993" spans="1:37" ht="30" customHeight="1">
      <c r="A993" s="62"/>
      <c r="B993" s="62"/>
      <c r="C993" s="62"/>
      <c r="D993" s="62"/>
      <c r="E993" s="62"/>
      <c r="F993" s="62"/>
      <c r="G993" s="62"/>
      <c r="H993" s="62"/>
      <c r="I993" s="62"/>
      <c r="J993" s="62"/>
      <c r="K993" s="62"/>
      <c r="L993" s="62"/>
      <c r="M993" s="62"/>
      <c r="N993" s="186"/>
      <c r="O993" s="152"/>
      <c r="P993" s="90"/>
      <c r="Q993" s="140"/>
      <c r="R993" s="90"/>
      <c r="S993" s="140"/>
      <c r="T993" s="90"/>
      <c r="U993" s="140"/>
      <c r="V993" s="90"/>
      <c r="W993" s="140"/>
      <c r="X993" s="90"/>
      <c r="Y993" s="140"/>
      <c r="Z993" s="90"/>
      <c r="AA993" s="140"/>
      <c r="AB993" s="90"/>
      <c r="AC993" s="140"/>
      <c r="AD993" s="90"/>
      <c r="AE993" s="140"/>
      <c r="AF993" s="137" t="str">
        <f t="shared" si="50"/>
        <v/>
      </c>
      <c r="AG993" s="179" t="b">
        <f t="shared" si="49"/>
        <v>0</v>
      </c>
      <c r="AH993" s="140"/>
      <c r="AI993" s="147" t="s">
        <v>36</v>
      </c>
      <c r="AJ993" s="147">
        <f t="shared" si="48"/>
        <v>0</v>
      </c>
      <c r="AK993" s="148" t="s">
        <v>75</v>
      </c>
    </row>
    <row r="994" spans="1:37" ht="30" customHeight="1">
      <c r="A994" s="62"/>
      <c r="B994" s="62"/>
      <c r="C994" s="62"/>
      <c r="D994" s="62"/>
      <c r="E994" s="62"/>
      <c r="F994" s="62"/>
      <c r="G994" s="62"/>
      <c r="H994" s="62"/>
      <c r="I994" s="62"/>
      <c r="J994" s="62"/>
      <c r="K994" s="62"/>
      <c r="L994" s="62"/>
      <c r="M994" s="62"/>
      <c r="N994" s="186"/>
      <c r="O994" s="152"/>
      <c r="P994" s="90"/>
      <c r="Q994" s="140"/>
      <c r="R994" s="90"/>
      <c r="S994" s="140"/>
      <c r="T994" s="90"/>
      <c r="U994" s="140"/>
      <c r="V994" s="90"/>
      <c r="W994" s="140"/>
      <c r="X994" s="90"/>
      <c r="Y994" s="140"/>
      <c r="Z994" s="90"/>
      <c r="AA994" s="140"/>
      <c r="AB994" s="90"/>
      <c r="AC994" s="140"/>
      <c r="AD994" s="90"/>
      <c r="AE994" s="140"/>
      <c r="AF994" s="137" t="str">
        <f t="shared" si="50"/>
        <v/>
      </c>
      <c r="AG994" s="179" t="b">
        <f t="shared" si="49"/>
        <v>0</v>
      </c>
      <c r="AH994" s="140"/>
      <c r="AI994" s="147" t="s">
        <v>36</v>
      </c>
      <c r="AJ994" s="147">
        <f t="shared" si="48"/>
        <v>0</v>
      </c>
      <c r="AK994" s="148" t="s">
        <v>75</v>
      </c>
    </row>
    <row r="995" spans="1:37" ht="30" customHeight="1">
      <c r="A995" s="62"/>
      <c r="B995" s="62"/>
      <c r="C995" s="62"/>
      <c r="D995" s="62"/>
      <c r="E995" s="62"/>
      <c r="F995" s="62"/>
      <c r="G995" s="62"/>
      <c r="H995" s="62"/>
      <c r="I995" s="62"/>
      <c r="J995" s="62"/>
      <c r="K995" s="62"/>
      <c r="L995" s="62"/>
      <c r="M995" s="62"/>
      <c r="N995" s="186"/>
      <c r="O995" s="152"/>
      <c r="P995" s="90"/>
      <c r="Q995" s="140"/>
      <c r="R995" s="90"/>
      <c r="S995" s="140"/>
      <c r="T995" s="90"/>
      <c r="U995" s="140"/>
      <c r="V995" s="90"/>
      <c r="W995" s="140"/>
      <c r="X995" s="90"/>
      <c r="Y995" s="140"/>
      <c r="Z995" s="90"/>
      <c r="AA995" s="140"/>
      <c r="AB995" s="90"/>
      <c r="AC995" s="140"/>
      <c r="AD995" s="90"/>
      <c r="AE995" s="140"/>
      <c r="AF995" s="137" t="str">
        <f t="shared" si="50"/>
        <v/>
      </c>
      <c r="AG995" s="179" t="b">
        <f t="shared" si="49"/>
        <v>0</v>
      </c>
      <c r="AH995" s="140"/>
      <c r="AI995" s="147" t="s">
        <v>36</v>
      </c>
      <c r="AJ995" s="147">
        <f t="shared" si="48"/>
        <v>0</v>
      </c>
      <c r="AK995" s="148" t="s">
        <v>75</v>
      </c>
    </row>
    <row r="996" spans="1:37" ht="30" customHeight="1">
      <c r="A996" s="62"/>
      <c r="B996" s="62"/>
      <c r="C996" s="62"/>
      <c r="D996" s="62"/>
      <c r="E996" s="62"/>
      <c r="F996" s="62"/>
      <c r="G996" s="62"/>
      <c r="H996" s="62"/>
      <c r="I996" s="62"/>
      <c r="J996" s="62"/>
      <c r="K996" s="62"/>
      <c r="L996" s="62"/>
      <c r="M996" s="62"/>
      <c r="N996" s="186"/>
      <c r="O996" s="152"/>
      <c r="P996" s="90"/>
      <c r="Q996" s="140"/>
      <c r="R996" s="90"/>
      <c r="S996" s="140"/>
      <c r="T996" s="90"/>
      <c r="U996" s="140"/>
      <c r="V996" s="90"/>
      <c r="W996" s="140"/>
      <c r="X996" s="90"/>
      <c r="Y996" s="140"/>
      <c r="Z996" s="90"/>
      <c r="AA996" s="140"/>
      <c r="AB996" s="90"/>
      <c r="AC996" s="140"/>
      <c r="AD996" s="90"/>
      <c r="AE996" s="140"/>
      <c r="AF996" s="137" t="str">
        <f t="shared" si="50"/>
        <v/>
      </c>
      <c r="AG996" s="179" t="b">
        <f t="shared" si="49"/>
        <v>0</v>
      </c>
      <c r="AH996" s="140"/>
      <c r="AI996" s="147" t="s">
        <v>36</v>
      </c>
      <c r="AJ996" s="147">
        <f t="shared" si="48"/>
        <v>0</v>
      </c>
      <c r="AK996" s="148" t="s">
        <v>75</v>
      </c>
    </row>
    <row r="997" spans="1:37" ht="30" customHeight="1">
      <c r="A997" s="62"/>
      <c r="B997" s="62"/>
      <c r="C997" s="62"/>
      <c r="D997" s="62"/>
      <c r="E997" s="62"/>
      <c r="F997" s="62"/>
      <c r="G997" s="62"/>
      <c r="H997" s="62"/>
      <c r="I997" s="62"/>
      <c r="J997" s="62"/>
      <c r="K997" s="62"/>
      <c r="L997" s="62"/>
      <c r="M997" s="62"/>
      <c r="N997" s="186"/>
      <c r="O997" s="152"/>
      <c r="P997" s="90"/>
      <c r="Q997" s="140"/>
      <c r="R997" s="90"/>
      <c r="S997" s="140"/>
      <c r="T997" s="90"/>
      <c r="U997" s="140"/>
      <c r="V997" s="90"/>
      <c r="W997" s="140"/>
      <c r="X997" s="90"/>
      <c r="Y997" s="140"/>
      <c r="Z997" s="90"/>
      <c r="AA997" s="140"/>
      <c r="AB997" s="90"/>
      <c r="AC997" s="140"/>
      <c r="AD997" s="90"/>
      <c r="AE997" s="140"/>
      <c r="AF997" s="137" t="str">
        <f t="shared" si="50"/>
        <v/>
      </c>
      <c r="AG997" s="179" t="b">
        <f t="shared" si="49"/>
        <v>0</v>
      </c>
      <c r="AH997" s="140"/>
      <c r="AI997" s="147" t="s">
        <v>36</v>
      </c>
      <c r="AJ997" s="147">
        <f t="shared" si="48"/>
        <v>0</v>
      </c>
      <c r="AK997" s="148" t="s">
        <v>75</v>
      </c>
    </row>
    <row r="998" spans="1:37" ht="30" customHeight="1">
      <c r="A998" s="62"/>
      <c r="B998" s="62"/>
      <c r="C998" s="62"/>
      <c r="D998" s="62"/>
      <c r="E998" s="62"/>
      <c r="F998" s="62"/>
      <c r="G998" s="62"/>
      <c r="H998" s="62"/>
      <c r="I998" s="62"/>
      <c r="J998" s="62"/>
      <c r="K998" s="62"/>
      <c r="L998" s="62"/>
      <c r="M998" s="62"/>
      <c r="N998" s="186"/>
      <c r="O998" s="152"/>
      <c r="P998" s="90"/>
      <c r="Q998" s="140"/>
      <c r="R998" s="90"/>
      <c r="S998" s="140"/>
      <c r="T998" s="90"/>
      <c r="U998" s="140"/>
      <c r="V998" s="90"/>
      <c r="W998" s="140"/>
      <c r="X998" s="90"/>
      <c r="Y998" s="140"/>
      <c r="Z998" s="90"/>
      <c r="AA998" s="140"/>
      <c r="AB998" s="90"/>
      <c r="AC998" s="140"/>
      <c r="AD998" s="90"/>
      <c r="AE998" s="140"/>
      <c r="AF998" s="137" t="str">
        <f t="shared" si="50"/>
        <v/>
      </c>
      <c r="AG998" s="179" t="b">
        <f t="shared" si="49"/>
        <v>0</v>
      </c>
      <c r="AH998" s="140"/>
      <c r="AI998" s="147" t="s">
        <v>36</v>
      </c>
      <c r="AJ998" s="147">
        <f t="shared" si="48"/>
        <v>0</v>
      </c>
      <c r="AK998" s="148" t="s">
        <v>75</v>
      </c>
    </row>
  </sheetData>
  <autoFilter ref="A1:AK957" xr:uid="{00000000-0009-0000-0000-000008000000}"/>
  <sortState xmlns:xlrd2="http://schemas.microsoft.com/office/spreadsheetml/2017/richdata2" ref="L2:L69">
    <sortCondition ref="L2:L69"/>
  </sortState>
  <conditionalFormatting sqref="A1:E1">
    <cfRule type="duplicateValues" dxfId="479" priority="224"/>
  </conditionalFormatting>
  <conditionalFormatting sqref="A1:E1">
    <cfRule type="duplicateValues" dxfId="478" priority="223"/>
  </conditionalFormatting>
  <conditionalFormatting sqref="O2:O45 AE4:AF83 AC4:AC83 W4:W83 AH3:AH998 AF2:AF184 O47:O183 O189:O190 O201:O998 Q121:Q998 S121:S998 U121:U998 W85:W998 Y121:Y998 AA121:AA998 AC85:AC998 AE85:AF998">
    <cfRule type="expression" dxfId="477" priority="183">
      <formula>O2=""</formula>
    </cfRule>
    <cfRule type="expression" dxfId="476" priority="184" stopIfTrue="1">
      <formula>NOT(OR(O2="C",O2="NC",O2="SF",O2="NA"))</formula>
    </cfRule>
  </conditionalFormatting>
  <conditionalFormatting sqref="Q6 Q8 Q10:Q11 Q13 Q15 Q17:Q18 Q25 Q27 Q30 Q33 Q35 Q39 Q41 Q47 Q51 Q74:Q75 Q20:Q21 Q88 Q93:Q105 Q2:Q4 Q107:Q119">
    <cfRule type="expression" dxfId="475" priority="181">
      <formula>Q2=""</formula>
    </cfRule>
    <cfRule type="expression" dxfId="474" priority="182" stopIfTrue="1">
      <formula>NOT(OR(Q2="C",Q2="NC",Q2="SF",Q2="NA"))</formula>
    </cfRule>
  </conditionalFormatting>
  <conditionalFormatting sqref="Q5 Q7 Q9 Q12 Q14 Q16 Q19 Q26 Q28:Q29 Q31:Q32 Q36 Q38 Q40 Q42 Q46 Q48:Q50">
    <cfRule type="expression" dxfId="473" priority="179">
      <formula>Q5=""</formula>
    </cfRule>
    <cfRule type="expression" dxfId="472" priority="180" stopIfTrue="1">
      <formula>NOT(OR(Q5="C",Q5="NC",Q5="SF",Q5="NA"))</formula>
    </cfRule>
  </conditionalFormatting>
  <conditionalFormatting sqref="S6 S8 S10:S11 S13 S15 S17:S18 S25 S27 S30 S33 S35 S39 S41 S47 S51 S74:S75 S20:S21 S88 S93:S105 S2:S4 S107:S119">
    <cfRule type="expression" dxfId="471" priority="177">
      <formula>S2=""</formula>
    </cfRule>
    <cfRule type="expression" dxfId="470" priority="178" stopIfTrue="1">
      <formula>NOT(OR(S2="C",S2="NC",S2="SF",S2="NA"))</formula>
    </cfRule>
  </conditionalFormatting>
  <conditionalFormatting sqref="S5 S7 S9 S12 S14 S16 S19 S26 S28:S29 S31:S32 S36 S38 S40 S42 S46 S48:S50">
    <cfRule type="expression" dxfId="469" priority="175">
      <formula>S5=""</formula>
    </cfRule>
    <cfRule type="expression" dxfId="468" priority="176" stopIfTrue="1">
      <formula>NOT(OR(S5="C",S5="NC",S5="SF",S5="NA"))</formula>
    </cfRule>
  </conditionalFormatting>
  <conditionalFormatting sqref="U6 U8 U10:U11 U13 U15 U17:U18 U25 U27 U30 U33 U35 U39 U41 U47 U51 U74:U75 U20:U21 U88 U93:U105 U2:U4 U107:U119">
    <cfRule type="expression" dxfId="467" priority="173">
      <formula>U2=""</formula>
    </cfRule>
    <cfRule type="expression" dxfId="466" priority="174" stopIfTrue="1">
      <formula>NOT(OR(U2="C",U2="NC",U2="SF",U2="NA"))</formula>
    </cfRule>
  </conditionalFormatting>
  <conditionalFormatting sqref="U5 U7 U9 U12 U14 U16 U19 U26 U28:U29 U31:U32 U36 U38 U40 U42 U46 U48:U50">
    <cfRule type="expression" dxfId="465" priority="171">
      <formula>U5=""</formula>
    </cfRule>
    <cfRule type="expression" dxfId="464" priority="172" stopIfTrue="1">
      <formula>NOT(OR(U5="C",U5="NC",U5="SF",U5="NA"))</formula>
    </cfRule>
  </conditionalFormatting>
  <conditionalFormatting sqref="W2:W3">
    <cfRule type="expression" dxfId="463" priority="169">
      <formula>W2=""</formula>
    </cfRule>
    <cfRule type="expression" dxfId="462" priority="170" stopIfTrue="1">
      <formula>NOT(OR(W2="C",W2="NC",W2="SF",W2="NA"))</formula>
    </cfRule>
  </conditionalFormatting>
  <conditionalFormatting sqref="AC2:AC3">
    <cfRule type="expression" dxfId="461" priority="165">
      <formula>AC2=""</formula>
    </cfRule>
    <cfRule type="expression" dxfId="460" priority="166" stopIfTrue="1">
      <formula>NOT(OR(AC2="C",AC2="NC",AC2="SF",AC2="NA"))</formula>
    </cfRule>
  </conditionalFormatting>
  <conditionalFormatting sqref="AE2:AE3">
    <cfRule type="expression" dxfId="459" priority="161">
      <formula>AE2=""</formula>
    </cfRule>
    <cfRule type="expression" dxfId="458" priority="162" stopIfTrue="1">
      <formula>NOT(OR(AE2="C",AE2="NC",AE2="SF",AE2="NA"))</formula>
    </cfRule>
  </conditionalFormatting>
  <conditionalFormatting sqref="AH2">
    <cfRule type="expression" dxfId="457" priority="153">
      <formula>AH2=""</formula>
    </cfRule>
    <cfRule type="expression" dxfId="456" priority="154" stopIfTrue="1">
      <formula>NOT(OR(AH2="C",AH2="NC",AH2="SF",AH2="NA"))</formula>
    </cfRule>
  </conditionalFormatting>
  <conditionalFormatting sqref="Q22:Q24">
    <cfRule type="expression" dxfId="455" priority="145">
      <formula>Q22=""</formula>
    </cfRule>
    <cfRule type="expression" dxfId="454" priority="146" stopIfTrue="1">
      <formula>NOT(OR(Q22="C",Q22="NC",Q22="SF",Q22="NA"))</formula>
    </cfRule>
  </conditionalFormatting>
  <conditionalFormatting sqref="S22:S24">
    <cfRule type="expression" dxfId="453" priority="143">
      <formula>S22=""</formula>
    </cfRule>
    <cfRule type="expression" dxfId="452" priority="144" stopIfTrue="1">
      <formula>NOT(OR(S22="C",S22="NC",S22="SF",S22="NA"))</formula>
    </cfRule>
  </conditionalFormatting>
  <conditionalFormatting sqref="U22:U24">
    <cfRule type="expression" dxfId="451" priority="141">
      <formula>U22=""</formula>
    </cfRule>
    <cfRule type="expression" dxfId="450" priority="142" stopIfTrue="1">
      <formula>NOT(OR(U22="C",U22="NC",U22="SF",U22="NA"))</formula>
    </cfRule>
  </conditionalFormatting>
  <conditionalFormatting sqref="U43:U45">
    <cfRule type="expression" dxfId="449" priority="131">
      <formula>U43=""</formula>
    </cfRule>
    <cfRule type="expression" dxfId="448" priority="132" stopIfTrue="1">
      <formula>NOT(OR(U43="C",U43="NC",U43="SF",U43="NA"))</formula>
    </cfRule>
  </conditionalFormatting>
  <conditionalFormatting sqref="S43:S45">
    <cfRule type="expression" dxfId="447" priority="133">
      <formula>S43=""</formula>
    </cfRule>
    <cfRule type="expression" dxfId="446" priority="134" stopIfTrue="1">
      <formula>NOT(OR(S43="C",S43="NC",S43="SF",S43="NA"))</formula>
    </cfRule>
  </conditionalFormatting>
  <conditionalFormatting sqref="Q43:Q45">
    <cfRule type="expression" dxfId="445" priority="135">
      <formula>Q43=""</formula>
    </cfRule>
    <cfRule type="expression" dxfId="444" priority="136" stopIfTrue="1">
      <formula>NOT(OR(Q43="C",Q43="NC",Q43="SF",Q43="NA"))</formula>
    </cfRule>
  </conditionalFormatting>
  <conditionalFormatting sqref="U37">
    <cfRule type="expression" dxfId="443" priority="121">
      <formula>U37=""</formula>
    </cfRule>
    <cfRule type="expression" dxfId="442" priority="122" stopIfTrue="1">
      <formula>NOT(OR(U37="C",U37="NC",U37="SF",U37="NA"))</formula>
    </cfRule>
  </conditionalFormatting>
  <conditionalFormatting sqref="S37">
    <cfRule type="expression" dxfId="441" priority="123">
      <formula>S37=""</formula>
    </cfRule>
    <cfRule type="expression" dxfId="440" priority="124" stopIfTrue="1">
      <formula>NOT(OR(S37="C",S37="NC",S37="SF",S37="NA"))</formula>
    </cfRule>
  </conditionalFormatting>
  <conditionalFormatting sqref="Q37">
    <cfRule type="expression" dxfId="439" priority="125">
      <formula>Q37=""</formula>
    </cfRule>
    <cfRule type="expression" dxfId="438" priority="126" stopIfTrue="1">
      <formula>NOT(OR(Q37="C",Q37="NC",Q37="SF",Q37="NA"))</formula>
    </cfRule>
  </conditionalFormatting>
  <conditionalFormatting sqref="U34">
    <cfRule type="expression" dxfId="437" priority="109">
      <formula>U34=""</formula>
    </cfRule>
    <cfRule type="expression" dxfId="436" priority="110" stopIfTrue="1">
      <formula>NOT(OR(U34="C",U34="NC",U34="SF",U34="NA"))</formula>
    </cfRule>
  </conditionalFormatting>
  <conditionalFormatting sqref="Q52:Q70 Q72:Q73">
    <cfRule type="expression" dxfId="435" priority="103">
      <formula>Q52=""</formula>
    </cfRule>
    <cfRule type="expression" dxfId="434" priority="104" stopIfTrue="1">
      <formula>NOT(OR(Q52="C",Q52="NC",Q52="SF",Q52="NA"))</formula>
    </cfRule>
  </conditionalFormatting>
  <conditionalFormatting sqref="S34">
    <cfRule type="expression" dxfId="433" priority="107">
      <formula>S34=""</formula>
    </cfRule>
    <cfRule type="expression" dxfId="432" priority="108" stopIfTrue="1">
      <formula>NOT(OR(S34="C",S34="NC",S34="SF",S34="NA"))</formula>
    </cfRule>
  </conditionalFormatting>
  <conditionalFormatting sqref="Q34">
    <cfRule type="expression" dxfId="431" priority="105">
      <formula>Q34=""</formula>
    </cfRule>
    <cfRule type="expression" dxfId="430" priority="106" stopIfTrue="1">
      <formula>NOT(OR(Q34="C",Q34="NC",Q34="SF",Q34="NA"))</formula>
    </cfRule>
  </conditionalFormatting>
  <conditionalFormatting sqref="S52:S70 S72:S73">
    <cfRule type="expression" dxfId="429" priority="101">
      <formula>S52=""</formula>
    </cfRule>
    <cfRule type="expression" dxfId="428" priority="102" stopIfTrue="1">
      <formula>NOT(OR(S52="C",S52="NC",S52="SF",S52="NA"))</formula>
    </cfRule>
  </conditionalFormatting>
  <conditionalFormatting sqref="U52:U70 U72:U73">
    <cfRule type="expression" dxfId="427" priority="99">
      <formula>U52=""</formula>
    </cfRule>
    <cfRule type="expression" dxfId="426" priority="100" stopIfTrue="1">
      <formula>NOT(OR(U52="C",U52="NC",U52="SF",U52="NA"))</formula>
    </cfRule>
  </conditionalFormatting>
  <conditionalFormatting sqref="U76:U83">
    <cfRule type="expression" dxfId="425" priority="89">
      <formula>U76=""</formula>
    </cfRule>
    <cfRule type="expression" dxfId="424" priority="90" stopIfTrue="1">
      <formula>NOT(OR(U76="C",U76="NC",U76="SF",U76="NA"))</formula>
    </cfRule>
  </conditionalFormatting>
  <conditionalFormatting sqref="S76:S84">
    <cfRule type="expression" dxfId="423" priority="91">
      <formula>S76=""</formula>
    </cfRule>
    <cfRule type="expression" dxfId="422" priority="92" stopIfTrue="1">
      <formula>NOT(OR(S76="C",S76="NC",S76="SF",S76="NA"))</formula>
    </cfRule>
  </conditionalFormatting>
  <conditionalFormatting sqref="Q76:Q84">
    <cfRule type="expression" dxfId="421" priority="93">
      <formula>Q76=""</formula>
    </cfRule>
    <cfRule type="expression" dxfId="420" priority="94" stopIfTrue="1">
      <formula>NOT(OR(Q76="C",Q76="NC",Q76="SF",Q76="NA"))</formula>
    </cfRule>
  </conditionalFormatting>
  <conditionalFormatting sqref="U89:U92">
    <cfRule type="expression" dxfId="419" priority="79">
      <formula>U89=""</formula>
    </cfRule>
    <cfRule type="expression" dxfId="418" priority="80" stopIfTrue="1">
      <formula>NOT(OR(U89="C",U89="NC",U89="SF",U89="NA"))</formula>
    </cfRule>
  </conditionalFormatting>
  <conditionalFormatting sqref="S89:S92">
    <cfRule type="expression" dxfId="417" priority="81">
      <formula>S89=""</formula>
    </cfRule>
    <cfRule type="expression" dxfId="416" priority="82" stopIfTrue="1">
      <formula>NOT(OR(S89="C",S89="NC",S89="SF",S89="NA"))</formula>
    </cfRule>
  </conditionalFormatting>
  <conditionalFormatting sqref="Q89:Q92">
    <cfRule type="expression" dxfId="415" priority="83">
      <formula>Q89=""</formula>
    </cfRule>
    <cfRule type="expression" dxfId="414" priority="84" stopIfTrue="1">
      <formula>NOT(OR(Q89="C",Q89="NC",Q89="SF",Q89="NA"))</formula>
    </cfRule>
  </conditionalFormatting>
  <conditionalFormatting sqref="Q85:Q87">
    <cfRule type="expression" dxfId="413" priority="63">
      <formula>Q85=""</formula>
    </cfRule>
    <cfRule type="expression" dxfId="412" priority="64" stopIfTrue="1">
      <formula>NOT(OR(Q85="C",Q85="NC",Q85="SF",Q85="NA"))</formula>
    </cfRule>
  </conditionalFormatting>
  <conditionalFormatting sqref="S85:S87">
    <cfRule type="expression" dxfId="411" priority="61">
      <formula>S85=""</formula>
    </cfRule>
    <cfRule type="expression" dxfId="410" priority="62" stopIfTrue="1">
      <formula>NOT(OR(S85="C",S85="NC",S85="SF",S85="NA"))</formula>
    </cfRule>
  </conditionalFormatting>
  <conditionalFormatting sqref="U85:U87">
    <cfRule type="expression" dxfId="409" priority="59">
      <formula>U85=""</formula>
    </cfRule>
    <cfRule type="expression" dxfId="408" priority="60" stopIfTrue="1">
      <formula>NOT(OR(U85="C",U85="NC",U85="SF",U85="NA"))</formula>
    </cfRule>
  </conditionalFormatting>
  <conditionalFormatting sqref="AA4:AA70 AA107:AA119 AA72:AA83 AA85:AA105">
    <cfRule type="expression" dxfId="407" priority="49">
      <formula>AA4=""</formula>
    </cfRule>
    <cfRule type="expression" dxfId="406" priority="50" stopIfTrue="1">
      <formula>NOT(OR(AA4="C",AA4="NC",AA4="SF",AA4="NA"))</formula>
    </cfRule>
  </conditionalFormatting>
  <conditionalFormatting sqref="Y2:Y3">
    <cfRule type="expression" dxfId="405" priority="51">
      <formula>Y2=""</formula>
    </cfRule>
    <cfRule type="expression" dxfId="404" priority="52" stopIfTrue="1">
      <formula>NOT(OR(Y2="C",Y2="NC",Y2="SF",Y2="NA"))</formula>
    </cfRule>
  </conditionalFormatting>
  <conditionalFormatting sqref="Y4:Y70 Y107:Y119 Y72:Y83 Y85:Y105">
    <cfRule type="expression" dxfId="403" priority="53">
      <formula>Y4=""</formula>
    </cfRule>
    <cfRule type="expression" dxfId="402" priority="54" stopIfTrue="1">
      <formula>NOT(OR(Y4="C",Y4="NC",Y4="SF",Y4="NA"))</formula>
    </cfRule>
  </conditionalFormatting>
  <conditionalFormatting sqref="AA2:AA3">
    <cfRule type="expression" dxfId="401" priority="47">
      <formula>AA2=""</formula>
    </cfRule>
    <cfRule type="expression" dxfId="400" priority="48" stopIfTrue="1">
      <formula>NOT(OR(AA2="C",AA2="NC",AA2="SF",AA2="NA"))</formula>
    </cfRule>
  </conditionalFormatting>
  <conditionalFormatting sqref="Q106:Q108">
    <cfRule type="expression" dxfId="399" priority="45">
      <formula>Q106=""</formula>
    </cfRule>
    <cfRule type="expression" dxfId="398" priority="46" stopIfTrue="1">
      <formula>NOT(OR(Q106="C",Q106="NC",Q106="SF",Q106="NA"))</formula>
    </cfRule>
  </conditionalFormatting>
  <conditionalFormatting sqref="S106:S108">
    <cfRule type="expression" dxfId="397" priority="43">
      <formula>S106=""</formula>
    </cfRule>
    <cfRule type="expression" dxfId="396" priority="44" stopIfTrue="1">
      <formula>NOT(OR(S106="C",S106="NC",S106="SF",S106="NA"))</formula>
    </cfRule>
  </conditionalFormatting>
  <conditionalFormatting sqref="U106:U108">
    <cfRule type="expression" dxfId="395" priority="41">
      <formula>U106=""</formula>
    </cfRule>
    <cfRule type="expression" dxfId="394" priority="42" stopIfTrue="1">
      <formula>NOT(OR(U106="C",U106="NC",U106="SF",U106="NA"))</formula>
    </cfRule>
  </conditionalFormatting>
  <conditionalFormatting sqref="Y106:Y108">
    <cfRule type="expression" dxfId="393" priority="39">
      <formula>Y106=""</formula>
    </cfRule>
    <cfRule type="expression" dxfId="392" priority="40" stopIfTrue="1">
      <formula>NOT(OR(Y106="C",Y106="NC",Y106="SF",Y106="NA"))</formula>
    </cfRule>
  </conditionalFormatting>
  <conditionalFormatting sqref="AA106:AA108">
    <cfRule type="expression" dxfId="391" priority="37">
      <formula>AA106=""</formula>
    </cfRule>
    <cfRule type="expression" dxfId="390" priority="38" stopIfTrue="1">
      <formula>NOT(OR(AA106="C",AA106="NC",AA106="SF",AA106="NA"))</formula>
    </cfRule>
  </conditionalFormatting>
  <conditionalFormatting sqref="Q71">
    <cfRule type="expression" dxfId="389" priority="35">
      <formula>Q71=""</formula>
    </cfRule>
    <cfRule type="expression" dxfId="388" priority="36" stopIfTrue="1">
      <formula>NOT(OR(Q71="C",Q71="NC",Q71="SF",Q71="NA"))</formula>
    </cfRule>
  </conditionalFormatting>
  <conditionalFormatting sqref="S71">
    <cfRule type="expression" dxfId="387" priority="33">
      <formula>S71=""</formula>
    </cfRule>
    <cfRule type="expression" dxfId="386" priority="34" stopIfTrue="1">
      <formula>NOT(OR(S71="C",S71="NC",S71="SF",S71="NA"))</formula>
    </cfRule>
  </conditionalFormatting>
  <conditionalFormatting sqref="U71">
    <cfRule type="expression" dxfId="385" priority="31">
      <formula>U71=""</formula>
    </cfRule>
    <cfRule type="expression" dxfId="384" priority="32" stopIfTrue="1">
      <formula>NOT(OR(U71="C",U71="NC",U71="SF",U71="NA"))</formula>
    </cfRule>
  </conditionalFormatting>
  <conditionalFormatting sqref="AA71">
    <cfRule type="expression" dxfId="383" priority="29">
      <formula>AA71=""</formula>
    </cfRule>
    <cfRule type="expression" dxfId="382" priority="30" stopIfTrue="1">
      <formula>NOT(OR(AA71="C",AA71="NC",AA71="SF",AA71="NA"))</formula>
    </cfRule>
  </conditionalFormatting>
  <conditionalFormatting sqref="Y71">
    <cfRule type="expression" dxfId="381" priority="27">
      <formula>Y71=""</formula>
    </cfRule>
    <cfRule type="expression" dxfId="380" priority="28" stopIfTrue="1">
      <formula>NOT(OR(Y71="C",Y71="NC",Y71="SF",Y71="NA"))</formula>
    </cfRule>
  </conditionalFormatting>
  <conditionalFormatting sqref="U84">
    <cfRule type="expression" dxfId="379" priority="25">
      <formula>U84=""</formula>
    </cfRule>
    <cfRule type="expression" dxfId="378" priority="26" stopIfTrue="1">
      <formula>NOT(OR(U84="C",U84="NC",U84="SF",U84="NA"))</formula>
    </cfRule>
  </conditionalFormatting>
  <conditionalFormatting sqref="W84">
    <cfRule type="expression" dxfId="377" priority="23">
      <formula>W84=""</formula>
    </cfRule>
    <cfRule type="expression" dxfId="376" priority="24" stopIfTrue="1">
      <formula>NOT(OR(W84="C",W84="NC",W84="SF",W84="NA"))</formula>
    </cfRule>
  </conditionalFormatting>
  <conditionalFormatting sqref="Y84">
    <cfRule type="expression" dxfId="375" priority="21">
      <formula>Y84=""</formula>
    </cfRule>
    <cfRule type="expression" dxfId="374" priority="22" stopIfTrue="1">
      <formula>NOT(OR(Y84="C",Y84="NC",Y84="SF",Y84="NA"))</formula>
    </cfRule>
  </conditionalFormatting>
  <conditionalFormatting sqref="AA84">
    <cfRule type="expression" dxfId="373" priority="19">
      <formula>AA84=""</formula>
    </cfRule>
    <cfRule type="expression" dxfId="372" priority="20" stopIfTrue="1">
      <formula>NOT(OR(AA84="C",AA84="NC",AA84="SF",AA84="NA"))</formula>
    </cfRule>
  </conditionalFormatting>
  <conditionalFormatting sqref="AC84">
    <cfRule type="expression" dxfId="371" priority="17">
      <formula>AC84=""</formula>
    </cfRule>
    <cfRule type="expression" dxfId="370" priority="18" stopIfTrue="1">
      <formula>NOT(OR(AC84="C",AC84="NC",AC84="SF",AC84="NA"))</formula>
    </cfRule>
  </conditionalFormatting>
  <conditionalFormatting sqref="AE84">
    <cfRule type="expression" dxfId="369" priority="15">
      <formula>AE84=""</formula>
    </cfRule>
    <cfRule type="expression" dxfId="368" priority="16" stopIfTrue="1">
      <formula>NOT(OR(AE84="C",AE84="NC",AE84="SF",AE84="NA"))</formula>
    </cfRule>
  </conditionalFormatting>
  <conditionalFormatting sqref="Q120">
    <cfRule type="expression" dxfId="367" priority="11">
      <formula>Q120=""</formula>
    </cfRule>
    <cfRule type="expression" dxfId="366" priority="12" stopIfTrue="1">
      <formula>NOT(OR(Q120="C",Q120="NC",Q120="SF",Q120="NA"))</formula>
    </cfRule>
  </conditionalFormatting>
  <conditionalFormatting sqref="S120">
    <cfRule type="expression" dxfId="365" priority="9">
      <formula>S120=""</formula>
    </cfRule>
    <cfRule type="expression" dxfId="364" priority="10" stopIfTrue="1">
      <formula>NOT(OR(S120="C",S120="NC",S120="SF",S120="NA"))</formula>
    </cfRule>
  </conditionalFormatting>
  <conditionalFormatting sqref="U120">
    <cfRule type="expression" dxfId="363" priority="7">
      <formula>U120=""</formula>
    </cfRule>
    <cfRule type="expression" dxfId="362" priority="8" stopIfTrue="1">
      <formula>NOT(OR(U120="C",U120="NC",U120="SF",U120="NA"))</formula>
    </cfRule>
  </conditionalFormatting>
  <conditionalFormatting sqref="Y120">
    <cfRule type="expression" dxfId="361" priority="5">
      <formula>Y120=""</formula>
    </cfRule>
    <cfRule type="expression" dxfId="360" priority="6" stopIfTrue="1">
      <formula>NOT(OR(Y120="C",Y120="NC",Y120="SF",Y120="NA"))</formula>
    </cfRule>
  </conditionalFormatting>
  <conditionalFormatting sqref="AA120">
    <cfRule type="expression" dxfId="359" priority="3">
      <formula>AA120=""</formula>
    </cfRule>
    <cfRule type="expression" dxfId="358" priority="4" stopIfTrue="1">
      <formula>NOT(OR(AA120="C",AA120="NC",AA120="SF",AA120="NA"))</formula>
    </cfRule>
  </conditionalFormatting>
  <conditionalFormatting sqref="O193 O195">
    <cfRule type="expression" dxfId="357" priority="1">
      <formula>O193=""</formula>
    </cfRule>
    <cfRule type="expression" dxfId="356" priority="2" stopIfTrue="1">
      <formula>NOT(OR(O193="C",O193="NC",O193="SF",O193="NA"))</formula>
    </cfRule>
  </conditionalFormatting>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59999389629810485"/>
    <pageSetUpPr fitToPage="1"/>
  </sheetPr>
  <dimension ref="A1:H14"/>
  <sheetViews>
    <sheetView zoomScale="55" zoomScaleNormal="55" zoomScaleSheetLayoutView="70" workbookViewId="0">
      <selection activeCell="G14" sqref="G14"/>
    </sheetView>
  </sheetViews>
  <sheetFormatPr defaultColWidth="9.140625" defaultRowHeight="21" customHeight="1"/>
  <cols>
    <col min="1" max="1" width="5.7109375" style="96" customWidth="1"/>
    <col min="2" max="7" width="30.7109375" style="96" customWidth="1"/>
    <col min="8" max="8" width="5.7109375" style="96" customWidth="1"/>
    <col min="9" max="16384" width="9.140625" style="96"/>
  </cols>
  <sheetData>
    <row r="1" spans="1:8" s="30" customFormat="1" ht="22.5">
      <c r="A1" s="388" t="s">
        <v>75</v>
      </c>
      <c r="B1" s="388"/>
      <c r="C1" s="388"/>
      <c r="D1" s="388"/>
      <c r="E1" s="388"/>
      <c r="F1" s="388"/>
      <c r="G1" s="388"/>
      <c r="H1" s="388"/>
    </row>
    <row r="2" spans="1:8" s="31" customFormat="1" ht="19.899999999999999" customHeight="1">
      <c r="A2" s="42"/>
      <c r="B2" s="42"/>
      <c r="C2" s="42"/>
      <c r="D2" s="42"/>
      <c r="E2" s="42"/>
      <c r="F2" s="42"/>
      <c r="G2" s="42"/>
      <c r="H2" s="43"/>
    </row>
    <row r="3" spans="1:8" s="29" customFormat="1" ht="22.5">
      <c r="A3" s="388" t="s">
        <v>1514</v>
      </c>
      <c r="B3" s="388"/>
      <c r="C3" s="388"/>
      <c r="D3" s="388"/>
      <c r="E3" s="388"/>
      <c r="F3" s="388"/>
      <c r="G3" s="388"/>
      <c r="H3" s="388"/>
    </row>
    <row r="4" spans="1:8" s="29" customFormat="1" ht="21" customHeight="1">
      <c r="A4" s="18"/>
      <c r="B4" s="18"/>
      <c r="C4" s="18"/>
      <c r="D4" s="18"/>
      <c r="E4" s="18"/>
      <c r="F4" s="18"/>
      <c r="G4" s="18"/>
      <c r="H4" s="18"/>
    </row>
    <row r="5" spans="1:8" ht="21" customHeight="1">
      <c r="B5" s="389" t="str">
        <f>'DADOS - PIRITUBA'!B184</f>
        <v>TESTE</v>
      </c>
      <c r="C5" s="389"/>
      <c r="D5" s="389"/>
      <c r="E5" s="389"/>
      <c r="F5" s="389"/>
      <c r="G5" s="389"/>
    </row>
    <row r="6" spans="1:8" ht="21" customHeight="1">
      <c r="B6" s="390" t="s">
        <v>1515</v>
      </c>
      <c r="C6" s="390"/>
      <c r="D6" s="126" t="s">
        <v>71</v>
      </c>
      <c r="E6" s="127" t="s">
        <v>1516</v>
      </c>
      <c r="F6" s="126" t="s">
        <v>56</v>
      </c>
      <c r="G6" s="126" t="s">
        <v>57</v>
      </c>
    </row>
    <row r="7" spans="1:8" ht="21" customHeight="1">
      <c r="B7" s="386" t="s">
        <v>61</v>
      </c>
      <c r="C7" s="387"/>
      <c r="D7" s="98">
        <f t="shared" ref="D7:D12" si="0">F7+G7+E7</f>
        <v>0</v>
      </c>
      <c r="E7" s="99">
        <f>COUNTIFS(ESGOTO!N:N,'EQUIPES - ESGOTO'!B5,ESGOTO!O:O,"SF")</f>
        <v>0</v>
      </c>
      <c r="F7" s="98">
        <f>COUNTIFS(ESGOTO!N:N,'EQUIPES - ESGOTO'!B5,ESGOTO!O:O,"c")</f>
        <v>0</v>
      </c>
      <c r="G7" s="98">
        <f>COUNTIFS(ESGOTO!N:N,'EQUIPES - ESGOTO'!B5,ESGOTO!O:O,"NC")</f>
        <v>0</v>
      </c>
    </row>
    <row r="8" spans="1:8" ht="21" customHeight="1">
      <c r="B8" s="386" t="s">
        <v>62</v>
      </c>
      <c r="C8" s="387"/>
      <c r="D8" s="98">
        <f t="shared" si="0"/>
        <v>0</v>
      </c>
      <c r="E8" s="99">
        <f>COUNTIFS(ESGOTO!N:N,'EQUIPES - ESGOTO'!B5,ESGOTO!Q:Q,"SF")</f>
        <v>0</v>
      </c>
      <c r="F8" s="98">
        <f>COUNTIFS(ESGOTO!N:N,'EQUIPES - ESGOTO'!B5,ESGOTO!Q:Q,"c")</f>
        <v>0</v>
      </c>
      <c r="G8" s="98">
        <f>COUNTIFS(ESGOTO!N:N,'EQUIPES - ESGOTO'!B5,ESGOTO!Q:Q,"NC")</f>
        <v>0</v>
      </c>
    </row>
    <row r="9" spans="1:8" ht="21" customHeight="1">
      <c r="B9" s="386" t="s">
        <v>63</v>
      </c>
      <c r="C9" s="387"/>
      <c r="D9" s="98">
        <f t="shared" si="0"/>
        <v>0</v>
      </c>
      <c r="E9" s="99">
        <f>COUNTIFS(ESGOTO!N:N,'EQUIPES - ESGOTO'!B5,ESGOTO!S:S,"SF")</f>
        <v>0</v>
      </c>
      <c r="F9" s="98">
        <f>COUNTIFS(ESGOTO!N:N,'EQUIPES - ESGOTO'!B5,ESGOTO!S:S,"c")</f>
        <v>0</v>
      </c>
      <c r="G9" s="98">
        <f>COUNTIFS(ESGOTO!N:N,'EQUIPES - ESGOTO'!B5,ESGOTO!S:S,"NC")</f>
        <v>0</v>
      </c>
    </row>
    <row r="10" spans="1:8" ht="21" customHeight="1">
      <c r="B10" s="386" t="s">
        <v>64</v>
      </c>
      <c r="C10" s="387"/>
      <c r="D10" s="98">
        <f t="shared" si="0"/>
        <v>0</v>
      </c>
      <c r="E10" s="99">
        <f>COUNTIFS(ESGOTO!N:N,'EQUIPES - ESGOTO'!B5,ESGOTO!U:U,"SF")</f>
        <v>0</v>
      </c>
      <c r="F10" s="98">
        <f>COUNTIFS(ESGOTO!N:N,'EQUIPES - ESGOTO'!B5,ESGOTO!U:U,"c")</f>
        <v>0</v>
      </c>
      <c r="G10" s="98">
        <f>COUNTIFS(ESGOTO!N:N,'EQUIPES - ESGOTO'!B5,ESGOTO!U:U,"NC")</f>
        <v>0</v>
      </c>
    </row>
    <row r="11" spans="1:8" ht="21" customHeight="1">
      <c r="B11" s="386" t="s">
        <v>65</v>
      </c>
      <c r="C11" s="387"/>
      <c r="D11" s="98">
        <f t="shared" si="0"/>
        <v>0</v>
      </c>
      <c r="E11" s="99">
        <f>COUNTIFS(ESGOTO!N:N,'EQUIPES - ESGOTO'!B5,ESGOTO!W:W,"SF")</f>
        <v>0</v>
      </c>
      <c r="F11" s="98">
        <f>COUNTIFS(ESGOTO!N:N,'EQUIPES - ESGOTO'!B5,ESGOTO!W:W,"c")</f>
        <v>0</v>
      </c>
      <c r="G11" s="98">
        <f>COUNTIFS(ESGOTO!N:N,'EQUIPES - ESGOTO'!B5,ESGOTO!W:W,"NC")</f>
        <v>0</v>
      </c>
    </row>
    <row r="12" spans="1:8" ht="21" customHeight="1">
      <c r="B12" s="386" t="s">
        <v>78</v>
      </c>
      <c r="C12" s="387"/>
      <c r="D12" s="98">
        <f t="shared" si="0"/>
        <v>0</v>
      </c>
      <c r="E12" s="99">
        <f>COUNTIFS(ESGOTO!N:N,'EQUIPES - ESGOTO'!B5,ESGOTO!Y:Y,"SF")</f>
        <v>0</v>
      </c>
      <c r="F12" s="98">
        <f>COUNTIFS(ESGOTO!N:N,'EQUIPES - ESGOTO'!B5,ESGOTO!Y:Y,"c")</f>
        <v>0</v>
      </c>
      <c r="G12" s="98">
        <f>COUNTIFS(ESGOTO!N:N,'EQUIPES - ESGOTO'!B5,ESGOTO!Y:Y,"NC")</f>
        <v>0</v>
      </c>
    </row>
    <row r="13" spans="1:8" ht="21" customHeight="1">
      <c r="B13" s="386" t="s">
        <v>67</v>
      </c>
      <c r="C13" s="387"/>
      <c r="D13" s="98">
        <f t="shared" ref="D13:D14" si="1">F13+G13+E13</f>
        <v>0</v>
      </c>
      <c r="E13" s="99">
        <f>COUNTIFS(ESGOTO!N:N,'EQUIPES - ESGOTO'!B6,ESGOTO!AA:AA,"SF")</f>
        <v>0</v>
      </c>
      <c r="F13" s="98">
        <f>COUNTIFS(ESGOTO!N:N,'EQUIPES - ESGOTO'!B5,ESGOTO!AA:AA,"c")</f>
        <v>0</v>
      </c>
      <c r="G13" s="98">
        <f>COUNTIFS(ESGOTO!N:N,'EQUIPES - ESGOTO'!B5,ESGOTO!AA:AA,"NC")</f>
        <v>0</v>
      </c>
    </row>
    <row r="14" spans="1:8" ht="21" customHeight="1">
      <c r="B14" s="386" t="s">
        <v>68</v>
      </c>
      <c r="C14" s="387"/>
      <c r="D14" s="98">
        <f t="shared" si="1"/>
        <v>0</v>
      </c>
      <c r="E14" s="99">
        <f>COUNTIFS(ESGOTO!N:N,'EQUIPES - ESGOTO'!B7,ESGOTO!AC:AC,"SF")</f>
        <v>0</v>
      </c>
      <c r="F14" s="98">
        <f>COUNTIFS(ESGOTO!N:N,'EQUIPES - ESGOTO'!B5,ESGOTO!AC:AC,"c")</f>
        <v>0</v>
      </c>
      <c r="G14" s="98">
        <f>COUNTIFS(ESGOTO!N:N,'EQUIPES - ESGOTO'!B5,ESGOTO!AC:AC,"NC")</f>
        <v>0</v>
      </c>
    </row>
  </sheetData>
  <mergeCells count="12">
    <mergeCell ref="B12:C12"/>
    <mergeCell ref="B13:C13"/>
    <mergeCell ref="B14:C14"/>
    <mergeCell ref="B11:C11"/>
    <mergeCell ref="A1:H1"/>
    <mergeCell ref="A3:H3"/>
    <mergeCell ref="B5:G5"/>
    <mergeCell ref="B6:C6"/>
    <mergeCell ref="B7:C7"/>
    <mergeCell ref="B8:C8"/>
    <mergeCell ref="B9:C9"/>
    <mergeCell ref="B10:C10"/>
  </mergeCells>
  <pageMargins left="0.511811024" right="0.14000000000000001" top="0.78740157499999996" bottom="0.78740157499999996" header="0.31496062000000002" footer="0.31496062000000002"/>
  <pageSetup paperSize="9" scale="39"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59999389629810485"/>
    <pageSetUpPr fitToPage="1"/>
  </sheetPr>
  <dimension ref="A1:N328"/>
  <sheetViews>
    <sheetView zoomScale="70" zoomScaleNormal="70" zoomScaleSheetLayoutView="70" workbookViewId="0">
      <selection activeCell="G7" sqref="G7"/>
    </sheetView>
  </sheetViews>
  <sheetFormatPr defaultColWidth="30.7109375" defaultRowHeight="19.899999999999999" customHeight="1"/>
  <cols>
    <col min="1" max="7" width="37.7109375" style="18" customWidth="1"/>
    <col min="8" max="282" width="9.140625" style="18" customWidth="1"/>
    <col min="283" max="16384" width="30.7109375" style="18"/>
  </cols>
  <sheetData>
    <row r="1" spans="1:7" s="2" customFormat="1" ht="35.1" customHeight="1">
      <c r="A1" s="382" t="s">
        <v>158</v>
      </c>
      <c r="B1" s="382"/>
      <c r="C1" s="382"/>
      <c r="D1" s="382"/>
      <c r="E1" s="382"/>
      <c r="F1" s="382"/>
    </row>
    <row r="2" spans="1:7" s="26" customFormat="1" ht="30" customHeight="1" thickBot="1"/>
    <row r="3" spans="1:7" s="27" customFormat="1" ht="30" customHeight="1">
      <c r="B3" s="377" t="s">
        <v>159</v>
      </c>
      <c r="C3" s="378"/>
      <c r="D3" s="377" t="s">
        <v>71</v>
      </c>
      <c r="E3" s="378"/>
    </row>
    <row r="4" spans="1:7" s="27" customFormat="1" ht="30" customHeight="1" thickBot="1">
      <c r="B4" s="391">
        <f>COUNTIF(CAVALETE!A:A,"ONMP - DIV MANUT SERV OPE PIRITUBA")</f>
        <v>747</v>
      </c>
      <c r="C4" s="384"/>
      <c r="D4" s="391">
        <f>'DADOS - PIRITUBA'!C28</f>
        <v>717</v>
      </c>
      <c r="E4" s="384"/>
    </row>
    <row r="5" spans="1:7" s="27" customFormat="1" ht="35.1" customHeight="1">
      <c r="B5" s="86" t="s">
        <v>160</v>
      </c>
      <c r="C5" s="87" t="s">
        <v>161</v>
      </c>
      <c r="D5" s="86" t="s">
        <v>162</v>
      </c>
      <c r="E5" s="87" t="s">
        <v>161</v>
      </c>
      <c r="F5" s="25"/>
    </row>
    <row r="6" spans="1:7" s="27" customFormat="1" ht="35.1" customHeight="1" thickBot="1">
      <c r="B6" s="85">
        <f>'DADOS - PIRITUBA'!C28+'GRÁFICOS - CAVALETE'!D8</f>
        <v>747</v>
      </c>
      <c r="C6" s="44">
        <f>IFERROR(B6/B4,"-")</f>
        <v>1</v>
      </c>
      <c r="D6" s="85">
        <f>COUNTIFS(CAVALETE!O:O,"SF",CAVALETE!Q:Q,"SF",CAVALETE!S:S,"SF",CAVALETE!U:U,"SF",CAVALETE!W:W,"SF")</f>
        <v>102</v>
      </c>
      <c r="E6" s="44">
        <f>IFERROR(D6/B4,"0")</f>
        <v>0.13654618473895583</v>
      </c>
      <c r="F6" s="25"/>
      <c r="G6" s="27">
        <f>357/6</f>
        <v>59.5</v>
      </c>
    </row>
    <row r="7" spans="1:7" s="27" customFormat="1" ht="35.1" customHeight="1">
      <c r="B7" s="86" t="s">
        <v>163</v>
      </c>
      <c r="C7" s="87" t="s">
        <v>161</v>
      </c>
      <c r="D7" s="86" t="s">
        <v>164</v>
      </c>
      <c r="E7" s="87" t="s">
        <v>161</v>
      </c>
      <c r="F7" s="25"/>
    </row>
    <row r="8" spans="1:7" s="27" customFormat="1" ht="35.1" customHeight="1" thickBot="1">
      <c r="B8" s="85">
        <f>B4-B6</f>
        <v>0</v>
      </c>
      <c r="C8" s="44">
        <f>IFERROR(B8/B4,"-")</f>
        <v>0</v>
      </c>
      <c r="D8" s="85">
        <f>COUNTIFS(CAVALETE!O:O,"NA",CAVALETE!Q:Q,"NA",CAVALETE!S:S,"NA",CAVALETE!U:U,"NA",CAVALETE!W:W,"NA")</f>
        <v>30</v>
      </c>
      <c r="E8" s="44">
        <f>IFERROR(D8/B4,"-")</f>
        <v>4.0160642570281124E-2</v>
      </c>
      <c r="F8" s="25"/>
    </row>
    <row r="9" spans="1:7" s="27" customFormat="1" ht="20.100000000000001" customHeight="1">
      <c r="B9" s="24"/>
      <c r="C9" s="24"/>
      <c r="D9" s="25"/>
      <c r="E9" s="24"/>
      <c r="F9" s="25"/>
    </row>
    <row r="10" spans="1:7" s="27" customFormat="1" ht="20.100000000000001" customHeight="1">
      <c r="B10" s="24"/>
      <c r="C10" s="24"/>
      <c r="D10" s="25"/>
      <c r="E10" s="24"/>
      <c r="F10" s="25"/>
    </row>
    <row r="11" spans="1:7" s="27" customFormat="1" ht="35.1" customHeight="1">
      <c r="A11" s="382" t="s">
        <v>165</v>
      </c>
      <c r="B11" s="382"/>
      <c r="C11" s="382"/>
      <c r="D11" s="382"/>
      <c r="E11" s="382"/>
      <c r="F11" s="382"/>
      <c r="G11" s="382"/>
    </row>
    <row r="12" spans="1:7" s="27" customFormat="1" ht="20.100000000000001" customHeight="1">
      <c r="B12" s="24"/>
      <c r="C12" s="24"/>
      <c r="D12" s="25"/>
      <c r="E12" s="24"/>
      <c r="F12" s="25"/>
    </row>
    <row r="13" spans="1:7" s="27" customFormat="1" ht="20.100000000000001" customHeight="1">
      <c r="A13" s="24"/>
      <c r="F13" s="24"/>
    </row>
    <row r="14" spans="1:7" s="27" customFormat="1" ht="20.100000000000001" customHeight="1">
      <c r="A14" s="24"/>
      <c r="F14" s="24"/>
    </row>
    <row r="15" spans="1:7" s="1" customFormat="1" ht="20.100000000000001" customHeight="1">
      <c r="A15" s="36"/>
      <c r="B15" s="36"/>
      <c r="C15" s="36"/>
      <c r="D15" s="36"/>
      <c r="E15" s="36"/>
      <c r="F15" s="36"/>
    </row>
    <row r="16" spans="1:7" s="1" customFormat="1" ht="20.100000000000001" customHeight="1">
      <c r="A16" s="36"/>
      <c r="B16" s="36"/>
      <c r="C16" s="36"/>
      <c r="D16" s="36"/>
      <c r="E16" s="36"/>
      <c r="F16" s="36"/>
    </row>
    <row r="17" spans="1:6" s="1" customFormat="1" ht="20.100000000000001" customHeight="1">
      <c r="A17" s="36"/>
      <c r="B17" s="36"/>
      <c r="C17" s="36"/>
      <c r="D17" s="36"/>
      <c r="E17" s="36"/>
      <c r="F17" s="36"/>
    </row>
    <row r="18" spans="1:6" s="1" customFormat="1" ht="20.100000000000001" customHeight="1">
      <c r="A18" s="36"/>
      <c r="B18" s="36"/>
      <c r="C18" s="36"/>
      <c r="D18" s="36"/>
      <c r="E18" s="36"/>
      <c r="F18" s="36"/>
    </row>
    <row r="19" spans="1:6" s="1" customFormat="1" ht="20.100000000000001" customHeight="1">
      <c r="A19" s="36"/>
      <c r="B19" s="36"/>
      <c r="C19" s="36"/>
      <c r="D19" s="36"/>
      <c r="E19" s="36"/>
      <c r="F19" s="36"/>
    </row>
    <row r="20" spans="1:6" s="1" customFormat="1" ht="20.100000000000001" customHeight="1">
      <c r="A20" s="36"/>
      <c r="B20" s="36"/>
      <c r="C20" s="36"/>
      <c r="D20" s="36"/>
      <c r="E20" s="36"/>
      <c r="F20" s="36"/>
    </row>
    <row r="21" spans="1:6" s="1" customFormat="1" ht="20.100000000000001" customHeight="1">
      <c r="A21" s="36"/>
      <c r="B21" s="36"/>
      <c r="C21" s="36"/>
      <c r="D21" s="36"/>
      <c r="E21" s="36"/>
      <c r="F21" s="36"/>
    </row>
    <row r="22" spans="1:6" s="1" customFormat="1" ht="20.100000000000001" customHeight="1">
      <c r="A22" s="36"/>
      <c r="B22" s="36"/>
      <c r="C22" s="36"/>
      <c r="D22" s="36"/>
      <c r="E22" s="36"/>
      <c r="F22" s="36"/>
    </row>
    <row r="23" spans="1:6" s="1" customFormat="1" ht="20.100000000000001" customHeight="1">
      <c r="A23" s="36"/>
      <c r="B23" s="36"/>
      <c r="C23" s="36"/>
      <c r="D23" s="36"/>
      <c r="E23" s="36"/>
      <c r="F23" s="36"/>
    </row>
    <row r="24" spans="1:6" s="1" customFormat="1" ht="20.100000000000001" customHeight="1">
      <c r="A24" s="36"/>
      <c r="B24" s="36"/>
      <c r="C24" s="36"/>
      <c r="D24" s="36"/>
      <c r="E24" s="36"/>
      <c r="F24" s="36"/>
    </row>
    <row r="25" spans="1:6" s="1" customFormat="1" ht="20.100000000000001" customHeight="1">
      <c r="A25" s="36"/>
      <c r="B25" s="36"/>
      <c r="C25" s="36"/>
      <c r="D25" s="36"/>
      <c r="E25" s="36"/>
      <c r="F25" s="36"/>
    </row>
    <row r="26" spans="1:6" s="1" customFormat="1" ht="20.100000000000001" customHeight="1">
      <c r="A26" s="36"/>
      <c r="B26" s="36"/>
      <c r="C26" s="36"/>
      <c r="D26" s="36"/>
      <c r="E26" s="36"/>
      <c r="F26" s="36"/>
    </row>
    <row r="27" spans="1:6" s="1" customFormat="1" ht="20.100000000000001" customHeight="1">
      <c r="A27" s="36"/>
      <c r="B27" s="36"/>
      <c r="C27" s="36"/>
      <c r="D27" s="36"/>
      <c r="E27" s="36"/>
      <c r="F27" s="36"/>
    </row>
    <row r="28" spans="1:6" s="1" customFormat="1" ht="20.100000000000001" customHeight="1">
      <c r="A28" s="36"/>
      <c r="B28" s="36"/>
      <c r="C28" s="36"/>
      <c r="D28" s="36"/>
      <c r="E28" s="36"/>
      <c r="F28" s="36"/>
    </row>
    <row r="29" spans="1:6" s="1" customFormat="1" ht="20.100000000000001" customHeight="1">
      <c r="A29" s="36"/>
      <c r="B29" s="36"/>
      <c r="C29" s="36"/>
      <c r="D29" s="36"/>
      <c r="E29" s="36"/>
      <c r="F29" s="36"/>
    </row>
    <row r="30" spans="1:6" s="1" customFormat="1" ht="20.100000000000001" customHeight="1">
      <c r="A30" s="36"/>
      <c r="B30" s="36"/>
      <c r="C30" s="36"/>
      <c r="D30" s="36"/>
      <c r="E30" s="36"/>
      <c r="F30" s="36"/>
    </row>
    <row r="31" spans="1:6" s="1" customFormat="1" ht="20.100000000000001" customHeight="1">
      <c r="A31" s="36"/>
      <c r="B31" s="36"/>
      <c r="C31" s="36"/>
      <c r="D31" s="36"/>
      <c r="E31" s="36"/>
      <c r="F31" s="36"/>
    </row>
    <row r="32" spans="1:6" s="1" customFormat="1" ht="20.100000000000001" customHeight="1">
      <c r="A32" s="36"/>
      <c r="B32" s="36"/>
      <c r="C32" s="36"/>
      <c r="D32" s="36"/>
      <c r="E32" s="36"/>
      <c r="F32" s="36"/>
    </row>
    <row r="33" spans="1:7" s="1" customFormat="1" ht="20.100000000000001" customHeight="1">
      <c r="A33" s="36"/>
      <c r="B33" s="36"/>
      <c r="C33" s="36"/>
      <c r="D33" s="36"/>
      <c r="E33" s="36"/>
      <c r="F33" s="36"/>
    </row>
    <row r="34" spans="1:7" s="1" customFormat="1" ht="20.100000000000001" customHeight="1">
      <c r="A34" s="36"/>
      <c r="B34" s="36"/>
      <c r="C34" s="36"/>
      <c r="D34" s="36"/>
      <c r="E34" s="36"/>
      <c r="F34" s="36"/>
    </row>
    <row r="35" spans="1:7" s="1" customFormat="1" ht="20.100000000000001" customHeight="1">
      <c r="A35" s="36"/>
      <c r="B35" s="36"/>
      <c r="C35" s="36"/>
      <c r="D35" s="36"/>
      <c r="E35" s="36"/>
      <c r="F35" s="36"/>
    </row>
    <row r="36" spans="1:7" s="1" customFormat="1" ht="20.100000000000001" customHeight="1">
      <c r="A36" s="36"/>
      <c r="B36" s="36"/>
      <c r="C36" s="36"/>
      <c r="D36" s="36"/>
      <c r="E36" s="36"/>
      <c r="F36" s="36"/>
    </row>
    <row r="37" spans="1:7" s="1" customFormat="1" ht="20.100000000000001" customHeight="1">
      <c r="A37" s="36"/>
      <c r="B37" s="36"/>
      <c r="C37" s="36"/>
      <c r="D37" s="36"/>
      <c r="E37" s="36"/>
      <c r="F37" s="36"/>
    </row>
    <row r="38" spans="1:7" s="1" customFormat="1" ht="20.100000000000001" customHeight="1">
      <c r="A38" s="36"/>
      <c r="B38" s="36"/>
      <c r="C38" s="36"/>
      <c r="D38" s="36"/>
      <c r="E38" s="36"/>
      <c r="F38" s="36"/>
    </row>
    <row r="39" spans="1:7" s="1" customFormat="1" ht="20.100000000000001" customHeight="1">
      <c r="A39" s="36"/>
      <c r="B39" s="36"/>
      <c r="C39" s="36"/>
      <c r="D39" s="36"/>
      <c r="E39" s="36"/>
      <c r="F39" s="36"/>
    </row>
    <row r="40" spans="1:7" s="1" customFormat="1" ht="35.1" customHeight="1">
      <c r="A40" s="382" t="s">
        <v>166</v>
      </c>
      <c r="B40" s="382"/>
      <c r="C40" s="382"/>
      <c r="D40" s="382"/>
      <c r="E40" s="382"/>
      <c r="F40" s="382"/>
      <c r="G40" s="382"/>
    </row>
    <row r="41" spans="1:7" s="1" customFormat="1" ht="20.100000000000001" customHeight="1">
      <c r="A41" s="36"/>
      <c r="B41" s="36"/>
      <c r="C41" s="36"/>
      <c r="D41" s="36"/>
      <c r="E41" s="36"/>
      <c r="F41" s="36"/>
    </row>
    <row r="42" spans="1:7" s="1" customFormat="1" ht="20.100000000000001" customHeight="1">
      <c r="A42" s="36"/>
      <c r="B42" s="36"/>
      <c r="C42" s="36"/>
      <c r="D42" s="36"/>
      <c r="E42" s="36"/>
      <c r="F42" s="36"/>
    </row>
    <row r="43" spans="1:7" s="1" customFormat="1" ht="20.100000000000001" customHeight="1">
      <c r="A43" s="36"/>
      <c r="B43" s="36"/>
      <c r="C43" s="36"/>
      <c r="D43" s="36"/>
      <c r="E43" s="36"/>
      <c r="F43" s="36"/>
    </row>
    <row r="44" spans="1:7" s="1" customFormat="1" ht="20.100000000000001" customHeight="1">
      <c r="A44" s="36"/>
      <c r="B44" s="36"/>
      <c r="C44" s="36"/>
      <c r="D44" s="36"/>
      <c r="E44" s="36"/>
      <c r="F44" s="36"/>
    </row>
    <row r="45" spans="1:7" s="1" customFormat="1" ht="20.100000000000001" customHeight="1">
      <c r="A45" s="36"/>
      <c r="B45" s="36"/>
      <c r="C45" s="36"/>
      <c r="D45" s="36"/>
      <c r="E45" s="36"/>
      <c r="F45" s="36"/>
    </row>
    <row r="46" spans="1:7" s="1" customFormat="1" ht="20.100000000000001" customHeight="1">
      <c r="A46" s="36"/>
      <c r="B46" s="36"/>
      <c r="C46" s="36"/>
      <c r="D46" s="36"/>
      <c r="E46" s="36"/>
      <c r="F46" s="36"/>
    </row>
    <row r="47" spans="1:7" s="1" customFormat="1" ht="20.100000000000001" customHeight="1">
      <c r="A47" s="36"/>
      <c r="B47" s="36"/>
      <c r="C47" s="36"/>
      <c r="D47" s="36"/>
      <c r="E47" s="36"/>
      <c r="F47" s="36"/>
    </row>
    <row r="48" spans="1:7" s="1" customFormat="1" ht="20.100000000000001" customHeight="1">
      <c r="A48" s="36"/>
      <c r="B48" s="36"/>
      <c r="C48" s="36"/>
      <c r="D48" s="36"/>
      <c r="E48" s="36"/>
      <c r="F48" s="36"/>
    </row>
    <row r="49" spans="1:6" s="1" customFormat="1" ht="20.100000000000001" customHeight="1">
      <c r="A49" s="36"/>
      <c r="B49" s="36"/>
      <c r="C49" s="36"/>
      <c r="D49" s="36"/>
      <c r="E49" s="36"/>
      <c r="F49" s="36"/>
    </row>
    <row r="50" spans="1:6" s="1" customFormat="1" ht="20.100000000000001" customHeight="1">
      <c r="A50" s="36"/>
      <c r="B50" s="36"/>
      <c r="C50" s="36"/>
      <c r="D50" s="36"/>
      <c r="E50" s="36"/>
      <c r="F50" s="36"/>
    </row>
    <row r="51" spans="1:6" s="1" customFormat="1" ht="20.100000000000001" customHeight="1">
      <c r="A51" s="36"/>
      <c r="B51" s="36"/>
      <c r="C51" s="36"/>
      <c r="D51" s="36"/>
      <c r="E51" s="36"/>
      <c r="F51" s="36"/>
    </row>
    <row r="52" spans="1:6" s="1" customFormat="1" ht="20.100000000000001" customHeight="1">
      <c r="A52" s="36"/>
      <c r="B52" s="36"/>
      <c r="C52" s="36"/>
      <c r="D52" s="36"/>
      <c r="E52" s="36"/>
      <c r="F52" s="36"/>
    </row>
    <row r="53" spans="1:6" s="1" customFormat="1" ht="20.100000000000001" customHeight="1">
      <c r="A53" s="36"/>
      <c r="B53" s="36"/>
      <c r="C53" s="36"/>
      <c r="D53" s="36"/>
      <c r="E53" s="36"/>
      <c r="F53" s="36"/>
    </row>
    <row r="54" spans="1:6" s="1" customFormat="1" ht="20.100000000000001" customHeight="1">
      <c r="A54" s="36"/>
      <c r="B54" s="36"/>
      <c r="C54" s="36"/>
      <c r="D54" s="36"/>
      <c r="E54" s="36"/>
      <c r="F54" s="36"/>
    </row>
    <row r="55" spans="1:6" s="1" customFormat="1" ht="20.100000000000001" customHeight="1">
      <c r="A55" s="36"/>
      <c r="B55" s="36"/>
      <c r="C55" s="36"/>
      <c r="D55" s="36"/>
      <c r="E55" s="36"/>
      <c r="F55" s="36"/>
    </row>
    <row r="56" spans="1:6" s="1" customFormat="1" ht="20.100000000000001" customHeight="1">
      <c r="A56" s="36"/>
      <c r="B56" s="36"/>
      <c r="C56" s="36"/>
      <c r="D56" s="36"/>
      <c r="E56" s="36"/>
      <c r="F56" s="36"/>
    </row>
    <row r="57" spans="1:6" s="1" customFormat="1" ht="20.100000000000001" customHeight="1">
      <c r="A57" s="36"/>
      <c r="B57" s="36"/>
      <c r="C57" s="36"/>
      <c r="D57" s="36"/>
      <c r="E57" s="36"/>
      <c r="F57" s="36"/>
    </row>
    <row r="58" spans="1:6" s="1" customFormat="1" ht="20.100000000000001" customHeight="1">
      <c r="A58" s="36"/>
      <c r="B58" s="36"/>
      <c r="C58" s="36"/>
      <c r="D58" s="36"/>
      <c r="E58" s="36"/>
      <c r="F58" s="36"/>
    </row>
    <row r="59" spans="1:6" s="1" customFormat="1" ht="20.100000000000001" customHeight="1">
      <c r="A59" s="36"/>
      <c r="B59" s="36"/>
      <c r="C59" s="36"/>
      <c r="D59" s="36"/>
      <c r="E59" s="36"/>
      <c r="F59" s="36"/>
    </row>
    <row r="60" spans="1:6" s="1" customFormat="1" ht="19.5" customHeight="1">
      <c r="A60" s="36"/>
      <c r="B60" s="36"/>
      <c r="C60" s="36"/>
      <c r="D60" s="36"/>
      <c r="E60" s="36"/>
      <c r="F60" s="36"/>
    </row>
    <row r="61" spans="1:6" s="1" customFormat="1" ht="19.5" customHeight="1">
      <c r="A61" s="36"/>
      <c r="B61" s="36"/>
      <c r="C61" s="36"/>
      <c r="D61" s="36"/>
      <c r="E61" s="36"/>
      <c r="F61" s="36"/>
    </row>
    <row r="62" spans="1:6" s="1" customFormat="1" ht="19.5" customHeight="1">
      <c r="A62" s="36"/>
      <c r="B62" s="36"/>
      <c r="C62" s="36"/>
      <c r="D62" s="36"/>
      <c r="E62" s="36"/>
      <c r="F62" s="36"/>
    </row>
    <row r="63" spans="1:6" s="1" customFormat="1" ht="19.5" customHeight="1">
      <c r="A63" s="36"/>
      <c r="B63" s="36"/>
      <c r="C63" s="36"/>
      <c r="D63" s="36"/>
      <c r="E63" s="36"/>
      <c r="F63" s="36"/>
    </row>
    <row r="64" spans="1:6" s="1" customFormat="1" ht="19.5" customHeight="1">
      <c r="A64" s="36"/>
      <c r="B64" s="36"/>
      <c r="C64" s="36"/>
      <c r="D64" s="36"/>
      <c r="E64" s="36"/>
      <c r="F64" s="36"/>
    </row>
    <row r="65" spans="1:7" s="1" customFormat="1" ht="19.5" customHeight="1">
      <c r="A65" s="36"/>
      <c r="B65" s="36"/>
      <c r="C65" s="36"/>
      <c r="D65" s="36"/>
      <c r="E65" s="36"/>
      <c r="F65" s="36"/>
    </row>
    <row r="66" spans="1:7" s="1" customFormat="1" ht="19.5" customHeight="1">
      <c r="A66" s="36"/>
      <c r="B66" s="36"/>
      <c r="C66" s="36"/>
      <c r="D66" s="36"/>
      <c r="E66" s="36"/>
      <c r="F66" s="36"/>
    </row>
    <row r="67" spans="1:7" s="1" customFormat="1" ht="19.5" customHeight="1">
      <c r="A67" s="36"/>
      <c r="B67" s="36"/>
      <c r="C67" s="36"/>
      <c r="D67" s="36"/>
      <c r="E67" s="36"/>
      <c r="F67" s="36"/>
    </row>
    <row r="68" spans="1:7" s="1" customFormat="1" ht="19.5" customHeight="1">
      <c r="A68" s="36"/>
      <c r="B68" s="36"/>
      <c r="C68" s="36"/>
      <c r="D68" s="36"/>
      <c r="E68" s="36"/>
      <c r="F68" s="36"/>
    </row>
    <row r="69" spans="1:7" s="2" customFormat="1" ht="35.1" customHeight="1">
      <c r="A69" s="382" t="s">
        <v>167</v>
      </c>
      <c r="B69" s="382"/>
      <c r="C69" s="382"/>
      <c r="D69" s="382"/>
      <c r="E69" s="382"/>
      <c r="F69" s="382"/>
      <c r="G69" s="382"/>
    </row>
    <row r="70" spans="1:7" s="1" customFormat="1" ht="20.100000000000001" customHeight="1">
      <c r="A70" s="18"/>
      <c r="B70" s="18"/>
      <c r="C70" s="18"/>
      <c r="D70" s="18"/>
      <c r="E70" s="18"/>
      <c r="F70" s="18"/>
    </row>
    <row r="71" spans="1:7" s="1" customFormat="1" ht="20.100000000000001" customHeight="1">
      <c r="A71" s="18"/>
      <c r="B71" s="18"/>
      <c r="C71" s="18"/>
      <c r="D71" s="18"/>
      <c r="E71" s="18"/>
      <c r="F71" s="18"/>
    </row>
    <row r="72" spans="1:7" s="1" customFormat="1" ht="20.100000000000001" customHeight="1">
      <c r="A72" s="18"/>
      <c r="B72" s="18"/>
      <c r="C72" s="18"/>
      <c r="D72" s="18"/>
      <c r="E72" s="18"/>
      <c r="F72" s="18"/>
    </row>
    <row r="73" spans="1:7" s="1" customFormat="1" ht="20.100000000000001" customHeight="1">
      <c r="A73" s="18"/>
      <c r="B73" s="18"/>
      <c r="C73" s="18"/>
      <c r="D73" s="18"/>
      <c r="E73" s="18"/>
      <c r="F73" s="18"/>
    </row>
    <row r="74" spans="1:7" s="1" customFormat="1" ht="20.100000000000001" customHeight="1">
      <c r="A74" s="18"/>
      <c r="B74" s="18"/>
      <c r="C74" s="18"/>
      <c r="D74" s="18"/>
      <c r="E74" s="18"/>
      <c r="F74" s="18"/>
    </row>
    <row r="75" spans="1:7" s="1" customFormat="1" ht="20.100000000000001" customHeight="1">
      <c r="A75" s="18"/>
      <c r="B75" s="18"/>
      <c r="C75" s="18"/>
      <c r="D75" s="18"/>
      <c r="E75" s="18"/>
      <c r="F75" s="18"/>
    </row>
    <row r="76" spans="1:7" s="1" customFormat="1" ht="20.100000000000001" customHeight="1">
      <c r="A76" s="18"/>
      <c r="B76" s="18"/>
      <c r="C76" s="18"/>
      <c r="D76" s="18"/>
      <c r="E76" s="18"/>
      <c r="F76" s="18"/>
    </row>
    <row r="77" spans="1:7" s="1" customFormat="1" ht="20.100000000000001" customHeight="1">
      <c r="A77" s="18"/>
      <c r="B77" s="18"/>
      <c r="C77" s="18"/>
      <c r="D77" s="18"/>
      <c r="E77" s="18"/>
      <c r="F77" s="18"/>
    </row>
    <row r="78" spans="1:7" s="1" customFormat="1" ht="20.100000000000001" customHeight="1">
      <c r="A78" s="18"/>
      <c r="B78" s="18"/>
      <c r="C78" s="18"/>
      <c r="D78" s="18"/>
      <c r="E78" s="18"/>
      <c r="F78" s="18"/>
    </row>
    <row r="79" spans="1:7" s="1" customFormat="1" ht="20.100000000000001" customHeight="1">
      <c r="A79" s="18"/>
      <c r="B79" s="18"/>
      <c r="C79" s="18"/>
      <c r="D79" s="18"/>
      <c r="E79" s="18"/>
      <c r="F79" s="18"/>
    </row>
    <row r="80" spans="1:7" s="1" customFormat="1" ht="20.100000000000001" customHeight="1">
      <c r="A80" s="18"/>
      <c r="B80" s="18"/>
      <c r="C80" s="18"/>
      <c r="D80" s="18"/>
      <c r="E80" s="18"/>
      <c r="F80" s="18"/>
    </row>
    <row r="81" spans="1:6" s="1" customFormat="1" ht="20.100000000000001" customHeight="1">
      <c r="A81" s="18"/>
      <c r="B81" s="18"/>
      <c r="C81" s="18"/>
      <c r="D81" s="18"/>
      <c r="E81" s="18"/>
      <c r="F81" s="18"/>
    </row>
    <row r="82" spans="1:6" s="1" customFormat="1" ht="20.100000000000001" customHeight="1">
      <c r="A82" s="18"/>
      <c r="B82" s="18"/>
      <c r="C82" s="18"/>
      <c r="D82" s="18"/>
      <c r="E82" s="18"/>
      <c r="F82" s="18"/>
    </row>
    <row r="83" spans="1:6" s="1" customFormat="1" ht="20.100000000000001" customHeight="1">
      <c r="A83" s="18"/>
      <c r="B83" s="18"/>
      <c r="C83" s="18"/>
      <c r="D83" s="18"/>
      <c r="E83" s="18"/>
      <c r="F83" s="18"/>
    </row>
    <row r="84" spans="1:6" s="1" customFormat="1" ht="20.100000000000001" customHeight="1">
      <c r="A84" s="18"/>
      <c r="B84" s="18"/>
      <c r="C84" s="18"/>
      <c r="D84" s="18"/>
      <c r="E84" s="18"/>
      <c r="F84" s="18"/>
    </row>
    <row r="85" spans="1:6" s="1" customFormat="1" ht="20.100000000000001" customHeight="1">
      <c r="A85" s="18"/>
      <c r="B85" s="18"/>
      <c r="C85" s="18"/>
      <c r="D85" s="18"/>
      <c r="E85" s="18"/>
      <c r="F85" s="18"/>
    </row>
    <row r="86" spans="1:6" s="1" customFormat="1" ht="20.100000000000001" customHeight="1">
      <c r="A86" s="18"/>
      <c r="B86" s="18"/>
      <c r="C86" s="18"/>
      <c r="D86" s="18"/>
      <c r="E86" s="18"/>
      <c r="F86" s="18"/>
    </row>
    <row r="87" spans="1:6" s="1" customFormat="1" ht="20.100000000000001" customHeight="1">
      <c r="A87" s="18"/>
      <c r="B87" s="18"/>
      <c r="C87" s="18"/>
      <c r="D87" s="18"/>
      <c r="E87" s="18"/>
      <c r="F87" s="18"/>
    </row>
    <row r="88" spans="1:6" s="1" customFormat="1" ht="20.100000000000001" customHeight="1">
      <c r="A88" s="18"/>
      <c r="B88" s="18"/>
      <c r="C88" s="18"/>
      <c r="D88" s="18"/>
      <c r="E88" s="18"/>
      <c r="F88" s="18"/>
    </row>
    <row r="89" spans="1:6" s="1" customFormat="1" ht="20.100000000000001" customHeight="1">
      <c r="A89" s="18"/>
      <c r="B89" s="18"/>
      <c r="C89" s="18"/>
      <c r="D89" s="18"/>
      <c r="E89" s="18"/>
      <c r="F89" s="18"/>
    </row>
    <row r="90" spans="1:6" s="1" customFormat="1" ht="20.100000000000001" customHeight="1">
      <c r="A90" s="18"/>
      <c r="B90" s="18"/>
      <c r="C90" s="18"/>
      <c r="D90" s="18"/>
      <c r="E90" s="18"/>
      <c r="F90" s="18"/>
    </row>
    <row r="91" spans="1:6" s="1" customFormat="1" ht="20.100000000000001" customHeight="1">
      <c r="A91" s="18"/>
      <c r="B91" s="18"/>
      <c r="C91" s="18"/>
      <c r="D91" s="18"/>
      <c r="E91" s="18"/>
      <c r="F91" s="18"/>
    </row>
    <row r="92" spans="1:6" s="1" customFormat="1" ht="20.100000000000001" customHeight="1">
      <c r="A92" s="18"/>
      <c r="B92" s="18"/>
      <c r="C92" s="18"/>
      <c r="D92" s="18"/>
      <c r="E92" s="18"/>
      <c r="F92" s="18"/>
    </row>
    <row r="93" spans="1:6" s="1" customFormat="1" ht="20.100000000000001" customHeight="1">
      <c r="A93" s="18"/>
      <c r="B93" s="18"/>
      <c r="C93" s="18"/>
      <c r="D93" s="18"/>
      <c r="E93" s="18"/>
      <c r="F93" s="18"/>
    </row>
    <row r="94" spans="1:6" s="1" customFormat="1" ht="20.100000000000001" customHeight="1">
      <c r="A94" s="18"/>
      <c r="B94" s="18"/>
      <c r="C94" s="18"/>
      <c r="D94" s="18"/>
      <c r="E94" s="18"/>
      <c r="F94" s="18"/>
    </row>
    <row r="95" spans="1:6" s="1" customFormat="1" ht="20.100000000000001" customHeight="1">
      <c r="A95" s="18"/>
      <c r="B95" s="18"/>
      <c r="C95" s="18"/>
      <c r="D95" s="18"/>
      <c r="E95" s="18"/>
      <c r="F95" s="18"/>
    </row>
    <row r="96" spans="1:6" s="1" customFormat="1" ht="20.100000000000001" customHeight="1">
      <c r="A96" s="18"/>
      <c r="B96" s="18"/>
      <c r="C96" s="18"/>
      <c r="D96" s="18"/>
      <c r="E96" s="18"/>
      <c r="F96" s="18"/>
    </row>
    <row r="97" spans="1:14" s="1" customFormat="1" ht="20.100000000000001" customHeight="1">
      <c r="A97" s="18"/>
      <c r="B97" s="18"/>
      <c r="C97" s="18"/>
      <c r="D97" s="18"/>
      <c r="E97" s="18"/>
      <c r="F97" s="18"/>
    </row>
    <row r="98" spans="1:14" s="1" customFormat="1" ht="20.100000000000001" customHeight="1">
      <c r="A98" s="18"/>
      <c r="B98" s="18"/>
      <c r="C98" s="18"/>
      <c r="D98" s="18"/>
      <c r="E98" s="18"/>
      <c r="F98" s="18"/>
    </row>
    <row r="99" spans="1:14" s="1" customFormat="1" ht="20.100000000000001" customHeight="1">
      <c r="A99" s="18"/>
      <c r="B99" s="18"/>
      <c r="C99" s="18"/>
      <c r="D99" s="18"/>
      <c r="E99" s="18"/>
      <c r="F99" s="18"/>
    </row>
    <row r="100" spans="1:14" s="1" customFormat="1" ht="20.100000000000001" customHeight="1">
      <c r="A100" s="18"/>
      <c r="B100" s="18"/>
      <c r="C100" s="18"/>
      <c r="D100" s="18"/>
      <c r="E100" s="18"/>
      <c r="F100" s="18"/>
    </row>
    <row r="101" spans="1:14" s="1" customFormat="1" ht="20.100000000000001" customHeight="1">
      <c r="A101" s="18"/>
      <c r="B101" s="18"/>
      <c r="C101" s="18"/>
      <c r="D101" s="18"/>
      <c r="E101" s="18"/>
      <c r="F101" s="18"/>
    </row>
    <row r="102" spans="1:14" s="1" customFormat="1" ht="20.100000000000001" customHeight="1">
      <c r="A102" s="18"/>
      <c r="B102" s="18"/>
      <c r="C102" s="18"/>
      <c r="D102" s="18"/>
      <c r="E102" s="18"/>
      <c r="F102" s="18"/>
    </row>
    <row r="103" spans="1:14" s="23" customFormat="1" ht="35.1" customHeight="1">
      <c r="A103" s="382" t="s">
        <v>168</v>
      </c>
      <c r="B103" s="382"/>
      <c r="C103" s="382"/>
      <c r="D103" s="382"/>
      <c r="E103" s="382"/>
      <c r="F103" s="382"/>
      <c r="G103" s="382"/>
      <c r="H103" s="382"/>
      <c r="I103" s="382"/>
      <c r="J103" s="382"/>
      <c r="K103" s="382"/>
      <c r="L103" s="91"/>
      <c r="M103" s="91"/>
      <c r="N103" s="91"/>
    </row>
    <row r="104" spans="1:14" s="1" customFormat="1" ht="20.100000000000001" customHeight="1">
      <c r="A104" s="18"/>
      <c r="B104" s="18"/>
      <c r="C104" s="18"/>
      <c r="D104" s="18"/>
      <c r="E104" s="18"/>
      <c r="F104" s="18"/>
    </row>
    <row r="105" spans="1:14" s="1" customFormat="1" ht="20.100000000000001" customHeight="1">
      <c r="A105" s="18"/>
      <c r="B105" s="18"/>
      <c r="C105" s="18"/>
      <c r="D105" s="18"/>
      <c r="E105" s="18"/>
      <c r="F105" s="18"/>
    </row>
    <row r="106" spans="1:14" s="1" customFormat="1" ht="20.100000000000001" customHeight="1">
      <c r="A106" s="18"/>
      <c r="B106" s="18"/>
      <c r="C106" s="18"/>
      <c r="D106" s="18"/>
      <c r="E106" s="18"/>
      <c r="F106" s="18"/>
    </row>
    <row r="107" spans="1:14" s="1" customFormat="1" ht="20.100000000000001" customHeight="1">
      <c r="A107" s="18"/>
      <c r="B107" s="18"/>
      <c r="C107" s="18"/>
      <c r="D107" s="18"/>
      <c r="E107" s="18"/>
      <c r="F107" s="18"/>
    </row>
    <row r="108" spans="1:14" s="1" customFormat="1" ht="20.100000000000001" customHeight="1">
      <c r="A108" s="18"/>
      <c r="B108" s="18"/>
      <c r="C108" s="18"/>
      <c r="D108" s="18"/>
      <c r="E108" s="18"/>
      <c r="F108" s="18"/>
    </row>
    <row r="109" spans="1:14" s="1" customFormat="1" ht="20.100000000000001" customHeight="1">
      <c r="A109" s="18"/>
      <c r="B109" s="18"/>
      <c r="C109" s="18"/>
      <c r="D109" s="18"/>
      <c r="E109" s="18"/>
      <c r="F109" s="18"/>
    </row>
    <row r="110" spans="1:14" s="1" customFormat="1" ht="20.100000000000001" customHeight="1">
      <c r="A110" s="18"/>
      <c r="B110" s="18"/>
      <c r="C110" s="18"/>
      <c r="D110" s="18"/>
      <c r="E110" s="18"/>
      <c r="F110" s="18"/>
    </row>
    <row r="111" spans="1:14" s="1" customFormat="1" ht="20.100000000000001" customHeight="1">
      <c r="A111" s="18"/>
      <c r="B111" s="18"/>
      <c r="C111" s="18"/>
      <c r="D111" s="18"/>
      <c r="E111" s="18"/>
      <c r="F111" s="18"/>
    </row>
    <row r="112" spans="1:14" s="1" customFormat="1" ht="20.100000000000001" customHeight="1">
      <c r="A112" s="18"/>
      <c r="B112" s="18"/>
      <c r="C112" s="18"/>
      <c r="D112" s="18"/>
      <c r="E112" s="18"/>
      <c r="F112" s="18"/>
    </row>
    <row r="113" spans="1:6" s="1" customFormat="1" ht="20.100000000000001" customHeight="1">
      <c r="A113" s="18"/>
      <c r="B113" s="18"/>
      <c r="C113" s="18"/>
      <c r="D113" s="18"/>
      <c r="E113" s="18"/>
      <c r="F113" s="18"/>
    </row>
    <row r="114" spans="1:6" s="1" customFormat="1" ht="20.100000000000001" customHeight="1">
      <c r="A114" s="18"/>
      <c r="B114" s="18"/>
      <c r="C114" s="18"/>
      <c r="D114" s="18"/>
      <c r="E114" s="18"/>
      <c r="F114" s="18"/>
    </row>
    <row r="115" spans="1:6" s="1" customFormat="1" ht="20.100000000000001" customHeight="1">
      <c r="A115" s="18"/>
      <c r="B115" s="18"/>
      <c r="C115" s="18"/>
      <c r="D115" s="18"/>
      <c r="E115" s="18"/>
      <c r="F115" s="18"/>
    </row>
    <row r="116" spans="1:6" s="1" customFormat="1" ht="20.100000000000001" customHeight="1">
      <c r="A116" s="18"/>
      <c r="B116" s="18"/>
      <c r="C116" s="18"/>
      <c r="D116" s="18"/>
      <c r="E116" s="18"/>
      <c r="F116" s="18"/>
    </row>
    <row r="117" spans="1:6" s="1" customFormat="1" ht="20.100000000000001" customHeight="1">
      <c r="A117" s="18"/>
      <c r="B117" s="18"/>
      <c r="C117" s="18"/>
      <c r="D117" s="18"/>
      <c r="E117" s="18"/>
      <c r="F117" s="18"/>
    </row>
    <row r="118" spans="1:6" s="1" customFormat="1" ht="20.100000000000001" customHeight="1">
      <c r="A118" s="18"/>
      <c r="B118" s="18"/>
      <c r="C118" s="18"/>
      <c r="D118" s="18"/>
      <c r="E118" s="18"/>
      <c r="F118" s="18"/>
    </row>
    <row r="119" spans="1:6" s="1" customFormat="1" ht="20.100000000000001" customHeight="1">
      <c r="A119" s="18"/>
      <c r="B119" s="18"/>
      <c r="C119" s="18"/>
      <c r="D119" s="18"/>
      <c r="E119" s="18"/>
      <c r="F119" s="18"/>
    </row>
    <row r="120" spans="1:6" s="1" customFormat="1" ht="20.100000000000001" customHeight="1">
      <c r="A120" s="18"/>
      <c r="B120" s="18"/>
      <c r="C120" s="18"/>
      <c r="D120" s="18"/>
      <c r="E120" s="18"/>
      <c r="F120" s="18"/>
    </row>
    <row r="121" spans="1:6" s="1" customFormat="1" ht="20.100000000000001" customHeight="1">
      <c r="A121" s="18"/>
      <c r="B121" s="18"/>
      <c r="C121" s="18"/>
      <c r="D121" s="18"/>
      <c r="E121" s="18"/>
      <c r="F121" s="18"/>
    </row>
    <row r="122" spans="1:6" s="1" customFormat="1" ht="20.100000000000001" customHeight="1">
      <c r="A122" s="18"/>
      <c r="B122" s="18"/>
      <c r="C122" s="18"/>
      <c r="D122" s="18"/>
      <c r="E122" s="18"/>
      <c r="F122" s="18"/>
    </row>
    <row r="123" spans="1:6" s="1" customFormat="1" ht="20.100000000000001" customHeight="1">
      <c r="A123" s="18"/>
      <c r="B123" s="18"/>
      <c r="C123" s="18"/>
      <c r="D123" s="18"/>
      <c r="E123" s="18"/>
      <c r="F123" s="18"/>
    </row>
    <row r="124" spans="1:6" s="1" customFormat="1" ht="20.100000000000001" customHeight="1">
      <c r="A124" s="18"/>
      <c r="B124" s="18"/>
      <c r="C124" s="18"/>
      <c r="D124" s="18"/>
      <c r="E124" s="18"/>
      <c r="F124" s="18"/>
    </row>
    <row r="125" spans="1:6" s="1" customFormat="1" ht="20.100000000000001" customHeight="1">
      <c r="A125" s="18"/>
      <c r="B125" s="18"/>
      <c r="C125" s="18"/>
      <c r="D125" s="18"/>
      <c r="E125" s="18"/>
      <c r="F125" s="18"/>
    </row>
    <row r="126" spans="1:6" s="1" customFormat="1" ht="20.100000000000001" customHeight="1">
      <c r="A126" s="18"/>
      <c r="B126" s="18"/>
      <c r="C126" s="18"/>
      <c r="D126" s="18"/>
      <c r="E126" s="18"/>
      <c r="F126" s="18"/>
    </row>
    <row r="127" spans="1:6" s="1" customFormat="1" ht="20.100000000000001" customHeight="1">
      <c r="A127" s="18"/>
      <c r="B127" s="18"/>
      <c r="C127" s="18"/>
      <c r="D127" s="18"/>
      <c r="E127" s="18"/>
      <c r="F127" s="18"/>
    </row>
    <row r="128" spans="1:6" s="1" customFormat="1" ht="20.100000000000001" customHeight="1">
      <c r="A128" s="18"/>
      <c r="B128" s="18"/>
      <c r="C128" s="18"/>
      <c r="D128" s="18"/>
      <c r="E128" s="18"/>
      <c r="F128" s="18"/>
    </row>
    <row r="129" spans="1:6" s="1" customFormat="1" ht="20.100000000000001" customHeight="1">
      <c r="A129" s="18"/>
      <c r="B129" s="18"/>
      <c r="C129" s="18"/>
      <c r="D129" s="18"/>
      <c r="E129" s="18"/>
      <c r="F129" s="18"/>
    </row>
    <row r="130" spans="1:6" s="1" customFormat="1" ht="20.100000000000001" customHeight="1">
      <c r="A130" s="18"/>
      <c r="B130" s="18"/>
      <c r="C130" s="18"/>
      <c r="D130" s="18"/>
      <c r="E130" s="18"/>
      <c r="F130" s="18"/>
    </row>
    <row r="131" spans="1:6" s="1" customFormat="1" ht="20.100000000000001" customHeight="1">
      <c r="A131" s="18"/>
      <c r="B131" s="18"/>
      <c r="C131" s="18"/>
      <c r="D131" s="18"/>
      <c r="E131" s="18"/>
      <c r="F131" s="18"/>
    </row>
    <row r="132" spans="1:6" s="1" customFormat="1" ht="20.100000000000001" customHeight="1">
      <c r="A132" s="18"/>
      <c r="B132" s="18"/>
      <c r="C132" s="18"/>
      <c r="D132" s="18"/>
      <c r="E132" s="18"/>
      <c r="F132" s="18"/>
    </row>
    <row r="133" spans="1:6" s="1" customFormat="1" ht="20.100000000000001" customHeight="1">
      <c r="A133" s="18"/>
      <c r="B133" s="18"/>
      <c r="C133" s="18"/>
      <c r="D133" s="18"/>
      <c r="E133" s="18"/>
      <c r="F133" s="18"/>
    </row>
    <row r="134" spans="1:6" s="1" customFormat="1" ht="20.100000000000001" customHeight="1">
      <c r="A134" s="18"/>
      <c r="B134" s="18"/>
      <c r="C134" s="18"/>
      <c r="D134" s="18"/>
      <c r="E134" s="18"/>
      <c r="F134" s="18"/>
    </row>
    <row r="135" spans="1:6" s="1" customFormat="1" ht="20.100000000000001" customHeight="1">
      <c r="A135" s="18"/>
      <c r="B135" s="18"/>
      <c r="C135" s="18"/>
      <c r="D135" s="18"/>
      <c r="E135" s="18"/>
      <c r="F135" s="18"/>
    </row>
    <row r="136" spans="1:6" s="1" customFormat="1" ht="20.100000000000001" customHeight="1">
      <c r="A136" s="18"/>
      <c r="B136" s="18"/>
      <c r="C136" s="18"/>
      <c r="D136" s="18"/>
      <c r="E136" s="18"/>
      <c r="F136" s="18"/>
    </row>
    <row r="137" spans="1:6" s="1" customFormat="1" ht="20.100000000000001" customHeight="1">
      <c r="A137" s="18"/>
      <c r="B137" s="18"/>
      <c r="C137" s="18"/>
      <c r="D137" s="18"/>
      <c r="E137" s="18"/>
      <c r="F137" s="18"/>
    </row>
    <row r="138" spans="1:6" ht="20.100000000000001" customHeight="1"/>
    <row r="139" spans="1:6" ht="20.100000000000001" customHeight="1"/>
    <row r="140" spans="1:6" ht="20.100000000000001" customHeight="1"/>
    <row r="141" spans="1:6" ht="20.100000000000001" customHeight="1"/>
    <row r="142" spans="1:6" ht="20.100000000000001" customHeight="1"/>
    <row r="143" spans="1:6" ht="20.100000000000001" customHeight="1"/>
    <row r="144" spans="1:6" ht="20.100000000000001" customHeight="1"/>
    <row r="145" ht="20.100000000000001" customHeight="1"/>
    <row r="146" ht="20.100000000000001" customHeight="1"/>
    <row r="147" ht="20.100000000000001" customHeight="1"/>
    <row r="148" ht="20.100000000000001" customHeight="1"/>
    <row r="149" ht="20.100000000000001" customHeight="1"/>
    <row r="150" ht="20.100000000000001" customHeight="1"/>
    <row r="151" ht="20.100000000000001" customHeight="1"/>
    <row r="152" ht="20.100000000000001" customHeight="1"/>
    <row r="153" ht="20.100000000000001" customHeight="1"/>
    <row r="154" ht="20.100000000000001" customHeight="1"/>
    <row r="155" ht="20.100000000000001" customHeight="1"/>
    <row r="156" ht="20.100000000000001" customHeight="1"/>
    <row r="157" ht="20.100000000000001" customHeight="1"/>
    <row r="158" ht="20.100000000000001" customHeight="1"/>
    <row r="159" ht="20.100000000000001" customHeight="1"/>
    <row r="160"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row r="183" ht="20.100000000000001" customHeight="1"/>
    <row r="184" ht="20.100000000000001" customHeight="1"/>
    <row r="185" ht="20.100000000000001" customHeight="1"/>
    <row r="186" ht="20.100000000000001" customHeight="1"/>
    <row r="187" ht="20.100000000000001" customHeight="1"/>
    <row r="188" ht="20.100000000000001" customHeight="1"/>
    <row r="189" ht="20.100000000000001" customHeight="1"/>
    <row r="190" ht="20.100000000000001" customHeight="1"/>
    <row r="191" ht="20.100000000000001" customHeight="1"/>
    <row r="192" ht="20.100000000000001" customHeight="1"/>
    <row r="193" ht="20.100000000000001" customHeight="1"/>
    <row r="194" ht="20.100000000000001" customHeight="1"/>
    <row r="195" ht="20.100000000000001" customHeight="1"/>
    <row r="196" ht="20.100000000000001" customHeight="1"/>
    <row r="197" ht="20.100000000000001" customHeight="1"/>
    <row r="198" ht="20.100000000000001" customHeight="1"/>
    <row r="199" ht="20.100000000000001" customHeight="1"/>
    <row r="200" ht="20.100000000000001" customHeight="1"/>
    <row r="201" ht="20.100000000000001" customHeight="1"/>
    <row r="202" ht="20.100000000000001" customHeight="1"/>
    <row r="203" ht="20.100000000000001" customHeight="1"/>
    <row r="204" ht="20.100000000000001" customHeight="1"/>
    <row r="205" ht="20.100000000000001" customHeight="1"/>
    <row r="206" ht="20.100000000000001" customHeight="1"/>
    <row r="207" ht="20.100000000000001" customHeight="1"/>
    <row r="208" ht="20.100000000000001" customHeight="1"/>
    <row r="209" ht="20.100000000000001" customHeight="1"/>
    <row r="210" ht="20.100000000000001" customHeight="1"/>
    <row r="211" ht="20.100000000000001" customHeight="1"/>
    <row r="212" ht="20.100000000000001" customHeight="1"/>
    <row r="213" ht="20.100000000000001" customHeight="1"/>
    <row r="214" ht="20.100000000000001" customHeight="1"/>
    <row r="215" ht="20.100000000000001" customHeight="1"/>
    <row r="216" ht="20.100000000000001" customHeight="1"/>
    <row r="217" ht="20.100000000000001" customHeight="1"/>
    <row r="218" ht="20.100000000000001" customHeight="1"/>
    <row r="219" ht="20.100000000000001" customHeight="1"/>
    <row r="220" ht="20.100000000000001" customHeight="1"/>
    <row r="221" ht="20.100000000000001" customHeight="1"/>
    <row r="222" ht="20.100000000000001" customHeight="1"/>
    <row r="223" ht="20.100000000000001" customHeight="1"/>
    <row r="224" ht="20.100000000000001" customHeight="1"/>
    <row r="225" ht="20.100000000000001" customHeight="1"/>
    <row r="226" ht="20.100000000000001" customHeight="1"/>
    <row r="227" ht="20.100000000000001" customHeight="1"/>
    <row r="228" ht="20.100000000000001" customHeight="1"/>
    <row r="229" ht="20.100000000000001" customHeight="1"/>
    <row r="230" ht="20.100000000000001" customHeight="1"/>
    <row r="231" ht="20.100000000000001" customHeight="1"/>
    <row r="232" ht="20.100000000000001" customHeight="1"/>
    <row r="233" ht="20.100000000000001" customHeight="1"/>
    <row r="234" ht="20.100000000000001" customHeight="1"/>
    <row r="235" ht="20.100000000000001" customHeight="1"/>
    <row r="236" ht="20.100000000000001" customHeight="1"/>
    <row r="237" ht="20.100000000000001" customHeight="1"/>
    <row r="238" ht="20.100000000000001" customHeight="1"/>
    <row r="239" ht="20.100000000000001" customHeight="1"/>
    <row r="240" ht="20.100000000000001" customHeight="1"/>
    <row r="241" ht="20.100000000000001" customHeight="1"/>
    <row r="242" ht="20.100000000000001" customHeight="1"/>
    <row r="243" ht="20.100000000000001" customHeight="1"/>
    <row r="244" ht="20.100000000000001" customHeight="1"/>
    <row r="245" ht="20.100000000000001" customHeight="1"/>
    <row r="246" ht="20.100000000000001" customHeight="1"/>
    <row r="247" ht="20.100000000000001" customHeight="1"/>
    <row r="248" ht="20.100000000000001" customHeight="1"/>
    <row r="249" ht="20.100000000000001" customHeight="1"/>
    <row r="250" ht="20.100000000000001" customHeight="1"/>
    <row r="251" ht="20.100000000000001" customHeight="1"/>
    <row r="252" ht="20.100000000000001" customHeight="1"/>
    <row r="253" ht="20.100000000000001" customHeight="1"/>
    <row r="254" ht="20.100000000000001" customHeight="1"/>
    <row r="255" ht="20.100000000000001" customHeight="1"/>
    <row r="256" ht="20.100000000000001" customHeight="1"/>
    <row r="257" ht="20.100000000000001" customHeight="1"/>
    <row r="258" ht="20.100000000000001" customHeight="1"/>
    <row r="259" ht="20.100000000000001" customHeight="1"/>
    <row r="260" ht="20.100000000000001" customHeight="1"/>
    <row r="261" ht="20.100000000000001" customHeight="1"/>
    <row r="262" ht="20.100000000000001" customHeight="1"/>
    <row r="263" ht="20.100000000000001" customHeight="1"/>
    <row r="264" ht="20.100000000000001" customHeight="1"/>
    <row r="265" ht="20.100000000000001" customHeight="1"/>
    <row r="266" ht="20.100000000000001" customHeight="1"/>
    <row r="267" ht="20.100000000000001" customHeight="1"/>
    <row r="268" ht="20.100000000000001" customHeight="1"/>
    <row r="269" ht="20.100000000000001" customHeight="1"/>
    <row r="270" ht="20.100000000000001" customHeight="1"/>
    <row r="271" ht="20.100000000000001" customHeight="1"/>
    <row r="272" ht="20.100000000000001" customHeight="1"/>
    <row r="273" ht="20.100000000000001" customHeight="1"/>
    <row r="274" ht="20.100000000000001" customHeight="1"/>
    <row r="275" ht="20.100000000000001" customHeight="1"/>
    <row r="276" ht="20.100000000000001" customHeight="1"/>
    <row r="277" ht="20.100000000000001" customHeight="1"/>
    <row r="278" ht="20.100000000000001" customHeight="1"/>
    <row r="279" ht="20.100000000000001" customHeight="1"/>
    <row r="280" ht="20.100000000000001" customHeight="1"/>
    <row r="281" ht="20.100000000000001" customHeight="1"/>
    <row r="282" ht="20.100000000000001" customHeight="1"/>
    <row r="283" ht="20.100000000000001" customHeight="1"/>
    <row r="284" ht="20.100000000000001" customHeight="1"/>
    <row r="285" ht="20.100000000000001" customHeight="1"/>
    <row r="286" ht="20.100000000000001" customHeight="1"/>
    <row r="287" ht="20.100000000000001" customHeight="1"/>
    <row r="288" ht="20.100000000000001" customHeight="1"/>
    <row r="289" ht="20.100000000000001" customHeight="1"/>
    <row r="290" ht="20.100000000000001" customHeight="1"/>
    <row r="291" ht="20.100000000000001" customHeight="1"/>
    <row r="292" ht="20.100000000000001" customHeight="1"/>
    <row r="293" ht="20.100000000000001" customHeight="1"/>
    <row r="294" ht="20.100000000000001" customHeight="1"/>
    <row r="295" ht="20.100000000000001" customHeight="1"/>
    <row r="296" ht="20.100000000000001" customHeight="1"/>
    <row r="297" ht="20.100000000000001" customHeight="1"/>
    <row r="298" ht="20.100000000000001" customHeight="1"/>
    <row r="299" ht="20.100000000000001" customHeight="1"/>
    <row r="300" ht="20.100000000000001" customHeight="1"/>
    <row r="301" ht="20.100000000000001" customHeight="1"/>
    <row r="302" ht="20.100000000000001" customHeight="1"/>
    <row r="303" ht="20.100000000000001" customHeight="1"/>
    <row r="304" ht="20.100000000000001" customHeight="1"/>
    <row r="305" ht="20.100000000000001" customHeight="1"/>
    <row r="306" ht="20.100000000000001" customHeight="1"/>
    <row r="307" ht="20.100000000000001" customHeight="1"/>
    <row r="308" ht="20.100000000000001" customHeight="1"/>
    <row r="309" ht="20.100000000000001" customHeight="1"/>
    <row r="310" ht="20.100000000000001" customHeight="1"/>
    <row r="311" ht="20.100000000000001" customHeight="1"/>
    <row r="312" ht="20.100000000000001" customHeight="1"/>
    <row r="313" ht="20.100000000000001" customHeight="1"/>
    <row r="314" ht="20.100000000000001" customHeight="1"/>
    <row r="315" ht="20.100000000000001" customHeight="1"/>
    <row r="316" ht="20.100000000000001" customHeight="1"/>
    <row r="317" ht="20.100000000000001" customHeight="1"/>
    <row r="318" ht="20.100000000000001" customHeight="1"/>
    <row r="319" ht="20.100000000000001" customHeight="1"/>
    <row r="320" ht="20.100000000000001" customHeight="1"/>
    <row r="321" ht="20.100000000000001" customHeight="1"/>
    <row r="322" ht="20.100000000000001" customHeight="1"/>
    <row r="323" ht="20.100000000000001" customHeight="1"/>
    <row r="324" ht="20.100000000000001" customHeight="1"/>
    <row r="325" ht="20.100000000000001" customHeight="1"/>
    <row r="326" ht="20.100000000000001" customHeight="1"/>
    <row r="327" ht="20.100000000000001" customHeight="1"/>
    <row r="328" ht="20.100000000000001" customHeight="1"/>
  </sheetData>
  <sheetProtection formatCells="0" formatColumns="0" formatRows="0" insertColumns="0" insertRows="0" insertHyperlinks="0" deleteColumns="0" deleteRows="0" sort="0" autoFilter="0" pivotTables="0"/>
  <mergeCells count="9">
    <mergeCell ref="A11:G11"/>
    <mergeCell ref="A40:G40"/>
    <mergeCell ref="A69:G69"/>
    <mergeCell ref="A103:K103"/>
    <mergeCell ref="A1:F1"/>
    <mergeCell ref="D4:E4"/>
    <mergeCell ref="D3:E3"/>
    <mergeCell ref="B4:C4"/>
    <mergeCell ref="B3:C3"/>
  </mergeCells>
  <pageMargins left="0.511811024" right="0.14000000000000001" top="0.78740157499999996" bottom="0.78740157499999996" header="0.31496062000000002" footer="0.31496062000000002"/>
  <pageSetup paperSize="9" scale="42"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249977111117893"/>
  </sheetPr>
  <dimension ref="A1:AF936"/>
  <sheetViews>
    <sheetView topLeftCell="O1" zoomScale="55" zoomScaleNormal="55" workbookViewId="0">
      <pane ySplit="1" topLeftCell="B2" activePane="bottomLeft" state="frozen"/>
      <selection pane="bottomLeft" activeCell="E98" sqref="E98"/>
    </sheetView>
  </sheetViews>
  <sheetFormatPr defaultColWidth="9.140625" defaultRowHeight="30" customHeight="1"/>
  <cols>
    <col min="1" max="1" width="61.7109375" style="55" bestFit="1" customWidth="1"/>
    <col min="2" max="2" width="20.7109375" style="55" bestFit="1" customWidth="1"/>
    <col min="3" max="3" width="42.7109375" style="55" bestFit="1" customWidth="1"/>
    <col min="4" max="4" width="20.140625" style="55" bestFit="1" customWidth="1"/>
    <col min="5" max="5" width="23.5703125" style="55" bestFit="1" customWidth="1"/>
    <col min="6" max="6" width="55.7109375" style="55" bestFit="1" customWidth="1"/>
    <col min="7" max="7" width="18.85546875" style="55" bestFit="1" customWidth="1"/>
    <col min="8" max="8" width="20.42578125" style="55" bestFit="1" customWidth="1"/>
    <col min="9" max="9" width="18.85546875" style="55" bestFit="1" customWidth="1"/>
    <col min="10" max="10" width="45" style="55" bestFit="1" customWidth="1"/>
    <col min="11" max="11" width="41.28515625" style="55" bestFit="1" customWidth="1"/>
    <col min="12" max="12" width="24.85546875" style="55" bestFit="1" customWidth="1"/>
    <col min="13" max="13" width="23" style="55" bestFit="1" customWidth="1"/>
    <col min="14" max="14" width="51.7109375" style="55" bestFit="1" customWidth="1"/>
    <col min="15" max="15" width="24.85546875" style="51" bestFit="1" customWidth="1"/>
    <col min="16" max="16" width="38" style="51" bestFit="1" customWidth="1"/>
    <col min="17" max="17" width="20.140625" style="51" bestFit="1" customWidth="1"/>
    <col min="18" max="18" width="34.7109375" style="51" bestFit="1" customWidth="1"/>
    <col min="19" max="19" width="30" style="51" bestFit="1" customWidth="1"/>
    <col min="20" max="20" width="26.42578125" style="55" bestFit="1" customWidth="1"/>
    <col min="21" max="21" width="22.42578125" style="51" bestFit="1" customWidth="1"/>
    <col min="22" max="22" width="26.42578125" style="55" bestFit="1" customWidth="1"/>
    <col min="23" max="23" width="29.42578125" style="51" bestFit="1" customWidth="1"/>
    <col min="24" max="24" width="42" style="51" bestFit="1" customWidth="1"/>
    <col min="25" max="26" width="42.42578125" style="51" bestFit="1" customWidth="1"/>
    <col min="27" max="27" width="28" style="51" bestFit="1" customWidth="1"/>
    <col min="28" max="28" width="41.42578125" style="51" bestFit="1" customWidth="1"/>
    <col min="29" max="29" width="23.5703125" style="55" bestFit="1" customWidth="1"/>
    <col min="30" max="30" width="25.5703125" style="51" bestFit="1" customWidth="1"/>
    <col min="31" max="31" width="55.42578125" style="51" bestFit="1" customWidth="1"/>
    <col min="32" max="16384" width="9.140625" style="53"/>
  </cols>
  <sheetData>
    <row r="1" spans="1:31" s="51" customFormat="1" ht="30" customHeight="1">
      <c r="A1" s="232" t="s">
        <v>169</v>
      </c>
      <c r="B1" s="232" t="s">
        <v>170</v>
      </c>
      <c r="C1" s="232" t="s">
        <v>171</v>
      </c>
      <c r="D1" s="232" t="s">
        <v>172</v>
      </c>
      <c r="E1" s="232" t="s">
        <v>173</v>
      </c>
      <c r="F1" s="232" t="s">
        <v>174</v>
      </c>
      <c r="G1" s="232" t="s">
        <v>175</v>
      </c>
      <c r="H1" s="232" t="s">
        <v>176</v>
      </c>
      <c r="I1" s="232" t="s">
        <v>177</v>
      </c>
      <c r="J1" s="232" t="s">
        <v>178</v>
      </c>
      <c r="K1" s="232" t="s">
        <v>179</v>
      </c>
      <c r="L1" s="232" t="s">
        <v>180</v>
      </c>
      <c r="M1" s="232" t="s">
        <v>181</v>
      </c>
      <c r="N1" s="232" t="s">
        <v>1517</v>
      </c>
      <c r="O1" s="236" t="s">
        <v>61</v>
      </c>
      <c r="P1" s="236" t="s">
        <v>1908</v>
      </c>
      <c r="Q1" s="236" t="s">
        <v>80</v>
      </c>
      <c r="R1" s="236" t="s">
        <v>1909</v>
      </c>
      <c r="S1" s="236" t="s">
        <v>81</v>
      </c>
      <c r="T1" s="237" t="s">
        <v>1910</v>
      </c>
      <c r="U1" s="236" t="s">
        <v>82</v>
      </c>
      <c r="V1" s="237" t="s">
        <v>1911</v>
      </c>
      <c r="W1" s="236" t="s">
        <v>68</v>
      </c>
      <c r="X1" s="236" t="s">
        <v>1912</v>
      </c>
      <c r="Y1" s="236" t="s">
        <v>49</v>
      </c>
      <c r="Z1" s="236" t="s">
        <v>1521</v>
      </c>
      <c r="AA1" s="236" t="s">
        <v>193</v>
      </c>
      <c r="AB1" s="236" t="s">
        <v>53</v>
      </c>
      <c r="AC1" s="237" t="s">
        <v>1913</v>
      </c>
      <c r="AD1" s="236" t="s">
        <v>196</v>
      </c>
      <c r="AE1" s="236" t="s">
        <v>197</v>
      </c>
    </row>
    <row r="2" spans="1:31" s="211" customFormat="1" ht="30" customHeight="1">
      <c r="A2" s="197" t="s">
        <v>198</v>
      </c>
      <c r="B2" s="212">
        <v>2618115865</v>
      </c>
      <c r="C2" s="197" t="s">
        <v>147</v>
      </c>
      <c r="D2" s="197" t="s">
        <v>79</v>
      </c>
      <c r="E2" s="197" t="s">
        <v>35</v>
      </c>
      <c r="F2" s="197" t="s">
        <v>1914</v>
      </c>
      <c r="G2" s="197">
        <v>66</v>
      </c>
      <c r="H2" s="197" t="s">
        <v>208</v>
      </c>
      <c r="I2" s="197" t="s">
        <v>414</v>
      </c>
      <c r="J2" s="205" t="s">
        <v>1915</v>
      </c>
      <c r="K2" s="197"/>
      <c r="L2" s="203">
        <v>46143.402777777781</v>
      </c>
      <c r="M2" s="203">
        <v>46143.40902777778</v>
      </c>
      <c r="N2" s="197" t="s">
        <v>1916</v>
      </c>
      <c r="O2" s="220" t="s">
        <v>207</v>
      </c>
      <c r="P2" s="177"/>
      <c r="Q2" s="221" t="s">
        <v>207</v>
      </c>
      <c r="R2" s="177"/>
      <c r="S2" s="221" t="s">
        <v>207</v>
      </c>
      <c r="T2" s="177"/>
      <c r="U2" s="221" t="s">
        <v>207</v>
      </c>
      <c r="V2" s="177"/>
      <c r="W2" s="221" t="s">
        <v>207</v>
      </c>
      <c r="X2" s="300"/>
      <c r="Y2" s="221" t="s">
        <v>207</v>
      </c>
      <c r="Z2" s="177" t="str">
        <f>IF(AND(O2="",Q2="",S2="",U2="",W2=""),"",IF(OR(AND(O2&lt;&gt;"NA",O2&lt;&gt;"C",O2&lt;&gt;"NC",O2&lt;&gt;"SF",O2&lt;&gt;""),AND(Q2&lt;&gt;"NA",Q2&lt;&gt;"C",Q2&lt;&gt;"NC",Q2&lt;&gt;"SF",Q2&lt;&gt;""),AND(S2&lt;&gt;"NA",S2&lt;&gt;"C",S2&lt;&gt;"NC",S2&lt;&gt;"SF",S2&lt;&gt;""),AND(U2&lt;&gt;"NA",U2&lt;&gt;"C",U2&lt;&gt;"NC",U2&lt;&gt;"SF",U2&lt;&gt;""),AND(W2&lt;&gt;"NA",W2&lt;&gt;"C",W2&lt;&gt;"NC",W2&lt;&gt;"SF",W2&lt;&gt;"")),"FALSO",IF(AND(O2="NA",Q2="NA",S2="NA",U2="NA",W2="NA"),"NA",IF(OR(O2="NC",Q2="NC",S2="NC",U2="NC",W2="NC",O2="SF",Q2="SF",S2="SF",U2="SF",W2="SF"),"NC",IF(OR(O2="C",Q2="C",S2="C",U2="C",W2="C"),"C","")))))</f>
        <v>C</v>
      </c>
      <c r="AA2" s="301" t="str">
        <f t="shared" ref="AA2:AA65" si="0">IF(AND(Y2="C",Z2="C"),"UTILIZOU O PDA CORRETAMENTE",IF(AND(Y2="C",Z2="NC"),"UTILIZOU O PDA CORRETAMENTE. NÃO HÁ FOTOS DE TODAS AS ETAPAS",IF(AND(Y2="NC",Z2="NC"),"NÃO UTILIZOU O PDA",IF(AND(Y2="NA",Z2="NA"),"NÃO AVALIADO POR FALHA DE SINCRONISMO"))))</f>
        <v>UTILIZOU O PDA CORRETAMENTE</v>
      </c>
      <c r="AB2" s="221" t="s">
        <v>207</v>
      </c>
      <c r="AC2" s="302" t="s">
        <v>36</v>
      </c>
      <c r="AD2" s="289" t="str">
        <f>E2</f>
        <v>SÃO PAULO</v>
      </c>
      <c r="AE2" s="301" t="s">
        <v>79</v>
      </c>
    </row>
    <row r="3" spans="1:31" s="214" customFormat="1" ht="30" customHeight="1">
      <c r="A3" s="197" t="s">
        <v>198</v>
      </c>
      <c r="B3" s="212">
        <v>2692084428</v>
      </c>
      <c r="C3" s="197" t="s">
        <v>143</v>
      </c>
      <c r="D3" s="197" t="s">
        <v>79</v>
      </c>
      <c r="E3" s="197" t="s">
        <v>35</v>
      </c>
      <c r="F3" s="197" t="s">
        <v>540</v>
      </c>
      <c r="G3" s="197">
        <v>6</v>
      </c>
      <c r="H3" s="197" t="s">
        <v>1917</v>
      </c>
      <c r="I3" s="197" t="s">
        <v>433</v>
      </c>
      <c r="J3" s="205" t="s">
        <v>1918</v>
      </c>
      <c r="K3" s="197"/>
      <c r="L3" s="203">
        <v>46143.334722222222</v>
      </c>
      <c r="M3" s="203">
        <v>46143.342361111114</v>
      </c>
      <c r="N3" s="197" t="s">
        <v>1919</v>
      </c>
      <c r="O3" s="151" t="s">
        <v>207</v>
      </c>
      <c r="P3" s="137"/>
      <c r="Q3" s="138" t="s">
        <v>207</v>
      </c>
      <c r="R3" s="137"/>
      <c r="S3" s="138" t="s">
        <v>214</v>
      </c>
      <c r="T3" s="137"/>
      <c r="U3" s="138" t="s">
        <v>207</v>
      </c>
      <c r="V3" s="137"/>
      <c r="W3" s="138" t="s">
        <v>215</v>
      </c>
      <c r="X3" s="57" t="s">
        <v>1920</v>
      </c>
      <c r="Y3" s="138" t="s">
        <v>207</v>
      </c>
      <c r="Z3" s="177" t="str">
        <f t="shared" ref="Z3:Z66" si="1">IF(AND(O3="",Q3="",S3="",U3="",W3=""),"",IF(OR(AND(O3&lt;&gt;"NA",O3&lt;&gt;"C",O3&lt;&gt;"NC",O3&lt;&gt;"SF",O3&lt;&gt;""),AND(Q3&lt;&gt;"NA",Q3&lt;&gt;"C",Q3&lt;&gt;"NC",Q3&lt;&gt;"SF",Q3&lt;&gt;""),AND(S3&lt;&gt;"NA",S3&lt;&gt;"C",S3&lt;&gt;"NC",S3&lt;&gt;"SF",S3&lt;&gt;""),AND(U3&lt;&gt;"NA",U3&lt;&gt;"C",U3&lt;&gt;"NC",U3&lt;&gt;"SF",U3&lt;&gt;""),AND(W3&lt;&gt;"NA",W3&lt;&gt;"C",W3&lt;&gt;"NC",W3&lt;&gt;"SF",W3&lt;&gt;"")),"FALSO",IF(AND(O3="NA",Q3="NA",S3="NA",U3="NA",W3="NA"),"NA",IF(OR(O3="NC",Q3="NC",S3="NC",U3="NC",W3="NC",O3="SF",Q3="SF",S3="SF",U3="SF",W3="SF"),"NC",IF(OR(O3="C",Q3="C",S3="C",U3="C",W3="C"),"C","")))))</f>
        <v>NC</v>
      </c>
      <c r="AA3" s="299" t="str">
        <f t="shared" si="0"/>
        <v>UTILIZOU O PDA CORRETAMENTE. NÃO HÁ FOTOS DE TODAS AS ETAPAS</v>
      </c>
      <c r="AB3" s="139" t="s">
        <v>207</v>
      </c>
      <c r="AC3" s="303" t="s">
        <v>36</v>
      </c>
      <c r="AD3" s="291" t="str">
        <f t="shared" ref="AD3:AD66" si="2">E3</f>
        <v>SÃO PAULO</v>
      </c>
      <c r="AE3" s="299" t="s">
        <v>79</v>
      </c>
    </row>
    <row r="4" spans="1:31" s="214" customFormat="1" ht="30" customHeight="1">
      <c r="A4" s="197" t="s">
        <v>198</v>
      </c>
      <c r="B4" s="212">
        <v>2692127882</v>
      </c>
      <c r="C4" s="197" t="s">
        <v>147</v>
      </c>
      <c r="D4" s="197" t="s">
        <v>79</v>
      </c>
      <c r="E4" s="197" t="s">
        <v>35</v>
      </c>
      <c r="F4" s="197" t="s">
        <v>1921</v>
      </c>
      <c r="G4" s="197">
        <v>35</v>
      </c>
      <c r="H4" s="197" t="s">
        <v>205</v>
      </c>
      <c r="I4" s="197" t="s">
        <v>634</v>
      </c>
      <c r="J4" s="205" t="s">
        <v>1915</v>
      </c>
      <c r="K4" s="197" t="s">
        <v>200</v>
      </c>
      <c r="L4" s="203">
        <v>46143.129166666666</v>
      </c>
      <c r="M4" s="203">
        <v>46143.175694444442</v>
      </c>
      <c r="N4" s="197" t="s">
        <v>1922</v>
      </c>
      <c r="O4" s="151" t="s">
        <v>214</v>
      </c>
      <c r="P4" s="137"/>
      <c r="Q4" s="138" t="s">
        <v>207</v>
      </c>
      <c r="R4" s="137"/>
      <c r="S4" s="138" t="s">
        <v>214</v>
      </c>
      <c r="T4" s="137"/>
      <c r="U4" s="138" t="s">
        <v>214</v>
      </c>
      <c r="V4" s="137"/>
      <c r="W4" s="138" t="s">
        <v>214</v>
      </c>
      <c r="X4" s="57"/>
      <c r="Y4" s="138" t="s">
        <v>207</v>
      </c>
      <c r="Z4" s="177" t="str">
        <f t="shared" si="1"/>
        <v>NC</v>
      </c>
      <c r="AA4" s="297" t="str">
        <f t="shared" si="0"/>
        <v>UTILIZOU O PDA CORRETAMENTE. NÃO HÁ FOTOS DE TODAS AS ETAPAS</v>
      </c>
      <c r="AB4" s="140" t="s">
        <v>207</v>
      </c>
      <c r="AC4" s="298" t="s">
        <v>36</v>
      </c>
      <c r="AD4" s="291" t="str">
        <f t="shared" si="2"/>
        <v>SÃO PAULO</v>
      </c>
      <c r="AE4" s="299" t="s">
        <v>79</v>
      </c>
    </row>
    <row r="5" spans="1:31" s="214" customFormat="1" ht="30" customHeight="1">
      <c r="A5" s="197" t="s">
        <v>198</v>
      </c>
      <c r="B5" s="212">
        <v>2618137095</v>
      </c>
      <c r="C5" s="197" t="s">
        <v>1923</v>
      </c>
      <c r="D5" s="197" t="s">
        <v>79</v>
      </c>
      <c r="E5" s="197" t="s">
        <v>35</v>
      </c>
      <c r="F5" s="197" t="s">
        <v>1924</v>
      </c>
      <c r="G5" s="197">
        <v>30</v>
      </c>
      <c r="H5" s="197" t="s">
        <v>347</v>
      </c>
      <c r="I5" s="197" t="s">
        <v>433</v>
      </c>
      <c r="J5" s="205" t="s">
        <v>1915</v>
      </c>
      <c r="K5" s="197"/>
      <c r="L5" s="203">
        <v>46143.333333333336</v>
      </c>
      <c r="M5" s="203">
        <v>46143.334027777775</v>
      </c>
      <c r="N5" s="197" t="s">
        <v>1925</v>
      </c>
      <c r="O5" s="151" t="s">
        <v>207</v>
      </c>
      <c r="P5" s="137"/>
      <c r="Q5" s="138" t="s">
        <v>207</v>
      </c>
      <c r="R5" s="137"/>
      <c r="S5" s="138" t="s">
        <v>214</v>
      </c>
      <c r="T5" s="137"/>
      <c r="U5" s="138" t="s">
        <v>214</v>
      </c>
      <c r="V5" s="137"/>
      <c r="W5" s="138" t="s">
        <v>214</v>
      </c>
      <c r="X5" s="57"/>
      <c r="Y5" s="138" t="s">
        <v>207</v>
      </c>
      <c r="Z5" s="177" t="str">
        <f t="shared" si="1"/>
        <v>NC</v>
      </c>
      <c r="AA5" s="297" t="str">
        <f t="shared" si="0"/>
        <v>UTILIZOU O PDA CORRETAMENTE. NÃO HÁ FOTOS DE TODAS AS ETAPAS</v>
      </c>
      <c r="AB5" s="140" t="s">
        <v>207</v>
      </c>
      <c r="AC5" s="298" t="s">
        <v>36</v>
      </c>
      <c r="AD5" s="291" t="str">
        <f t="shared" si="2"/>
        <v>SÃO PAULO</v>
      </c>
      <c r="AE5" s="299" t="s">
        <v>79</v>
      </c>
    </row>
    <row r="6" spans="1:31" s="214" customFormat="1" ht="30" customHeight="1">
      <c r="A6" s="197" t="s">
        <v>198</v>
      </c>
      <c r="B6" s="212">
        <v>2692138004</v>
      </c>
      <c r="C6" s="197" t="s">
        <v>143</v>
      </c>
      <c r="D6" s="197" t="s">
        <v>79</v>
      </c>
      <c r="E6" s="197" t="s">
        <v>35</v>
      </c>
      <c r="F6" s="197" t="s">
        <v>1926</v>
      </c>
      <c r="G6" s="197">
        <v>25</v>
      </c>
      <c r="H6" s="197" t="s">
        <v>208</v>
      </c>
      <c r="I6" s="197" t="s">
        <v>319</v>
      </c>
      <c r="J6" s="205" t="s">
        <v>1915</v>
      </c>
      <c r="K6" s="197" t="s">
        <v>1927</v>
      </c>
      <c r="L6" s="203">
        <v>46143.70208333333</v>
      </c>
      <c r="M6" s="203">
        <v>46143.709027777775</v>
      </c>
      <c r="N6" s="197" t="s">
        <v>1916</v>
      </c>
      <c r="O6" s="151" t="s">
        <v>207</v>
      </c>
      <c r="P6" s="137"/>
      <c r="Q6" s="138" t="s">
        <v>207</v>
      </c>
      <c r="R6" s="137"/>
      <c r="S6" s="138" t="s">
        <v>207</v>
      </c>
      <c r="T6" s="137"/>
      <c r="U6" s="138" t="s">
        <v>207</v>
      </c>
      <c r="V6" s="137"/>
      <c r="W6" s="138" t="s">
        <v>214</v>
      </c>
      <c r="X6" s="54"/>
      <c r="Y6" s="138" t="s">
        <v>207</v>
      </c>
      <c r="Z6" s="177" t="str">
        <f t="shared" si="1"/>
        <v>NC</v>
      </c>
      <c r="AA6" s="297" t="str">
        <f t="shared" si="0"/>
        <v>UTILIZOU O PDA CORRETAMENTE. NÃO HÁ FOTOS DE TODAS AS ETAPAS</v>
      </c>
      <c r="AB6" s="90" t="s">
        <v>207</v>
      </c>
      <c r="AC6" s="298" t="s">
        <v>36</v>
      </c>
      <c r="AD6" s="291" t="str">
        <f t="shared" si="2"/>
        <v>SÃO PAULO</v>
      </c>
      <c r="AE6" s="299" t="s">
        <v>79</v>
      </c>
    </row>
    <row r="7" spans="1:31" s="214" customFormat="1" ht="30" customHeight="1">
      <c r="A7" s="197" t="s">
        <v>198</v>
      </c>
      <c r="B7" s="212">
        <v>2618304996</v>
      </c>
      <c r="C7" s="197" t="s">
        <v>1923</v>
      </c>
      <c r="D7" s="197" t="s">
        <v>79</v>
      </c>
      <c r="E7" s="197" t="s">
        <v>35</v>
      </c>
      <c r="F7" s="197" t="s">
        <v>1004</v>
      </c>
      <c r="G7" s="197">
        <v>104</v>
      </c>
      <c r="H7" s="197" t="s">
        <v>208</v>
      </c>
      <c r="I7" s="197" t="s">
        <v>303</v>
      </c>
      <c r="J7" s="205" t="s">
        <v>1915</v>
      </c>
      <c r="K7" s="197" t="s">
        <v>200</v>
      </c>
      <c r="L7" s="203">
        <v>46143.711111111108</v>
      </c>
      <c r="M7" s="203">
        <v>46143.711805555555</v>
      </c>
      <c r="N7" s="197" t="s">
        <v>1925</v>
      </c>
      <c r="O7" s="151" t="s">
        <v>207</v>
      </c>
      <c r="P7" s="137"/>
      <c r="Q7" s="138" t="s">
        <v>214</v>
      </c>
      <c r="R7" s="137"/>
      <c r="S7" s="138" t="s">
        <v>214</v>
      </c>
      <c r="T7" s="137"/>
      <c r="U7" s="138" t="s">
        <v>214</v>
      </c>
      <c r="V7" s="137"/>
      <c r="W7" s="138" t="s">
        <v>207</v>
      </c>
      <c r="X7" s="54"/>
      <c r="Y7" s="138" t="s">
        <v>207</v>
      </c>
      <c r="Z7" s="177" t="str">
        <f t="shared" si="1"/>
        <v>NC</v>
      </c>
      <c r="AA7" s="297" t="str">
        <f t="shared" si="0"/>
        <v>UTILIZOU O PDA CORRETAMENTE. NÃO HÁ FOTOS DE TODAS AS ETAPAS</v>
      </c>
      <c r="AB7" s="90"/>
      <c r="AC7" s="298" t="s">
        <v>36</v>
      </c>
      <c r="AD7" s="291" t="str">
        <f t="shared" si="2"/>
        <v>SÃO PAULO</v>
      </c>
      <c r="AE7" s="299" t="s">
        <v>79</v>
      </c>
    </row>
    <row r="8" spans="1:31" s="214" customFormat="1" ht="30" customHeight="1">
      <c r="A8" s="197" t="s">
        <v>198</v>
      </c>
      <c r="B8" s="212">
        <v>2692166412</v>
      </c>
      <c r="C8" s="197" t="s">
        <v>146</v>
      </c>
      <c r="D8" s="197" t="s">
        <v>79</v>
      </c>
      <c r="E8" s="197" t="s">
        <v>35</v>
      </c>
      <c r="F8" s="197" t="s">
        <v>1432</v>
      </c>
      <c r="G8" s="197">
        <v>17</v>
      </c>
      <c r="H8" s="197" t="s">
        <v>208</v>
      </c>
      <c r="I8" s="197" t="s">
        <v>515</v>
      </c>
      <c r="J8" s="205" t="s">
        <v>1915</v>
      </c>
      <c r="K8" s="197" t="s">
        <v>1928</v>
      </c>
      <c r="L8" s="203">
        <v>46144.395138888889</v>
      </c>
      <c r="M8" s="203">
        <v>46144.40347222222</v>
      </c>
      <c r="N8" s="197" t="s">
        <v>1916</v>
      </c>
      <c r="O8" s="151" t="s">
        <v>207</v>
      </c>
      <c r="P8" s="137"/>
      <c r="Q8" s="138" t="s">
        <v>207</v>
      </c>
      <c r="R8" s="137"/>
      <c r="S8" s="138" t="s">
        <v>207</v>
      </c>
      <c r="T8" s="137"/>
      <c r="U8" s="138" t="s">
        <v>207</v>
      </c>
      <c r="V8" s="137"/>
      <c r="W8" s="138" t="s">
        <v>207</v>
      </c>
      <c r="X8" s="54"/>
      <c r="Y8" s="138" t="s">
        <v>207</v>
      </c>
      <c r="Z8" s="177" t="str">
        <f t="shared" si="1"/>
        <v>C</v>
      </c>
      <c r="AA8" s="297" t="str">
        <f t="shared" si="0"/>
        <v>UTILIZOU O PDA CORRETAMENTE</v>
      </c>
      <c r="AB8" s="90" t="s">
        <v>207</v>
      </c>
      <c r="AC8" s="298" t="s">
        <v>36</v>
      </c>
      <c r="AD8" s="291" t="str">
        <f t="shared" si="2"/>
        <v>SÃO PAULO</v>
      </c>
      <c r="AE8" s="299" t="s">
        <v>79</v>
      </c>
    </row>
    <row r="9" spans="1:31" s="214" customFormat="1" ht="30" customHeight="1">
      <c r="A9" s="197" t="s">
        <v>198</v>
      </c>
      <c r="B9" s="212">
        <v>2692163304</v>
      </c>
      <c r="C9" s="197" t="s">
        <v>143</v>
      </c>
      <c r="D9" s="197" t="s">
        <v>79</v>
      </c>
      <c r="E9" s="197" t="s">
        <v>35</v>
      </c>
      <c r="F9" s="197" t="s">
        <v>1929</v>
      </c>
      <c r="G9" s="197">
        <v>136</v>
      </c>
      <c r="H9" s="197"/>
      <c r="I9" s="197" t="s">
        <v>284</v>
      </c>
      <c r="J9" s="205" t="s">
        <v>1915</v>
      </c>
      <c r="K9" s="197"/>
      <c r="L9" s="203">
        <v>46144.456944444442</v>
      </c>
      <c r="M9" s="203">
        <v>46144.463194444441</v>
      </c>
      <c r="N9" s="197" t="s">
        <v>1916</v>
      </c>
      <c r="O9" s="151" t="s">
        <v>207</v>
      </c>
      <c r="P9" s="137"/>
      <c r="Q9" s="138" t="s">
        <v>207</v>
      </c>
      <c r="R9" s="137"/>
      <c r="S9" s="138" t="s">
        <v>207</v>
      </c>
      <c r="T9" s="137"/>
      <c r="U9" s="138" t="s">
        <v>207</v>
      </c>
      <c r="V9" s="137"/>
      <c r="W9" s="138" t="s">
        <v>207</v>
      </c>
      <c r="X9" s="54"/>
      <c r="Y9" s="138" t="s">
        <v>207</v>
      </c>
      <c r="Z9" s="177" t="str">
        <f t="shared" si="1"/>
        <v>C</v>
      </c>
      <c r="AA9" s="297" t="str">
        <f t="shared" si="0"/>
        <v>UTILIZOU O PDA CORRETAMENTE</v>
      </c>
      <c r="AB9" s="90" t="s">
        <v>207</v>
      </c>
      <c r="AC9" s="298" t="s">
        <v>36</v>
      </c>
      <c r="AD9" s="291" t="str">
        <f t="shared" si="2"/>
        <v>SÃO PAULO</v>
      </c>
      <c r="AE9" s="299" t="s">
        <v>79</v>
      </c>
    </row>
    <row r="10" spans="1:31" s="214" customFormat="1" ht="30" customHeight="1">
      <c r="A10" s="197" t="s">
        <v>198</v>
      </c>
      <c r="B10" s="212">
        <v>2618310499</v>
      </c>
      <c r="C10" s="197" t="s">
        <v>142</v>
      </c>
      <c r="D10" s="197" t="s">
        <v>79</v>
      </c>
      <c r="E10" s="197" t="s">
        <v>35</v>
      </c>
      <c r="F10" s="197" t="s">
        <v>1930</v>
      </c>
      <c r="G10" s="197">
        <v>92</v>
      </c>
      <c r="H10" s="197" t="s">
        <v>347</v>
      </c>
      <c r="I10" s="197" t="s">
        <v>479</v>
      </c>
      <c r="J10" s="205" t="s">
        <v>1915</v>
      </c>
      <c r="K10" s="197" t="s">
        <v>200</v>
      </c>
      <c r="L10" s="203">
        <v>46144.267361111109</v>
      </c>
      <c r="M10" s="203">
        <v>46144.270138888889</v>
      </c>
      <c r="N10" s="197" t="s">
        <v>1922</v>
      </c>
      <c r="O10" s="151" t="s">
        <v>207</v>
      </c>
      <c r="P10" s="137"/>
      <c r="Q10" s="138" t="s">
        <v>214</v>
      </c>
      <c r="R10" s="137"/>
      <c r="S10" s="138" t="s">
        <v>214</v>
      </c>
      <c r="T10" s="137"/>
      <c r="U10" s="138" t="s">
        <v>214</v>
      </c>
      <c r="V10" s="137"/>
      <c r="W10" s="138" t="s">
        <v>214</v>
      </c>
      <c r="X10" s="57"/>
      <c r="Y10" s="138" t="s">
        <v>207</v>
      </c>
      <c r="Z10" s="177" t="str">
        <f t="shared" si="1"/>
        <v>NC</v>
      </c>
      <c r="AA10" s="297" t="str">
        <f t="shared" si="0"/>
        <v>UTILIZOU O PDA CORRETAMENTE. NÃO HÁ FOTOS DE TODAS AS ETAPAS</v>
      </c>
      <c r="AB10" s="90" t="s">
        <v>207</v>
      </c>
      <c r="AC10" s="298" t="s">
        <v>36</v>
      </c>
      <c r="AD10" s="291" t="str">
        <f t="shared" si="2"/>
        <v>SÃO PAULO</v>
      </c>
      <c r="AE10" s="299" t="s">
        <v>79</v>
      </c>
    </row>
    <row r="11" spans="1:31" s="214" customFormat="1" ht="30" customHeight="1">
      <c r="A11" s="197" t="s">
        <v>198</v>
      </c>
      <c r="B11" s="212">
        <v>2618320574</v>
      </c>
      <c r="C11" s="197" t="s">
        <v>147</v>
      </c>
      <c r="D11" s="197" t="s">
        <v>79</v>
      </c>
      <c r="E11" s="197" t="s">
        <v>35</v>
      </c>
      <c r="F11" s="197" t="s">
        <v>659</v>
      </c>
      <c r="G11" s="197">
        <v>7</v>
      </c>
      <c r="H11" s="197" t="s">
        <v>208</v>
      </c>
      <c r="I11" s="197" t="s">
        <v>536</v>
      </c>
      <c r="J11" s="205" t="s">
        <v>1915</v>
      </c>
      <c r="K11" s="197"/>
      <c r="L11" s="203">
        <v>46143.296527777777</v>
      </c>
      <c r="M11" s="203">
        <v>46143.298611111109</v>
      </c>
      <c r="N11" s="197" t="s">
        <v>1931</v>
      </c>
      <c r="O11" s="151" t="s">
        <v>207</v>
      </c>
      <c r="P11" s="137"/>
      <c r="Q11" s="138" t="s">
        <v>207</v>
      </c>
      <c r="R11" s="137"/>
      <c r="S11" s="138" t="s">
        <v>214</v>
      </c>
      <c r="T11" s="137"/>
      <c r="U11" s="138" t="s">
        <v>214</v>
      </c>
      <c r="V11" s="137"/>
      <c r="W11" s="138" t="s">
        <v>207</v>
      </c>
      <c r="X11" s="57"/>
      <c r="Y11" s="138" t="s">
        <v>207</v>
      </c>
      <c r="Z11" s="177" t="str">
        <f t="shared" si="1"/>
        <v>NC</v>
      </c>
      <c r="AA11" s="297" t="str">
        <f t="shared" si="0"/>
        <v>UTILIZOU O PDA CORRETAMENTE. NÃO HÁ FOTOS DE TODAS AS ETAPAS</v>
      </c>
      <c r="AB11" s="90" t="s">
        <v>207</v>
      </c>
      <c r="AC11" s="298" t="s">
        <v>36</v>
      </c>
      <c r="AD11" s="291" t="str">
        <f t="shared" si="2"/>
        <v>SÃO PAULO</v>
      </c>
      <c r="AE11" s="299" t="s">
        <v>79</v>
      </c>
    </row>
    <row r="12" spans="1:31" s="214" customFormat="1" ht="30" customHeight="1">
      <c r="A12" s="197" t="s">
        <v>198</v>
      </c>
      <c r="B12" s="212">
        <v>2618378547</v>
      </c>
      <c r="C12" s="197" t="s">
        <v>147</v>
      </c>
      <c r="D12" s="197" t="s">
        <v>79</v>
      </c>
      <c r="E12" s="197" t="s">
        <v>35</v>
      </c>
      <c r="F12" s="197" t="s">
        <v>1158</v>
      </c>
      <c r="G12" s="197">
        <v>166</v>
      </c>
      <c r="H12" s="197" t="s">
        <v>208</v>
      </c>
      <c r="I12" s="197" t="s">
        <v>395</v>
      </c>
      <c r="J12" s="205" t="s">
        <v>1932</v>
      </c>
      <c r="K12" s="197"/>
      <c r="L12" s="203">
        <v>46145.298611111109</v>
      </c>
      <c r="M12" s="203">
        <v>46145.308333333334</v>
      </c>
      <c r="N12" s="197" t="s">
        <v>1933</v>
      </c>
      <c r="O12" s="151" t="s">
        <v>207</v>
      </c>
      <c r="P12" s="137"/>
      <c r="Q12" s="138" t="s">
        <v>214</v>
      </c>
      <c r="R12" s="137"/>
      <c r="S12" s="138" t="s">
        <v>214</v>
      </c>
      <c r="T12" s="137"/>
      <c r="U12" s="138" t="s">
        <v>214</v>
      </c>
      <c r="V12" s="137"/>
      <c r="W12" s="138" t="s">
        <v>207</v>
      </c>
      <c r="X12" s="57"/>
      <c r="Y12" s="138" t="s">
        <v>207</v>
      </c>
      <c r="Z12" s="177" t="str">
        <f t="shared" si="1"/>
        <v>NC</v>
      </c>
      <c r="AA12" s="297" t="str">
        <f t="shared" si="0"/>
        <v>UTILIZOU O PDA CORRETAMENTE. NÃO HÁ FOTOS DE TODAS AS ETAPAS</v>
      </c>
      <c r="AB12" s="90" t="s">
        <v>207</v>
      </c>
      <c r="AC12" s="298" t="s">
        <v>36</v>
      </c>
      <c r="AD12" s="291" t="str">
        <f t="shared" si="2"/>
        <v>SÃO PAULO</v>
      </c>
      <c r="AE12" s="299" t="s">
        <v>79</v>
      </c>
    </row>
    <row r="13" spans="1:31" s="214" customFormat="1" ht="30" customHeight="1">
      <c r="A13" s="197" t="s">
        <v>198</v>
      </c>
      <c r="B13" s="212">
        <v>2692212449</v>
      </c>
      <c r="C13" s="197" t="s">
        <v>143</v>
      </c>
      <c r="D13" s="197" t="s">
        <v>79</v>
      </c>
      <c r="E13" s="197" t="s">
        <v>35</v>
      </c>
      <c r="F13" s="197" t="s">
        <v>1934</v>
      </c>
      <c r="G13" s="197">
        <v>50</v>
      </c>
      <c r="H13" s="197" t="s">
        <v>208</v>
      </c>
      <c r="I13" s="197" t="s">
        <v>1935</v>
      </c>
      <c r="J13" s="205" t="s">
        <v>1915</v>
      </c>
      <c r="K13" s="197"/>
      <c r="L13" s="203">
        <v>46145.338888888888</v>
      </c>
      <c r="M13" s="203">
        <v>46145.340277777781</v>
      </c>
      <c r="N13" s="197" t="s">
        <v>1936</v>
      </c>
      <c r="O13" s="151" t="s">
        <v>77</v>
      </c>
      <c r="P13" s="137"/>
      <c r="Q13" s="138" t="s">
        <v>77</v>
      </c>
      <c r="R13" s="137"/>
      <c r="S13" s="138" t="s">
        <v>77</v>
      </c>
      <c r="T13" s="137"/>
      <c r="U13" s="138" t="s">
        <v>77</v>
      </c>
      <c r="V13" s="137"/>
      <c r="W13" s="138" t="s">
        <v>77</v>
      </c>
      <c r="X13" s="57"/>
      <c r="Y13" s="138" t="s">
        <v>77</v>
      </c>
      <c r="Z13" s="177" t="str">
        <f t="shared" si="1"/>
        <v>NA</v>
      </c>
      <c r="AA13" s="297" t="str">
        <f t="shared" si="0"/>
        <v>NÃO AVALIADO POR FALHA DE SINCRONISMO</v>
      </c>
      <c r="AB13" s="90" t="s">
        <v>207</v>
      </c>
      <c r="AC13" s="298" t="s">
        <v>36</v>
      </c>
      <c r="AD13" s="291" t="str">
        <f t="shared" si="2"/>
        <v>SÃO PAULO</v>
      </c>
      <c r="AE13" s="299" t="s">
        <v>79</v>
      </c>
    </row>
    <row r="14" spans="1:31" s="214" customFormat="1" ht="30" customHeight="1">
      <c r="A14" s="197" t="s">
        <v>198</v>
      </c>
      <c r="B14" s="212">
        <v>2692226114</v>
      </c>
      <c r="C14" s="197" t="s">
        <v>143</v>
      </c>
      <c r="D14" s="197" t="s">
        <v>79</v>
      </c>
      <c r="E14" s="197" t="s">
        <v>35</v>
      </c>
      <c r="F14" s="197" t="s">
        <v>1937</v>
      </c>
      <c r="G14" s="197">
        <v>196</v>
      </c>
      <c r="H14" s="197" t="s">
        <v>200</v>
      </c>
      <c r="I14" s="197" t="s">
        <v>392</v>
      </c>
      <c r="J14" s="205" t="s">
        <v>1915</v>
      </c>
      <c r="K14" s="197" t="s">
        <v>200</v>
      </c>
      <c r="L14" s="203">
        <v>46145.376388888886</v>
      </c>
      <c r="M14" s="203">
        <v>46145.377083333333</v>
      </c>
      <c r="N14" s="197" t="s">
        <v>1936</v>
      </c>
      <c r="O14" s="151" t="s">
        <v>77</v>
      </c>
      <c r="P14" s="137"/>
      <c r="Q14" s="138" t="s">
        <v>77</v>
      </c>
      <c r="R14" s="137"/>
      <c r="S14" s="138" t="s">
        <v>77</v>
      </c>
      <c r="T14" s="137"/>
      <c r="U14" s="138" t="s">
        <v>77</v>
      </c>
      <c r="V14" s="137"/>
      <c r="W14" s="138" t="s">
        <v>77</v>
      </c>
      <c r="X14" s="57"/>
      <c r="Y14" s="138" t="s">
        <v>77</v>
      </c>
      <c r="Z14" s="177" t="str">
        <f t="shared" si="1"/>
        <v>NA</v>
      </c>
      <c r="AA14" s="297" t="str">
        <f t="shared" si="0"/>
        <v>NÃO AVALIADO POR FALHA DE SINCRONISMO</v>
      </c>
      <c r="AB14" s="90" t="s">
        <v>207</v>
      </c>
      <c r="AC14" s="298" t="s">
        <v>36</v>
      </c>
      <c r="AD14" s="291" t="str">
        <f t="shared" si="2"/>
        <v>SÃO PAULO</v>
      </c>
      <c r="AE14" s="299" t="s">
        <v>79</v>
      </c>
    </row>
    <row r="15" spans="1:31" s="214" customFormat="1" ht="30" customHeight="1">
      <c r="A15" s="197" t="s">
        <v>198</v>
      </c>
      <c r="B15" s="212">
        <v>2692200308</v>
      </c>
      <c r="C15" s="197" t="s">
        <v>143</v>
      </c>
      <c r="D15" s="197" t="s">
        <v>79</v>
      </c>
      <c r="E15" s="197" t="s">
        <v>35</v>
      </c>
      <c r="F15" s="197" t="s">
        <v>1815</v>
      </c>
      <c r="G15" s="197">
        <v>32</v>
      </c>
      <c r="H15" s="197" t="s">
        <v>255</v>
      </c>
      <c r="I15" s="197" t="s">
        <v>685</v>
      </c>
      <c r="J15" s="205" t="s">
        <v>1915</v>
      </c>
      <c r="K15" s="197" t="s">
        <v>200</v>
      </c>
      <c r="L15" s="203">
        <v>46145.4</v>
      </c>
      <c r="M15" s="203">
        <v>46145.402777777781</v>
      </c>
      <c r="N15" s="197" t="s">
        <v>1936</v>
      </c>
      <c r="O15" s="151" t="s">
        <v>77</v>
      </c>
      <c r="P15" s="137"/>
      <c r="Q15" s="138" t="s">
        <v>77</v>
      </c>
      <c r="R15" s="137"/>
      <c r="S15" s="138" t="s">
        <v>77</v>
      </c>
      <c r="T15" s="137"/>
      <c r="U15" s="138" t="s">
        <v>77</v>
      </c>
      <c r="V15" s="137"/>
      <c r="W15" s="138" t="s">
        <v>77</v>
      </c>
      <c r="X15" s="54"/>
      <c r="Y15" s="138" t="s">
        <v>77</v>
      </c>
      <c r="Z15" s="177" t="str">
        <f t="shared" si="1"/>
        <v>NA</v>
      </c>
      <c r="AA15" s="297" t="str">
        <f t="shared" si="0"/>
        <v>NÃO AVALIADO POR FALHA DE SINCRONISMO</v>
      </c>
      <c r="AB15" s="90" t="s">
        <v>207</v>
      </c>
      <c r="AC15" s="298" t="s">
        <v>36</v>
      </c>
      <c r="AD15" s="291" t="str">
        <f t="shared" si="2"/>
        <v>SÃO PAULO</v>
      </c>
      <c r="AE15" s="299" t="s">
        <v>79</v>
      </c>
    </row>
    <row r="16" spans="1:31" s="214" customFormat="1" ht="30" customHeight="1">
      <c r="A16" s="197" t="s">
        <v>198</v>
      </c>
      <c r="B16" s="212">
        <v>2692177508</v>
      </c>
      <c r="C16" s="197" t="s">
        <v>143</v>
      </c>
      <c r="D16" s="197" t="s">
        <v>79</v>
      </c>
      <c r="E16" s="197" t="s">
        <v>35</v>
      </c>
      <c r="F16" s="197" t="s">
        <v>1938</v>
      </c>
      <c r="G16" s="197">
        <v>167</v>
      </c>
      <c r="H16" s="197" t="s">
        <v>208</v>
      </c>
      <c r="I16" s="197" t="s">
        <v>211</v>
      </c>
      <c r="J16" s="205" t="s">
        <v>1915</v>
      </c>
      <c r="K16" s="197"/>
      <c r="L16" s="203">
        <v>46144.368750000001</v>
      </c>
      <c r="M16" s="203">
        <v>46144.375694444447</v>
      </c>
      <c r="N16" s="197" t="s">
        <v>390</v>
      </c>
      <c r="O16" s="151" t="s">
        <v>207</v>
      </c>
      <c r="P16" s="137"/>
      <c r="Q16" s="138" t="s">
        <v>207</v>
      </c>
      <c r="R16" s="137"/>
      <c r="S16" s="138" t="s">
        <v>214</v>
      </c>
      <c r="T16" s="137"/>
      <c r="U16" s="138" t="s">
        <v>214</v>
      </c>
      <c r="V16" s="137"/>
      <c r="W16" s="138" t="s">
        <v>207</v>
      </c>
      <c r="X16" s="54"/>
      <c r="Y16" s="138" t="s">
        <v>207</v>
      </c>
      <c r="Z16" s="177" t="str">
        <f t="shared" si="1"/>
        <v>NC</v>
      </c>
      <c r="AA16" s="297" t="str">
        <f t="shared" si="0"/>
        <v>UTILIZOU O PDA CORRETAMENTE. NÃO HÁ FOTOS DE TODAS AS ETAPAS</v>
      </c>
      <c r="AB16" s="90" t="s">
        <v>207</v>
      </c>
      <c r="AC16" s="298" t="s">
        <v>36</v>
      </c>
      <c r="AD16" s="291" t="str">
        <f t="shared" si="2"/>
        <v>SÃO PAULO</v>
      </c>
      <c r="AE16" s="299" t="s">
        <v>79</v>
      </c>
    </row>
    <row r="17" spans="1:31" s="214" customFormat="1" ht="30" customHeight="1">
      <c r="A17" s="197" t="s">
        <v>198</v>
      </c>
      <c r="B17" s="212">
        <v>2692226784</v>
      </c>
      <c r="C17" s="197" t="s">
        <v>143</v>
      </c>
      <c r="D17" s="197" t="s">
        <v>79</v>
      </c>
      <c r="E17" s="197" t="s">
        <v>35</v>
      </c>
      <c r="F17" s="197" t="s">
        <v>1939</v>
      </c>
      <c r="G17" s="197">
        <v>257</v>
      </c>
      <c r="H17" s="197" t="s">
        <v>200</v>
      </c>
      <c r="I17" s="197" t="s">
        <v>615</v>
      </c>
      <c r="J17" s="205" t="s">
        <v>1918</v>
      </c>
      <c r="K17" s="197" t="s">
        <v>200</v>
      </c>
      <c r="L17" s="203">
        <v>46144.363888888889</v>
      </c>
      <c r="M17" s="203">
        <v>46144.364583333336</v>
      </c>
      <c r="N17" s="197" t="s">
        <v>390</v>
      </c>
      <c r="O17" s="151" t="s">
        <v>207</v>
      </c>
      <c r="P17" s="137"/>
      <c r="Q17" s="138" t="s">
        <v>214</v>
      </c>
      <c r="R17" s="137"/>
      <c r="S17" s="138" t="s">
        <v>214</v>
      </c>
      <c r="T17" s="137"/>
      <c r="U17" s="138" t="s">
        <v>214</v>
      </c>
      <c r="V17" s="137"/>
      <c r="W17" s="138" t="s">
        <v>214</v>
      </c>
      <c r="X17" s="57"/>
      <c r="Y17" s="138" t="s">
        <v>207</v>
      </c>
      <c r="Z17" s="177" t="str">
        <f t="shared" si="1"/>
        <v>NC</v>
      </c>
      <c r="AA17" s="297" t="str">
        <f t="shared" si="0"/>
        <v>UTILIZOU O PDA CORRETAMENTE. NÃO HÁ FOTOS DE TODAS AS ETAPAS</v>
      </c>
      <c r="AB17" s="90" t="s">
        <v>207</v>
      </c>
      <c r="AC17" s="298" t="s">
        <v>36</v>
      </c>
      <c r="AD17" s="291" t="str">
        <f t="shared" si="2"/>
        <v>SÃO PAULO</v>
      </c>
      <c r="AE17" s="299" t="s">
        <v>79</v>
      </c>
    </row>
    <row r="18" spans="1:31" s="214" customFormat="1" ht="30" customHeight="1">
      <c r="A18" s="197" t="s">
        <v>198</v>
      </c>
      <c r="B18" s="212">
        <v>2692182720</v>
      </c>
      <c r="C18" s="197" t="s">
        <v>143</v>
      </c>
      <c r="D18" s="197" t="s">
        <v>79</v>
      </c>
      <c r="E18" s="197" t="s">
        <v>35</v>
      </c>
      <c r="F18" s="197" t="s">
        <v>1940</v>
      </c>
      <c r="G18" s="197">
        <v>85</v>
      </c>
      <c r="H18" s="197"/>
      <c r="I18" s="197" t="s">
        <v>1407</v>
      </c>
      <c r="J18" s="205" t="s">
        <v>1918</v>
      </c>
      <c r="K18" s="197"/>
      <c r="L18" s="203">
        <v>46144.361111111109</v>
      </c>
      <c r="M18" s="203">
        <v>46144.361111111109</v>
      </c>
      <c r="N18" s="197" t="s">
        <v>390</v>
      </c>
      <c r="O18" s="151" t="s">
        <v>207</v>
      </c>
      <c r="P18" s="137"/>
      <c r="Q18" s="138" t="s">
        <v>214</v>
      </c>
      <c r="R18" s="137"/>
      <c r="S18" s="138" t="s">
        <v>214</v>
      </c>
      <c r="T18" s="137"/>
      <c r="U18" s="138" t="s">
        <v>214</v>
      </c>
      <c r="V18" s="137"/>
      <c r="W18" s="138" t="s">
        <v>214</v>
      </c>
      <c r="X18" s="54"/>
      <c r="Y18" s="138" t="s">
        <v>207</v>
      </c>
      <c r="Z18" s="177" t="str">
        <f t="shared" si="1"/>
        <v>NC</v>
      </c>
      <c r="AA18" s="297" t="str">
        <f t="shared" si="0"/>
        <v>UTILIZOU O PDA CORRETAMENTE. NÃO HÁ FOTOS DE TODAS AS ETAPAS</v>
      </c>
      <c r="AB18" s="90" t="s">
        <v>207</v>
      </c>
      <c r="AC18" s="298" t="s">
        <v>36</v>
      </c>
      <c r="AD18" s="291" t="str">
        <f t="shared" si="2"/>
        <v>SÃO PAULO</v>
      </c>
      <c r="AE18" s="299" t="s">
        <v>79</v>
      </c>
    </row>
    <row r="19" spans="1:31" s="214" customFormat="1" ht="30" customHeight="1">
      <c r="A19" s="197" t="s">
        <v>198</v>
      </c>
      <c r="B19" s="212">
        <v>2692186633</v>
      </c>
      <c r="C19" s="197" t="s">
        <v>146</v>
      </c>
      <c r="D19" s="197" t="s">
        <v>79</v>
      </c>
      <c r="E19" s="197" t="s">
        <v>35</v>
      </c>
      <c r="F19" s="197" t="s">
        <v>752</v>
      </c>
      <c r="G19" s="197">
        <v>330</v>
      </c>
      <c r="H19" s="197" t="s">
        <v>1941</v>
      </c>
      <c r="I19" s="197" t="s">
        <v>411</v>
      </c>
      <c r="J19" s="205" t="s">
        <v>1915</v>
      </c>
      <c r="K19" s="197" t="s">
        <v>200</v>
      </c>
      <c r="L19" s="203">
        <v>46144.25</v>
      </c>
      <c r="M19" s="203">
        <v>46144.256249999999</v>
      </c>
      <c r="N19" s="197" t="s">
        <v>390</v>
      </c>
      <c r="O19" s="151" t="s">
        <v>207</v>
      </c>
      <c r="P19" s="137"/>
      <c r="Q19" s="138" t="s">
        <v>207</v>
      </c>
      <c r="R19" s="137"/>
      <c r="S19" s="138" t="s">
        <v>207</v>
      </c>
      <c r="T19" s="137"/>
      <c r="U19" s="138" t="s">
        <v>214</v>
      </c>
      <c r="V19" s="137"/>
      <c r="W19" s="138" t="s">
        <v>207</v>
      </c>
      <c r="X19" s="54"/>
      <c r="Y19" s="138" t="s">
        <v>207</v>
      </c>
      <c r="Z19" s="177" t="str">
        <f t="shared" si="1"/>
        <v>NC</v>
      </c>
      <c r="AA19" s="297" t="str">
        <f t="shared" si="0"/>
        <v>UTILIZOU O PDA CORRETAMENTE. NÃO HÁ FOTOS DE TODAS AS ETAPAS</v>
      </c>
      <c r="AB19" s="90" t="s">
        <v>207</v>
      </c>
      <c r="AC19" s="298" t="s">
        <v>36</v>
      </c>
      <c r="AD19" s="291" t="str">
        <f t="shared" si="2"/>
        <v>SÃO PAULO</v>
      </c>
      <c r="AE19" s="299" t="s">
        <v>79</v>
      </c>
    </row>
    <row r="20" spans="1:31" s="214" customFormat="1" ht="30" customHeight="1">
      <c r="A20" s="197" t="s">
        <v>198</v>
      </c>
      <c r="B20" s="212">
        <v>2618381568</v>
      </c>
      <c r="C20" s="197" t="s">
        <v>143</v>
      </c>
      <c r="D20" s="197" t="s">
        <v>79</v>
      </c>
      <c r="E20" s="197" t="s">
        <v>35</v>
      </c>
      <c r="F20" s="197" t="s">
        <v>1942</v>
      </c>
      <c r="G20" s="197">
        <v>40</v>
      </c>
      <c r="H20" s="197" t="s">
        <v>205</v>
      </c>
      <c r="I20" s="197" t="s">
        <v>1480</v>
      </c>
      <c r="J20" s="205" t="s">
        <v>1915</v>
      </c>
      <c r="K20" s="197"/>
      <c r="L20" s="203">
        <v>46144.265972222223</v>
      </c>
      <c r="M20" s="203">
        <v>46144.277777777781</v>
      </c>
      <c r="N20" s="197" t="s">
        <v>390</v>
      </c>
      <c r="O20" s="151" t="s">
        <v>207</v>
      </c>
      <c r="P20" s="137"/>
      <c r="Q20" s="138" t="s">
        <v>207</v>
      </c>
      <c r="R20" s="137"/>
      <c r="S20" s="138" t="s">
        <v>207</v>
      </c>
      <c r="T20" s="137"/>
      <c r="U20" s="138" t="s">
        <v>214</v>
      </c>
      <c r="V20" s="137"/>
      <c r="W20" s="138" t="s">
        <v>207</v>
      </c>
      <c r="X20" s="54"/>
      <c r="Y20" s="138" t="s">
        <v>207</v>
      </c>
      <c r="Z20" s="177" t="str">
        <f t="shared" si="1"/>
        <v>NC</v>
      </c>
      <c r="AA20" s="297" t="str">
        <f t="shared" si="0"/>
        <v>UTILIZOU O PDA CORRETAMENTE. NÃO HÁ FOTOS DE TODAS AS ETAPAS</v>
      </c>
      <c r="AB20" s="90" t="s">
        <v>207</v>
      </c>
      <c r="AC20" s="298" t="s">
        <v>36</v>
      </c>
      <c r="AD20" s="291" t="str">
        <f t="shared" si="2"/>
        <v>SÃO PAULO</v>
      </c>
      <c r="AE20" s="299" t="s">
        <v>79</v>
      </c>
    </row>
    <row r="21" spans="1:31" s="214" customFormat="1" ht="30" customHeight="1">
      <c r="A21" s="197" t="s">
        <v>198</v>
      </c>
      <c r="B21" s="212">
        <v>2692211530</v>
      </c>
      <c r="C21" s="197" t="s">
        <v>143</v>
      </c>
      <c r="D21" s="197" t="s">
        <v>79</v>
      </c>
      <c r="E21" s="197" t="s">
        <v>35</v>
      </c>
      <c r="F21" s="197" t="s">
        <v>1881</v>
      </c>
      <c r="G21" s="197">
        <v>552</v>
      </c>
      <c r="H21" s="197"/>
      <c r="I21" s="197" t="s">
        <v>300</v>
      </c>
      <c r="J21" s="205" t="s">
        <v>1915</v>
      </c>
      <c r="K21" s="197"/>
      <c r="L21" s="203">
        <v>46144.319444444445</v>
      </c>
      <c r="M21" s="203">
        <v>46144.330555555556</v>
      </c>
      <c r="N21" s="197" t="s">
        <v>390</v>
      </c>
      <c r="O21" s="151" t="s">
        <v>207</v>
      </c>
      <c r="P21" s="137"/>
      <c r="Q21" s="138" t="s">
        <v>214</v>
      </c>
      <c r="R21" s="137"/>
      <c r="S21" s="138" t="s">
        <v>207</v>
      </c>
      <c r="T21" s="137"/>
      <c r="U21" s="138" t="s">
        <v>207</v>
      </c>
      <c r="V21" s="137"/>
      <c r="W21" s="138" t="s">
        <v>207</v>
      </c>
      <c r="X21" s="54"/>
      <c r="Y21" s="138" t="s">
        <v>207</v>
      </c>
      <c r="Z21" s="177" t="str">
        <f t="shared" si="1"/>
        <v>NC</v>
      </c>
      <c r="AA21" s="297" t="str">
        <f t="shared" si="0"/>
        <v>UTILIZOU O PDA CORRETAMENTE. NÃO HÁ FOTOS DE TODAS AS ETAPAS</v>
      </c>
      <c r="AB21" s="90"/>
      <c r="AC21" s="298" t="s">
        <v>36</v>
      </c>
      <c r="AD21" s="291" t="str">
        <f t="shared" si="2"/>
        <v>SÃO PAULO</v>
      </c>
      <c r="AE21" s="299" t="s">
        <v>79</v>
      </c>
    </row>
    <row r="22" spans="1:31" s="214" customFormat="1" ht="30" customHeight="1">
      <c r="A22" s="197" t="s">
        <v>198</v>
      </c>
      <c r="B22" s="212">
        <v>2618417016</v>
      </c>
      <c r="C22" s="197" t="s">
        <v>1923</v>
      </c>
      <c r="D22" s="197" t="s">
        <v>79</v>
      </c>
      <c r="E22" s="197" t="s">
        <v>35</v>
      </c>
      <c r="F22" s="197" t="s">
        <v>387</v>
      </c>
      <c r="G22" s="197">
        <v>708</v>
      </c>
      <c r="H22" s="197" t="s">
        <v>257</v>
      </c>
      <c r="I22" s="197" t="s">
        <v>277</v>
      </c>
      <c r="J22" s="205" t="s">
        <v>1943</v>
      </c>
      <c r="K22" s="197"/>
      <c r="L22" s="203">
        <v>46145.456250000003</v>
      </c>
      <c r="M22" s="203">
        <v>46145.456944444442</v>
      </c>
      <c r="N22" s="197" t="s">
        <v>213</v>
      </c>
      <c r="O22" s="151" t="s">
        <v>77</v>
      </c>
      <c r="P22" s="137"/>
      <c r="Q22" s="138" t="s">
        <v>77</v>
      </c>
      <c r="R22" s="137"/>
      <c r="S22" s="138" t="s">
        <v>77</v>
      </c>
      <c r="T22" s="137"/>
      <c r="U22" s="138" t="s">
        <v>77</v>
      </c>
      <c r="V22" s="137"/>
      <c r="W22" s="138" t="s">
        <v>77</v>
      </c>
      <c r="X22" s="54"/>
      <c r="Y22" s="138" t="s">
        <v>77</v>
      </c>
      <c r="Z22" s="177" t="str">
        <f t="shared" si="1"/>
        <v>NA</v>
      </c>
      <c r="AA22" s="297" t="str">
        <f t="shared" si="0"/>
        <v>NÃO AVALIADO POR FALHA DE SINCRONISMO</v>
      </c>
      <c r="AB22" s="90" t="s">
        <v>207</v>
      </c>
      <c r="AC22" s="298" t="s">
        <v>36</v>
      </c>
      <c r="AD22" s="291" t="str">
        <f t="shared" si="2"/>
        <v>SÃO PAULO</v>
      </c>
      <c r="AE22" s="299" t="s">
        <v>79</v>
      </c>
    </row>
    <row r="23" spans="1:31" s="214" customFormat="1" ht="30" customHeight="1">
      <c r="A23" s="197" t="s">
        <v>198</v>
      </c>
      <c r="B23" s="212">
        <v>2692236869</v>
      </c>
      <c r="C23" s="197" t="s">
        <v>143</v>
      </c>
      <c r="D23" s="197" t="s">
        <v>79</v>
      </c>
      <c r="E23" s="197" t="s">
        <v>35</v>
      </c>
      <c r="F23" s="197" t="s">
        <v>1513</v>
      </c>
      <c r="G23" s="197">
        <v>200</v>
      </c>
      <c r="H23" s="197" t="s">
        <v>200</v>
      </c>
      <c r="I23" s="197" t="s">
        <v>220</v>
      </c>
      <c r="J23" s="205" t="s">
        <v>1915</v>
      </c>
      <c r="K23" s="197" t="s">
        <v>200</v>
      </c>
      <c r="L23" s="203">
        <v>46145.426388888889</v>
      </c>
      <c r="M23" s="203">
        <v>46145.432638888888</v>
      </c>
      <c r="N23" s="197" t="s">
        <v>1944</v>
      </c>
      <c r="O23" s="151" t="s">
        <v>207</v>
      </c>
      <c r="P23" s="137"/>
      <c r="Q23" s="138" t="s">
        <v>207</v>
      </c>
      <c r="R23" s="137"/>
      <c r="S23" s="138" t="s">
        <v>207</v>
      </c>
      <c r="T23" s="137"/>
      <c r="U23" s="138" t="s">
        <v>207</v>
      </c>
      <c r="V23" s="137"/>
      <c r="W23" s="138" t="s">
        <v>207</v>
      </c>
      <c r="X23" s="54"/>
      <c r="Y23" s="138" t="s">
        <v>207</v>
      </c>
      <c r="Z23" s="177" t="str">
        <f t="shared" si="1"/>
        <v>C</v>
      </c>
      <c r="AA23" s="297" t="str">
        <f t="shared" si="0"/>
        <v>UTILIZOU O PDA CORRETAMENTE</v>
      </c>
      <c r="AB23" s="90" t="s">
        <v>207</v>
      </c>
      <c r="AC23" s="298" t="s">
        <v>36</v>
      </c>
      <c r="AD23" s="291" t="str">
        <f t="shared" si="2"/>
        <v>SÃO PAULO</v>
      </c>
      <c r="AE23" s="299" t="s">
        <v>79</v>
      </c>
    </row>
    <row r="24" spans="1:31" s="214" customFormat="1" ht="30" customHeight="1">
      <c r="A24" s="197" t="s">
        <v>198</v>
      </c>
      <c r="B24" s="212">
        <v>2692237288</v>
      </c>
      <c r="C24" s="197" t="s">
        <v>143</v>
      </c>
      <c r="D24" s="197" t="s">
        <v>79</v>
      </c>
      <c r="E24" s="197" t="s">
        <v>35</v>
      </c>
      <c r="F24" s="197" t="s">
        <v>1945</v>
      </c>
      <c r="G24" s="197">
        <v>39</v>
      </c>
      <c r="H24" s="197" t="s">
        <v>208</v>
      </c>
      <c r="I24" s="197" t="s">
        <v>371</v>
      </c>
      <c r="J24" s="205" t="s">
        <v>1915</v>
      </c>
      <c r="K24" s="197"/>
      <c r="L24" s="203">
        <v>46145.373611111114</v>
      </c>
      <c r="M24" s="203">
        <v>46145.376388888886</v>
      </c>
      <c r="N24" s="197" t="s">
        <v>1944</v>
      </c>
      <c r="O24" s="151" t="s">
        <v>207</v>
      </c>
      <c r="P24" s="137"/>
      <c r="Q24" s="138" t="s">
        <v>207</v>
      </c>
      <c r="R24" s="137"/>
      <c r="S24" s="138" t="s">
        <v>207</v>
      </c>
      <c r="T24" s="137"/>
      <c r="U24" s="138" t="s">
        <v>214</v>
      </c>
      <c r="V24" s="137"/>
      <c r="W24" s="138" t="s">
        <v>207</v>
      </c>
      <c r="X24" s="54"/>
      <c r="Y24" s="138" t="s">
        <v>207</v>
      </c>
      <c r="Z24" s="177" t="str">
        <f t="shared" si="1"/>
        <v>NC</v>
      </c>
      <c r="AA24" s="297" t="str">
        <f t="shared" si="0"/>
        <v>UTILIZOU O PDA CORRETAMENTE. NÃO HÁ FOTOS DE TODAS AS ETAPAS</v>
      </c>
      <c r="AB24" s="90" t="s">
        <v>207</v>
      </c>
      <c r="AC24" s="298" t="s">
        <v>36</v>
      </c>
      <c r="AD24" s="291" t="str">
        <f t="shared" si="2"/>
        <v>SÃO PAULO</v>
      </c>
      <c r="AE24" s="299" t="s">
        <v>79</v>
      </c>
    </row>
    <row r="25" spans="1:31" s="214" customFormat="1" ht="30" customHeight="1">
      <c r="A25" s="197" t="s">
        <v>198</v>
      </c>
      <c r="B25" s="212">
        <v>2692239281</v>
      </c>
      <c r="C25" s="197" t="s">
        <v>143</v>
      </c>
      <c r="D25" s="197" t="s">
        <v>79</v>
      </c>
      <c r="E25" s="197" t="s">
        <v>35</v>
      </c>
      <c r="F25" s="197" t="s">
        <v>1946</v>
      </c>
      <c r="G25" s="197">
        <v>358</v>
      </c>
      <c r="H25" s="197" t="s">
        <v>200</v>
      </c>
      <c r="I25" s="197" t="s">
        <v>479</v>
      </c>
      <c r="J25" s="205" t="s">
        <v>1943</v>
      </c>
      <c r="K25" s="197" t="s">
        <v>200</v>
      </c>
      <c r="L25" s="203">
        <v>46146</v>
      </c>
      <c r="M25" s="203">
        <v>46146.000694444447</v>
      </c>
      <c r="N25" s="197" t="s">
        <v>1936</v>
      </c>
      <c r="O25" s="151" t="s">
        <v>77</v>
      </c>
      <c r="P25" s="137"/>
      <c r="Q25" s="138" t="s">
        <v>77</v>
      </c>
      <c r="R25" s="137"/>
      <c r="S25" s="138" t="s">
        <v>77</v>
      </c>
      <c r="T25" s="137"/>
      <c r="U25" s="138" t="s">
        <v>77</v>
      </c>
      <c r="V25" s="137"/>
      <c r="W25" s="138" t="s">
        <v>77</v>
      </c>
      <c r="X25" s="54"/>
      <c r="Y25" s="138" t="s">
        <v>77</v>
      </c>
      <c r="Z25" s="177" t="str">
        <f t="shared" si="1"/>
        <v>NA</v>
      </c>
      <c r="AA25" s="297" t="str">
        <f t="shared" si="0"/>
        <v>NÃO AVALIADO POR FALHA DE SINCRONISMO</v>
      </c>
      <c r="AB25" s="90" t="s">
        <v>207</v>
      </c>
      <c r="AC25" s="298" t="s">
        <v>36</v>
      </c>
      <c r="AD25" s="291" t="str">
        <f t="shared" si="2"/>
        <v>SÃO PAULO</v>
      </c>
      <c r="AE25" s="299" t="s">
        <v>79</v>
      </c>
    </row>
    <row r="26" spans="1:31" s="214" customFormat="1" ht="30" customHeight="1">
      <c r="A26" s="197" t="s">
        <v>198</v>
      </c>
      <c r="B26" s="212">
        <v>2618418079</v>
      </c>
      <c r="C26" s="197" t="s">
        <v>1923</v>
      </c>
      <c r="D26" s="197" t="s">
        <v>79</v>
      </c>
      <c r="E26" s="197" t="s">
        <v>35</v>
      </c>
      <c r="F26" s="197" t="s">
        <v>1947</v>
      </c>
      <c r="G26" s="197">
        <v>48</v>
      </c>
      <c r="H26" s="197" t="s">
        <v>1081</v>
      </c>
      <c r="I26" s="197" t="s">
        <v>293</v>
      </c>
      <c r="J26" s="205" t="s">
        <v>1915</v>
      </c>
      <c r="K26" s="197"/>
      <c r="L26" s="203">
        <v>46145.556944444441</v>
      </c>
      <c r="M26" s="203">
        <v>46145.559027777781</v>
      </c>
      <c r="N26" s="197" t="s">
        <v>1936</v>
      </c>
      <c r="O26" s="151" t="s">
        <v>77</v>
      </c>
      <c r="P26" s="137"/>
      <c r="Q26" s="138" t="s">
        <v>77</v>
      </c>
      <c r="R26" s="137"/>
      <c r="S26" s="138" t="s">
        <v>77</v>
      </c>
      <c r="T26" s="137"/>
      <c r="U26" s="138" t="s">
        <v>77</v>
      </c>
      <c r="V26" s="137"/>
      <c r="W26" s="138" t="s">
        <v>77</v>
      </c>
      <c r="X26" s="54"/>
      <c r="Y26" s="138" t="s">
        <v>77</v>
      </c>
      <c r="Z26" s="177" t="str">
        <f t="shared" si="1"/>
        <v>NA</v>
      </c>
      <c r="AA26" s="297" t="str">
        <f t="shared" si="0"/>
        <v>NÃO AVALIADO POR FALHA DE SINCRONISMO</v>
      </c>
      <c r="AB26" s="90" t="s">
        <v>207</v>
      </c>
      <c r="AC26" s="298" t="s">
        <v>36</v>
      </c>
      <c r="AD26" s="291" t="str">
        <f t="shared" si="2"/>
        <v>SÃO PAULO</v>
      </c>
      <c r="AE26" s="299" t="s">
        <v>79</v>
      </c>
    </row>
    <row r="27" spans="1:31" s="214" customFormat="1" ht="30" customHeight="1">
      <c r="A27" s="197" t="s">
        <v>198</v>
      </c>
      <c r="B27" s="212">
        <v>2618422868</v>
      </c>
      <c r="C27" s="197" t="s">
        <v>143</v>
      </c>
      <c r="D27" s="197" t="s">
        <v>79</v>
      </c>
      <c r="E27" s="197" t="s">
        <v>35</v>
      </c>
      <c r="F27" s="197" t="s">
        <v>1948</v>
      </c>
      <c r="G27" s="197">
        <v>134</v>
      </c>
      <c r="H27" s="197" t="s">
        <v>200</v>
      </c>
      <c r="I27" s="197" t="s">
        <v>917</v>
      </c>
      <c r="J27" s="205" t="s">
        <v>1918</v>
      </c>
      <c r="K27" s="197" t="s">
        <v>200</v>
      </c>
      <c r="L27" s="203">
        <v>46146.429861111108</v>
      </c>
      <c r="M27" s="203">
        <v>46146.438888888886</v>
      </c>
      <c r="N27" s="197" t="s">
        <v>1916</v>
      </c>
      <c r="O27" s="151" t="s">
        <v>207</v>
      </c>
      <c r="P27" s="137"/>
      <c r="Q27" s="138" t="s">
        <v>207</v>
      </c>
      <c r="R27" s="137"/>
      <c r="S27" s="138" t="s">
        <v>214</v>
      </c>
      <c r="T27" s="137"/>
      <c r="U27" s="138" t="s">
        <v>214</v>
      </c>
      <c r="V27" s="137"/>
      <c r="W27" s="138" t="s">
        <v>207</v>
      </c>
      <c r="X27" s="54"/>
      <c r="Y27" s="138" t="s">
        <v>207</v>
      </c>
      <c r="Z27" s="177" t="str">
        <f t="shared" si="1"/>
        <v>NC</v>
      </c>
      <c r="AA27" s="297" t="str">
        <f t="shared" si="0"/>
        <v>UTILIZOU O PDA CORRETAMENTE. NÃO HÁ FOTOS DE TODAS AS ETAPAS</v>
      </c>
      <c r="AB27" s="90" t="s">
        <v>207</v>
      </c>
      <c r="AC27" s="298" t="s">
        <v>36</v>
      </c>
      <c r="AD27" s="291" t="str">
        <f t="shared" si="2"/>
        <v>SÃO PAULO</v>
      </c>
      <c r="AE27" s="299" t="s">
        <v>79</v>
      </c>
    </row>
    <row r="28" spans="1:31" s="214" customFormat="1" ht="30" customHeight="1">
      <c r="A28" s="197" t="s">
        <v>198</v>
      </c>
      <c r="B28" s="212">
        <v>2618418028</v>
      </c>
      <c r="C28" s="197" t="s">
        <v>146</v>
      </c>
      <c r="D28" s="197" t="s">
        <v>79</v>
      </c>
      <c r="E28" s="197" t="s">
        <v>35</v>
      </c>
      <c r="F28" s="197" t="s">
        <v>1017</v>
      </c>
      <c r="G28" s="197">
        <v>98</v>
      </c>
      <c r="H28" s="197"/>
      <c r="I28" s="197" t="s">
        <v>525</v>
      </c>
      <c r="J28" s="205" t="s">
        <v>1915</v>
      </c>
      <c r="K28" s="197"/>
      <c r="L28" s="203">
        <v>46145.093055555553</v>
      </c>
      <c r="M28" s="203">
        <v>46145.107638888891</v>
      </c>
      <c r="N28" s="197" t="s">
        <v>1922</v>
      </c>
      <c r="O28" s="151" t="s">
        <v>207</v>
      </c>
      <c r="P28" s="137"/>
      <c r="Q28" s="138" t="s">
        <v>214</v>
      </c>
      <c r="R28" s="137"/>
      <c r="S28" s="138" t="s">
        <v>214</v>
      </c>
      <c r="T28" s="137"/>
      <c r="U28" s="138" t="s">
        <v>214</v>
      </c>
      <c r="V28" s="137"/>
      <c r="W28" s="138" t="s">
        <v>207</v>
      </c>
      <c r="X28" s="54"/>
      <c r="Y28" s="138" t="s">
        <v>207</v>
      </c>
      <c r="Z28" s="177" t="str">
        <f t="shared" si="1"/>
        <v>NC</v>
      </c>
      <c r="AA28" s="297" t="str">
        <f t="shared" si="0"/>
        <v>UTILIZOU O PDA CORRETAMENTE. NÃO HÁ FOTOS DE TODAS AS ETAPAS</v>
      </c>
      <c r="AB28" s="90" t="s">
        <v>207</v>
      </c>
      <c r="AC28" s="298" t="s">
        <v>36</v>
      </c>
      <c r="AD28" s="291" t="str">
        <f t="shared" si="2"/>
        <v>SÃO PAULO</v>
      </c>
      <c r="AE28" s="299" t="s">
        <v>79</v>
      </c>
    </row>
    <row r="29" spans="1:31" s="214" customFormat="1" ht="30" customHeight="1">
      <c r="A29" s="197" t="s">
        <v>198</v>
      </c>
      <c r="B29" s="212">
        <v>2692252407</v>
      </c>
      <c r="C29" s="197" t="s">
        <v>147</v>
      </c>
      <c r="D29" s="197" t="s">
        <v>79</v>
      </c>
      <c r="E29" s="197" t="s">
        <v>35</v>
      </c>
      <c r="F29" s="197" t="s">
        <v>1949</v>
      </c>
      <c r="G29" s="197">
        <v>194</v>
      </c>
      <c r="H29" s="197"/>
      <c r="I29" s="197" t="s">
        <v>652</v>
      </c>
      <c r="J29" s="205" t="s">
        <v>1915</v>
      </c>
      <c r="K29" s="197"/>
      <c r="L29" s="203">
        <v>46145.113888888889</v>
      </c>
      <c r="M29" s="203">
        <v>46145.116666666669</v>
      </c>
      <c r="N29" s="197" t="s">
        <v>1922</v>
      </c>
      <c r="O29" s="151" t="s">
        <v>207</v>
      </c>
      <c r="P29" s="54"/>
      <c r="Q29" s="138" t="s">
        <v>207</v>
      </c>
      <c r="R29" s="54"/>
      <c r="S29" s="138" t="s">
        <v>214</v>
      </c>
      <c r="T29" s="54"/>
      <c r="U29" s="138" t="s">
        <v>214</v>
      </c>
      <c r="V29" s="54"/>
      <c r="W29" s="138" t="s">
        <v>214</v>
      </c>
      <c r="X29" s="54"/>
      <c r="Y29" s="138" t="s">
        <v>207</v>
      </c>
      <c r="Z29" s="177" t="str">
        <f t="shared" si="1"/>
        <v>NC</v>
      </c>
      <c r="AA29" s="297" t="str">
        <f t="shared" si="0"/>
        <v>UTILIZOU O PDA CORRETAMENTE. NÃO HÁ FOTOS DE TODAS AS ETAPAS</v>
      </c>
      <c r="AB29" s="90" t="s">
        <v>207</v>
      </c>
      <c r="AC29" s="298" t="s">
        <v>36</v>
      </c>
      <c r="AD29" s="291" t="str">
        <f t="shared" si="2"/>
        <v>SÃO PAULO</v>
      </c>
      <c r="AE29" s="299" t="s">
        <v>79</v>
      </c>
    </row>
    <row r="30" spans="1:31" s="214" customFormat="1" ht="30" customHeight="1">
      <c r="A30" s="197" t="s">
        <v>198</v>
      </c>
      <c r="B30" s="212">
        <v>2618418076</v>
      </c>
      <c r="C30" s="197" t="s">
        <v>146</v>
      </c>
      <c r="D30" s="197" t="s">
        <v>79</v>
      </c>
      <c r="E30" s="197" t="s">
        <v>35</v>
      </c>
      <c r="F30" s="197" t="s">
        <v>1950</v>
      </c>
      <c r="G30" s="197">
        <v>5</v>
      </c>
      <c r="H30" s="197" t="s">
        <v>205</v>
      </c>
      <c r="I30" s="197" t="s">
        <v>352</v>
      </c>
      <c r="J30" s="205" t="s">
        <v>1932</v>
      </c>
      <c r="K30" s="197"/>
      <c r="L30" s="203">
        <v>46146.384722222225</v>
      </c>
      <c r="M30" s="203">
        <v>46146.396527777775</v>
      </c>
      <c r="N30" s="197" t="s">
        <v>1933</v>
      </c>
      <c r="O30" s="151" t="s">
        <v>207</v>
      </c>
      <c r="P30" s="54"/>
      <c r="Q30" s="138" t="s">
        <v>207</v>
      </c>
      <c r="R30" s="54"/>
      <c r="S30" s="138" t="s">
        <v>207</v>
      </c>
      <c r="T30" s="54"/>
      <c r="U30" s="138" t="s">
        <v>207</v>
      </c>
      <c r="V30" s="54"/>
      <c r="W30" s="138" t="s">
        <v>207</v>
      </c>
      <c r="X30" s="54"/>
      <c r="Y30" s="138" t="s">
        <v>207</v>
      </c>
      <c r="Z30" s="177" t="str">
        <f t="shared" si="1"/>
        <v>C</v>
      </c>
      <c r="AA30" s="297" t="str">
        <f t="shared" si="0"/>
        <v>UTILIZOU O PDA CORRETAMENTE</v>
      </c>
      <c r="AB30" s="90" t="s">
        <v>207</v>
      </c>
      <c r="AC30" s="298" t="s">
        <v>36</v>
      </c>
      <c r="AD30" s="291" t="str">
        <f t="shared" si="2"/>
        <v>SÃO PAULO</v>
      </c>
      <c r="AE30" s="299" t="s">
        <v>79</v>
      </c>
    </row>
    <row r="31" spans="1:31" s="214" customFormat="1" ht="30" customHeight="1">
      <c r="A31" s="197" t="s">
        <v>198</v>
      </c>
      <c r="B31" s="212">
        <v>2618419170</v>
      </c>
      <c r="C31" s="197" t="s">
        <v>144</v>
      </c>
      <c r="D31" s="197" t="s">
        <v>140</v>
      </c>
      <c r="E31" s="197" t="s">
        <v>35</v>
      </c>
      <c r="F31" s="197" t="s">
        <v>1951</v>
      </c>
      <c r="G31" s="197">
        <v>275</v>
      </c>
      <c r="H31" s="197" t="s">
        <v>1952</v>
      </c>
      <c r="I31" s="197" t="s">
        <v>1953</v>
      </c>
      <c r="J31" s="205" t="s">
        <v>1954</v>
      </c>
      <c r="K31" s="197" t="s">
        <v>200</v>
      </c>
      <c r="L31" s="203">
        <v>46146.425000000003</v>
      </c>
      <c r="M31" s="203">
        <v>46146.427083333336</v>
      </c>
      <c r="N31" s="197" t="s">
        <v>1919</v>
      </c>
      <c r="O31" s="151" t="s">
        <v>207</v>
      </c>
      <c r="P31" s="54"/>
      <c r="Q31" s="138" t="s">
        <v>207</v>
      </c>
      <c r="R31" s="54"/>
      <c r="S31" s="138" t="s">
        <v>214</v>
      </c>
      <c r="T31" s="54"/>
      <c r="U31" s="138" t="s">
        <v>214</v>
      </c>
      <c r="V31" s="54"/>
      <c r="W31" s="138" t="s">
        <v>207</v>
      </c>
      <c r="X31" s="54"/>
      <c r="Y31" s="138" t="s">
        <v>207</v>
      </c>
      <c r="Z31" s="177" t="str">
        <f t="shared" si="1"/>
        <v>NC</v>
      </c>
      <c r="AA31" s="297" t="str">
        <f t="shared" si="0"/>
        <v>UTILIZOU O PDA CORRETAMENTE. NÃO HÁ FOTOS DE TODAS AS ETAPAS</v>
      </c>
      <c r="AB31" s="90" t="s">
        <v>207</v>
      </c>
      <c r="AC31" s="298" t="s">
        <v>36</v>
      </c>
      <c r="AD31" s="291" t="str">
        <f t="shared" si="2"/>
        <v>SÃO PAULO</v>
      </c>
      <c r="AE31" s="299" t="s">
        <v>79</v>
      </c>
    </row>
    <row r="32" spans="1:31" s="214" customFormat="1" ht="30" customHeight="1">
      <c r="A32" s="197" t="s">
        <v>198</v>
      </c>
      <c r="B32" s="212">
        <v>2692271530</v>
      </c>
      <c r="C32" s="197" t="s">
        <v>143</v>
      </c>
      <c r="D32" s="197" t="s">
        <v>79</v>
      </c>
      <c r="E32" s="197" t="s">
        <v>35</v>
      </c>
      <c r="F32" s="197" t="s">
        <v>302</v>
      </c>
      <c r="G32" s="197">
        <v>345</v>
      </c>
      <c r="H32" s="197" t="s">
        <v>208</v>
      </c>
      <c r="I32" s="197" t="s">
        <v>303</v>
      </c>
      <c r="J32" s="205" t="s">
        <v>1915</v>
      </c>
      <c r="K32" s="197"/>
      <c r="L32" s="203">
        <v>46146.470833333333</v>
      </c>
      <c r="M32" s="203">
        <v>46146.476388888892</v>
      </c>
      <c r="N32" s="197" t="s">
        <v>1944</v>
      </c>
      <c r="O32" s="151" t="s">
        <v>207</v>
      </c>
      <c r="P32" s="54"/>
      <c r="Q32" s="138" t="s">
        <v>207</v>
      </c>
      <c r="R32" s="54"/>
      <c r="S32" s="138" t="s">
        <v>207</v>
      </c>
      <c r="T32" s="54"/>
      <c r="U32" s="138" t="s">
        <v>207</v>
      </c>
      <c r="V32" s="54"/>
      <c r="W32" s="138" t="s">
        <v>207</v>
      </c>
      <c r="X32" s="54"/>
      <c r="Y32" s="138" t="s">
        <v>207</v>
      </c>
      <c r="Z32" s="177" t="str">
        <f t="shared" si="1"/>
        <v>C</v>
      </c>
      <c r="AA32" s="297" t="str">
        <f t="shared" si="0"/>
        <v>UTILIZOU O PDA CORRETAMENTE</v>
      </c>
      <c r="AB32" s="90" t="s">
        <v>207</v>
      </c>
      <c r="AC32" s="298" t="s">
        <v>36</v>
      </c>
      <c r="AD32" s="291" t="str">
        <f t="shared" si="2"/>
        <v>SÃO PAULO</v>
      </c>
      <c r="AE32" s="299" t="s">
        <v>79</v>
      </c>
    </row>
    <row r="33" spans="1:31" s="214" customFormat="1" ht="30" customHeight="1">
      <c r="A33" s="197" t="s">
        <v>198</v>
      </c>
      <c r="B33" s="212">
        <v>2692279100</v>
      </c>
      <c r="C33" s="197" t="s">
        <v>146</v>
      </c>
      <c r="D33" s="197" t="s">
        <v>79</v>
      </c>
      <c r="E33" s="197" t="s">
        <v>35</v>
      </c>
      <c r="F33" s="197" t="s">
        <v>1955</v>
      </c>
      <c r="G33" s="197">
        <v>260</v>
      </c>
      <c r="H33" s="197" t="s">
        <v>205</v>
      </c>
      <c r="I33" s="197" t="s">
        <v>1956</v>
      </c>
      <c r="J33" s="205" t="s">
        <v>1915</v>
      </c>
      <c r="K33" s="197" t="s">
        <v>200</v>
      </c>
      <c r="L33" s="203">
        <v>46146.686111111114</v>
      </c>
      <c r="M33" s="203">
        <v>46146.689583333333</v>
      </c>
      <c r="N33" s="197" t="s">
        <v>1916</v>
      </c>
      <c r="O33" s="151" t="s">
        <v>207</v>
      </c>
      <c r="P33" s="54"/>
      <c r="Q33" s="138" t="s">
        <v>207</v>
      </c>
      <c r="R33" s="54"/>
      <c r="S33" s="138" t="s">
        <v>207</v>
      </c>
      <c r="T33" s="54"/>
      <c r="U33" s="138" t="s">
        <v>207</v>
      </c>
      <c r="V33" s="54"/>
      <c r="W33" s="138" t="s">
        <v>207</v>
      </c>
      <c r="X33" s="54"/>
      <c r="Y33" s="138" t="s">
        <v>207</v>
      </c>
      <c r="Z33" s="177" t="str">
        <f t="shared" si="1"/>
        <v>C</v>
      </c>
      <c r="AA33" s="297" t="str">
        <f t="shared" si="0"/>
        <v>UTILIZOU O PDA CORRETAMENTE</v>
      </c>
      <c r="AB33" s="90" t="s">
        <v>207</v>
      </c>
      <c r="AC33" s="298" t="s">
        <v>36</v>
      </c>
      <c r="AD33" s="291" t="str">
        <f t="shared" si="2"/>
        <v>SÃO PAULO</v>
      </c>
      <c r="AE33" s="299" t="s">
        <v>79</v>
      </c>
    </row>
    <row r="34" spans="1:31" s="214" customFormat="1" ht="30" customHeight="1">
      <c r="A34" s="197" t="s">
        <v>198</v>
      </c>
      <c r="B34" s="212">
        <v>2692281901</v>
      </c>
      <c r="C34" s="197" t="s">
        <v>147</v>
      </c>
      <c r="D34" s="197" t="s">
        <v>79</v>
      </c>
      <c r="E34" s="197" t="s">
        <v>35</v>
      </c>
      <c r="F34" s="197" t="s">
        <v>1957</v>
      </c>
      <c r="G34" s="197">
        <v>1159</v>
      </c>
      <c r="H34" s="197" t="s">
        <v>208</v>
      </c>
      <c r="I34" s="197" t="s">
        <v>225</v>
      </c>
      <c r="J34" s="205" t="s">
        <v>1915</v>
      </c>
      <c r="K34" s="197"/>
      <c r="L34" s="203">
        <v>46146.537499999999</v>
      </c>
      <c r="M34" s="203">
        <v>46146.541666666664</v>
      </c>
      <c r="N34" s="197" t="s">
        <v>1916</v>
      </c>
      <c r="O34" s="151" t="s">
        <v>207</v>
      </c>
      <c r="P34" s="54"/>
      <c r="Q34" s="138" t="s">
        <v>207</v>
      </c>
      <c r="R34" s="54"/>
      <c r="S34" s="138" t="s">
        <v>207</v>
      </c>
      <c r="T34" s="54"/>
      <c r="U34" s="138" t="s">
        <v>207</v>
      </c>
      <c r="V34" s="54"/>
      <c r="W34" s="138" t="s">
        <v>207</v>
      </c>
      <c r="X34" s="54"/>
      <c r="Y34" s="138" t="s">
        <v>207</v>
      </c>
      <c r="Z34" s="177" t="str">
        <f t="shared" si="1"/>
        <v>C</v>
      </c>
      <c r="AA34" s="297" t="str">
        <f t="shared" si="0"/>
        <v>UTILIZOU O PDA CORRETAMENTE</v>
      </c>
      <c r="AB34" s="90" t="s">
        <v>207</v>
      </c>
      <c r="AC34" s="298" t="s">
        <v>36</v>
      </c>
      <c r="AD34" s="291" t="str">
        <f t="shared" si="2"/>
        <v>SÃO PAULO</v>
      </c>
      <c r="AE34" s="299" t="s">
        <v>79</v>
      </c>
    </row>
    <row r="35" spans="1:31" s="214" customFormat="1" ht="30" customHeight="1">
      <c r="A35" s="197" t="s">
        <v>198</v>
      </c>
      <c r="B35" s="212">
        <v>2618428670</v>
      </c>
      <c r="C35" s="197" t="s">
        <v>144</v>
      </c>
      <c r="D35" s="197" t="s">
        <v>140</v>
      </c>
      <c r="E35" s="197" t="s">
        <v>35</v>
      </c>
      <c r="F35" s="197" t="s">
        <v>1958</v>
      </c>
      <c r="G35" s="197">
        <v>254</v>
      </c>
      <c r="H35" s="197" t="s">
        <v>200</v>
      </c>
      <c r="I35" s="197" t="s">
        <v>1959</v>
      </c>
      <c r="J35" s="205" t="s">
        <v>1954</v>
      </c>
      <c r="K35" s="197" t="s">
        <v>200</v>
      </c>
      <c r="L35" s="203">
        <v>46145.316666666666</v>
      </c>
      <c r="M35" s="203">
        <v>46145.316666666666</v>
      </c>
      <c r="N35" s="197" t="s">
        <v>1922</v>
      </c>
      <c r="O35" s="151" t="s">
        <v>207</v>
      </c>
      <c r="P35" s="54"/>
      <c r="Q35" s="138" t="s">
        <v>214</v>
      </c>
      <c r="R35" s="54"/>
      <c r="S35" s="138" t="s">
        <v>214</v>
      </c>
      <c r="T35" s="54"/>
      <c r="U35" s="138" t="s">
        <v>214</v>
      </c>
      <c r="V35" s="54"/>
      <c r="W35" s="138" t="s">
        <v>214</v>
      </c>
      <c r="X35" s="54"/>
      <c r="Y35" s="138" t="s">
        <v>207</v>
      </c>
      <c r="Z35" s="177" t="str">
        <f t="shared" si="1"/>
        <v>NC</v>
      </c>
      <c r="AA35" s="297" t="str">
        <f t="shared" si="0"/>
        <v>UTILIZOU O PDA CORRETAMENTE. NÃO HÁ FOTOS DE TODAS AS ETAPAS</v>
      </c>
      <c r="AB35" s="90" t="s">
        <v>207</v>
      </c>
      <c r="AC35" s="298" t="s">
        <v>36</v>
      </c>
      <c r="AD35" s="291" t="str">
        <f t="shared" si="2"/>
        <v>SÃO PAULO</v>
      </c>
      <c r="AE35" s="299" t="s">
        <v>79</v>
      </c>
    </row>
    <row r="36" spans="1:31" s="214" customFormat="1" ht="30" customHeight="1">
      <c r="A36" s="197" t="s">
        <v>198</v>
      </c>
      <c r="B36" s="212">
        <v>2692272203</v>
      </c>
      <c r="C36" s="197" t="s">
        <v>143</v>
      </c>
      <c r="D36" s="197" t="s">
        <v>79</v>
      </c>
      <c r="E36" s="197" t="s">
        <v>35</v>
      </c>
      <c r="F36" s="197" t="s">
        <v>1458</v>
      </c>
      <c r="G36" s="197">
        <v>286</v>
      </c>
      <c r="H36" s="197" t="s">
        <v>205</v>
      </c>
      <c r="I36" s="197" t="s">
        <v>256</v>
      </c>
      <c r="J36" s="205" t="s">
        <v>1915</v>
      </c>
      <c r="K36" s="197" t="s">
        <v>200</v>
      </c>
      <c r="L36" s="203">
        <v>46145.277777777781</v>
      </c>
      <c r="M36" s="203">
        <v>46145.279861111114</v>
      </c>
      <c r="N36" s="197" t="s">
        <v>1922</v>
      </c>
      <c r="O36" s="151" t="s">
        <v>207</v>
      </c>
      <c r="P36" s="54"/>
      <c r="Q36" s="138" t="s">
        <v>214</v>
      </c>
      <c r="R36" s="54"/>
      <c r="S36" s="138" t="s">
        <v>214</v>
      </c>
      <c r="T36" s="54"/>
      <c r="U36" s="138" t="s">
        <v>214</v>
      </c>
      <c r="V36" s="54"/>
      <c r="W36" s="138" t="s">
        <v>214</v>
      </c>
      <c r="X36" s="54"/>
      <c r="Y36" s="138" t="s">
        <v>207</v>
      </c>
      <c r="Z36" s="177" t="str">
        <f t="shared" si="1"/>
        <v>NC</v>
      </c>
      <c r="AA36" s="297" t="str">
        <f t="shared" si="0"/>
        <v>UTILIZOU O PDA CORRETAMENTE. NÃO HÁ FOTOS DE TODAS AS ETAPAS</v>
      </c>
      <c r="AB36" s="90" t="s">
        <v>207</v>
      </c>
      <c r="AC36" s="298" t="s">
        <v>36</v>
      </c>
      <c r="AD36" s="291" t="str">
        <f t="shared" si="2"/>
        <v>SÃO PAULO</v>
      </c>
      <c r="AE36" s="299" t="s">
        <v>79</v>
      </c>
    </row>
    <row r="37" spans="1:31" s="214" customFormat="1" ht="30" customHeight="1">
      <c r="A37" s="197" t="s">
        <v>198</v>
      </c>
      <c r="B37" s="212">
        <v>2692268810</v>
      </c>
      <c r="C37" s="197" t="s">
        <v>143</v>
      </c>
      <c r="D37" s="197" t="s">
        <v>79</v>
      </c>
      <c r="E37" s="197" t="s">
        <v>35</v>
      </c>
      <c r="F37" s="197" t="s">
        <v>466</v>
      </c>
      <c r="G37" s="197">
        <v>56</v>
      </c>
      <c r="H37" s="197" t="s">
        <v>257</v>
      </c>
      <c r="I37" s="197" t="s">
        <v>467</v>
      </c>
      <c r="J37" s="205" t="s">
        <v>1943</v>
      </c>
      <c r="K37" s="197"/>
      <c r="L37" s="203">
        <v>46146.62777777778</v>
      </c>
      <c r="M37" s="203">
        <v>46146.636805555558</v>
      </c>
      <c r="N37" s="197" t="s">
        <v>1933</v>
      </c>
      <c r="O37" s="151" t="s">
        <v>207</v>
      </c>
      <c r="P37" s="54"/>
      <c r="Q37" s="138" t="s">
        <v>207</v>
      </c>
      <c r="R37" s="54"/>
      <c r="S37" s="138" t="s">
        <v>207</v>
      </c>
      <c r="T37" s="54"/>
      <c r="U37" s="138" t="s">
        <v>207</v>
      </c>
      <c r="V37" s="54"/>
      <c r="W37" s="138" t="s">
        <v>207</v>
      </c>
      <c r="X37" s="54"/>
      <c r="Y37" s="138" t="s">
        <v>207</v>
      </c>
      <c r="Z37" s="177" t="str">
        <f t="shared" si="1"/>
        <v>C</v>
      </c>
      <c r="AA37" s="297" t="str">
        <f t="shared" si="0"/>
        <v>UTILIZOU O PDA CORRETAMENTE</v>
      </c>
      <c r="AB37" s="90" t="s">
        <v>207</v>
      </c>
      <c r="AC37" s="298" t="s">
        <v>36</v>
      </c>
      <c r="AD37" s="291" t="str">
        <f t="shared" si="2"/>
        <v>SÃO PAULO</v>
      </c>
      <c r="AE37" s="299" t="s">
        <v>79</v>
      </c>
    </row>
    <row r="38" spans="1:31" s="214" customFormat="1" ht="30" customHeight="1">
      <c r="A38" s="197" t="s">
        <v>198</v>
      </c>
      <c r="B38" s="212">
        <v>2618439473</v>
      </c>
      <c r="C38" s="197" t="s">
        <v>1923</v>
      </c>
      <c r="D38" s="197" t="s">
        <v>79</v>
      </c>
      <c r="E38" s="197" t="s">
        <v>35</v>
      </c>
      <c r="F38" s="197" t="s">
        <v>360</v>
      </c>
      <c r="G38" s="197">
        <v>4</v>
      </c>
      <c r="H38" s="197" t="s">
        <v>208</v>
      </c>
      <c r="I38" s="197" t="s">
        <v>1960</v>
      </c>
      <c r="J38" s="205" t="s">
        <v>1932</v>
      </c>
      <c r="K38" s="197" t="s">
        <v>200</v>
      </c>
      <c r="L38" s="203">
        <v>46146.595138888886</v>
      </c>
      <c r="M38" s="203">
        <v>46146.611805555556</v>
      </c>
      <c r="N38" s="197" t="s">
        <v>1933</v>
      </c>
      <c r="O38" s="151" t="s">
        <v>207</v>
      </c>
      <c r="P38" s="54"/>
      <c r="Q38" s="138" t="s">
        <v>207</v>
      </c>
      <c r="R38" s="54"/>
      <c r="S38" s="138" t="s">
        <v>207</v>
      </c>
      <c r="T38" s="54"/>
      <c r="U38" s="138" t="s">
        <v>214</v>
      </c>
      <c r="V38" s="54"/>
      <c r="W38" s="138" t="s">
        <v>207</v>
      </c>
      <c r="X38" s="54"/>
      <c r="Y38" s="138" t="s">
        <v>207</v>
      </c>
      <c r="Z38" s="177" t="str">
        <f t="shared" si="1"/>
        <v>NC</v>
      </c>
      <c r="AA38" s="297" t="str">
        <f t="shared" si="0"/>
        <v>UTILIZOU O PDA CORRETAMENTE. NÃO HÁ FOTOS DE TODAS AS ETAPAS</v>
      </c>
      <c r="AB38" s="90"/>
      <c r="AC38" s="298" t="s">
        <v>36</v>
      </c>
      <c r="AD38" s="291" t="str">
        <f t="shared" si="2"/>
        <v>SÃO PAULO</v>
      </c>
      <c r="AE38" s="299" t="s">
        <v>79</v>
      </c>
    </row>
    <row r="39" spans="1:31" s="214" customFormat="1" ht="30" customHeight="1">
      <c r="A39" s="197" t="s">
        <v>198</v>
      </c>
      <c r="B39" s="212">
        <v>2618445587</v>
      </c>
      <c r="C39" s="197" t="s">
        <v>144</v>
      </c>
      <c r="D39" s="197" t="s">
        <v>140</v>
      </c>
      <c r="E39" s="197" t="s">
        <v>35</v>
      </c>
      <c r="F39" s="197" t="s">
        <v>1961</v>
      </c>
      <c r="G39" s="197">
        <v>12</v>
      </c>
      <c r="H39" s="197" t="s">
        <v>208</v>
      </c>
      <c r="I39" s="197" t="s">
        <v>1935</v>
      </c>
      <c r="J39" s="205" t="s">
        <v>1954</v>
      </c>
      <c r="K39" s="197"/>
      <c r="L39" s="203">
        <v>46146.567361111112</v>
      </c>
      <c r="M39" s="203">
        <v>46146.570138888892</v>
      </c>
      <c r="N39" s="197" t="s">
        <v>1933</v>
      </c>
      <c r="O39" s="151" t="s">
        <v>207</v>
      </c>
      <c r="P39" s="54"/>
      <c r="Q39" s="138" t="s">
        <v>207</v>
      </c>
      <c r="R39" s="54"/>
      <c r="S39" s="138" t="s">
        <v>207</v>
      </c>
      <c r="T39" s="54"/>
      <c r="U39" s="138" t="s">
        <v>214</v>
      </c>
      <c r="V39" s="54"/>
      <c r="W39" s="138" t="s">
        <v>207</v>
      </c>
      <c r="X39" s="54"/>
      <c r="Y39" s="138" t="s">
        <v>207</v>
      </c>
      <c r="Z39" s="177" t="str">
        <f t="shared" si="1"/>
        <v>NC</v>
      </c>
      <c r="AA39" s="297" t="str">
        <f t="shared" si="0"/>
        <v>UTILIZOU O PDA CORRETAMENTE. NÃO HÁ FOTOS DE TODAS AS ETAPAS</v>
      </c>
      <c r="AB39" s="90" t="s">
        <v>207</v>
      </c>
      <c r="AC39" s="298" t="s">
        <v>36</v>
      </c>
      <c r="AD39" s="291" t="str">
        <f t="shared" si="2"/>
        <v>SÃO PAULO</v>
      </c>
      <c r="AE39" s="299" t="s">
        <v>79</v>
      </c>
    </row>
    <row r="40" spans="1:31" s="214" customFormat="1" ht="30" customHeight="1">
      <c r="A40" s="197" t="s">
        <v>198</v>
      </c>
      <c r="B40" s="212">
        <v>2618446352</v>
      </c>
      <c r="C40" s="197" t="s">
        <v>144</v>
      </c>
      <c r="D40" s="197" t="s">
        <v>140</v>
      </c>
      <c r="E40" s="197" t="s">
        <v>35</v>
      </c>
      <c r="F40" s="197" t="s">
        <v>1961</v>
      </c>
      <c r="G40" s="197">
        <v>12</v>
      </c>
      <c r="H40" s="197" t="s">
        <v>205</v>
      </c>
      <c r="I40" s="197" t="s">
        <v>1935</v>
      </c>
      <c r="J40" s="205" t="s">
        <v>1954</v>
      </c>
      <c r="K40" s="197" t="s">
        <v>200</v>
      </c>
      <c r="L40" s="203">
        <v>46146.570138888892</v>
      </c>
      <c r="M40" s="203">
        <v>46146.57708333333</v>
      </c>
      <c r="N40" s="197" t="s">
        <v>1933</v>
      </c>
      <c r="O40" s="151" t="s">
        <v>207</v>
      </c>
      <c r="P40" s="54"/>
      <c r="Q40" s="138" t="s">
        <v>207</v>
      </c>
      <c r="R40" s="54"/>
      <c r="S40" s="138" t="s">
        <v>207</v>
      </c>
      <c r="T40" s="54"/>
      <c r="U40" s="138" t="s">
        <v>214</v>
      </c>
      <c r="V40" s="54"/>
      <c r="W40" s="138" t="s">
        <v>207</v>
      </c>
      <c r="X40" s="54"/>
      <c r="Y40" s="138" t="s">
        <v>207</v>
      </c>
      <c r="Z40" s="177" t="str">
        <f t="shared" si="1"/>
        <v>NC</v>
      </c>
      <c r="AA40" s="297" t="str">
        <f t="shared" si="0"/>
        <v>UTILIZOU O PDA CORRETAMENTE. NÃO HÁ FOTOS DE TODAS AS ETAPAS</v>
      </c>
      <c r="AB40" s="90" t="s">
        <v>207</v>
      </c>
      <c r="AC40" s="298" t="s">
        <v>36</v>
      </c>
      <c r="AD40" s="291" t="str">
        <f t="shared" si="2"/>
        <v>SÃO PAULO</v>
      </c>
      <c r="AE40" s="299" t="s">
        <v>79</v>
      </c>
    </row>
    <row r="41" spans="1:31" s="214" customFormat="1" ht="30" customHeight="1">
      <c r="A41" s="197" t="s">
        <v>198</v>
      </c>
      <c r="B41" s="212">
        <v>2618451435</v>
      </c>
      <c r="C41" s="197" t="s">
        <v>144</v>
      </c>
      <c r="D41" s="197" t="s">
        <v>140</v>
      </c>
      <c r="E41" s="197" t="s">
        <v>35</v>
      </c>
      <c r="F41" s="197" t="s">
        <v>1962</v>
      </c>
      <c r="G41" s="197">
        <v>176</v>
      </c>
      <c r="H41" s="197" t="s">
        <v>205</v>
      </c>
      <c r="I41" s="197" t="s">
        <v>497</v>
      </c>
      <c r="J41" s="205" t="s">
        <v>1954</v>
      </c>
      <c r="K41" s="197" t="s">
        <v>200</v>
      </c>
      <c r="L41" s="203">
        <v>46146.57708333333</v>
      </c>
      <c r="M41" s="203">
        <v>46146.581944444442</v>
      </c>
      <c r="N41" s="197" t="s">
        <v>1925</v>
      </c>
      <c r="O41" s="151" t="s">
        <v>207</v>
      </c>
      <c r="P41" s="54"/>
      <c r="Q41" s="138" t="s">
        <v>207</v>
      </c>
      <c r="R41" s="54"/>
      <c r="S41" s="138" t="s">
        <v>214</v>
      </c>
      <c r="T41" s="54"/>
      <c r="U41" s="138" t="s">
        <v>214</v>
      </c>
      <c r="V41" s="54"/>
      <c r="W41" s="138" t="s">
        <v>214</v>
      </c>
      <c r="X41" s="54"/>
      <c r="Y41" s="138" t="s">
        <v>207</v>
      </c>
      <c r="Z41" s="177" t="str">
        <f t="shared" si="1"/>
        <v>NC</v>
      </c>
      <c r="AA41" s="297" t="str">
        <f t="shared" si="0"/>
        <v>UTILIZOU O PDA CORRETAMENTE. NÃO HÁ FOTOS DE TODAS AS ETAPAS</v>
      </c>
      <c r="AB41" s="90" t="s">
        <v>207</v>
      </c>
      <c r="AC41" s="298" t="s">
        <v>36</v>
      </c>
      <c r="AD41" s="291" t="str">
        <f t="shared" si="2"/>
        <v>SÃO PAULO</v>
      </c>
      <c r="AE41" s="299" t="s">
        <v>79</v>
      </c>
    </row>
    <row r="42" spans="1:31" s="214" customFormat="1" ht="30" customHeight="1">
      <c r="A42" s="197" t="s">
        <v>198</v>
      </c>
      <c r="B42" s="212">
        <v>2618437000</v>
      </c>
      <c r="C42" s="197" t="s">
        <v>143</v>
      </c>
      <c r="D42" s="197" t="s">
        <v>79</v>
      </c>
      <c r="E42" s="197" t="s">
        <v>35</v>
      </c>
      <c r="F42" s="197" t="s">
        <v>1963</v>
      </c>
      <c r="G42" s="197">
        <v>60</v>
      </c>
      <c r="H42" s="197" t="s">
        <v>200</v>
      </c>
      <c r="I42" s="197" t="s">
        <v>402</v>
      </c>
      <c r="J42" s="205" t="s">
        <v>1915</v>
      </c>
      <c r="K42" s="197" t="s">
        <v>200</v>
      </c>
      <c r="L42" s="203">
        <v>46146.644444444442</v>
      </c>
      <c r="M42" s="203">
        <v>46146.651388888888</v>
      </c>
      <c r="N42" s="197" t="s">
        <v>1919</v>
      </c>
      <c r="O42" s="151" t="s">
        <v>207</v>
      </c>
      <c r="P42" s="54"/>
      <c r="Q42" s="138" t="s">
        <v>207</v>
      </c>
      <c r="R42" s="54"/>
      <c r="S42" s="138" t="s">
        <v>207</v>
      </c>
      <c r="T42" s="54"/>
      <c r="U42" s="138" t="s">
        <v>214</v>
      </c>
      <c r="V42" s="54"/>
      <c r="W42" s="138" t="s">
        <v>207</v>
      </c>
      <c r="X42" s="54"/>
      <c r="Y42" s="138" t="s">
        <v>207</v>
      </c>
      <c r="Z42" s="177" t="str">
        <f t="shared" si="1"/>
        <v>NC</v>
      </c>
      <c r="AA42" s="297" t="str">
        <f t="shared" si="0"/>
        <v>UTILIZOU O PDA CORRETAMENTE. NÃO HÁ FOTOS DE TODAS AS ETAPAS</v>
      </c>
      <c r="AB42" s="90" t="s">
        <v>207</v>
      </c>
      <c r="AC42" s="298" t="s">
        <v>36</v>
      </c>
      <c r="AD42" s="291" t="str">
        <f t="shared" si="2"/>
        <v>SÃO PAULO</v>
      </c>
      <c r="AE42" s="299" t="s">
        <v>79</v>
      </c>
    </row>
    <row r="43" spans="1:31" s="214" customFormat="1" ht="30" customHeight="1">
      <c r="A43" s="197" t="s">
        <v>198</v>
      </c>
      <c r="B43" s="212">
        <v>2692264083</v>
      </c>
      <c r="C43" s="197" t="s">
        <v>143</v>
      </c>
      <c r="D43" s="197" t="s">
        <v>79</v>
      </c>
      <c r="E43" s="197" t="s">
        <v>35</v>
      </c>
      <c r="F43" s="197" t="s">
        <v>1964</v>
      </c>
      <c r="G43" s="197">
        <v>370</v>
      </c>
      <c r="H43" s="197" t="s">
        <v>208</v>
      </c>
      <c r="I43" s="197" t="s">
        <v>402</v>
      </c>
      <c r="J43" s="205" t="s">
        <v>1915</v>
      </c>
      <c r="K43" s="197"/>
      <c r="L43" s="203">
        <v>46146.638194444444</v>
      </c>
      <c r="M43" s="203">
        <v>46146.63958333333</v>
      </c>
      <c r="N43" s="197" t="s">
        <v>1919</v>
      </c>
      <c r="O43" s="151" t="s">
        <v>207</v>
      </c>
      <c r="P43" s="54"/>
      <c r="Q43" s="138" t="s">
        <v>214</v>
      </c>
      <c r="R43" s="54"/>
      <c r="S43" s="138" t="s">
        <v>214</v>
      </c>
      <c r="T43" s="54"/>
      <c r="U43" s="138" t="s">
        <v>207</v>
      </c>
      <c r="V43" s="54"/>
      <c r="W43" s="138" t="s">
        <v>207</v>
      </c>
      <c r="X43" s="54"/>
      <c r="Y43" s="138" t="s">
        <v>207</v>
      </c>
      <c r="Z43" s="177" t="str">
        <f t="shared" si="1"/>
        <v>NC</v>
      </c>
      <c r="AA43" s="297" t="str">
        <f t="shared" si="0"/>
        <v>UTILIZOU O PDA CORRETAMENTE. NÃO HÁ FOTOS DE TODAS AS ETAPAS</v>
      </c>
      <c r="AB43" s="90" t="s">
        <v>207</v>
      </c>
      <c r="AC43" s="298" t="s">
        <v>36</v>
      </c>
      <c r="AD43" s="291" t="str">
        <f t="shared" si="2"/>
        <v>SÃO PAULO</v>
      </c>
      <c r="AE43" s="299" t="s">
        <v>79</v>
      </c>
    </row>
    <row r="44" spans="1:31" s="214" customFormat="1" ht="30" customHeight="1">
      <c r="A44" s="197" t="s">
        <v>198</v>
      </c>
      <c r="B44" s="212">
        <v>2618481661</v>
      </c>
      <c r="C44" s="197" t="s">
        <v>151</v>
      </c>
      <c r="D44" s="197" t="s">
        <v>140</v>
      </c>
      <c r="E44" s="197" t="s">
        <v>35</v>
      </c>
      <c r="F44" s="197" t="s">
        <v>1965</v>
      </c>
      <c r="G44" s="197">
        <v>69</v>
      </c>
      <c r="H44" s="197" t="s">
        <v>205</v>
      </c>
      <c r="I44" s="197" t="s">
        <v>218</v>
      </c>
      <c r="J44" s="205" t="s">
        <v>1966</v>
      </c>
      <c r="K44" s="197" t="s">
        <v>200</v>
      </c>
      <c r="L44" s="203">
        <v>46146.618055555555</v>
      </c>
      <c r="M44" s="203">
        <v>46146.618750000001</v>
      </c>
      <c r="N44" s="197" t="s">
        <v>1931</v>
      </c>
      <c r="O44" s="151" t="s">
        <v>77</v>
      </c>
      <c r="P44" s="54"/>
      <c r="Q44" s="138" t="s">
        <v>77</v>
      </c>
      <c r="R44" s="54"/>
      <c r="S44" s="138" t="s">
        <v>77</v>
      </c>
      <c r="T44" s="54"/>
      <c r="U44" s="138" t="s">
        <v>77</v>
      </c>
      <c r="V44" s="54"/>
      <c r="W44" s="138" t="s">
        <v>77</v>
      </c>
      <c r="X44" s="54"/>
      <c r="Y44" s="138" t="s">
        <v>77</v>
      </c>
      <c r="Z44" s="177" t="str">
        <f t="shared" si="1"/>
        <v>NA</v>
      </c>
      <c r="AA44" s="297" t="str">
        <f t="shared" si="0"/>
        <v>NÃO AVALIADO POR FALHA DE SINCRONISMO</v>
      </c>
      <c r="AB44" s="90" t="s">
        <v>207</v>
      </c>
      <c r="AC44" s="298" t="s">
        <v>36</v>
      </c>
      <c r="AD44" s="291" t="str">
        <f t="shared" si="2"/>
        <v>SÃO PAULO</v>
      </c>
      <c r="AE44" s="299" t="s">
        <v>79</v>
      </c>
    </row>
    <row r="45" spans="1:31" s="214" customFormat="1" ht="30" customHeight="1">
      <c r="A45" s="197" t="s">
        <v>198</v>
      </c>
      <c r="B45" s="212">
        <v>2618501594</v>
      </c>
      <c r="C45" s="197" t="s">
        <v>1923</v>
      </c>
      <c r="D45" s="197" t="s">
        <v>79</v>
      </c>
      <c r="E45" s="197" t="s">
        <v>35</v>
      </c>
      <c r="F45" s="197" t="s">
        <v>1967</v>
      </c>
      <c r="G45" s="197">
        <v>55</v>
      </c>
      <c r="H45" s="197" t="s">
        <v>208</v>
      </c>
      <c r="I45" s="197" t="s">
        <v>281</v>
      </c>
      <c r="J45" s="205" t="s">
        <v>1915</v>
      </c>
      <c r="K45" s="197"/>
      <c r="L45" s="203">
        <v>46146.698611111111</v>
      </c>
      <c r="M45" s="203">
        <v>46146.699305555558</v>
      </c>
      <c r="N45" s="197" t="s">
        <v>1916</v>
      </c>
      <c r="O45" s="151" t="s">
        <v>207</v>
      </c>
      <c r="P45" s="54"/>
      <c r="Q45" s="138" t="s">
        <v>214</v>
      </c>
      <c r="R45" s="54"/>
      <c r="S45" s="138" t="s">
        <v>214</v>
      </c>
      <c r="T45" s="54"/>
      <c r="U45" s="138" t="s">
        <v>214</v>
      </c>
      <c r="V45" s="54"/>
      <c r="W45" s="138" t="s">
        <v>214</v>
      </c>
      <c r="X45" s="54"/>
      <c r="Y45" s="138" t="s">
        <v>215</v>
      </c>
      <c r="Z45" s="177" t="str">
        <f t="shared" si="1"/>
        <v>NC</v>
      </c>
      <c r="AA45" s="297" t="str">
        <f t="shared" si="0"/>
        <v>NÃO UTILIZOU O PDA</v>
      </c>
      <c r="AB45" s="90" t="s">
        <v>207</v>
      </c>
      <c r="AC45" s="298" t="s">
        <v>36</v>
      </c>
      <c r="AD45" s="291" t="str">
        <f t="shared" si="2"/>
        <v>SÃO PAULO</v>
      </c>
      <c r="AE45" s="299" t="s">
        <v>79</v>
      </c>
    </row>
    <row r="46" spans="1:31" s="214" customFormat="1" ht="30" customHeight="1">
      <c r="A46" s="197" t="s">
        <v>198</v>
      </c>
      <c r="B46" s="212">
        <v>2618500642</v>
      </c>
      <c r="C46" s="197" t="s">
        <v>1923</v>
      </c>
      <c r="D46" s="197" t="s">
        <v>79</v>
      </c>
      <c r="E46" s="197" t="s">
        <v>35</v>
      </c>
      <c r="F46" s="197" t="s">
        <v>1968</v>
      </c>
      <c r="G46" s="197">
        <v>148</v>
      </c>
      <c r="H46" s="197" t="s">
        <v>205</v>
      </c>
      <c r="I46" s="197" t="s">
        <v>220</v>
      </c>
      <c r="J46" s="205" t="s">
        <v>1915</v>
      </c>
      <c r="K46" s="197" t="s">
        <v>200</v>
      </c>
      <c r="L46" s="203">
        <v>46146.699305555558</v>
      </c>
      <c r="M46" s="203">
        <v>46146.7</v>
      </c>
      <c r="N46" s="197" t="s">
        <v>1916</v>
      </c>
      <c r="O46" s="151" t="s">
        <v>214</v>
      </c>
      <c r="P46" s="54"/>
      <c r="Q46" s="138" t="s">
        <v>214</v>
      </c>
      <c r="R46" s="54"/>
      <c r="S46" s="138" t="s">
        <v>214</v>
      </c>
      <c r="T46" s="54"/>
      <c r="U46" s="138" t="s">
        <v>214</v>
      </c>
      <c r="V46" s="54"/>
      <c r="W46" s="138" t="s">
        <v>214</v>
      </c>
      <c r="X46" s="57"/>
      <c r="Y46" s="138" t="s">
        <v>215</v>
      </c>
      <c r="Z46" s="177" t="str">
        <f t="shared" si="1"/>
        <v>NC</v>
      </c>
      <c r="AA46" s="297" t="str">
        <f t="shared" si="0"/>
        <v>NÃO UTILIZOU O PDA</v>
      </c>
      <c r="AB46" s="90" t="s">
        <v>207</v>
      </c>
      <c r="AC46" s="298" t="s">
        <v>36</v>
      </c>
      <c r="AD46" s="291" t="str">
        <f t="shared" si="2"/>
        <v>SÃO PAULO</v>
      </c>
      <c r="AE46" s="299" t="s">
        <v>79</v>
      </c>
    </row>
    <row r="47" spans="1:31" s="214" customFormat="1" ht="30" customHeight="1">
      <c r="A47" s="197" t="s">
        <v>198</v>
      </c>
      <c r="B47" s="212">
        <v>2618494299</v>
      </c>
      <c r="C47" s="197" t="s">
        <v>1923</v>
      </c>
      <c r="D47" s="197" t="s">
        <v>79</v>
      </c>
      <c r="E47" s="197" t="s">
        <v>35</v>
      </c>
      <c r="F47" s="197" t="s">
        <v>1969</v>
      </c>
      <c r="G47" s="197">
        <v>23</v>
      </c>
      <c r="H47" s="197" t="s">
        <v>255</v>
      </c>
      <c r="I47" s="197" t="s">
        <v>305</v>
      </c>
      <c r="J47" s="205" t="s">
        <v>1915</v>
      </c>
      <c r="K47" s="197" t="s">
        <v>1970</v>
      </c>
      <c r="L47" s="203">
        <v>46146.607638888891</v>
      </c>
      <c r="M47" s="203">
        <v>46146.609027777777</v>
      </c>
      <c r="N47" s="197" t="s">
        <v>1925</v>
      </c>
      <c r="O47" s="151" t="s">
        <v>214</v>
      </c>
      <c r="P47" s="54"/>
      <c r="Q47" s="138" t="s">
        <v>214</v>
      </c>
      <c r="R47" s="54"/>
      <c r="S47" s="138" t="s">
        <v>214</v>
      </c>
      <c r="T47" s="54"/>
      <c r="U47" s="138" t="s">
        <v>214</v>
      </c>
      <c r="V47" s="54"/>
      <c r="W47" s="138" t="s">
        <v>214</v>
      </c>
      <c r="X47" s="57"/>
      <c r="Y47" s="138" t="s">
        <v>215</v>
      </c>
      <c r="Z47" s="177" t="str">
        <f t="shared" si="1"/>
        <v>NC</v>
      </c>
      <c r="AA47" s="297" t="str">
        <f t="shared" si="0"/>
        <v>NÃO UTILIZOU O PDA</v>
      </c>
      <c r="AB47" s="90" t="s">
        <v>207</v>
      </c>
      <c r="AC47" s="298" t="s">
        <v>36</v>
      </c>
      <c r="AD47" s="291" t="str">
        <f t="shared" si="2"/>
        <v>SÃO PAULO</v>
      </c>
      <c r="AE47" s="299" t="s">
        <v>79</v>
      </c>
    </row>
    <row r="48" spans="1:31" s="214" customFormat="1" ht="30" customHeight="1">
      <c r="A48" s="197" t="s">
        <v>198</v>
      </c>
      <c r="B48" s="212">
        <v>2618493792</v>
      </c>
      <c r="C48" s="197" t="s">
        <v>1923</v>
      </c>
      <c r="D48" s="197" t="s">
        <v>79</v>
      </c>
      <c r="E48" s="197" t="s">
        <v>35</v>
      </c>
      <c r="F48" s="197" t="s">
        <v>1969</v>
      </c>
      <c r="G48" s="197">
        <v>23</v>
      </c>
      <c r="H48" s="197" t="s">
        <v>205</v>
      </c>
      <c r="I48" s="197" t="s">
        <v>305</v>
      </c>
      <c r="J48" s="205" t="s">
        <v>1915</v>
      </c>
      <c r="K48" s="197" t="s">
        <v>1970</v>
      </c>
      <c r="L48" s="203">
        <v>46146.606249999997</v>
      </c>
      <c r="M48" s="203">
        <v>46146.607638888891</v>
      </c>
      <c r="N48" s="197" t="s">
        <v>1925</v>
      </c>
      <c r="O48" s="151" t="s">
        <v>214</v>
      </c>
      <c r="P48" s="54"/>
      <c r="Q48" s="138" t="s">
        <v>214</v>
      </c>
      <c r="R48" s="54"/>
      <c r="S48" s="138" t="s">
        <v>214</v>
      </c>
      <c r="T48" s="54"/>
      <c r="U48" s="138" t="s">
        <v>214</v>
      </c>
      <c r="V48" s="54"/>
      <c r="W48" s="138" t="s">
        <v>214</v>
      </c>
      <c r="X48" s="54"/>
      <c r="Y48" s="138" t="s">
        <v>215</v>
      </c>
      <c r="Z48" s="177" t="str">
        <f t="shared" si="1"/>
        <v>NC</v>
      </c>
      <c r="AA48" s="297" t="str">
        <f t="shared" si="0"/>
        <v>NÃO UTILIZOU O PDA</v>
      </c>
      <c r="AB48" s="90" t="s">
        <v>207</v>
      </c>
      <c r="AC48" s="298" t="s">
        <v>36</v>
      </c>
      <c r="AD48" s="291" t="str">
        <f t="shared" si="2"/>
        <v>SÃO PAULO</v>
      </c>
      <c r="AE48" s="299" t="s">
        <v>79</v>
      </c>
    </row>
    <row r="49" spans="1:31" s="214" customFormat="1" ht="30" customHeight="1">
      <c r="A49" s="197" t="s">
        <v>198</v>
      </c>
      <c r="B49" s="212">
        <v>2618494634</v>
      </c>
      <c r="C49" s="197" t="s">
        <v>1923</v>
      </c>
      <c r="D49" s="197" t="s">
        <v>79</v>
      </c>
      <c r="E49" s="197" t="s">
        <v>35</v>
      </c>
      <c r="F49" s="197" t="s">
        <v>1969</v>
      </c>
      <c r="G49" s="197">
        <v>23</v>
      </c>
      <c r="H49" s="197" t="s">
        <v>257</v>
      </c>
      <c r="I49" s="197" t="s">
        <v>305</v>
      </c>
      <c r="J49" s="205" t="s">
        <v>1915</v>
      </c>
      <c r="K49" s="197" t="s">
        <v>1971</v>
      </c>
      <c r="L49" s="203">
        <v>46146.609722222223</v>
      </c>
      <c r="M49" s="203">
        <v>46146.611111111109</v>
      </c>
      <c r="N49" s="197" t="s">
        <v>1925</v>
      </c>
      <c r="O49" s="151" t="s">
        <v>214</v>
      </c>
      <c r="P49" s="54"/>
      <c r="Q49" s="138" t="s">
        <v>214</v>
      </c>
      <c r="R49" s="54"/>
      <c r="S49" s="138" t="s">
        <v>214</v>
      </c>
      <c r="T49" s="54"/>
      <c r="U49" s="138" t="s">
        <v>214</v>
      </c>
      <c r="V49" s="54"/>
      <c r="W49" s="138" t="s">
        <v>214</v>
      </c>
      <c r="X49" s="54"/>
      <c r="Y49" s="138" t="s">
        <v>215</v>
      </c>
      <c r="Z49" s="177" t="str">
        <f t="shared" si="1"/>
        <v>NC</v>
      </c>
      <c r="AA49" s="297" t="str">
        <f t="shared" si="0"/>
        <v>NÃO UTILIZOU O PDA</v>
      </c>
      <c r="AB49" s="90" t="s">
        <v>207</v>
      </c>
      <c r="AC49" s="298" t="s">
        <v>36</v>
      </c>
      <c r="AD49" s="291" t="str">
        <f t="shared" si="2"/>
        <v>SÃO PAULO</v>
      </c>
      <c r="AE49" s="299" t="s">
        <v>79</v>
      </c>
    </row>
    <row r="50" spans="1:31" s="214" customFormat="1" ht="30" customHeight="1">
      <c r="A50" s="197" t="s">
        <v>198</v>
      </c>
      <c r="B50" s="212">
        <v>2618498055</v>
      </c>
      <c r="C50" s="197" t="s">
        <v>1923</v>
      </c>
      <c r="D50" s="197" t="s">
        <v>79</v>
      </c>
      <c r="E50" s="197" t="s">
        <v>35</v>
      </c>
      <c r="F50" s="197" t="s">
        <v>1972</v>
      </c>
      <c r="G50" s="197">
        <v>15</v>
      </c>
      <c r="H50" s="197" t="s">
        <v>208</v>
      </c>
      <c r="I50" s="197" t="s">
        <v>305</v>
      </c>
      <c r="J50" s="205" t="s">
        <v>1915</v>
      </c>
      <c r="K50" s="197" t="s">
        <v>1970</v>
      </c>
      <c r="L50" s="203">
        <v>46146.604166666664</v>
      </c>
      <c r="M50" s="203">
        <v>46146.605555555558</v>
      </c>
      <c r="N50" s="197" t="s">
        <v>1925</v>
      </c>
      <c r="O50" s="151" t="s">
        <v>214</v>
      </c>
      <c r="P50" s="54"/>
      <c r="Q50" s="138" t="s">
        <v>214</v>
      </c>
      <c r="R50" s="54"/>
      <c r="S50" s="138" t="s">
        <v>214</v>
      </c>
      <c r="T50" s="54"/>
      <c r="U50" s="138" t="s">
        <v>214</v>
      </c>
      <c r="V50" s="54"/>
      <c r="W50" s="138" t="s">
        <v>214</v>
      </c>
      <c r="X50" s="54"/>
      <c r="Y50" s="138" t="s">
        <v>215</v>
      </c>
      <c r="Z50" s="177" t="str">
        <f t="shared" si="1"/>
        <v>NC</v>
      </c>
      <c r="AA50" s="297" t="str">
        <f t="shared" si="0"/>
        <v>NÃO UTILIZOU O PDA</v>
      </c>
      <c r="AB50" s="90" t="s">
        <v>207</v>
      </c>
      <c r="AC50" s="298" t="s">
        <v>36</v>
      </c>
      <c r="AD50" s="291" t="str">
        <f t="shared" si="2"/>
        <v>SÃO PAULO</v>
      </c>
      <c r="AE50" s="299" t="s">
        <v>79</v>
      </c>
    </row>
    <row r="51" spans="1:31" s="214" customFormat="1" ht="30" customHeight="1">
      <c r="A51" s="197" t="s">
        <v>198</v>
      </c>
      <c r="B51" s="212">
        <v>2692308804</v>
      </c>
      <c r="C51" s="197" t="s">
        <v>143</v>
      </c>
      <c r="D51" s="197" t="s">
        <v>79</v>
      </c>
      <c r="E51" s="197" t="s">
        <v>35</v>
      </c>
      <c r="F51" s="197" t="s">
        <v>1973</v>
      </c>
      <c r="G51" s="197">
        <v>47</v>
      </c>
      <c r="H51" s="197" t="s">
        <v>208</v>
      </c>
      <c r="I51" s="197" t="s">
        <v>621</v>
      </c>
      <c r="J51" s="205" t="s">
        <v>1915</v>
      </c>
      <c r="K51" s="197"/>
      <c r="L51" s="203">
        <v>46147.502083333333</v>
      </c>
      <c r="M51" s="203">
        <v>46147.508333333331</v>
      </c>
      <c r="N51" s="197" t="s">
        <v>1916</v>
      </c>
      <c r="O51" s="151" t="s">
        <v>207</v>
      </c>
      <c r="P51" s="54"/>
      <c r="Q51" s="138" t="s">
        <v>207</v>
      </c>
      <c r="R51" s="54"/>
      <c r="S51" s="138" t="s">
        <v>207</v>
      </c>
      <c r="T51" s="54"/>
      <c r="U51" s="138" t="s">
        <v>207</v>
      </c>
      <c r="V51" s="54"/>
      <c r="W51" s="138" t="s">
        <v>207</v>
      </c>
      <c r="X51" s="54"/>
      <c r="Y51" s="138" t="s">
        <v>207</v>
      </c>
      <c r="Z51" s="177" t="str">
        <f t="shared" si="1"/>
        <v>C</v>
      </c>
      <c r="AA51" s="297" t="str">
        <f t="shared" si="0"/>
        <v>UTILIZOU O PDA CORRETAMENTE</v>
      </c>
      <c r="AB51" s="90" t="s">
        <v>207</v>
      </c>
      <c r="AC51" s="298" t="s">
        <v>36</v>
      </c>
      <c r="AD51" s="291" t="str">
        <f t="shared" si="2"/>
        <v>SÃO PAULO</v>
      </c>
      <c r="AE51" s="299" t="s">
        <v>79</v>
      </c>
    </row>
    <row r="52" spans="1:31" s="214" customFormat="1" ht="30" customHeight="1">
      <c r="A52" s="197" t="s">
        <v>198</v>
      </c>
      <c r="B52" s="212">
        <v>2692314170</v>
      </c>
      <c r="C52" s="197" t="s">
        <v>143</v>
      </c>
      <c r="D52" s="197" t="s">
        <v>79</v>
      </c>
      <c r="E52" s="197" t="s">
        <v>35</v>
      </c>
      <c r="F52" s="197" t="s">
        <v>379</v>
      </c>
      <c r="G52" s="197">
        <v>824</v>
      </c>
      <c r="H52" s="197" t="s">
        <v>200</v>
      </c>
      <c r="I52" s="197" t="s">
        <v>300</v>
      </c>
      <c r="J52" s="205" t="s">
        <v>1915</v>
      </c>
      <c r="K52" s="197" t="s">
        <v>200</v>
      </c>
      <c r="L52" s="203">
        <v>46147.285416666666</v>
      </c>
      <c r="M52" s="203">
        <v>46147.291666666664</v>
      </c>
      <c r="N52" s="197" t="s">
        <v>390</v>
      </c>
      <c r="O52" s="151" t="s">
        <v>207</v>
      </c>
      <c r="P52" s="54"/>
      <c r="Q52" s="138" t="s">
        <v>207</v>
      </c>
      <c r="R52" s="54"/>
      <c r="S52" s="138" t="s">
        <v>214</v>
      </c>
      <c r="T52" s="54"/>
      <c r="U52" s="138" t="s">
        <v>214</v>
      </c>
      <c r="V52" s="54"/>
      <c r="W52" s="138" t="s">
        <v>207</v>
      </c>
      <c r="X52" s="54"/>
      <c r="Y52" s="138" t="s">
        <v>207</v>
      </c>
      <c r="Z52" s="177" t="str">
        <f t="shared" si="1"/>
        <v>NC</v>
      </c>
      <c r="AA52" s="297" t="str">
        <f t="shared" si="0"/>
        <v>UTILIZOU O PDA CORRETAMENTE. NÃO HÁ FOTOS DE TODAS AS ETAPAS</v>
      </c>
      <c r="AB52" s="90"/>
      <c r="AC52" s="298" t="s">
        <v>36</v>
      </c>
      <c r="AD52" s="291" t="str">
        <f t="shared" si="2"/>
        <v>SÃO PAULO</v>
      </c>
      <c r="AE52" s="299" t="s">
        <v>79</v>
      </c>
    </row>
    <row r="53" spans="1:31" s="214" customFormat="1" ht="30" customHeight="1">
      <c r="A53" s="197" t="s">
        <v>198</v>
      </c>
      <c r="B53" s="212">
        <v>2618466011</v>
      </c>
      <c r="C53" s="197" t="s">
        <v>143</v>
      </c>
      <c r="D53" s="197" t="s">
        <v>79</v>
      </c>
      <c r="E53" s="197" t="s">
        <v>35</v>
      </c>
      <c r="F53" s="197" t="s">
        <v>1974</v>
      </c>
      <c r="G53" s="197">
        <v>79</v>
      </c>
      <c r="H53" s="197" t="s">
        <v>208</v>
      </c>
      <c r="I53" s="197" t="s">
        <v>225</v>
      </c>
      <c r="J53" s="205" t="s">
        <v>1915</v>
      </c>
      <c r="K53" s="197"/>
      <c r="L53" s="203">
        <v>46147.51458333333</v>
      </c>
      <c r="M53" s="203">
        <v>46147.521527777775</v>
      </c>
      <c r="N53" s="197" t="s">
        <v>1916</v>
      </c>
      <c r="O53" s="151" t="s">
        <v>207</v>
      </c>
      <c r="P53" s="54"/>
      <c r="Q53" s="138" t="s">
        <v>207</v>
      </c>
      <c r="R53" s="54"/>
      <c r="S53" s="138" t="s">
        <v>207</v>
      </c>
      <c r="T53" s="54"/>
      <c r="U53" s="138" t="s">
        <v>207</v>
      </c>
      <c r="V53" s="54"/>
      <c r="W53" s="138" t="s">
        <v>207</v>
      </c>
      <c r="X53" s="54"/>
      <c r="Y53" s="138" t="s">
        <v>207</v>
      </c>
      <c r="Z53" s="177" t="str">
        <f t="shared" si="1"/>
        <v>C</v>
      </c>
      <c r="AA53" s="297" t="str">
        <f t="shared" si="0"/>
        <v>UTILIZOU O PDA CORRETAMENTE</v>
      </c>
      <c r="AB53" s="90" t="s">
        <v>207</v>
      </c>
      <c r="AC53" s="298" t="s">
        <v>36</v>
      </c>
      <c r="AD53" s="291" t="str">
        <f t="shared" si="2"/>
        <v>SÃO PAULO</v>
      </c>
      <c r="AE53" s="299" t="s">
        <v>79</v>
      </c>
    </row>
    <row r="54" spans="1:31" s="214" customFormat="1" ht="30" customHeight="1">
      <c r="A54" s="197" t="s">
        <v>198</v>
      </c>
      <c r="B54" s="212">
        <v>2618502457</v>
      </c>
      <c r="C54" s="197" t="s">
        <v>1923</v>
      </c>
      <c r="D54" s="197" t="s">
        <v>79</v>
      </c>
      <c r="E54" s="197" t="s">
        <v>35</v>
      </c>
      <c r="F54" s="197" t="s">
        <v>1975</v>
      </c>
      <c r="G54" s="197">
        <v>64</v>
      </c>
      <c r="H54" s="197" t="s">
        <v>208</v>
      </c>
      <c r="I54" s="197" t="s">
        <v>281</v>
      </c>
      <c r="J54" s="205" t="s">
        <v>1915</v>
      </c>
      <c r="K54" s="197" t="s">
        <v>1927</v>
      </c>
      <c r="L54" s="203">
        <v>46147.401388888888</v>
      </c>
      <c r="M54" s="203">
        <v>46147.406944444447</v>
      </c>
      <c r="N54" s="197" t="s">
        <v>1916</v>
      </c>
      <c r="O54" s="151" t="s">
        <v>207</v>
      </c>
      <c r="P54" s="54"/>
      <c r="Q54" s="138" t="s">
        <v>207</v>
      </c>
      <c r="R54" s="54"/>
      <c r="S54" s="138" t="s">
        <v>207</v>
      </c>
      <c r="T54" s="54"/>
      <c r="U54" s="138" t="s">
        <v>207</v>
      </c>
      <c r="V54" s="54"/>
      <c r="W54" s="138" t="s">
        <v>207</v>
      </c>
      <c r="X54" s="54"/>
      <c r="Y54" s="138" t="s">
        <v>207</v>
      </c>
      <c r="Z54" s="177" t="str">
        <f t="shared" si="1"/>
        <v>C</v>
      </c>
      <c r="AA54" s="297" t="str">
        <f t="shared" si="0"/>
        <v>UTILIZOU O PDA CORRETAMENTE</v>
      </c>
      <c r="AB54" s="90" t="s">
        <v>207</v>
      </c>
      <c r="AC54" s="298" t="s">
        <v>36</v>
      </c>
      <c r="AD54" s="291" t="str">
        <f t="shared" si="2"/>
        <v>SÃO PAULO</v>
      </c>
      <c r="AE54" s="299" t="s">
        <v>79</v>
      </c>
    </row>
    <row r="55" spans="1:31" s="214" customFormat="1" ht="30" customHeight="1">
      <c r="A55" s="197" t="s">
        <v>198</v>
      </c>
      <c r="B55" s="212">
        <v>2618534683</v>
      </c>
      <c r="C55" s="197" t="s">
        <v>146</v>
      </c>
      <c r="D55" s="197" t="s">
        <v>79</v>
      </c>
      <c r="E55" s="197" t="s">
        <v>35</v>
      </c>
      <c r="F55" s="197" t="s">
        <v>1976</v>
      </c>
      <c r="G55" s="197">
        <v>62</v>
      </c>
      <c r="H55" s="197"/>
      <c r="I55" s="197" t="s">
        <v>373</v>
      </c>
      <c r="J55" s="205" t="s">
        <v>1915</v>
      </c>
      <c r="K55" s="197"/>
      <c r="L55" s="203">
        <v>46147.643750000003</v>
      </c>
      <c r="M55" s="203">
        <v>46147.65</v>
      </c>
      <c r="N55" s="197" t="s">
        <v>1916</v>
      </c>
      <c r="O55" s="151" t="s">
        <v>207</v>
      </c>
      <c r="P55" s="54"/>
      <c r="Q55" s="138" t="s">
        <v>207</v>
      </c>
      <c r="R55" s="54"/>
      <c r="S55" s="138" t="s">
        <v>207</v>
      </c>
      <c r="T55" s="54"/>
      <c r="U55" s="138" t="s">
        <v>207</v>
      </c>
      <c r="V55" s="54"/>
      <c r="W55" s="138" t="s">
        <v>207</v>
      </c>
      <c r="X55" s="54"/>
      <c r="Y55" s="138" t="s">
        <v>207</v>
      </c>
      <c r="Z55" s="177" t="str">
        <f t="shared" si="1"/>
        <v>C</v>
      </c>
      <c r="AA55" s="297" t="str">
        <f t="shared" si="0"/>
        <v>UTILIZOU O PDA CORRETAMENTE</v>
      </c>
      <c r="AB55" s="90" t="s">
        <v>207</v>
      </c>
      <c r="AC55" s="298" t="s">
        <v>36</v>
      </c>
      <c r="AD55" s="291" t="str">
        <f t="shared" si="2"/>
        <v>SÃO PAULO</v>
      </c>
      <c r="AE55" s="299" t="s">
        <v>79</v>
      </c>
    </row>
    <row r="56" spans="1:31" s="214" customFormat="1" ht="30" customHeight="1">
      <c r="A56" s="197" t="s">
        <v>198</v>
      </c>
      <c r="B56" s="212">
        <v>2692292288</v>
      </c>
      <c r="C56" s="197" t="s">
        <v>146</v>
      </c>
      <c r="D56" s="197" t="s">
        <v>79</v>
      </c>
      <c r="E56" s="197" t="s">
        <v>35</v>
      </c>
      <c r="F56" s="197" t="s">
        <v>1977</v>
      </c>
      <c r="G56" s="197">
        <v>15</v>
      </c>
      <c r="H56" s="197" t="s">
        <v>347</v>
      </c>
      <c r="I56" s="197" t="s">
        <v>689</v>
      </c>
      <c r="J56" s="205" t="s">
        <v>1915</v>
      </c>
      <c r="K56" s="197" t="s">
        <v>200</v>
      </c>
      <c r="L56" s="203">
        <v>46147.245833333334</v>
      </c>
      <c r="M56" s="203">
        <v>46147.256944444445</v>
      </c>
      <c r="N56" s="197" t="s">
        <v>390</v>
      </c>
      <c r="O56" s="151" t="s">
        <v>207</v>
      </c>
      <c r="P56" s="54"/>
      <c r="Q56" s="138" t="s">
        <v>207</v>
      </c>
      <c r="R56" s="54"/>
      <c r="S56" s="138" t="s">
        <v>207</v>
      </c>
      <c r="T56" s="54"/>
      <c r="U56" s="138" t="s">
        <v>207</v>
      </c>
      <c r="V56" s="54"/>
      <c r="W56" s="138" t="s">
        <v>207</v>
      </c>
      <c r="X56" s="54"/>
      <c r="Y56" s="138" t="s">
        <v>207</v>
      </c>
      <c r="Z56" s="177" t="str">
        <f t="shared" si="1"/>
        <v>C</v>
      </c>
      <c r="AA56" s="297" t="str">
        <f t="shared" si="0"/>
        <v>UTILIZOU O PDA CORRETAMENTE</v>
      </c>
      <c r="AB56" s="90" t="s">
        <v>207</v>
      </c>
      <c r="AC56" s="298" t="s">
        <v>36</v>
      </c>
      <c r="AD56" s="291" t="str">
        <f t="shared" si="2"/>
        <v>SÃO PAULO</v>
      </c>
      <c r="AE56" s="299" t="s">
        <v>79</v>
      </c>
    </row>
    <row r="57" spans="1:31" s="214" customFormat="1" ht="30" customHeight="1">
      <c r="A57" s="197" t="s">
        <v>198</v>
      </c>
      <c r="B57" s="212">
        <v>2692361064</v>
      </c>
      <c r="C57" s="197" t="s">
        <v>143</v>
      </c>
      <c r="D57" s="197" t="s">
        <v>79</v>
      </c>
      <c r="E57" s="197" t="s">
        <v>35</v>
      </c>
      <c r="F57" s="197" t="s">
        <v>1978</v>
      </c>
      <c r="G57" s="197">
        <v>207</v>
      </c>
      <c r="H57" s="197"/>
      <c r="I57" s="197" t="s">
        <v>665</v>
      </c>
      <c r="J57" s="205" t="s">
        <v>1915</v>
      </c>
      <c r="K57" s="197"/>
      <c r="L57" s="203">
        <v>46147.436805555553</v>
      </c>
      <c r="M57" s="203">
        <v>46147.445138888892</v>
      </c>
      <c r="N57" s="197" t="s">
        <v>390</v>
      </c>
      <c r="O57" s="151" t="s">
        <v>207</v>
      </c>
      <c r="P57" s="54"/>
      <c r="Q57" s="138" t="s">
        <v>207</v>
      </c>
      <c r="R57" s="54"/>
      <c r="S57" s="138" t="s">
        <v>214</v>
      </c>
      <c r="T57" s="54"/>
      <c r="U57" s="138" t="s">
        <v>207</v>
      </c>
      <c r="V57" s="54"/>
      <c r="W57" s="138" t="s">
        <v>207</v>
      </c>
      <c r="X57" s="54"/>
      <c r="Y57" s="138" t="s">
        <v>207</v>
      </c>
      <c r="Z57" s="177" t="str">
        <f t="shared" si="1"/>
        <v>NC</v>
      </c>
      <c r="AA57" s="297" t="str">
        <f t="shared" si="0"/>
        <v>UTILIZOU O PDA CORRETAMENTE. NÃO HÁ FOTOS DE TODAS AS ETAPAS</v>
      </c>
      <c r="AB57" s="90" t="s">
        <v>207</v>
      </c>
      <c r="AC57" s="298" t="s">
        <v>36</v>
      </c>
      <c r="AD57" s="291" t="str">
        <f t="shared" si="2"/>
        <v>SÃO PAULO</v>
      </c>
      <c r="AE57" s="299" t="s">
        <v>79</v>
      </c>
    </row>
    <row r="58" spans="1:31" s="214" customFormat="1" ht="30" customHeight="1">
      <c r="A58" s="197" t="s">
        <v>198</v>
      </c>
      <c r="B58" s="212">
        <v>2692385189</v>
      </c>
      <c r="C58" s="197" t="s">
        <v>143</v>
      </c>
      <c r="D58" s="197" t="s">
        <v>79</v>
      </c>
      <c r="E58" s="197" t="s">
        <v>35</v>
      </c>
      <c r="F58" s="197" t="s">
        <v>1979</v>
      </c>
      <c r="G58" s="197">
        <v>49</v>
      </c>
      <c r="H58" s="197" t="s">
        <v>200</v>
      </c>
      <c r="I58" s="197" t="s">
        <v>266</v>
      </c>
      <c r="J58" s="205" t="s">
        <v>1915</v>
      </c>
      <c r="K58" s="197" t="s">
        <v>200</v>
      </c>
      <c r="L58" s="203">
        <v>46147.427083333336</v>
      </c>
      <c r="M58" s="203">
        <v>46147.432638888888</v>
      </c>
      <c r="N58" s="197" t="s">
        <v>390</v>
      </c>
      <c r="O58" s="151" t="s">
        <v>207</v>
      </c>
      <c r="P58" s="54"/>
      <c r="Q58" s="138" t="s">
        <v>207</v>
      </c>
      <c r="R58" s="54"/>
      <c r="S58" s="138" t="s">
        <v>214</v>
      </c>
      <c r="T58" s="54"/>
      <c r="U58" s="138" t="s">
        <v>214</v>
      </c>
      <c r="V58" s="54"/>
      <c r="W58" s="138" t="s">
        <v>207</v>
      </c>
      <c r="X58" s="54"/>
      <c r="Y58" s="138" t="s">
        <v>207</v>
      </c>
      <c r="Z58" s="177" t="str">
        <f t="shared" si="1"/>
        <v>NC</v>
      </c>
      <c r="AA58" s="297" t="str">
        <f t="shared" si="0"/>
        <v>UTILIZOU O PDA CORRETAMENTE. NÃO HÁ FOTOS DE TODAS AS ETAPAS</v>
      </c>
      <c r="AB58" s="90" t="s">
        <v>207</v>
      </c>
      <c r="AC58" s="298" t="s">
        <v>36</v>
      </c>
      <c r="AD58" s="291" t="str">
        <f t="shared" si="2"/>
        <v>SÃO PAULO</v>
      </c>
      <c r="AE58" s="299" t="s">
        <v>79</v>
      </c>
    </row>
    <row r="59" spans="1:31" s="214" customFormat="1" ht="30" customHeight="1">
      <c r="A59" s="197" t="s">
        <v>198</v>
      </c>
      <c r="B59" s="212">
        <v>2618495922</v>
      </c>
      <c r="C59" s="197" t="s">
        <v>143</v>
      </c>
      <c r="D59" s="197" t="s">
        <v>79</v>
      </c>
      <c r="E59" s="197" t="s">
        <v>35</v>
      </c>
      <c r="F59" s="197" t="s">
        <v>1940</v>
      </c>
      <c r="G59" s="197">
        <v>85</v>
      </c>
      <c r="H59" s="197" t="s">
        <v>200</v>
      </c>
      <c r="I59" s="197" t="s">
        <v>1407</v>
      </c>
      <c r="J59" s="205" t="s">
        <v>1915</v>
      </c>
      <c r="K59" s="197" t="s">
        <v>200</v>
      </c>
      <c r="L59" s="203">
        <v>46147.229166666664</v>
      </c>
      <c r="M59" s="203">
        <v>46147.253472222219</v>
      </c>
      <c r="N59" s="197" t="s">
        <v>1922</v>
      </c>
      <c r="O59" s="151" t="s">
        <v>207</v>
      </c>
      <c r="P59" s="54"/>
      <c r="Q59" s="138" t="s">
        <v>214</v>
      </c>
      <c r="R59" s="54"/>
      <c r="S59" s="138" t="s">
        <v>214</v>
      </c>
      <c r="T59" s="54"/>
      <c r="U59" s="138" t="s">
        <v>214</v>
      </c>
      <c r="V59" s="54"/>
      <c r="W59" s="138" t="s">
        <v>207</v>
      </c>
      <c r="X59" s="54"/>
      <c r="Y59" s="138" t="s">
        <v>207</v>
      </c>
      <c r="Z59" s="177" t="str">
        <f t="shared" si="1"/>
        <v>NC</v>
      </c>
      <c r="AA59" s="297" t="str">
        <f t="shared" si="0"/>
        <v>UTILIZOU O PDA CORRETAMENTE. NÃO HÁ FOTOS DE TODAS AS ETAPAS</v>
      </c>
      <c r="AB59" s="90" t="s">
        <v>207</v>
      </c>
      <c r="AC59" s="298" t="s">
        <v>36</v>
      </c>
      <c r="AD59" s="291" t="str">
        <f t="shared" si="2"/>
        <v>SÃO PAULO</v>
      </c>
      <c r="AE59" s="299" t="s">
        <v>79</v>
      </c>
    </row>
    <row r="60" spans="1:31" s="214" customFormat="1" ht="30" customHeight="1">
      <c r="A60" s="197" t="s">
        <v>198</v>
      </c>
      <c r="B60" s="212">
        <v>2692356098</v>
      </c>
      <c r="C60" s="197" t="s">
        <v>143</v>
      </c>
      <c r="D60" s="197" t="s">
        <v>79</v>
      </c>
      <c r="E60" s="197" t="s">
        <v>35</v>
      </c>
      <c r="F60" s="197" t="s">
        <v>1980</v>
      </c>
      <c r="G60" s="197">
        <v>85</v>
      </c>
      <c r="H60" s="197" t="s">
        <v>200</v>
      </c>
      <c r="I60" s="197" t="s">
        <v>525</v>
      </c>
      <c r="J60" s="205" t="s">
        <v>1915</v>
      </c>
      <c r="K60" s="197" t="s">
        <v>200</v>
      </c>
      <c r="L60" s="203">
        <v>46147.341666666667</v>
      </c>
      <c r="M60" s="203">
        <v>46147.354861111111</v>
      </c>
      <c r="N60" s="197" t="s">
        <v>1922</v>
      </c>
      <c r="O60" s="151" t="s">
        <v>207</v>
      </c>
      <c r="P60" s="54"/>
      <c r="Q60" s="138" t="s">
        <v>207</v>
      </c>
      <c r="R60" s="54"/>
      <c r="S60" s="138" t="s">
        <v>214</v>
      </c>
      <c r="T60" s="54"/>
      <c r="U60" s="138" t="s">
        <v>214</v>
      </c>
      <c r="V60" s="54"/>
      <c r="W60" s="138" t="s">
        <v>207</v>
      </c>
      <c r="X60" s="54"/>
      <c r="Y60" s="138" t="s">
        <v>207</v>
      </c>
      <c r="Z60" s="177" t="str">
        <f t="shared" si="1"/>
        <v>NC</v>
      </c>
      <c r="AA60" s="297" t="str">
        <f t="shared" si="0"/>
        <v>UTILIZOU O PDA CORRETAMENTE. NÃO HÁ FOTOS DE TODAS AS ETAPAS</v>
      </c>
      <c r="AB60" s="90" t="s">
        <v>207</v>
      </c>
      <c r="AC60" s="298" t="s">
        <v>36</v>
      </c>
      <c r="AD60" s="291" t="str">
        <f t="shared" si="2"/>
        <v>SÃO PAULO</v>
      </c>
      <c r="AE60" s="299" t="s">
        <v>79</v>
      </c>
    </row>
    <row r="61" spans="1:31" s="214" customFormat="1" ht="30" customHeight="1">
      <c r="A61" s="197" t="s">
        <v>198</v>
      </c>
      <c r="B61" s="212">
        <v>2692380015</v>
      </c>
      <c r="C61" s="197" t="s">
        <v>143</v>
      </c>
      <c r="D61" s="197" t="s">
        <v>79</v>
      </c>
      <c r="E61" s="197" t="s">
        <v>35</v>
      </c>
      <c r="F61" s="197" t="s">
        <v>1981</v>
      </c>
      <c r="G61" s="197">
        <v>1</v>
      </c>
      <c r="H61" s="197" t="s">
        <v>491</v>
      </c>
      <c r="I61" s="197" t="s">
        <v>330</v>
      </c>
      <c r="J61" s="205" t="s">
        <v>1915</v>
      </c>
      <c r="K61" s="197" t="s">
        <v>200</v>
      </c>
      <c r="L61" s="203">
        <v>46147.142361111109</v>
      </c>
      <c r="M61" s="203">
        <v>46147.145833333336</v>
      </c>
      <c r="N61" s="197" t="s">
        <v>1922</v>
      </c>
      <c r="O61" s="151" t="s">
        <v>207</v>
      </c>
      <c r="P61" s="54"/>
      <c r="Q61" s="138" t="s">
        <v>207</v>
      </c>
      <c r="R61" s="54"/>
      <c r="S61" s="138" t="s">
        <v>214</v>
      </c>
      <c r="T61" s="54"/>
      <c r="U61" s="138" t="s">
        <v>214</v>
      </c>
      <c r="V61" s="54"/>
      <c r="W61" s="138" t="s">
        <v>207</v>
      </c>
      <c r="X61" s="54"/>
      <c r="Y61" s="138" t="s">
        <v>207</v>
      </c>
      <c r="Z61" s="177" t="str">
        <f t="shared" si="1"/>
        <v>NC</v>
      </c>
      <c r="AA61" s="297" t="str">
        <f t="shared" si="0"/>
        <v>UTILIZOU O PDA CORRETAMENTE. NÃO HÁ FOTOS DE TODAS AS ETAPAS</v>
      </c>
      <c r="AB61" s="90" t="s">
        <v>207</v>
      </c>
      <c r="AC61" s="298" t="s">
        <v>36</v>
      </c>
      <c r="AD61" s="291" t="str">
        <f t="shared" si="2"/>
        <v>SÃO PAULO</v>
      </c>
      <c r="AE61" s="299" t="s">
        <v>79</v>
      </c>
    </row>
    <row r="62" spans="1:31" s="214" customFormat="1" ht="30" customHeight="1">
      <c r="A62" s="197" t="s">
        <v>198</v>
      </c>
      <c r="B62" s="212">
        <v>2618447296</v>
      </c>
      <c r="C62" s="197" t="s">
        <v>144</v>
      </c>
      <c r="D62" s="197" t="s">
        <v>140</v>
      </c>
      <c r="E62" s="197" t="s">
        <v>35</v>
      </c>
      <c r="F62" s="197" t="s">
        <v>1982</v>
      </c>
      <c r="G62" s="197">
        <v>12</v>
      </c>
      <c r="H62" s="197" t="s">
        <v>491</v>
      </c>
      <c r="I62" s="197" t="s">
        <v>293</v>
      </c>
      <c r="J62" s="205" t="s">
        <v>1954</v>
      </c>
      <c r="K62" s="197"/>
      <c r="L62" s="203">
        <v>46147.322222222225</v>
      </c>
      <c r="M62" s="203">
        <v>46147.324999999997</v>
      </c>
      <c r="N62" s="197" t="s">
        <v>1933</v>
      </c>
      <c r="O62" s="151" t="s">
        <v>207</v>
      </c>
      <c r="P62" s="54"/>
      <c r="Q62" s="138" t="s">
        <v>214</v>
      </c>
      <c r="R62" s="54"/>
      <c r="S62" s="138" t="s">
        <v>214</v>
      </c>
      <c r="T62" s="54"/>
      <c r="U62" s="138" t="s">
        <v>214</v>
      </c>
      <c r="V62" s="54"/>
      <c r="W62" s="138" t="s">
        <v>207</v>
      </c>
      <c r="X62" s="54"/>
      <c r="Y62" s="138" t="s">
        <v>207</v>
      </c>
      <c r="Z62" s="177" t="str">
        <f t="shared" si="1"/>
        <v>NC</v>
      </c>
      <c r="AA62" s="297" t="str">
        <f t="shared" si="0"/>
        <v>UTILIZOU O PDA CORRETAMENTE. NÃO HÁ FOTOS DE TODAS AS ETAPAS</v>
      </c>
      <c r="AB62" s="90" t="s">
        <v>207</v>
      </c>
      <c r="AC62" s="298" t="s">
        <v>36</v>
      </c>
      <c r="AD62" s="291" t="str">
        <f t="shared" si="2"/>
        <v>SÃO PAULO</v>
      </c>
      <c r="AE62" s="299" t="s">
        <v>79</v>
      </c>
    </row>
    <row r="63" spans="1:31" s="214" customFormat="1" ht="30" customHeight="1">
      <c r="A63" s="197" t="s">
        <v>198</v>
      </c>
      <c r="B63" s="212">
        <v>2618463579</v>
      </c>
      <c r="C63" s="197" t="s">
        <v>147</v>
      </c>
      <c r="D63" s="197" t="s">
        <v>79</v>
      </c>
      <c r="E63" s="197" t="s">
        <v>35</v>
      </c>
      <c r="F63" s="197" t="s">
        <v>1024</v>
      </c>
      <c r="G63" s="197">
        <v>3561</v>
      </c>
      <c r="H63" s="197"/>
      <c r="I63" s="197" t="s">
        <v>218</v>
      </c>
      <c r="J63" s="205" t="s">
        <v>1915</v>
      </c>
      <c r="K63" s="197"/>
      <c r="L63" s="203">
        <v>46147.305555555555</v>
      </c>
      <c r="M63" s="203">
        <v>46147.306944444441</v>
      </c>
      <c r="N63" s="197" t="s">
        <v>1933</v>
      </c>
      <c r="O63" s="151" t="s">
        <v>207</v>
      </c>
      <c r="P63" s="54"/>
      <c r="Q63" s="138" t="s">
        <v>207</v>
      </c>
      <c r="R63" s="54"/>
      <c r="S63" s="138" t="s">
        <v>207</v>
      </c>
      <c r="T63" s="54"/>
      <c r="U63" s="138" t="s">
        <v>207</v>
      </c>
      <c r="V63" s="54"/>
      <c r="W63" s="138" t="s">
        <v>207</v>
      </c>
      <c r="X63" s="54"/>
      <c r="Y63" s="138" t="s">
        <v>207</v>
      </c>
      <c r="Z63" s="177" t="str">
        <f t="shared" si="1"/>
        <v>C</v>
      </c>
      <c r="AA63" s="297" t="str">
        <f t="shared" si="0"/>
        <v>UTILIZOU O PDA CORRETAMENTE</v>
      </c>
      <c r="AB63" s="90" t="s">
        <v>207</v>
      </c>
      <c r="AC63" s="298" t="s">
        <v>36</v>
      </c>
      <c r="AD63" s="291" t="str">
        <f t="shared" si="2"/>
        <v>SÃO PAULO</v>
      </c>
      <c r="AE63" s="299" t="s">
        <v>79</v>
      </c>
    </row>
    <row r="64" spans="1:31" s="214" customFormat="1" ht="30" customHeight="1">
      <c r="A64" s="197" t="s">
        <v>198</v>
      </c>
      <c r="B64" s="212">
        <v>2692379883</v>
      </c>
      <c r="C64" s="197" t="s">
        <v>144</v>
      </c>
      <c r="D64" s="197" t="s">
        <v>140</v>
      </c>
      <c r="E64" s="197" t="s">
        <v>35</v>
      </c>
      <c r="F64" s="197" t="s">
        <v>321</v>
      </c>
      <c r="G64" s="197">
        <v>126</v>
      </c>
      <c r="H64" s="197"/>
      <c r="I64" s="197" t="s">
        <v>322</v>
      </c>
      <c r="J64" s="205" t="s">
        <v>1954</v>
      </c>
      <c r="K64" s="197"/>
      <c r="L64" s="203">
        <v>46147.271527777775</v>
      </c>
      <c r="M64" s="203">
        <v>46147.274305555555</v>
      </c>
      <c r="N64" s="197" t="s">
        <v>1922</v>
      </c>
      <c r="O64" s="151" t="s">
        <v>207</v>
      </c>
      <c r="P64" s="54"/>
      <c r="Q64" s="138" t="s">
        <v>214</v>
      </c>
      <c r="R64" s="54"/>
      <c r="S64" s="138" t="s">
        <v>214</v>
      </c>
      <c r="T64" s="54"/>
      <c r="U64" s="138" t="s">
        <v>214</v>
      </c>
      <c r="V64" s="54"/>
      <c r="W64" s="138" t="s">
        <v>207</v>
      </c>
      <c r="X64" s="54"/>
      <c r="Y64" s="138" t="s">
        <v>207</v>
      </c>
      <c r="Z64" s="177" t="str">
        <f t="shared" si="1"/>
        <v>NC</v>
      </c>
      <c r="AA64" s="297" t="str">
        <f t="shared" si="0"/>
        <v>UTILIZOU O PDA CORRETAMENTE. NÃO HÁ FOTOS DE TODAS AS ETAPAS</v>
      </c>
      <c r="AB64" s="90" t="s">
        <v>207</v>
      </c>
      <c r="AC64" s="298" t="s">
        <v>36</v>
      </c>
      <c r="AD64" s="291" t="str">
        <f t="shared" si="2"/>
        <v>SÃO PAULO</v>
      </c>
      <c r="AE64" s="299" t="s">
        <v>79</v>
      </c>
    </row>
    <row r="65" spans="1:31" s="214" customFormat="1" ht="30" customHeight="1">
      <c r="A65" s="197" t="s">
        <v>198</v>
      </c>
      <c r="B65" s="212">
        <v>2618455459</v>
      </c>
      <c r="C65" s="197" t="s">
        <v>144</v>
      </c>
      <c r="D65" s="197" t="s">
        <v>140</v>
      </c>
      <c r="E65" s="197" t="s">
        <v>35</v>
      </c>
      <c r="F65" s="197" t="s">
        <v>1983</v>
      </c>
      <c r="G65" s="197">
        <v>366</v>
      </c>
      <c r="H65" s="197" t="s">
        <v>208</v>
      </c>
      <c r="I65" s="197" t="s">
        <v>314</v>
      </c>
      <c r="J65" s="205" t="s">
        <v>1954</v>
      </c>
      <c r="K65" s="197" t="s">
        <v>200</v>
      </c>
      <c r="L65" s="203">
        <v>46147.334722222222</v>
      </c>
      <c r="M65" s="203">
        <v>46147.338888888888</v>
      </c>
      <c r="N65" s="197" t="s">
        <v>1925</v>
      </c>
      <c r="O65" s="151" t="s">
        <v>207</v>
      </c>
      <c r="P65" s="54"/>
      <c r="Q65" s="138" t="s">
        <v>207</v>
      </c>
      <c r="R65" s="54"/>
      <c r="S65" s="138" t="s">
        <v>214</v>
      </c>
      <c r="T65" s="54"/>
      <c r="U65" s="138" t="s">
        <v>214</v>
      </c>
      <c r="V65" s="54"/>
      <c r="W65" s="138" t="s">
        <v>207</v>
      </c>
      <c r="X65" s="54"/>
      <c r="Y65" s="138" t="s">
        <v>207</v>
      </c>
      <c r="Z65" s="177" t="str">
        <f t="shared" si="1"/>
        <v>NC</v>
      </c>
      <c r="AA65" s="297" t="str">
        <f t="shared" si="0"/>
        <v>UTILIZOU O PDA CORRETAMENTE. NÃO HÁ FOTOS DE TODAS AS ETAPAS</v>
      </c>
      <c r="AB65" s="90" t="s">
        <v>207</v>
      </c>
      <c r="AC65" s="298" t="s">
        <v>36</v>
      </c>
      <c r="AD65" s="291" t="str">
        <f t="shared" si="2"/>
        <v>SÃO PAULO</v>
      </c>
      <c r="AE65" s="299" t="s">
        <v>79</v>
      </c>
    </row>
    <row r="66" spans="1:31" s="214" customFormat="1" ht="30" customHeight="1">
      <c r="A66" s="197" t="s">
        <v>198</v>
      </c>
      <c r="B66" s="212">
        <v>2618464842</v>
      </c>
      <c r="C66" s="197" t="s">
        <v>144</v>
      </c>
      <c r="D66" s="197" t="s">
        <v>140</v>
      </c>
      <c r="E66" s="197" t="s">
        <v>35</v>
      </c>
      <c r="F66" s="197" t="s">
        <v>1983</v>
      </c>
      <c r="G66" s="197">
        <v>366</v>
      </c>
      <c r="H66" s="197" t="s">
        <v>205</v>
      </c>
      <c r="I66" s="197" t="s">
        <v>314</v>
      </c>
      <c r="J66" s="205" t="s">
        <v>1954</v>
      </c>
      <c r="K66" s="197"/>
      <c r="L66" s="203">
        <v>46147.339583333334</v>
      </c>
      <c r="M66" s="203">
        <v>46147.34097222222</v>
      </c>
      <c r="N66" s="197" t="s">
        <v>1925</v>
      </c>
      <c r="O66" s="151" t="s">
        <v>207</v>
      </c>
      <c r="P66" s="54"/>
      <c r="Q66" s="138" t="s">
        <v>207</v>
      </c>
      <c r="R66" s="54"/>
      <c r="S66" s="138" t="s">
        <v>214</v>
      </c>
      <c r="T66" s="54"/>
      <c r="U66" s="138" t="s">
        <v>214</v>
      </c>
      <c r="V66" s="54"/>
      <c r="W66" s="138" t="s">
        <v>207</v>
      </c>
      <c r="X66" s="54"/>
      <c r="Y66" s="138" t="s">
        <v>207</v>
      </c>
      <c r="Z66" s="177" t="str">
        <f t="shared" si="1"/>
        <v>NC</v>
      </c>
      <c r="AA66" s="297" t="str">
        <f t="shared" ref="AA66:AA129" si="3">IF(AND(Y66="C",Z66="C"),"UTILIZOU O PDA CORRETAMENTE",IF(AND(Y66="C",Z66="NC"),"UTILIZOU O PDA CORRETAMENTE. NÃO HÁ FOTOS DE TODAS AS ETAPAS",IF(AND(Y66="NC",Z66="NC"),"NÃO UTILIZOU O PDA",IF(AND(Y66="NA",Z66="NA"),"NÃO AVALIADO POR FALHA DE SINCRONISMO"))))</f>
        <v>UTILIZOU O PDA CORRETAMENTE. NÃO HÁ FOTOS DE TODAS AS ETAPAS</v>
      </c>
      <c r="AB66" s="90" t="s">
        <v>207</v>
      </c>
      <c r="AC66" s="298" t="s">
        <v>36</v>
      </c>
      <c r="AD66" s="291" t="str">
        <f t="shared" si="2"/>
        <v>SÃO PAULO</v>
      </c>
      <c r="AE66" s="299" t="s">
        <v>79</v>
      </c>
    </row>
    <row r="67" spans="1:31" s="214" customFormat="1" ht="30" customHeight="1">
      <c r="A67" s="197" t="s">
        <v>198</v>
      </c>
      <c r="B67" s="212">
        <v>2692375792</v>
      </c>
      <c r="C67" s="197" t="s">
        <v>146</v>
      </c>
      <c r="D67" s="197" t="s">
        <v>79</v>
      </c>
      <c r="E67" s="197" t="s">
        <v>35</v>
      </c>
      <c r="F67" s="197" t="s">
        <v>1984</v>
      </c>
      <c r="G67" s="197">
        <v>222</v>
      </c>
      <c r="H67" s="197"/>
      <c r="I67" s="197" t="s">
        <v>675</v>
      </c>
      <c r="J67" s="205" t="s">
        <v>1915</v>
      </c>
      <c r="K67" s="197"/>
      <c r="L67" s="203">
        <v>46146.532638888886</v>
      </c>
      <c r="M67" s="203">
        <v>46146.536805555559</v>
      </c>
      <c r="N67" s="197" t="s">
        <v>1931</v>
      </c>
      <c r="O67" s="151" t="s">
        <v>207</v>
      </c>
      <c r="P67" s="54"/>
      <c r="Q67" s="138" t="s">
        <v>207</v>
      </c>
      <c r="R67" s="54"/>
      <c r="S67" s="138" t="s">
        <v>214</v>
      </c>
      <c r="T67" s="54"/>
      <c r="U67" s="138" t="s">
        <v>214</v>
      </c>
      <c r="V67" s="54"/>
      <c r="W67" s="138" t="s">
        <v>207</v>
      </c>
      <c r="X67" s="54"/>
      <c r="Y67" s="138" t="s">
        <v>207</v>
      </c>
      <c r="Z67" s="177" t="str">
        <f t="shared" ref="Z67:Z130" si="4">IF(AND(O67="",Q67="",S67="",U67="",W67=""),"",IF(OR(AND(O67&lt;&gt;"NA",O67&lt;&gt;"C",O67&lt;&gt;"NC",O67&lt;&gt;"SF",O67&lt;&gt;""),AND(Q67&lt;&gt;"NA",Q67&lt;&gt;"C",Q67&lt;&gt;"NC",Q67&lt;&gt;"SF",Q67&lt;&gt;""),AND(S67&lt;&gt;"NA",S67&lt;&gt;"C",S67&lt;&gt;"NC",S67&lt;&gt;"SF",S67&lt;&gt;""),AND(U67&lt;&gt;"NA",U67&lt;&gt;"C",U67&lt;&gt;"NC",U67&lt;&gt;"SF",U67&lt;&gt;""),AND(W67&lt;&gt;"NA",W67&lt;&gt;"C",W67&lt;&gt;"NC",W67&lt;&gt;"SF",W67&lt;&gt;"")),"FALSO",IF(AND(O67="NA",Q67="NA",S67="NA",U67="NA",W67="NA"),"NA",IF(OR(O67="NC",Q67="NC",S67="NC",U67="NC",W67="NC",O67="SF",Q67="SF",S67="SF",U67="SF",W67="SF"),"NC",IF(OR(O67="C",Q67="C",S67="C",U67="C",W67="C"),"C","")))))</f>
        <v>NC</v>
      </c>
      <c r="AA67" s="297" t="str">
        <f t="shared" si="3"/>
        <v>UTILIZOU O PDA CORRETAMENTE. NÃO HÁ FOTOS DE TODAS AS ETAPAS</v>
      </c>
      <c r="AB67" s="90"/>
      <c r="AC67" s="298" t="s">
        <v>36</v>
      </c>
      <c r="AD67" s="291" t="str">
        <f t="shared" ref="AD67:AD130" si="5">E67</f>
        <v>SÃO PAULO</v>
      </c>
      <c r="AE67" s="299" t="s">
        <v>79</v>
      </c>
    </row>
    <row r="68" spans="1:31" s="214" customFormat="1" ht="30" customHeight="1">
      <c r="A68" s="197" t="s">
        <v>198</v>
      </c>
      <c r="B68" s="212">
        <v>2618474045</v>
      </c>
      <c r="C68" s="197" t="s">
        <v>143</v>
      </c>
      <c r="D68" s="197" t="s">
        <v>79</v>
      </c>
      <c r="E68" s="197" t="s">
        <v>35</v>
      </c>
      <c r="F68" s="197" t="s">
        <v>1985</v>
      </c>
      <c r="G68" s="197">
        <v>54</v>
      </c>
      <c r="H68" s="197" t="s">
        <v>208</v>
      </c>
      <c r="I68" s="197" t="s">
        <v>284</v>
      </c>
      <c r="J68" s="205" t="s">
        <v>1915</v>
      </c>
      <c r="K68" s="197" t="s">
        <v>200</v>
      </c>
      <c r="L68" s="203">
        <v>46146.378472222219</v>
      </c>
      <c r="M68" s="203">
        <v>46146.379861111112</v>
      </c>
      <c r="N68" s="197" t="s">
        <v>1931</v>
      </c>
      <c r="O68" s="151" t="s">
        <v>207</v>
      </c>
      <c r="P68" s="54"/>
      <c r="Q68" s="138" t="s">
        <v>207</v>
      </c>
      <c r="R68" s="54"/>
      <c r="S68" s="138" t="s">
        <v>214</v>
      </c>
      <c r="T68" s="54"/>
      <c r="U68" s="138" t="s">
        <v>214</v>
      </c>
      <c r="V68" s="54"/>
      <c r="W68" s="138" t="s">
        <v>207</v>
      </c>
      <c r="X68" s="54"/>
      <c r="Y68" s="138" t="s">
        <v>207</v>
      </c>
      <c r="Z68" s="177" t="str">
        <f t="shared" si="4"/>
        <v>NC</v>
      </c>
      <c r="AA68" s="297" t="str">
        <f t="shared" si="3"/>
        <v>UTILIZOU O PDA CORRETAMENTE. NÃO HÁ FOTOS DE TODAS AS ETAPAS</v>
      </c>
      <c r="AB68" s="90" t="s">
        <v>207</v>
      </c>
      <c r="AC68" s="298" t="s">
        <v>36</v>
      </c>
      <c r="AD68" s="291" t="str">
        <f t="shared" si="5"/>
        <v>SÃO PAULO</v>
      </c>
      <c r="AE68" s="299" t="s">
        <v>79</v>
      </c>
    </row>
    <row r="69" spans="1:31" s="214" customFormat="1" ht="30" customHeight="1">
      <c r="A69" s="197" t="s">
        <v>198</v>
      </c>
      <c r="B69" s="212">
        <v>2692354130</v>
      </c>
      <c r="C69" s="197" t="s">
        <v>143</v>
      </c>
      <c r="D69" s="197" t="s">
        <v>79</v>
      </c>
      <c r="E69" s="197" t="s">
        <v>35</v>
      </c>
      <c r="F69" s="197" t="s">
        <v>1024</v>
      </c>
      <c r="G69" s="197">
        <v>21</v>
      </c>
      <c r="H69" s="197" t="s">
        <v>208</v>
      </c>
      <c r="I69" s="197" t="s">
        <v>218</v>
      </c>
      <c r="J69" s="205" t="s">
        <v>1915</v>
      </c>
      <c r="K69" s="197" t="s">
        <v>200</v>
      </c>
      <c r="L69" s="203">
        <v>46146.304861111108</v>
      </c>
      <c r="M69" s="203">
        <v>46146.305555555555</v>
      </c>
      <c r="N69" s="197" t="s">
        <v>1931</v>
      </c>
      <c r="O69" s="151" t="s">
        <v>207</v>
      </c>
      <c r="P69" s="54"/>
      <c r="Q69" s="138" t="s">
        <v>207</v>
      </c>
      <c r="R69" s="54"/>
      <c r="S69" s="138" t="s">
        <v>214</v>
      </c>
      <c r="T69" s="54"/>
      <c r="U69" s="138" t="s">
        <v>214</v>
      </c>
      <c r="V69" s="54"/>
      <c r="W69" s="138" t="s">
        <v>214</v>
      </c>
      <c r="X69" s="54"/>
      <c r="Y69" s="138" t="s">
        <v>207</v>
      </c>
      <c r="Z69" s="177" t="str">
        <f t="shared" si="4"/>
        <v>NC</v>
      </c>
      <c r="AA69" s="297" t="str">
        <f t="shared" si="3"/>
        <v>UTILIZOU O PDA CORRETAMENTE. NÃO HÁ FOTOS DE TODAS AS ETAPAS</v>
      </c>
      <c r="AB69" s="90" t="s">
        <v>207</v>
      </c>
      <c r="AC69" s="298" t="s">
        <v>36</v>
      </c>
      <c r="AD69" s="291" t="str">
        <f t="shared" si="5"/>
        <v>SÃO PAULO</v>
      </c>
      <c r="AE69" s="299" t="s">
        <v>79</v>
      </c>
    </row>
    <row r="70" spans="1:31" s="214" customFormat="1" ht="30" customHeight="1">
      <c r="A70" s="197" t="s">
        <v>198</v>
      </c>
      <c r="B70" s="212">
        <v>2618461789</v>
      </c>
      <c r="C70" s="197" t="s">
        <v>143</v>
      </c>
      <c r="D70" s="197" t="s">
        <v>79</v>
      </c>
      <c r="E70" s="197" t="s">
        <v>35</v>
      </c>
      <c r="F70" s="197" t="s">
        <v>1986</v>
      </c>
      <c r="G70" s="197">
        <v>269</v>
      </c>
      <c r="H70" s="197" t="s">
        <v>208</v>
      </c>
      <c r="I70" s="197" t="s">
        <v>355</v>
      </c>
      <c r="J70" s="205" t="s">
        <v>1943</v>
      </c>
      <c r="K70" s="197" t="s">
        <v>200</v>
      </c>
      <c r="L70" s="203">
        <v>46147.418055555558</v>
      </c>
      <c r="M70" s="203">
        <v>46147.42291666667</v>
      </c>
      <c r="N70" s="197" t="s">
        <v>1919</v>
      </c>
      <c r="O70" s="151" t="s">
        <v>207</v>
      </c>
      <c r="P70" s="54"/>
      <c r="Q70" s="138" t="s">
        <v>207</v>
      </c>
      <c r="R70" s="54"/>
      <c r="S70" s="138" t="s">
        <v>214</v>
      </c>
      <c r="T70" s="54"/>
      <c r="U70" s="138" t="s">
        <v>214</v>
      </c>
      <c r="V70" s="54"/>
      <c r="W70" s="138" t="s">
        <v>207</v>
      </c>
      <c r="X70" s="54"/>
      <c r="Y70" s="138" t="s">
        <v>207</v>
      </c>
      <c r="Z70" s="177" t="str">
        <f t="shared" si="4"/>
        <v>NC</v>
      </c>
      <c r="AA70" s="297" t="str">
        <f t="shared" si="3"/>
        <v>UTILIZOU O PDA CORRETAMENTE. NÃO HÁ FOTOS DE TODAS AS ETAPAS</v>
      </c>
      <c r="AB70" s="90" t="s">
        <v>207</v>
      </c>
      <c r="AC70" s="298" t="s">
        <v>36</v>
      </c>
      <c r="AD70" s="291" t="str">
        <f t="shared" si="5"/>
        <v>SÃO PAULO</v>
      </c>
      <c r="AE70" s="299" t="s">
        <v>79</v>
      </c>
    </row>
    <row r="71" spans="1:31" s="214" customFormat="1" ht="30" customHeight="1">
      <c r="A71" s="197" t="s">
        <v>198</v>
      </c>
      <c r="B71" s="212">
        <v>2618502028</v>
      </c>
      <c r="C71" s="197" t="s">
        <v>1923</v>
      </c>
      <c r="D71" s="197" t="s">
        <v>79</v>
      </c>
      <c r="E71" s="197" t="s">
        <v>35</v>
      </c>
      <c r="F71" s="197" t="s">
        <v>650</v>
      </c>
      <c r="G71" s="197">
        <v>109</v>
      </c>
      <c r="H71" s="197" t="s">
        <v>200</v>
      </c>
      <c r="I71" s="197" t="s">
        <v>408</v>
      </c>
      <c r="J71" s="205" t="s">
        <v>1915</v>
      </c>
      <c r="K71" s="197" t="s">
        <v>200</v>
      </c>
      <c r="L71" s="203">
        <v>46146.329861111109</v>
      </c>
      <c r="M71" s="203">
        <v>46146.332638888889</v>
      </c>
      <c r="N71" s="197" t="s">
        <v>1931</v>
      </c>
      <c r="O71" s="151" t="s">
        <v>207</v>
      </c>
      <c r="P71" s="54"/>
      <c r="Q71" s="138" t="s">
        <v>207</v>
      </c>
      <c r="R71" s="54"/>
      <c r="S71" s="138" t="s">
        <v>214</v>
      </c>
      <c r="T71" s="54"/>
      <c r="U71" s="138" t="s">
        <v>214</v>
      </c>
      <c r="V71" s="54"/>
      <c r="W71" s="138" t="s">
        <v>207</v>
      </c>
      <c r="X71" s="54"/>
      <c r="Y71" s="138" t="s">
        <v>207</v>
      </c>
      <c r="Z71" s="177" t="str">
        <f t="shared" si="4"/>
        <v>NC</v>
      </c>
      <c r="AA71" s="297" t="str">
        <f t="shared" si="3"/>
        <v>UTILIZOU O PDA CORRETAMENTE. NÃO HÁ FOTOS DE TODAS AS ETAPAS</v>
      </c>
      <c r="AB71" s="90" t="s">
        <v>207</v>
      </c>
      <c r="AC71" s="298" t="s">
        <v>36</v>
      </c>
      <c r="AD71" s="291" t="str">
        <f t="shared" si="5"/>
        <v>SÃO PAULO</v>
      </c>
      <c r="AE71" s="299" t="s">
        <v>79</v>
      </c>
    </row>
    <row r="72" spans="1:31" s="214" customFormat="1" ht="30" customHeight="1">
      <c r="A72" s="197" t="s">
        <v>198</v>
      </c>
      <c r="B72" s="212">
        <v>2618476250</v>
      </c>
      <c r="C72" s="197" t="s">
        <v>143</v>
      </c>
      <c r="D72" s="197" t="s">
        <v>79</v>
      </c>
      <c r="E72" s="197" t="s">
        <v>35</v>
      </c>
      <c r="F72" s="197" t="s">
        <v>622</v>
      </c>
      <c r="G72" s="197">
        <v>496</v>
      </c>
      <c r="H72" s="197"/>
      <c r="I72" s="197" t="s">
        <v>433</v>
      </c>
      <c r="J72" s="205" t="s">
        <v>1918</v>
      </c>
      <c r="K72" s="197"/>
      <c r="L72" s="203">
        <v>46147.324999999997</v>
      </c>
      <c r="M72" s="203">
        <v>46147.334722222222</v>
      </c>
      <c r="N72" s="197" t="s">
        <v>1919</v>
      </c>
      <c r="O72" s="151" t="s">
        <v>207</v>
      </c>
      <c r="P72" s="54"/>
      <c r="Q72" s="138" t="s">
        <v>207</v>
      </c>
      <c r="R72" s="54"/>
      <c r="S72" s="138" t="s">
        <v>214</v>
      </c>
      <c r="T72" s="54"/>
      <c r="U72" s="138" t="s">
        <v>214</v>
      </c>
      <c r="V72" s="54"/>
      <c r="W72" s="138" t="s">
        <v>207</v>
      </c>
      <c r="X72" s="54"/>
      <c r="Y72" s="138" t="s">
        <v>207</v>
      </c>
      <c r="Z72" s="177" t="str">
        <f t="shared" si="4"/>
        <v>NC</v>
      </c>
      <c r="AA72" s="297" t="str">
        <f t="shared" si="3"/>
        <v>UTILIZOU O PDA CORRETAMENTE. NÃO HÁ FOTOS DE TODAS AS ETAPAS</v>
      </c>
      <c r="AB72" s="90" t="s">
        <v>207</v>
      </c>
      <c r="AC72" s="298" t="s">
        <v>36</v>
      </c>
      <c r="AD72" s="291" t="str">
        <f t="shared" si="5"/>
        <v>SÃO PAULO</v>
      </c>
      <c r="AE72" s="299" t="s">
        <v>79</v>
      </c>
    </row>
    <row r="73" spans="1:31" s="214" customFormat="1" ht="30" customHeight="1">
      <c r="A73" s="197" t="s">
        <v>198</v>
      </c>
      <c r="B73" s="212">
        <v>2618602485</v>
      </c>
      <c r="C73" s="197" t="s">
        <v>1923</v>
      </c>
      <c r="D73" s="197" t="s">
        <v>79</v>
      </c>
      <c r="E73" s="197" t="s">
        <v>35</v>
      </c>
      <c r="F73" s="197" t="s">
        <v>1987</v>
      </c>
      <c r="G73" s="197">
        <v>556</v>
      </c>
      <c r="H73" s="197" t="s">
        <v>200</v>
      </c>
      <c r="I73" s="197" t="s">
        <v>527</v>
      </c>
      <c r="J73" s="205" t="s">
        <v>1915</v>
      </c>
      <c r="K73" s="197" t="s">
        <v>200</v>
      </c>
      <c r="L73" s="203">
        <v>46147.079861111109</v>
      </c>
      <c r="M73" s="203">
        <v>46147.093055555553</v>
      </c>
      <c r="N73" s="197" t="s">
        <v>390</v>
      </c>
      <c r="O73" s="151" t="s">
        <v>207</v>
      </c>
      <c r="P73" s="54"/>
      <c r="Q73" s="138" t="s">
        <v>207</v>
      </c>
      <c r="R73" s="54"/>
      <c r="S73" s="138" t="s">
        <v>207</v>
      </c>
      <c r="T73" s="54"/>
      <c r="U73" s="138" t="s">
        <v>207</v>
      </c>
      <c r="V73" s="54"/>
      <c r="W73" s="138" t="s">
        <v>207</v>
      </c>
      <c r="X73" s="54"/>
      <c r="Y73" s="138" t="s">
        <v>207</v>
      </c>
      <c r="Z73" s="177" t="str">
        <f t="shared" si="4"/>
        <v>C</v>
      </c>
      <c r="AA73" s="297" t="str">
        <f t="shared" si="3"/>
        <v>UTILIZOU O PDA CORRETAMENTE</v>
      </c>
      <c r="AB73" s="90" t="s">
        <v>207</v>
      </c>
      <c r="AC73" s="298" t="s">
        <v>36</v>
      </c>
      <c r="AD73" s="291" t="str">
        <f t="shared" si="5"/>
        <v>SÃO PAULO</v>
      </c>
      <c r="AE73" s="299" t="s">
        <v>79</v>
      </c>
    </row>
    <row r="74" spans="1:31" s="214" customFormat="1" ht="30" customHeight="1">
      <c r="A74" s="197" t="s">
        <v>198</v>
      </c>
      <c r="B74" s="212">
        <v>2618630399</v>
      </c>
      <c r="C74" s="197" t="s">
        <v>1923</v>
      </c>
      <c r="D74" s="197" t="s">
        <v>79</v>
      </c>
      <c r="E74" s="197" t="s">
        <v>35</v>
      </c>
      <c r="F74" s="197" t="s">
        <v>1988</v>
      </c>
      <c r="G74" s="197">
        <v>3</v>
      </c>
      <c r="H74" s="197"/>
      <c r="I74" s="197" t="s">
        <v>1989</v>
      </c>
      <c r="J74" s="205" t="s">
        <v>1915</v>
      </c>
      <c r="K74" s="197"/>
      <c r="L74" s="203">
        <v>46147.668749999997</v>
      </c>
      <c r="M74" s="203">
        <v>46147.669444444444</v>
      </c>
      <c r="N74" s="197" t="s">
        <v>1916</v>
      </c>
      <c r="O74" s="151" t="s">
        <v>207</v>
      </c>
      <c r="P74" s="54"/>
      <c r="Q74" s="138" t="s">
        <v>207</v>
      </c>
      <c r="R74" s="54"/>
      <c r="S74" s="138" t="s">
        <v>214</v>
      </c>
      <c r="T74" s="54"/>
      <c r="U74" s="138" t="s">
        <v>214</v>
      </c>
      <c r="V74" s="54"/>
      <c r="W74" s="138" t="s">
        <v>214</v>
      </c>
      <c r="X74" s="54"/>
      <c r="Y74" s="138" t="s">
        <v>207</v>
      </c>
      <c r="Z74" s="177" t="str">
        <f t="shared" si="4"/>
        <v>NC</v>
      </c>
      <c r="AA74" s="297" t="str">
        <f t="shared" si="3"/>
        <v>UTILIZOU O PDA CORRETAMENTE. NÃO HÁ FOTOS DE TODAS AS ETAPAS</v>
      </c>
      <c r="AB74" s="90" t="s">
        <v>207</v>
      </c>
      <c r="AC74" s="298" t="s">
        <v>36</v>
      </c>
      <c r="AD74" s="291" t="str">
        <f t="shared" si="5"/>
        <v>SÃO PAULO</v>
      </c>
      <c r="AE74" s="299" t="s">
        <v>79</v>
      </c>
    </row>
    <row r="75" spans="1:31" s="214" customFormat="1" ht="30" customHeight="1">
      <c r="A75" s="197" t="s">
        <v>198</v>
      </c>
      <c r="B75" s="212">
        <v>2618693370</v>
      </c>
      <c r="C75" s="197" t="s">
        <v>1923</v>
      </c>
      <c r="D75" s="197" t="s">
        <v>79</v>
      </c>
      <c r="E75" s="197" t="s">
        <v>35</v>
      </c>
      <c r="F75" s="197" t="s">
        <v>1967</v>
      </c>
      <c r="G75" s="197">
        <v>179</v>
      </c>
      <c r="H75" s="197" t="s">
        <v>325</v>
      </c>
      <c r="I75" s="197" t="s">
        <v>281</v>
      </c>
      <c r="J75" s="205" t="s">
        <v>1915</v>
      </c>
      <c r="K75" s="197" t="s">
        <v>200</v>
      </c>
      <c r="L75" s="203">
        <v>46147.668055555558</v>
      </c>
      <c r="M75" s="203">
        <v>46147.668749999997</v>
      </c>
      <c r="N75" s="197" t="s">
        <v>1916</v>
      </c>
      <c r="O75" s="151" t="s">
        <v>207</v>
      </c>
      <c r="P75" s="54"/>
      <c r="Q75" s="138" t="s">
        <v>207</v>
      </c>
      <c r="R75" s="54"/>
      <c r="S75" s="138" t="s">
        <v>214</v>
      </c>
      <c r="T75" s="54"/>
      <c r="U75" s="138" t="s">
        <v>214</v>
      </c>
      <c r="V75" s="54"/>
      <c r="W75" s="138" t="s">
        <v>214</v>
      </c>
      <c r="X75" s="54"/>
      <c r="Y75" s="138" t="s">
        <v>207</v>
      </c>
      <c r="Z75" s="177" t="str">
        <f t="shared" si="4"/>
        <v>NC</v>
      </c>
      <c r="AA75" s="297" t="str">
        <f t="shared" si="3"/>
        <v>UTILIZOU O PDA CORRETAMENTE. NÃO HÁ FOTOS DE TODAS AS ETAPAS</v>
      </c>
      <c r="AB75" s="90"/>
      <c r="AC75" s="298" t="s">
        <v>36</v>
      </c>
      <c r="AD75" s="291" t="str">
        <f t="shared" si="5"/>
        <v>SÃO PAULO</v>
      </c>
      <c r="AE75" s="299" t="s">
        <v>79</v>
      </c>
    </row>
    <row r="76" spans="1:31" s="214" customFormat="1" ht="30" customHeight="1">
      <c r="A76" s="197" t="s">
        <v>198</v>
      </c>
      <c r="B76" s="212">
        <v>2618672978</v>
      </c>
      <c r="C76" s="197" t="s">
        <v>1923</v>
      </c>
      <c r="D76" s="197" t="s">
        <v>79</v>
      </c>
      <c r="E76" s="197" t="s">
        <v>35</v>
      </c>
      <c r="F76" s="197" t="s">
        <v>1990</v>
      </c>
      <c r="G76" s="197">
        <v>11</v>
      </c>
      <c r="H76" s="197" t="s">
        <v>208</v>
      </c>
      <c r="I76" s="197" t="s">
        <v>256</v>
      </c>
      <c r="J76" s="205" t="s">
        <v>1915</v>
      </c>
      <c r="K76" s="197"/>
      <c r="L76" s="203">
        <v>46147.213194444441</v>
      </c>
      <c r="M76" s="203">
        <v>46147.213888888888</v>
      </c>
      <c r="N76" s="197" t="s">
        <v>1922</v>
      </c>
      <c r="O76" s="151" t="s">
        <v>215</v>
      </c>
      <c r="P76" s="54" t="s">
        <v>227</v>
      </c>
      <c r="Q76" s="138" t="s">
        <v>215</v>
      </c>
      <c r="R76" s="54" t="s">
        <v>227</v>
      </c>
      <c r="S76" s="138" t="s">
        <v>215</v>
      </c>
      <c r="T76" s="54" t="s">
        <v>227</v>
      </c>
      <c r="U76" s="138" t="s">
        <v>215</v>
      </c>
      <c r="V76" s="54" t="s">
        <v>227</v>
      </c>
      <c r="W76" s="138" t="s">
        <v>215</v>
      </c>
      <c r="X76" s="54" t="s">
        <v>227</v>
      </c>
      <c r="Y76" s="138" t="s">
        <v>215</v>
      </c>
      <c r="Z76" s="177" t="str">
        <f t="shared" si="4"/>
        <v>NC</v>
      </c>
      <c r="AA76" s="297" t="str">
        <f t="shared" si="3"/>
        <v>NÃO UTILIZOU O PDA</v>
      </c>
      <c r="AB76" s="90" t="s">
        <v>207</v>
      </c>
      <c r="AC76" s="298" t="s">
        <v>36</v>
      </c>
      <c r="AD76" s="291" t="str">
        <f t="shared" si="5"/>
        <v>SÃO PAULO</v>
      </c>
      <c r="AE76" s="299" t="s">
        <v>79</v>
      </c>
    </row>
    <row r="77" spans="1:31" s="214" customFormat="1" ht="30" customHeight="1">
      <c r="A77" s="197" t="s">
        <v>198</v>
      </c>
      <c r="B77" s="212">
        <v>2692391013</v>
      </c>
      <c r="C77" s="197" t="s">
        <v>146</v>
      </c>
      <c r="D77" s="197" t="s">
        <v>79</v>
      </c>
      <c r="E77" s="197" t="s">
        <v>35</v>
      </c>
      <c r="F77" s="197" t="s">
        <v>1991</v>
      </c>
      <c r="G77" s="197">
        <v>80</v>
      </c>
      <c r="H77" s="197"/>
      <c r="I77" s="197" t="s">
        <v>300</v>
      </c>
      <c r="J77" s="205" t="s">
        <v>1915</v>
      </c>
      <c r="K77" s="197"/>
      <c r="L77" s="203">
        <v>46147.384027777778</v>
      </c>
      <c r="M77" s="203">
        <v>46147.388888888891</v>
      </c>
      <c r="N77" s="197" t="s">
        <v>390</v>
      </c>
      <c r="O77" s="151" t="s">
        <v>207</v>
      </c>
      <c r="P77" s="54"/>
      <c r="Q77" s="138" t="s">
        <v>207</v>
      </c>
      <c r="R77" s="54"/>
      <c r="S77" s="138" t="s">
        <v>214</v>
      </c>
      <c r="T77" s="54"/>
      <c r="U77" s="138" t="s">
        <v>207</v>
      </c>
      <c r="V77" s="54"/>
      <c r="W77" s="138" t="s">
        <v>207</v>
      </c>
      <c r="X77" s="54"/>
      <c r="Y77" s="138" t="s">
        <v>207</v>
      </c>
      <c r="Z77" s="177" t="str">
        <f t="shared" si="4"/>
        <v>NC</v>
      </c>
      <c r="AA77" s="297" t="str">
        <f t="shared" si="3"/>
        <v>UTILIZOU O PDA CORRETAMENTE. NÃO HÁ FOTOS DE TODAS AS ETAPAS</v>
      </c>
      <c r="AB77" s="90" t="s">
        <v>207</v>
      </c>
      <c r="AC77" s="298" t="s">
        <v>36</v>
      </c>
      <c r="AD77" s="291" t="str">
        <f t="shared" si="5"/>
        <v>SÃO PAULO</v>
      </c>
      <c r="AE77" s="299" t="s">
        <v>79</v>
      </c>
    </row>
    <row r="78" spans="1:31" s="214" customFormat="1" ht="30" customHeight="1">
      <c r="A78" s="197" t="s">
        <v>198</v>
      </c>
      <c r="B78" s="212">
        <v>2618611146</v>
      </c>
      <c r="C78" s="197" t="s">
        <v>143</v>
      </c>
      <c r="D78" s="197" t="s">
        <v>79</v>
      </c>
      <c r="E78" s="197" t="s">
        <v>35</v>
      </c>
      <c r="F78" s="197" t="s">
        <v>1992</v>
      </c>
      <c r="G78" s="197">
        <v>441</v>
      </c>
      <c r="H78" s="197" t="s">
        <v>208</v>
      </c>
      <c r="I78" s="197" t="s">
        <v>440</v>
      </c>
      <c r="J78" s="205" t="s">
        <v>1915</v>
      </c>
      <c r="K78" s="197"/>
      <c r="L78" s="203">
        <v>46146.568749999999</v>
      </c>
      <c r="M78" s="203">
        <v>46146.570138888892</v>
      </c>
      <c r="N78" s="197" t="s">
        <v>1931</v>
      </c>
      <c r="O78" s="151" t="s">
        <v>207</v>
      </c>
      <c r="P78" s="54"/>
      <c r="Q78" s="138" t="s">
        <v>214</v>
      </c>
      <c r="R78" s="54"/>
      <c r="S78" s="138" t="s">
        <v>214</v>
      </c>
      <c r="T78" s="54"/>
      <c r="U78" s="138" t="s">
        <v>214</v>
      </c>
      <c r="V78" s="54"/>
      <c r="W78" s="138" t="s">
        <v>207</v>
      </c>
      <c r="X78" s="54"/>
      <c r="Y78" s="138" t="s">
        <v>207</v>
      </c>
      <c r="Z78" s="177" t="str">
        <f t="shared" si="4"/>
        <v>NC</v>
      </c>
      <c r="AA78" s="297" t="str">
        <f t="shared" si="3"/>
        <v>UTILIZOU O PDA CORRETAMENTE. NÃO HÁ FOTOS DE TODAS AS ETAPAS</v>
      </c>
      <c r="AB78" s="90" t="s">
        <v>207</v>
      </c>
      <c r="AC78" s="298" t="s">
        <v>36</v>
      </c>
      <c r="AD78" s="291" t="str">
        <f t="shared" si="5"/>
        <v>SÃO PAULO</v>
      </c>
      <c r="AE78" s="299" t="s">
        <v>79</v>
      </c>
    </row>
    <row r="79" spans="1:31" s="214" customFormat="1" ht="30" customHeight="1">
      <c r="A79" s="197" t="s">
        <v>198</v>
      </c>
      <c r="B79" s="212">
        <v>2618678550</v>
      </c>
      <c r="C79" s="197" t="s">
        <v>1923</v>
      </c>
      <c r="D79" s="197" t="s">
        <v>79</v>
      </c>
      <c r="E79" s="197" t="s">
        <v>35</v>
      </c>
      <c r="F79" s="197" t="s">
        <v>849</v>
      </c>
      <c r="G79" s="197">
        <v>35</v>
      </c>
      <c r="H79" s="197" t="s">
        <v>200</v>
      </c>
      <c r="I79" s="197" t="s">
        <v>355</v>
      </c>
      <c r="J79" s="205" t="s">
        <v>1915</v>
      </c>
      <c r="K79" s="197" t="s">
        <v>200</v>
      </c>
      <c r="L79" s="203">
        <v>46147.429861111108</v>
      </c>
      <c r="M79" s="203">
        <v>46147.435416666667</v>
      </c>
      <c r="N79" s="197" t="s">
        <v>1919</v>
      </c>
      <c r="O79" s="151" t="s">
        <v>207</v>
      </c>
      <c r="P79" s="54"/>
      <c r="Q79" s="138" t="s">
        <v>207</v>
      </c>
      <c r="R79" s="54"/>
      <c r="S79" s="138" t="s">
        <v>207</v>
      </c>
      <c r="T79" s="54"/>
      <c r="U79" s="138" t="s">
        <v>207</v>
      </c>
      <c r="V79" s="54"/>
      <c r="W79" s="138" t="s">
        <v>207</v>
      </c>
      <c r="X79" s="54"/>
      <c r="Y79" s="138" t="s">
        <v>207</v>
      </c>
      <c r="Z79" s="177" t="str">
        <f t="shared" si="4"/>
        <v>C</v>
      </c>
      <c r="AA79" s="297" t="str">
        <f t="shared" si="3"/>
        <v>UTILIZOU O PDA CORRETAMENTE</v>
      </c>
      <c r="AB79" s="90" t="s">
        <v>207</v>
      </c>
      <c r="AC79" s="298" t="s">
        <v>36</v>
      </c>
      <c r="AD79" s="291" t="str">
        <f t="shared" si="5"/>
        <v>SÃO PAULO</v>
      </c>
      <c r="AE79" s="299" t="s">
        <v>79</v>
      </c>
    </row>
    <row r="80" spans="1:31" s="214" customFormat="1" ht="30" customHeight="1">
      <c r="A80" s="197" t="s">
        <v>198</v>
      </c>
      <c r="B80" s="212">
        <v>2618611546</v>
      </c>
      <c r="C80" s="197" t="s">
        <v>143</v>
      </c>
      <c r="D80" s="197" t="s">
        <v>79</v>
      </c>
      <c r="E80" s="197" t="s">
        <v>35</v>
      </c>
      <c r="F80" s="197" t="s">
        <v>1993</v>
      </c>
      <c r="G80" s="197">
        <v>263</v>
      </c>
      <c r="H80" s="197"/>
      <c r="I80" s="197" t="s">
        <v>402</v>
      </c>
      <c r="J80" s="205" t="s">
        <v>1932</v>
      </c>
      <c r="K80" s="197"/>
      <c r="L80" s="203">
        <v>46147.462500000001</v>
      </c>
      <c r="M80" s="203">
        <v>46147.468055555553</v>
      </c>
      <c r="N80" s="197" t="s">
        <v>1919</v>
      </c>
      <c r="O80" s="151" t="s">
        <v>207</v>
      </c>
      <c r="P80" s="54"/>
      <c r="Q80" s="138" t="s">
        <v>207</v>
      </c>
      <c r="R80" s="54"/>
      <c r="S80" s="138" t="s">
        <v>214</v>
      </c>
      <c r="T80" s="54"/>
      <c r="U80" s="138" t="s">
        <v>214</v>
      </c>
      <c r="V80" s="54"/>
      <c r="W80" s="138" t="s">
        <v>207</v>
      </c>
      <c r="X80" s="54"/>
      <c r="Y80" s="138" t="s">
        <v>207</v>
      </c>
      <c r="Z80" s="177" t="str">
        <f t="shared" si="4"/>
        <v>NC</v>
      </c>
      <c r="AA80" s="297" t="str">
        <f t="shared" si="3"/>
        <v>UTILIZOU O PDA CORRETAMENTE. NÃO HÁ FOTOS DE TODAS AS ETAPAS</v>
      </c>
      <c r="AB80" s="90" t="s">
        <v>207</v>
      </c>
      <c r="AC80" s="298" t="s">
        <v>36</v>
      </c>
      <c r="AD80" s="291" t="str">
        <f t="shared" si="5"/>
        <v>SÃO PAULO</v>
      </c>
      <c r="AE80" s="299" t="s">
        <v>79</v>
      </c>
    </row>
    <row r="81" spans="1:31" s="214" customFormat="1" ht="30" customHeight="1">
      <c r="A81" s="197" t="s">
        <v>198</v>
      </c>
      <c r="B81" s="212">
        <v>2618605686</v>
      </c>
      <c r="C81" s="197" t="s">
        <v>143</v>
      </c>
      <c r="D81" s="197" t="s">
        <v>79</v>
      </c>
      <c r="E81" s="197" t="s">
        <v>35</v>
      </c>
      <c r="F81" s="197" t="s">
        <v>1994</v>
      </c>
      <c r="G81" s="197">
        <v>16</v>
      </c>
      <c r="H81" s="197" t="s">
        <v>205</v>
      </c>
      <c r="I81" s="197" t="s">
        <v>259</v>
      </c>
      <c r="J81" s="205" t="s">
        <v>1918</v>
      </c>
      <c r="K81" s="197" t="s">
        <v>200</v>
      </c>
      <c r="L81" s="203">
        <v>46147.55</v>
      </c>
      <c r="M81" s="203">
        <v>46147.561805555553</v>
      </c>
      <c r="N81" s="197" t="s">
        <v>1919</v>
      </c>
      <c r="O81" s="151" t="s">
        <v>214</v>
      </c>
      <c r="P81" s="54"/>
      <c r="Q81" s="138" t="s">
        <v>207</v>
      </c>
      <c r="R81" s="54"/>
      <c r="S81" s="138" t="s">
        <v>214</v>
      </c>
      <c r="T81" s="54"/>
      <c r="U81" s="138" t="s">
        <v>214</v>
      </c>
      <c r="V81" s="54"/>
      <c r="W81" s="138" t="s">
        <v>207</v>
      </c>
      <c r="X81" s="54"/>
      <c r="Y81" s="138" t="s">
        <v>207</v>
      </c>
      <c r="Z81" s="177" t="str">
        <f t="shared" si="4"/>
        <v>NC</v>
      </c>
      <c r="AA81" s="297" t="str">
        <f t="shared" si="3"/>
        <v>UTILIZOU O PDA CORRETAMENTE. NÃO HÁ FOTOS DE TODAS AS ETAPAS</v>
      </c>
      <c r="AB81" s="90" t="s">
        <v>207</v>
      </c>
      <c r="AC81" s="298" t="s">
        <v>36</v>
      </c>
      <c r="AD81" s="291" t="str">
        <f t="shared" si="5"/>
        <v>SÃO PAULO</v>
      </c>
      <c r="AE81" s="299" t="s">
        <v>79</v>
      </c>
    </row>
    <row r="82" spans="1:31" s="214" customFormat="1" ht="30" customHeight="1">
      <c r="A82" s="197" t="s">
        <v>198</v>
      </c>
      <c r="B82" s="212">
        <v>2618681596</v>
      </c>
      <c r="C82" s="197" t="s">
        <v>1923</v>
      </c>
      <c r="D82" s="197" t="s">
        <v>79</v>
      </c>
      <c r="E82" s="197" t="s">
        <v>35</v>
      </c>
      <c r="F82" s="197" t="s">
        <v>1449</v>
      </c>
      <c r="G82" s="197">
        <v>99</v>
      </c>
      <c r="H82" s="197" t="s">
        <v>205</v>
      </c>
      <c r="I82" s="197" t="s">
        <v>277</v>
      </c>
      <c r="J82" s="205" t="s">
        <v>1915</v>
      </c>
      <c r="K82" s="197"/>
      <c r="L82" s="203">
        <v>46147.355555555558</v>
      </c>
      <c r="M82" s="203">
        <v>46147.35833333333</v>
      </c>
      <c r="N82" s="197" t="s">
        <v>1925</v>
      </c>
      <c r="O82" s="151" t="s">
        <v>214</v>
      </c>
      <c r="P82" s="54"/>
      <c r="Q82" s="138" t="s">
        <v>207</v>
      </c>
      <c r="R82" s="54"/>
      <c r="S82" s="138" t="s">
        <v>207</v>
      </c>
      <c r="T82" s="54"/>
      <c r="U82" s="138" t="s">
        <v>214</v>
      </c>
      <c r="V82" s="54"/>
      <c r="W82" s="138" t="s">
        <v>207</v>
      </c>
      <c r="X82" s="54"/>
      <c r="Y82" s="138" t="s">
        <v>207</v>
      </c>
      <c r="Z82" s="177" t="str">
        <f t="shared" si="4"/>
        <v>NC</v>
      </c>
      <c r="AA82" s="297" t="str">
        <f t="shared" si="3"/>
        <v>UTILIZOU O PDA CORRETAMENTE. NÃO HÁ FOTOS DE TODAS AS ETAPAS</v>
      </c>
      <c r="AB82" s="90" t="s">
        <v>207</v>
      </c>
      <c r="AC82" s="298" t="s">
        <v>36</v>
      </c>
      <c r="AD82" s="291" t="str">
        <f t="shared" si="5"/>
        <v>SÃO PAULO</v>
      </c>
      <c r="AE82" s="299" t="s">
        <v>79</v>
      </c>
    </row>
    <row r="83" spans="1:31" s="214" customFormat="1" ht="30" customHeight="1">
      <c r="A83" s="197" t="s">
        <v>198</v>
      </c>
      <c r="B83" s="212">
        <v>2618674958</v>
      </c>
      <c r="C83" s="197" t="s">
        <v>1923</v>
      </c>
      <c r="D83" s="197" t="s">
        <v>79</v>
      </c>
      <c r="E83" s="197" t="s">
        <v>35</v>
      </c>
      <c r="F83" s="197" t="s">
        <v>1995</v>
      </c>
      <c r="G83" s="197">
        <v>91</v>
      </c>
      <c r="H83" s="197" t="s">
        <v>205</v>
      </c>
      <c r="I83" s="197" t="s">
        <v>355</v>
      </c>
      <c r="J83" s="205" t="s">
        <v>1932</v>
      </c>
      <c r="K83" s="197" t="s">
        <v>200</v>
      </c>
      <c r="L83" s="203">
        <v>46147.474305555559</v>
      </c>
      <c r="M83" s="203">
        <v>46147.474305555559</v>
      </c>
      <c r="N83" s="197" t="s">
        <v>1919</v>
      </c>
      <c r="O83" s="151" t="s">
        <v>215</v>
      </c>
      <c r="P83" s="54" t="s">
        <v>1996</v>
      </c>
      <c r="Q83" s="138" t="s">
        <v>207</v>
      </c>
      <c r="R83" s="54"/>
      <c r="S83" s="138" t="s">
        <v>214</v>
      </c>
      <c r="T83" s="54"/>
      <c r="U83" s="138" t="s">
        <v>214</v>
      </c>
      <c r="V83" s="54"/>
      <c r="W83" s="138" t="s">
        <v>214</v>
      </c>
      <c r="X83" s="54"/>
      <c r="Y83" s="138" t="s">
        <v>207</v>
      </c>
      <c r="Z83" s="177" t="str">
        <f t="shared" si="4"/>
        <v>NC</v>
      </c>
      <c r="AA83" s="297" t="str">
        <f t="shared" si="3"/>
        <v>UTILIZOU O PDA CORRETAMENTE. NÃO HÁ FOTOS DE TODAS AS ETAPAS</v>
      </c>
      <c r="AB83" s="90" t="s">
        <v>207</v>
      </c>
      <c r="AC83" s="298" t="s">
        <v>36</v>
      </c>
      <c r="AD83" s="291" t="str">
        <f t="shared" si="5"/>
        <v>SÃO PAULO</v>
      </c>
      <c r="AE83" s="299" t="s">
        <v>79</v>
      </c>
    </row>
    <row r="84" spans="1:31" s="214" customFormat="1" ht="30" customHeight="1">
      <c r="A84" s="197" t="s">
        <v>198</v>
      </c>
      <c r="B84" s="212">
        <v>2618690331</v>
      </c>
      <c r="C84" s="197" t="s">
        <v>1923</v>
      </c>
      <c r="D84" s="197" t="s">
        <v>79</v>
      </c>
      <c r="E84" s="197" t="s">
        <v>35</v>
      </c>
      <c r="F84" s="197" t="s">
        <v>1449</v>
      </c>
      <c r="G84" s="197">
        <v>39</v>
      </c>
      <c r="H84" s="197" t="s">
        <v>208</v>
      </c>
      <c r="I84" s="197" t="s">
        <v>277</v>
      </c>
      <c r="J84" s="205" t="s">
        <v>1915</v>
      </c>
      <c r="K84" s="197"/>
      <c r="L84" s="203">
        <v>46147.361111111109</v>
      </c>
      <c r="M84" s="203">
        <v>46147.365972222222</v>
      </c>
      <c r="N84" s="197" t="s">
        <v>1925</v>
      </c>
      <c r="O84" s="151" t="s">
        <v>207</v>
      </c>
      <c r="P84" s="54"/>
      <c r="Q84" s="138" t="s">
        <v>207</v>
      </c>
      <c r="R84" s="54"/>
      <c r="S84" s="138" t="s">
        <v>207</v>
      </c>
      <c r="T84" s="54"/>
      <c r="U84" s="138" t="s">
        <v>207</v>
      </c>
      <c r="V84" s="54"/>
      <c r="W84" s="138" t="s">
        <v>207</v>
      </c>
      <c r="X84" s="54"/>
      <c r="Y84" s="138" t="s">
        <v>207</v>
      </c>
      <c r="Z84" s="177" t="str">
        <f t="shared" si="4"/>
        <v>C</v>
      </c>
      <c r="AA84" s="297" t="str">
        <f t="shared" si="3"/>
        <v>UTILIZOU O PDA CORRETAMENTE</v>
      </c>
      <c r="AB84" s="90" t="s">
        <v>207</v>
      </c>
      <c r="AC84" s="298" t="s">
        <v>36</v>
      </c>
      <c r="AD84" s="291" t="str">
        <f t="shared" si="5"/>
        <v>SÃO PAULO</v>
      </c>
      <c r="AE84" s="299" t="s">
        <v>79</v>
      </c>
    </row>
    <row r="85" spans="1:31" s="214" customFormat="1" ht="30" customHeight="1">
      <c r="A85" s="197" t="s">
        <v>198</v>
      </c>
      <c r="B85" s="212">
        <v>2618445832</v>
      </c>
      <c r="C85" s="197" t="s">
        <v>143</v>
      </c>
      <c r="D85" s="197" t="s">
        <v>79</v>
      </c>
      <c r="E85" s="197" t="s">
        <v>35</v>
      </c>
      <c r="F85" s="197" t="s">
        <v>450</v>
      </c>
      <c r="G85" s="197">
        <v>44</v>
      </c>
      <c r="H85" s="197" t="s">
        <v>200</v>
      </c>
      <c r="I85" s="197" t="s">
        <v>371</v>
      </c>
      <c r="J85" s="205" t="s">
        <v>1943</v>
      </c>
      <c r="K85" s="197" t="s">
        <v>200</v>
      </c>
      <c r="L85" s="203">
        <v>46147.197222222225</v>
      </c>
      <c r="M85" s="203">
        <v>46147.197916666664</v>
      </c>
      <c r="N85" s="197" t="s">
        <v>320</v>
      </c>
      <c r="O85" s="151" t="s">
        <v>214</v>
      </c>
      <c r="P85" s="54"/>
      <c r="Q85" s="138" t="s">
        <v>207</v>
      </c>
      <c r="R85" s="54"/>
      <c r="S85" s="138" t="s">
        <v>214</v>
      </c>
      <c r="T85" s="54"/>
      <c r="U85" s="138" t="s">
        <v>214</v>
      </c>
      <c r="V85" s="54"/>
      <c r="W85" s="138" t="s">
        <v>214</v>
      </c>
      <c r="X85" s="54"/>
      <c r="Y85" s="138" t="s">
        <v>207</v>
      </c>
      <c r="Z85" s="177" t="str">
        <f t="shared" si="4"/>
        <v>NC</v>
      </c>
      <c r="AA85" s="297" t="str">
        <f t="shared" si="3"/>
        <v>UTILIZOU O PDA CORRETAMENTE. NÃO HÁ FOTOS DE TODAS AS ETAPAS</v>
      </c>
      <c r="AB85" s="90" t="s">
        <v>207</v>
      </c>
      <c r="AC85" s="298" t="s">
        <v>36</v>
      </c>
      <c r="AD85" s="291" t="str">
        <f t="shared" si="5"/>
        <v>SÃO PAULO</v>
      </c>
      <c r="AE85" s="299" t="s">
        <v>79</v>
      </c>
    </row>
    <row r="86" spans="1:31" s="214" customFormat="1" ht="30" customHeight="1">
      <c r="A86" s="197" t="s">
        <v>198</v>
      </c>
      <c r="B86" s="212">
        <v>2618739715</v>
      </c>
      <c r="C86" s="197" t="s">
        <v>1923</v>
      </c>
      <c r="D86" s="197" t="s">
        <v>79</v>
      </c>
      <c r="E86" s="197" t="s">
        <v>35</v>
      </c>
      <c r="F86" s="197" t="s">
        <v>1997</v>
      </c>
      <c r="G86" s="197">
        <v>134</v>
      </c>
      <c r="H86" s="197" t="s">
        <v>208</v>
      </c>
      <c r="I86" s="197" t="s">
        <v>603</v>
      </c>
      <c r="J86" s="205" t="s">
        <v>1915</v>
      </c>
      <c r="K86" s="197"/>
      <c r="L86" s="203">
        <v>46147.455555555556</v>
      </c>
      <c r="M86" s="203">
        <v>46147.456250000003</v>
      </c>
      <c r="N86" s="197" t="s">
        <v>1925</v>
      </c>
      <c r="O86" s="151" t="s">
        <v>207</v>
      </c>
      <c r="P86" s="54"/>
      <c r="Q86" s="138" t="s">
        <v>207</v>
      </c>
      <c r="R86" s="54"/>
      <c r="S86" s="138" t="s">
        <v>214</v>
      </c>
      <c r="T86" s="54"/>
      <c r="U86" s="138" t="s">
        <v>214</v>
      </c>
      <c r="V86" s="54"/>
      <c r="W86" s="138" t="s">
        <v>207</v>
      </c>
      <c r="X86" s="54"/>
      <c r="Y86" s="138" t="s">
        <v>207</v>
      </c>
      <c r="Z86" s="177" t="str">
        <f t="shared" si="4"/>
        <v>NC</v>
      </c>
      <c r="AA86" s="297" t="str">
        <f t="shared" si="3"/>
        <v>UTILIZOU O PDA CORRETAMENTE. NÃO HÁ FOTOS DE TODAS AS ETAPAS</v>
      </c>
      <c r="AB86" s="90" t="s">
        <v>207</v>
      </c>
      <c r="AC86" s="298" t="s">
        <v>36</v>
      </c>
      <c r="AD86" s="291" t="str">
        <f t="shared" si="5"/>
        <v>SÃO PAULO</v>
      </c>
      <c r="AE86" s="299" t="s">
        <v>79</v>
      </c>
    </row>
    <row r="87" spans="1:31" s="214" customFormat="1" ht="30" customHeight="1">
      <c r="A87" s="197" t="s">
        <v>198</v>
      </c>
      <c r="B87" s="212">
        <v>2692417176</v>
      </c>
      <c r="C87" s="197" t="s">
        <v>142</v>
      </c>
      <c r="D87" s="197" t="s">
        <v>79</v>
      </c>
      <c r="E87" s="197" t="s">
        <v>35</v>
      </c>
      <c r="F87" s="197" t="s">
        <v>1998</v>
      </c>
      <c r="G87" s="197">
        <v>14</v>
      </c>
      <c r="H87" s="197" t="s">
        <v>200</v>
      </c>
      <c r="I87" s="197" t="s">
        <v>467</v>
      </c>
      <c r="J87" s="205" t="s">
        <v>1943</v>
      </c>
      <c r="K87" s="197" t="s">
        <v>200</v>
      </c>
      <c r="L87" s="203">
        <v>46147.302777777775</v>
      </c>
      <c r="M87" s="203">
        <v>46147.319444444445</v>
      </c>
      <c r="N87" s="197" t="s">
        <v>262</v>
      </c>
      <c r="O87" s="151" t="s">
        <v>207</v>
      </c>
      <c r="P87" s="54"/>
      <c r="Q87" s="138" t="s">
        <v>214</v>
      </c>
      <c r="R87" s="54"/>
      <c r="S87" s="138" t="s">
        <v>214</v>
      </c>
      <c r="T87" s="54"/>
      <c r="U87" s="138" t="s">
        <v>214</v>
      </c>
      <c r="V87" s="54"/>
      <c r="W87" s="138" t="s">
        <v>215</v>
      </c>
      <c r="X87" s="54" t="s">
        <v>1999</v>
      </c>
      <c r="Y87" s="138" t="s">
        <v>207</v>
      </c>
      <c r="Z87" s="177" t="str">
        <f t="shared" si="4"/>
        <v>NC</v>
      </c>
      <c r="AA87" s="297" t="str">
        <f t="shared" si="3"/>
        <v>UTILIZOU O PDA CORRETAMENTE. NÃO HÁ FOTOS DE TODAS AS ETAPAS</v>
      </c>
      <c r="AB87" s="90" t="s">
        <v>207</v>
      </c>
      <c r="AC87" s="298" t="s">
        <v>36</v>
      </c>
      <c r="AD87" s="291" t="str">
        <f t="shared" si="5"/>
        <v>SÃO PAULO</v>
      </c>
      <c r="AE87" s="299" t="s">
        <v>79</v>
      </c>
    </row>
    <row r="88" spans="1:31" s="214" customFormat="1" ht="30" customHeight="1">
      <c r="A88" s="197" t="s">
        <v>198</v>
      </c>
      <c r="B88" s="212">
        <v>2618752060</v>
      </c>
      <c r="C88" s="197" t="s">
        <v>1923</v>
      </c>
      <c r="D88" s="197" t="s">
        <v>79</v>
      </c>
      <c r="E88" s="197" t="s">
        <v>35</v>
      </c>
      <c r="F88" s="197" t="s">
        <v>711</v>
      </c>
      <c r="G88" s="197">
        <v>213</v>
      </c>
      <c r="H88" s="197" t="s">
        <v>1421</v>
      </c>
      <c r="I88" s="197" t="s">
        <v>548</v>
      </c>
      <c r="J88" s="205" t="s">
        <v>1915</v>
      </c>
      <c r="K88" s="197" t="s">
        <v>2000</v>
      </c>
      <c r="L88" s="203">
        <v>46147.518055555556</v>
      </c>
      <c r="M88" s="203">
        <v>46147.518750000003</v>
      </c>
      <c r="N88" s="197" t="s">
        <v>1925</v>
      </c>
      <c r="O88" s="151" t="s">
        <v>207</v>
      </c>
      <c r="P88" s="54"/>
      <c r="Q88" s="138" t="s">
        <v>207</v>
      </c>
      <c r="R88" s="54"/>
      <c r="S88" s="138" t="s">
        <v>214</v>
      </c>
      <c r="T88" s="54"/>
      <c r="U88" s="138" t="s">
        <v>207</v>
      </c>
      <c r="V88" s="54"/>
      <c r="W88" s="138" t="s">
        <v>214</v>
      </c>
      <c r="X88" s="54"/>
      <c r="Y88" s="138" t="s">
        <v>207</v>
      </c>
      <c r="Z88" s="177" t="str">
        <f t="shared" si="4"/>
        <v>NC</v>
      </c>
      <c r="AA88" s="297" t="str">
        <f t="shared" si="3"/>
        <v>UTILIZOU O PDA CORRETAMENTE. NÃO HÁ FOTOS DE TODAS AS ETAPAS</v>
      </c>
      <c r="AB88" s="90" t="s">
        <v>207</v>
      </c>
      <c r="AC88" s="298" t="s">
        <v>36</v>
      </c>
      <c r="AD88" s="291" t="str">
        <f t="shared" si="5"/>
        <v>SÃO PAULO</v>
      </c>
      <c r="AE88" s="299" t="s">
        <v>79</v>
      </c>
    </row>
    <row r="89" spans="1:31" s="214" customFormat="1" ht="30" customHeight="1">
      <c r="A89" s="197" t="s">
        <v>198</v>
      </c>
      <c r="B89" s="212">
        <v>2618752958</v>
      </c>
      <c r="C89" s="197" t="s">
        <v>151</v>
      </c>
      <c r="D89" s="197" t="s">
        <v>140</v>
      </c>
      <c r="E89" s="197" t="s">
        <v>35</v>
      </c>
      <c r="F89" s="197" t="s">
        <v>1086</v>
      </c>
      <c r="G89" s="197">
        <v>78</v>
      </c>
      <c r="H89" s="197" t="s">
        <v>347</v>
      </c>
      <c r="I89" s="197" t="s">
        <v>467</v>
      </c>
      <c r="J89" s="205" t="s">
        <v>1966</v>
      </c>
      <c r="K89" s="197" t="s">
        <v>200</v>
      </c>
      <c r="L89" s="203">
        <v>46147.34375</v>
      </c>
      <c r="M89" s="203">
        <v>46147.349305555559</v>
      </c>
      <c r="N89" s="197" t="s">
        <v>262</v>
      </c>
      <c r="O89" s="151" t="s">
        <v>207</v>
      </c>
      <c r="P89" s="54"/>
      <c r="Q89" s="138" t="s">
        <v>214</v>
      </c>
      <c r="R89" s="54"/>
      <c r="S89" s="138" t="s">
        <v>214</v>
      </c>
      <c r="T89" s="54"/>
      <c r="U89" s="138" t="s">
        <v>214</v>
      </c>
      <c r="V89" s="54"/>
      <c r="W89" s="138" t="s">
        <v>207</v>
      </c>
      <c r="X89" s="54"/>
      <c r="Y89" s="138" t="s">
        <v>207</v>
      </c>
      <c r="Z89" s="177" t="str">
        <f t="shared" si="4"/>
        <v>NC</v>
      </c>
      <c r="AA89" s="297" t="str">
        <f t="shared" si="3"/>
        <v>UTILIZOU O PDA CORRETAMENTE. NÃO HÁ FOTOS DE TODAS AS ETAPAS</v>
      </c>
      <c r="AB89" s="90" t="s">
        <v>207</v>
      </c>
      <c r="AC89" s="298" t="s">
        <v>36</v>
      </c>
      <c r="AD89" s="291" t="str">
        <f t="shared" si="5"/>
        <v>SÃO PAULO</v>
      </c>
      <c r="AE89" s="299" t="s">
        <v>79</v>
      </c>
    </row>
    <row r="90" spans="1:31" s="214" customFormat="1" ht="30" customHeight="1">
      <c r="A90" s="197" t="s">
        <v>198</v>
      </c>
      <c r="B90" s="212">
        <v>2618753905</v>
      </c>
      <c r="C90" s="197" t="s">
        <v>1923</v>
      </c>
      <c r="D90" s="197" t="s">
        <v>79</v>
      </c>
      <c r="E90" s="197" t="s">
        <v>35</v>
      </c>
      <c r="F90" s="197" t="s">
        <v>2001</v>
      </c>
      <c r="G90" s="197">
        <v>42</v>
      </c>
      <c r="H90" s="197"/>
      <c r="I90" s="197" t="s">
        <v>475</v>
      </c>
      <c r="J90" s="205" t="s">
        <v>1943</v>
      </c>
      <c r="K90" s="197"/>
      <c r="L90" s="203">
        <v>46147.5625</v>
      </c>
      <c r="M90" s="203">
        <v>46147.563888888886</v>
      </c>
      <c r="N90" s="197" t="s">
        <v>1919</v>
      </c>
      <c r="O90" s="151" t="s">
        <v>207</v>
      </c>
      <c r="P90" s="54"/>
      <c r="Q90" s="138" t="s">
        <v>207</v>
      </c>
      <c r="R90" s="54"/>
      <c r="S90" s="138" t="s">
        <v>214</v>
      </c>
      <c r="T90" s="54"/>
      <c r="U90" s="138" t="s">
        <v>214</v>
      </c>
      <c r="V90" s="54"/>
      <c r="W90" s="138" t="s">
        <v>207</v>
      </c>
      <c r="X90" s="54"/>
      <c r="Y90" s="138" t="s">
        <v>207</v>
      </c>
      <c r="Z90" s="177" t="str">
        <f t="shared" si="4"/>
        <v>NC</v>
      </c>
      <c r="AA90" s="297" t="str">
        <f t="shared" si="3"/>
        <v>UTILIZOU O PDA CORRETAMENTE. NÃO HÁ FOTOS DE TODAS AS ETAPAS</v>
      </c>
      <c r="AB90" s="90" t="s">
        <v>207</v>
      </c>
      <c r="AC90" s="298" t="s">
        <v>36</v>
      </c>
      <c r="AD90" s="291" t="str">
        <f t="shared" si="5"/>
        <v>SÃO PAULO</v>
      </c>
      <c r="AE90" s="299" t="s">
        <v>79</v>
      </c>
    </row>
    <row r="91" spans="1:31" s="214" customFormat="1" ht="30" customHeight="1">
      <c r="A91" s="197" t="s">
        <v>198</v>
      </c>
      <c r="B91" s="212">
        <v>2618687591</v>
      </c>
      <c r="C91" s="197" t="s">
        <v>1923</v>
      </c>
      <c r="D91" s="197" t="s">
        <v>79</v>
      </c>
      <c r="E91" s="197" t="s">
        <v>35</v>
      </c>
      <c r="F91" s="197" t="s">
        <v>1449</v>
      </c>
      <c r="G91" s="197">
        <v>361</v>
      </c>
      <c r="H91" s="197" t="s">
        <v>208</v>
      </c>
      <c r="I91" s="197" t="s">
        <v>277</v>
      </c>
      <c r="J91" s="205" t="s">
        <v>1915</v>
      </c>
      <c r="K91" s="197" t="s">
        <v>200</v>
      </c>
      <c r="L91" s="203">
        <v>46148.40902777778</v>
      </c>
      <c r="M91" s="203">
        <v>46148.415277777778</v>
      </c>
      <c r="N91" s="197" t="s">
        <v>1919</v>
      </c>
      <c r="O91" s="151" t="s">
        <v>207</v>
      </c>
      <c r="P91" s="54"/>
      <c r="Q91" s="138" t="s">
        <v>207</v>
      </c>
      <c r="R91" s="54"/>
      <c r="S91" s="138" t="s">
        <v>214</v>
      </c>
      <c r="T91" s="54"/>
      <c r="U91" s="138" t="s">
        <v>214</v>
      </c>
      <c r="V91" s="54"/>
      <c r="W91" s="138" t="s">
        <v>207</v>
      </c>
      <c r="X91" s="54"/>
      <c r="Y91" s="138" t="s">
        <v>207</v>
      </c>
      <c r="Z91" s="177" t="str">
        <f t="shared" si="4"/>
        <v>NC</v>
      </c>
      <c r="AA91" s="297" t="str">
        <f t="shared" si="3"/>
        <v>UTILIZOU O PDA CORRETAMENTE. NÃO HÁ FOTOS DE TODAS AS ETAPAS</v>
      </c>
      <c r="AB91" s="90" t="s">
        <v>207</v>
      </c>
      <c r="AC91" s="298" t="s">
        <v>36</v>
      </c>
      <c r="AD91" s="291" t="str">
        <f t="shared" si="5"/>
        <v>SÃO PAULO</v>
      </c>
      <c r="AE91" s="299" t="s">
        <v>79</v>
      </c>
    </row>
    <row r="92" spans="1:31" s="214" customFormat="1" ht="30" customHeight="1">
      <c r="A92" s="197" t="s">
        <v>198</v>
      </c>
      <c r="B92" s="212">
        <v>2618747905</v>
      </c>
      <c r="C92" s="197" t="s">
        <v>1923</v>
      </c>
      <c r="D92" s="197" t="s">
        <v>79</v>
      </c>
      <c r="E92" s="197" t="s">
        <v>35</v>
      </c>
      <c r="F92" s="197" t="s">
        <v>2002</v>
      </c>
      <c r="G92" s="197">
        <v>48</v>
      </c>
      <c r="H92" s="197" t="s">
        <v>200</v>
      </c>
      <c r="I92" s="197" t="s">
        <v>305</v>
      </c>
      <c r="J92" s="205" t="s">
        <v>1915</v>
      </c>
      <c r="K92" s="197" t="s">
        <v>2003</v>
      </c>
      <c r="L92" s="203">
        <v>46148.388194444444</v>
      </c>
      <c r="M92" s="203">
        <v>46148.390277777777</v>
      </c>
      <c r="N92" s="197" t="s">
        <v>1919</v>
      </c>
      <c r="O92" s="151" t="s">
        <v>207</v>
      </c>
      <c r="P92" s="54"/>
      <c r="Q92" s="138" t="s">
        <v>207</v>
      </c>
      <c r="R92" s="54"/>
      <c r="S92" s="138" t="s">
        <v>77</v>
      </c>
      <c r="T92" s="54"/>
      <c r="U92" s="138" t="s">
        <v>77</v>
      </c>
      <c r="V92" s="54"/>
      <c r="W92" s="138" t="s">
        <v>207</v>
      </c>
      <c r="X92" s="54"/>
      <c r="Y92" s="138" t="s">
        <v>207</v>
      </c>
      <c r="Z92" s="177" t="str">
        <f t="shared" si="4"/>
        <v>C</v>
      </c>
      <c r="AA92" s="297" t="str">
        <f t="shared" si="3"/>
        <v>UTILIZOU O PDA CORRETAMENTE</v>
      </c>
      <c r="AB92" s="90" t="s">
        <v>207</v>
      </c>
      <c r="AC92" s="298" t="s">
        <v>36</v>
      </c>
      <c r="AD92" s="291" t="str">
        <f t="shared" si="5"/>
        <v>SÃO PAULO</v>
      </c>
      <c r="AE92" s="299" t="s">
        <v>79</v>
      </c>
    </row>
    <row r="93" spans="1:31" ht="30" customHeight="1">
      <c r="A93" s="197" t="s">
        <v>198</v>
      </c>
      <c r="B93" s="197">
        <v>2618738288</v>
      </c>
      <c r="C93" s="197" t="s">
        <v>1923</v>
      </c>
      <c r="D93" s="197" t="s">
        <v>79</v>
      </c>
      <c r="E93" s="197" t="s">
        <v>35</v>
      </c>
      <c r="F93" s="197" t="s">
        <v>535</v>
      </c>
      <c r="G93" s="197">
        <v>2</v>
      </c>
      <c r="H93" s="197" t="s">
        <v>347</v>
      </c>
      <c r="I93" s="197" t="s">
        <v>536</v>
      </c>
      <c r="J93" s="205" t="s">
        <v>1915</v>
      </c>
      <c r="K93" s="197"/>
      <c r="L93" s="203">
        <v>46148.502083333333</v>
      </c>
      <c r="M93" s="203">
        <v>46148.508333333331</v>
      </c>
      <c r="N93" s="197" t="s">
        <v>1919</v>
      </c>
      <c r="O93" s="151" t="s">
        <v>207</v>
      </c>
      <c r="P93" s="54"/>
      <c r="Q93" s="138" t="s">
        <v>207</v>
      </c>
      <c r="R93" s="54"/>
      <c r="S93" s="138" t="s">
        <v>214</v>
      </c>
      <c r="T93" s="54"/>
      <c r="U93" s="138" t="s">
        <v>214</v>
      </c>
      <c r="V93" s="54"/>
      <c r="W93" s="138" t="s">
        <v>207</v>
      </c>
      <c r="X93" s="54"/>
      <c r="Y93" s="138" t="s">
        <v>207</v>
      </c>
      <c r="Z93" s="177" t="str">
        <f t="shared" si="4"/>
        <v>NC</v>
      </c>
      <c r="AA93" s="190" t="str">
        <f t="shared" si="3"/>
        <v>UTILIZOU O PDA CORRETAMENTE. NÃO HÁ FOTOS DE TODAS AS ETAPAS</v>
      </c>
      <c r="AB93" s="90"/>
      <c r="AC93" s="192" t="s">
        <v>36</v>
      </c>
      <c r="AD93" s="145" t="str">
        <f t="shared" si="5"/>
        <v>SÃO PAULO</v>
      </c>
      <c r="AE93" s="56" t="s">
        <v>79</v>
      </c>
    </row>
    <row r="94" spans="1:31" ht="30" customHeight="1">
      <c r="A94" s="197" t="s">
        <v>198</v>
      </c>
      <c r="B94" s="197">
        <v>2618738856</v>
      </c>
      <c r="C94" s="197" t="s">
        <v>1923</v>
      </c>
      <c r="D94" s="197" t="s">
        <v>79</v>
      </c>
      <c r="E94" s="197" t="s">
        <v>35</v>
      </c>
      <c r="F94" s="197" t="s">
        <v>2004</v>
      </c>
      <c r="G94" s="197">
        <v>390</v>
      </c>
      <c r="H94" s="197" t="s">
        <v>1482</v>
      </c>
      <c r="I94" s="197" t="s">
        <v>417</v>
      </c>
      <c r="J94" s="205" t="s">
        <v>1915</v>
      </c>
      <c r="K94" s="197" t="s">
        <v>200</v>
      </c>
      <c r="L94" s="203">
        <v>46148.395833333336</v>
      </c>
      <c r="M94" s="203">
        <v>46148.396527777775</v>
      </c>
      <c r="N94" s="197" t="s">
        <v>1931</v>
      </c>
      <c r="O94" s="151" t="s">
        <v>207</v>
      </c>
      <c r="P94" s="54"/>
      <c r="Q94" s="138" t="s">
        <v>207</v>
      </c>
      <c r="R94" s="54"/>
      <c r="S94" s="138" t="s">
        <v>214</v>
      </c>
      <c r="T94" s="54"/>
      <c r="U94" s="138" t="s">
        <v>214</v>
      </c>
      <c r="V94" s="54"/>
      <c r="W94" s="138" t="s">
        <v>207</v>
      </c>
      <c r="X94" s="54"/>
      <c r="Y94" s="138" t="s">
        <v>207</v>
      </c>
      <c r="Z94" s="177" t="str">
        <f t="shared" si="4"/>
        <v>NC</v>
      </c>
      <c r="AA94" s="190" t="str">
        <f t="shared" si="3"/>
        <v>UTILIZOU O PDA CORRETAMENTE. NÃO HÁ FOTOS DE TODAS AS ETAPAS</v>
      </c>
      <c r="AB94" s="90"/>
      <c r="AC94" s="192" t="s">
        <v>36</v>
      </c>
      <c r="AD94" s="145" t="str">
        <f t="shared" si="5"/>
        <v>SÃO PAULO</v>
      </c>
      <c r="AE94" s="56" t="s">
        <v>79</v>
      </c>
    </row>
    <row r="95" spans="1:31" ht="30" customHeight="1">
      <c r="A95" s="197" t="s">
        <v>198</v>
      </c>
      <c r="B95" s="197">
        <v>2692466445</v>
      </c>
      <c r="C95" s="197" t="s">
        <v>143</v>
      </c>
      <c r="D95" s="197" t="s">
        <v>79</v>
      </c>
      <c r="E95" s="197" t="s">
        <v>35</v>
      </c>
      <c r="F95" s="197" t="s">
        <v>2005</v>
      </c>
      <c r="G95" s="197">
        <v>252</v>
      </c>
      <c r="H95" s="197" t="s">
        <v>200</v>
      </c>
      <c r="I95" s="197" t="s">
        <v>675</v>
      </c>
      <c r="J95" s="205" t="s">
        <v>1943</v>
      </c>
      <c r="K95" s="197" t="s">
        <v>200</v>
      </c>
      <c r="L95" s="203">
        <v>46148.618750000001</v>
      </c>
      <c r="M95" s="203">
        <v>46148.619444444441</v>
      </c>
      <c r="N95" s="197" t="s">
        <v>1931</v>
      </c>
      <c r="O95" s="151" t="s">
        <v>207</v>
      </c>
      <c r="P95" s="54"/>
      <c r="Q95" s="138" t="s">
        <v>207</v>
      </c>
      <c r="R95" s="54"/>
      <c r="S95" s="138" t="s">
        <v>214</v>
      </c>
      <c r="T95" s="54"/>
      <c r="U95" s="138" t="s">
        <v>214</v>
      </c>
      <c r="V95" s="54"/>
      <c r="W95" s="138" t="s">
        <v>207</v>
      </c>
      <c r="X95" s="54"/>
      <c r="Y95" s="138" t="s">
        <v>207</v>
      </c>
      <c r="Z95" s="177" t="str">
        <f t="shared" si="4"/>
        <v>NC</v>
      </c>
      <c r="AA95" s="190" t="str">
        <f t="shared" si="3"/>
        <v>UTILIZOU O PDA CORRETAMENTE. NÃO HÁ FOTOS DE TODAS AS ETAPAS</v>
      </c>
      <c r="AB95" s="90"/>
      <c r="AC95" s="192" t="s">
        <v>36</v>
      </c>
      <c r="AD95" s="145" t="str">
        <f t="shared" si="5"/>
        <v>SÃO PAULO</v>
      </c>
      <c r="AE95" s="56" t="s">
        <v>79</v>
      </c>
    </row>
    <row r="96" spans="1:31" ht="30" customHeight="1">
      <c r="A96" s="197" t="s">
        <v>198</v>
      </c>
      <c r="B96" s="197">
        <v>2692478181</v>
      </c>
      <c r="C96" s="197" t="s">
        <v>143</v>
      </c>
      <c r="D96" s="197" t="s">
        <v>79</v>
      </c>
      <c r="E96" s="197" t="s">
        <v>35</v>
      </c>
      <c r="F96" s="197" t="s">
        <v>926</v>
      </c>
      <c r="G96" s="197">
        <v>28</v>
      </c>
      <c r="H96" s="197" t="s">
        <v>208</v>
      </c>
      <c r="I96" s="197" t="s">
        <v>675</v>
      </c>
      <c r="J96" s="205" t="s">
        <v>1943</v>
      </c>
      <c r="K96" s="197"/>
      <c r="L96" s="203">
        <v>46148.611111111109</v>
      </c>
      <c r="M96" s="203">
        <v>46148.612500000003</v>
      </c>
      <c r="N96" s="197" t="s">
        <v>1931</v>
      </c>
      <c r="O96" s="152" t="s">
        <v>207</v>
      </c>
      <c r="P96" s="90"/>
      <c r="Q96" s="140" t="s">
        <v>207</v>
      </c>
      <c r="R96" s="90"/>
      <c r="S96" s="140" t="s">
        <v>207</v>
      </c>
      <c r="T96" s="90"/>
      <c r="U96" s="140" t="s">
        <v>207</v>
      </c>
      <c r="V96" s="90"/>
      <c r="W96" s="140" t="s">
        <v>207</v>
      </c>
      <c r="X96" s="90"/>
      <c r="Y96" s="140" t="s">
        <v>207</v>
      </c>
      <c r="Z96" s="177" t="str">
        <f t="shared" si="4"/>
        <v>C</v>
      </c>
      <c r="AA96" s="190" t="str">
        <f t="shared" si="3"/>
        <v>UTILIZOU O PDA CORRETAMENTE</v>
      </c>
      <c r="AB96" s="90"/>
      <c r="AC96" s="192" t="s">
        <v>36</v>
      </c>
      <c r="AD96" s="145" t="str">
        <f t="shared" si="5"/>
        <v>SÃO PAULO</v>
      </c>
      <c r="AE96" s="56" t="s">
        <v>79</v>
      </c>
    </row>
    <row r="97" spans="1:31" s="214" customFormat="1" ht="30" customHeight="1">
      <c r="A97" s="197" t="s">
        <v>198</v>
      </c>
      <c r="B97" s="212">
        <v>2618752840</v>
      </c>
      <c r="C97" s="197" t="s">
        <v>147</v>
      </c>
      <c r="D97" s="197" t="s">
        <v>79</v>
      </c>
      <c r="E97" s="197" t="s">
        <v>35</v>
      </c>
      <c r="F97" s="197" t="s">
        <v>1387</v>
      </c>
      <c r="G97" s="197">
        <v>381</v>
      </c>
      <c r="H97" s="197"/>
      <c r="I97" s="197" t="s">
        <v>679</v>
      </c>
      <c r="J97" s="205" t="s">
        <v>1915</v>
      </c>
      <c r="K97" s="197"/>
      <c r="L97" s="203">
        <v>46148.457638888889</v>
      </c>
      <c r="M97" s="203">
        <v>46148.46597222222</v>
      </c>
      <c r="N97" s="197" t="s">
        <v>1916</v>
      </c>
      <c r="O97" s="151" t="s">
        <v>207</v>
      </c>
      <c r="P97" s="54"/>
      <c r="Q97" s="138" t="s">
        <v>207</v>
      </c>
      <c r="R97" s="54"/>
      <c r="S97" s="138" t="s">
        <v>207</v>
      </c>
      <c r="T97" s="54"/>
      <c r="U97" s="138" t="s">
        <v>207</v>
      </c>
      <c r="V97" s="54"/>
      <c r="W97" s="138" t="s">
        <v>207</v>
      </c>
      <c r="X97" s="54"/>
      <c r="Y97" s="138" t="s">
        <v>207</v>
      </c>
      <c r="Z97" s="177" t="str">
        <f t="shared" si="4"/>
        <v>C</v>
      </c>
      <c r="AA97" s="297" t="str">
        <f t="shared" si="3"/>
        <v>UTILIZOU O PDA CORRETAMENTE</v>
      </c>
      <c r="AB97" s="90" t="s">
        <v>207</v>
      </c>
      <c r="AC97" s="298" t="s">
        <v>36</v>
      </c>
      <c r="AD97" s="291" t="str">
        <f t="shared" si="5"/>
        <v>SÃO PAULO</v>
      </c>
      <c r="AE97" s="299" t="s">
        <v>79</v>
      </c>
    </row>
    <row r="98" spans="1:31" ht="30" customHeight="1">
      <c r="A98" s="197" t="s">
        <v>198</v>
      </c>
      <c r="B98" s="197">
        <v>2692494506</v>
      </c>
      <c r="C98" s="197" t="s">
        <v>147</v>
      </c>
      <c r="D98" s="197" t="s">
        <v>79</v>
      </c>
      <c r="E98" s="197" t="s">
        <v>35</v>
      </c>
      <c r="F98" s="197" t="s">
        <v>1869</v>
      </c>
      <c r="G98" s="197">
        <v>266</v>
      </c>
      <c r="H98" s="197"/>
      <c r="I98" s="197" t="s">
        <v>548</v>
      </c>
      <c r="J98" s="205" t="s">
        <v>1915</v>
      </c>
      <c r="K98" s="197"/>
      <c r="L98" s="203">
        <v>46148.338194444441</v>
      </c>
      <c r="M98" s="203">
        <v>46148.344444444447</v>
      </c>
      <c r="N98" s="197" t="s">
        <v>1936</v>
      </c>
      <c r="O98" s="152" t="s">
        <v>207</v>
      </c>
      <c r="P98" s="90"/>
      <c r="Q98" s="140" t="s">
        <v>207</v>
      </c>
      <c r="R98" s="90"/>
      <c r="S98" s="140" t="s">
        <v>207</v>
      </c>
      <c r="T98" s="90"/>
      <c r="U98" s="140" t="s">
        <v>207</v>
      </c>
      <c r="V98" s="90"/>
      <c r="W98" s="140" t="s">
        <v>207</v>
      </c>
      <c r="X98" s="90"/>
      <c r="Y98" s="140" t="s">
        <v>207</v>
      </c>
      <c r="Z98" s="177" t="str">
        <f t="shared" si="4"/>
        <v>C</v>
      </c>
      <c r="AA98" s="190" t="str">
        <f t="shared" si="3"/>
        <v>UTILIZOU O PDA CORRETAMENTE</v>
      </c>
      <c r="AB98" s="90"/>
      <c r="AC98" s="192" t="s">
        <v>36</v>
      </c>
      <c r="AD98" s="145" t="str">
        <f t="shared" si="5"/>
        <v>SÃO PAULO</v>
      </c>
      <c r="AE98" s="56" t="s">
        <v>79</v>
      </c>
    </row>
    <row r="99" spans="1:31" ht="30" customHeight="1">
      <c r="A99" s="197" t="s">
        <v>198</v>
      </c>
      <c r="B99" s="197">
        <v>2618610942</v>
      </c>
      <c r="C99" s="197" t="s">
        <v>144</v>
      </c>
      <c r="D99" s="197" t="s">
        <v>140</v>
      </c>
      <c r="E99" s="197" t="s">
        <v>35</v>
      </c>
      <c r="F99" s="197" t="s">
        <v>841</v>
      </c>
      <c r="G99" s="197">
        <v>2</v>
      </c>
      <c r="H99" s="197" t="s">
        <v>200</v>
      </c>
      <c r="I99" s="197" t="s">
        <v>467</v>
      </c>
      <c r="J99" s="205" t="s">
        <v>1954</v>
      </c>
      <c r="K99" s="197" t="s">
        <v>200</v>
      </c>
      <c r="L99" s="203">
        <v>46148.42291666667</v>
      </c>
      <c r="M99" s="203">
        <v>46148.42291666667</v>
      </c>
      <c r="N99" s="197" t="s">
        <v>1933</v>
      </c>
      <c r="O99" s="157" t="s">
        <v>207</v>
      </c>
      <c r="P99" s="57"/>
      <c r="Q99" s="139" t="s">
        <v>207</v>
      </c>
      <c r="R99" s="57"/>
      <c r="S99" s="139" t="s">
        <v>214</v>
      </c>
      <c r="T99" s="57"/>
      <c r="U99" s="139" t="s">
        <v>214</v>
      </c>
      <c r="V99" s="57"/>
      <c r="W99" s="139" t="s">
        <v>207</v>
      </c>
      <c r="X99" s="57"/>
      <c r="Y99" s="139" t="s">
        <v>207</v>
      </c>
      <c r="Z99" s="177" t="str">
        <f t="shared" si="4"/>
        <v>NC</v>
      </c>
      <c r="AA99" s="190" t="str">
        <f t="shared" si="3"/>
        <v>UTILIZOU O PDA CORRETAMENTE. NÃO HÁ FOTOS DE TODAS AS ETAPAS</v>
      </c>
      <c r="AB99" s="90"/>
      <c r="AC99" s="192" t="s">
        <v>36</v>
      </c>
      <c r="AD99" s="145" t="str">
        <f t="shared" si="5"/>
        <v>SÃO PAULO</v>
      </c>
      <c r="AE99" s="56" t="s">
        <v>79</v>
      </c>
    </row>
    <row r="100" spans="1:31" ht="30" customHeight="1">
      <c r="A100" s="197" t="s">
        <v>198</v>
      </c>
      <c r="B100" s="197">
        <v>2692511291</v>
      </c>
      <c r="C100" s="197" t="s">
        <v>147</v>
      </c>
      <c r="D100" s="197" t="s">
        <v>79</v>
      </c>
      <c r="E100" s="197" t="s">
        <v>35</v>
      </c>
      <c r="F100" s="197" t="s">
        <v>2006</v>
      </c>
      <c r="G100" s="197">
        <v>2682</v>
      </c>
      <c r="H100" s="197" t="s">
        <v>325</v>
      </c>
      <c r="I100" s="197" t="s">
        <v>225</v>
      </c>
      <c r="J100" s="205" t="s">
        <v>1915</v>
      </c>
      <c r="K100" s="197"/>
      <c r="L100" s="203">
        <v>46148.486111111109</v>
      </c>
      <c r="M100" s="203">
        <v>46148.489583333336</v>
      </c>
      <c r="N100" s="197" t="s">
        <v>1916</v>
      </c>
      <c r="O100" s="152" t="s">
        <v>207</v>
      </c>
      <c r="P100" s="90"/>
      <c r="Q100" s="140" t="s">
        <v>207</v>
      </c>
      <c r="R100" s="90"/>
      <c r="S100" s="140" t="s">
        <v>207</v>
      </c>
      <c r="T100" s="90"/>
      <c r="U100" s="140" t="s">
        <v>207</v>
      </c>
      <c r="V100" s="90"/>
      <c r="W100" s="140" t="s">
        <v>207</v>
      </c>
      <c r="X100" s="90"/>
      <c r="Y100" s="140" t="s">
        <v>207</v>
      </c>
      <c r="Z100" s="177" t="str">
        <f t="shared" si="4"/>
        <v>C</v>
      </c>
      <c r="AA100" s="190" t="str">
        <f t="shared" si="3"/>
        <v>UTILIZOU O PDA CORRETAMENTE</v>
      </c>
      <c r="AB100" s="90"/>
      <c r="AC100" s="156" t="s">
        <v>36</v>
      </c>
      <c r="AD100" s="145" t="str">
        <f t="shared" si="5"/>
        <v>SÃO PAULO</v>
      </c>
      <c r="AE100" s="92" t="s">
        <v>79</v>
      </c>
    </row>
    <row r="101" spans="1:31" ht="30" customHeight="1">
      <c r="A101" s="197" t="s">
        <v>198</v>
      </c>
      <c r="B101" s="197">
        <v>2692406743</v>
      </c>
      <c r="C101" s="197" t="s">
        <v>147</v>
      </c>
      <c r="D101" s="197" t="s">
        <v>79</v>
      </c>
      <c r="E101" s="197" t="s">
        <v>35</v>
      </c>
      <c r="F101" s="197" t="s">
        <v>2007</v>
      </c>
      <c r="G101" s="197">
        <v>2004</v>
      </c>
      <c r="H101" s="197" t="s">
        <v>200</v>
      </c>
      <c r="I101" s="197" t="s">
        <v>271</v>
      </c>
      <c r="J101" s="205" t="s">
        <v>1915</v>
      </c>
      <c r="K101" s="197" t="s">
        <v>200</v>
      </c>
      <c r="L101" s="203">
        <v>46148.323611111111</v>
      </c>
      <c r="M101" s="203">
        <v>46148.332638888889</v>
      </c>
      <c r="N101" s="197" t="s">
        <v>1933</v>
      </c>
      <c r="O101" s="152" t="s">
        <v>207</v>
      </c>
      <c r="P101" s="90"/>
      <c r="Q101" s="140" t="s">
        <v>207</v>
      </c>
      <c r="R101" s="90"/>
      <c r="S101" s="140" t="s">
        <v>207</v>
      </c>
      <c r="T101" s="90"/>
      <c r="U101" s="140" t="s">
        <v>207</v>
      </c>
      <c r="V101" s="90"/>
      <c r="W101" s="140" t="s">
        <v>207</v>
      </c>
      <c r="X101" s="90"/>
      <c r="Y101" s="140" t="s">
        <v>207</v>
      </c>
      <c r="Z101" s="177" t="str">
        <f t="shared" si="4"/>
        <v>C</v>
      </c>
      <c r="AA101" s="190" t="str">
        <f t="shared" si="3"/>
        <v>UTILIZOU O PDA CORRETAMENTE</v>
      </c>
      <c r="AB101" s="90"/>
      <c r="AC101" s="156" t="s">
        <v>36</v>
      </c>
      <c r="AD101" s="145" t="str">
        <f t="shared" si="5"/>
        <v>SÃO PAULO</v>
      </c>
      <c r="AE101" s="92" t="s">
        <v>79</v>
      </c>
    </row>
    <row r="102" spans="1:31" ht="30" customHeight="1">
      <c r="A102" s="197" t="s">
        <v>198</v>
      </c>
      <c r="B102" s="197">
        <v>2692505990</v>
      </c>
      <c r="C102" s="197" t="s">
        <v>143</v>
      </c>
      <c r="D102" s="197" t="s">
        <v>79</v>
      </c>
      <c r="E102" s="197" t="s">
        <v>35</v>
      </c>
      <c r="F102" s="197" t="s">
        <v>1387</v>
      </c>
      <c r="G102" s="197">
        <v>196</v>
      </c>
      <c r="H102" s="197"/>
      <c r="I102" s="197" t="s">
        <v>679</v>
      </c>
      <c r="J102" s="205" t="s">
        <v>1915</v>
      </c>
      <c r="K102" s="197"/>
      <c r="L102" s="203">
        <v>46148.450694444444</v>
      </c>
      <c r="M102" s="203">
        <v>46148.454861111109</v>
      </c>
      <c r="N102" s="197" t="s">
        <v>1916</v>
      </c>
      <c r="O102" s="152" t="s">
        <v>207</v>
      </c>
      <c r="P102" s="90"/>
      <c r="Q102" s="140" t="s">
        <v>207</v>
      </c>
      <c r="R102" s="90"/>
      <c r="S102" s="140" t="s">
        <v>207</v>
      </c>
      <c r="T102" s="90"/>
      <c r="U102" s="140" t="s">
        <v>207</v>
      </c>
      <c r="V102" s="90"/>
      <c r="W102" s="140" t="s">
        <v>207</v>
      </c>
      <c r="X102" s="90"/>
      <c r="Y102" s="140" t="s">
        <v>207</v>
      </c>
      <c r="Z102" s="177" t="str">
        <f t="shared" si="4"/>
        <v>C</v>
      </c>
      <c r="AA102" s="190" t="str">
        <f t="shared" si="3"/>
        <v>UTILIZOU O PDA CORRETAMENTE</v>
      </c>
      <c r="AB102" s="90"/>
      <c r="AC102" s="156" t="s">
        <v>36</v>
      </c>
      <c r="AD102" s="145" t="str">
        <f t="shared" si="5"/>
        <v>SÃO PAULO</v>
      </c>
      <c r="AE102" s="92" t="s">
        <v>79</v>
      </c>
    </row>
    <row r="103" spans="1:31" ht="30" customHeight="1">
      <c r="A103" s="197" t="s">
        <v>198</v>
      </c>
      <c r="B103" s="197">
        <v>2692502192</v>
      </c>
      <c r="C103" s="197" t="s">
        <v>143</v>
      </c>
      <c r="D103" s="197" t="s">
        <v>79</v>
      </c>
      <c r="E103" s="197" t="s">
        <v>35</v>
      </c>
      <c r="F103" s="197" t="s">
        <v>2008</v>
      </c>
      <c r="G103" s="197">
        <v>106</v>
      </c>
      <c r="H103" s="197" t="s">
        <v>205</v>
      </c>
      <c r="I103" s="197" t="s">
        <v>352</v>
      </c>
      <c r="J103" s="205" t="s">
        <v>1943</v>
      </c>
      <c r="K103" s="197"/>
      <c r="L103" s="203">
        <v>46148.356249999997</v>
      </c>
      <c r="M103" s="203">
        <v>46148.381944444445</v>
      </c>
      <c r="N103" s="197" t="s">
        <v>1933</v>
      </c>
      <c r="O103" s="152" t="s">
        <v>207</v>
      </c>
      <c r="P103" s="90"/>
      <c r="Q103" s="140" t="s">
        <v>207</v>
      </c>
      <c r="R103" s="90"/>
      <c r="S103" s="140" t="s">
        <v>207</v>
      </c>
      <c r="T103" s="90"/>
      <c r="U103" s="140" t="s">
        <v>207</v>
      </c>
      <c r="V103" s="90"/>
      <c r="W103" s="140" t="s">
        <v>207</v>
      </c>
      <c r="X103" s="90"/>
      <c r="Y103" s="140" t="s">
        <v>207</v>
      </c>
      <c r="Z103" s="177" t="str">
        <f t="shared" si="4"/>
        <v>C</v>
      </c>
      <c r="AA103" s="190" t="str">
        <f t="shared" si="3"/>
        <v>UTILIZOU O PDA CORRETAMENTE</v>
      </c>
      <c r="AB103" s="90"/>
      <c r="AC103" s="156" t="s">
        <v>36</v>
      </c>
      <c r="AD103" s="145" t="str">
        <f t="shared" si="5"/>
        <v>SÃO PAULO</v>
      </c>
      <c r="AE103" s="92" t="s">
        <v>79</v>
      </c>
    </row>
    <row r="104" spans="1:31" ht="30" customHeight="1">
      <c r="A104" s="197" t="s">
        <v>198</v>
      </c>
      <c r="B104" s="197">
        <v>2692502975</v>
      </c>
      <c r="C104" s="197" t="s">
        <v>147</v>
      </c>
      <c r="D104" s="197" t="s">
        <v>79</v>
      </c>
      <c r="E104" s="197" t="s">
        <v>35</v>
      </c>
      <c r="F104" s="197" t="s">
        <v>2008</v>
      </c>
      <c r="G104" s="197">
        <v>106</v>
      </c>
      <c r="H104" s="197" t="s">
        <v>208</v>
      </c>
      <c r="I104" s="197" t="s">
        <v>352</v>
      </c>
      <c r="J104" s="205" t="s">
        <v>1932</v>
      </c>
      <c r="K104" s="197" t="s">
        <v>200</v>
      </c>
      <c r="L104" s="203">
        <v>46148.348611111112</v>
      </c>
      <c r="M104" s="203">
        <v>46148.355555555558</v>
      </c>
      <c r="N104" s="197" t="s">
        <v>1933</v>
      </c>
      <c r="O104" s="152" t="s">
        <v>207</v>
      </c>
      <c r="P104" s="90"/>
      <c r="Q104" s="140" t="s">
        <v>207</v>
      </c>
      <c r="R104" s="90"/>
      <c r="S104" s="140" t="s">
        <v>207</v>
      </c>
      <c r="T104" s="90"/>
      <c r="U104" s="140" t="s">
        <v>207</v>
      </c>
      <c r="V104" s="90"/>
      <c r="W104" s="140" t="s">
        <v>207</v>
      </c>
      <c r="X104" s="90"/>
      <c r="Y104" s="140" t="s">
        <v>207</v>
      </c>
      <c r="Z104" s="177" t="str">
        <f t="shared" si="4"/>
        <v>C</v>
      </c>
      <c r="AA104" s="190" t="str">
        <f t="shared" si="3"/>
        <v>UTILIZOU O PDA CORRETAMENTE</v>
      </c>
      <c r="AB104" s="90"/>
      <c r="AC104" s="156" t="s">
        <v>36</v>
      </c>
      <c r="AD104" s="145" t="str">
        <f t="shared" si="5"/>
        <v>SÃO PAULO</v>
      </c>
      <c r="AE104" s="92" t="s">
        <v>79</v>
      </c>
    </row>
    <row r="105" spans="1:31" ht="30" customHeight="1">
      <c r="A105" s="197" t="s">
        <v>198</v>
      </c>
      <c r="B105" s="197">
        <v>2618737660</v>
      </c>
      <c r="C105" s="197" t="s">
        <v>1923</v>
      </c>
      <c r="D105" s="197" t="s">
        <v>79</v>
      </c>
      <c r="E105" s="197" t="s">
        <v>35</v>
      </c>
      <c r="F105" s="197" t="s">
        <v>2009</v>
      </c>
      <c r="G105" s="197">
        <v>14</v>
      </c>
      <c r="H105" s="197" t="s">
        <v>200</v>
      </c>
      <c r="I105" s="197" t="s">
        <v>256</v>
      </c>
      <c r="J105" s="205" t="s">
        <v>1915</v>
      </c>
      <c r="K105" s="197" t="s">
        <v>200</v>
      </c>
      <c r="L105" s="203">
        <v>46148.104166666664</v>
      </c>
      <c r="M105" s="203">
        <v>46148.111111111109</v>
      </c>
      <c r="N105" s="197" t="s">
        <v>1922</v>
      </c>
      <c r="O105" s="152" t="s">
        <v>207</v>
      </c>
      <c r="P105" s="90"/>
      <c r="Q105" s="140" t="s">
        <v>207</v>
      </c>
      <c r="R105" s="90"/>
      <c r="S105" s="140" t="s">
        <v>214</v>
      </c>
      <c r="T105" s="90"/>
      <c r="U105" s="140" t="s">
        <v>214</v>
      </c>
      <c r="V105" s="90"/>
      <c r="W105" s="140" t="s">
        <v>207</v>
      </c>
      <c r="X105" s="90"/>
      <c r="Y105" s="140" t="s">
        <v>207</v>
      </c>
      <c r="Z105" s="177" t="str">
        <f t="shared" si="4"/>
        <v>NC</v>
      </c>
      <c r="AA105" s="190" t="str">
        <f t="shared" si="3"/>
        <v>UTILIZOU O PDA CORRETAMENTE. NÃO HÁ FOTOS DE TODAS AS ETAPAS</v>
      </c>
      <c r="AB105" s="90"/>
      <c r="AC105" s="156" t="s">
        <v>36</v>
      </c>
      <c r="AD105" s="145" t="str">
        <f t="shared" si="5"/>
        <v>SÃO PAULO</v>
      </c>
      <c r="AE105" s="92" t="s">
        <v>79</v>
      </c>
    </row>
    <row r="106" spans="1:31" ht="30" customHeight="1">
      <c r="A106" s="197" t="s">
        <v>198</v>
      </c>
      <c r="B106" s="197">
        <v>2692455198</v>
      </c>
      <c r="C106" s="197" t="s">
        <v>143</v>
      </c>
      <c r="D106" s="197" t="s">
        <v>79</v>
      </c>
      <c r="E106" s="197" t="s">
        <v>35</v>
      </c>
      <c r="F106" s="197" t="s">
        <v>2010</v>
      </c>
      <c r="G106" s="197">
        <v>195</v>
      </c>
      <c r="H106" s="197" t="s">
        <v>325</v>
      </c>
      <c r="I106" s="197" t="s">
        <v>308</v>
      </c>
      <c r="J106" s="205" t="s">
        <v>1915</v>
      </c>
      <c r="K106" s="197"/>
      <c r="L106" s="203">
        <v>46148.114583333336</v>
      </c>
      <c r="M106" s="203">
        <v>46148.12222222222</v>
      </c>
      <c r="N106" s="197" t="s">
        <v>1922</v>
      </c>
      <c r="O106" s="152" t="s">
        <v>207</v>
      </c>
      <c r="P106" s="90"/>
      <c r="Q106" s="140" t="s">
        <v>207</v>
      </c>
      <c r="R106" s="90"/>
      <c r="S106" s="140" t="s">
        <v>214</v>
      </c>
      <c r="T106" s="90"/>
      <c r="U106" s="140" t="s">
        <v>214</v>
      </c>
      <c r="V106" s="90"/>
      <c r="W106" s="140" t="s">
        <v>207</v>
      </c>
      <c r="X106" s="90"/>
      <c r="Y106" s="140" t="s">
        <v>207</v>
      </c>
      <c r="Z106" s="177" t="str">
        <f t="shared" si="4"/>
        <v>NC</v>
      </c>
      <c r="AA106" s="190" t="str">
        <f t="shared" si="3"/>
        <v>UTILIZOU O PDA CORRETAMENTE. NÃO HÁ FOTOS DE TODAS AS ETAPAS</v>
      </c>
      <c r="AB106" s="90"/>
      <c r="AC106" s="156" t="s">
        <v>36</v>
      </c>
      <c r="AD106" s="145" t="str">
        <f t="shared" si="5"/>
        <v>SÃO PAULO</v>
      </c>
      <c r="AE106" s="92" t="s">
        <v>79</v>
      </c>
    </row>
    <row r="107" spans="1:31" ht="30" customHeight="1">
      <c r="A107" s="197" t="s">
        <v>198</v>
      </c>
      <c r="B107" s="197">
        <v>2692488762</v>
      </c>
      <c r="C107" s="197" t="s">
        <v>147</v>
      </c>
      <c r="D107" s="197" t="s">
        <v>79</v>
      </c>
      <c r="E107" s="197" t="s">
        <v>35</v>
      </c>
      <c r="F107" s="197" t="s">
        <v>2011</v>
      </c>
      <c r="G107" s="197">
        <v>37</v>
      </c>
      <c r="H107" s="197" t="s">
        <v>200</v>
      </c>
      <c r="I107" s="197" t="s">
        <v>1755</v>
      </c>
      <c r="J107" s="205" t="s">
        <v>1915</v>
      </c>
      <c r="K107" s="197" t="s">
        <v>200</v>
      </c>
      <c r="L107" s="203">
        <v>46148.072222222225</v>
      </c>
      <c r="M107" s="203">
        <v>46148.084027777775</v>
      </c>
      <c r="N107" s="197" t="s">
        <v>1922</v>
      </c>
      <c r="O107" s="152" t="s">
        <v>207</v>
      </c>
      <c r="P107" s="90"/>
      <c r="Q107" s="140" t="s">
        <v>207</v>
      </c>
      <c r="R107" s="90"/>
      <c r="S107" s="140" t="s">
        <v>214</v>
      </c>
      <c r="T107" s="90"/>
      <c r="U107" s="140" t="s">
        <v>214</v>
      </c>
      <c r="V107" s="90"/>
      <c r="W107" s="140" t="s">
        <v>207</v>
      </c>
      <c r="X107" s="90"/>
      <c r="Y107" s="140" t="s">
        <v>207</v>
      </c>
      <c r="Z107" s="177" t="str">
        <f t="shared" si="4"/>
        <v>NC</v>
      </c>
      <c r="AA107" s="190" t="str">
        <f t="shared" si="3"/>
        <v>UTILIZOU O PDA CORRETAMENTE. NÃO HÁ FOTOS DE TODAS AS ETAPAS</v>
      </c>
      <c r="AB107" s="90"/>
      <c r="AC107" s="156" t="s">
        <v>36</v>
      </c>
      <c r="AD107" s="145" t="str">
        <f t="shared" si="5"/>
        <v>SÃO PAULO</v>
      </c>
      <c r="AE107" s="92" t="s">
        <v>79</v>
      </c>
    </row>
    <row r="108" spans="1:31" ht="30" customHeight="1">
      <c r="A108" s="197" t="s">
        <v>198</v>
      </c>
      <c r="B108" s="197">
        <v>2692497890</v>
      </c>
      <c r="C108" s="197" t="s">
        <v>147</v>
      </c>
      <c r="D108" s="197" t="s">
        <v>79</v>
      </c>
      <c r="E108" s="197" t="s">
        <v>35</v>
      </c>
      <c r="F108" s="197" t="s">
        <v>1864</v>
      </c>
      <c r="G108" s="197">
        <v>109</v>
      </c>
      <c r="H108" s="197"/>
      <c r="I108" s="197" t="s">
        <v>1780</v>
      </c>
      <c r="J108" s="205" t="s">
        <v>1915</v>
      </c>
      <c r="K108" s="197"/>
      <c r="L108" s="203">
        <v>46148.154166666667</v>
      </c>
      <c r="M108" s="203">
        <v>46148.163194444445</v>
      </c>
      <c r="N108" s="197" t="s">
        <v>1922</v>
      </c>
      <c r="O108" s="152" t="s">
        <v>207</v>
      </c>
      <c r="P108" s="90"/>
      <c r="Q108" s="140" t="s">
        <v>207</v>
      </c>
      <c r="R108" s="90"/>
      <c r="S108" s="140" t="s">
        <v>214</v>
      </c>
      <c r="T108" s="90"/>
      <c r="U108" s="140" t="s">
        <v>214</v>
      </c>
      <c r="V108" s="90"/>
      <c r="W108" s="140" t="s">
        <v>207</v>
      </c>
      <c r="X108" s="90"/>
      <c r="Y108" s="140" t="s">
        <v>207</v>
      </c>
      <c r="Z108" s="177" t="str">
        <f t="shared" si="4"/>
        <v>NC</v>
      </c>
      <c r="AA108" s="190" t="str">
        <f t="shared" si="3"/>
        <v>UTILIZOU O PDA CORRETAMENTE. NÃO HÁ FOTOS DE TODAS AS ETAPAS</v>
      </c>
      <c r="AB108" s="90"/>
      <c r="AC108" s="156" t="s">
        <v>36</v>
      </c>
      <c r="AD108" s="145" t="str">
        <f t="shared" si="5"/>
        <v>SÃO PAULO</v>
      </c>
      <c r="AE108" s="92" t="s">
        <v>79</v>
      </c>
    </row>
    <row r="109" spans="1:31" ht="30" customHeight="1">
      <c r="A109" s="197" t="s">
        <v>198</v>
      </c>
      <c r="B109" s="197">
        <v>2692428725</v>
      </c>
      <c r="C109" s="197" t="s">
        <v>146</v>
      </c>
      <c r="D109" s="197" t="s">
        <v>79</v>
      </c>
      <c r="E109" s="197" t="s">
        <v>35</v>
      </c>
      <c r="F109" s="197" t="s">
        <v>2012</v>
      </c>
      <c r="G109" s="197">
        <v>69</v>
      </c>
      <c r="H109" s="197" t="s">
        <v>257</v>
      </c>
      <c r="I109" s="197" t="s">
        <v>1780</v>
      </c>
      <c r="J109" s="205" t="s">
        <v>1915</v>
      </c>
      <c r="K109" s="197" t="s">
        <v>200</v>
      </c>
      <c r="L109" s="203">
        <v>46148.309027777781</v>
      </c>
      <c r="M109" s="203">
        <v>46148.324999999997</v>
      </c>
      <c r="N109" s="197" t="s">
        <v>390</v>
      </c>
      <c r="O109" s="152" t="s">
        <v>207</v>
      </c>
      <c r="P109" s="90"/>
      <c r="Q109" s="140" t="s">
        <v>207</v>
      </c>
      <c r="R109" s="90"/>
      <c r="S109" s="140" t="s">
        <v>207</v>
      </c>
      <c r="T109" s="90"/>
      <c r="U109" s="140" t="s">
        <v>207</v>
      </c>
      <c r="V109" s="90"/>
      <c r="W109" s="140" t="s">
        <v>207</v>
      </c>
      <c r="X109" s="90"/>
      <c r="Y109" s="140" t="s">
        <v>207</v>
      </c>
      <c r="Z109" s="177" t="str">
        <f t="shared" si="4"/>
        <v>C</v>
      </c>
      <c r="AA109" s="190" t="str">
        <f t="shared" si="3"/>
        <v>UTILIZOU O PDA CORRETAMENTE</v>
      </c>
      <c r="AB109" s="90"/>
      <c r="AC109" s="156" t="s">
        <v>36</v>
      </c>
      <c r="AD109" s="145" t="str">
        <f t="shared" si="5"/>
        <v>SÃO PAULO</v>
      </c>
      <c r="AE109" s="92" t="s">
        <v>79</v>
      </c>
    </row>
    <row r="110" spans="1:31" ht="30" customHeight="1">
      <c r="A110" s="197" t="s">
        <v>198</v>
      </c>
      <c r="B110" s="197">
        <v>2692462299</v>
      </c>
      <c r="C110" s="197" t="s">
        <v>143</v>
      </c>
      <c r="D110" s="197" t="s">
        <v>79</v>
      </c>
      <c r="E110" s="197" t="s">
        <v>35</v>
      </c>
      <c r="F110" s="197" t="s">
        <v>2013</v>
      </c>
      <c r="G110" s="197">
        <v>49</v>
      </c>
      <c r="H110" s="197" t="s">
        <v>208</v>
      </c>
      <c r="I110" s="197" t="s">
        <v>665</v>
      </c>
      <c r="J110" s="205" t="s">
        <v>1915</v>
      </c>
      <c r="K110" s="197"/>
      <c r="L110" s="203">
        <v>46148.396527777775</v>
      </c>
      <c r="M110" s="203">
        <v>46148.400694444441</v>
      </c>
      <c r="N110" s="197" t="s">
        <v>390</v>
      </c>
      <c r="O110" s="152" t="s">
        <v>207</v>
      </c>
      <c r="P110" s="90"/>
      <c r="Q110" s="140" t="s">
        <v>207</v>
      </c>
      <c r="R110" s="90"/>
      <c r="S110" s="140" t="s">
        <v>207</v>
      </c>
      <c r="T110" s="90"/>
      <c r="U110" s="140" t="s">
        <v>207</v>
      </c>
      <c r="V110" s="90"/>
      <c r="W110" s="140" t="s">
        <v>207</v>
      </c>
      <c r="X110" s="90"/>
      <c r="Y110" s="140" t="s">
        <v>207</v>
      </c>
      <c r="Z110" s="177" t="str">
        <f t="shared" si="4"/>
        <v>C</v>
      </c>
      <c r="AA110" s="190" t="str">
        <f t="shared" si="3"/>
        <v>UTILIZOU O PDA CORRETAMENTE</v>
      </c>
      <c r="AB110" s="90"/>
      <c r="AC110" s="156" t="s">
        <v>36</v>
      </c>
      <c r="AD110" s="145" t="str">
        <f t="shared" si="5"/>
        <v>SÃO PAULO</v>
      </c>
      <c r="AE110" s="92" t="s">
        <v>79</v>
      </c>
    </row>
    <row r="111" spans="1:31" ht="30" customHeight="1">
      <c r="A111" s="197" t="s">
        <v>198</v>
      </c>
      <c r="B111" s="197">
        <v>2618747159</v>
      </c>
      <c r="C111" s="197" t="s">
        <v>1923</v>
      </c>
      <c r="D111" s="197" t="s">
        <v>79</v>
      </c>
      <c r="E111" s="197" t="s">
        <v>35</v>
      </c>
      <c r="F111" s="197" t="s">
        <v>1827</v>
      </c>
      <c r="G111" s="197">
        <v>2</v>
      </c>
      <c r="H111" s="197" t="s">
        <v>205</v>
      </c>
      <c r="I111" s="197" t="s">
        <v>665</v>
      </c>
      <c r="J111" s="205" t="s">
        <v>1915</v>
      </c>
      <c r="K111" s="197" t="s">
        <v>200</v>
      </c>
      <c r="L111" s="203">
        <v>46148.386111111111</v>
      </c>
      <c r="M111" s="203">
        <v>46148.38958333333</v>
      </c>
      <c r="N111" s="197" t="s">
        <v>390</v>
      </c>
      <c r="O111" s="152" t="s">
        <v>207</v>
      </c>
      <c r="P111" s="90"/>
      <c r="Q111" s="140" t="s">
        <v>207</v>
      </c>
      <c r="R111" s="90"/>
      <c r="S111" s="140" t="s">
        <v>214</v>
      </c>
      <c r="T111" s="90"/>
      <c r="U111" s="140" t="s">
        <v>214</v>
      </c>
      <c r="V111" s="90"/>
      <c r="W111" s="140" t="s">
        <v>207</v>
      </c>
      <c r="X111" s="90"/>
      <c r="Y111" s="140" t="s">
        <v>207</v>
      </c>
      <c r="Z111" s="177" t="str">
        <f t="shared" si="4"/>
        <v>NC</v>
      </c>
      <c r="AA111" s="190" t="str">
        <f t="shared" si="3"/>
        <v>UTILIZOU O PDA CORRETAMENTE. NÃO HÁ FOTOS DE TODAS AS ETAPAS</v>
      </c>
      <c r="AB111" s="90"/>
      <c r="AC111" s="156" t="s">
        <v>36</v>
      </c>
      <c r="AD111" s="145" t="str">
        <f t="shared" si="5"/>
        <v>SÃO PAULO</v>
      </c>
      <c r="AE111" s="92" t="s">
        <v>79</v>
      </c>
    </row>
    <row r="112" spans="1:31" ht="30" customHeight="1">
      <c r="A112" s="197" t="s">
        <v>198</v>
      </c>
      <c r="B112" s="197">
        <v>2618748480</v>
      </c>
      <c r="C112" s="197" t="s">
        <v>1923</v>
      </c>
      <c r="D112" s="197" t="s">
        <v>79</v>
      </c>
      <c r="E112" s="197" t="s">
        <v>35</v>
      </c>
      <c r="F112" s="197" t="s">
        <v>2014</v>
      </c>
      <c r="G112" s="197">
        <v>125</v>
      </c>
      <c r="H112" s="197"/>
      <c r="I112" s="197" t="s">
        <v>2015</v>
      </c>
      <c r="J112" s="205" t="s">
        <v>1915</v>
      </c>
      <c r="K112" s="197"/>
      <c r="L112" s="203">
        <v>46148.40902777778</v>
      </c>
      <c r="M112" s="203">
        <v>46148.412499999999</v>
      </c>
      <c r="N112" s="197" t="s">
        <v>390</v>
      </c>
      <c r="O112" s="152" t="s">
        <v>207</v>
      </c>
      <c r="P112" s="90"/>
      <c r="Q112" s="140" t="s">
        <v>207</v>
      </c>
      <c r="R112" s="90"/>
      <c r="S112" s="140" t="s">
        <v>214</v>
      </c>
      <c r="T112" s="90"/>
      <c r="U112" s="140" t="s">
        <v>214</v>
      </c>
      <c r="V112" s="90"/>
      <c r="W112" s="140" t="s">
        <v>207</v>
      </c>
      <c r="X112" s="90"/>
      <c r="Y112" s="140" t="s">
        <v>207</v>
      </c>
      <c r="Z112" s="177" t="str">
        <f t="shared" si="4"/>
        <v>NC</v>
      </c>
      <c r="AA112" s="190" t="str">
        <f t="shared" si="3"/>
        <v>UTILIZOU O PDA CORRETAMENTE. NÃO HÁ FOTOS DE TODAS AS ETAPAS</v>
      </c>
      <c r="AB112" s="90"/>
      <c r="AC112" s="156" t="s">
        <v>36</v>
      </c>
      <c r="AD112" s="145" t="str">
        <f t="shared" si="5"/>
        <v>SÃO PAULO</v>
      </c>
      <c r="AE112" s="92" t="s">
        <v>79</v>
      </c>
    </row>
    <row r="113" spans="1:31" ht="30" customHeight="1">
      <c r="A113" s="197" t="s">
        <v>198</v>
      </c>
      <c r="B113" s="197">
        <v>2618753499</v>
      </c>
      <c r="C113" s="197" t="s">
        <v>1923</v>
      </c>
      <c r="D113" s="197" t="s">
        <v>79</v>
      </c>
      <c r="E113" s="197" t="s">
        <v>35</v>
      </c>
      <c r="F113" s="197" t="s">
        <v>2016</v>
      </c>
      <c r="G113" s="197">
        <v>82</v>
      </c>
      <c r="H113" s="197" t="s">
        <v>200</v>
      </c>
      <c r="I113" s="197" t="s">
        <v>1480</v>
      </c>
      <c r="J113" s="205" t="s">
        <v>1915</v>
      </c>
      <c r="K113" s="197" t="s">
        <v>200</v>
      </c>
      <c r="L113" s="203">
        <v>46148.193749999999</v>
      </c>
      <c r="M113" s="203">
        <v>46148.195138888892</v>
      </c>
      <c r="N113" s="197" t="s">
        <v>390</v>
      </c>
      <c r="O113" s="152" t="s">
        <v>207</v>
      </c>
      <c r="P113" s="90"/>
      <c r="Q113" s="140" t="s">
        <v>207</v>
      </c>
      <c r="R113" s="90"/>
      <c r="S113" s="140" t="s">
        <v>207</v>
      </c>
      <c r="T113" s="90"/>
      <c r="U113" s="140" t="s">
        <v>207</v>
      </c>
      <c r="V113" s="90"/>
      <c r="W113" s="140" t="s">
        <v>207</v>
      </c>
      <c r="X113" s="90"/>
      <c r="Y113" s="140" t="s">
        <v>207</v>
      </c>
      <c r="Z113" s="177" t="str">
        <f t="shared" si="4"/>
        <v>C</v>
      </c>
      <c r="AA113" s="190" t="str">
        <f t="shared" si="3"/>
        <v>UTILIZOU O PDA CORRETAMENTE</v>
      </c>
      <c r="AB113" s="90"/>
      <c r="AC113" s="156" t="s">
        <v>36</v>
      </c>
      <c r="AD113" s="145" t="str">
        <f t="shared" si="5"/>
        <v>SÃO PAULO</v>
      </c>
      <c r="AE113" s="92" t="s">
        <v>79</v>
      </c>
    </row>
    <row r="114" spans="1:31" ht="30" customHeight="1">
      <c r="A114" s="197" t="s">
        <v>198</v>
      </c>
      <c r="B114" s="197">
        <v>2618739236</v>
      </c>
      <c r="C114" s="197" t="s">
        <v>151</v>
      </c>
      <c r="D114" s="197" t="s">
        <v>140</v>
      </c>
      <c r="E114" s="197" t="s">
        <v>35</v>
      </c>
      <c r="F114" s="197" t="s">
        <v>2017</v>
      </c>
      <c r="G114" s="197">
        <v>451</v>
      </c>
      <c r="H114" s="197" t="s">
        <v>200</v>
      </c>
      <c r="I114" s="197" t="s">
        <v>218</v>
      </c>
      <c r="J114" s="205" t="s">
        <v>1966</v>
      </c>
      <c r="K114" s="197" t="s">
        <v>200</v>
      </c>
      <c r="L114" s="203">
        <v>46148.237500000003</v>
      </c>
      <c r="M114" s="203">
        <v>46148.24722222222</v>
      </c>
      <c r="N114" s="197" t="s">
        <v>327</v>
      </c>
      <c r="O114" s="152" t="s">
        <v>207</v>
      </c>
      <c r="P114" s="90"/>
      <c r="Q114" s="140" t="s">
        <v>207</v>
      </c>
      <c r="R114" s="90"/>
      <c r="S114" s="140" t="s">
        <v>214</v>
      </c>
      <c r="T114" s="90"/>
      <c r="U114" s="140" t="s">
        <v>214</v>
      </c>
      <c r="V114" s="90"/>
      <c r="W114" s="140" t="s">
        <v>207</v>
      </c>
      <c r="X114" s="90"/>
      <c r="Y114" s="140" t="s">
        <v>207</v>
      </c>
      <c r="Z114" s="177" t="str">
        <f t="shared" si="4"/>
        <v>NC</v>
      </c>
      <c r="AA114" s="190" t="str">
        <f t="shared" si="3"/>
        <v>UTILIZOU O PDA CORRETAMENTE. NÃO HÁ FOTOS DE TODAS AS ETAPAS</v>
      </c>
      <c r="AB114" s="90"/>
      <c r="AC114" s="156" t="s">
        <v>36</v>
      </c>
      <c r="AD114" s="145" t="str">
        <f t="shared" si="5"/>
        <v>SÃO PAULO</v>
      </c>
      <c r="AE114" s="92" t="s">
        <v>79</v>
      </c>
    </row>
    <row r="115" spans="1:31" ht="30" customHeight="1">
      <c r="A115" s="197" t="s">
        <v>198</v>
      </c>
      <c r="B115" s="197">
        <v>2618893665</v>
      </c>
      <c r="C115" s="197" t="s">
        <v>1923</v>
      </c>
      <c r="D115" s="197" t="s">
        <v>79</v>
      </c>
      <c r="E115" s="197" t="s">
        <v>35</v>
      </c>
      <c r="F115" s="197" t="s">
        <v>2018</v>
      </c>
      <c r="G115" s="197">
        <v>252</v>
      </c>
      <c r="H115" s="197" t="s">
        <v>208</v>
      </c>
      <c r="I115" s="197" t="s">
        <v>548</v>
      </c>
      <c r="J115" s="205" t="s">
        <v>1943</v>
      </c>
      <c r="K115" s="197" t="s">
        <v>200</v>
      </c>
      <c r="L115" s="203">
        <v>46148.480555555558</v>
      </c>
      <c r="M115" s="203">
        <v>46148.482638888891</v>
      </c>
      <c r="N115" s="197" t="s">
        <v>345</v>
      </c>
      <c r="O115" s="152" t="s">
        <v>207</v>
      </c>
      <c r="P115" s="90"/>
      <c r="Q115" s="140" t="s">
        <v>207</v>
      </c>
      <c r="R115" s="90"/>
      <c r="S115" s="140" t="s">
        <v>207</v>
      </c>
      <c r="T115" s="90"/>
      <c r="U115" s="140" t="s">
        <v>207</v>
      </c>
      <c r="V115" s="90"/>
      <c r="W115" s="140" t="s">
        <v>207</v>
      </c>
      <c r="X115" s="90"/>
      <c r="Y115" s="140" t="s">
        <v>207</v>
      </c>
      <c r="Z115" s="177" t="str">
        <f t="shared" si="4"/>
        <v>C</v>
      </c>
      <c r="AA115" s="190" t="str">
        <f t="shared" si="3"/>
        <v>UTILIZOU O PDA CORRETAMENTE</v>
      </c>
      <c r="AB115" s="90"/>
      <c r="AC115" s="156" t="s">
        <v>36</v>
      </c>
      <c r="AD115" s="145" t="str">
        <f t="shared" si="5"/>
        <v>SÃO PAULO</v>
      </c>
      <c r="AE115" s="92" t="s">
        <v>79</v>
      </c>
    </row>
    <row r="116" spans="1:31" ht="30" customHeight="1">
      <c r="A116" s="197" t="s">
        <v>198</v>
      </c>
      <c r="B116" s="197">
        <v>2692523791</v>
      </c>
      <c r="C116" s="197" t="s">
        <v>143</v>
      </c>
      <c r="D116" s="197" t="s">
        <v>79</v>
      </c>
      <c r="E116" s="197" t="s">
        <v>35</v>
      </c>
      <c r="F116" s="197" t="s">
        <v>2019</v>
      </c>
      <c r="G116" s="197">
        <v>11</v>
      </c>
      <c r="H116" s="197" t="s">
        <v>205</v>
      </c>
      <c r="I116" s="197" t="s">
        <v>2020</v>
      </c>
      <c r="J116" s="205" t="s">
        <v>1915</v>
      </c>
      <c r="K116" s="197"/>
      <c r="L116" s="203">
        <v>46148.396527777775</v>
      </c>
      <c r="M116" s="203">
        <v>46148.402083333334</v>
      </c>
      <c r="N116" s="197" t="s">
        <v>1944</v>
      </c>
      <c r="O116" s="152" t="s">
        <v>207</v>
      </c>
      <c r="P116" s="90"/>
      <c r="Q116" s="140" t="s">
        <v>207</v>
      </c>
      <c r="R116" s="90"/>
      <c r="S116" s="140" t="s">
        <v>207</v>
      </c>
      <c r="T116" s="90"/>
      <c r="U116" s="140" t="s">
        <v>207</v>
      </c>
      <c r="V116" s="90"/>
      <c r="W116" s="140" t="s">
        <v>207</v>
      </c>
      <c r="X116" s="90"/>
      <c r="Y116" s="140" t="s">
        <v>207</v>
      </c>
      <c r="Z116" s="177" t="str">
        <f t="shared" si="4"/>
        <v>C</v>
      </c>
      <c r="AA116" s="190" t="str">
        <f t="shared" si="3"/>
        <v>UTILIZOU O PDA CORRETAMENTE</v>
      </c>
      <c r="AB116" s="90"/>
      <c r="AC116" s="156" t="s">
        <v>36</v>
      </c>
      <c r="AD116" s="145" t="str">
        <f t="shared" si="5"/>
        <v>SÃO PAULO</v>
      </c>
      <c r="AE116" s="92" t="s">
        <v>79</v>
      </c>
    </row>
    <row r="117" spans="1:31" ht="30" customHeight="1">
      <c r="A117" s="197" t="s">
        <v>198</v>
      </c>
      <c r="B117" s="197">
        <v>2618892745</v>
      </c>
      <c r="C117" s="197" t="s">
        <v>1923</v>
      </c>
      <c r="D117" s="197" t="s">
        <v>79</v>
      </c>
      <c r="E117" s="197" t="s">
        <v>35</v>
      </c>
      <c r="F117" s="197" t="s">
        <v>340</v>
      </c>
      <c r="G117" s="197">
        <v>70</v>
      </c>
      <c r="H117" s="197" t="s">
        <v>200</v>
      </c>
      <c r="I117" s="197" t="s">
        <v>225</v>
      </c>
      <c r="J117" s="205" t="s">
        <v>1943</v>
      </c>
      <c r="K117" s="197" t="s">
        <v>200</v>
      </c>
      <c r="L117" s="203">
        <v>46148.487500000003</v>
      </c>
      <c r="M117" s="203">
        <v>46148.488194444442</v>
      </c>
      <c r="N117" s="197" t="s">
        <v>323</v>
      </c>
      <c r="O117" s="152" t="s">
        <v>207</v>
      </c>
      <c r="P117" s="90"/>
      <c r="Q117" s="140" t="s">
        <v>207</v>
      </c>
      <c r="R117" s="90"/>
      <c r="S117" s="140" t="s">
        <v>207</v>
      </c>
      <c r="T117" s="90"/>
      <c r="U117" s="140" t="s">
        <v>207</v>
      </c>
      <c r="V117" s="90"/>
      <c r="W117" s="140" t="s">
        <v>207</v>
      </c>
      <c r="X117" s="90"/>
      <c r="Y117" s="140" t="s">
        <v>207</v>
      </c>
      <c r="Z117" s="177" t="str">
        <f t="shared" si="4"/>
        <v>C</v>
      </c>
      <c r="AA117" s="190" t="str">
        <f t="shared" si="3"/>
        <v>UTILIZOU O PDA CORRETAMENTE</v>
      </c>
      <c r="AB117" s="90"/>
      <c r="AC117" s="156" t="s">
        <v>36</v>
      </c>
      <c r="AD117" s="145" t="str">
        <f t="shared" si="5"/>
        <v>SÃO PAULO</v>
      </c>
      <c r="AE117" s="92" t="s">
        <v>79</v>
      </c>
    </row>
    <row r="118" spans="1:31" ht="30" customHeight="1">
      <c r="A118" s="197" t="s">
        <v>198</v>
      </c>
      <c r="B118" s="197">
        <v>2618870310</v>
      </c>
      <c r="C118" s="197" t="s">
        <v>147</v>
      </c>
      <c r="D118" s="197" t="s">
        <v>79</v>
      </c>
      <c r="E118" s="197" t="s">
        <v>35</v>
      </c>
      <c r="F118" s="197" t="s">
        <v>2021</v>
      </c>
      <c r="G118" s="197">
        <v>24</v>
      </c>
      <c r="H118" s="197" t="s">
        <v>200</v>
      </c>
      <c r="I118" s="197" t="s">
        <v>256</v>
      </c>
      <c r="J118" s="205" t="s">
        <v>1915</v>
      </c>
      <c r="K118" s="197" t="s">
        <v>200</v>
      </c>
      <c r="L118" s="203">
        <v>46148.17083333333</v>
      </c>
      <c r="M118" s="203">
        <v>46148.195138888892</v>
      </c>
      <c r="N118" s="197" t="s">
        <v>1922</v>
      </c>
      <c r="O118" s="152" t="s">
        <v>207</v>
      </c>
      <c r="P118" s="90"/>
      <c r="Q118" s="140" t="s">
        <v>207</v>
      </c>
      <c r="R118" s="90"/>
      <c r="S118" s="140" t="s">
        <v>214</v>
      </c>
      <c r="T118" s="90"/>
      <c r="U118" s="140" t="s">
        <v>214</v>
      </c>
      <c r="V118" s="90"/>
      <c r="W118" s="140" t="s">
        <v>207</v>
      </c>
      <c r="X118" s="90"/>
      <c r="Y118" s="140" t="s">
        <v>207</v>
      </c>
      <c r="Z118" s="177" t="str">
        <f t="shared" ref="Z118" si="6">IF(AND(O118="",Q118="",S118="",U118="",W118=""),"",IF(OR(AND(O118&lt;&gt;"NA",O118&lt;&gt;"C",O118&lt;&gt;"NC",O118&lt;&gt;"SF",O118&lt;&gt;""),AND(Q118&lt;&gt;"NA",Q118&lt;&gt;"C",Q118&lt;&gt;"NC",Q118&lt;&gt;"SF",Q118&lt;&gt;""),AND(S118&lt;&gt;"NA",S118&lt;&gt;"C",S118&lt;&gt;"NC",S118&lt;&gt;"SF",S118&lt;&gt;""),AND(U118&lt;&gt;"NA",U118&lt;&gt;"C",U118&lt;&gt;"NC",U118&lt;&gt;"SF",U118&lt;&gt;""),AND(W118&lt;&gt;"NA",W118&lt;&gt;"C",W118&lt;&gt;"NC",W118&lt;&gt;"SF",W118&lt;&gt;"")),"FALSO",IF(AND(O118="NA",Q118="NA",S118="NA",U118="NA",W118="NA"),"NA",IF(OR(O118="NC",Q118="NC",S118="NC",U118="NC",W118="NC",O118="SF",Q118="SF",S118="SF",U118="SF",W118="SF"),"NC",IF(OR(O118="C",Q118="C",S118="C",U118="C",W118="C"),"C","")))))</f>
        <v>NC</v>
      </c>
      <c r="AA118" s="190" t="str">
        <f t="shared" si="3"/>
        <v>UTILIZOU O PDA CORRETAMENTE. NÃO HÁ FOTOS DE TODAS AS ETAPAS</v>
      </c>
      <c r="AB118" s="90"/>
      <c r="AC118" s="156" t="s">
        <v>36</v>
      </c>
      <c r="AD118" s="145" t="str">
        <f t="shared" si="5"/>
        <v>SÃO PAULO</v>
      </c>
      <c r="AE118" s="92" t="s">
        <v>79</v>
      </c>
    </row>
    <row r="119" spans="1:31" ht="30" customHeight="1">
      <c r="A119" s="197" t="s">
        <v>198</v>
      </c>
      <c r="B119" s="197">
        <v>2692534968</v>
      </c>
      <c r="C119" s="197" t="s">
        <v>143</v>
      </c>
      <c r="D119" s="197" t="s">
        <v>79</v>
      </c>
      <c r="E119" s="197" t="s">
        <v>35</v>
      </c>
      <c r="F119" s="197" t="s">
        <v>823</v>
      </c>
      <c r="G119" s="197">
        <v>39</v>
      </c>
      <c r="H119" s="197" t="s">
        <v>208</v>
      </c>
      <c r="I119" s="197" t="s">
        <v>359</v>
      </c>
      <c r="J119" s="205" t="s">
        <v>1915</v>
      </c>
      <c r="K119" s="197"/>
      <c r="L119" s="203">
        <v>46148.602083333331</v>
      </c>
      <c r="M119" s="203">
        <v>46148.602777777778</v>
      </c>
      <c r="N119" s="197" t="s">
        <v>1931</v>
      </c>
      <c r="O119" s="152" t="s">
        <v>207</v>
      </c>
      <c r="P119" s="90"/>
      <c r="Q119" s="140" t="s">
        <v>207</v>
      </c>
      <c r="R119" s="90"/>
      <c r="S119" s="140" t="s">
        <v>214</v>
      </c>
      <c r="T119" s="90"/>
      <c r="U119" s="140" t="s">
        <v>214</v>
      </c>
      <c r="V119" s="90"/>
      <c r="W119" s="140" t="s">
        <v>207</v>
      </c>
      <c r="X119" s="90"/>
      <c r="Y119" s="140" t="s">
        <v>207</v>
      </c>
      <c r="Z119" s="177" t="str">
        <f t="shared" si="4"/>
        <v>NC</v>
      </c>
      <c r="AA119" s="190" t="str">
        <f t="shared" si="3"/>
        <v>UTILIZOU O PDA CORRETAMENTE. NÃO HÁ FOTOS DE TODAS AS ETAPAS</v>
      </c>
      <c r="AB119" s="90"/>
      <c r="AC119" s="156" t="s">
        <v>36</v>
      </c>
      <c r="AD119" s="145" t="str">
        <f t="shared" si="5"/>
        <v>SÃO PAULO</v>
      </c>
      <c r="AE119" s="92" t="s">
        <v>79</v>
      </c>
    </row>
    <row r="120" spans="1:31" ht="30" customHeight="1">
      <c r="A120" s="197" t="s">
        <v>198</v>
      </c>
      <c r="B120" s="197">
        <v>2618879872</v>
      </c>
      <c r="C120" s="197" t="s">
        <v>143</v>
      </c>
      <c r="D120" s="197" t="s">
        <v>79</v>
      </c>
      <c r="E120" s="197" t="s">
        <v>35</v>
      </c>
      <c r="F120" s="197" t="s">
        <v>1432</v>
      </c>
      <c r="G120" s="197">
        <v>288</v>
      </c>
      <c r="H120" s="197" t="s">
        <v>255</v>
      </c>
      <c r="I120" s="197" t="s">
        <v>515</v>
      </c>
      <c r="J120" s="205" t="s">
        <v>1943</v>
      </c>
      <c r="K120" s="197" t="s">
        <v>200</v>
      </c>
      <c r="L120" s="203">
        <v>46148.689583333333</v>
      </c>
      <c r="M120" s="203">
        <v>46148.694444444445</v>
      </c>
      <c r="N120" s="197" t="s">
        <v>1931</v>
      </c>
      <c r="O120" s="152" t="s">
        <v>207</v>
      </c>
      <c r="P120" s="90"/>
      <c r="Q120" s="140" t="s">
        <v>207</v>
      </c>
      <c r="R120" s="90"/>
      <c r="S120" s="140" t="s">
        <v>214</v>
      </c>
      <c r="T120" s="90"/>
      <c r="U120" s="140" t="s">
        <v>214</v>
      </c>
      <c r="V120" s="90"/>
      <c r="W120" s="140" t="s">
        <v>207</v>
      </c>
      <c r="X120" s="90"/>
      <c r="Y120" s="140" t="s">
        <v>207</v>
      </c>
      <c r="Z120" s="177" t="str">
        <f t="shared" si="4"/>
        <v>NC</v>
      </c>
      <c r="AA120" s="190" t="str">
        <f t="shared" si="3"/>
        <v>UTILIZOU O PDA CORRETAMENTE. NÃO HÁ FOTOS DE TODAS AS ETAPAS</v>
      </c>
      <c r="AB120" s="90"/>
      <c r="AC120" s="156" t="s">
        <v>36</v>
      </c>
      <c r="AD120" s="145" t="str">
        <f t="shared" si="5"/>
        <v>SÃO PAULO</v>
      </c>
      <c r="AE120" s="92" t="s">
        <v>79</v>
      </c>
    </row>
    <row r="121" spans="1:31" ht="30" customHeight="1">
      <c r="A121" s="197" t="s">
        <v>198</v>
      </c>
      <c r="B121" s="197">
        <v>2618884035</v>
      </c>
      <c r="C121" s="197" t="s">
        <v>144</v>
      </c>
      <c r="D121" s="197" t="s">
        <v>140</v>
      </c>
      <c r="E121" s="197" t="s">
        <v>35</v>
      </c>
      <c r="F121" s="197" t="s">
        <v>1983</v>
      </c>
      <c r="G121" s="197">
        <v>366</v>
      </c>
      <c r="H121" s="197" t="s">
        <v>255</v>
      </c>
      <c r="I121" s="197" t="s">
        <v>314</v>
      </c>
      <c r="J121" s="205" t="s">
        <v>1954</v>
      </c>
      <c r="K121" s="197"/>
      <c r="L121" s="203">
        <v>46148.478472222225</v>
      </c>
      <c r="M121" s="203">
        <v>46148.479166666664</v>
      </c>
      <c r="N121" s="197" t="s">
        <v>1936</v>
      </c>
      <c r="O121" s="152" t="s">
        <v>77</v>
      </c>
      <c r="P121" s="90"/>
      <c r="Q121" s="152" t="s">
        <v>77</v>
      </c>
      <c r="R121" s="90"/>
      <c r="S121" s="152" t="s">
        <v>77</v>
      </c>
      <c r="T121" s="90"/>
      <c r="U121" s="152" t="s">
        <v>77</v>
      </c>
      <c r="V121" s="90"/>
      <c r="W121" s="152" t="s">
        <v>77</v>
      </c>
      <c r="X121" s="90"/>
      <c r="Y121" s="152" t="s">
        <v>77</v>
      </c>
      <c r="Z121" s="177" t="str">
        <f t="shared" si="4"/>
        <v>NA</v>
      </c>
      <c r="AA121" s="190" t="str">
        <f t="shared" si="3"/>
        <v>NÃO AVALIADO POR FALHA DE SINCRONISMO</v>
      </c>
      <c r="AB121" s="90"/>
      <c r="AC121" s="156" t="s">
        <v>36</v>
      </c>
      <c r="AD121" s="145" t="str">
        <f t="shared" si="5"/>
        <v>SÃO PAULO</v>
      </c>
      <c r="AE121" s="92" t="s">
        <v>79</v>
      </c>
    </row>
    <row r="122" spans="1:31" ht="30" customHeight="1">
      <c r="A122" s="197" t="s">
        <v>198</v>
      </c>
      <c r="B122" s="197">
        <v>2618885926</v>
      </c>
      <c r="C122" s="197" t="s">
        <v>1923</v>
      </c>
      <c r="D122" s="197" t="s">
        <v>79</v>
      </c>
      <c r="E122" s="197" t="s">
        <v>35</v>
      </c>
      <c r="F122" s="197" t="s">
        <v>1869</v>
      </c>
      <c r="G122" s="197">
        <v>44</v>
      </c>
      <c r="H122" s="197" t="s">
        <v>205</v>
      </c>
      <c r="I122" s="197" t="s">
        <v>548</v>
      </c>
      <c r="J122" s="205" t="s">
        <v>1915</v>
      </c>
      <c r="K122" s="197" t="s">
        <v>200</v>
      </c>
      <c r="L122" s="203">
        <v>46148.5625</v>
      </c>
      <c r="M122" s="203">
        <v>46148.568055555559</v>
      </c>
      <c r="N122" s="197" t="s">
        <v>1936</v>
      </c>
      <c r="O122" s="152" t="s">
        <v>207</v>
      </c>
      <c r="P122" s="90"/>
      <c r="Q122" s="140" t="s">
        <v>207</v>
      </c>
      <c r="R122" s="90"/>
      <c r="S122" s="140" t="s">
        <v>207</v>
      </c>
      <c r="T122" s="90"/>
      <c r="U122" s="140" t="s">
        <v>207</v>
      </c>
      <c r="V122" s="90"/>
      <c r="W122" s="140" t="s">
        <v>207</v>
      </c>
      <c r="X122" s="90"/>
      <c r="Y122" s="140" t="s">
        <v>207</v>
      </c>
      <c r="Z122" s="177" t="str">
        <f t="shared" si="4"/>
        <v>C</v>
      </c>
      <c r="AA122" s="190" t="str">
        <f t="shared" si="3"/>
        <v>UTILIZOU O PDA CORRETAMENTE</v>
      </c>
      <c r="AB122" s="90"/>
      <c r="AC122" s="156" t="s">
        <v>36</v>
      </c>
      <c r="AD122" s="145" t="str">
        <f t="shared" si="5"/>
        <v>SÃO PAULO</v>
      </c>
      <c r="AE122" s="92" t="s">
        <v>79</v>
      </c>
    </row>
    <row r="123" spans="1:31" ht="30" customHeight="1">
      <c r="A123" s="197" t="s">
        <v>198</v>
      </c>
      <c r="B123" s="197">
        <v>2618486582</v>
      </c>
      <c r="C123" s="197" t="s">
        <v>151</v>
      </c>
      <c r="D123" s="197" t="s">
        <v>140</v>
      </c>
      <c r="E123" s="197" t="s">
        <v>35</v>
      </c>
      <c r="F123" s="197" t="s">
        <v>351</v>
      </c>
      <c r="G123" s="197">
        <v>195</v>
      </c>
      <c r="H123" s="197"/>
      <c r="I123" s="197" t="s">
        <v>352</v>
      </c>
      <c r="J123" s="205" t="s">
        <v>1966</v>
      </c>
      <c r="K123" s="197"/>
      <c r="L123" s="203">
        <v>46148.503472222219</v>
      </c>
      <c r="M123" s="203">
        <v>46148.505555555559</v>
      </c>
      <c r="N123" s="197" t="s">
        <v>327</v>
      </c>
      <c r="O123" s="152" t="s">
        <v>207</v>
      </c>
      <c r="P123" s="90"/>
      <c r="Q123" s="140" t="s">
        <v>207</v>
      </c>
      <c r="R123" s="90"/>
      <c r="S123" s="140" t="s">
        <v>214</v>
      </c>
      <c r="T123" s="90"/>
      <c r="U123" s="140" t="s">
        <v>214</v>
      </c>
      <c r="V123" s="90"/>
      <c r="W123" s="140" t="s">
        <v>207</v>
      </c>
      <c r="X123" s="90"/>
      <c r="Y123" s="140" t="s">
        <v>207</v>
      </c>
      <c r="Z123" s="177" t="str">
        <f t="shared" si="4"/>
        <v>NC</v>
      </c>
      <c r="AA123" s="190" t="str">
        <f t="shared" si="3"/>
        <v>UTILIZOU O PDA CORRETAMENTE. NÃO HÁ FOTOS DE TODAS AS ETAPAS</v>
      </c>
      <c r="AB123" s="90"/>
      <c r="AC123" s="156" t="s">
        <v>36</v>
      </c>
      <c r="AD123" s="145" t="str">
        <f t="shared" si="5"/>
        <v>SÃO PAULO</v>
      </c>
      <c r="AE123" s="92" t="s">
        <v>79</v>
      </c>
    </row>
    <row r="124" spans="1:31" ht="30" customHeight="1">
      <c r="A124" s="197" t="s">
        <v>198</v>
      </c>
      <c r="B124" s="197">
        <v>2618927109</v>
      </c>
      <c r="C124" s="197" t="s">
        <v>1923</v>
      </c>
      <c r="D124" s="197" t="s">
        <v>79</v>
      </c>
      <c r="E124" s="197" t="s">
        <v>35</v>
      </c>
      <c r="F124" s="197" t="s">
        <v>2022</v>
      </c>
      <c r="G124" s="197">
        <v>446</v>
      </c>
      <c r="H124" s="197"/>
      <c r="I124" s="197" t="s">
        <v>614</v>
      </c>
      <c r="J124" s="205" t="s">
        <v>1915</v>
      </c>
      <c r="K124" s="197"/>
      <c r="L124" s="203">
        <v>46148.709027777775</v>
      </c>
      <c r="M124" s="203">
        <v>46148.709722222222</v>
      </c>
      <c r="N124" s="197" t="s">
        <v>1916</v>
      </c>
      <c r="O124" s="152" t="s">
        <v>207</v>
      </c>
      <c r="P124" s="90"/>
      <c r="Q124" s="140" t="s">
        <v>207</v>
      </c>
      <c r="R124" s="90"/>
      <c r="S124" s="140" t="s">
        <v>214</v>
      </c>
      <c r="T124" s="90"/>
      <c r="U124" s="140" t="s">
        <v>214</v>
      </c>
      <c r="V124" s="90"/>
      <c r="W124" s="140" t="s">
        <v>207</v>
      </c>
      <c r="X124" s="90"/>
      <c r="Y124" s="140" t="s">
        <v>207</v>
      </c>
      <c r="Z124" s="177" t="str">
        <f t="shared" si="4"/>
        <v>NC</v>
      </c>
      <c r="AA124" s="190" t="str">
        <f t="shared" si="3"/>
        <v>UTILIZOU O PDA CORRETAMENTE. NÃO HÁ FOTOS DE TODAS AS ETAPAS</v>
      </c>
      <c r="AB124" s="90"/>
      <c r="AC124" s="156" t="s">
        <v>36</v>
      </c>
      <c r="AD124" s="145" t="str">
        <f t="shared" si="5"/>
        <v>SÃO PAULO</v>
      </c>
      <c r="AE124" s="92" t="s">
        <v>79</v>
      </c>
    </row>
    <row r="125" spans="1:31" ht="30" customHeight="1">
      <c r="A125" s="197" t="s">
        <v>198</v>
      </c>
      <c r="B125" s="197">
        <v>2692563544</v>
      </c>
      <c r="C125" s="197" t="s">
        <v>146</v>
      </c>
      <c r="D125" s="197" t="s">
        <v>79</v>
      </c>
      <c r="E125" s="197" t="s">
        <v>35</v>
      </c>
      <c r="F125" s="197" t="s">
        <v>2023</v>
      </c>
      <c r="G125" s="197">
        <v>97</v>
      </c>
      <c r="H125" s="197" t="s">
        <v>200</v>
      </c>
      <c r="I125" s="197" t="s">
        <v>596</v>
      </c>
      <c r="J125" s="205" t="s">
        <v>1915</v>
      </c>
      <c r="K125" s="197" t="s">
        <v>200</v>
      </c>
      <c r="L125" s="203">
        <v>46149.429861111108</v>
      </c>
      <c r="M125" s="203">
        <v>46149.434027777781</v>
      </c>
      <c r="N125" s="197" t="s">
        <v>1944</v>
      </c>
      <c r="O125" s="152" t="s">
        <v>207</v>
      </c>
      <c r="P125" s="90"/>
      <c r="Q125" s="140" t="s">
        <v>207</v>
      </c>
      <c r="R125" s="90"/>
      <c r="S125" s="140" t="s">
        <v>207</v>
      </c>
      <c r="T125" s="90"/>
      <c r="U125" s="140" t="s">
        <v>207</v>
      </c>
      <c r="V125" s="90"/>
      <c r="W125" s="140" t="s">
        <v>207</v>
      </c>
      <c r="X125" s="90"/>
      <c r="Y125" s="140" t="s">
        <v>207</v>
      </c>
      <c r="Z125" s="177" t="str">
        <f t="shared" si="4"/>
        <v>C</v>
      </c>
      <c r="AA125" s="190" t="str">
        <f t="shared" si="3"/>
        <v>UTILIZOU O PDA CORRETAMENTE</v>
      </c>
      <c r="AB125" s="90"/>
      <c r="AC125" s="156" t="s">
        <v>36</v>
      </c>
      <c r="AD125" s="145" t="str">
        <f t="shared" si="5"/>
        <v>SÃO PAULO</v>
      </c>
      <c r="AE125" s="92" t="s">
        <v>79</v>
      </c>
    </row>
    <row r="126" spans="1:31" ht="30" customHeight="1">
      <c r="A126" s="197" t="s">
        <v>198</v>
      </c>
      <c r="B126" s="197">
        <v>2618933078</v>
      </c>
      <c r="C126" s="197" t="s">
        <v>142</v>
      </c>
      <c r="D126" s="197" t="s">
        <v>79</v>
      </c>
      <c r="E126" s="197" t="s">
        <v>35</v>
      </c>
      <c r="F126" s="197" t="s">
        <v>457</v>
      </c>
      <c r="G126" s="197">
        <v>439</v>
      </c>
      <c r="H126" s="197"/>
      <c r="I126" s="197" t="s">
        <v>417</v>
      </c>
      <c r="J126" s="205" t="s">
        <v>1915</v>
      </c>
      <c r="K126" s="197"/>
      <c r="L126" s="203">
        <v>46149.234027777777</v>
      </c>
      <c r="M126" s="203">
        <v>46149.24722222222</v>
      </c>
      <c r="N126" s="197" t="s">
        <v>1944</v>
      </c>
      <c r="O126" s="152" t="s">
        <v>207</v>
      </c>
      <c r="P126" s="90"/>
      <c r="Q126" s="140" t="s">
        <v>207</v>
      </c>
      <c r="R126" s="90"/>
      <c r="S126" s="140" t="s">
        <v>207</v>
      </c>
      <c r="T126" s="90"/>
      <c r="U126" s="140" t="s">
        <v>207</v>
      </c>
      <c r="V126" s="90"/>
      <c r="W126" s="140" t="s">
        <v>207</v>
      </c>
      <c r="X126" s="90"/>
      <c r="Y126" s="140" t="s">
        <v>207</v>
      </c>
      <c r="Z126" s="177" t="str">
        <f t="shared" si="4"/>
        <v>C</v>
      </c>
      <c r="AA126" s="190" t="str">
        <f t="shared" si="3"/>
        <v>UTILIZOU O PDA CORRETAMENTE</v>
      </c>
      <c r="AB126" s="90"/>
      <c r="AC126" s="156" t="s">
        <v>36</v>
      </c>
      <c r="AD126" s="145" t="str">
        <f t="shared" si="5"/>
        <v>SÃO PAULO</v>
      </c>
      <c r="AE126" s="92" t="s">
        <v>79</v>
      </c>
    </row>
    <row r="127" spans="1:31" ht="30" customHeight="1">
      <c r="A127" s="197" t="s">
        <v>198</v>
      </c>
      <c r="B127" s="197">
        <v>2619037701</v>
      </c>
      <c r="C127" s="197" t="s">
        <v>143</v>
      </c>
      <c r="D127" s="197" t="s">
        <v>79</v>
      </c>
      <c r="E127" s="197" t="s">
        <v>35</v>
      </c>
      <c r="F127" s="197" t="s">
        <v>2024</v>
      </c>
      <c r="G127" s="197">
        <v>358</v>
      </c>
      <c r="H127" s="197" t="s">
        <v>205</v>
      </c>
      <c r="I127" s="197" t="s">
        <v>271</v>
      </c>
      <c r="J127" s="205" t="s">
        <v>1918</v>
      </c>
      <c r="K127" s="197" t="s">
        <v>200</v>
      </c>
      <c r="L127" s="203">
        <v>46149.307638888888</v>
      </c>
      <c r="M127" s="203">
        <v>46149.30972222222</v>
      </c>
      <c r="N127" s="197" t="s">
        <v>1944</v>
      </c>
      <c r="O127" s="152" t="s">
        <v>207</v>
      </c>
      <c r="P127" s="90"/>
      <c r="Q127" s="152" t="s">
        <v>207</v>
      </c>
      <c r="R127" s="90"/>
      <c r="S127" s="152" t="s">
        <v>207</v>
      </c>
      <c r="T127" s="90"/>
      <c r="U127" s="152" t="s">
        <v>207</v>
      </c>
      <c r="V127" s="90"/>
      <c r="W127" s="152" t="s">
        <v>207</v>
      </c>
      <c r="X127" s="90"/>
      <c r="Y127" s="152" t="s">
        <v>207</v>
      </c>
      <c r="Z127" s="177" t="str">
        <f t="shared" si="4"/>
        <v>C</v>
      </c>
      <c r="AA127" s="190" t="str">
        <f t="shared" si="3"/>
        <v>UTILIZOU O PDA CORRETAMENTE</v>
      </c>
      <c r="AB127" s="90"/>
      <c r="AC127" s="156" t="s">
        <v>36</v>
      </c>
      <c r="AD127" s="145" t="str">
        <f t="shared" si="5"/>
        <v>SÃO PAULO</v>
      </c>
      <c r="AE127" s="92" t="s">
        <v>79</v>
      </c>
    </row>
    <row r="128" spans="1:31" ht="30" customHeight="1">
      <c r="A128" s="197" t="s">
        <v>198</v>
      </c>
      <c r="B128" s="197">
        <v>2618887886</v>
      </c>
      <c r="C128" s="197" t="s">
        <v>147</v>
      </c>
      <c r="D128" s="197" t="s">
        <v>79</v>
      </c>
      <c r="E128" s="197" t="s">
        <v>35</v>
      </c>
      <c r="F128" s="197" t="s">
        <v>2025</v>
      </c>
      <c r="G128" s="197">
        <v>23</v>
      </c>
      <c r="H128" s="197" t="s">
        <v>200</v>
      </c>
      <c r="I128" s="197" t="s">
        <v>1035</v>
      </c>
      <c r="J128" s="205" t="s">
        <v>1915</v>
      </c>
      <c r="K128" s="197" t="s">
        <v>200</v>
      </c>
      <c r="L128" s="203">
        <v>46149.398611111108</v>
      </c>
      <c r="M128" s="203">
        <v>46149.406944444447</v>
      </c>
      <c r="N128" s="197" t="s">
        <v>1916</v>
      </c>
      <c r="O128" s="152" t="s">
        <v>207</v>
      </c>
      <c r="P128" s="90"/>
      <c r="Q128" s="152" t="s">
        <v>207</v>
      </c>
      <c r="R128" s="90"/>
      <c r="S128" s="152" t="s">
        <v>207</v>
      </c>
      <c r="T128" s="90"/>
      <c r="U128" s="152" t="s">
        <v>207</v>
      </c>
      <c r="V128" s="90"/>
      <c r="W128" s="152" t="s">
        <v>207</v>
      </c>
      <c r="X128" s="90"/>
      <c r="Y128" s="152" t="s">
        <v>207</v>
      </c>
      <c r="Z128" s="177" t="str">
        <f t="shared" si="4"/>
        <v>C</v>
      </c>
      <c r="AA128" s="190" t="str">
        <f t="shared" si="3"/>
        <v>UTILIZOU O PDA CORRETAMENTE</v>
      </c>
      <c r="AB128" s="90"/>
      <c r="AC128" s="156" t="s">
        <v>36</v>
      </c>
      <c r="AD128" s="145" t="str">
        <f t="shared" si="5"/>
        <v>SÃO PAULO</v>
      </c>
      <c r="AE128" s="92" t="s">
        <v>79</v>
      </c>
    </row>
    <row r="129" spans="1:31" ht="30" customHeight="1">
      <c r="A129" s="197" t="s">
        <v>198</v>
      </c>
      <c r="B129" s="197">
        <v>2618896424</v>
      </c>
      <c r="C129" s="197" t="s">
        <v>144</v>
      </c>
      <c r="D129" s="197" t="s">
        <v>140</v>
      </c>
      <c r="E129" s="197" t="s">
        <v>35</v>
      </c>
      <c r="F129" s="197" t="s">
        <v>2026</v>
      </c>
      <c r="G129" s="197">
        <v>11</v>
      </c>
      <c r="H129" s="197" t="s">
        <v>208</v>
      </c>
      <c r="I129" s="197" t="s">
        <v>271</v>
      </c>
      <c r="J129" s="205" t="s">
        <v>1954</v>
      </c>
      <c r="K129" s="197"/>
      <c r="L129" s="203">
        <v>46149.395833333336</v>
      </c>
      <c r="M129" s="203">
        <v>46149.396527777775</v>
      </c>
      <c r="N129" s="197" t="s">
        <v>1916</v>
      </c>
      <c r="O129" s="152" t="s">
        <v>207</v>
      </c>
      <c r="P129" s="90"/>
      <c r="Q129" s="152" t="s">
        <v>207</v>
      </c>
      <c r="R129" s="90"/>
      <c r="S129" s="152" t="s">
        <v>207</v>
      </c>
      <c r="T129" s="90"/>
      <c r="U129" s="152" t="s">
        <v>207</v>
      </c>
      <c r="V129" s="90"/>
      <c r="W129" s="152" t="s">
        <v>207</v>
      </c>
      <c r="X129" s="90"/>
      <c r="Y129" s="152" t="s">
        <v>207</v>
      </c>
      <c r="Z129" s="177" t="str">
        <f t="shared" si="4"/>
        <v>C</v>
      </c>
      <c r="AA129" s="190" t="str">
        <f t="shared" si="3"/>
        <v>UTILIZOU O PDA CORRETAMENTE</v>
      </c>
      <c r="AB129" s="90"/>
      <c r="AC129" s="156" t="s">
        <v>36</v>
      </c>
      <c r="AD129" s="145" t="str">
        <f t="shared" si="5"/>
        <v>SÃO PAULO</v>
      </c>
      <c r="AE129" s="92" t="s">
        <v>79</v>
      </c>
    </row>
    <row r="130" spans="1:31" ht="30" customHeight="1">
      <c r="A130" s="197" t="s">
        <v>198</v>
      </c>
      <c r="B130" s="197">
        <v>2618896916</v>
      </c>
      <c r="C130" s="197" t="s">
        <v>147</v>
      </c>
      <c r="D130" s="197" t="s">
        <v>79</v>
      </c>
      <c r="E130" s="197" t="s">
        <v>35</v>
      </c>
      <c r="F130" s="197" t="s">
        <v>2026</v>
      </c>
      <c r="G130" s="197">
        <v>11</v>
      </c>
      <c r="H130" s="197" t="s">
        <v>208</v>
      </c>
      <c r="I130" s="197" t="s">
        <v>271</v>
      </c>
      <c r="J130" s="205" t="s">
        <v>1915</v>
      </c>
      <c r="K130" s="197" t="s">
        <v>200</v>
      </c>
      <c r="L130" s="203">
        <v>46149.38958333333</v>
      </c>
      <c r="M130" s="203">
        <v>46149.395833333336</v>
      </c>
      <c r="N130" s="197" t="s">
        <v>1916</v>
      </c>
      <c r="O130" s="152" t="s">
        <v>207</v>
      </c>
      <c r="P130" s="90"/>
      <c r="Q130" s="152" t="s">
        <v>207</v>
      </c>
      <c r="R130" s="90"/>
      <c r="S130" s="152" t="s">
        <v>207</v>
      </c>
      <c r="T130" s="90"/>
      <c r="U130" s="152" t="s">
        <v>207</v>
      </c>
      <c r="V130" s="90"/>
      <c r="W130" s="152" t="s">
        <v>207</v>
      </c>
      <c r="X130" s="90"/>
      <c r="Y130" s="152" t="s">
        <v>207</v>
      </c>
      <c r="Z130" s="177" t="str">
        <f t="shared" si="4"/>
        <v>C</v>
      </c>
      <c r="AA130" s="190" t="str">
        <f t="shared" ref="AA130:AA193" si="7">IF(AND(Y130="C",Z130="C"),"UTILIZOU O PDA CORRETAMENTE",IF(AND(Y130="C",Z130="NC"),"UTILIZOU O PDA CORRETAMENTE. NÃO HÁ FOTOS DE TODAS AS ETAPAS",IF(AND(Y130="NC",Z130="NC"),"NÃO UTILIZOU O PDA",IF(AND(Y130="NA",Z130="NA"),"NÃO AVALIADO POR FALHA DE SINCRONISMO"))))</f>
        <v>UTILIZOU O PDA CORRETAMENTE</v>
      </c>
      <c r="AB130" s="90"/>
      <c r="AC130" s="156" t="s">
        <v>36</v>
      </c>
      <c r="AD130" s="145" t="str">
        <f t="shared" si="5"/>
        <v>SÃO PAULO</v>
      </c>
      <c r="AE130" s="92" t="s">
        <v>79</v>
      </c>
    </row>
    <row r="131" spans="1:31" ht="30" customHeight="1">
      <c r="A131" s="197" t="s">
        <v>198</v>
      </c>
      <c r="B131" s="197">
        <v>2692549172</v>
      </c>
      <c r="C131" s="197" t="s">
        <v>143</v>
      </c>
      <c r="D131" s="197" t="s">
        <v>79</v>
      </c>
      <c r="E131" s="197" t="s">
        <v>35</v>
      </c>
      <c r="F131" s="197" t="s">
        <v>1843</v>
      </c>
      <c r="G131" s="197">
        <v>55</v>
      </c>
      <c r="H131" s="197" t="s">
        <v>208</v>
      </c>
      <c r="I131" s="197" t="s">
        <v>357</v>
      </c>
      <c r="J131" s="205" t="s">
        <v>1915</v>
      </c>
      <c r="K131" s="197"/>
      <c r="L131" s="203">
        <v>46149.402083333334</v>
      </c>
      <c r="M131" s="203">
        <v>46149.407638888886</v>
      </c>
      <c r="N131" s="197" t="s">
        <v>390</v>
      </c>
      <c r="O131" s="152" t="s">
        <v>207</v>
      </c>
      <c r="P131" s="90"/>
      <c r="Q131" s="152" t="s">
        <v>207</v>
      </c>
      <c r="R131" s="90"/>
      <c r="S131" s="152" t="s">
        <v>207</v>
      </c>
      <c r="T131" s="90"/>
      <c r="U131" s="152" t="s">
        <v>207</v>
      </c>
      <c r="V131" s="90"/>
      <c r="W131" s="152" t="s">
        <v>207</v>
      </c>
      <c r="X131" s="90"/>
      <c r="Y131" s="152" t="s">
        <v>207</v>
      </c>
      <c r="Z131" s="177" t="str">
        <f t="shared" ref="Z131:Z194" si="8">IF(AND(O131="",Q131="",S131="",U131="",W131=""),"",IF(OR(AND(O131&lt;&gt;"NA",O131&lt;&gt;"C",O131&lt;&gt;"NC",O131&lt;&gt;"SF",O131&lt;&gt;""),AND(Q131&lt;&gt;"NA",Q131&lt;&gt;"C",Q131&lt;&gt;"NC",Q131&lt;&gt;"SF",Q131&lt;&gt;""),AND(S131&lt;&gt;"NA",S131&lt;&gt;"C",S131&lt;&gt;"NC",S131&lt;&gt;"SF",S131&lt;&gt;""),AND(U131&lt;&gt;"NA",U131&lt;&gt;"C",U131&lt;&gt;"NC",U131&lt;&gt;"SF",U131&lt;&gt;""),AND(W131&lt;&gt;"NA",W131&lt;&gt;"C",W131&lt;&gt;"NC",W131&lt;&gt;"SF",W131&lt;&gt;"")),"FALSO",IF(AND(O131="NA",Q131="NA",S131="NA",U131="NA",W131="NA"),"NA",IF(OR(O131="NC",Q131="NC",S131="NC",U131="NC",W131="NC",O131="SF",Q131="SF",S131="SF",U131="SF",W131="SF"),"NC",IF(OR(O131="C",Q131="C",S131="C",U131="C",W131="C"),"C","")))))</f>
        <v>C</v>
      </c>
      <c r="AA131" s="190" t="str">
        <f t="shared" si="7"/>
        <v>UTILIZOU O PDA CORRETAMENTE</v>
      </c>
      <c r="AB131" s="90"/>
      <c r="AC131" s="156" t="s">
        <v>36</v>
      </c>
      <c r="AD131" s="145" t="str">
        <f t="shared" ref="AD131:AD194" si="9">E131</f>
        <v>SÃO PAULO</v>
      </c>
      <c r="AE131" s="92" t="s">
        <v>79</v>
      </c>
    </row>
    <row r="132" spans="1:31" ht="30" customHeight="1">
      <c r="A132" s="197" t="s">
        <v>198</v>
      </c>
      <c r="B132" s="197">
        <v>2692636314</v>
      </c>
      <c r="C132" s="197" t="s">
        <v>143</v>
      </c>
      <c r="D132" s="197" t="s">
        <v>79</v>
      </c>
      <c r="E132" s="197" t="s">
        <v>35</v>
      </c>
      <c r="F132" s="197" t="s">
        <v>2027</v>
      </c>
      <c r="G132" s="197">
        <v>200</v>
      </c>
      <c r="H132" s="197" t="s">
        <v>208</v>
      </c>
      <c r="I132" s="197" t="s">
        <v>300</v>
      </c>
      <c r="J132" s="205" t="s">
        <v>1915</v>
      </c>
      <c r="K132" s="197"/>
      <c r="L132" s="203">
        <v>46149.342361111114</v>
      </c>
      <c r="M132" s="203">
        <v>46149.347222222219</v>
      </c>
      <c r="N132" s="197" t="s">
        <v>390</v>
      </c>
      <c r="O132" s="152" t="s">
        <v>207</v>
      </c>
      <c r="P132" s="90"/>
      <c r="Q132" s="152" t="s">
        <v>207</v>
      </c>
      <c r="R132" s="90"/>
      <c r="S132" s="152" t="s">
        <v>207</v>
      </c>
      <c r="T132" s="90"/>
      <c r="U132" s="152" t="s">
        <v>207</v>
      </c>
      <c r="V132" s="90"/>
      <c r="W132" s="152" t="s">
        <v>207</v>
      </c>
      <c r="X132" s="90"/>
      <c r="Y132" s="152" t="s">
        <v>207</v>
      </c>
      <c r="Z132" s="177" t="str">
        <f t="shared" si="8"/>
        <v>C</v>
      </c>
      <c r="AA132" s="190" t="str">
        <f t="shared" si="7"/>
        <v>UTILIZOU O PDA CORRETAMENTE</v>
      </c>
      <c r="AB132" s="90"/>
      <c r="AC132" s="156" t="s">
        <v>36</v>
      </c>
      <c r="AD132" s="145" t="str">
        <f t="shared" si="9"/>
        <v>SÃO PAULO</v>
      </c>
      <c r="AE132" s="92" t="s">
        <v>79</v>
      </c>
    </row>
    <row r="133" spans="1:31" ht="30" customHeight="1">
      <c r="A133" s="197" t="s">
        <v>198</v>
      </c>
      <c r="B133" s="197">
        <v>2692547804</v>
      </c>
      <c r="C133" s="197" t="s">
        <v>147</v>
      </c>
      <c r="D133" s="197" t="s">
        <v>79</v>
      </c>
      <c r="E133" s="197" t="s">
        <v>35</v>
      </c>
      <c r="F133" s="197" t="s">
        <v>2028</v>
      </c>
      <c r="G133" s="197">
        <v>22</v>
      </c>
      <c r="H133" s="197" t="s">
        <v>200</v>
      </c>
      <c r="I133" s="197" t="s">
        <v>1755</v>
      </c>
      <c r="J133" s="205" t="s">
        <v>1915</v>
      </c>
      <c r="K133" s="197" t="s">
        <v>200</v>
      </c>
      <c r="L133" s="203">
        <v>46149.255555555559</v>
      </c>
      <c r="M133" s="203">
        <v>46149.26666666667</v>
      </c>
      <c r="N133" s="197" t="s">
        <v>1922</v>
      </c>
      <c r="O133" s="152" t="s">
        <v>207</v>
      </c>
      <c r="P133" s="90"/>
      <c r="Q133" s="140" t="s">
        <v>207</v>
      </c>
      <c r="R133" s="90"/>
      <c r="S133" s="140" t="s">
        <v>214</v>
      </c>
      <c r="T133" s="90"/>
      <c r="U133" s="140" t="s">
        <v>214</v>
      </c>
      <c r="V133" s="90"/>
      <c r="W133" s="140" t="s">
        <v>207</v>
      </c>
      <c r="X133" s="90"/>
      <c r="Y133" s="140" t="s">
        <v>207</v>
      </c>
      <c r="Z133" s="177" t="str">
        <f t="shared" si="8"/>
        <v>NC</v>
      </c>
      <c r="AA133" s="190" t="str">
        <f t="shared" si="7"/>
        <v>UTILIZOU O PDA CORRETAMENTE. NÃO HÁ FOTOS DE TODAS AS ETAPAS</v>
      </c>
      <c r="AB133" s="90"/>
      <c r="AC133" s="156" t="s">
        <v>36</v>
      </c>
      <c r="AD133" s="145" t="str">
        <f t="shared" si="9"/>
        <v>SÃO PAULO</v>
      </c>
      <c r="AE133" s="92" t="s">
        <v>79</v>
      </c>
    </row>
    <row r="134" spans="1:31" ht="30" customHeight="1">
      <c r="A134" s="197" t="s">
        <v>198</v>
      </c>
      <c r="B134" s="197">
        <v>2618888570</v>
      </c>
      <c r="C134" s="197" t="s">
        <v>1923</v>
      </c>
      <c r="D134" s="197" t="s">
        <v>79</v>
      </c>
      <c r="E134" s="197" t="s">
        <v>35</v>
      </c>
      <c r="F134" s="197" t="s">
        <v>2029</v>
      </c>
      <c r="G134" s="197">
        <v>169</v>
      </c>
      <c r="H134" s="197"/>
      <c r="I134" s="197" t="s">
        <v>1959</v>
      </c>
      <c r="J134" s="205" t="s">
        <v>1915</v>
      </c>
      <c r="K134" s="197" t="s">
        <v>2030</v>
      </c>
      <c r="L134" s="203">
        <v>46149.140972222223</v>
      </c>
      <c r="M134" s="203">
        <v>46149.145138888889</v>
      </c>
      <c r="N134" s="197" t="s">
        <v>1922</v>
      </c>
      <c r="O134" s="152" t="s">
        <v>207</v>
      </c>
      <c r="P134" s="90"/>
      <c r="Q134" s="140" t="s">
        <v>207</v>
      </c>
      <c r="R134" s="90"/>
      <c r="S134" s="140" t="s">
        <v>214</v>
      </c>
      <c r="T134" s="90"/>
      <c r="U134" s="140" t="s">
        <v>214</v>
      </c>
      <c r="V134" s="90"/>
      <c r="W134" s="140" t="s">
        <v>214</v>
      </c>
      <c r="X134" s="90"/>
      <c r="Y134" s="140" t="s">
        <v>207</v>
      </c>
      <c r="Z134" s="177" t="str">
        <f t="shared" si="8"/>
        <v>NC</v>
      </c>
      <c r="AA134" s="190" t="str">
        <f t="shared" si="7"/>
        <v>UTILIZOU O PDA CORRETAMENTE. NÃO HÁ FOTOS DE TODAS AS ETAPAS</v>
      </c>
      <c r="AB134" s="90"/>
      <c r="AC134" s="156" t="s">
        <v>36</v>
      </c>
      <c r="AD134" s="145" t="str">
        <f t="shared" si="9"/>
        <v>SÃO PAULO</v>
      </c>
      <c r="AE134" s="92" t="s">
        <v>79</v>
      </c>
    </row>
    <row r="135" spans="1:31" ht="30" customHeight="1">
      <c r="A135" s="197" t="s">
        <v>198</v>
      </c>
      <c r="B135" s="197">
        <v>2692607481</v>
      </c>
      <c r="C135" s="197" t="s">
        <v>143</v>
      </c>
      <c r="D135" s="197" t="s">
        <v>79</v>
      </c>
      <c r="E135" s="197" t="s">
        <v>35</v>
      </c>
      <c r="F135" s="197" t="s">
        <v>633</v>
      </c>
      <c r="G135" s="197">
        <v>338</v>
      </c>
      <c r="H135" s="197" t="s">
        <v>257</v>
      </c>
      <c r="I135" s="197" t="s">
        <v>634</v>
      </c>
      <c r="J135" s="205" t="s">
        <v>1915</v>
      </c>
      <c r="K135" s="197"/>
      <c r="L135" s="203">
        <v>46149.314583333333</v>
      </c>
      <c r="M135" s="203">
        <v>46149.31527777778</v>
      </c>
      <c r="N135" s="197" t="s">
        <v>1922</v>
      </c>
      <c r="O135" s="152" t="s">
        <v>207</v>
      </c>
      <c r="P135" s="90"/>
      <c r="Q135" s="140" t="s">
        <v>215</v>
      </c>
      <c r="R135" s="90" t="s">
        <v>2031</v>
      </c>
      <c r="S135" s="140" t="s">
        <v>214</v>
      </c>
      <c r="T135" s="90"/>
      <c r="U135" s="140" t="s">
        <v>214</v>
      </c>
      <c r="V135" s="90"/>
      <c r="W135" s="140" t="s">
        <v>207</v>
      </c>
      <c r="X135" s="90"/>
      <c r="Y135" s="140" t="s">
        <v>207</v>
      </c>
      <c r="Z135" s="177" t="str">
        <f t="shared" si="8"/>
        <v>NC</v>
      </c>
      <c r="AA135" s="190" t="str">
        <f t="shared" si="7"/>
        <v>UTILIZOU O PDA CORRETAMENTE. NÃO HÁ FOTOS DE TODAS AS ETAPAS</v>
      </c>
      <c r="AB135" s="90"/>
      <c r="AC135" s="156" t="s">
        <v>36</v>
      </c>
      <c r="AD135" s="145" t="str">
        <f t="shared" si="9"/>
        <v>SÃO PAULO</v>
      </c>
      <c r="AE135" s="92" t="s">
        <v>79</v>
      </c>
    </row>
    <row r="136" spans="1:31" ht="30" customHeight="1">
      <c r="A136" s="197" t="s">
        <v>198</v>
      </c>
      <c r="B136" s="197">
        <v>2692629580</v>
      </c>
      <c r="C136" s="197" t="s">
        <v>147</v>
      </c>
      <c r="D136" s="197" t="s">
        <v>79</v>
      </c>
      <c r="E136" s="197" t="s">
        <v>35</v>
      </c>
      <c r="F136" s="197" t="s">
        <v>2032</v>
      </c>
      <c r="G136" s="197">
        <v>192</v>
      </c>
      <c r="H136" s="197"/>
      <c r="I136" s="197" t="s">
        <v>525</v>
      </c>
      <c r="J136" s="205" t="s">
        <v>1915</v>
      </c>
      <c r="K136" s="197"/>
      <c r="L136" s="203">
        <v>46149.07916666667</v>
      </c>
      <c r="M136" s="203">
        <v>46149.086805555555</v>
      </c>
      <c r="N136" s="197" t="s">
        <v>1922</v>
      </c>
      <c r="O136" s="152" t="s">
        <v>207</v>
      </c>
      <c r="P136" s="90"/>
      <c r="Q136" s="140" t="s">
        <v>207</v>
      </c>
      <c r="R136" s="90"/>
      <c r="S136" s="140" t="s">
        <v>214</v>
      </c>
      <c r="T136" s="90"/>
      <c r="U136" s="140" t="s">
        <v>214</v>
      </c>
      <c r="V136" s="90"/>
      <c r="W136" s="140" t="s">
        <v>207</v>
      </c>
      <c r="X136" s="90"/>
      <c r="Y136" s="140" t="s">
        <v>207</v>
      </c>
      <c r="Z136" s="177" t="str">
        <f t="shared" si="8"/>
        <v>NC</v>
      </c>
      <c r="AA136" s="190" t="str">
        <f t="shared" si="7"/>
        <v>UTILIZOU O PDA CORRETAMENTE. NÃO HÁ FOTOS DE TODAS AS ETAPAS</v>
      </c>
      <c r="AB136" s="90"/>
      <c r="AC136" s="156" t="s">
        <v>36</v>
      </c>
      <c r="AD136" s="145" t="str">
        <f t="shared" si="9"/>
        <v>SÃO PAULO</v>
      </c>
      <c r="AE136" s="92" t="s">
        <v>79</v>
      </c>
    </row>
    <row r="137" spans="1:31" ht="30" customHeight="1">
      <c r="A137" s="197" t="s">
        <v>198</v>
      </c>
      <c r="B137" s="197">
        <v>2618898954</v>
      </c>
      <c r="C137" s="197" t="s">
        <v>1923</v>
      </c>
      <c r="D137" s="197" t="s">
        <v>79</v>
      </c>
      <c r="E137" s="197" t="s">
        <v>35</v>
      </c>
      <c r="F137" s="197" t="s">
        <v>667</v>
      </c>
      <c r="G137" s="197">
        <v>28</v>
      </c>
      <c r="H137" s="197" t="s">
        <v>208</v>
      </c>
      <c r="I137" s="197" t="s">
        <v>293</v>
      </c>
      <c r="J137" s="205" t="s">
        <v>1932</v>
      </c>
      <c r="K137" s="197" t="s">
        <v>200</v>
      </c>
      <c r="L137" s="203">
        <v>46149.327777777777</v>
      </c>
      <c r="M137" s="203">
        <v>46149.335416666669</v>
      </c>
      <c r="N137" s="197" t="s">
        <v>1933</v>
      </c>
      <c r="O137" s="152" t="s">
        <v>207</v>
      </c>
      <c r="P137" s="90"/>
      <c r="Q137" s="152" t="s">
        <v>207</v>
      </c>
      <c r="R137" s="90"/>
      <c r="S137" s="152" t="s">
        <v>207</v>
      </c>
      <c r="T137" s="90"/>
      <c r="U137" s="152" t="s">
        <v>207</v>
      </c>
      <c r="V137" s="90"/>
      <c r="W137" s="152" t="s">
        <v>207</v>
      </c>
      <c r="X137" s="90"/>
      <c r="Y137" s="152" t="s">
        <v>207</v>
      </c>
      <c r="Z137" s="177" t="str">
        <f t="shared" si="8"/>
        <v>C</v>
      </c>
      <c r="AA137" s="190" t="str">
        <f t="shared" si="7"/>
        <v>UTILIZOU O PDA CORRETAMENTE</v>
      </c>
      <c r="AB137" s="90"/>
      <c r="AC137" s="156" t="s">
        <v>36</v>
      </c>
      <c r="AD137" s="145" t="str">
        <f t="shared" si="9"/>
        <v>SÃO PAULO</v>
      </c>
      <c r="AE137" s="92" t="s">
        <v>79</v>
      </c>
    </row>
    <row r="138" spans="1:31" ht="30" customHeight="1">
      <c r="A138" s="197" t="s">
        <v>198</v>
      </c>
      <c r="B138" s="197">
        <v>2692584625</v>
      </c>
      <c r="C138" s="197" t="s">
        <v>146</v>
      </c>
      <c r="D138" s="197" t="s">
        <v>79</v>
      </c>
      <c r="E138" s="197" t="s">
        <v>35</v>
      </c>
      <c r="F138" s="197" t="s">
        <v>466</v>
      </c>
      <c r="G138" s="197">
        <v>56</v>
      </c>
      <c r="H138" s="197" t="s">
        <v>208</v>
      </c>
      <c r="I138" s="197" t="s">
        <v>467</v>
      </c>
      <c r="J138" s="205" t="s">
        <v>1915</v>
      </c>
      <c r="K138" s="197" t="s">
        <v>200</v>
      </c>
      <c r="L138" s="203">
        <v>46149.373611111114</v>
      </c>
      <c r="M138" s="203">
        <v>46149.388888888891</v>
      </c>
      <c r="N138" s="197" t="s">
        <v>1933</v>
      </c>
      <c r="O138" s="152" t="s">
        <v>207</v>
      </c>
      <c r="P138" s="90"/>
      <c r="Q138" s="152" t="s">
        <v>207</v>
      </c>
      <c r="R138" s="90"/>
      <c r="S138" s="152" t="s">
        <v>207</v>
      </c>
      <c r="T138" s="90"/>
      <c r="U138" s="152" t="s">
        <v>207</v>
      </c>
      <c r="V138" s="90"/>
      <c r="W138" s="152" t="s">
        <v>207</v>
      </c>
      <c r="X138" s="90"/>
      <c r="Y138" s="152" t="s">
        <v>207</v>
      </c>
      <c r="Z138" s="177" t="str">
        <f t="shared" si="8"/>
        <v>C</v>
      </c>
      <c r="AA138" s="190" t="str">
        <f t="shared" si="7"/>
        <v>UTILIZOU O PDA CORRETAMENTE</v>
      </c>
      <c r="AB138" s="90"/>
      <c r="AC138" s="156" t="s">
        <v>36</v>
      </c>
      <c r="AD138" s="145" t="str">
        <f t="shared" si="9"/>
        <v>SÃO PAULO</v>
      </c>
      <c r="AE138" s="92" t="s">
        <v>79</v>
      </c>
    </row>
    <row r="139" spans="1:31" ht="30" customHeight="1">
      <c r="A139" s="197" t="s">
        <v>198</v>
      </c>
      <c r="B139" s="197">
        <v>2692526191</v>
      </c>
      <c r="C139" s="197" t="s">
        <v>146</v>
      </c>
      <c r="D139" s="197" t="s">
        <v>79</v>
      </c>
      <c r="E139" s="197" t="s">
        <v>35</v>
      </c>
      <c r="F139" s="197" t="s">
        <v>316</v>
      </c>
      <c r="G139" s="197">
        <v>106</v>
      </c>
      <c r="H139" s="197" t="s">
        <v>208</v>
      </c>
      <c r="I139" s="197" t="s">
        <v>281</v>
      </c>
      <c r="J139" s="205" t="s">
        <v>1943</v>
      </c>
      <c r="K139" s="197" t="s">
        <v>200</v>
      </c>
      <c r="L139" s="203">
        <v>46149.741666666669</v>
      </c>
      <c r="M139" s="203">
        <v>46149.743055555555</v>
      </c>
      <c r="N139" s="197" t="s">
        <v>1931</v>
      </c>
      <c r="O139" s="152" t="s">
        <v>207</v>
      </c>
      <c r="P139" s="90"/>
      <c r="Q139" s="152" t="s">
        <v>207</v>
      </c>
      <c r="R139" s="90"/>
      <c r="S139" s="152" t="s">
        <v>207</v>
      </c>
      <c r="T139" s="90"/>
      <c r="U139" s="152" t="s">
        <v>207</v>
      </c>
      <c r="V139" s="90"/>
      <c r="W139" s="152" t="s">
        <v>207</v>
      </c>
      <c r="X139" s="90"/>
      <c r="Y139" s="152" t="s">
        <v>207</v>
      </c>
      <c r="Z139" s="177" t="str">
        <f t="shared" si="8"/>
        <v>C</v>
      </c>
      <c r="AA139" s="190" t="str">
        <f t="shared" si="7"/>
        <v>UTILIZOU O PDA CORRETAMENTE</v>
      </c>
      <c r="AB139" s="90"/>
      <c r="AC139" s="156" t="s">
        <v>36</v>
      </c>
      <c r="AD139" s="145" t="str">
        <f t="shared" si="9"/>
        <v>SÃO PAULO</v>
      </c>
      <c r="AE139" s="92" t="s">
        <v>79</v>
      </c>
    </row>
    <row r="140" spans="1:31" ht="30" customHeight="1">
      <c r="A140" s="197" t="s">
        <v>198</v>
      </c>
      <c r="B140" s="197">
        <v>2618883698</v>
      </c>
      <c r="C140" s="197" t="s">
        <v>144</v>
      </c>
      <c r="D140" s="197" t="s">
        <v>140</v>
      </c>
      <c r="E140" s="197" t="s">
        <v>35</v>
      </c>
      <c r="F140" s="197" t="s">
        <v>650</v>
      </c>
      <c r="G140" s="197">
        <v>672</v>
      </c>
      <c r="H140" s="197" t="s">
        <v>205</v>
      </c>
      <c r="I140" s="197" t="s">
        <v>408</v>
      </c>
      <c r="J140" s="205" t="s">
        <v>1954</v>
      </c>
      <c r="K140" s="197" t="s">
        <v>200</v>
      </c>
      <c r="L140" s="203">
        <v>46149.495138888888</v>
      </c>
      <c r="M140" s="203">
        <v>46149.495833333334</v>
      </c>
      <c r="N140" s="197" t="s">
        <v>1931</v>
      </c>
      <c r="O140" s="152" t="s">
        <v>207</v>
      </c>
      <c r="P140" s="90"/>
      <c r="Q140" s="140" t="s">
        <v>207</v>
      </c>
      <c r="R140" s="90"/>
      <c r="S140" s="140" t="s">
        <v>214</v>
      </c>
      <c r="T140" s="90"/>
      <c r="U140" s="140" t="s">
        <v>214</v>
      </c>
      <c r="V140" s="90"/>
      <c r="W140" s="140" t="s">
        <v>207</v>
      </c>
      <c r="X140" s="90"/>
      <c r="Y140" s="140" t="s">
        <v>207</v>
      </c>
      <c r="Z140" s="177" t="str">
        <f t="shared" si="8"/>
        <v>NC</v>
      </c>
      <c r="AA140" s="190" t="str">
        <f t="shared" si="7"/>
        <v>UTILIZOU O PDA CORRETAMENTE. NÃO HÁ FOTOS DE TODAS AS ETAPAS</v>
      </c>
      <c r="AB140" s="90"/>
      <c r="AC140" s="156" t="s">
        <v>36</v>
      </c>
      <c r="AD140" s="145" t="str">
        <f t="shared" si="9"/>
        <v>SÃO PAULO</v>
      </c>
      <c r="AE140" s="92" t="s">
        <v>79</v>
      </c>
    </row>
    <row r="141" spans="1:31" ht="30" customHeight="1">
      <c r="A141" s="197" t="s">
        <v>198</v>
      </c>
      <c r="B141" s="197">
        <v>2618888121</v>
      </c>
      <c r="C141" s="197" t="s">
        <v>142</v>
      </c>
      <c r="D141" s="197" t="s">
        <v>79</v>
      </c>
      <c r="E141" s="197" t="s">
        <v>35</v>
      </c>
      <c r="F141" s="197" t="s">
        <v>2033</v>
      </c>
      <c r="G141" s="197">
        <v>16</v>
      </c>
      <c r="H141" s="197"/>
      <c r="I141" s="197" t="s">
        <v>319</v>
      </c>
      <c r="J141" s="205" t="s">
        <v>1915</v>
      </c>
      <c r="K141" s="197"/>
      <c r="L141" s="203">
        <v>46149.329861111109</v>
      </c>
      <c r="M141" s="203">
        <v>46149.330555555556</v>
      </c>
      <c r="N141" s="197" t="s">
        <v>1931</v>
      </c>
      <c r="O141" s="152" t="s">
        <v>207</v>
      </c>
      <c r="P141" s="90"/>
      <c r="Q141" s="140" t="s">
        <v>207</v>
      </c>
      <c r="R141" s="90"/>
      <c r="S141" s="140" t="s">
        <v>214</v>
      </c>
      <c r="T141" s="90"/>
      <c r="U141" s="140" t="s">
        <v>214</v>
      </c>
      <c r="V141" s="90"/>
      <c r="W141" s="140" t="s">
        <v>207</v>
      </c>
      <c r="X141" s="90"/>
      <c r="Y141" s="140" t="s">
        <v>207</v>
      </c>
      <c r="Z141" s="177" t="str">
        <f t="shared" si="8"/>
        <v>NC</v>
      </c>
      <c r="AA141" s="190" t="str">
        <f t="shared" si="7"/>
        <v>UTILIZOU O PDA CORRETAMENTE. NÃO HÁ FOTOS DE TODAS AS ETAPAS</v>
      </c>
      <c r="AB141" s="90"/>
      <c r="AC141" s="156" t="s">
        <v>36</v>
      </c>
      <c r="AD141" s="145" t="str">
        <f t="shared" si="9"/>
        <v>SÃO PAULO</v>
      </c>
      <c r="AE141" s="92" t="s">
        <v>79</v>
      </c>
    </row>
    <row r="142" spans="1:31" ht="30" customHeight="1">
      <c r="A142" s="197" t="s">
        <v>198</v>
      </c>
      <c r="B142" s="197">
        <v>2618883802</v>
      </c>
      <c r="C142" s="197" t="s">
        <v>146</v>
      </c>
      <c r="D142" s="197" t="s">
        <v>79</v>
      </c>
      <c r="E142" s="197" t="s">
        <v>35</v>
      </c>
      <c r="F142" s="197" t="s">
        <v>2034</v>
      </c>
      <c r="G142" s="197">
        <v>164</v>
      </c>
      <c r="H142" s="197" t="s">
        <v>205</v>
      </c>
      <c r="I142" s="197" t="s">
        <v>536</v>
      </c>
      <c r="J142" s="205" t="s">
        <v>1915</v>
      </c>
      <c r="K142" s="197"/>
      <c r="L142" s="203">
        <v>46149.368055555555</v>
      </c>
      <c r="M142" s="203">
        <v>46149.370138888888</v>
      </c>
      <c r="N142" s="197" t="s">
        <v>1919</v>
      </c>
      <c r="O142" s="152" t="s">
        <v>207</v>
      </c>
      <c r="P142" s="90"/>
      <c r="Q142" s="140" t="s">
        <v>207</v>
      </c>
      <c r="R142" s="90"/>
      <c r="S142" s="140" t="s">
        <v>214</v>
      </c>
      <c r="T142" s="90"/>
      <c r="U142" s="140" t="s">
        <v>214</v>
      </c>
      <c r="V142" s="90"/>
      <c r="W142" s="140" t="s">
        <v>207</v>
      </c>
      <c r="X142" s="90"/>
      <c r="Y142" s="140" t="s">
        <v>207</v>
      </c>
      <c r="Z142" s="177" t="str">
        <f t="shared" si="8"/>
        <v>NC</v>
      </c>
      <c r="AA142" s="190" t="str">
        <f t="shared" si="7"/>
        <v>UTILIZOU O PDA CORRETAMENTE. NÃO HÁ FOTOS DE TODAS AS ETAPAS</v>
      </c>
      <c r="AB142" s="90"/>
      <c r="AC142" s="156" t="s">
        <v>36</v>
      </c>
      <c r="AD142" s="145" t="str">
        <f t="shared" si="9"/>
        <v>SÃO PAULO</v>
      </c>
      <c r="AE142" s="92" t="s">
        <v>79</v>
      </c>
    </row>
    <row r="143" spans="1:31" ht="30" customHeight="1">
      <c r="A143" s="197" t="s">
        <v>198</v>
      </c>
      <c r="B143" s="197">
        <v>2618887474</v>
      </c>
      <c r="C143" s="197" t="s">
        <v>1923</v>
      </c>
      <c r="D143" s="197" t="s">
        <v>79</v>
      </c>
      <c r="E143" s="197" t="s">
        <v>35</v>
      </c>
      <c r="F143" s="197" t="s">
        <v>1972</v>
      </c>
      <c r="G143" s="197">
        <v>24</v>
      </c>
      <c r="H143" s="197" t="s">
        <v>208</v>
      </c>
      <c r="I143" s="197" t="s">
        <v>305</v>
      </c>
      <c r="J143" s="205" t="s">
        <v>1915</v>
      </c>
      <c r="K143" s="197" t="s">
        <v>200</v>
      </c>
      <c r="L143" s="203">
        <v>46149.484027777777</v>
      </c>
      <c r="M143" s="203">
        <v>46149.486805555556</v>
      </c>
      <c r="N143" s="197" t="s">
        <v>1919</v>
      </c>
      <c r="O143" s="152" t="s">
        <v>207</v>
      </c>
      <c r="P143" s="90"/>
      <c r="Q143" s="140" t="s">
        <v>207</v>
      </c>
      <c r="R143" s="90"/>
      <c r="S143" s="140" t="s">
        <v>214</v>
      </c>
      <c r="T143" s="90"/>
      <c r="U143" s="140" t="s">
        <v>207</v>
      </c>
      <c r="V143" s="90"/>
      <c r="W143" s="140" t="s">
        <v>207</v>
      </c>
      <c r="X143" s="90"/>
      <c r="Y143" s="140" t="s">
        <v>207</v>
      </c>
      <c r="Z143" s="177" t="str">
        <f t="shared" si="8"/>
        <v>NC</v>
      </c>
      <c r="AA143" s="190" t="str">
        <f t="shared" si="7"/>
        <v>UTILIZOU O PDA CORRETAMENTE. NÃO HÁ FOTOS DE TODAS AS ETAPAS</v>
      </c>
      <c r="AB143" s="90"/>
      <c r="AC143" s="156" t="s">
        <v>36</v>
      </c>
      <c r="AD143" s="145" t="str">
        <f t="shared" si="9"/>
        <v>SÃO PAULO</v>
      </c>
      <c r="AE143" s="92" t="s">
        <v>79</v>
      </c>
    </row>
    <row r="144" spans="1:31" ht="30" customHeight="1">
      <c r="A144" s="197" t="s">
        <v>198</v>
      </c>
      <c r="B144" s="197">
        <v>2692553612</v>
      </c>
      <c r="C144" s="197" t="s">
        <v>147</v>
      </c>
      <c r="D144" s="197" t="s">
        <v>79</v>
      </c>
      <c r="E144" s="197" t="s">
        <v>35</v>
      </c>
      <c r="F144" s="197" t="s">
        <v>659</v>
      </c>
      <c r="G144" s="197">
        <v>97</v>
      </c>
      <c r="H144" s="197" t="s">
        <v>208</v>
      </c>
      <c r="I144" s="197" t="s">
        <v>536</v>
      </c>
      <c r="J144" s="205" t="s">
        <v>1915</v>
      </c>
      <c r="K144" s="197"/>
      <c r="L144" s="203">
        <v>46149.329861111109</v>
      </c>
      <c r="M144" s="203">
        <v>46149.331944444442</v>
      </c>
      <c r="N144" s="197" t="s">
        <v>1919</v>
      </c>
      <c r="O144" s="152" t="s">
        <v>207</v>
      </c>
      <c r="P144" s="90"/>
      <c r="Q144" s="140" t="s">
        <v>207</v>
      </c>
      <c r="R144" s="90"/>
      <c r="S144" s="140" t="s">
        <v>214</v>
      </c>
      <c r="T144" s="90"/>
      <c r="U144" s="140" t="s">
        <v>214</v>
      </c>
      <c r="V144" s="90"/>
      <c r="W144" s="140" t="s">
        <v>207</v>
      </c>
      <c r="X144" s="90"/>
      <c r="Y144" s="140" t="s">
        <v>207</v>
      </c>
      <c r="Z144" s="177" t="str">
        <f t="shared" si="8"/>
        <v>NC</v>
      </c>
      <c r="AA144" s="190" t="str">
        <f t="shared" si="7"/>
        <v>UTILIZOU O PDA CORRETAMENTE. NÃO HÁ FOTOS DE TODAS AS ETAPAS</v>
      </c>
      <c r="AB144" s="90"/>
      <c r="AC144" s="156" t="s">
        <v>36</v>
      </c>
      <c r="AD144" s="145" t="str">
        <f t="shared" si="9"/>
        <v>SÃO PAULO</v>
      </c>
      <c r="AE144" s="92" t="s">
        <v>79</v>
      </c>
    </row>
    <row r="145" spans="1:31" ht="30" customHeight="1">
      <c r="A145" s="197" t="s">
        <v>198</v>
      </c>
      <c r="B145" s="197">
        <v>2618899289</v>
      </c>
      <c r="C145" s="197" t="s">
        <v>1923</v>
      </c>
      <c r="D145" s="197" t="s">
        <v>79</v>
      </c>
      <c r="E145" s="197" t="s">
        <v>35</v>
      </c>
      <c r="F145" s="197" t="s">
        <v>1867</v>
      </c>
      <c r="G145" s="197">
        <v>144</v>
      </c>
      <c r="H145" s="197" t="s">
        <v>208</v>
      </c>
      <c r="I145" s="197" t="s">
        <v>536</v>
      </c>
      <c r="J145" s="205" t="s">
        <v>1915</v>
      </c>
      <c r="K145" s="197" t="s">
        <v>200</v>
      </c>
      <c r="L145" s="203">
        <v>46149.384722222225</v>
      </c>
      <c r="M145" s="203">
        <v>46149.39166666667</v>
      </c>
      <c r="N145" s="197" t="s">
        <v>1919</v>
      </c>
      <c r="O145" s="152" t="s">
        <v>207</v>
      </c>
      <c r="P145" s="90"/>
      <c r="Q145" s="140" t="s">
        <v>207</v>
      </c>
      <c r="R145" s="90"/>
      <c r="S145" s="140" t="s">
        <v>207</v>
      </c>
      <c r="T145" s="90"/>
      <c r="U145" s="140" t="s">
        <v>207</v>
      </c>
      <c r="V145" s="90"/>
      <c r="W145" s="140" t="s">
        <v>207</v>
      </c>
      <c r="X145" s="90"/>
      <c r="Y145" s="140" t="s">
        <v>207</v>
      </c>
      <c r="Z145" s="177" t="str">
        <f t="shared" si="8"/>
        <v>C</v>
      </c>
      <c r="AA145" s="190" t="str">
        <f t="shared" si="7"/>
        <v>UTILIZOU O PDA CORRETAMENTE</v>
      </c>
      <c r="AB145" s="90"/>
      <c r="AC145" s="156" t="s">
        <v>36</v>
      </c>
      <c r="AD145" s="145" t="str">
        <f t="shared" si="9"/>
        <v>SÃO PAULO</v>
      </c>
      <c r="AE145" s="92" t="s">
        <v>79</v>
      </c>
    </row>
    <row r="146" spans="1:31" ht="30" customHeight="1">
      <c r="A146" s="197" t="s">
        <v>198</v>
      </c>
      <c r="B146" s="197">
        <v>2692585851</v>
      </c>
      <c r="C146" s="197" t="s">
        <v>143</v>
      </c>
      <c r="D146" s="197" t="s">
        <v>79</v>
      </c>
      <c r="E146" s="197" t="s">
        <v>35</v>
      </c>
      <c r="F146" s="197" t="s">
        <v>2035</v>
      </c>
      <c r="G146" s="197">
        <v>131</v>
      </c>
      <c r="H146" s="197" t="s">
        <v>255</v>
      </c>
      <c r="I146" s="197" t="s">
        <v>287</v>
      </c>
      <c r="J146" s="205" t="s">
        <v>1915</v>
      </c>
      <c r="K146" s="197"/>
      <c r="L146" s="203">
        <v>46149.505555555559</v>
      </c>
      <c r="M146" s="203">
        <v>46149.507638888892</v>
      </c>
      <c r="N146" s="197" t="s">
        <v>1919</v>
      </c>
      <c r="O146" s="152" t="s">
        <v>207</v>
      </c>
      <c r="P146" s="90"/>
      <c r="Q146" s="140" t="s">
        <v>207</v>
      </c>
      <c r="R146" s="90"/>
      <c r="S146" s="140" t="s">
        <v>214</v>
      </c>
      <c r="T146" s="90"/>
      <c r="U146" s="140" t="s">
        <v>214</v>
      </c>
      <c r="V146" s="90"/>
      <c r="W146" s="140" t="s">
        <v>207</v>
      </c>
      <c r="X146" s="90"/>
      <c r="Y146" s="140" t="s">
        <v>207</v>
      </c>
      <c r="Z146" s="177" t="str">
        <f t="shared" si="8"/>
        <v>NC</v>
      </c>
      <c r="AA146" s="190" t="str">
        <f t="shared" si="7"/>
        <v>UTILIZOU O PDA CORRETAMENTE. NÃO HÁ FOTOS DE TODAS AS ETAPAS</v>
      </c>
      <c r="AB146" s="90"/>
      <c r="AC146" s="156" t="s">
        <v>36</v>
      </c>
      <c r="AD146" s="145" t="str">
        <f t="shared" si="9"/>
        <v>SÃO PAULO</v>
      </c>
      <c r="AE146" s="92" t="s">
        <v>79</v>
      </c>
    </row>
    <row r="147" spans="1:31" ht="30" customHeight="1">
      <c r="A147" s="197" t="s">
        <v>198</v>
      </c>
      <c r="B147" s="197">
        <v>2619136706</v>
      </c>
      <c r="C147" s="197" t="s">
        <v>1923</v>
      </c>
      <c r="D147" s="197" t="s">
        <v>79</v>
      </c>
      <c r="E147" s="197" t="s">
        <v>35</v>
      </c>
      <c r="F147" s="197" t="s">
        <v>2036</v>
      </c>
      <c r="G147" s="197">
        <v>572</v>
      </c>
      <c r="H147" s="197"/>
      <c r="I147" s="197" t="s">
        <v>308</v>
      </c>
      <c r="J147" s="205" t="s">
        <v>1915</v>
      </c>
      <c r="K147" s="197"/>
      <c r="L147" s="203">
        <v>46149.0625</v>
      </c>
      <c r="M147" s="203">
        <v>46149.068749999999</v>
      </c>
      <c r="N147" s="197" t="s">
        <v>1922</v>
      </c>
      <c r="O147" s="152" t="s">
        <v>207</v>
      </c>
      <c r="P147" s="90"/>
      <c r="Q147" s="140" t="s">
        <v>215</v>
      </c>
      <c r="R147" s="90" t="s">
        <v>2031</v>
      </c>
      <c r="S147" s="140" t="s">
        <v>214</v>
      </c>
      <c r="T147" s="90"/>
      <c r="U147" s="140" t="s">
        <v>214</v>
      </c>
      <c r="V147" s="90"/>
      <c r="W147" s="140" t="s">
        <v>207</v>
      </c>
      <c r="X147" s="90"/>
      <c r="Y147" s="140" t="s">
        <v>207</v>
      </c>
      <c r="Z147" s="177" t="str">
        <f t="shared" si="8"/>
        <v>NC</v>
      </c>
      <c r="AA147" s="190" t="str">
        <f t="shared" si="7"/>
        <v>UTILIZOU O PDA CORRETAMENTE. NÃO HÁ FOTOS DE TODAS AS ETAPAS</v>
      </c>
      <c r="AB147" s="90"/>
      <c r="AC147" s="156" t="s">
        <v>36</v>
      </c>
      <c r="AD147" s="145" t="str">
        <f t="shared" si="9"/>
        <v>SÃO PAULO</v>
      </c>
      <c r="AE147" s="92" t="s">
        <v>79</v>
      </c>
    </row>
    <row r="148" spans="1:31" ht="30" customHeight="1">
      <c r="A148" s="197" t="s">
        <v>198</v>
      </c>
      <c r="B148" s="197">
        <v>2619137361</v>
      </c>
      <c r="C148" s="197" t="s">
        <v>1923</v>
      </c>
      <c r="D148" s="197" t="s">
        <v>79</v>
      </c>
      <c r="E148" s="197" t="s">
        <v>35</v>
      </c>
      <c r="F148" s="197" t="s">
        <v>2037</v>
      </c>
      <c r="G148" s="197">
        <v>25</v>
      </c>
      <c r="H148" s="197" t="s">
        <v>200</v>
      </c>
      <c r="I148" s="197" t="s">
        <v>399</v>
      </c>
      <c r="J148" s="205" t="s">
        <v>1915</v>
      </c>
      <c r="K148" s="197" t="s">
        <v>200</v>
      </c>
      <c r="L148" s="203">
        <v>46149.047222222223</v>
      </c>
      <c r="M148" s="203">
        <v>46149.057638888888</v>
      </c>
      <c r="N148" s="197" t="s">
        <v>1922</v>
      </c>
      <c r="O148" s="152" t="s">
        <v>207</v>
      </c>
      <c r="P148" s="90"/>
      <c r="Q148" s="140" t="s">
        <v>215</v>
      </c>
      <c r="R148" s="90" t="s">
        <v>2031</v>
      </c>
      <c r="S148" s="140" t="s">
        <v>214</v>
      </c>
      <c r="T148" s="90"/>
      <c r="U148" s="140" t="s">
        <v>214</v>
      </c>
      <c r="V148" s="90"/>
      <c r="W148" s="140" t="s">
        <v>207</v>
      </c>
      <c r="X148" s="90"/>
      <c r="Y148" s="140" t="s">
        <v>207</v>
      </c>
      <c r="Z148" s="177" t="str">
        <f t="shared" si="8"/>
        <v>NC</v>
      </c>
      <c r="AA148" s="190" t="str">
        <f t="shared" si="7"/>
        <v>UTILIZOU O PDA CORRETAMENTE. NÃO HÁ FOTOS DE TODAS AS ETAPAS</v>
      </c>
      <c r="AB148" s="90"/>
      <c r="AC148" s="156" t="s">
        <v>36</v>
      </c>
      <c r="AD148" s="145" t="str">
        <f t="shared" si="9"/>
        <v>SÃO PAULO</v>
      </c>
      <c r="AE148" s="92" t="s">
        <v>79</v>
      </c>
    </row>
    <row r="149" spans="1:31" ht="30" customHeight="1">
      <c r="A149" s="197" t="s">
        <v>198</v>
      </c>
      <c r="B149" s="197">
        <v>2619137202</v>
      </c>
      <c r="C149" s="197" t="s">
        <v>1923</v>
      </c>
      <c r="D149" s="197" t="s">
        <v>79</v>
      </c>
      <c r="E149" s="197" t="s">
        <v>35</v>
      </c>
      <c r="F149" s="197" t="s">
        <v>2038</v>
      </c>
      <c r="G149" s="197">
        <v>199</v>
      </c>
      <c r="H149" s="197" t="s">
        <v>208</v>
      </c>
      <c r="I149" s="197" t="s">
        <v>266</v>
      </c>
      <c r="J149" s="205" t="s">
        <v>1915</v>
      </c>
      <c r="K149" s="197"/>
      <c r="L149" s="203">
        <v>46149.226388888892</v>
      </c>
      <c r="M149" s="203">
        <v>46149.236805555556</v>
      </c>
      <c r="N149" s="197" t="s">
        <v>390</v>
      </c>
      <c r="O149" s="152" t="s">
        <v>207</v>
      </c>
      <c r="P149" s="90"/>
      <c r="Q149" s="140" t="s">
        <v>207</v>
      </c>
      <c r="R149" s="90"/>
      <c r="S149" s="140" t="s">
        <v>207</v>
      </c>
      <c r="T149" s="90"/>
      <c r="U149" s="140" t="s">
        <v>207</v>
      </c>
      <c r="V149" s="90"/>
      <c r="W149" s="140" t="s">
        <v>207</v>
      </c>
      <c r="X149" s="90"/>
      <c r="Y149" s="140" t="s">
        <v>207</v>
      </c>
      <c r="Z149" s="177" t="str">
        <f t="shared" si="8"/>
        <v>C</v>
      </c>
      <c r="AA149" s="190" t="str">
        <f t="shared" si="7"/>
        <v>UTILIZOU O PDA CORRETAMENTE</v>
      </c>
      <c r="AB149" s="90"/>
      <c r="AC149" s="156" t="s">
        <v>36</v>
      </c>
      <c r="AD149" s="145" t="str">
        <f t="shared" si="9"/>
        <v>SÃO PAULO</v>
      </c>
      <c r="AE149" s="92" t="s">
        <v>79</v>
      </c>
    </row>
    <row r="150" spans="1:31" ht="30" customHeight="1">
      <c r="A150" s="197" t="s">
        <v>198</v>
      </c>
      <c r="B150" s="197">
        <v>2619137687</v>
      </c>
      <c r="C150" s="197" t="s">
        <v>1923</v>
      </c>
      <c r="D150" s="197" t="s">
        <v>79</v>
      </c>
      <c r="E150" s="197" t="s">
        <v>35</v>
      </c>
      <c r="F150" s="197" t="s">
        <v>2039</v>
      </c>
      <c r="G150" s="197">
        <v>416</v>
      </c>
      <c r="H150" s="197" t="s">
        <v>200</v>
      </c>
      <c r="I150" s="197" t="s">
        <v>277</v>
      </c>
      <c r="J150" s="205" t="s">
        <v>1915</v>
      </c>
      <c r="K150" s="197" t="s">
        <v>200</v>
      </c>
      <c r="L150" s="203">
        <v>46149.354166666664</v>
      </c>
      <c r="M150" s="203">
        <v>46149.367361111108</v>
      </c>
      <c r="N150" s="197" t="s">
        <v>1925</v>
      </c>
      <c r="O150" s="152" t="s">
        <v>207</v>
      </c>
      <c r="P150" s="90"/>
      <c r="Q150" s="140" t="s">
        <v>207</v>
      </c>
      <c r="R150" s="90"/>
      <c r="S150" s="140" t="s">
        <v>207</v>
      </c>
      <c r="T150" s="90"/>
      <c r="U150" s="140" t="s">
        <v>207</v>
      </c>
      <c r="V150" s="90"/>
      <c r="W150" s="140" t="s">
        <v>207</v>
      </c>
      <c r="X150" s="90"/>
      <c r="Y150" s="140" t="s">
        <v>207</v>
      </c>
      <c r="Z150" s="177" t="str">
        <f t="shared" si="8"/>
        <v>C</v>
      </c>
      <c r="AA150" s="190" t="str">
        <f t="shared" si="7"/>
        <v>UTILIZOU O PDA CORRETAMENTE</v>
      </c>
      <c r="AB150" s="90"/>
      <c r="AC150" s="156" t="s">
        <v>36</v>
      </c>
      <c r="AD150" s="145" t="str">
        <f t="shared" si="9"/>
        <v>SÃO PAULO</v>
      </c>
      <c r="AE150" s="92" t="s">
        <v>79</v>
      </c>
    </row>
    <row r="151" spans="1:31" ht="30" customHeight="1">
      <c r="A151" s="197" t="s">
        <v>198</v>
      </c>
      <c r="B151" s="197">
        <v>2619138049</v>
      </c>
      <c r="C151" s="197" t="s">
        <v>1923</v>
      </c>
      <c r="D151" s="197" t="s">
        <v>79</v>
      </c>
      <c r="E151" s="197" t="s">
        <v>35</v>
      </c>
      <c r="F151" s="197" t="s">
        <v>2040</v>
      </c>
      <c r="G151" s="197">
        <v>200</v>
      </c>
      <c r="H151" s="197" t="s">
        <v>205</v>
      </c>
      <c r="I151" s="197" t="s">
        <v>455</v>
      </c>
      <c r="J151" s="205" t="s">
        <v>1915</v>
      </c>
      <c r="K151" s="197"/>
      <c r="L151" s="203">
        <v>46149.176388888889</v>
      </c>
      <c r="M151" s="203">
        <v>46149.181250000001</v>
      </c>
      <c r="N151" s="197" t="s">
        <v>1922</v>
      </c>
      <c r="O151" s="152" t="s">
        <v>207</v>
      </c>
      <c r="P151" s="90"/>
      <c r="Q151" s="140" t="s">
        <v>207</v>
      </c>
      <c r="R151" s="90"/>
      <c r="S151" s="140" t="s">
        <v>214</v>
      </c>
      <c r="T151" s="90"/>
      <c r="U151" s="140" t="s">
        <v>207</v>
      </c>
      <c r="V151" s="90"/>
      <c r="W151" s="140" t="s">
        <v>207</v>
      </c>
      <c r="X151" s="90"/>
      <c r="Y151" s="140" t="s">
        <v>207</v>
      </c>
      <c r="Z151" s="177" t="str">
        <f t="shared" si="8"/>
        <v>NC</v>
      </c>
      <c r="AA151" s="190" t="str">
        <f t="shared" si="7"/>
        <v>UTILIZOU O PDA CORRETAMENTE. NÃO HÁ FOTOS DE TODAS AS ETAPAS</v>
      </c>
      <c r="AB151" s="90"/>
      <c r="AC151" s="156" t="s">
        <v>36</v>
      </c>
      <c r="AD151" s="145" t="str">
        <f t="shared" si="9"/>
        <v>SÃO PAULO</v>
      </c>
      <c r="AE151" s="92" t="s">
        <v>79</v>
      </c>
    </row>
    <row r="152" spans="1:31" ht="30" customHeight="1">
      <c r="A152" s="197" t="s">
        <v>198</v>
      </c>
      <c r="B152" s="197">
        <v>2619138828</v>
      </c>
      <c r="C152" s="197" t="s">
        <v>1923</v>
      </c>
      <c r="D152" s="197" t="s">
        <v>79</v>
      </c>
      <c r="E152" s="197" t="s">
        <v>35</v>
      </c>
      <c r="F152" s="197" t="s">
        <v>2016</v>
      </c>
      <c r="G152" s="197">
        <v>125</v>
      </c>
      <c r="H152" s="197" t="s">
        <v>200</v>
      </c>
      <c r="I152" s="197" t="s">
        <v>1480</v>
      </c>
      <c r="J152" s="205" t="s">
        <v>1915</v>
      </c>
      <c r="K152" s="197" t="s">
        <v>200</v>
      </c>
      <c r="L152" s="203">
        <v>46149.357638888891</v>
      </c>
      <c r="M152" s="203">
        <v>46149.363194444442</v>
      </c>
      <c r="N152" s="197" t="s">
        <v>390</v>
      </c>
      <c r="O152" s="152" t="s">
        <v>207</v>
      </c>
      <c r="P152" s="90"/>
      <c r="Q152" s="140" t="s">
        <v>207</v>
      </c>
      <c r="R152" s="90"/>
      <c r="S152" s="140" t="s">
        <v>214</v>
      </c>
      <c r="T152" s="90"/>
      <c r="U152" s="140" t="s">
        <v>214</v>
      </c>
      <c r="V152" s="140"/>
      <c r="W152" s="140" t="s">
        <v>207</v>
      </c>
      <c r="X152" s="90"/>
      <c r="Y152" s="140" t="s">
        <v>207</v>
      </c>
      <c r="Z152" s="177" t="str">
        <f t="shared" si="8"/>
        <v>NC</v>
      </c>
      <c r="AA152" s="190" t="str">
        <f t="shared" si="7"/>
        <v>UTILIZOU O PDA CORRETAMENTE. NÃO HÁ FOTOS DE TODAS AS ETAPAS</v>
      </c>
      <c r="AB152" s="90"/>
      <c r="AC152" s="156" t="s">
        <v>36</v>
      </c>
      <c r="AD152" s="145" t="str">
        <f t="shared" si="9"/>
        <v>SÃO PAULO</v>
      </c>
      <c r="AE152" s="92" t="s">
        <v>79</v>
      </c>
    </row>
    <row r="153" spans="1:31" ht="30" customHeight="1">
      <c r="A153" s="197" t="s">
        <v>198</v>
      </c>
      <c r="B153" s="197">
        <v>2619122410</v>
      </c>
      <c r="C153" s="197" t="s">
        <v>143</v>
      </c>
      <c r="D153" s="197" t="s">
        <v>79</v>
      </c>
      <c r="E153" s="197" t="s">
        <v>35</v>
      </c>
      <c r="F153" s="197" t="s">
        <v>2041</v>
      </c>
      <c r="G153" s="197">
        <v>1</v>
      </c>
      <c r="H153" s="197" t="s">
        <v>200</v>
      </c>
      <c r="I153" s="197" t="s">
        <v>917</v>
      </c>
      <c r="J153" s="205" t="s">
        <v>1943</v>
      </c>
      <c r="K153" s="197" t="s">
        <v>200</v>
      </c>
      <c r="L153" s="203">
        <v>46149.161805555559</v>
      </c>
      <c r="M153" s="203">
        <v>46149.180555555555</v>
      </c>
      <c r="N153" s="197" t="s">
        <v>206</v>
      </c>
      <c r="O153" s="152" t="s">
        <v>207</v>
      </c>
      <c r="P153" s="90"/>
      <c r="Q153" s="140" t="s">
        <v>207</v>
      </c>
      <c r="R153" s="90"/>
      <c r="S153" s="140" t="s">
        <v>214</v>
      </c>
      <c r="T153" s="90"/>
      <c r="U153" s="140" t="s">
        <v>214</v>
      </c>
      <c r="V153" s="140"/>
      <c r="W153" s="140" t="s">
        <v>207</v>
      </c>
      <c r="X153" s="90"/>
      <c r="Y153" s="140" t="s">
        <v>207</v>
      </c>
      <c r="Z153" s="177" t="str">
        <f t="shared" si="8"/>
        <v>NC</v>
      </c>
      <c r="AA153" s="190" t="str">
        <f t="shared" si="7"/>
        <v>UTILIZOU O PDA CORRETAMENTE. NÃO HÁ FOTOS DE TODAS AS ETAPAS</v>
      </c>
      <c r="AB153" s="90"/>
      <c r="AC153" s="156" t="s">
        <v>36</v>
      </c>
      <c r="AD153" s="145" t="str">
        <f t="shared" si="9"/>
        <v>SÃO PAULO</v>
      </c>
      <c r="AE153" s="92" t="s">
        <v>79</v>
      </c>
    </row>
    <row r="154" spans="1:31" ht="30" customHeight="1">
      <c r="A154" s="197" t="s">
        <v>198</v>
      </c>
      <c r="B154" s="197">
        <v>2692650005</v>
      </c>
      <c r="C154" s="197" t="s">
        <v>143</v>
      </c>
      <c r="D154" s="197" t="s">
        <v>79</v>
      </c>
      <c r="E154" s="197" t="s">
        <v>35</v>
      </c>
      <c r="F154" s="197" t="s">
        <v>210</v>
      </c>
      <c r="G154" s="197">
        <v>141</v>
      </c>
      <c r="H154" s="197" t="s">
        <v>208</v>
      </c>
      <c r="I154" s="197" t="s">
        <v>211</v>
      </c>
      <c r="J154" s="205" t="s">
        <v>1915</v>
      </c>
      <c r="K154" s="197"/>
      <c r="L154" s="203">
        <v>46149.359027777777</v>
      </c>
      <c r="M154" s="203">
        <v>46149.363194444442</v>
      </c>
      <c r="N154" s="197" t="s">
        <v>1922</v>
      </c>
      <c r="O154" s="152" t="s">
        <v>207</v>
      </c>
      <c r="P154" s="90"/>
      <c r="Q154" s="140" t="s">
        <v>207</v>
      </c>
      <c r="R154" s="90"/>
      <c r="S154" s="140" t="s">
        <v>207</v>
      </c>
      <c r="T154" s="90"/>
      <c r="U154" s="140" t="s">
        <v>207</v>
      </c>
      <c r="V154" s="90"/>
      <c r="W154" s="140" t="s">
        <v>207</v>
      </c>
      <c r="X154" s="90"/>
      <c r="Y154" s="140" t="s">
        <v>207</v>
      </c>
      <c r="Z154" s="177" t="str">
        <f t="shared" si="8"/>
        <v>C</v>
      </c>
      <c r="AA154" s="190" t="str">
        <f t="shared" si="7"/>
        <v>UTILIZOU O PDA CORRETAMENTE</v>
      </c>
      <c r="AB154" s="90"/>
      <c r="AC154" s="156" t="s">
        <v>36</v>
      </c>
      <c r="AD154" s="145" t="str">
        <f t="shared" si="9"/>
        <v>SÃO PAULO</v>
      </c>
      <c r="AE154" s="92" t="s">
        <v>79</v>
      </c>
    </row>
    <row r="155" spans="1:31" ht="30" customHeight="1">
      <c r="A155" s="197" t="s">
        <v>198</v>
      </c>
      <c r="B155" s="197">
        <v>2619038176</v>
      </c>
      <c r="C155" s="197" t="s">
        <v>146</v>
      </c>
      <c r="D155" s="197" t="s">
        <v>79</v>
      </c>
      <c r="E155" s="197" t="s">
        <v>35</v>
      </c>
      <c r="F155" s="197" t="s">
        <v>1387</v>
      </c>
      <c r="G155" s="197">
        <v>231</v>
      </c>
      <c r="H155" s="197" t="s">
        <v>205</v>
      </c>
      <c r="I155" s="197" t="s">
        <v>679</v>
      </c>
      <c r="J155" s="205" t="s">
        <v>1943</v>
      </c>
      <c r="K155" s="197" t="s">
        <v>200</v>
      </c>
      <c r="L155" s="203">
        <v>46149.230555555558</v>
      </c>
      <c r="M155" s="203">
        <v>46149.247916666667</v>
      </c>
      <c r="N155" s="197" t="s">
        <v>206</v>
      </c>
      <c r="O155" s="152" t="s">
        <v>207</v>
      </c>
      <c r="P155" s="90"/>
      <c r="Q155" s="140" t="s">
        <v>207</v>
      </c>
      <c r="R155" s="90"/>
      <c r="S155" s="140" t="s">
        <v>207</v>
      </c>
      <c r="T155" s="90"/>
      <c r="U155" s="140" t="s">
        <v>207</v>
      </c>
      <c r="V155" s="90"/>
      <c r="W155" s="140" t="s">
        <v>207</v>
      </c>
      <c r="X155" s="90"/>
      <c r="Y155" s="140" t="s">
        <v>207</v>
      </c>
      <c r="Z155" s="177" t="str">
        <f t="shared" si="8"/>
        <v>C</v>
      </c>
      <c r="AA155" s="190" t="str">
        <f t="shared" si="7"/>
        <v>UTILIZOU O PDA CORRETAMENTE</v>
      </c>
      <c r="AB155" s="90"/>
      <c r="AC155" s="156" t="s">
        <v>36</v>
      </c>
      <c r="AD155" s="145" t="str">
        <f t="shared" si="9"/>
        <v>SÃO PAULO</v>
      </c>
      <c r="AE155" s="92" t="s">
        <v>79</v>
      </c>
    </row>
    <row r="156" spans="1:31" ht="30" customHeight="1">
      <c r="A156" s="197" t="s">
        <v>198</v>
      </c>
      <c r="B156" s="197">
        <v>2692657395</v>
      </c>
      <c r="C156" s="197" t="s">
        <v>146</v>
      </c>
      <c r="D156" s="197" t="s">
        <v>79</v>
      </c>
      <c r="E156" s="197" t="s">
        <v>35</v>
      </c>
      <c r="F156" s="197" t="s">
        <v>1899</v>
      </c>
      <c r="G156" s="197">
        <v>41</v>
      </c>
      <c r="H156" s="197" t="s">
        <v>1081</v>
      </c>
      <c r="I156" s="197" t="s">
        <v>230</v>
      </c>
      <c r="J156" s="205" t="s">
        <v>1943</v>
      </c>
      <c r="K156" s="197"/>
      <c r="L156" s="203">
        <v>46149.584027777775</v>
      </c>
      <c r="M156" s="203">
        <v>46149.585416666669</v>
      </c>
      <c r="N156" s="197" t="s">
        <v>1931</v>
      </c>
      <c r="O156" s="152" t="s">
        <v>207</v>
      </c>
      <c r="P156" s="90"/>
      <c r="Q156" s="140" t="s">
        <v>207</v>
      </c>
      <c r="R156" s="90"/>
      <c r="S156" s="140" t="s">
        <v>207</v>
      </c>
      <c r="T156" s="90"/>
      <c r="U156" s="140" t="s">
        <v>207</v>
      </c>
      <c r="V156" s="90"/>
      <c r="W156" s="140" t="s">
        <v>207</v>
      </c>
      <c r="X156" s="90"/>
      <c r="Y156" s="140" t="s">
        <v>207</v>
      </c>
      <c r="Z156" s="177" t="str">
        <f t="shared" si="8"/>
        <v>C</v>
      </c>
      <c r="AA156" s="190" t="str">
        <f t="shared" si="7"/>
        <v>UTILIZOU O PDA CORRETAMENTE</v>
      </c>
      <c r="AB156" s="90"/>
      <c r="AC156" s="156" t="s">
        <v>36</v>
      </c>
      <c r="AD156" s="145" t="str">
        <f t="shared" si="9"/>
        <v>SÃO PAULO</v>
      </c>
      <c r="AE156" s="92" t="s">
        <v>79</v>
      </c>
    </row>
    <row r="157" spans="1:31" ht="30" customHeight="1">
      <c r="A157" s="197" t="s">
        <v>198</v>
      </c>
      <c r="B157" s="197">
        <v>2619168041</v>
      </c>
      <c r="C157" s="197" t="s">
        <v>1923</v>
      </c>
      <c r="D157" s="197" t="s">
        <v>79</v>
      </c>
      <c r="E157" s="197" t="s">
        <v>35</v>
      </c>
      <c r="F157" s="197" t="s">
        <v>2042</v>
      </c>
      <c r="G157" s="197">
        <v>250</v>
      </c>
      <c r="H157" s="197" t="s">
        <v>325</v>
      </c>
      <c r="I157" s="197" t="s">
        <v>284</v>
      </c>
      <c r="J157" s="205" t="s">
        <v>1915</v>
      </c>
      <c r="K157" s="197" t="s">
        <v>200</v>
      </c>
      <c r="L157" s="203">
        <v>46149.427083333336</v>
      </c>
      <c r="M157" s="203">
        <v>46149.427777777775</v>
      </c>
      <c r="N157" s="197" t="s">
        <v>1931</v>
      </c>
      <c r="O157" s="152" t="s">
        <v>207</v>
      </c>
      <c r="P157" s="90"/>
      <c r="Q157" s="140" t="s">
        <v>207</v>
      </c>
      <c r="R157" s="90"/>
      <c r="S157" s="140" t="s">
        <v>214</v>
      </c>
      <c r="T157" s="90"/>
      <c r="U157" s="140" t="s">
        <v>214</v>
      </c>
      <c r="V157" s="90"/>
      <c r="W157" s="140" t="s">
        <v>207</v>
      </c>
      <c r="X157" s="90"/>
      <c r="Y157" s="140" t="s">
        <v>207</v>
      </c>
      <c r="Z157" s="177" t="str">
        <f t="shared" si="8"/>
        <v>NC</v>
      </c>
      <c r="AA157" s="190" t="str">
        <f t="shared" si="7"/>
        <v>UTILIZOU O PDA CORRETAMENTE. NÃO HÁ FOTOS DE TODAS AS ETAPAS</v>
      </c>
      <c r="AB157" s="90"/>
      <c r="AC157" s="156" t="s">
        <v>36</v>
      </c>
      <c r="AD157" s="145" t="str">
        <f t="shared" si="9"/>
        <v>SÃO PAULO</v>
      </c>
      <c r="AE157" s="92" t="s">
        <v>79</v>
      </c>
    </row>
    <row r="158" spans="1:31" ht="30" customHeight="1">
      <c r="A158" s="197" t="s">
        <v>198</v>
      </c>
      <c r="B158" s="197">
        <v>2619170321</v>
      </c>
      <c r="C158" s="197" t="s">
        <v>1923</v>
      </c>
      <c r="D158" s="197" t="s">
        <v>79</v>
      </c>
      <c r="E158" s="197" t="s">
        <v>35</v>
      </c>
      <c r="F158" s="197" t="s">
        <v>2043</v>
      </c>
      <c r="G158" s="197">
        <v>331</v>
      </c>
      <c r="H158" s="197" t="s">
        <v>380</v>
      </c>
      <c r="I158" s="197" t="s">
        <v>271</v>
      </c>
      <c r="J158" s="205" t="s">
        <v>1915</v>
      </c>
      <c r="K158" s="197"/>
      <c r="L158" s="203">
        <v>46149.334722222222</v>
      </c>
      <c r="M158" s="203">
        <v>46149.334722222222</v>
      </c>
      <c r="N158" s="197" t="s">
        <v>1944</v>
      </c>
      <c r="O158" s="152" t="s">
        <v>207</v>
      </c>
      <c r="P158" s="90"/>
      <c r="Q158" s="140" t="s">
        <v>207</v>
      </c>
      <c r="R158" s="90"/>
      <c r="S158" s="140" t="s">
        <v>207</v>
      </c>
      <c r="T158" s="90"/>
      <c r="U158" s="140" t="s">
        <v>207</v>
      </c>
      <c r="V158" s="90"/>
      <c r="W158" s="140" t="s">
        <v>207</v>
      </c>
      <c r="X158" s="90"/>
      <c r="Y158" s="140" t="s">
        <v>207</v>
      </c>
      <c r="Z158" s="177" t="str">
        <f t="shared" si="8"/>
        <v>C</v>
      </c>
      <c r="AA158" s="190" t="str">
        <f t="shared" si="7"/>
        <v>UTILIZOU O PDA CORRETAMENTE</v>
      </c>
      <c r="AB158" s="90"/>
      <c r="AC158" s="156" t="s">
        <v>36</v>
      </c>
      <c r="AD158" s="145" t="str">
        <f t="shared" si="9"/>
        <v>SÃO PAULO</v>
      </c>
      <c r="AE158" s="92" t="s">
        <v>79</v>
      </c>
    </row>
    <row r="159" spans="1:31" ht="30" customHeight="1">
      <c r="A159" s="197" t="s">
        <v>198</v>
      </c>
      <c r="B159" s="197">
        <v>2692737850</v>
      </c>
      <c r="C159" s="197" t="s">
        <v>143</v>
      </c>
      <c r="D159" s="197" t="s">
        <v>79</v>
      </c>
      <c r="E159" s="197" t="s">
        <v>35</v>
      </c>
      <c r="F159" s="197" t="s">
        <v>2044</v>
      </c>
      <c r="G159" s="197">
        <v>491</v>
      </c>
      <c r="H159" s="197" t="s">
        <v>200</v>
      </c>
      <c r="I159" s="197" t="s">
        <v>218</v>
      </c>
      <c r="J159" s="205" t="s">
        <v>1915</v>
      </c>
      <c r="K159" s="197" t="s">
        <v>200</v>
      </c>
      <c r="L159" s="203">
        <v>46150.293055555558</v>
      </c>
      <c r="M159" s="203">
        <v>46150.320833333331</v>
      </c>
      <c r="N159" s="197" t="s">
        <v>1944</v>
      </c>
      <c r="O159" s="152" t="s">
        <v>207</v>
      </c>
      <c r="P159" s="90"/>
      <c r="Q159" s="140" t="s">
        <v>207</v>
      </c>
      <c r="R159" s="90"/>
      <c r="S159" s="140" t="s">
        <v>207</v>
      </c>
      <c r="T159" s="90"/>
      <c r="U159" s="140" t="s">
        <v>207</v>
      </c>
      <c r="V159" s="90"/>
      <c r="W159" s="140" t="s">
        <v>207</v>
      </c>
      <c r="X159" s="90"/>
      <c r="Y159" s="140" t="s">
        <v>207</v>
      </c>
      <c r="Z159" s="177" t="str">
        <f t="shared" si="8"/>
        <v>C</v>
      </c>
      <c r="AA159" s="190" t="str">
        <f t="shared" si="7"/>
        <v>UTILIZOU O PDA CORRETAMENTE</v>
      </c>
      <c r="AB159" s="90"/>
      <c r="AC159" s="156" t="s">
        <v>36</v>
      </c>
      <c r="AD159" s="145" t="str">
        <f t="shared" si="9"/>
        <v>SÃO PAULO</v>
      </c>
      <c r="AE159" s="92" t="s">
        <v>79</v>
      </c>
    </row>
    <row r="160" spans="1:31" ht="30" customHeight="1">
      <c r="A160" s="197" t="s">
        <v>198</v>
      </c>
      <c r="B160" s="197">
        <v>2692778780</v>
      </c>
      <c r="C160" s="197" t="s">
        <v>147</v>
      </c>
      <c r="D160" s="197" t="s">
        <v>79</v>
      </c>
      <c r="E160" s="197" t="s">
        <v>35</v>
      </c>
      <c r="F160" s="197" t="s">
        <v>2045</v>
      </c>
      <c r="G160" s="197">
        <v>129</v>
      </c>
      <c r="H160" s="197"/>
      <c r="I160" s="197" t="s">
        <v>271</v>
      </c>
      <c r="J160" s="205" t="s">
        <v>1915</v>
      </c>
      <c r="K160" s="197"/>
      <c r="L160" s="203">
        <v>46150.225694444445</v>
      </c>
      <c r="M160" s="203">
        <v>46150.231944444444</v>
      </c>
      <c r="N160" s="197" t="s">
        <v>1944</v>
      </c>
      <c r="O160" s="152" t="s">
        <v>207</v>
      </c>
      <c r="P160" s="90"/>
      <c r="Q160" s="140" t="s">
        <v>207</v>
      </c>
      <c r="R160" s="90"/>
      <c r="S160" s="140" t="s">
        <v>207</v>
      </c>
      <c r="T160" s="90"/>
      <c r="U160" s="140" t="s">
        <v>207</v>
      </c>
      <c r="V160" s="90"/>
      <c r="W160" s="140" t="s">
        <v>207</v>
      </c>
      <c r="X160" s="90"/>
      <c r="Y160" s="140" t="s">
        <v>207</v>
      </c>
      <c r="Z160" s="177" t="str">
        <f t="shared" si="8"/>
        <v>C</v>
      </c>
      <c r="AA160" s="190" t="str">
        <f t="shared" si="7"/>
        <v>UTILIZOU O PDA CORRETAMENTE</v>
      </c>
      <c r="AB160" s="90"/>
      <c r="AC160" s="156" t="s">
        <v>36</v>
      </c>
      <c r="AD160" s="145" t="str">
        <f t="shared" si="9"/>
        <v>SÃO PAULO</v>
      </c>
      <c r="AE160" s="92" t="s">
        <v>79</v>
      </c>
    </row>
    <row r="161" spans="1:31" ht="30" customHeight="1">
      <c r="A161" s="197" t="s">
        <v>198</v>
      </c>
      <c r="B161" s="197">
        <v>2692683150</v>
      </c>
      <c r="C161" s="197" t="s">
        <v>143</v>
      </c>
      <c r="D161" s="197" t="s">
        <v>79</v>
      </c>
      <c r="E161" s="197" t="s">
        <v>35</v>
      </c>
      <c r="F161" s="197" t="s">
        <v>2046</v>
      </c>
      <c r="G161" s="197">
        <v>31</v>
      </c>
      <c r="H161" s="197" t="s">
        <v>200</v>
      </c>
      <c r="I161" s="197" t="s">
        <v>1035</v>
      </c>
      <c r="J161" s="205" t="s">
        <v>1915</v>
      </c>
      <c r="K161" s="197" t="s">
        <v>2047</v>
      </c>
      <c r="L161" s="203">
        <v>46150.328472222223</v>
      </c>
      <c r="M161" s="203">
        <v>46150.333333333336</v>
      </c>
      <c r="N161" s="197" t="s">
        <v>1916</v>
      </c>
      <c r="O161" s="152" t="s">
        <v>207</v>
      </c>
      <c r="P161" s="90"/>
      <c r="Q161" s="140" t="s">
        <v>207</v>
      </c>
      <c r="R161" s="90"/>
      <c r="S161" s="140" t="s">
        <v>207</v>
      </c>
      <c r="T161" s="90"/>
      <c r="U161" s="140" t="s">
        <v>207</v>
      </c>
      <c r="V161" s="90"/>
      <c r="W161" s="140" t="s">
        <v>207</v>
      </c>
      <c r="X161" s="90"/>
      <c r="Y161" s="140" t="s">
        <v>207</v>
      </c>
      <c r="Z161" s="177" t="str">
        <f t="shared" si="8"/>
        <v>C</v>
      </c>
      <c r="AA161" s="190" t="str">
        <f t="shared" si="7"/>
        <v>UTILIZOU O PDA CORRETAMENTE</v>
      </c>
      <c r="AB161" s="90"/>
      <c r="AC161" s="156" t="s">
        <v>36</v>
      </c>
      <c r="AD161" s="145" t="str">
        <f t="shared" si="9"/>
        <v>SÃO PAULO</v>
      </c>
      <c r="AE161" s="92" t="s">
        <v>79</v>
      </c>
    </row>
    <row r="162" spans="1:31" ht="30" customHeight="1">
      <c r="A162" s="197" t="s">
        <v>198</v>
      </c>
      <c r="B162" s="197">
        <v>2619205278</v>
      </c>
      <c r="C162" s="197" t="s">
        <v>1923</v>
      </c>
      <c r="D162" s="197" t="s">
        <v>79</v>
      </c>
      <c r="E162" s="197" t="s">
        <v>35</v>
      </c>
      <c r="F162" s="197" t="s">
        <v>2048</v>
      </c>
      <c r="G162" s="197">
        <v>201</v>
      </c>
      <c r="H162" s="197" t="s">
        <v>325</v>
      </c>
      <c r="I162" s="197" t="s">
        <v>225</v>
      </c>
      <c r="J162" s="205" t="s">
        <v>1915</v>
      </c>
      <c r="K162" s="197" t="s">
        <v>200</v>
      </c>
      <c r="L162" s="203">
        <v>46150.589583333334</v>
      </c>
      <c r="M162" s="203">
        <v>46150.597222222219</v>
      </c>
      <c r="N162" s="197" t="s">
        <v>1916</v>
      </c>
      <c r="O162" s="152" t="s">
        <v>207</v>
      </c>
      <c r="P162" s="90"/>
      <c r="Q162" s="140" t="s">
        <v>207</v>
      </c>
      <c r="R162" s="90"/>
      <c r="S162" s="140" t="s">
        <v>207</v>
      </c>
      <c r="T162" s="90"/>
      <c r="U162" s="140" t="s">
        <v>207</v>
      </c>
      <c r="V162" s="90"/>
      <c r="W162" s="140" t="s">
        <v>207</v>
      </c>
      <c r="X162" s="90"/>
      <c r="Y162" s="140" t="s">
        <v>207</v>
      </c>
      <c r="Z162" s="177" t="str">
        <f t="shared" si="8"/>
        <v>C</v>
      </c>
      <c r="AA162" s="190" t="str">
        <f t="shared" si="7"/>
        <v>UTILIZOU O PDA CORRETAMENTE</v>
      </c>
      <c r="AB162" s="90"/>
      <c r="AC162" s="156" t="s">
        <v>36</v>
      </c>
      <c r="AD162" s="145" t="str">
        <f t="shared" si="9"/>
        <v>SÃO PAULO</v>
      </c>
      <c r="AE162" s="92" t="s">
        <v>79</v>
      </c>
    </row>
    <row r="163" spans="1:31" ht="30" customHeight="1">
      <c r="A163" s="197" t="s">
        <v>198</v>
      </c>
      <c r="B163" s="197">
        <v>2619151370</v>
      </c>
      <c r="C163" s="197" t="s">
        <v>143</v>
      </c>
      <c r="D163" s="197" t="s">
        <v>79</v>
      </c>
      <c r="E163" s="197" t="s">
        <v>35</v>
      </c>
      <c r="F163" s="197" t="s">
        <v>2049</v>
      </c>
      <c r="G163" s="197">
        <v>261</v>
      </c>
      <c r="H163" s="197" t="s">
        <v>1482</v>
      </c>
      <c r="I163" s="197" t="s">
        <v>598</v>
      </c>
      <c r="J163" s="205" t="s">
        <v>1915</v>
      </c>
      <c r="K163" s="197"/>
      <c r="L163" s="203">
        <v>46150.177777777775</v>
      </c>
      <c r="M163" s="203">
        <v>46150.198611111111</v>
      </c>
      <c r="N163" s="197" t="s">
        <v>390</v>
      </c>
      <c r="O163" s="152" t="s">
        <v>207</v>
      </c>
      <c r="P163" s="90"/>
      <c r="Q163" s="140" t="s">
        <v>207</v>
      </c>
      <c r="R163" s="90"/>
      <c r="S163" s="140" t="s">
        <v>207</v>
      </c>
      <c r="T163" s="90"/>
      <c r="U163" s="140" t="s">
        <v>207</v>
      </c>
      <c r="V163" s="90"/>
      <c r="W163" s="140" t="s">
        <v>207</v>
      </c>
      <c r="X163" s="90"/>
      <c r="Y163" s="140" t="s">
        <v>207</v>
      </c>
      <c r="Z163" s="177" t="str">
        <f t="shared" si="8"/>
        <v>C</v>
      </c>
      <c r="AA163" s="190" t="str">
        <f t="shared" si="7"/>
        <v>UTILIZOU O PDA CORRETAMENTE</v>
      </c>
      <c r="AB163" s="90"/>
      <c r="AC163" s="156" t="s">
        <v>36</v>
      </c>
      <c r="AD163" s="145" t="str">
        <f t="shared" si="9"/>
        <v>SÃO PAULO</v>
      </c>
      <c r="AE163" s="92" t="s">
        <v>79</v>
      </c>
    </row>
    <row r="164" spans="1:31" ht="30" customHeight="1">
      <c r="A164" s="197" t="s">
        <v>198</v>
      </c>
      <c r="B164" s="197">
        <v>2692680409</v>
      </c>
      <c r="C164" s="197" t="s">
        <v>143</v>
      </c>
      <c r="D164" s="197" t="s">
        <v>79</v>
      </c>
      <c r="E164" s="197" t="s">
        <v>35</v>
      </c>
      <c r="F164" s="197" t="s">
        <v>2050</v>
      </c>
      <c r="G164" s="197">
        <v>392</v>
      </c>
      <c r="H164" s="197" t="s">
        <v>205</v>
      </c>
      <c r="I164" s="197" t="s">
        <v>357</v>
      </c>
      <c r="J164" s="205" t="s">
        <v>1915</v>
      </c>
      <c r="K164" s="197" t="s">
        <v>200</v>
      </c>
      <c r="L164" s="203">
        <v>46150.206250000003</v>
      </c>
      <c r="M164" s="203">
        <v>46150.216666666667</v>
      </c>
      <c r="N164" s="197" t="s">
        <v>390</v>
      </c>
      <c r="O164" s="152" t="s">
        <v>207</v>
      </c>
      <c r="P164" s="90"/>
      <c r="Q164" s="140" t="s">
        <v>207</v>
      </c>
      <c r="R164" s="90"/>
      <c r="S164" s="140" t="s">
        <v>207</v>
      </c>
      <c r="T164" s="90"/>
      <c r="U164" s="140" t="s">
        <v>207</v>
      </c>
      <c r="V164" s="90"/>
      <c r="W164" s="140" t="s">
        <v>207</v>
      </c>
      <c r="X164" s="90"/>
      <c r="Y164" s="140" t="s">
        <v>207</v>
      </c>
      <c r="Z164" s="177" t="str">
        <f t="shared" si="8"/>
        <v>C</v>
      </c>
      <c r="AA164" s="190" t="str">
        <f t="shared" si="7"/>
        <v>UTILIZOU O PDA CORRETAMENTE</v>
      </c>
      <c r="AB164" s="90"/>
      <c r="AC164" s="156" t="s">
        <v>36</v>
      </c>
      <c r="AD164" s="145" t="str">
        <f t="shared" si="9"/>
        <v>SÃO PAULO</v>
      </c>
      <c r="AE164" s="92" t="s">
        <v>79</v>
      </c>
    </row>
    <row r="165" spans="1:31" ht="30" customHeight="1">
      <c r="A165" s="197" t="s">
        <v>198</v>
      </c>
      <c r="B165" s="197">
        <v>2619163058</v>
      </c>
      <c r="C165" s="197" t="s">
        <v>143</v>
      </c>
      <c r="D165" s="197" t="s">
        <v>79</v>
      </c>
      <c r="E165" s="197" t="s">
        <v>35</v>
      </c>
      <c r="F165" s="197" t="s">
        <v>423</v>
      </c>
      <c r="G165" s="197">
        <v>115</v>
      </c>
      <c r="H165" s="197"/>
      <c r="I165" s="197" t="s">
        <v>2015</v>
      </c>
      <c r="J165" s="205" t="s">
        <v>1915</v>
      </c>
      <c r="K165" s="197"/>
      <c r="L165" s="203">
        <v>46150.268750000003</v>
      </c>
      <c r="M165" s="203">
        <v>46150.28402777778</v>
      </c>
      <c r="N165" s="197" t="s">
        <v>390</v>
      </c>
      <c r="O165" s="152" t="s">
        <v>207</v>
      </c>
      <c r="P165" s="90"/>
      <c r="Q165" s="140" t="s">
        <v>207</v>
      </c>
      <c r="R165" s="90"/>
      <c r="S165" s="140" t="s">
        <v>207</v>
      </c>
      <c r="T165" s="90"/>
      <c r="U165" s="140" t="s">
        <v>207</v>
      </c>
      <c r="V165" s="90"/>
      <c r="W165" s="140" t="s">
        <v>207</v>
      </c>
      <c r="X165" s="90"/>
      <c r="Y165" s="140" t="s">
        <v>207</v>
      </c>
      <c r="Z165" s="177" t="str">
        <f t="shared" si="8"/>
        <v>C</v>
      </c>
      <c r="AA165" s="190" t="str">
        <f t="shared" si="7"/>
        <v>UTILIZOU O PDA CORRETAMENTE</v>
      </c>
      <c r="AB165" s="90"/>
      <c r="AC165" s="156" t="s">
        <v>36</v>
      </c>
      <c r="AD165" s="145" t="str">
        <f t="shared" si="9"/>
        <v>SÃO PAULO</v>
      </c>
      <c r="AE165" s="92" t="s">
        <v>79</v>
      </c>
    </row>
    <row r="166" spans="1:31" ht="30" customHeight="1">
      <c r="A166" s="197" t="s">
        <v>198</v>
      </c>
      <c r="B166" s="197">
        <v>2618602589</v>
      </c>
      <c r="C166" s="197" t="s">
        <v>150</v>
      </c>
      <c r="D166" s="197" t="s">
        <v>140</v>
      </c>
      <c r="E166" s="197" t="s">
        <v>35</v>
      </c>
      <c r="F166" s="197" t="s">
        <v>597</v>
      </c>
      <c r="G166" s="197">
        <v>689</v>
      </c>
      <c r="H166" s="197" t="s">
        <v>208</v>
      </c>
      <c r="I166" s="197" t="s">
        <v>598</v>
      </c>
      <c r="J166" s="205" t="s">
        <v>2051</v>
      </c>
      <c r="K166" s="197" t="s">
        <v>200</v>
      </c>
      <c r="L166" s="203">
        <v>46150.070138888892</v>
      </c>
      <c r="M166" s="203">
        <v>46150.074305555558</v>
      </c>
      <c r="N166" s="197" t="s">
        <v>213</v>
      </c>
      <c r="O166" s="152" t="s">
        <v>207</v>
      </c>
      <c r="P166" s="90"/>
      <c r="Q166" s="140" t="s">
        <v>207</v>
      </c>
      <c r="R166" s="90"/>
      <c r="S166" s="140" t="s">
        <v>207</v>
      </c>
      <c r="T166" s="90"/>
      <c r="U166" s="140" t="s">
        <v>207</v>
      </c>
      <c r="V166" s="90"/>
      <c r="W166" s="140" t="s">
        <v>207</v>
      </c>
      <c r="X166" s="90"/>
      <c r="Y166" s="140" t="s">
        <v>207</v>
      </c>
      <c r="Z166" s="177" t="str">
        <f t="shared" si="8"/>
        <v>C</v>
      </c>
      <c r="AA166" s="190" t="str">
        <f t="shared" si="7"/>
        <v>UTILIZOU O PDA CORRETAMENTE</v>
      </c>
      <c r="AB166" s="90"/>
      <c r="AC166" s="156" t="s">
        <v>36</v>
      </c>
      <c r="AD166" s="145" t="str">
        <f t="shared" si="9"/>
        <v>SÃO PAULO</v>
      </c>
      <c r="AE166" s="92" t="s">
        <v>79</v>
      </c>
    </row>
    <row r="167" spans="1:31" ht="30" customHeight="1">
      <c r="A167" s="197" t="s">
        <v>198</v>
      </c>
      <c r="B167" s="197">
        <v>2618602314</v>
      </c>
      <c r="C167" s="197" t="s">
        <v>150</v>
      </c>
      <c r="D167" s="197" t="s">
        <v>140</v>
      </c>
      <c r="E167" s="197" t="s">
        <v>35</v>
      </c>
      <c r="F167" s="197" t="s">
        <v>597</v>
      </c>
      <c r="G167" s="197">
        <v>689</v>
      </c>
      <c r="H167" s="197" t="s">
        <v>205</v>
      </c>
      <c r="I167" s="197" t="s">
        <v>598</v>
      </c>
      <c r="J167" s="205" t="s">
        <v>2051</v>
      </c>
      <c r="K167" s="197"/>
      <c r="L167" s="203">
        <v>46150.074999999997</v>
      </c>
      <c r="M167" s="203">
        <v>46150.101388888892</v>
      </c>
      <c r="N167" s="197" t="s">
        <v>213</v>
      </c>
      <c r="O167" s="152" t="s">
        <v>207</v>
      </c>
      <c r="P167" s="90"/>
      <c r="Q167" s="140" t="s">
        <v>207</v>
      </c>
      <c r="R167" s="90"/>
      <c r="S167" s="140" t="s">
        <v>214</v>
      </c>
      <c r="T167" s="90"/>
      <c r="U167" s="140" t="s">
        <v>214</v>
      </c>
      <c r="V167" s="90"/>
      <c r="W167" s="140" t="s">
        <v>207</v>
      </c>
      <c r="X167" s="90"/>
      <c r="Y167" s="140" t="s">
        <v>207</v>
      </c>
      <c r="Z167" s="177" t="str">
        <f t="shared" si="8"/>
        <v>NC</v>
      </c>
      <c r="AA167" s="190" t="str">
        <f t="shared" si="7"/>
        <v>UTILIZOU O PDA CORRETAMENTE. NÃO HÁ FOTOS DE TODAS AS ETAPAS</v>
      </c>
      <c r="AB167" s="90"/>
      <c r="AC167" s="156" t="s">
        <v>36</v>
      </c>
      <c r="AD167" s="145" t="str">
        <f t="shared" si="9"/>
        <v>SÃO PAULO</v>
      </c>
      <c r="AE167" s="92" t="s">
        <v>79</v>
      </c>
    </row>
    <row r="168" spans="1:31" ht="30" customHeight="1">
      <c r="A168" s="197" t="s">
        <v>198</v>
      </c>
      <c r="B168" s="197">
        <v>2619210660</v>
      </c>
      <c r="C168" s="197" t="s">
        <v>151</v>
      </c>
      <c r="D168" s="197" t="s">
        <v>140</v>
      </c>
      <c r="E168" s="197" t="s">
        <v>35</v>
      </c>
      <c r="F168" s="197" t="s">
        <v>2052</v>
      </c>
      <c r="G168" s="197">
        <v>18</v>
      </c>
      <c r="H168" s="197" t="s">
        <v>426</v>
      </c>
      <c r="I168" s="197" t="s">
        <v>618</v>
      </c>
      <c r="J168" s="205" t="s">
        <v>1966</v>
      </c>
      <c r="K168" s="197"/>
      <c r="L168" s="203">
        <v>46150.425694444442</v>
      </c>
      <c r="M168" s="203">
        <v>46150.426388888889</v>
      </c>
      <c r="N168" s="197" t="s">
        <v>206</v>
      </c>
      <c r="O168" s="152" t="s">
        <v>214</v>
      </c>
      <c r="P168" s="90"/>
      <c r="Q168" s="140" t="s">
        <v>214</v>
      </c>
      <c r="R168" s="90"/>
      <c r="S168" s="140" t="s">
        <v>214</v>
      </c>
      <c r="T168" s="90"/>
      <c r="U168" s="140" t="s">
        <v>214</v>
      </c>
      <c r="V168" s="90"/>
      <c r="W168" s="140" t="s">
        <v>214</v>
      </c>
      <c r="X168" s="90"/>
      <c r="Y168" s="140" t="s">
        <v>215</v>
      </c>
      <c r="Z168" s="177" t="str">
        <f t="shared" si="8"/>
        <v>NC</v>
      </c>
      <c r="AA168" s="190" t="str">
        <f t="shared" si="7"/>
        <v>NÃO UTILIZOU O PDA</v>
      </c>
      <c r="AB168" s="90"/>
      <c r="AC168" s="156" t="s">
        <v>36</v>
      </c>
      <c r="AD168" s="145" t="str">
        <f t="shared" si="9"/>
        <v>SÃO PAULO</v>
      </c>
      <c r="AE168" s="92" t="s">
        <v>79</v>
      </c>
    </row>
    <row r="169" spans="1:31" ht="30" customHeight="1">
      <c r="A169" s="197" t="s">
        <v>198</v>
      </c>
      <c r="B169" s="197">
        <v>2692680553</v>
      </c>
      <c r="C169" s="197" t="s">
        <v>144</v>
      </c>
      <c r="D169" s="197" t="s">
        <v>140</v>
      </c>
      <c r="E169" s="197" t="s">
        <v>35</v>
      </c>
      <c r="F169" s="197" t="s">
        <v>1618</v>
      </c>
      <c r="G169" s="197">
        <v>6</v>
      </c>
      <c r="H169" s="197" t="s">
        <v>200</v>
      </c>
      <c r="I169" s="197" t="s">
        <v>256</v>
      </c>
      <c r="J169" s="205" t="s">
        <v>1954</v>
      </c>
      <c r="K169" s="197" t="s">
        <v>200</v>
      </c>
      <c r="L169" s="203">
        <v>46150.158333333333</v>
      </c>
      <c r="M169" s="203">
        <v>46150.167361111111</v>
      </c>
      <c r="N169" s="197" t="s">
        <v>1922</v>
      </c>
      <c r="O169" s="152" t="s">
        <v>207</v>
      </c>
      <c r="P169" s="90"/>
      <c r="Q169" s="140" t="s">
        <v>207</v>
      </c>
      <c r="R169" s="90"/>
      <c r="S169" s="140" t="s">
        <v>214</v>
      </c>
      <c r="T169" s="90"/>
      <c r="U169" s="140" t="s">
        <v>214</v>
      </c>
      <c r="V169" s="90"/>
      <c r="W169" s="140" t="s">
        <v>207</v>
      </c>
      <c r="X169" s="90"/>
      <c r="Y169" s="140" t="s">
        <v>207</v>
      </c>
      <c r="Z169" s="177" t="str">
        <f t="shared" si="8"/>
        <v>NC</v>
      </c>
      <c r="AA169" s="190" t="str">
        <f t="shared" si="7"/>
        <v>UTILIZOU O PDA CORRETAMENTE. NÃO HÁ FOTOS DE TODAS AS ETAPAS</v>
      </c>
      <c r="AB169" s="90"/>
      <c r="AC169" s="156" t="s">
        <v>36</v>
      </c>
      <c r="AD169" s="145" t="str">
        <f t="shared" si="9"/>
        <v>SÃO PAULO</v>
      </c>
      <c r="AE169" s="92" t="s">
        <v>79</v>
      </c>
    </row>
    <row r="170" spans="1:31" ht="30" customHeight="1">
      <c r="A170" s="197" t="s">
        <v>198</v>
      </c>
      <c r="B170" s="197">
        <v>2619205103</v>
      </c>
      <c r="C170" s="197" t="s">
        <v>1923</v>
      </c>
      <c r="D170" s="197" t="s">
        <v>79</v>
      </c>
      <c r="E170" s="197" t="s">
        <v>35</v>
      </c>
      <c r="F170" s="197" t="s">
        <v>1939</v>
      </c>
      <c r="G170" s="197">
        <v>257</v>
      </c>
      <c r="H170" s="197"/>
      <c r="I170" s="197" t="s">
        <v>615</v>
      </c>
      <c r="J170" s="205" t="s">
        <v>1915</v>
      </c>
      <c r="K170" s="197"/>
      <c r="L170" s="203">
        <v>46150.113888888889</v>
      </c>
      <c r="M170" s="203">
        <v>46150.125</v>
      </c>
      <c r="N170" s="197" t="s">
        <v>1922</v>
      </c>
      <c r="O170" s="152" t="s">
        <v>207</v>
      </c>
      <c r="P170" s="90"/>
      <c r="Q170" s="140" t="s">
        <v>207</v>
      </c>
      <c r="R170" s="90"/>
      <c r="S170" s="140" t="s">
        <v>214</v>
      </c>
      <c r="T170" s="90"/>
      <c r="U170" s="140" t="s">
        <v>214</v>
      </c>
      <c r="V170" s="90"/>
      <c r="W170" s="140" t="s">
        <v>207</v>
      </c>
      <c r="X170" s="90"/>
      <c r="Y170" s="140" t="s">
        <v>207</v>
      </c>
      <c r="Z170" s="177" t="str">
        <f t="shared" si="8"/>
        <v>NC</v>
      </c>
      <c r="AA170" s="190" t="str">
        <f t="shared" si="7"/>
        <v>UTILIZOU O PDA CORRETAMENTE. NÃO HÁ FOTOS DE TODAS AS ETAPAS</v>
      </c>
      <c r="AB170" s="90"/>
      <c r="AC170" s="156" t="s">
        <v>36</v>
      </c>
      <c r="AD170" s="145" t="str">
        <f t="shared" si="9"/>
        <v>SÃO PAULO</v>
      </c>
      <c r="AE170" s="92" t="s">
        <v>79</v>
      </c>
    </row>
    <row r="171" spans="1:31" ht="30" customHeight="1">
      <c r="A171" s="197" t="s">
        <v>198</v>
      </c>
      <c r="B171" s="197">
        <v>2619300983</v>
      </c>
      <c r="C171" s="197" t="s">
        <v>1923</v>
      </c>
      <c r="D171" s="197" t="s">
        <v>79</v>
      </c>
      <c r="E171" s="197" t="s">
        <v>35</v>
      </c>
      <c r="F171" s="197" t="s">
        <v>2026</v>
      </c>
      <c r="G171" s="197">
        <v>11</v>
      </c>
      <c r="H171" s="197" t="s">
        <v>208</v>
      </c>
      <c r="I171" s="197" t="s">
        <v>271</v>
      </c>
      <c r="J171" s="205" t="s">
        <v>1915</v>
      </c>
      <c r="K171" s="197" t="s">
        <v>200</v>
      </c>
      <c r="L171" s="203">
        <v>46150.334722222222</v>
      </c>
      <c r="M171" s="203">
        <v>46150.335416666669</v>
      </c>
      <c r="N171" s="197" t="s">
        <v>323</v>
      </c>
      <c r="O171" s="152" t="s">
        <v>77</v>
      </c>
      <c r="P171" s="90"/>
      <c r="Q171" s="152" t="s">
        <v>77</v>
      </c>
      <c r="R171" s="90"/>
      <c r="S171" s="152" t="s">
        <v>77</v>
      </c>
      <c r="T171" s="90"/>
      <c r="U171" s="152" t="s">
        <v>77</v>
      </c>
      <c r="V171" s="90"/>
      <c r="W171" s="152" t="s">
        <v>77</v>
      </c>
      <c r="X171" s="90"/>
      <c r="Y171" s="152" t="s">
        <v>77</v>
      </c>
      <c r="Z171" s="177" t="str">
        <f t="shared" si="8"/>
        <v>NA</v>
      </c>
      <c r="AA171" s="190" t="str">
        <f t="shared" si="7"/>
        <v>NÃO AVALIADO POR FALHA DE SINCRONISMO</v>
      </c>
      <c r="AB171" s="90"/>
      <c r="AC171" s="156" t="s">
        <v>36</v>
      </c>
      <c r="AD171" s="145" t="str">
        <f t="shared" si="9"/>
        <v>SÃO PAULO</v>
      </c>
      <c r="AE171" s="92" t="s">
        <v>79</v>
      </c>
    </row>
    <row r="172" spans="1:31" ht="30" customHeight="1">
      <c r="A172" s="197" t="s">
        <v>198</v>
      </c>
      <c r="B172" s="197">
        <v>2619301053</v>
      </c>
      <c r="C172" s="197" t="s">
        <v>1923</v>
      </c>
      <c r="D172" s="197" t="s">
        <v>79</v>
      </c>
      <c r="E172" s="197" t="s">
        <v>35</v>
      </c>
      <c r="F172" s="197" t="s">
        <v>2024</v>
      </c>
      <c r="G172" s="197">
        <v>358</v>
      </c>
      <c r="H172" s="197" t="s">
        <v>205</v>
      </c>
      <c r="I172" s="197" t="s">
        <v>271</v>
      </c>
      <c r="J172" s="205" t="s">
        <v>1915</v>
      </c>
      <c r="K172" s="197"/>
      <c r="L172" s="203">
        <v>46150.334722222222</v>
      </c>
      <c r="M172" s="203">
        <v>46150.336805555555</v>
      </c>
      <c r="N172" s="197" t="s">
        <v>323</v>
      </c>
      <c r="O172" s="152" t="s">
        <v>77</v>
      </c>
      <c r="P172" s="90"/>
      <c r="Q172" s="152" t="s">
        <v>77</v>
      </c>
      <c r="R172" s="90"/>
      <c r="S172" s="152" t="s">
        <v>77</v>
      </c>
      <c r="T172" s="90"/>
      <c r="U172" s="152" t="s">
        <v>77</v>
      </c>
      <c r="V172" s="90"/>
      <c r="W172" s="152" t="s">
        <v>77</v>
      </c>
      <c r="X172" s="90"/>
      <c r="Y172" s="152" t="s">
        <v>77</v>
      </c>
      <c r="Z172" s="177" t="str">
        <f t="shared" si="8"/>
        <v>NA</v>
      </c>
      <c r="AA172" s="190" t="str">
        <f t="shared" si="7"/>
        <v>NÃO AVALIADO POR FALHA DE SINCRONISMO</v>
      </c>
      <c r="AB172" s="90"/>
      <c r="AC172" s="156" t="s">
        <v>36</v>
      </c>
      <c r="AD172" s="145" t="str">
        <f t="shared" si="9"/>
        <v>SÃO PAULO</v>
      </c>
      <c r="AE172" s="92" t="s">
        <v>79</v>
      </c>
    </row>
    <row r="173" spans="1:31" ht="30" customHeight="1">
      <c r="A173" s="197" t="s">
        <v>198</v>
      </c>
      <c r="B173" s="197">
        <v>2619193991</v>
      </c>
      <c r="C173" s="197" t="s">
        <v>1923</v>
      </c>
      <c r="D173" s="197" t="s">
        <v>79</v>
      </c>
      <c r="E173" s="197" t="s">
        <v>35</v>
      </c>
      <c r="F173" s="197" t="s">
        <v>2053</v>
      </c>
      <c r="G173" s="197">
        <v>27</v>
      </c>
      <c r="H173" s="197" t="s">
        <v>200</v>
      </c>
      <c r="I173" s="197" t="s">
        <v>497</v>
      </c>
      <c r="J173" s="205" t="s">
        <v>1915</v>
      </c>
      <c r="K173" s="197" t="s">
        <v>200</v>
      </c>
      <c r="L173" s="203">
        <v>46150.338888888888</v>
      </c>
      <c r="M173" s="203">
        <v>46150.339583333334</v>
      </c>
      <c r="N173" s="197" t="s">
        <v>1925</v>
      </c>
      <c r="O173" s="152" t="s">
        <v>207</v>
      </c>
      <c r="P173" s="90"/>
      <c r="Q173" s="140" t="s">
        <v>207</v>
      </c>
      <c r="R173" s="90"/>
      <c r="S173" s="140" t="s">
        <v>214</v>
      </c>
      <c r="T173" s="90"/>
      <c r="U173" s="140" t="s">
        <v>214</v>
      </c>
      <c r="V173" s="90"/>
      <c r="W173" s="140" t="s">
        <v>207</v>
      </c>
      <c r="X173" s="90"/>
      <c r="Y173" s="140" t="s">
        <v>207</v>
      </c>
      <c r="Z173" s="177" t="str">
        <f t="shared" si="8"/>
        <v>NC</v>
      </c>
      <c r="AA173" s="190" t="str">
        <f t="shared" si="7"/>
        <v>UTILIZOU O PDA CORRETAMENTE. NÃO HÁ FOTOS DE TODAS AS ETAPAS</v>
      </c>
      <c r="AB173" s="90"/>
      <c r="AC173" s="156" t="s">
        <v>36</v>
      </c>
      <c r="AD173" s="145" t="str">
        <f t="shared" si="9"/>
        <v>SÃO PAULO</v>
      </c>
      <c r="AE173" s="92" t="s">
        <v>79</v>
      </c>
    </row>
    <row r="174" spans="1:31" ht="30" customHeight="1">
      <c r="A174" s="197" t="s">
        <v>198</v>
      </c>
      <c r="B174" s="197">
        <v>2619194879</v>
      </c>
      <c r="C174" s="197" t="s">
        <v>1923</v>
      </c>
      <c r="D174" s="197" t="s">
        <v>79</v>
      </c>
      <c r="E174" s="197" t="s">
        <v>35</v>
      </c>
      <c r="F174" s="197" t="s">
        <v>1073</v>
      </c>
      <c r="G174" s="197">
        <v>210</v>
      </c>
      <c r="H174" s="197" t="s">
        <v>1397</v>
      </c>
      <c r="I174" s="197" t="s">
        <v>314</v>
      </c>
      <c r="J174" s="205" t="s">
        <v>1915</v>
      </c>
      <c r="K174" s="197"/>
      <c r="L174" s="203">
        <v>46150.354861111111</v>
      </c>
      <c r="M174" s="203">
        <v>46150.356249999997</v>
      </c>
      <c r="N174" s="197" t="s">
        <v>1925</v>
      </c>
      <c r="O174" s="152" t="s">
        <v>207</v>
      </c>
      <c r="P174" s="90"/>
      <c r="Q174" s="140" t="s">
        <v>207</v>
      </c>
      <c r="R174" s="90"/>
      <c r="S174" s="140" t="s">
        <v>207</v>
      </c>
      <c r="T174" s="90"/>
      <c r="U174" s="140" t="s">
        <v>207</v>
      </c>
      <c r="V174" s="90"/>
      <c r="W174" s="140" t="s">
        <v>207</v>
      </c>
      <c r="X174" s="90"/>
      <c r="Y174" s="140" t="s">
        <v>207</v>
      </c>
      <c r="Z174" s="177" t="str">
        <f t="shared" si="8"/>
        <v>C</v>
      </c>
      <c r="AA174" s="190" t="str">
        <f t="shared" si="7"/>
        <v>UTILIZOU O PDA CORRETAMENTE</v>
      </c>
      <c r="AB174" s="90"/>
      <c r="AC174" s="156" t="s">
        <v>36</v>
      </c>
      <c r="AD174" s="145" t="str">
        <f t="shared" si="9"/>
        <v>SÃO PAULO</v>
      </c>
      <c r="AE174" s="92" t="s">
        <v>79</v>
      </c>
    </row>
    <row r="175" spans="1:31" ht="30" customHeight="1">
      <c r="A175" s="197" t="s">
        <v>198</v>
      </c>
      <c r="B175" s="197">
        <v>2619161043</v>
      </c>
      <c r="C175" s="197" t="s">
        <v>143</v>
      </c>
      <c r="D175" s="197" t="s">
        <v>79</v>
      </c>
      <c r="E175" s="197" t="s">
        <v>35</v>
      </c>
      <c r="F175" s="197" t="s">
        <v>2054</v>
      </c>
      <c r="G175" s="197">
        <v>67</v>
      </c>
      <c r="H175" s="197" t="s">
        <v>200</v>
      </c>
      <c r="I175" s="197" t="s">
        <v>1611</v>
      </c>
      <c r="J175" s="205" t="s">
        <v>1943</v>
      </c>
      <c r="K175" s="197" t="s">
        <v>200</v>
      </c>
      <c r="L175" s="203">
        <v>46150.277777777781</v>
      </c>
      <c r="M175" s="203">
        <v>46150.27847222222</v>
      </c>
      <c r="N175" s="197" t="s">
        <v>1931</v>
      </c>
      <c r="O175" s="152" t="s">
        <v>207</v>
      </c>
      <c r="P175" s="90"/>
      <c r="Q175" s="140" t="s">
        <v>207</v>
      </c>
      <c r="R175" s="90"/>
      <c r="S175" s="140" t="s">
        <v>207</v>
      </c>
      <c r="T175" s="90"/>
      <c r="U175" s="140" t="s">
        <v>207</v>
      </c>
      <c r="V175" s="90"/>
      <c r="W175" s="140" t="s">
        <v>207</v>
      </c>
      <c r="X175" s="90"/>
      <c r="Y175" s="140" t="s">
        <v>207</v>
      </c>
      <c r="Z175" s="177" t="str">
        <f t="shared" si="8"/>
        <v>C</v>
      </c>
      <c r="AA175" s="190" t="str">
        <f t="shared" si="7"/>
        <v>UTILIZOU O PDA CORRETAMENTE</v>
      </c>
      <c r="AB175" s="90"/>
      <c r="AC175" s="156" t="s">
        <v>36</v>
      </c>
      <c r="AD175" s="145" t="str">
        <f t="shared" si="9"/>
        <v>SÃO PAULO</v>
      </c>
      <c r="AE175" s="92" t="s">
        <v>79</v>
      </c>
    </row>
    <row r="176" spans="1:31" ht="30" customHeight="1">
      <c r="A176" s="197" t="s">
        <v>198</v>
      </c>
      <c r="B176" s="197">
        <v>2619201959</v>
      </c>
      <c r="C176" s="197" t="s">
        <v>1923</v>
      </c>
      <c r="D176" s="197" t="s">
        <v>79</v>
      </c>
      <c r="E176" s="197" t="s">
        <v>35</v>
      </c>
      <c r="F176" s="197" t="s">
        <v>2055</v>
      </c>
      <c r="G176" s="197">
        <v>55</v>
      </c>
      <c r="H176" s="197" t="s">
        <v>200</v>
      </c>
      <c r="I176" s="197" t="s">
        <v>550</v>
      </c>
      <c r="J176" s="205" t="s">
        <v>1915</v>
      </c>
      <c r="K176" s="197" t="s">
        <v>200</v>
      </c>
      <c r="L176" s="203">
        <v>46150.330555555556</v>
      </c>
      <c r="M176" s="203">
        <v>46150.336111111108</v>
      </c>
      <c r="N176" s="197" t="s">
        <v>1925</v>
      </c>
      <c r="O176" s="152" t="s">
        <v>207</v>
      </c>
      <c r="P176" s="90"/>
      <c r="Q176" s="140" t="s">
        <v>207</v>
      </c>
      <c r="R176" s="90"/>
      <c r="S176" s="140" t="s">
        <v>214</v>
      </c>
      <c r="T176" s="90"/>
      <c r="U176" s="140" t="s">
        <v>214</v>
      </c>
      <c r="V176" s="90"/>
      <c r="W176" s="140" t="s">
        <v>207</v>
      </c>
      <c r="X176" s="90"/>
      <c r="Y176" s="140" t="s">
        <v>207</v>
      </c>
      <c r="Z176" s="177" t="str">
        <f t="shared" si="8"/>
        <v>NC</v>
      </c>
      <c r="AA176" s="190" t="str">
        <f t="shared" si="7"/>
        <v>UTILIZOU O PDA CORRETAMENTE. NÃO HÁ FOTOS DE TODAS AS ETAPAS</v>
      </c>
      <c r="AB176" s="90"/>
      <c r="AC176" s="156" t="s">
        <v>36</v>
      </c>
      <c r="AD176" s="145" t="str">
        <f t="shared" si="9"/>
        <v>SÃO PAULO</v>
      </c>
      <c r="AE176" s="92" t="s">
        <v>79</v>
      </c>
    </row>
    <row r="177" spans="1:32" ht="30" customHeight="1">
      <c r="A177" s="197" t="s">
        <v>198</v>
      </c>
      <c r="B177" s="197">
        <v>2692744545</v>
      </c>
      <c r="C177" s="197" t="s">
        <v>147</v>
      </c>
      <c r="D177" s="197" t="s">
        <v>79</v>
      </c>
      <c r="E177" s="197" t="s">
        <v>35</v>
      </c>
      <c r="F177" s="197" t="s">
        <v>1432</v>
      </c>
      <c r="G177" s="197">
        <v>196</v>
      </c>
      <c r="H177" s="197" t="s">
        <v>208</v>
      </c>
      <c r="I177" s="197" t="s">
        <v>515</v>
      </c>
      <c r="J177" s="205" t="s">
        <v>1943</v>
      </c>
      <c r="K177" s="197" t="s">
        <v>200</v>
      </c>
      <c r="L177" s="203">
        <v>46150.46597222222</v>
      </c>
      <c r="M177" s="203">
        <v>46150.466666666667</v>
      </c>
      <c r="N177" s="197" t="s">
        <v>1931</v>
      </c>
      <c r="O177" s="152" t="s">
        <v>207</v>
      </c>
      <c r="P177" s="90"/>
      <c r="Q177" s="140" t="s">
        <v>207</v>
      </c>
      <c r="R177" s="90"/>
      <c r="S177" s="140" t="s">
        <v>207</v>
      </c>
      <c r="T177" s="90"/>
      <c r="U177" s="140" t="s">
        <v>207</v>
      </c>
      <c r="V177" s="90"/>
      <c r="W177" s="140" t="s">
        <v>207</v>
      </c>
      <c r="X177" s="90"/>
      <c r="Y177" s="140" t="s">
        <v>207</v>
      </c>
      <c r="Z177" s="177" t="str">
        <f t="shared" si="8"/>
        <v>C</v>
      </c>
      <c r="AA177" s="190" t="str">
        <f t="shared" si="7"/>
        <v>UTILIZOU O PDA CORRETAMENTE</v>
      </c>
      <c r="AB177" s="90"/>
      <c r="AC177" s="156" t="s">
        <v>36</v>
      </c>
      <c r="AD177" s="145" t="str">
        <f t="shared" si="9"/>
        <v>SÃO PAULO</v>
      </c>
      <c r="AE177" s="92" t="s">
        <v>79</v>
      </c>
      <c r="AF177" s="53" t="s">
        <v>2056</v>
      </c>
    </row>
    <row r="178" spans="1:32" ht="30" customHeight="1">
      <c r="A178" s="197" t="s">
        <v>198</v>
      </c>
      <c r="B178" s="197">
        <v>2692757969</v>
      </c>
      <c r="C178" s="197" t="s">
        <v>143</v>
      </c>
      <c r="D178" s="197" t="s">
        <v>79</v>
      </c>
      <c r="E178" s="197" t="s">
        <v>35</v>
      </c>
      <c r="F178" s="197" t="s">
        <v>2057</v>
      </c>
      <c r="G178" s="197">
        <v>362</v>
      </c>
      <c r="H178" s="197" t="s">
        <v>2058</v>
      </c>
      <c r="I178" s="197" t="s">
        <v>490</v>
      </c>
      <c r="J178" s="205" t="s">
        <v>1943</v>
      </c>
      <c r="K178" s="197"/>
      <c r="L178" s="203">
        <v>46150.32916666667</v>
      </c>
      <c r="M178" s="203">
        <v>46150.329861111109</v>
      </c>
      <c r="N178" s="197" t="s">
        <v>1931</v>
      </c>
      <c r="O178" s="152" t="s">
        <v>207</v>
      </c>
      <c r="P178" s="90"/>
      <c r="Q178" s="140" t="s">
        <v>207</v>
      </c>
      <c r="R178" s="90"/>
      <c r="S178" s="140" t="s">
        <v>207</v>
      </c>
      <c r="T178" s="90"/>
      <c r="U178" s="140" t="s">
        <v>207</v>
      </c>
      <c r="V178" s="90"/>
      <c r="W178" s="140" t="s">
        <v>207</v>
      </c>
      <c r="X178" s="90"/>
      <c r="Y178" s="140" t="s">
        <v>207</v>
      </c>
      <c r="Z178" s="177" t="str">
        <f t="shared" si="8"/>
        <v>C</v>
      </c>
      <c r="AA178" s="190" t="str">
        <f t="shared" si="7"/>
        <v>UTILIZOU O PDA CORRETAMENTE</v>
      </c>
      <c r="AB178" s="90"/>
      <c r="AC178" s="156" t="s">
        <v>36</v>
      </c>
      <c r="AD178" s="145" t="str">
        <f t="shared" si="9"/>
        <v>SÃO PAULO</v>
      </c>
      <c r="AE178" s="92" t="s">
        <v>79</v>
      </c>
    </row>
    <row r="179" spans="1:32" ht="30" customHeight="1">
      <c r="A179" s="197" t="s">
        <v>198</v>
      </c>
      <c r="B179" s="197">
        <v>2619170261</v>
      </c>
      <c r="C179" s="197" t="s">
        <v>143</v>
      </c>
      <c r="D179" s="197" t="s">
        <v>79</v>
      </c>
      <c r="E179" s="197" t="s">
        <v>35</v>
      </c>
      <c r="F179" s="197" t="s">
        <v>2059</v>
      </c>
      <c r="G179" s="197">
        <v>231</v>
      </c>
      <c r="H179" s="197" t="s">
        <v>329</v>
      </c>
      <c r="I179" s="197" t="s">
        <v>475</v>
      </c>
      <c r="J179" s="205" t="s">
        <v>1915</v>
      </c>
      <c r="K179" s="197" t="s">
        <v>200</v>
      </c>
      <c r="L179" s="203">
        <v>46150.489583333336</v>
      </c>
      <c r="M179" s="203">
        <v>46150.493055555555</v>
      </c>
      <c r="N179" s="197" t="s">
        <v>1919</v>
      </c>
      <c r="O179" s="152" t="s">
        <v>207</v>
      </c>
      <c r="P179" s="90"/>
      <c r="Q179" s="140" t="s">
        <v>207</v>
      </c>
      <c r="R179" s="90"/>
      <c r="S179" s="140" t="s">
        <v>207</v>
      </c>
      <c r="T179" s="90"/>
      <c r="U179" s="140" t="s">
        <v>207</v>
      </c>
      <c r="V179" s="90"/>
      <c r="W179" s="140" t="s">
        <v>207</v>
      </c>
      <c r="X179" s="90"/>
      <c r="Y179" s="140" t="s">
        <v>207</v>
      </c>
      <c r="Z179" s="177" t="str">
        <f t="shared" si="8"/>
        <v>C</v>
      </c>
      <c r="AA179" s="190" t="str">
        <f t="shared" si="7"/>
        <v>UTILIZOU O PDA CORRETAMENTE</v>
      </c>
      <c r="AB179" s="90"/>
      <c r="AC179" s="156" t="s">
        <v>36</v>
      </c>
      <c r="AD179" s="145" t="str">
        <f t="shared" si="9"/>
        <v>SÃO PAULO</v>
      </c>
      <c r="AE179" s="92" t="s">
        <v>79</v>
      </c>
    </row>
    <row r="180" spans="1:32" ht="30" customHeight="1">
      <c r="A180" s="197" t="s">
        <v>198</v>
      </c>
      <c r="B180" s="197">
        <v>2619193545</v>
      </c>
      <c r="C180" s="197" t="s">
        <v>1923</v>
      </c>
      <c r="D180" s="197" t="s">
        <v>79</v>
      </c>
      <c r="E180" s="197" t="s">
        <v>35</v>
      </c>
      <c r="F180" s="197" t="s">
        <v>1027</v>
      </c>
      <c r="G180" s="197">
        <v>22</v>
      </c>
      <c r="H180" s="197" t="s">
        <v>329</v>
      </c>
      <c r="I180" s="197" t="s">
        <v>355</v>
      </c>
      <c r="J180" s="205" t="s">
        <v>1915</v>
      </c>
      <c r="K180" s="197" t="s">
        <v>2060</v>
      </c>
      <c r="L180" s="203">
        <v>46150.582638888889</v>
      </c>
      <c r="M180" s="203">
        <v>46150.583333333336</v>
      </c>
      <c r="N180" s="197" t="s">
        <v>1925</v>
      </c>
      <c r="O180" s="152" t="s">
        <v>207</v>
      </c>
      <c r="P180" s="90"/>
      <c r="Q180" s="140" t="s">
        <v>207</v>
      </c>
      <c r="R180" s="90"/>
      <c r="S180" s="140" t="s">
        <v>207</v>
      </c>
      <c r="T180" s="90"/>
      <c r="U180" s="140" t="s">
        <v>207</v>
      </c>
      <c r="V180" s="90"/>
      <c r="W180" s="140" t="s">
        <v>207</v>
      </c>
      <c r="X180" s="90"/>
      <c r="Y180" s="140" t="s">
        <v>207</v>
      </c>
      <c r="Z180" s="177" t="str">
        <f t="shared" si="8"/>
        <v>C</v>
      </c>
      <c r="AA180" s="190" t="str">
        <f t="shared" si="7"/>
        <v>UTILIZOU O PDA CORRETAMENTE</v>
      </c>
      <c r="AB180" s="90"/>
      <c r="AC180" s="156" t="s">
        <v>36</v>
      </c>
      <c r="AD180" s="145" t="str">
        <f t="shared" si="9"/>
        <v>SÃO PAULO</v>
      </c>
      <c r="AE180" s="92" t="s">
        <v>79</v>
      </c>
    </row>
    <row r="181" spans="1:32" ht="30" customHeight="1">
      <c r="A181" s="197" t="s">
        <v>198</v>
      </c>
      <c r="B181" s="197">
        <v>2619195120</v>
      </c>
      <c r="C181" s="197" t="s">
        <v>1923</v>
      </c>
      <c r="D181" s="197" t="s">
        <v>79</v>
      </c>
      <c r="E181" s="197" t="s">
        <v>35</v>
      </c>
      <c r="F181" s="197" t="s">
        <v>2061</v>
      </c>
      <c r="G181" s="197">
        <v>179</v>
      </c>
      <c r="H181" s="197" t="s">
        <v>208</v>
      </c>
      <c r="I181" s="197" t="s">
        <v>2062</v>
      </c>
      <c r="J181" s="205" t="s">
        <v>1915</v>
      </c>
      <c r="K181" s="197"/>
      <c r="L181" s="203">
        <v>46150.532638888886</v>
      </c>
      <c r="M181" s="203">
        <v>46150.533333333333</v>
      </c>
      <c r="N181" s="197" t="s">
        <v>1925</v>
      </c>
      <c r="O181" s="152" t="s">
        <v>207</v>
      </c>
      <c r="P181" s="90"/>
      <c r="Q181" s="140" t="s">
        <v>207</v>
      </c>
      <c r="R181" s="90"/>
      <c r="S181" s="140" t="s">
        <v>207</v>
      </c>
      <c r="T181" s="90"/>
      <c r="U181" s="140" t="s">
        <v>207</v>
      </c>
      <c r="V181" s="90"/>
      <c r="W181" s="140" t="s">
        <v>207</v>
      </c>
      <c r="X181" s="90"/>
      <c r="Y181" s="140" t="s">
        <v>207</v>
      </c>
      <c r="Z181" s="177" t="str">
        <f t="shared" si="8"/>
        <v>C</v>
      </c>
      <c r="AA181" s="190" t="str">
        <f t="shared" si="7"/>
        <v>UTILIZOU O PDA CORRETAMENTE</v>
      </c>
      <c r="AB181" s="90"/>
      <c r="AC181" s="156" t="s">
        <v>36</v>
      </c>
      <c r="AD181" s="145" t="str">
        <f t="shared" si="9"/>
        <v>SÃO PAULO</v>
      </c>
      <c r="AE181" s="92" t="s">
        <v>79</v>
      </c>
    </row>
    <row r="182" spans="1:32" ht="30" customHeight="1">
      <c r="A182" s="197" t="s">
        <v>198</v>
      </c>
      <c r="B182" s="197">
        <v>2619307682</v>
      </c>
      <c r="C182" s="197" t="s">
        <v>1923</v>
      </c>
      <c r="D182" s="197" t="s">
        <v>79</v>
      </c>
      <c r="E182" s="197" t="s">
        <v>35</v>
      </c>
      <c r="F182" s="197" t="s">
        <v>2063</v>
      </c>
      <c r="G182" s="197">
        <v>104</v>
      </c>
      <c r="H182" s="197" t="s">
        <v>208</v>
      </c>
      <c r="I182" s="197" t="s">
        <v>314</v>
      </c>
      <c r="J182" s="205" t="s">
        <v>1915</v>
      </c>
      <c r="K182" s="197" t="s">
        <v>200</v>
      </c>
      <c r="L182" s="203">
        <v>46150.376388888886</v>
      </c>
      <c r="M182" s="203">
        <v>46150.377083333333</v>
      </c>
      <c r="N182" s="197" t="s">
        <v>288</v>
      </c>
      <c r="O182" s="152" t="s">
        <v>207</v>
      </c>
      <c r="P182" s="90"/>
      <c r="Q182" s="140" t="s">
        <v>207</v>
      </c>
      <c r="R182" s="90"/>
      <c r="S182" s="140" t="s">
        <v>207</v>
      </c>
      <c r="T182" s="90"/>
      <c r="U182" s="140" t="s">
        <v>207</v>
      </c>
      <c r="V182" s="90"/>
      <c r="W182" s="140" t="s">
        <v>207</v>
      </c>
      <c r="X182" s="90"/>
      <c r="Y182" s="140" t="s">
        <v>207</v>
      </c>
      <c r="Z182" s="177" t="str">
        <f t="shared" si="8"/>
        <v>C</v>
      </c>
      <c r="AA182" s="190" t="str">
        <f t="shared" si="7"/>
        <v>UTILIZOU O PDA CORRETAMENTE</v>
      </c>
      <c r="AB182" s="90"/>
      <c r="AC182" s="156" t="s">
        <v>36</v>
      </c>
      <c r="AD182" s="145" t="str">
        <f t="shared" si="9"/>
        <v>SÃO PAULO</v>
      </c>
      <c r="AE182" s="92" t="s">
        <v>79</v>
      </c>
    </row>
    <row r="183" spans="1:32" ht="30" customHeight="1">
      <c r="A183" s="197" t="s">
        <v>198</v>
      </c>
      <c r="B183" s="197">
        <v>2692786788</v>
      </c>
      <c r="C183" s="197" t="s">
        <v>143</v>
      </c>
      <c r="D183" s="197" t="s">
        <v>79</v>
      </c>
      <c r="E183" s="197" t="s">
        <v>35</v>
      </c>
      <c r="F183" s="197" t="s">
        <v>2064</v>
      </c>
      <c r="G183" s="197">
        <v>60</v>
      </c>
      <c r="H183" s="197" t="s">
        <v>2065</v>
      </c>
      <c r="I183" s="197" t="s">
        <v>392</v>
      </c>
      <c r="J183" s="205" t="s">
        <v>1915</v>
      </c>
      <c r="K183" s="197"/>
      <c r="L183" s="203">
        <v>46150.395138888889</v>
      </c>
      <c r="M183" s="203">
        <v>46150.400000000001</v>
      </c>
      <c r="N183" s="197" t="s">
        <v>1944</v>
      </c>
      <c r="O183" s="152" t="s">
        <v>207</v>
      </c>
      <c r="P183" s="90"/>
      <c r="Q183" s="140" t="s">
        <v>207</v>
      </c>
      <c r="R183" s="90"/>
      <c r="S183" s="140" t="s">
        <v>207</v>
      </c>
      <c r="T183" s="90"/>
      <c r="U183" s="140" t="s">
        <v>207</v>
      </c>
      <c r="V183" s="90"/>
      <c r="W183" s="140" t="s">
        <v>207</v>
      </c>
      <c r="X183" s="90"/>
      <c r="Y183" s="140" t="s">
        <v>207</v>
      </c>
      <c r="Z183" s="177" t="str">
        <f t="shared" si="8"/>
        <v>C</v>
      </c>
      <c r="AA183" s="190" t="str">
        <f t="shared" si="7"/>
        <v>UTILIZOU O PDA CORRETAMENTE</v>
      </c>
      <c r="AB183" s="90"/>
      <c r="AC183" s="156" t="s">
        <v>36</v>
      </c>
      <c r="AD183" s="145" t="str">
        <f t="shared" si="9"/>
        <v>SÃO PAULO</v>
      </c>
      <c r="AE183" s="92" t="s">
        <v>79</v>
      </c>
    </row>
    <row r="184" spans="1:32" ht="30" customHeight="1">
      <c r="A184" s="197" t="s">
        <v>198</v>
      </c>
      <c r="B184" s="197">
        <v>2692779976</v>
      </c>
      <c r="C184" s="197" t="s">
        <v>143</v>
      </c>
      <c r="D184" s="197" t="s">
        <v>79</v>
      </c>
      <c r="E184" s="197" t="s">
        <v>35</v>
      </c>
      <c r="F184" s="197" t="s">
        <v>2004</v>
      </c>
      <c r="G184" s="197">
        <v>320</v>
      </c>
      <c r="H184" s="197"/>
      <c r="I184" s="197" t="s">
        <v>417</v>
      </c>
      <c r="J184" s="205" t="s">
        <v>1943</v>
      </c>
      <c r="K184" s="197"/>
      <c r="L184" s="203">
        <v>46150.445833333331</v>
      </c>
      <c r="M184" s="203">
        <v>46150.445833333331</v>
      </c>
      <c r="N184" s="197" t="s">
        <v>1931</v>
      </c>
      <c r="O184" s="152" t="s">
        <v>207</v>
      </c>
      <c r="P184" s="90"/>
      <c r="Q184" s="140" t="s">
        <v>207</v>
      </c>
      <c r="R184" s="90"/>
      <c r="S184" s="140" t="s">
        <v>207</v>
      </c>
      <c r="T184" s="90"/>
      <c r="U184" s="140" t="s">
        <v>207</v>
      </c>
      <c r="V184" s="90"/>
      <c r="W184" s="140" t="s">
        <v>207</v>
      </c>
      <c r="X184" s="90"/>
      <c r="Y184" s="140" t="s">
        <v>207</v>
      </c>
      <c r="Z184" s="177" t="str">
        <f t="shared" si="8"/>
        <v>C</v>
      </c>
      <c r="AA184" s="190" t="str">
        <f t="shared" si="7"/>
        <v>UTILIZOU O PDA CORRETAMENTE</v>
      </c>
      <c r="AB184" s="90"/>
      <c r="AC184" s="156" t="s">
        <v>36</v>
      </c>
      <c r="AD184" s="145" t="str">
        <f t="shared" si="9"/>
        <v>SÃO PAULO</v>
      </c>
      <c r="AE184" s="92" t="s">
        <v>79</v>
      </c>
    </row>
    <row r="185" spans="1:32" ht="30" customHeight="1">
      <c r="A185" s="197" t="s">
        <v>198</v>
      </c>
      <c r="B185" s="197">
        <v>2619336402</v>
      </c>
      <c r="C185" s="197" t="s">
        <v>1923</v>
      </c>
      <c r="D185" s="197" t="s">
        <v>79</v>
      </c>
      <c r="E185" s="197" t="s">
        <v>35</v>
      </c>
      <c r="F185" s="197" t="s">
        <v>2044</v>
      </c>
      <c r="G185" s="197">
        <v>138</v>
      </c>
      <c r="H185" s="197" t="s">
        <v>200</v>
      </c>
      <c r="I185" s="197" t="s">
        <v>218</v>
      </c>
      <c r="J185" s="205" t="s">
        <v>1915</v>
      </c>
      <c r="K185" s="197" t="s">
        <v>200</v>
      </c>
      <c r="L185" s="203">
        <v>46150.438888888886</v>
      </c>
      <c r="M185" s="203">
        <v>46150.438888888886</v>
      </c>
      <c r="N185" s="197" t="s">
        <v>1944</v>
      </c>
      <c r="O185" s="152" t="s">
        <v>207</v>
      </c>
      <c r="P185" s="90"/>
      <c r="Q185" s="140" t="s">
        <v>207</v>
      </c>
      <c r="R185" s="90"/>
      <c r="S185" s="140" t="s">
        <v>207</v>
      </c>
      <c r="T185" s="90"/>
      <c r="U185" s="140" t="s">
        <v>207</v>
      </c>
      <c r="V185" s="90"/>
      <c r="W185" s="140" t="s">
        <v>207</v>
      </c>
      <c r="X185" s="90"/>
      <c r="Y185" s="140" t="s">
        <v>207</v>
      </c>
      <c r="Z185" s="177" t="str">
        <f t="shared" si="8"/>
        <v>C</v>
      </c>
      <c r="AA185" s="190" t="str">
        <f t="shared" si="7"/>
        <v>UTILIZOU O PDA CORRETAMENTE</v>
      </c>
      <c r="AB185" s="90"/>
      <c r="AC185" s="156" t="s">
        <v>36</v>
      </c>
      <c r="AD185" s="145" t="str">
        <f t="shared" si="9"/>
        <v>SÃO PAULO</v>
      </c>
      <c r="AE185" s="92" t="s">
        <v>79</v>
      </c>
    </row>
    <row r="186" spans="1:32" ht="30" customHeight="1">
      <c r="A186" s="197" t="s">
        <v>198</v>
      </c>
      <c r="B186" s="197">
        <v>2619353662</v>
      </c>
      <c r="C186" s="197" t="s">
        <v>1923</v>
      </c>
      <c r="D186" s="197" t="s">
        <v>79</v>
      </c>
      <c r="E186" s="197" t="s">
        <v>35</v>
      </c>
      <c r="F186" s="197" t="s">
        <v>2066</v>
      </c>
      <c r="G186" s="197">
        <v>29</v>
      </c>
      <c r="H186" s="197"/>
      <c r="I186" s="197" t="s">
        <v>326</v>
      </c>
      <c r="J186" s="205" t="s">
        <v>1915</v>
      </c>
      <c r="K186" s="197"/>
      <c r="L186" s="203">
        <v>46150.504166666666</v>
      </c>
      <c r="M186" s="203">
        <v>46150.504861111112</v>
      </c>
      <c r="N186" s="197" t="s">
        <v>1944</v>
      </c>
      <c r="O186" s="152" t="s">
        <v>207</v>
      </c>
      <c r="P186" s="90"/>
      <c r="Q186" s="140" t="s">
        <v>207</v>
      </c>
      <c r="R186" s="90"/>
      <c r="S186" s="140" t="s">
        <v>207</v>
      </c>
      <c r="T186" s="90"/>
      <c r="U186" s="140" t="s">
        <v>207</v>
      </c>
      <c r="V186" s="90"/>
      <c r="W186" s="140" t="s">
        <v>207</v>
      </c>
      <c r="X186" s="90"/>
      <c r="Y186" s="140" t="s">
        <v>207</v>
      </c>
      <c r="Z186" s="177" t="str">
        <f t="shared" si="8"/>
        <v>C</v>
      </c>
      <c r="AA186" s="190" t="str">
        <f t="shared" si="7"/>
        <v>UTILIZOU O PDA CORRETAMENTE</v>
      </c>
      <c r="AB186" s="90"/>
      <c r="AC186" s="156" t="s">
        <v>36</v>
      </c>
      <c r="AD186" s="145" t="str">
        <f t="shared" si="9"/>
        <v>SÃO PAULO</v>
      </c>
      <c r="AE186" s="92" t="s">
        <v>79</v>
      </c>
    </row>
    <row r="187" spans="1:32" ht="30" customHeight="1">
      <c r="A187" s="197" t="s">
        <v>198</v>
      </c>
      <c r="B187" s="197">
        <v>2619359660</v>
      </c>
      <c r="C187" s="197" t="s">
        <v>1923</v>
      </c>
      <c r="D187" s="197" t="s">
        <v>79</v>
      </c>
      <c r="E187" s="197" t="s">
        <v>35</v>
      </c>
      <c r="F187" s="197" t="s">
        <v>547</v>
      </c>
      <c r="G187" s="197">
        <v>759</v>
      </c>
      <c r="H187" s="197" t="s">
        <v>200</v>
      </c>
      <c r="I187" s="197" t="s">
        <v>548</v>
      </c>
      <c r="J187" s="205" t="s">
        <v>1915</v>
      </c>
      <c r="K187" s="197" t="s">
        <v>200</v>
      </c>
      <c r="L187" s="203">
        <v>46150.672222222223</v>
      </c>
      <c r="M187" s="203">
        <v>46150.67291666667</v>
      </c>
      <c r="N187" s="197" t="s">
        <v>1925</v>
      </c>
      <c r="O187" s="152" t="s">
        <v>207</v>
      </c>
      <c r="P187" s="90"/>
      <c r="Q187" s="140" t="s">
        <v>207</v>
      </c>
      <c r="R187" s="90"/>
      <c r="S187" s="140" t="s">
        <v>207</v>
      </c>
      <c r="T187" s="90"/>
      <c r="U187" s="140" t="s">
        <v>207</v>
      </c>
      <c r="V187" s="90"/>
      <c r="W187" s="140" t="s">
        <v>207</v>
      </c>
      <c r="X187" s="90"/>
      <c r="Y187" s="140" t="s">
        <v>207</v>
      </c>
      <c r="Z187" s="177" t="str">
        <f t="shared" si="8"/>
        <v>C</v>
      </c>
      <c r="AA187" s="190" t="str">
        <f t="shared" si="7"/>
        <v>UTILIZOU O PDA CORRETAMENTE</v>
      </c>
      <c r="AB187" s="90"/>
      <c r="AC187" s="156" t="s">
        <v>36</v>
      </c>
      <c r="AD187" s="145" t="str">
        <f t="shared" si="9"/>
        <v>SÃO PAULO</v>
      </c>
      <c r="AE187" s="92" t="s">
        <v>79</v>
      </c>
    </row>
    <row r="188" spans="1:32" ht="30" customHeight="1">
      <c r="A188" s="197" t="s">
        <v>198</v>
      </c>
      <c r="B188" s="197">
        <v>2619341809</v>
      </c>
      <c r="C188" s="197" t="s">
        <v>143</v>
      </c>
      <c r="D188" s="197" t="s">
        <v>79</v>
      </c>
      <c r="E188" s="197" t="s">
        <v>35</v>
      </c>
      <c r="F188" s="197" t="s">
        <v>2067</v>
      </c>
      <c r="G188" s="197">
        <v>101</v>
      </c>
      <c r="H188" s="197" t="s">
        <v>380</v>
      </c>
      <c r="I188" s="197" t="s">
        <v>293</v>
      </c>
      <c r="J188" s="205" t="s">
        <v>1915</v>
      </c>
      <c r="K188" s="197"/>
      <c r="L188" s="203">
        <v>46151.211111111108</v>
      </c>
      <c r="M188" s="203">
        <v>46151.214583333334</v>
      </c>
      <c r="N188" s="197" t="s">
        <v>1925</v>
      </c>
      <c r="O188" s="152" t="s">
        <v>207</v>
      </c>
      <c r="P188" s="90"/>
      <c r="Q188" s="140" t="s">
        <v>207</v>
      </c>
      <c r="R188" s="90"/>
      <c r="S188" s="140" t="s">
        <v>207</v>
      </c>
      <c r="T188" s="90"/>
      <c r="U188" s="140" t="s">
        <v>207</v>
      </c>
      <c r="V188" s="90"/>
      <c r="W188" s="140" t="s">
        <v>207</v>
      </c>
      <c r="X188" s="90"/>
      <c r="Y188" s="140" t="s">
        <v>207</v>
      </c>
      <c r="Z188" s="177" t="str">
        <f t="shared" si="8"/>
        <v>C</v>
      </c>
      <c r="AA188" s="190" t="str">
        <f t="shared" si="7"/>
        <v>UTILIZOU O PDA CORRETAMENTE</v>
      </c>
      <c r="AB188" s="90"/>
      <c r="AC188" s="156" t="s">
        <v>36</v>
      </c>
      <c r="AD188" s="145" t="str">
        <f t="shared" si="9"/>
        <v>SÃO PAULO</v>
      </c>
      <c r="AE188" s="92" t="s">
        <v>79</v>
      </c>
    </row>
    <row r="189" spans="1:32" ht="30" customHeight="1">
      <c r="A189" s="197" t="s">
        <v>198</v>
      </c>
      <c r="B189" s="197">
        <v>2619353811</v>
      </c>
      <c r="C189" s="197" t="s">
        <v>143</v>
      </c>
      <c r="D189" s="197" t="s">
        <v>79</v>
      </c>
      <c r="E189" s="197" t="s">
        <v>35</v>
      </c>
      <c r="F189" s="197" t="s">
        <v>2068</v>
      </c>
      <c r="G189" s="197">
        <v>134</v>
      </c>
      <c r="H189" s="197" t="s">
        <v>205</v>
      </c>
      <c r="I189" s="197" t="s">
        <v>322</v>
      </c>
      <c r="J189" s="205" t="s">
        <v>1915</v>
      </c>
      <c r="K189" s="197" t="s">
        <v>200</v>
      </c>
      <c r="L189" s="203">
        <v>46151.301388888889</v>
      </c>
      <c r="M189" s="203">
        <v>46151.303472222222</v>
      </c>
      <c r="N189" s="197" t="s">
        <v>1919</v>
      </c>
      <c r="O189" s="152" t="s">
        <v>207</v>
      </c>
      <c r="P189" s="90"/>
      <c r="Q189" s="140" t="s">
        <v>207</v>
      </c>
      <c r="R189" s="90"/>
      <c r="S189" s="140" t="s">
        <v>207</v>
      </c>
      <c r="T189" s="90"/>
      <c r="U189" s="140" t="s">
        <v>207</v>
      </c>
      <c r="V189" s="90"/>
      <c r="W189" s="140" t="s">
        <v>207</v>
      </c>
      <c r="X189" s="90"/>
      <c r="Y189" s="140" t="s">
        <v>207</v>
      </c>
      <c r="Z189" s="177" t="str">
        <f t="shared" si="8"/>
        <v>C</v>
      </c>
      <c r="AA189" s="190" t="str">
        <f t="shared" si="7"/>
        <v>UTILIZOU O PDA CORRETAMENTE</v>
      </c>
      <c r="AB189" s="90"/>
      <c r="AC189" s="156" t="s">
        <v>36</v>
      </c>
      <c r="AD189" s="145" t="str">
        <f t="shared" si="9"/>
        <v>SÃO PAULO</v>
      </c>
      <c r="AE189" s="92" t="s">
        <v>79</v>
      </c>
    </row>
    <row r="190" spans="1:32" ht="30" customHeight="1">
      <c r="A190" s="197" t="s">
        <v>198</v>
      </c>
      <c r="B190" s="197">
        <v>2619364321</v>
      </c>
      <c r="C190" s="197" t="s">
        <v>143</v>
      </c>
      <c r="D190" s="197" t="s">
        <v>79</v>
      </c>
      <c r="E190" s="197" t="s">
        <v>35</v>
      </c>
      <c r="F190" s="197" t="s">
        <v>2069</v>
      </c>
      <c r="G190" s="197">
        <v>62</v>
      </c>
      <c r="H190" s="197"/>
      <c r="I190" s="197" t="s">
        <v>259</v>
      </c>
      <c r="J190" s="205" t="s">
        <v>1915</v>
      </c>
      <c r="K190" s="197"/>
      <c r="L190" s="203">
        <v>46151.427083333336</v>
      </c>
      <c r="M190" s="203">
        <v>46151.442361111112</v>
      </c>
      <c r="N190" s="197" t="s">
        <v>1925</v>
      </c>
      <c r="O190" s="152" t="s">
        <v>207</v>
      </c>
      <c r="P190" s="90"/>
      <c r="Q190" s="140" t="s">
        <v>207</v>
      </c>
      <c r="R190" s="90"/>
      <c r="S190" s="140" t="s">
        <v>207</v>
      </c>
      <c r="T190" s="90"/>
      <c r="U190" s="140" t="s">
        <v>207</v>
      </c>
      <c r="V190" s="90"/>
      <c r="W190" s="140" t="s">
        <v>207</v>
      </c>
      <c r="X190" s="90"/>
      <c r="Y190" s="140" t="s">
        <v>207</v>
      </c>
      <c r="Z190" s="177" t="str">
        <f t="shared" si="8"/>
        <v>C</v>
      </c>
      <c r="AA190" s="190" t="str">
        <f t="shared" si="7"/>
        <v>UTILIZOU O PDA CORRETAMENTE</v>
      </c>
      <c r="AB190" s="90"/>
      <c r="AC190" s="156" t="s">
        <v>36</v>
      </c>
      <c r="AD190" s="145" t="str">
        <f t="shared" si="9"/>
        <v>SÃO PAULO</v>
      </c>
      <c r="AE190" s="92" t="s">
        <v>79</v>
      </c>
    </row>
    <row r="191" spans="1:32" ht="30" customHeight="1">
      <c r="A191" s="197" t="s">
        <v>198</v>
      </c>
      <c r="B191" s="197">
        <v>2619378997</v>
      </c>
      <c r="C191" s="197" t="s">
        <v>1923</v>
      </c>
      <c r="D191" s="197" t="s">
        <v>79</v>
      </c>
      <c r="E191" s="197" t="s">
        <v>35</v>
      </c>
      <c r="F191" s="197" t="s">
        <v>602</v>
      </c>
      <c r="G191" s="197">
        <v>743</v>
      </c>
      <c r="H191" s="197" t="s">
        <v>255</v>
      </c>
      <c r="I191" s="197" t="s">
        <v>603</v>
      </c>
      <c r="J191" s="205" t="s">
        <v>1915</v>
      </c>
      <c r="K191" s="197" t="s">
        <v>2060</v>
      </c>
      <c r="L191" s="203">
        <v>46151.5625</v>
      </c>
      <c r="M191" s="203">
        <v>46151.56527777778</v>
      </c>
      <c r="N191" s="197" t="s">
        <v>1925</v>
      </c>
      <c r="O191" s="152" t="s">
        <v>207</v>
      </c>
      <c r="P191" s="90"/>
      <c r="Q191" s="140" t="s">
        <v>207</v>
      </c>
      <c r="R191" s="90"/>
      <c r="S191" s="140" t="s">
        <v>207</v>
      </c>
      <c r="T191" s="90"/>
      <c r="U191" s="140" t="s">
        <v>207</v>
      </c>
      <c r="V191" s="90"/>
      <c r="W191" s="140" t="s">
        <v>207</v>
      </c>
      <c r="X191" s="90"/>
      <c r="Y191" s="140" t="s">
        <v>207</v>
      </c>
      <c r="Z191" s="177" t="str">
        <f t="shared" si="8"/>
        <v>C</v>
      </c>
      <c r="AA191" s="190" t="str">
        <f t="shared" si="7"/>
        <v>UTILIZOU O PDA CORRETAMENTE</v>
      </c>
      <c r="AB191" s="90"/>
      <c r="AC191" s="156" t="s">
        <v>36</v>
      </c>
      <c r="AD191" s="145" t="str">
        <f t="shared" si="9"/>
        <v>SÃO PAULO</v>
      </c>
      <c r="AE191" s="92" t="s">
        <v>79</v>
      </c>
    </row>
    <row r="192" spans="1:32" ht="30" customHeight="1">
      <c r="A192" s="197" t="s">
        <v>198</v>
      </c>
      <c r="B192" s="197">
        <v>2619358797</v>
      </c>
      <c r="C192" s="197" t="s">
        <v>1923</v>
      </c>
      <c r="D192" s="197" t="s">
        <v>79</v>
      </c>
      <c r="E192" s="197" t="s">
        <v>35</v>
      </c>
      <c r="F192" s="197" t="s">
        <v>2070</v>
      </c>
      <c r="G192" s="197">
        <v>93</v>
      </c>
      <c r="H192" s="197"/>
      <c r="I192" s="197" t="s">
        <v>357</v>
      </c>
      <c r="J192" s="205" t="s">
        <v>1915</v>
      </c>
      <c r="K192" s="197"/>
      <c r="L192" s="203">
        <v>46151.259722222225</v>
      </c>
      <c r="M192" s="203">
        <v>46151.265972222223</v>
      </c>
      <c r="N192" s="197" t="s">
        <v>1919</v>
      </c>
      <c r="O192" s="152" t="s">
        <v>207</v>
      </c>
      <c r="P192" s="90"/>
      <c r="Q192" s="140" t="s">
        <v>207</v>
      </c>
      <c r="R192" s="90"/>
      <c r="S192" s="140" t="s">
        <v>207</v>
      </c>
      <c r="T192" s="90"/>
      <c r="U192" s="140" t="s">
        <v>207</v>
      </c>
      <c r="V192" s="90"/>
      <c r="W192" s="140" t="s">
        <v>207</v>
      </c>
      <c r="X192" s="90"/>
      <c r="Y192" s="140" t="s">
        <v>207</v>
      </c>
      <c r="Z192" s="177" t="str">
        <f t="shared" si="8"/>
        <v>C</v>
      </c>
      <c r="AA192" s="190" t="str">
        <f t="shared" si="7"/>
        <v>UTILIZOU O PDA CORRETAMENTE</v>
      </c>
      <c r="AB192" s="90"/>
      <c r="AC192" s="156" t="s">
        <v>36</v>
      </c>
      <c r="AD192" s="145" t="str">
        <f t="shared" si="9"/>
        <v>SÃO PAULO</v>
      </c>
      <c r="AE192" s="92" t="s">
        <v>79</v>
      </c>
    </row>
    <row r="193" spans="1:31" ht="30" customHeight="1">
      <c r="A193" s="197" t="s">
        <v>198</v>
      </c>
      <c r="B193" s="197">
        <v>2619301425</v>
      </c>
      <c r="C193" s="197" t="s">
        <v>147</v>
      </c>
      <c r="D193" s="197" t="s">
        <v>79</v>
      </c>
      <c r="E193" s="197" t="s">
        <v>35</v>
      </c>
      <c r="F193" s="197" t="s">
        <v>2071</v>
      </c>
      <c r="G193" s="197">
        <v>365</v>
      </c>
      <c r="H193" s="197"/>
      <c r="I193" s="197" t="s">
        <v>2072</v>
      </c>
      <c r="J193" s="205" t="s">
        <v>1943</v>
      </c>
      <c r="K193" s="197"/>
      <c r="L193" s="203">
        <v>46151.308333333334</v>
      </c>
      <c r="M193" s="203">
        <v>46151.31527777778</v>
      </c>
      <c r="N193" s="197" t="s">
        <v>206</v>
      </c>
      <c r="O193" s="152" t="s">
        <v>207</v>
      </c>
      <c r="P193" s="90"/>
      <c r="Q193" s="140" t="s">
        <v>207</v>
      </c>
      <c r="R193" s="90"/>
      <c r="S193" s="140" t="s">
        <v>207</v>
      </c>
      <c r="T193" s="90"/>
      <c r="U193" s="140" t="s">
        <v>207</v>
      </c>
      <c r="V193" s="90"/>
      <c r="W193" s="140" t="s">
        <v>207</v>
      </c>
      <c r="X193" s="90"/>
      <c r="Y193" s="140" t="s">
        <v>207</v>
      </c>
      <c r="Z193" s="177" t="str">
        <f t="shared" si="8"/>
        <v>C</v>
      </c>
      <c r="AA193" s="190" t="str">
        <f t="shared" si="7"/>
        <v>UTILIZOU O PDA CORRETAMENTE</v>
      </c>
      <c r="AB193" s="90"/>
      <c r="AC193" s="156" t="s">
        <v>36</v>
      </c>
      <c r="AD193" s="145" t="str">
        <f t="shared" si="9"/>
        <v>SÃO PAULO</v>
      </c>
      <c r="AE193" s="92" t="s">
        <v>79</v>
      </c>
    </row>
    <row r="194" spans="1:31" ht="30" customHeight="1">
      <c r="A194" s="197" t="s">
        <v>198</v>
      </c>
      <c r="B194" s="197">
        <v>2619346761</v>
      </c>
      <c r="C194" s="197" t="s">
        <v>146</v>
      </c>
      <c r="D194" s="197" t="s">
        <v>79</v>
      </c>
      <c r="E194" s="197" t="s">
        <v>35</v>
      </c>
      <c r="F194" s="197" t="s">
        <v>1809</v>
      </c>
      <c r="G194" s="197">
        <v>32</v>
      </c>
      <c r="H194" s="197" t="s">
        <v>205</v>
      </c>
      <c r="I194" s="197" t="s">
        <v>359</v>
      </c>
      <c r="J194" s="205" t="s">
        <v>1943</v>
      </c>
      <c r="K194" s="197"/>
      <c r="L194" s="203">
        <v>46151.222916666666</v>
      </c>
      <c r="M194" s="203">
        <v>46151.229166666664</v>
      </c>
      <c r="N194" s="197" t="s">
        <v>206</v>
      </c>
      <c r="O194" s="152" t="s">
        <v>207</v>
      </c>
      <c r="P194" s="90"/>
      <c r="Q194" s="140" t="s">
        <v>207</v>
      </c>
      <c r="R194" s="90"/>
      <c r="S194" s="140" t="s">
        <v>207</v>
      </c>
      <c r="T194" s="90"/>
      <c r="U194" s="140" t="s">
        <v>207</v>
      </c>
      <c r="V194" s="90"/>
      <c r="W194" s="140" t="s">
        <v>207</v>
      </c>
      <c r="X194" s="90"/>
      <c r="Y194" s="140" t="s">
        <v>207</v>
      </c>
      <c r="Z194" s="177" t="str">
        <f t="shared" si="8"/>
        <v>C</v>
      </c>
      <c r="AA194" s="190" t="str">
        <f t="shared" ref="AA194:AA257" si="10">IF(AND(Y194="C",Z194="C"),"UTILIZOU O PDA CORRETAMENTE",IF(AND(Y194="C",Z194="NC"),"UTILIZOU O PDA CORRETAMENTE. NÃO HÁ FOTOS DE TODAS AS ETAPAS",IF(AND(Y194="NC",Z194="NC"),"NÃO UTILIZOU O PDA",IF(AND(Y194="NA",Z194="NA"),"NÃO AVALIADO POR FALHA DE SINCRONISMO"))))</f>
        <v>UTILIZOU O PDA CORRETAMENTE</v>
      </c>
      <c r="AB194" s="90"/>
      <c r="AC194" s="156" t="s">
        <v>36</v>
      </c>
      <c r="AD194" s="145" t="str">
        <f t="shared" si="9"/>
        <v>SÃO PAULO</v>
      </c>
      <c r="AE194" s="92" t="s">
        <v>79</v>
      </c>
    </row>
    <row r="195" spans="1:31" ht="30" customHeight="1">
      <c r="A195" s="197" t="s">
        <v>198</v>
      </c>
      <c r="B195" s="197">
        <v>2692835279</v>
      </c>
      <c r="C195" s="197" t="s">
        <v>143</v>
      </c>
      <c r="D195" s="197" t="s">
        <v>79</v>
      </c>
      <c r="E195" s="197" t="s">
        <v>35</v>
      </c>
      <c r="F195" s="197" t="s">
        <v>2073</v>
      </c>
      <c r="G195" s="197">
        <v>54</v>
      </c>
      <c r="H195" s="197" t="s">
        <v>200</v>
      </c>
      <c r="I195" s="197" t="s">
        <v>497</v>
      </c>
      <c r="J195" s="205" t="s">
        <v>1943</v>
      </c>
      <c r="K195" s="197" t="s">
        <v>200</v>
      </c>
      <c r="L195" s="203">
        <v>46151.493055555555</v>
      </c>
      <c r="M195" s="203">
        <v>46151.507638888892</v>
      </c>
      <c r="N195" s="197" t="s">
        <v>206</v>
      </c>
      <c r="O195" s="152" t="s">
        <v>207</v>
      </c>
      <c r="P195" s="90"/>
      <c r="Q195" s="140" t="s">
        <v>207</v>
      </c>
      <c r="R195" s="90"/>
      <c r="S195" s="140" t="s">
        <v>207</v>
      </c>
      <c r="T195" s="90"/>
      <c r="U195" s="140" t="s">
        <v>207</v>
      </c>
      <c r="V195" s="90"/>
      <c r="W195" s="140" t="s">
        <v>207</v>
      </c>
      <c r="X195" s="90"/>
      <c r="Y195" s="140" t="s">
        <v>207</v>
      </c>
      <c r="Z195" s="177" t="str">
        <f t="shared" ref="Z195:Z258" si="11">IF(AND(O195="",Q195="",S195="",U195="",W195=""),"",IF(OR(AND(O195&lt;&gt;"NA",O195&lt;&gt;"C",O195&lt;&gt;"NC",O195&lt;&gt;"SF",O195&lt;&gt;""),AND(Q195&lt;&gt;"NA",Q195&lt;&gt;"C",Q195&lt;&gt;"NC",Q195&lt;&gt;"SF",Q195&lt;&gt;""),AND(S195&lt;&gt;"NA",S195&lt;&gt;"C",S195&lt;&gt;"NC",S195&lt;&gt;"SF",S195&lt;&gt;""),AND(U195&lt;&gt;"NA",U195&lt;&gt;"C",U195&lt;&gt;"NC",U195&lt;&gt;"SF",U195&lt;&gt;""),AND(W195&lt;&gt;"NA",W195&lt;&gt;"C",W195&lt;&gt;"NC",W195&lt;&gt;"SF",W195&lt;&gt;"")),"FALSO",IF(AND(O195="NA",Q195="NA",S195="NA",U195="NA",W195="NA"),"NA",IF(OR(O195="NC",Q195="NC",S195="NC",U195="NC",W195="NC",O195="SF",Q195="SF",S195="SF",U195="SF",W195="SF"),"NC",IF(OR(O195="C",Q195="C",S195="C",U195="C",W195="C"),"C","")))))</f>
        <v>C</v>
      </c>
      <c r="AA195" s="190" t="str">
        <f t="shared" si="10"/>
        <v>UTILIZOU O PDA CORRETAMENTE</v>
      </c>
      <c r="AB195" s="90"/>
      <c r="AC195" s="156" t="s">
        <v>36</v>
      </c>
      <c r="AD195" s="145" t="str">
        <f t="shared" ref="AD195:AD258" si="12">E195</f>
        <v>SÃO PAULO</v>
      </c>
      <c r="AE195" s="92" t="s">
        <v>79</v>
      </c>
    </row>
    <row r="196" spans="1:31" ht="30" customHeight="1">
      <c r="A196" s="197" t="s">
        <v>198</v>
      </c>
      <c r="B196" s="197">
        <v>2619365219</v>
      </c>
      <c r="C196" s="197" t="s">
        <v>1923</v>
      </c>
      <c r="D196" s="197" t="s">
        <v>79</v>
      </c>
      <c r="E196" s="197" t="s">
        <v>35</v>
      </c>
      <c r="F196" s="197" t="s">
        <v>2074</v>
      </c>
      <c r="G196" s="197">
        <v>164</v>
      </c>
      <c r="H196" s="197" t="s">
        <v>200</v>
      </c>
      <c r="I196" s="197" t="s">
        <v>382</v>
      </c>
      <c r="J196" s="205" t="s">
        <v>1932</v>
      </c>
      <c r="K196" s="197" t="s">
        <v>200</v>
      </c>
      <c r="L196" s="203">
        <v>46151.172222222223</v>
      </c>
      <c r="M196" s="203">
        <v>46151.18472222222</v>
      </c>
      <c r="N196" s="197" t="s">
        <v>206</v>
      </c>
      <c r="O196" s="152" t="s">
        <v>207</v>
      </c>
      <c r="P196" s="90"/>
      <c r="Q196" s="140" t="s">
        <v>207</v>
      </c>
      <c r="R196" s="90"/>
      <c r="S196" s="140" t="s">
        <v>207</v>
      </c>
      <c r="T196" s="90"/>
      <c r="U196" s="140" t="s">
        <v>207</v>
      </c>
      <c r="V196" s="90"/>
      <c r="W196" s="140" t="s">
        <v>207</v>
      </c>
      <c r="X196" s="90"/>
      <c r="Y196" s="140" t="s">
        <v>207</v>
      </c>
      <c r="Z196" s="177" t="str">
        <f t="shared" si="11"/>
        <v>C</v>
      </c>
      <c r="AA196" s="190" t="str">
        <f t="shared" si="10"/>
        <v>UTILIZOU O PDA CORRETAMENTE</v>
      </c>
      <c r="AB196" s="90"/>
      <c r="AC196" s="156" t="s">
        <v>36</v>
      </c>
      <c r="AD196" s="145" t="str">
        <f t="shared" si="12"/>
        <v>SÃO PAULO</v>
      </c>
      <c r="AE196" s="92" t="s">
        <v>79</v>
      </c>
    </row>
    <row r="197" spans="1:31" ht="30" customHeight="1">
      <c r="A197" s="197" t="s">
        <v>198</v>
      </c>
      <c r="B197" s="197">
        <v>2619388734</v>
      </c>
      <c r="C197" s="197" t="s">
        <v>143</v>
      </c>
      <c r="D197" s="197" t="s">
        <v>79</v>
      </c>
      <c r="E197" s="197" t="s">
        <v>35</v>
      </c>
      <c r="F197" s="197" t="s">
        <v>1636</v>
      </c>
      <c r="G197" s="197">
        <v>503</v>
      </c>
      <c r="H197" s="197" t="s">
        <v>205</v>
      </c>
      <c r="I197" s="197" t="s">
        <v>675</v>
      </c>
      <c r="J197" s="205" t="s">
        <v>1943</v>
      </c>
      <c r="K197" s="197"/>
      <c r="L197" s="203">
        <v>46151.287499999999</v>
      </c>
      <c r="M197" s="203">
        <v>46151.293749999997</v>
      </c>
      <c r="N197" s="197" t="s">
        <v>206</v>
      </c>
      <c r="O197" s="152" t="s">
        <v>207</v>
      </c>
      <c r="P197" s="90"/>
      <c r="Q197" s="140" t="s">
        <v>207</v>
      </c>
      <c r="R197" s="90"/>
      <c r="S197" s="140" t="s">
        <v>207</v>
      </c>
      <c r="T197" s="90"/>
      <c r="U197" s="140" t="s">
        <v>207</v>
      </c>
      <c r="V197" s="90"/>
      <c r="W197" s="140" t="s">
        <v>207</v>
      </c>
      <c r="X197" s="90"/>
      <c r="Y197" s="140" t="s">
        <v>207</v>
      </c>
      <c r="Z197" s="177" t="str">
        <f t="shared" si="11"/>
        <v>C</v>
      </c>
      <c r="AA197" s="190" t="str">
        <f t="shared" si="10"/>
        <v>UTILIZOU O PDA CORRETAMENTE</v>
      </c>
      <c r="AB197" s="90"/>
      <c r="AC197" s="156" t="s">
        <v>36</v>
      </c>
      <c r="AD197" s="145" t="str">
        <f t="shared" si="12"/>
        <v>SÃO PAULO</v>
      </c>
      <c r="AE197" s="92" t="s">
        <v>79</v>
      </c>
    </row>
    <row r="198" spans="1:31" ht="30" customHeight="1">
      <c r="A198" s="197" t="s">
        <v>198</v>
      </c>
      <c r="B198" s="197">
        <v>2692871939</v>
      </c>
      <c r="C198" s="197" t="s">
        <v>143</v>
      </c>
      <c r="D198" s="197" t="s">
        <v>79</v>
      </c>
      <c r="E198" s="197" t="s">
        <v>35</v>
      </c>
      <c r="F198" s="197" t="s">
        <v>2075</v>
      </c>
      <c r="G198" s="197">
        <v>142</v>
      </c>
      <c r="H198" s="197" t="s">
        <v>205</v>
      </c>
      <c r="I198" s="197" t="s">
        <v>417</v>
      </c>
      <c r="J198" s="205" t="s">
        <v>1932</v>
      </c>
      <c r="K198" s="197" t="s">
        <v>200</v>
      </c>
      <c r="L198" s="203">
        <v>46151.408333333333</v>
      </c>
      <c r="M198" s="203">
        <v>46151.418055555558</v>
      </c>
      <c r="N198" s="197" t="s">
        <v>206</v>
      </c>
      <c r="O198" s="152" t="s">
        <v>207</v>
      </c>
      <c r="P198" s="90"/>
      <c r="Q198" s="140" t="s">
        <v>207</v>
      </c>
      <c r="R198" s="90"/>
      <c r="S198" s="140" t="s">
        <v>207</v>
      </c>
      <c r="T198" s="90"/>
      <c r="U198" s="140" t="s">
        <v>207</v>
      </c>
      <c r="V198" s="90"/>
      <c r="W198" s="140" t="s">
        <v>207</v>
      </c>
      <c r="X198" s="90"/>
      <c r="Y198" s="140" t="s">
        <v>207</v>
      </c>
      <c r="Z198" s="177" t="str">
        <f t="shared" si="11"/>
        <v>C</v>
      </c>
      <c r="AA198" s="190" t="str">
        <f t="shared" si="10"/>
        <v>UTILIZOU O PDA CORRETAMENTE</v>
      </c>
      <c r="AB198" s="90"/>
      <c r="AC198" s="156" t="s">
        <v>36</v>
      </c>
      <c r="AD198" s="145" t="str">
        <f t="shared" si="12"/>
        <v>SÃO PAULO</v>
      </c>
      <c r="AE198" s="92" t="s">
        <v>79</v>
      </c>
    </row>
    <row r="199" spans="1:31" ht="30" customHeight="1">
      <c r="A199" s="197" t="s">
        <v>198</v>
      </c>
      <c r="B199" s="197">
        <v>2619466758</v>
      </c>
      <c r="C199" s="197" t="s">
        <v>149</v>
      </c>
      <c r="D199" s="197" t="s">
        <v>140</v>
      </c>
      <c r="E199" s="197" t="s">
        <v>35</v>
      </c>
      <c r="F199" s="197" t="s">
        <v>590</v>
      </c>
      <c r="G199" s="197">
        <v>259</v>
      </c>
      <c r="H199" s="197" t="s">
        <v>200</v>
      </c>
      <c r="I199" s="197" t="s">
        <v>591</v>
      </c>
      <c r="J199" s="205" t="s">
        <v>1918</v>
      </c>
      <c r="K199" s="197" t="s">
        <v>2076</v>
      </c>
      <c r="L199" s="203">
        <v>46151.122916666667</v>
      </c>
      <c r="M199" s="203">
        <v>46151.126388888886</v>
      </c>
      <c r="N199" s="197" t="s">
        <v>364</v>
      </c>
      <c r="O199" s="152" t="s">
        <v>207</v>
      </c>
      <c r="P199" s="90"/>
      <c r="Q199" s="140" t="s">
        <v>207</v>
      </c>
      <c r="R199" s="90"/>
      <c r="S199" s="140" t="s">
        <v>207</v>
      </c>
      <c r="T199" s="90"/>
      <c r="U199" s="140" t="s">
        <v>207</v>
      </c>
      <c r="V199" s="90"/>
      <c r="W199" s="140" t="s">
        <v>207</v>
      </c>
      <c r="X199" s="90"/>
      <c r="Y199" s="140" t="s">
        <v>207</v>
      </c>
      <c r="Z199" s="177" t="str">
        <f t="shared" si="11"/>
        <v>C</v>
      </c>
      <c r="AA199" s="190" t="str">
        <f t="shared" si="10"/>
        <v>UTILIZOU O PDA CORRETAMENTE</v>
      </c>
      <c r="AB199" s="90"/>
      <c r="AC199" s="156" t="s">
        <v>36</v>
      </c>
      <c r="AD199" s="145" t="str">
        <f t="shared" si="12"/>
        <v>SÃO PAULO</v>
      </c>
      <c r="AE199" s="92" t="s">
        <v>79</v>
      </c>
    </row>
    <row r="200" spans="1:31" ht="30" customHeight="1">
      <c r="A200" s="197" t="s">
        <v>198</v>
      </c>
      <c r="B200" s="197">
        <v>2619486064</v>
      </c>
      <c r="C200" s="197" t="s">
        <v>149</v>
      </c>
      <c r="D200" s="197" t="s">
        <v>140</v>
      </c>
      <c r="E200" s="197" t="s">
        <v>35</v>
      </c>
      <c r="F200" s="197" t="s">
        <v>354</v>
      </c>
      <c r="G200" s="197">
        <v>246</v>
      </c>
      <c r="H200" s="197" t="s">
        <v>205</v>
      </c>
      <c r="I200" s="197" t="s">
        <v>355</v>
      </c>
      <c r="J200" s="205" t="s">
        <v>1918</v>
      </c>
      <c r="K200" s="197"/>
      <c r="L200" s="203">
        <v>46151.518750000003</v>
      </c>
      <c r="M200" s="203">
        <v>46151.519444444442</v>
      </c>
      <c r="N200" s="197" t="s">
        <v>1925</v>
      </c>
      <c r="O200" s="152" t="s">
        <v>207</v>
      </c>
      <c r="P200" s="90"/>
      <c r="Q200" s="140" t="s">
        <v>207</v>
      </c>
      <c r="R200" s="90"/>
      <c r="S200" s="140" t="s">
        <v>207</v>
      </c>
      <c r="T200" s="90"/>
      <c r="U200" s="140" t="s">
        <v>207</v>
      </c>
      <c r="V200" s="90"/>
      <c r="W200" s="140" t="s">
        <v>207</v>
      </c>
      <c r="X200" s="90"/>
      <c r="Y200" s="140" t="s">
        <v>207</v>
      </c>
      <c r="Z200" s="177" t="str">
        <f t="shared" si="11"/>
        <v>C</v>
      </c>
      <c r="AA200" s="190" t="str">
        <f t="shared" si="10"/>
        <v>UTILIZOU O PDA CORRETAMENTE</v>
      </c>
      <c r="AB200" s="90"/>
      <c r="AC200" s="156" t="s">
        <v>36</v>
      </c>
      <c r="AD200" s="145" t="str">
        <f t="shared" si="12"/>
        <v>SÃO PAULO</v>
      </c>
      <c r="AE200" s="92" t="s">
        <v>79</v>
      </c>
    </row>
    <row r="201" spans="1:31" ht="30" customHeight="1">
      <c r="A201" s="197" t="s">
        <v>198</v>
      </c>
      <c r="B201" s="197">
        <v>2619484915</v>
      </c>
      <c r="C201" s="197" t="s">
        <v>1923</v>
      </c>
      <c r="D201" s="197" t="s">
        <v>79</v>
      </c>
      <c r="E201" s="197" t="s">
        <v>35</v>
      </c>
      <c r="F201" s="197" t="s">
        <v>2077</v>
      </c>
      <c r="G201" s="197">
        <v>229</v>
      </c>
      <c r="H201" s="197" t="s">
        <v>200</v>
      </c>
      <c r="I201" s="197" t="s">
        <v>355</v>
      </c>
      <c r="J201" s="205" t="s">
        <v>1943</v>
      </c>
      <c r="K201" s="197" t="s">
        <v>200</v>
      </c>
      <c r="L201" s="203">
        <v>46151.563888888886</v>
      </c>
      <c r="M201" s="203">
        <v>46151.564583333333</v>
      </c>
      <c r="N201" s="197" t="s">
        <v>1925</v>
      </c>
      <c r="O201" s="152" t="s">
        <v>207</v>
      </c>
      <c r="P201" s="90"/>
      <c r="Q201" s="140" t="s">
        <v>207</v>
      </c>
      <c r="R201" s="90"/>
      <c r="S201" s="140" t="s">
        <v>207</v>
      </c>
      <c r="T201" s="90"/>
      <c r="U201" s="140" t="s">
        <v>207</v>
      </c>
      <c r="V201" s="90"/>
      <c r="W201" s="140" t="s">
        <v>207</v>
      </c>
      <c r="X201" s="90"/>
      <c r="Y201" s="140" t="s">
        <v>207</v>
      </c>
      <c r="Z201" s="177" t="str">
        <f t="shared" si="11"/>
        <v>C</v>
      </c>
      <c r="AA201" s="190" t="str">
        <f t="shared" si="10"/>
        <v>UTILIZOU O PDA CORRETAMENTE</v>
      </c>
      <c r="AB201" s="90"/>
      <c r="AC201" s="156" t="s">
        <v>36</v>
      </c>
      <c r="AD201" s="145" t="str">
        <f t="shared" si="12"/>
        <v>SÃO PAULO</v>
      </c>
      <c r="AE201" s="92" t="s">
        <v>79</v>
      </c>
    </row>
    <row r="202" spans="1:31" ht="30" customHeight="1">
      <c r="A202" s="197" t="s">
        <v>198</v>
      </c>
      <c r="B202" s="197">
        <v>2619509020</v>
      </c>
      <c r="C202" s="197" t="s">
        <v>1923</v>
      </c>
      <c r="D202" s="197" t="s">
        <v>79</v>
      </c>
      <c r="E202" s="197" t="s">
        <v>35</v>
      </c>
      <c r="F202" s="197" t="s">
        <v>2069</v>
      </c>
      <c r="G202" s="197">
        <v>77</v>
      </c>
      <c r="H202" s="197"/>
      <c r="I202" s="197" t="s">
        <v>259</v>
      </c>
      <c r="J202" s="205" t="s">
        <v>1915</v>
      </c>
      <c r="K202" s="197" t="s">
        <v>2060</v>
      </c>
      <c r="L202" s="203">
        <v>46151.690972222219</v>
      </c>
      <c r="M202" s="203">
        <v>46151.691666666666</v>
      </c>
      <c r="N202" s="197" t="s">
        <v>1925</v>
      </c>
      <c r="O202" s="152" t="s">
        <v>207</v>
      </c>
      <c r="P202" s="90"/>
      <c r="Q202" s="140" t="s">
        <v>207</v>
      </c>
      <c r="R202" s="90"/>
      <c r="S202" s="140" t="s">
        <v>207</v>
      </c>
      <c r="T202" s="90"/>
      <c r="U202" s="140" t="s">
        <v>207</v>
      </c>
      <c r="V202" s="90"/>
      <c r="W202" s="140" t="s">
        <v>207</v>
      </c>
      <c r="X202" s="90"/>
      <c r="Y202" s="140" t="s">
        <v>207</v>
      </c>
      <c r="Z202" s="177" t="str">
        <f t="shared" si="11"/>
        <v>C</v>
      </c>
      <c r="AA202" s="190" t="str">
        <f t="shared" si="10"/>
        <v>UTILIZOU O PDA CORRETAMENTE</v>
      </c>
      <c r="AB202" s="90"/>
      <c r="AC202" s="156" t="s">
        <v>36</v>
      </c>
      <c r="AD202" s="145" t="str">
        <f t="shared" si="12"/>
        <v>SÃO PAULO</v>
      </c>
      <c r="AE202" s="92" t="s">
        <v>79</v>
      </c>
    </row>
    <row r="203" spans="1:31" ht="30" customHeight="1">
      <c r="A203" s="197" t="s">
        <v>198</v>
      </c>
      <c r="B203" s="197">
        <v>2619507303</v>
      </c>
      <c r="C203" s="197" t="s">
        <v>1923</v>
      </c>
      <c r="D203" s="197" t="s">
        <v>79</v>
      </c>
      <c r="E203" s="197" t="s">
        <v>35</v>
      </c>
      <c r="F203" s="197" t="s">
        <v>2078</v>
      </c>
      <c r="G203" s="197">
        <v>32</v>
      </c>
      <c r="H203" s="197" t="s">
        <v>200</v>
      </c>
      <c r="I203" s="197" t="s">
        <v>811</v>
      </c>
      <c r="J203" s="205" t="s">
        <v>1915</v>
      </c>
      <c r="K203" s="197" t="s">
        <v>2060</v>
      </c>
      <c r="L203" s="203">
        <v>46151.694444444445</v>
      </c>
      <c r="M203" s="203">
        <v>46151.695138888892</v>
      </c>
      <c r="N203" s="197" t="s">
        <v>1925</v>
      </c>
      <c r="O203" s="152" t="s">
        <v>207</v>
      </c>
      <c r="P203" s="90"/>
      <c r="Q203" s="140" t="s">
        <v>207</v>
      </c>
      <c r="R203" s="90"/>
      <c r="S203" s="140" t="s">
        <v>207</v>
      </c>
      <c r="T203" s="90"/>
      <c r="U203" s="140" t="s">
        <v>207</v>
      </c>
      <c r="V203" s="90"/>
      <c r="W203" s="140" t="s">
        <v>207</v>
      </c>
      <c r="X203" s="90"/>
      <c r="Y203" s="140" t="s">
        <v>207</v>
      </c>
      <c r="Z203" s="177" t="str">
        <f t="shared" si="11"/>
        <v>C</v>
      </c>
      <c r="AA203" s="190" t="str">
        <f t="shared" si="10"/>
        <v>UTILIZOU O PDA CORRETAMENTE</v>
      </c>
      <c r="AB203" s="90"/>
      <c r="AC203" s="156" t="s">
        <v>36</v>
      </c>
      <c r="AD203" s="145" t="str">
        <f t="shared" si="12"/>
        <v>SÃO PAULO</v>
      </c>
      <c r="AE203" s="92" t="s">
        <v>79</v>
      </c>
    </row>
    <row r="204" spans="1:31" ht="30" customHeight="1">
      <c r="A204" s="197" t="s">
        <v>198</v>
      </c>
      <c r="B204" s="197">
        <v>2619501932</v>
      </c>
      <c r="C204" s="197" t="s">
        <v>146</v>
      </c>
      <c r="D204" s="197" t="s">
        <v>79</v>
      </c>
      <c r="E204" s="197" t="s">
        <v>35</v>
      </c>
      <c r="F204" s="197" t="s">
        <v>2079</v>
      </c>
      <c r="G204" s="197">
        <v>5</v>
      </c>
      <c r="H204" s="197" t="s">
        <v>255</v>
      </c>
      <c r="I204" s="197" t="s">
        <v>447</v>
      </c>
      <c r="J204" s="205" t="s">
        <v>1943</v>
      </c>
      <c r="K204" s="197" t="s">
        <v>200</v>
      </c>
      <c r="L204" s="203">
        <v>46152.368055555555</v>
      </c>
      <c r="M204" s="203">
        <v>46152.368750000001</v>
      </c>
      <c r="N204" s="197" t="s">
        <v>1931</v>
      </c>
      <c r="O204" s="152" t="s">
        <v>207</v>
      </c>
      <c r="P204" s="90"/>
      <c r="Q204" s="140" t="s">
        <v>207</v>
      </c>
      <c r="R204" s="90"/>
      <c r="S204" s="140" t="s">
        <v>207</v>
      </c>
      <c r="T204" s="90"/>
      <c r="U204" s="140" t="s">
        <v>207</v>
      </c>
      <c r="V204" s="90"/>
      <c r="W204" s="140" t="s">
        <v>207</v>
      </c>
      <c r="X204" s="90"/>
      <c r="Y204" s="140" t="s">
        <v>207</v>
      </c>
      <c r="Z204" s="177" t="str">
        <f t="shared" si="11"/>
        <v>C</v>
      </c>
      <c r="AA204" s="190" t="str">
        <f t="shared" si="10"/>
        <v>UTILIZOU O PDA CORRETAMENTE</v>
      </c>
      <c r="AB204" s="90"/>
      <c r="AC204" s="156" t="s">
        <v>36</v>
      </c>
      <c r="AD204" s="145" t="str">
        <f t="shared" si="12"/>
        <v>SÃO PAULO</v>
      </c>
      <c r="AE204" s="92" t="s">
        <v>79</v>
      </c>
    </row>
    <row r="205" spans="1:31" ht="30" customHeight="1">
      <c r="A205" s="197" t="s">
        <v>198</v>
      </c>
      <c r="B205" s="197">
        <v>2692923601</v>
      </c>
      <c r="C205" s="197" t="s">
        <v>143</v>
      </c>
      <c r="D205" s="197" t="s">
        <v>79</v>
      </c>
      <c r="E205" s="197" t="s">
        <v>35</v>
      </c>
      <c r="F205" s="197" t="s">
        <v>2080</v>
      </c>
      <c r="G205" s="197">
        <v>44</v>
      </c>
      <c r="H205" s="197" t="s">
        <v>205</v>
      </c>
      <c r="I205" s="197" t="s">
        <v>497</v>
      </c>
      <c r="J205" s="205" t="s">
        <v>1943</v>
      </c>
      <c r="K205" s="197"/>
      <c r="L205" s="203">
        <v>46152.319444444445</v>
      </c>
      <c r="M205" s="203">
        <v>46152.322916666664</v>
      </c>
      <c r="N205" s="197" t="s">
        <v>1931</v>
      </c>
      <c r="O205" s="152" t="s">
        <v>207</v>
      </c>
      <c r="P205" s="90"/>
      <c r="Q205" s="140" t="s">
        <v>207</v>
      </c>
      <c r="R205" s="90"/>
      <c r="S205" s="140" t="s">
        <v>207</v>
      </c>
      <c r="T205" s="90"/>
      <c r="U205" s="140" t="s">
        <v>207</v>
      </c>
      <c r="V205" s="90"/>
      <c r="W205" s="140" t="s">
        <v>207</v>
      </c>
      <c r="X205" s="90"/>
      <c r="Y205" s="140" t="s">
        <v>207</v>
      </c>
      <c r="Z205" s="177" t="str">
        <f t="shared" si="11"/>
        <v>C</v>
      </c>
      <c r="AA205" s="190" t="str">
        <f t="shared" si="10"/>
        <v>UTILIZOU O PDA CORRETAMENTE</v>
      </c>
      <c r="AB205" s="90"/>
      <c r="AC205" s="156" t="s">
        <v>36</v>
      </c>
      <c r="AD205" s="145" t="str">
        <f t="shared" si="12"/>
        <v>SÃO PAULO</v>
      </c>
      <c r="AE205" s="92" t="s">
        <v>79</v>
      </c>
    </row>
    <row r="206" spans="1:31" ht="30" customHeight="1">
      <c r="A206" s="197" t="s">
        <v>198</v>
      </c>
      <c r="B206" s="197">
        <v>2692892839</v>
      </c>
      <c r="C206" s="197" t="s">
        <v>143</v>
      </c>
      <c r="D206" s="197" t="s">
        <v>79</v>
      </c>
      <c r="E206" s="197" t="s">
        <v>35</v>
      </c>
      <c r="F206" s="197" t="s">
        <v>2081</v>
      </c>
      <c r="G206" s="197">
        <v>165</v>
      </c>
      <c r="H206" s="197" t="s">
        <v>200</v>
      </c>
      <c r="I206" s="197" t="s">
        <v>598</v>
      </c>
      <c r="J206" s="205" t="s">
        <v>1915</v>
      </c>
      <c r="K206" s="197" t="s">
        <v>200</v>
      </c>
      <c r="L206" s="203">
        <v>46152.348611111112</v>
      </c>
      <c r="M206" s="203">
        <v>46152.359027777777</v>
      </c>
      <c r="N206" s="197" t="s">
        <v>1916</v>
      </c>
      <c r="O206" s="152" t="s">
        <v>207</v>
      </c>
      <c r="P206" s="90"/>
      <c r="Q206" s="140" t="s">
        <v>207</v>
      </c>
      <c r="R206" s="90"/>
      <c r="S206" s="140" t="s">
        <v>207</v>
      </c>
      <c r="T206" s="90"/>
      <c r="U206" s="140" t="s">
        <v>207</v>
      </c>
      <c r="V206" s="90"/>
      <c r="W206" s="140" t="s">
        <v>207</v>
      </c>
      <c r="X206" s="90"/>
      <c r="Y206" s="140" t="s">
        <v>207</v>
      </c>
      <c r="Z206" s="177" t="str">
        <f t="shared" si="11"/>
        <v>C</v>
      </c>
      <c r="AA206" s="190" t="str">
        <f t="shared" si="10"/>
        <v>UTILIZOU O PDA CORRETAMENTE</v>
      </c>
      <c r="AB206" s="90"/>
      <c r="AC206" s="156" t="s">
        <v>36</v>
      </c>
      <c r="AD206" s="145" t="str">
        <f t="shared" si="12"/>
        <v>SÃO PAULO</v>
      </c>
      <c r="AE206" s="92" t="s">
        <v>79</v>
      </c>
    </row>
    <row r="207" spans="1:31" ht="30" customHeight="1">
      <c r="A207" s="197" t="s">
        <v>198</v>
      </c>
      <c r="B207" s="197">
        <v>2692919211</v>
      </c>
      <c r="C207" s="197" t="s">
        <v>143</v>
      </c>
      <c r="D207" s="197" t="s">
        <v>79</v>
      </c>
      <c r="E207" s="197" t="s">
        <v>35</v>
      </c>
      <c r="F207" s="197" t="s">
        <v>2082</v>
      </c>
      <c r="G207" s="197">
        <v>309</v>
      </c>
      <c r="H207" s="197"/>
      <c r="I207" s="197" t="s">
        <v>679</v>
      </c>
      <c r="J207" s="205" t="s">
        <v>1915</v>
      </c>
      <c r="K207" s="197"/>
      <c r="L207" s="203">
        <v>46152.505555555559</v>
      </c>
      <c r="M207" s="203">
        <v>46152.510416666664</v>
      </c>
      <c r="N207" s="197" t="s">
        <v>1916</v>
      </c>
      <c r="O207" s="152" t="s">
        <v>207</v>
      </c>
      <c r="P207" s="90"/>
      <c r="Q207" s="140" t="s">
        <v>207</v>
      </c>
      <c r="R207" s="90"/>
      <c r="S207" s="140" t="s">
        <v>207</v>
      </c>
      <c r="T207" s="90"/>
      <c r="U207" s="140" t="s">
        <v>207</v>
      </c>
      <c r="V207" s="90"/>
      <c r="W207" s="140" t="s">
        <v>207</v>
      </c>
      <c r="X207" s="90"/>
      <c r="Y207" s="140" t="s">
        <v>207</v>
      </c>
      <c r="Z207" s="177" t="str">
        <f t="shared" si="11"/>
        <v>C</v>
      </c>
      <c r="AA207" s="190" t="str">
        <f t="shared" si="10"/>
        <v>UTILIZOU O PDA CORRETAMENTE</v>
      </c>
      <c r="AB207" s="90"/>
      <c r="AC207" s="156" t="s">
        <v>36</v>
      </c>
      <c r="AD207" s="145" t="str">
        <f t="shared" si="12"/>
        <v>SÃO PAULO</v>
      </c>
      <c r="AE207" s="92" t="s">
        <v>79</v>
      </c>
    </row>
    <row r="208" spans="1:31" ht="30" customHeight="1">
      <c r="A208" s="197" t="s">
        <v>198</v>
      </c>
      <c r="B208" s="197">
        <v>2619534095</v>
      </c>
      <c r="C208" s="197" t="s">
        <v>143</v>
      </c>
      <c r="D208" s="197" t="s">
        <v>79</v>
      </c>
      <c r="E208" s="197" t="s">
        <v>35</v>
      </c>
      <c r="F208" s="197" t="s">
        <v>1384</v>
      </c>
      <c r="G208" s="197">
        <v>231</v>
      </c>
      <c r="H208" s="197" t="s">
        <v>205</v>
      </c>
      <c r="I208" s="197" t="s">
        <v>389</v>
      </c>
      <c r="J208" s="205" t="s">
        <v>1915</v>
      </c>
      <c r="K208" s="197" t="s">
        <v>200</v>
      </c>
      <c r="L208" s="203">
        <v>46152.426388888889</v>
      </c>
      <c r="M208" s="203">
        <v>46152.4375</v>
      </c>
      <c r="N208" s="197" t="s">
        <v>1916</v>
      </c>
      <c r="O208" s="152" t="s">
        <v>207</v>
      </c>
      <c r="P208" s="90"/>
      <c r="Q208" s="140" t="s">
        <v>207</v>
      </c>
      <c r="R208" s="90"/>
      <c r="S208" s="140" t="s">
        <v>207</v>
      </c>
      <c r="T208" s="90"/>
      <c r="U208" s="140" t="s">
        <v>207</v>
      </c>
      <c r="V208" s="90"/>
      <c r="W208" s="140" t="s">
        <v>207</v>
      </c>
      <c r="X208" s="90"/>
      <c r="Y208" s="140" t="s">
        <v>207</v>
      </c>
      <c r="Z208" s="177" t="str">
        <f t="shared" si="11"/>
        <v>C</v>
      </c>
      <c r="AA208" s="190" t="str">
        <f t="shared" si="10"/>
        <v>UTILIZOU O PDA CORRETAMENTE</v>
      </c>
      <c r="AB208" s="90"/>
      <c r="AC208" s="156" t="s">
        <v>36</v>
      </c>
      <c r="AD208" s="145" t="str">
        <f t="shared" si="12"/>
        <v>SÃO PAULO</v>
      </c>
      <c r="AE208" s="92" t="s">
        <v>79</v>
      </c>
    </row>
    <row r="209" spans="1:31" ht="30" customHeight="1">
      <c r="A209" s="197" t="s">
        <v>198</v>
      </c>
      <c r="B209" s="197">
        <v>2692910668</v>
      </c>
      <c r="C209" s="197" t="s">
        <v>143</v>
      </c>
      <c r="D209" s="197" t="s">
        <v>79</v>
      </c>
      <c r="E209" s="197" t="s">
        <v>35</v>
      </c>
      <c r="F209" s="197" t="s">
        <v>292</v>
      </c>
      <c r="G209" s="197">
        <v>55</v>
      </c>
      <c r="H209" s="197" t="s">
        <v>347</v>
      </c>
      <c r="I209" s="197" t="s">
        <v>293</v>
      </c>
      <c r="J209" s="205" t="s">
        <v>1943</v>
      </c>
      <c r="K209" s="197"/>
      <c r="L209" s="203">
        <v>46152.115277777775</v>
      </c>
      <c r="M209" s="203">
        <v>46152.118750000001</v>
      </c>
      <c r="N209" s="197" t="s">
        <v>331</v>
      </c>
      <c r="O209" s="152" t="s">
        <v>207</v>
      </c>
      <c r="P209" s="90"/>
      <c r="Q209" s="140" t="s">
        <v>207</v>
      </c>
      <c r="R209" s="90"/>
      <c r="S209" s="140" t="s">
        <v>207</v>
      </c>
      <c r="T209" s="90"/>
      <c r="U209" s="140" t="s">
        <v>207</v>
      </c>
      <c r="V209" s="90"/>
      <c r="W209" s="140" t="s">
        <v>207</v>
      </c>
      <c r="X209" s="90"/>
      <c r="Y209" s="140" t="s">
        <v>207</v>
      </c>
      <c r="Z209" s="177" t="str">
        <f t="shared" si="11"/>
        <v>C</v>
      </c>
      <c r="AA209" s="190" t="str">
        <f t="shared" si="10"/>
        <v>UTILIZOU O PDA CORRETAMENTE</v>
      </c>
      <c r="AB209" s="90"/>
      <c r="AC209" s="156" t="s">
        <v>36</v>
      </c>
      <c r="AD209" s="145" t="str">
        <f t="shared" si="12"/>
        <v>SÃO PAULO</v>
      </c>
      <c r="AE209" s="92" t="s">
        <v>79</v>
      </c>
    </row>
    <row r="210" spans="1:31" ht="30" customHeight="1">
      <c r="A210" s="197" t="s">
        <v>198</v>
      </c>
      <c r="B210" s="197">
        <v>2619779023</v>
      </c>
      <c r="C210" s="197" t="s">
        <v>1923</v>
      </c>
      <c r="D210" s="197" t="s">
        <v>79</v>
      </c>
      <c r="E210" s="197" t="s">
        <v>35</v>
      </c>
      <c r="F210" s="197" t="s">
        <v>609</v>
      </c>
      <c r="G210" s="197">
        <v>570</v>
      </c>
      <c r="H210" s="197" t="s">
        <v>401</v>
      </c>
      <c r="I210" s="197" t="s">
        <v>225</v>
      </c>
      <c r="J210" s="205" t="s">
        <v>1915</v>
      </c>
      <c r="K210" s="197" t="s">
        <v>200</v>
      </c>
      <c r="L210" s="203">
        <v>46152.236111111109</v>
      </c>
      <c r="M210" s="203">
        <v>46152.238888888889</v>
      </c>
      <c r="N210" s="197" t="s">
        <v>1922</v>
      </c>
      <c r="O210" s="152" t="s">
        <v>207</v>
      </c>
      <c r="P210" s="90"/>
      <c r="Q210" s="140" t="s">
        <v>207</v>
      </c>
      <c r="R210" s="90"/>
      <c r="S210" s="140" t="s">
        <v>207</v>
      </c>
      <c r="T210" s="90"/>
      <c r="U210" s="140" t="s">
        <v>207</v>
      </c>
      <c r="V210" s="90"/>
      <c r="W210" s="140" t="s">
        <v>207</v>
      </c>
      <c r="X210" s="90"/>
      <c r="Y210" s="140" t="s">
        <v>207</v>
      </c>
      <c r="Z210" s="177" t="str">
        <f t="shared" si="11"/>
        <v>C</v>
      </c>
      <c r="AA210" s="190" t="str">
        <f t="shared" si="10"/>
        <v>UTILIZOU O PDA CORRETAMENTE</v>
      </c>
      <c r="AB210" s="90"/>
      <c r="AC210" s="156" t="s">
        <v>36</v>
      </c>
      <c r="AD210" s="145" t="str">
        <f t="shared" si="12"/>
        <v>SÃO PAULO</v>
      </c>
      <c r="AE210" s="92" t="s">
        <v>79</v>
      </c>
    </row>
    <row r="211" spans="1:31" ht="30" customHeight="1">
      <c r="A211" s="197" t="s">
        <v>198</v>
      </c>
      <c r="B211" s="197">
        <v>2619779046</v>
      </c>
      <c r="C211" s="197" t="s">
        <v>1923</v>
      </c>
      <c r="D211" s="197" t="s">
        <v>79</v>
      </c>
      <c r="E211" s="197" t="s">
        <v>35</v>
      </c>
      <c r="F211" s="197" t="s">
        <v>1387</v>
      </c>
      <c r="G211" s="197">
        <v>381</v>
      </c>
      <c r="H211" s="197"/>
      <c r="I211" s="197" t="s">
        <v>679</v>
      </c>
      <c r="J211" s="205" t="s">
        <v>1915</v>
      </c>
      <c r="K211" s="197"/>
      <c r="L211" s="203">
        <v>46152.250694444447</v>
      </c>
      <c r="M211" s="203">
        <v>46152.253472222219</v>
      </c>
      <c r="N211" s="197" t="s">
        <v>1922</v>
      </c>
      <c r="O211" s="151" t="s">
        <v>207</v>
      </c>
      <c r="P211" s="54"/>
      <c r="Q211" s="138" t="s">
        <v>207</v>
      </c>
      <c r="R211" s="54"/>
      <c r="S211" s="138" t="s">
        <v>207</v>
      </c>
      <c r="T211" s="54"/>
      <c r="U211" s="138" t="s">
        <v>207</v>
      </c>
      <c r="V211" s="54"/>
      <c r="W211" s="138" t="s">
        <v>207</v>
      </c>
      <c r="X211" s="54"/>
      <c r="Y211" s="138" t="s">
        <v>207</v>
      </c>
      <c r="Z211" s="177" t="str">
        <f t="shared" si="11"/>
        <v>C</v>
      </c>
      <c r="AA211" s="190" t="str">
        <f t="shared" si="10"/>
        <v>UTILIZOU O PDA CORRETAMENTE</v>
      </c>
      <c r="AB211" s="90"/>
      <c r="AC211" s="156" t="s">
        <v>36</v>
      </c>
      <c r="AD211" s="145" t="str">
        <f t="shared" si="12"/>
        <v>SÃO PAULO</v>
      </c>
      <c r="AE211" s="92" t="s">
        <v>79</v>
      </c>
    </row>
    <row r="212" spans="1:31" ht="30" customHeight="1">
      <c r="A212" s="197" t="s">
        <v>198</v>
      </c>
      <c r="B212" s="197">
        <v>2619779084</v>
      </c>
      <c r="C212" s="197" t="s">
        <v>1923</v>
      </c>
      <c r="D212" s="197" t="s">
        <v>79</v>
      </c>
      <c r="E212" s="197" t="s">
        <v>35</v>
      </c>
      <c r="F212" s="197" t="s">
        <v>2083</v>
      </c>
      <c r="G212" s="197">
        <v>49</v>
      </c>
      <c r="H212" s="197" t="s">
        <v>208</v>
      </c>
      <c r="I212" s="197" t="s">
        <v>429</v>
      </c>
      <c r="J212" s="205" t="s">
        <v>1915</v>
      </c>
      <c r="K212" s="197" t="s">
        <v>200</v>
      </c>
      <c r="L212" s="203">
        <v>46152.182638888888</v>
      </c>
      <c r="M212" s="203">
        <v>46152.183333333334</v>
      </c>
      <c r="N212" s="197" t="s">
        <v>1922</v>
      </c>
      <c r="O212" s="152" t="s">
        <v>207</v>
      </c>
      <c r="P212" s="90"/>
      <c r="Q212" s="140" t="s">
        <v>207</v>
      </c>
      <c r="R212" s="90"/>
      <c r="S212" s="140" t="s">
        <v>207</v>
      </c>
      <c r="T212" s="90"/>
      <c r="U212" s="140" t="s">
        <v>207</v>
      </c>
      <c r="V212" s="90"/>
      <c r="W212" s="140" t="s">
        <v>207</v>
      </c>
      <c r="X212" s="90"/>
      <c r="Y212" s="140" t="s">
        <v>207</v>
      </c>
      <c r="Z212" s="177" t="str">
        <f t="shared" si="11"/>
        <v>C</v>
      </c>
      <c r="AA212" s="190" t="str">
        <f t="shared" si="10"/>
        <v>UTILIZOU O PDA CORRETAMENTE</v>
      </c>
      <c r="AB212" s="90"/>
      <c r="AC212" s="156" t="s">
        <v>36</v>
      </c>
      <c r="AD212" s="145" t="str">
        <f t="shared" si="12"/>
        <v>SÃO PAULO</v>
      </c>
      <c r="AE212" s="92" t="s">
        <v>79</v>
      </c>
    </row>
    <row r="213" spans="1:31" ht="30" customHeight="1">
      <c r="A213" s="197" t="s">
        <v>198</v>
      </c>
      <c r="B213" s="197">
        <v>2692911827</v>
      </c>
      <c r="C213" s="197" t="s">
        <v>149</v>
      </c>
      <c r="D213" s="197" t="s">
        <v>140</v>
      </c>
      <c r="E213" s="197" t="s">
        <v>35</v>
      </c>
      <c r="F213" s="197" t="s">
        <v>564</v>
      </c>
      <c r="G213" s="197">
        <v>264</v>
      </c>
      <c r="H213" s="197"/>
      <c r="I213" s="197" t="s">
        <v>293</v>
      </c>
      <c r="J213" s="205" t="s">
        <v>1918</v>
      </c>
      <c r="K213" s="197">
        <v>1</v>
      </c>
      <c r="L213" s="203">
        <v>46152.157638888886</v>
      </c>
      <c r="M213" s="203">
        <v>46152.162499999999</v>
      </c>
      <c r="N213" s="197" t="s">
        <v>331</v>
      </c>
      <c r="O213" s="152" t="s">
        <v>207</v>
      </c>
      <c r="P213" s="90"/>
      <c r="Q213" s="140" t="s">
        <v>207</v>
      </c>
      <c r="R213" s="90"/>
      <c r="S213" s="140" t="s">
        <v>207</v>
      </c>
      <c r="T213" s="90"/>
      <c r="U213" s="140" t="s">
        <v>207</v>
      </c>
      <c r="V213" s="90"/>
      <c r="W213" s="140" t="s">
        <v>207</v>
      </c>
      <c r="X213" s="90"/>
      <c r="Y213" s="140" t="s">
        <v>207</v>
      </c>
      <c r="Z213" s="177" t="str">
        <f t="shared" si="11"/>
        <v>C</v>
      </c>
      <c r="AA213" s="190" t="str">
        <f t="shared" si="10"/>
        <v>UTILIZOU O PDA CORRETAMENTE</v>
      </c>
      <c r="AB213" s="90"/>
      <c r="AC213" s="156" t="s">
        <v>36</v>
      </c>
      <c r="AD213" s="145" t="str">
        <f t="shared" si="12"/>
        <v>SÃO PAULO</v>
      </c>
      <c r="AE213" s="92" t="s">
        <v>79</v>
      </c>
    </row>
    <row r="214" spans="1:31" ht="30" customHeight="1">
      <c r="A214" s="197" t="s">
        <v>198</v>
      </c>
      <c r="B214" s="197">
        <v>2692917876</v>
      </c>
      <c r="C214" s="197" t="s">
        <v>143</v>
      </c>
      <c r="D214" s="197" t="s">
        <v>79</v>
      </c>
      <c r="E214" s="197" t="s">
        <v>35</v>
      </c>
      <c r="F214" s="197" t="s">
        <v>1387</v>
      </c>
      <c r="G214" s="197">
        <v>435</v>
      </c>
      <c r="H214" s="197" t="s">
        <v>329</v>
      </c>
      <c r="I214" s="197" t="s">
        <v>679</v>
      </c>
      <c r="J214" s="205" t="s">
        <v>1943</v>
      </c>
      <c r="K214" s="197" t="s">
        <v>200</v>
      </c>
      <c r="L214" s="203">
        <v>46152.293055555558</v>
      </c>
      <c r="M214" s="203">
        <v>46152.293749999997</v>
      </c>
      <c r="N214" s="197" t="s">
        <v>295</v>
      </c>
      <c r="O214" s="152" t="s">
        <v>207</v>
      </c>
      <c r="P214" s="90"/>
      <c r="Q214" s="140" t="s">
        <v>207</v>
      </c>
      <c r="R214" s="90"/>
      <c r="S214" s="140" t="s">
        <v>207</v>
      </c>
      <c r="T214" s="90"/>
      <c r="U214" s="140" t="s">
        <v>207</v>
      </c>
      <c r="V214" s="90"/>
      <c r="W214" s="140" t="s">
        <v>207</v>
      </c>
      <c r="X214" s="90"/>
      <c r="Y214" s="140" t="s">
        <v>207</v>
      </c>
      <c r="Z214" s="177" t="str">
        <f t="shared" si="11"/>
        <v>C</v>
      </c>
      <c r="AA214" s="190" t="str">
        <f t="shared" si="10"/>
        <v>UTILIZOU O PDA CORRETAMENTE</v>
      </c>
      <c r="AB214" s="90"/>
      <c r="AC214" s="156" t="s">
        <v>36</v>
      </c>
      <c r="AD214" s="145" t="str">
        <f t="shared" si="12"/>
        <v>SÃO PAULO</v>
      </c>
      <c r="AE214" s="92" t="s">
        <v>79</v>
      </c>
    </row>
    <row r="215" spans="1:31" ht="30" customHeight="1">
      <c r="A215" s="197" t="s">
        <v>198</v>
      </c>
      <c r="B215" s="197">
        <v>2692939727</v>
      </c>
      <c r="C215" s="197" t="s">
        <v>143</v>
      </c>
      <c r="D215" s="197" t="s">
        <v>79</v>
      </c>
      <c r="E215" s="197" t="s">
        <v>35</v>
      </c>
      <c r="F215" s="197" t="s">
        <v>1419</v>
      </c>
      <c r="G215" s="197">
        <v>287</v>
      </c>
      <c r="H215" s="197" t="s">
        <v>347</v>
      </c>
      <c r="I215" s="197" t="s">
        <v>417</v>
      </c>
      <c r="J215" s="205" t="s">
        <v>1915</v>
      </c>
      <c r="K215" s="197"/>
      <c r="L215" s="203">
        <v>46153.269444444442</v>
      </c>
      <c r="M215" s="203">
        <v>46153.273611111108</v>
      </c>
      <c r="N215" s="197" t="s">
        <v>1944</v>
      </c>
      <c r="O215" s="152" t="s">
        <v>207</v>
      </c>
      <c r="P215" s="90"/>
      <c r="Q215" s="140" t="s">
        <v>207</v>
      </c>
      <c r="R215" s="90"/>
      <c r="S215" s="140" t="s">
        <v>207</v>
      </c>
      <c r="T215" s="90"/>
      <c r="U215" s="140" t="s">
        <v>207</v>
      </c>
      <c r="V215" s="90"/>
      <c r="W215" s="140" t="s">
        <v>207</v>
      </c>
      <c r="X215" s="90"/>
      <c r="Y215" s="140" t="s">
        <v>207</v>
      </c>
      <c r="Z215" s="177" t="str">
        <f t="shared" si="11"/>
        <v>C</v>
      </c>
      <c r="AA215" s="190" t="str">
        <f t="shared" si="10"/>
        <v>UTILIZOU O PDA CORRETAMENTE</v>
      </c>
      <c r="AB215" s="90"/>
      <c r="AC215" s="156" t="s">
        <v>36</v>
      </c>
      <c r="AD215" s="145" t="str">
        <f t="shared" si="12"/>
        <v>SÃO PAULO</v>
      </c>
      <c r="AE215" s="92" t="s">
        <v>79</v>
      </c>
    </row>
    <row r="216" spans="1:31" ht="30" customHeight="1">
      <c r="A216" s="197" t="s">
        <v>198</v>
      </c>
      <c r="B216" s="197">
        <v>2619193208</v>
      </c>
      <c r="C216" s="197" t="s">
        <v>151</v>
      </c>
      <c r="D216" s="197" t="s">
        <v>140</v>
      </c>
      <c r="E216" s="197" t="s">
        <v>35</v>
      </c>
      <c r="F216" s="197" t="s">
        <v>423</v>
      </c>
      <c r="G216" s="197">
        <v>695</v>
      </c>
      <c r="H216" s="197" t="s">
        <v>200</v>
      </c>
      <c r="I216" s="197" t="s">
        <v>424</v>
      </c>
      <c r="J216" s="205" t="s">
        <v>1966</v>
      </c>
      <c r="K216" s="197" t="s">
        <v>200</v>
      </c>
      <c r="L216" s="203">
        <v>46153.271527777775</v>
      </c>
      <c r="M216" s="203">
        <v>46153.311111111114</v>
      </c>
      <c r="N216" s="197" t="s">
        <v>390</v>
      </c>
      <c r="O216" s="152" t="s">
        <v>207</v>
      </c>
      <c r="P216" s="90"/>
      <c r="Q216" s="140" t="s">
        <v>207</v>
      </c>
      <c r="R216" s="90"/>
      <c r="S216" s="140" t="s">
        <v>207</v>
      </c>
      <c r="T216" s="90"/>
      <c r="U216" s="140" t="s">
        <v>207</v>
      </c>
      <c r="V216" s="90"/>
      <c r="W216" s="140" t="s">
        <v>207</v>
      </c>
      <c r="X216" s="90"/>
      <c r="Y216" s="140" t="s">
        <v>207</v>
      </c>
      <c r="Z216" s="177" t="str">
        <f t="shared" si="11"/>
        <v>C</v>
      </c>
      <c r="AA216" s="190" t="str">
        <f t="shared" si="10"/>
        <v>UTILIZOU O PDA CORRETAMENTE</v>
      </c>
      <c r="AB216" s="90"/>
      <c r="AC216" s="156" t="s">
        <v>36</v>
      </c>
      <c r="AD216" s="145" t="str">
        <f t="shared" si="12"/>
        <v>SÃO PAULO</v>
      </c>
      <c r="AE216" s="92" t="s">
        <v>79</v>
      </c>
    </row>
    <row r="217" spans="1:31" ht="30" customHeight="1">
      <c r="A217" s="197" t="s">
        <v>198</v>
      </c>
      <c r="B217" s="197">
        <v>2692937758</v>
      </c>
      <c r="C217" s="197" t="s">
        <v>146</v>
      </c>
      <c r="D217" s="197" t="s">
        <v>79</v>
      </c>
      <c r="E217" s="197" t="s">
        <v>35</v>
      </c>
      <c r="F217" s="197" t="s">
        <v>2084</v>
      </c>
      <c r="G217" s="197">
        <v>471</v>
      </c>
      <c r="H217" s="197" t="s">
        <v>208</v>
      </c>
      <c r="I217" s="197" t="s">
        <v>497</v>
      </c>
      <c r="J217" s="205" t="s">
        <v>1943</v>
      </c>
      <c r="K217" s="197"/>
      <c r="L217" s="203">
        <v>46153.306250000001</v>
      </c>
      <c r="M217" s="203">
        <v>46153.316666666666</v>
      </c>
      <c r="N217" s="197" t="s">
        <v>1933</v>
      </c>
      <c r="O217" s="152" t="s">
        <v>207</v>
      </c>
      <c r="P217" s="90"/>
      <c r="Q217" s="140" t="s">
        <v>207</v>
      </c>
      <c r="R217" s="90"/>
      <c r="S217" s="140" t="s">
        <v>207</v>
      </c>
      <c r="T217" s="90"/>
      <c r="U217" s="140" t="s">
        <v>207</v>
      </c>
      <c r="V217" s="90"/>
      <c r="W217" s="140" t="s">
        <v>207</v>
      </c>
      <c r="X217" s="90"/>
      <c r="Y217" s="140" t="s">
        <v>207</v>
      </c>
      <c r="Z217" s="177" t="str">
        <f t="shared" si="11"/>
        <v>C</v>
      </c>
      <c r="AA217" s="190" t="str">
        <f t="shared" si="10"/>
        <v>UTILIZOU O PDA CORRETAMENTE</v>
      </c>
      <c r="AB217" s="90"/>
      <c r="AC217" s="156" t="s">
        <v>36</v>
      </c>
      <c r="AD217" s="145" t="str">
        <f t="shared" si="12"/>
        <v>SÃO PAULO</v>
      </c>
      <c r="AE217" s="92" t="s">
        <v>79</v>
      </c>
    </row>
    <row r="218" spans="1:31" ht="30" customHeight="1">
      <c r="A218" s="197" t="s">
        <v>198</v>
      </c>
      <c r="B218" s="197">
        <v>2692954981</v>
      </c>
      <c r="C218" s="197" t="s">
        <v>143</v>
      </c>
      <c r="D218" s="197" t="s">
        <v>79</v>
      </c>
      <c r="E218" s="197" t="s">
        <v>35</v>
      </c>
      <c r="F218" s="197" t="s">
        <v>2085</v>
      </c>
      <c r="G218" s="197">
        <v>1</v>
      </c>
      <c r="H218" s="197" t="s">
        <v>347</v>
      </c>
      <c r="I218" s="197" t="s">
        <v>355</v>
      </c>
      <c r="J218" s="205" t="s">
        <v>1918</v>
      </c>
      <c r="K218" s="197" t="s">
        <v>200</v>
      </c>
      <c r="L218" s="203">
        <v>46153.313194444447</v>
      </c>
      <c r="M218" s="203">
        <v>46153.321527777778</v>
      </c>
      <c r="N218" s="197" t="s">
        <v>1925</v>
      </c>
      <c r="O218" s="152" t="s">
        <v>207</v>
      </c>
      <c r="P218" s="90"/>
      <c r="Q218" s="140" t="s">
        <v>207</v>
      </c>
      <c r="R218" s="90"/>
      <c r="S218" s="140" t="s">
        <v>207</v>
      </c>
      <c r="T218" s="90"/>
      <c r="U218" s="140" t="s">
        <v>207</v>
      </c>
      <c r="V218" s="90"/>
      <c r="W218" s="140" t="s">
        <v>207</v>
      </c>
      <c r="X218" s="90"/>
      <c r="Y218" s="140" t="s">
        <v>207</v>
      </c>
      <c r="Z218" s="177" t="str">
        <f t="shared" si="11"/>
        <v>C</v>
      </c>
      <c r="AA218" s="190" t="str">
        <f t="shared" si="10"/>
        <v>UTILIZOU O PDA CORRETAMENTE</v>
      </c>
      <c r="AB218" s="90"/>
      <c r="AC218" s="156" t="s">
        <v>36</v>
      </c>
      <c r="AD218" s="145" t="str">
        <f t="shared" si="12"/>
        <v>SÃO PAULO</v>
      </c>
      <c r="AE218" s="92" t="s">
        <v>79</v>
      </c>
    </row>
    <row r="219" spans="1:31" ht="30" customHeight="1">
      <c r="A219" s="197" t="s">
        <v>198</v>
      </c>
      <c r="B219" s="197">
        <v>2692952546</v>
      </c>
      <c r="C219" s="197" t="s">
        <v>143</v>
      </c>
      <c r="D219" s="197" t="s">
        <v>79</v>
      </c>
      <c r="E219" s="197" t="s">
        <v>35</v>
      </c>
      <c r="F219" s="197" t="s">
        <v>2086</v>
      </c>
      <c r="G219" s="197">
        <v>386</v>
      </c>
      <c r="H219" s="197"/>
      <c r="I219" s="197" t="s">
        <v>408</v>
      </c>
      <c r="J219" s="205" t="s">
        <v>1943</v>
      </c>
      <c r="K219" s="197"/>
      <c r="L219" s="203">
        <v>46153.293055555558</v>
      </c>
      <c r="M219" s="203">
        <v>46153.29791666667</v>
      </c>
      <c r="N219" s="197" t="s">
        <v>1931</v>
      </c>
      <c r="O219" s="152" t="s">
        <v>207</v>
      </c>
      <c r="P219" s="90"/>
      <c r="Q219" s="140" t="s">
        <v>207</v>
      </c>
      <c r="R219" s="90"/>
      <c r="S219" s="140" t="s">
        <v>207</v>
      </c>
      <c r="T219" s="90"/>
      <c r="U219" s="140" t="s">
        <v>207</v>
      </c>
      <c r="V219" s="90"/>
      <c r="W219" s="140" t="s">
        <v>207</v>
      </c>
      <c r="X219" s="90"/>
      <c r="Y219" s="140" t="s">
        <v>207</v>
      </c>
      <c r="Z219" s="177" t="str">
        <f t="shared" si="11"/>
        <v>C</v>
      </c>
      <c r="AA219" s="190" t="str">
        <f t="shared" si="10"/>
        <v>UTILIZOU O PDA CORRETAMENTE</v>
      </c>
      <c r="AB219" s="90"/>
      <c r="AC219" s="156" t="s">
        <v>36</v>
      </c>
      <c r="AD219" s="145" t="str">
        <f t="shared" si="12"/>
        <v>SÃO PAULO</v>
      </c>
      <c r="AE219" s="92" t="s">
        <v>79</v>
      </c>
    </row>
    <row r="220" spans="1:31" ht="30" customHeight="1">
      <c r="A220" s="197" t="s">
        <v>198</v>
      </c>
      <c r="B220" s="197">
        <v>2692959318</v>
      </c>
      <c r="C220" s="197" t="s">
        <v>143</v>
      </c>
      <c r="D220" s="197" t="s">
        <v>79</v>
      </c>
      <c r="E220" s="197" t="s">
        <v>35</v>
      </c>
      <c r="F220" s="197" t="s">
        <v>622</v>
      </c>
      <c r="G220" s="197">
        <v>383</v>
      </c>
      <c r="H220" s="197"/>
      <c r="I220" s="197" t="s">
        <v>433</v>
      </c>
      <c r="J220" s="205" t="s">
        <v>1918</v>
      </c>
      <c r="K220" s="197"/>
      <c r="L220" s="203">
        <v>46153.3125</v>
      </c>
      <c r="M220" s="203">
        <v>46153.315972222219</v>
      </c>
      <c r="N220" s="197" t="s">
        <v>1919</v>
      </c>
      <c r="O220" s="152" t="s">
        <v>207</v>
      </c>
      <c r="P220" s="90"/>
      <c r="Q220" s="140" t="s">
        <v>207</v>
      </c>
      <c r="R220" s="90"/>
      <c r="S220" s="140" t="s">
        <v>207</v>
      </c>
      <c r="T220" s="90"/>
      <c r="U220" s="140" t="s">
        <v>207</v>
      </c>
      <c r="V220" s="90"/>
      <c r="W220" s="140" t="s">
        <v>207</v>
      </c>
      <c r="X220" s="90"/>
      <c r="Y220" s="140" t="s">
        <v>207</v>
      </c>
      <c r="Z220" s="177" t="str">
        <f t="shared" si="11"/>
        <v>C</v>
      </c>
      <c r="AA220" s="190" t="str">
        <f t="shared" si="10"/>
        <v>UTILIZOU O PDA CORRETAMENTE</v>
      </c>
      <c r="AB220" s="90"/>
      <c r="AC220" s="156" t="s">
        <v>36</v>
      </c>
      <c r="AD220" s="145" t="str">
        <f t="shared" si="12"/>
        <v>SÃO PAULO</v>
      </c>
      <c r="AE220" s="92" t="s">
        <v>79</v>
      </c>
    </row>
    <row r="221" spans="1:31" ht="30" customHeight="1">
      <c r="A221" s="197" t="s">
        <v>198</v>
      </c>
      <c r="B221" s="197">
        <v>2619800402</v>
      </c>
      <c r="C221" s="197" t="s">
        <v>149</v>
      </c>
      <c r="D221" s="197" t="s">
        <v>140</v>
      </c>
      <c r="E221" s="197" t="s">
        <v>35</v>
      </c>
      <c r="F221" s="197" t="s">
        <v>1387</v>
      </c>
      <c r="G221" s="197">
        <v>381</v>
      </c>
      <c r="H221" s="197" t="s">
        <v>200</v>
      </c>
      <c r="I221" s="197" t="s">
        <v>679</v>
      </c>
      <c r="J221" s="205" t="s">
        <v>1918</v>
      </c>
      <c r="K221" s="197" t="s">
        <v>200</v>
      </c>
      <c r="L221" s="203">
        <v>46153.367361111108</v>
      </c>
      <c r="M221" s="203">
        <v>46153.393750000003</v>
      </c>
      <c r="N221" s="197" t="s">
        <v>1931</v>
      </c>
      <c r="O221" s="151" t="s">
        <v>207</v>
      </c>
      <c r="P221" s="54"/>
      <c r="Q221" s="138" t="s">
        <v>207</v>
      </c>
      <c r="R221" s="54"/>
      <c r="S221" s="138" t="s">
        <v>207</v>
      </c>
      <c r="T221" s="54"/>
      <c r="U221" s="138" t="s">
        <v>207</v>
      </c>
      <c r="V221" s="54"/>
      <c r="W221" s="138" t="s">
        <v>207</v>
      </c>
      <c r="X221" s="54"/>
      <c r="Y221" s="138" t="s">
        <v>207</v>
      </c>
      <c r="Z221" s="177" t="str">
        <f t="shared" si="11"/>
        <v>C</v>
      </c>
      <c r="AA221" s="190" t="str">
        <f t="shared" si="10"/>
        <v>UTILIZOU O PDA CORRETAMENTE</v>
      </c>
      <c r="AB221" s="90"/>
      <c r="AC221" s="156" t="s">
        <v>36</v>
      </c>
      <c r="AD221" s="145" t="str">
        <f t="shared" si="12"/>
        <v>SÃO PAULO</v>
      </c>
      <c r="AE221" s="92" t="s">
        <v>79</v>
      </c>
    </row>
    <row r="222" spans="1:31" ht="30" customHeight="1">
      <c r="A222" s="197" t="s">
        <v>198</v>
      </c>
      <c r="B222" s="197">
        <v>2619794438</v>
      </c>
      <c r="C222" s="197" t="s">
        <v>143</v>
      </c>
      <c r="D222" s="197" t="s">
        <v>79</v>
      </c>
      <c r="E222" s="197" t="s">
        <v>35</v>
      </c>
      <c r="F222" s="197" t="s">
        <v>2043</v>
      </c>
      <c r="G222" s="197">
        <v>202</v>
      </c>
      <c r="H222" s="197" t="s">
        <v>208</v>
      </c>
      <c r="I222" s="197" t="s">
        <v>271</v>
      </c>
      <c r="J222" s="205" t="s">
        <v>1915</v>
      </c>
      <c r="K222" s="197" t="s">
        <v>2087</v>
      </c>
      <c r="L222" s="203">
        <v>46153.34375</v>
      </c>
      <c r="M222" s="203">
        <v>46153.361805555556</v>
      </c>
      <c r="N222" s="197" t="s">
        <v>1944</v>
      </c>
      <c r="O222" s="152" t="s">
        <v>207</v>
      </c>
      <c r="P222" s="90"/>
      <c r="Q222" s="140" t="s">
        <v>207</v>
      </c>
      <c r="R222" s="90"/>
      <c r="S222" s="140" t="s">
        <v>207</v>
      </c>
      <c r="T222" s="90"/>
      <c r="U222" s="140" t="s">
        <v>207</v>
      </c>
      <c r="V222" s="90"/>
      <c r="W222" s="140" t="s">
        <v>207</v>
      </c>
      <c r="X222" s="90"/>
      <c r="Y222" s="140" t="s">
        <v>207</v>
      </c>
      <c r="Z222" s="177" t="str">
        <f t="shared" si="11"/>
        <v>C</v>
      </c>
      <c r="AA222" s="190" t="str">
        <f t="shared" si="10"/>
        <v>UTILIZOU O PDA CORRETAMENTE</v>
      </c>
      <c r="AB222" s="90"/>
      <c r="AC222" s="156" t="s">
        <v>36</v>
      </c>
      <c r="AD222" s="145" t="str">
        <f t="shared" si="12"/>
        <v>SÃO PAULO</v>
      </c>
      <c r="AE222" s="92" t="s">
        <v>79</v>
      </c>
    </row>
    <row r="223" spans="1:31" ht="30" customHeight="1">
      <c r="A223" s="197" t="s">
        <v>198</v>
      </c>
      <c r="B223" s="197">
        <v>2692963904</v>
      </c>
      <c r="C223" s="197" t="s">
        <v>143</v>
      </c>
      <c r="D223" s="197" t="s">
        <v>79</v>
      </c>
      <c r="E223" s="197" t="s">
        <v>35</v>
      </c>
      <c r="F223" s="197" t="s">
        <v>1926</v>
      </c>
      <c r="G223" s="197">
        <v>5</v>
      </c>
      <c r="H223" s="197" t="s">
        <v>205</v>
      </c>
      <c r="I223" s="197" t="s">
        <v>319</v>
      </c>
      <c r="J223" s="205" t="s">
        <v>1915</v>
      </c>
      <c r="K223" s="197" t="s">
        <v>200</v>
      </c>
      <c r="L223" s="203">
        <v>46153.65902777778</v>
      </c>
      <c r="M223" s="203">
        <v>46153.675694444442</v>
      </c>
      <c r="N223" s="197" t="s">
        <v>1916</v>
      </c>
      <c r="O223" s="152" t="s">
        <v>207</v>
      </c>
      <c r="P223" s="90"/>
      <c r="Q223" s="140" t="s">
        <v>207</v>
      </c>
      <c r="R223" s="90"/>
      <c r="S223" s="140" t="s">
        <v>207</v>
      </c>
      <c r="T223" s="90"/>
      <c r="U223" s="140" t="s">
        <v>207</v>
      </c>
      <c r="V223" s="90"/>
      <c r="W223" s="140" t="s">
        <v>207</v>
      </c>
      <c r="X223" s="90"/>
      <c r="Y223" s="140" t="s">
        <v>207</v>
      </c>
      <c r="Z223" s="177" t="str">
        <f t="shared" si="11"/>
        <v>C</v>
      </c>
      <c r="AA223" s="190" t="str">
        <f t="shared" si="10"/>
        <v>UTILIZOU O PDA CORRETAMENTE</v>
      </c>
      <c r="AB223" s="90"/>
      <c r="AC223" s="156" t="s">
        <v>36</v>
      </c>
      <c r="AD223" s="145" t="str">
        <f t="shared" si="12"/>
        <v>SÃO PAULO</v>
      </c>
      <c r="AE223" s="92" t="s">
        <v>79</v>
      </c>
    </row>
    <row r="224" spans="1:31" ht="30" customHeight="1">
      <c r="A224" s="197" t="s">
        <v>198</v>
      </c>
      <c r="B224" s="197">
        <v>2619799972</v>
      </c>
      <c r="C224" s="197" t="s">
        <v>147</v>
      </c>
      <c r="D224" s="197" t="s">
        <v>79</v>
      </c>
      <c r="E224" s="197" t="s">
        <v>35</v>
      </c>
      <c r="F224" s="197" t="s">
        <v>2088</v>
      </c>
      <c r="G224" s="197">
        <v>25</v>
      </c>
      <c r="H224" s="197" t="s">
        <v>329</v>
      </c>
      <c r="I224" s="197" t="s">
        <v>614</v>
      </c>
      <c r="J224" s="205" t="s">
        <v>1915</v>
      </c>
      <c r="K224" s="197" t="s">
        <v>200</v>
      </c>
      <c r="L224" s="203">
        <v>46153.5625</v>
      </c>
      <c r="M224" s="203">
        <v>46153.572222222225</v>
      </c>
      <c r="N224" s="197" t="s">
        <v>1916</v>
      </c>
      <c r="O224" s="152" t="s">
        <v>207</v>
      </c>
      <c r="P224" s="90"/>
      <c r="Q224" s="140" t="s">
        <v>207</v>
      </c>
      <c r="R224" s="90"/>
      <c r="S224" s="140" t="s">
        <v>207</v>
      </c>
      <c r="T224" s="90"/>
      <c r="U224" s="140" t="s">
        <v>207</v>
      </c>
      <c r="V224" s="90"/>
      <c r="W224" s="140" t="s">
        <v>207</v>
      </c>
      <c r="X224" s="90"/>
      <c r="Y224" s="140" t="s">
        <v>207</v>
      </c>
      <c r="Z224" s="177" t="str">
        <f t="shared" si="11"/>
        <v>C</v>
      </c>
      <c r="AA224" s="190" t="str">
        <f t="shared" si="10"/>
        <v>UTILIZOU O PDA CORRETAMENTE</v>
      </c>
      <c r="AB224" s="90"/>
      <c r="AC224" s="156" t="s">
        <v>36</v>
      </c>
      <c r="AD224" s="145" t="str">
        <f t="shared" si="12"/>
        <v>SÃO PAULO</v>
      </c>
      <c r="AE224" s="92" t="s">
        <v>79</v>
      </c>
    </row>
    <row r="225" spans="1:32" ht="30" customHeight="1">
      <c r="A225" s="197" t="s">
        <v>198</v>
      </c>
      <c r="B225" s="197">
        <v>2692987627</v>
      </c>
      <c r="C225" s="197" t="s">
        <v>146</v>
      </c>
      <c r="D225" s="197" t="s">
        <v>79</v>
      </c>
      <c r="E225" s="197" t="s">
        <v>35</v>
      </c>
      <c r="F225" s="197" t="s">
        <v>1535</v>
      </c>
      <c r="G225" s="197">
        <v>41</v>
      </c>
      <c r="H225" s="197"/>
      <c r="I225" s="197" t="s">
        <v>201</v>
      </c>
      <c r="J225" s="205" t="s">
        <v>1915</v>
      </c>
      <c r="K225" s="197"/>
      <c r="L225" s="203">
        <v>46153.390972222223</v>
      </c>
      <c r="M225" s="203">
        <v>46153.402083333334</v>
      </c>
      <c r="N225" s="197" t="s">
        <v>390</v>
      </c>
      <c r="O225" s="152" t="s">
        <v>207</v>
      </c>
      <c r="P225" s="90"/>
      <c r="Q225" s="140" t="s">
        <v>207</v>
      </c>
      <c r="R225" s="90"/>
      <c r="S225" s="140" t="s">
        <v>207</v>
      </c>
      <c r="T225" s="90"/>
      <c r="U225" s="140" t="s">
        <v>207</v>
      </c>
      <c r="V225" s="90"/>
      <c r="W225" s="140" t="s">
        <v>207</v>
      </c>
      <c r="X225" s="90"/>
      <c r="Y225" s="140" t="s">
        <v>207</v>
      </c>
      <c r="Z225" s="177" t="str">
        <f t="shared" si="11"/>
        <v>C</v>
      </c>
      <c r="AA225" s="190" t="str">
        <f t="shared" si="10"/>
        <v>UTILIZOU O PDA CORRETAMENTE</v>
      </c>
      <c r="AB225" s="90"/>
      <c r="AC225" s="156" t="s">
        <v>36</v>
      </c>
      <c r="AD225" s="145" t="str">
        <f t="shared" si="12"/>
        <v>SÃO PAULO</v>
      </c>
      <c r="AE225" s="92" t="s">
        <v>79</v>
      </c>
      <c r="AF225" s="53" t="s">
        <v>2056</v>
      </c>
    </row>
    <row r="226" spans="1:32" ht="30" customHeight="1">
      <c r="A226" s="197" t="s">
        <v>198</v>
      </c>
      <c r="B226" s="197">
        <v>2692989883</v>
      </c>
      <c r="C226" s="197" t="s">
        <v>143</v>
      </c>
      <c r="D226" s="197" t="s">
        <v>79</v>
      </c>
      <c r="E226" s="197" t="s">
        <v>35</v>
      </c>
      <c r="F226" s="197" t="s">
        <v>2089</v>
      </c>
      <c r="G226" s="197">
        <v>114</v>
      </c>
      <c r="H226" s="197" t="s">
        <v>200</v>
      </c>
      <c r="I226" s="197" t="s">
        <v>2090</v>
      </c>
      <c r="J226" s="205" t="s">
        <v>1915</v>
      </c>
      <c r="K226" s="197" t="s">
        <v>200</v>
      </c>
      <c r="L226" s="203">
        <v>46153.326388888891</v>
      </c>
      <c r="M226" s="203">
        <v>46153.334722222222</v>
      </c>
      <c r="N226" s="197" t="s">
        <v>390</v>
      </c>
      <c r="O226" s="152" t="s">
        <v>207</v>
      </c>
      <c r="P226" s="90"/>
      <c r="Q226" s="140" t="s">
        <v>207</v>
      </c>
      <c r="R226" s="90"/>
      <c r="S226" s="140" t="s">
        <v>207</v>
      </c>
      <c r="T226" s="90"/>
      <c r="U226" s="140" t="s">
        <v>207</v>
      </c>
      <c r="V226" s="90"/>
      <c r="W226" s="140" t="s">
        <v>207</v>
      </c>
      <c r="X226" s="90"/>
      <c r="Y226" s="140" t="s">
        <v>207</v>
      </c>
      <c r="Z226" s="177" t="str">
        <f t="shared" si="11"/>
        <v>C</v>
      </c>
      <c r="AA226" s="190" t="str">
        <f t="shared" si="10"/>
        <v>UTILIZOU O PDA CORRETAMENTE</v>
      </c>
      <c r="AB226" s="90"/>
      <c r="AC226" s="156" t="s">
        <v>36</v>
      </c>
      <c r="AD226" s="145" t="str">
        <f t="shared" si="12"/>
        <v>SÃO PAULO</v>
      </c>
      <c r="AE226" s="92" t="s">
        <v>79</v>
      </c>
    </row>
    <row r="227" spans="1:32" ht="30" customHeight="1">
      <c r="A227" s="197" t="s">
        <v>198</v>
      </c>
      <c r="B227" s="197">
        <v>2692981847</v>
      </c>
      <c r="C227" s="197" t="s">
        <v>143</v>
      </c>
      <c r="D227" s="197" t="s">
        <v>79</v>
      </c>
      <c r="E227" s="197" t="s">
        <v>35</v>
      </c>
      <c r="F227" s="197" t="s">
        <v>2091</v>
      </c>
      <c r="G227" s="197">
        <v>186</v>
      </c>
      <c r="H227" s="197" t="s">
        <v>200</v>
      </c>
      <c r="I227" s="197" t="s">
        <v>253</v>
      </c>
      <c r="J227" s="205" t="s">
        <v>1915</v>
      </c>
      <c r="K227" s="197" t="s">
        <v>200</v>
      </c>
      <c r="L227" s="203">
        <v>46153.365277777775</v>
      </c>
      <c r="M227" s="203">
        <v>46153.37777777778</v>
      </c>
      <c r="N227" s="197" t="s">
        <v>390</v>
      </c>
      <c r="O227" s="152" t="s">
        <v>207</v>
      </c>
      <c r="P227" s="90"/>
      <c r="Q227" s="140" t="s">
        <v>207</v>
      </c>
      <c r="R227" s="90"/>
      <c r="S227" s="140" t="s">
        <v>207</v>
      </c>
      <c r="T227" s="90"/>
      <c r="U227" s="140" t="s">
        <v>207</v>
      </c>
      <c r="V227" s="90"/>
      <c r="W227" s="140" t="s">
        <v>207</v>
      </c>
      <c r="X227" s="90"/>
      <c r="Y227" s="140" t="s">
        <v>207</v>
      </c>
      <c r="Z227" s="177" t="str">
        <f t="shared" si="11"/>
        <v>C</v>
      </c>
      <c r="AA227" s="190" t="str">
        <f t="shared" si="10"/>
        <v>UTILIZOU O PDA CORRETAMENTE</v>
      </c>
      <c r="AB227" s="90"/>
      <c r="AC227" s="156" t="s">
        <v>36</v>
      </c>
      <c r="AD227" s="145" t="str">
        <f t="shared" si="12"/>
        <v>SÃO PAULO</v>
      </c>
      <c r="AE227" s="92" t="s">
        <v>79</v>
      </c>
    </row>
    <row r="228" spans="1:32" ht="30" customHeight="1">
      <c r="A228" s="197" t="s">
        <v>198</v>
      </c>
      <c r="B228" s="197">
        <v>2692986941</v>
      </c>
      <c r="C228" s="197" t="s">
        <v>143</v>
      </c>
      <c r="D228" s="197" t="s">
        <v>79</v>
      </c>
      <c r="E228" s="197" t="s">
        <v>35</v>
      </c>
      <c r="F228" s="197" t="s">
        <v>2092</v>
      </c>
      <c r="G228" s="197">
        <v>83</v>
      </c>
      <c r="H228" s="197"/>
      <c r="I228" s="197" t="s">
        <v>253</v>
      </c>
      <c r="J228" s="205" t="s">
        <v>1915</v>
      </c>
      <c r="K228" s="197"/>
      <c r="L228" s="203">
        <v>46153.34375</v>
      </c>
      <c r="M228" s="203">
        <v>46153.359722222223</v>
      </c>
      <c r="N228" s="197" t="s">
        <v>390</v>
      </c>
      <c r="O228" s="152" t="s">
        <v>207</v>
      </c>
      <c r="P228" s="90"/>
      <c r="Q228" s="140" t="s">
        <v>207</v>
      </c>
      <c r="R228" s="90"/>
      <c r="S228" s="140" t="s">
        <v>207</v>
      </c>
      <c r="T228" s="90"/>
      <c r="U228" s="140" t="s">
        <v>207</v>
      </c>
      <c r="V228" s="90"/>
      <c r="W228" s="140" t="s">
        <v>207</v>
      </c>
      <c r="X228" s="90"/>
      <c r="Y228" s="140" t="s">
        <v>207</v>
      </c>
      <c r="Z228" s="177" t="str">
        <f t="shared" si="11"/>
        <v>C</v>
      </c>
      <c r="AA228" s="190" t="str">
        <f t="shared" si="10"/>
        <v>UTILIZOU O PDA CORRETAMENTE</v>
      </c>
      <c r="AB228" s="90"/>
      <c r="AC228" s="156" t="s">
        <v>36</v>
      </c>
      <c r="AD228" s="145" t="str">
        <f t="shared" si="12"/>
        <v>SÃO PAULO</v>
      </c>
      <c r="AE228" s="92" t="s">
        <v>79</v>
      </c>
    </row>
    <row r="229" spans="1:32" ht="30" customHeight="1">
      <c r="A229" s="197" t="s">
        <v>198</v>
      </c>
      <c r="B229" s="197">
        <v>2692968000</v>
      </c>
      <c r="C229" s="197" t="s">
        <v>143</v>
      </c>
      <c r="D229" s="197" t="s">
        <v>79</v>
      </c>
      <c r="E229" s="197" t="s">
        <v>35</v>
      </c>
      <c r="F229" s="197" t="s">
        <v>1017</v>
      </c>
      <c r="G229" s="197">
        <v>38</v>
      </c>
      <c r="H229" s="197" t="s">
        <v>595</v>
      </c>
      <c r="I229" s="197" t="s">
        <v>525</v>
      </c>
      <c r="J229" s="205" t="s">
        <v>1915</v>
      </c>
      <c r="K229" s="197" t="s">
        <v>200</v>
      </c>
      <c r="L229" s="203">
        <v>46153.395138888889</v>
      </c>
      <c r="M229" s="203">
        <v>46153.402083333334</v>
      </c>
      <c r="N229" s="197" t="s">
        <v>1922</v>
      </c>
      <c r="O229" s="152" t="s">
        <v>207</v>
      </c>
      <c r="P229" s="90"/>
      <c r="Q229" s="140" t="s">
        <v>207</v>
      </c>
      <c r="R229" s="90"/>
      <c r="S229" s="140" t="s">
        <v>214</v>
      </c>
      <c r="T229" s="90"/>
      <c r="U229" s="140" t="s">
        <v>214</v>
      </c>
      <c r="V229" s="90"/>
      <c r="W229" s="140" t="s">
        <v>207</v>
      </c>
      <c r="X229" s="90"/>
      <c r="Y229" s="140" t="s">
        <v>207</v>
      </c>
      <c r="Z229" s="177" t="str">
        <f t="shared" si="11"/>
        <v>NC</v>
      </c>
      <c r="AA229" s="190" t="str">
        <f t="shared" si="10"/>
        <v>UTILIZOU O PDA CORRETAMENTE. NÃO HÁ FOTOS DE TODAS AS ETAPAS</v>
      </c>
      <c r="AB229" s="90"/>
      <c r="AC229" s="156" t="s">
        <v>36</v>
      </c>
      <c r="AD229" s="145" t="str">
        <f t="shared" si="12"/>
        <v>SÃO PAULO</v>
      </c>
      <c r="AE229" s="92" t="s">
        <v>79</v>
      </c>
    </row>
    <row r="230" spans="1:32" ht="30" customHeight="1">
      <c r="A230" s="197" t="s">
        <v>198</v>
      </c>
      <c r="B230" s="197">
        <v>2619790091</v>
      </c>
      <c r="C230" s="197" t="s">
        <v>143</v>
      </c>
      <c r="D230" s="197" t="s">
        <v>79</v>
      </c>
      <c r="E230" s="197" t="s">
        <v>35</v>
      </c>
      <c r="F230" s="197" t="s">
        <v>1395</v>
      </c>
      <c r="G230" s="197">
        <v>626</v>
      </c>
      <c r="H230" s="197" t="s">
        <v>200</v>
      </c>
      <c r="I230" s="197" t="s">
        <v>287</v>
      </c>
      <c r="J230" s="205" t="s">
        <v>1915</v>
      </c>
      <c r="K230" s="197" t="s">
        <v>200</v>
      </c>
      <c r="L230" s="203">
        <v>46153.434027777781</v>
      </c>
      <c r="M230" s="203">
        <v>46153.438888888886</v>
      </c>
      <c r="N230" s="197" t="s">
        <v>1919</v>
      </c>
      <c r="O230" s="152" t="s">
        <v>207</v>
      </c>
      <c r="P230" s="90"/>
      <c r="Q230" s="140" t="s">
        <v>207</v>
      </c>
      <c r="R230" s="90"/>
      <c r="S230" s="140" t="s">
        <v>214</v>
      </c>
      <c r="T230" s="90"/>
      <c r="U230" s="140" t="s">
        <v>214</v>
      </c>
      <c r="V230" s="90"/>
      <c r="W230" s="140" t="s">
        <v>207</v>
      </c>
      <c r="X230" s="90"/>
      <c r="Y230" s="140" t="s">
        <v>207</v>
      </c>
      <c r="Z230" s="177" t="str">
        <f t="shared" si="11"/>
        <v>NC</v>
      </c>
      <c r="AA230" s="190" t="str">
        <f t="shared" si="10"/>
        <v>UTILIZOU O PDA CORRETAMENTE. NÃO HÁ FOTOS DE TODAS AS ETAPAS</v>
      </c>
      <c r="AB230" s="90"/>
      <c r="AC230" s="156" t="s">
        <v>36</v>
      </c>
      <c r="AD230" s="145" t="str">
        <f t="shared" si="12"/>
        <v>SÃO PAULO</v>
      </c>
      <c r="AE230" s="92" t="s">
        <v>79</v>
      </c>
    </row>
    <row r="231" spans="1:32" ht="30" customHeight="1">
      <c r="A231" s="197" t="s">
        <v>198</v>
      </c>
      <c r="B231" s="197">
        <v>2692995988</v>
      </c>
      <c r="C231" s="197" t="s">
        <v>143</v>
      </c>
      <c r="D231" s="197" t="s">
        <v>79</v>
      </c>
      <c r="E231" s="197" t="s">
        <v>35</v>
      </c>
      <c r="F231" s="197" t="s">
        <v>2093</v>
      </c>
      <c r="G231" s="197">
        <v>232</v>
      </c>
      <c r="H231" s="197"/>
      <c r="I231" s="197" t="s">
        <v>675</v>
      </c>
      <c r="J231" s="205" t="s">
        <v>1943</v>
      </c>
      <c r="K231" s="197"/>
      <c r="L231" s="203">
        <v>46153.580555555556</v>
      </c>
      <c r="M231" s="203">
        <v>46153.585416666669</v>
      </c>
      <c r="N231" s="197" t="s">
        <v>1931</v>
      </c>
      <c r="O231" s="152" t="s">
        <v>207</v>
      </c>
      <c r="P231" s="90"/>
      <c r="Q231" s="140" t="s">
        <v>207</v>
      </c>
      <c r="R231" s="90"/>
      <c r="S231" s="140" t="s">
        <v>214</v>
      </c>
      <c r="T231" s="90"/>
      <c r="U231" s="140" t="s">
        <v>214</v>
      </c>
      <c r="V231" s="90"/>
      <c r="W231" s="140" t="s">
        <v>207</v>
      </c>
      <c r="X231" s="90"/>
      <c r="Y231" s="140" t="s">
        <v>207</v>
      </c>
      <c r="Z231" s="177" t="str">
        <f t="shared" si="11"/>
        <v>NC</v>
      </c>
      <c r="AA231" s="190" t="str">
        <f t="shared" si="10"/>
        <v>UTILIZOU O PDA CORRETAMENTE. NÃO HÁ FOTOS DE TODAS AS ETAPAS</v>
      </c>
      <c r="AB231" s="90"/>
      <c r="AC231" s="156" t="s">
        <v>36</v>
      </c>
      <c r="AD231" s="145" t="str">
        <f t="shared" si="12"/>
        <v>SÃO PAULO</v>
      </c>
      <c r="AE231" s="92" t="s">
        <v>79</v>
      </c>
    </row>
    <row r="232" spans="1:32" ht="30" customHeight="1">
      <c r="A232" s="197" t="s">
        <v>198</v>
      </c>
      <c r="B232" s="197">
        <v>2619819092</v>
      </c>
      <c r="C232" s="197" t="s">
        <v>1923</v>
      </c>
      <c r="D232" s="197" t="s">
        <v>79</v>
      </c>
      <c r="E232" s="197" t="s">
        <v>35</v>
      </c>
      <c r="F232" s="197" t="s">
        <v>233</v>
      </c>
      <c r="G232" s="197">
        <v>400</v>
      </c>
      <c r="H232" s="197" t="s">
        <v>200</v>
      </c>
      <c r="I232" s="197" t="s">
        <v>234</v>
      </c>
      <c r="J232" s="205" t="s">
        <v>1915</v>
      </c>
      <c r="K232" s="197" t="s">
        <v>200</v>
      </c>
      <c r="L232" s="203">
        <v>46153.324999999997</v>
      </c>
      <c r="M232" s="203">
        <v>46153.353472222225</v>
      </c>
      <c r="N232" s="197" t="s">
        <v>1922</v>
      </c>
      <c r="O232" s="152" t="s">
        <v>207</v>
      </c>
      <c r="P232" s="90"/>
      <c r="Q232" s="140" t="s">
        <v>214</v>
      </c>
      <c r="R232" s="90"/>
      <c r="S232" s="140" t="s">
        <v>214</v>
      </c>
      <c r="T232" s="90"/>
      <c r="U232" s="140" t="s">
        <v>214</v>
      </c>
      <c r="V232" s="90"/>
      <c r="W232" s="140" t="s">
        <v>207</v>
      </c>
      <c r="X232" s="90"/>
      <c r="Y232" s="140" t="s">
        <v>207</v>
      </c>
      <c r="Z232" s="177" t="str">
        <f t="shared" si="11"/>
        <v>NC</v>
      </c>
      <c r="AA232" s="190" t="str">
        <f t="shared" si="10"/>
        <v>UTILIZOU O PDA CORRETAMENTE. NÃO HÁ FOTOS DE TODAS AS ETAPAS</v>
      </c>
      <c r="AB232" s="90"/>
      <c r="AC232" s="156" t="s">
        <v>36</v>
      </c>
      <c r="AD232" s="145" t="str">
        <f t="shared" si="12"/>
        <v>SÃO PAULO</v>
      </c>
      <c r="AE232" s="92" t="s">
        <v>79</v>
      </c>
    </row>
    <row r="233" spans="1:32" ht="30" customHeight="1">
      <c r="A233" s="197" t="s">
        <v>198</v>
      </c>
      <c r="B233" s="197">
        <v>2619819732</v>
      </c>
      <c r="C233" s="197" t="s">
        <v>1923</v>
      </c>
      <c r="D233" s="197" t="s">
        <v>79</v>
      </c>
      <c r="E233" s="197" t="s">
        <v>35</v>
      </c>
      <c r="F233" s="197" t="s">
        <v>2094</v>
      </c>
      <c r="G233" s="197">
        <v>56</v>
      </c>
      <c r="H233" s="197" t="s">
        <v>208</v>
      </c>
      <c r="I233" s="197" t="s">
        <v>259</v>
      </c>
      <c r="J233" s="205" t="s">
        <v>1915</v>
      </c>
      <c r="K233" s="197"/>
      <c r="L233" s="203">
        <v>46153.556250000001</v>
      </c>
      <c r="M233" s="203">
        <v>46153.563888888886</v>
      </c>
      <c r="N233" s="197" t="s">
        <v>1919</v>
      </c>
      <c r="O233" s="152" t="s">
        <v>207</v>
      </c>
      <c r="P233" s="90"/>
      <c r="Q233" s="140" t="s">
        <v>207</v>
      </c>
      <c r="R233" s="90"/>
      <c r="S233" s="140" t="s">
        <v>214</v>
      </c>
      <c r="T233" s="90"/>
      <c r="U233" s="140" t="s">
        <v>214</v>
      </c>
      <c r="V233" s="90"/>
      <c r="W233" s="140" t="s">
        <v>207</v>
      </c>
      <c r="X233" s="90"/>
      <c r="Y233" s="140" t="s">
        <v>207</v>
      </c>
      <c r="Z233" s="177" t="str">
        <f t="shared" si="11"/>
        <v>NC</v>
      </c>
      <c r="AA233" s="190" t="str">
        <f t="shared" si="10"/>
        <v>UTILIZOU O PDA CORRETAMENTE. NÃO HÁ FOTOS DE TODAS AS ETAPAS</v>
      </c>
      <c r="AB233" s="90"/>
      <c r="AC233" s="156" t="s">
        <v>36</v>
      </c>
      <c r="AD233" s="145" t="str">
        <f t="shared" si="12"/>
        <v>SÃO PAULO</v>
      </c>
      <c r="AE233" s="92" t="s">
        <v>79</v>
      </c>
    </row>
    <row r="234" spans="1:32" ht="30" customHeight="1">
      <c r="A234" s="197" t="s">
        <v>198</v>
      </c>
      <c r="B234" s="197">
        <v>2619845573</v>
      </c>
      <c r="C234" s="197" t="s">
        <v>1923</v>
      </c>
      <c r="D234" s="197" t="s">
        <v>79</v>
      </c>
      <c r="E234" s="197" t="s">
        <v>35</v>
      </c>
      <c r="F234" s="197" t="s">
        <v>1131</v>
      </c>
      <c r="G234" s="197">
        <v>29</v>
      </c>
      <c r="H234" s="197" t="s">
        <v>205</v>
      </c>
      <c r="I234" s="197" t="s">
        <v>417</v>
      </c>
      <c r="J234" s="205" t="s">
        <v>1915</v>
      </c>
      <c r="K234" s="197" t="s">
        <v>200</v>
      </c>
      <c r="L234" s="203">
        <v>46153.470138888886</v>
      </c>
      <c r="M234" s="203">
        <v>46153.477083333331</v>
      </c>
      <c r="N234" s="197" t="s">
        <v>1944</v>
      </c>
      <c r="O234" s="152" t="s">
        <v>214</v>
      </c>
      <c r="P234" s="90"/>
      <c r="Q234" s="140" t="s">
        <v>214</v>
      </c>
      <c r="R234" s="90"/>
      <c r="S234" s="140" t="s">
        <v>214</v>
      </c>
      <c r="T234" s="90"/>
      <c r="U234" s="140" t="s">
        <v>214</v>
      </c>
      <c r="V234" s="90"/>
      <c r="W234" s="140" t="s">
        <v>214</v>
      </c>
      <c r="X234" s="90"/>
      <c r="Y234" s="140" t="s">
        <v>215</v>
      </c>
      <c r="Z234" s="177" t="str">
        <f t="shared" si="11"/>
        <v>NC</v>
      </c>
      <c r="AA234" s="190" t="str">
        <f t="shared" si="10"/>
        <v>NÃO UTILIZOU O PDA</v>
      </c>
      <c r="AB234" s="90"/>
      <c r="AC234" s="156" t="s">
        <v>36</v>
      </c>
      <c r="AD234" s="145" t="str">
        <f t="shared" si="12"/>
        <v>SÃO PAULO</v>
      </c>
      <c r="AE234" s="92" t="s">
        <v>79</v>
      </c>
    </row>
    <row r="235" spans="1:32" ht="30" customHeight="1">
      <c r="A235" s="197" t="s">
        <v>198</v>
      </c>
      <c r="B235" s="197">
        <v>2619845866</v>
      </c>
      <c r="C235" s="197" t="s">
        <v>1923</v>
      </c>
      <c r="D235" s="197" t="s">
        <v>79</v>
      </c>
      <c r="E235" s="197" t="s">
        <v>35</v>
      </c>
      <c r="F235" s="197" t="s">
        <v>2095</v>
      </c>
      <c r="G235" s="197">
        <v>89</v>
      </c>
      <c r="H235" s="197" t="s">
        <v>208</v>
      </c>
      <c r="I235" s="197" t="s">
        <v>2020</v>
      </c>
      <c r="J235" s="205" t="s">
        <v>1915</v>
      </c>
      <c r="K235" s="197"/>
      <c r="L235" s="203">
        <v>46153.47152777778</v>
      </c>
      <c r="M235" s="203">
        <v>46153.472222222219</v>
      </c>
      <c r="N235" s="197" t="s">
        <v>1944</v>
      </c>
      <c r="O235" s="152" t="s">
        <v>207</v>
      </c>
      <c r="P235" s="90"/>
      <c r="Q235" s="140" t="s">
        <v>207</v>
      </c>
      <c r="R235" s="90"/>
      <c r="S235" s="140" t="s">
        <v>214</v>
      </c>
      <c r="T235" s="90"/>
      <c r="U235" s="140" t="s">
        <v>214</v>
      </c>
      <c r="V235" s="90"/>
      <c r="W235" s="140" t="s">
        <v>207</v>
      </c>
      <c r="X235" s="90"/>
      <c r="Y235" s="140" t="s">
        <v>207</v>
      </c>
      <c r="Z235" s="177" t="str">
        <f t="shared" si="11"/>
        <v>NC</v>
      </c>
      <c r="AA235" s="190" t="str">
        <f t="shared" si="10"/>
        <v>UTILIZOU O PDA CORRETAMENTE. NÃO HÁ FOTOS DE TODAS AS ETAPAS</v>
      </c>
      <c r="AB235" s="90"/>
      <c r="AC235" s="156" t="s">
        <v>36</v>
      </c>
      <c r="AD235" s="145" t="str">
        <f t="shared" si="12"/>
        <v>SÃO PAULO</v>
      </c>
      <c r="AE235" s="92" t="s">
        <v>79</v>
      </c>
    </row>
    <row r="236" spans="1:32" ht="30" customHeight="1">
      <c r="A236" s="197" t="s">
        <v>198</v>
      </c>
      <c r="B236" s="197">
        <v>2619862526</v>
      </c>
      <c r="C236" s="197" t="s">
        <v>149</v>
      </c>
      <c r="D236" s="197" t="s">
        <v>140</v>
      </c>
      <c r="E236" s="197" t="s">
        <v>35</v>
      </c>
      <c r="F236" s="197" t="s">
        <v>671</v>
      </c>
      <c r="G236" s="197">
        <v>18</v>
      </c>
      <c r="H236" s="197" t="s">
        <v>347</v>
      </c>
      <c r="I236" s="197" t="s">
        <v>433</v>
      </c>
      <c r="J236" s="205" t="s">
        <v>1918</v>
      </c>
      <c r="K236" s="197" t="s">
        <v>2060</v>
      </c>
      <c r="L236" s="203">
        <v>46153.737500000003</v>
      </c>
      <c r="M236" s="203">
        <v>46153.738194444442</v>
      </c>
      <c r="N236" s="197" t="s">
        <v>1925</v>
      </c>
      <c r="O236" s="152" t="s">
        <v>214</v>
      </c>
      <c r="P236" s="90"/>
      <c r="Q236" s="140" t="s">
        <v>214</v>
      </c>
      <c r="R236" s="90"/>
      <c r="S236" s="140" t="s">
        <v>214</v>
      </c>
      <c r="T236" s="90"/>
      <c r="U236" s="140" t="s">
        <v>214</v>
      </c>
      <c r="V236" s="90"/>
      <c r="W236" s="140" t="s">
        <v>214</v>
      </c>
      <c r="X236" s="90"/>
      <c r="Y236" s="140" t="s">
        <v>215</v>
      </c>
      <c r="Z236" s="177" t="str">
        <f t="shared" si="11"/>
        <v>NC</v>
      </c>
      <c r="AA236" s="190" t="str">
        <f t="shared" si="10"/>
        <v>NÃO UTILIZOU O PDA</v>
      </c>
      <c r="AB236" s="90"/>
      <c r="AC236" s="156" t="s">
        <v>36</v>
      </c>
      <c r="AD236" s="145" t="str">
        <f t="shared" si="12"/>
        <v>SÃO PAULO</v>
      </c>
      <c r="AE236" s="92" t="s">
        <v>79</v>
      </c>
    </row>
    <row r="237" spans="1:32" ht="30" customHeight="1">
      <c r="A237" s="197" t="s">
        <v>198</v>
      </c>
      <c r="B237" s="197">
        <v>2619862861</v>
      </c>
      <c r="C237" s="197" t="s">
        <v>149</v>
      </c>
      <c r="D237" s="197" t="s">
        <v>140</v>
      </c>
      <c r="E237" s="197" t="s">
        <v>35</v>
      </c>
      <c r="F237" s="197" t="s">
        <v>671</v>
      </c>
      <c r="G237" s="197">
        <v>19</v>
      </c>
      <c r="H237" s="197" t="s">
        <v>208</v>
      </c>
      <c r="I237" s="197" t="s">
        <v>433</v>
      </c>
      <c r="J237" s="205" t="s">
        <v>1918</v>
      </c>
      <c r="K237" s="197" t="s">
        <v>2060</v>
      </c>
      <c r="L237" s="203">
        <v>46153.703472222223</v>
      </c>
      <c r="M237" s="203">
        <v>46153.70416666667</v>
      </c>
      <c r="N237" s="197" t="s">
        <v>1925</v>
      </c>
      <c r="O237" s="152" t="s">
        <v>214</v>
      </c>
      <c r="P237" s="90"/>
      <c r="Q237" s="140" t="s">
        <v>214</v>
      </c>
      <c r="R237" s="90"/>
      <c r="S237" s="140" t="s">
        <v>214</v>
      </c>
      <c r="T237" s="90"/>
      <c r="U237" s="140" t="s">
        <v>214</v>
      </c>
      <c r="V237" s="90"/>
      <c r="W237" s="140" t="s">
        <v>214</v>
      </c>
      <c r="X237" s="90"/>
      <c r="Y237" s="140" t="s">
        <v>215</v>
      </c>
      <c r="Z237" s="177" t="str">
        <f t="shared" si="11"/>
        <v>NC</v>
      </c>
      <c r="AA237" s="190" t="str">
        <f t="shared" si="10"/>
        <v>NÃO UTILIZOU O PDA</v>
      </c>
      <c r="AB237" s="90"/>
      <c r="AC237" s="156" t="s">
        <v>36</v>
      </c>
      <c r="AD237" s="145" t="str">
        <f t="shared" si="12"/>
        <v>SÃO PAULO</v>
      </c>
      <c r="AE237" s="92" t="s">
        <v>79</v>
      </c>
    </row>
    <row r="238" spans="1:32" ht="30" customHeight="1">
      <c r="A238" s="197" t="s">
        <v>198</v>
      </c>
      <c r="B238" s="197">
        <v>2619867645</v>
      </c>
      <c r="C238" s="197" t="s">
        <v>151</v>
      </c>
      <c r="D238" s="197" t="s">
        <v>140</v>
      </c>
      <c r="E238" s="197" t="s">
        <v>35</v>
      </c>
      <c r="F238" s="197" t="s">
        <v>2096</v>
      </c>
      <c r="G238" s="197">
        <v>19</v>
      </c>
      <c r="H238" s="197" t="s">
        <v>2097</v>
      </c>
      <c r="I238" s="197" t="s">
        <v>293</v>
      </c>
      <c r="J238" s="205" t="s">
        <v>1966</v>
      </c>
      <c r="K238" s="197" t="s">
        <v>200</v>
      </c>
      <c r="L238" s="203">
        <v>46153.685416666667</v>
      </c>
      <c r="M238" s="203">
        <v>46153.686111111114</v>
      </c>
      <c r="N238" s="197" t="s">
        <v>345</v>
      </c>
      <c r="O238" s="152" t="s">
        <v>77</v>
      </c>
      <c r="P238" s="90"/>
      <c r="Q238" s="152" t="s">
        <v>77</v>
      </c>
      <c r="R238" s="90"/>
      <c r="S238" s="152" t="s">
        <v>77</v>
      </c>
      <c r="T238" s="90"/>
      <c r="U238" s="152" t="s">
        <v>77</v>
      </c>
      <c r="V238" s="90"/>
      <c r="W238" s="152" t="s">
        <v>77</v>
      </c>
      <c r="X238" s="90"/>
      <c r="Y238" s="152" t="s">
        <v>77</v>
      </c>
      <c r="Z238" s="177" t="str">
        <f t="shared" si="11"/>
        <v>NA</v>
      </c>
      <c r="AA238" s="190" t="str">
        <f t="shared" si="10"/>
        <v>NÃO AVALIADO POR FALHA DE SINCRONISMO</v>
      </c>
      <c r="AB238" s="90"/>
      <c r="AC238" s="156" t="s">
        <v>36</v>
      </c>
      <c r="AD238" s="145" t="str">
        <f t="shared" si="12"/>
        <v>SÃO PAULO</v>
      </c>
      <c r="AE238" s="92" t="s">
        <v>79</v>
      </c>
    </row>
    <row r="239" spans="1:32" ht="30" customHeight="1">
      <c r="A239" s="197" t="s">
        <v>198</v>
      </c>
      <c r="B239" s="197">
        <v>2619830671</v>
      </c>
      <c r="C239" s="197" t="s">
        <v>144</v>
      </c>
      <c r="D239" s="197" t="s">
        <v>140</v>
      </c>
      <c r="E239" s="197" t="s">
        <v>35</v>
      </c>
      <c r="F239" s="197" t="s">
        <v>318</v>
      </c>
      <c r="G239" s="197">
        <v>14</v>
      </c>
      <c r="H239" s="197"/>
      <c r="I239" s="197" t="s">
        <v>319</v>
      </c>
      <c r="J239" s="205" t="s">
        <v>1954</v>
      </c>
      <c r="K239" s="197" t="s">
        <v>705</v>
      </c>
      <c r="L239" s="203">
        <v>46154.279166666667</v>
      </c>
      <c r="M239" s="203">
        <v>46154.298611111109</v>
      </c>
      <c r="N239" s="197" t="s">
        <v>706</v>
      </c>
      <c r="O239" s="152" t="s">
        <v>207</v>
      </c>
      <c r="P239" s="90"/>
      <c r="Q239" s="140" t="s">
        <v>207</v>
      </c>
      <c r="R239" s="90"/>
      <c r="S239" s="140" t="s">
        <v>207</v>
      </c>
      <c r="T239" s="90"/>
      <c r="U239" s="140" t="s">
        <v>207</v>
      </c>
      <c r="V239" s="90"/>
      <c r="W239" s="140" t="s">
        <v>207</v>
      </c>
      <c r="X239" s="90"/>
      <c r="Y239" s="140" t="s">
        <v>207</v>
      </c>
      <c r="Z239" s="177" t="str">
        <f t="shared" si="11"/>
        <v>C</v>
      </c>
      <c r="AA239" s="190" t="str">
        <f t="shared" si="10"/>
        <v>UTILIZOU O PDA CORRETAMENTE</v>
      </c>
      <c r="AB239" s="90"/>
      <c r="AC239" s="156" t="s">
        <v>36</v>
      </c>
      <c r="AD239" s="145" t="str">
        <f t="shared" si="12"/>
        <v>SÃO PAULO</v>
      </c>
      <c r="AE239" s="92" t="s">
        <v>79</v>
      </c>
    </row>
    <row r="240" spans="1:32" ht="30" customHeight="1">
      <c r="A240" s="197" t="s">
        <v>198</v>
      </c>
      <c r="B240" s="197">
        <v>2619830356</v>
      </c>
      <c r="C240" s="197" t="s">
        <v>144</v>
      </c>
      <c r="D240" s="197" t="s">
        <v>140</v>
      </c>
      <c r="E240" s="197" t="s">
        <v>35</v>
      </c>
      <c r="F240" s="197" t="s">
        <v>2098</v>
      </c>
      <c r="G240" s="197">
        <v>12</v>
      </c>
      <c r="H240" s="197" t="s">
        <v>205</v>
      </c>
      <c r="I240" s="197" t="s">
        <v>417</v>
      </c>
      <c r="J240" s="205" t="s">
        <v>1954</v>
      </c>
      <c r="K240" s="197" t="s">
        <v>705</v>
      </c>
      <c r="L240" s="203">
        <v>46154.277777777781</v>
      </c>
      <c r="M240" s="203">
        <v>46154.3</v>
      </c>
      <c r="N240" s="197" t="s">
        <v>706</v>
      </c>
      <c r="O240" s="152" t="s">
        <v>207</v>
      </c>
      <c r="P240" s="90"/>
      <c r="Q240" s="152" t="s">
        <v>207</v>
      </c>
      <c r="R240" s="90"/>
      <c r="S240" s="152" t="s">
        <v>207</v>
      </c>
      <c r="T240" s="90"/>
      <c r="U240" s="152" t="s">
        <v>207</v>
      </c>
      <c r="V240" s="90"/>
      <c r="W240" s="152" t="s">
        <v>207</v>
      </c>
      <c r="X240" s="90"/>
      <c r="Y240" s="152" t="s">
        <v>207</v>
      </c>
      <c r="Z240" s="177" t="str">
        <f t="shared" si="11"/>
        <v>C</v>
      </c>
      <c r="AA240" s="190" t="str">
        <f t="shared" si="10"/>
        <v>UTILIZOU O PDA CORRETAMENTE</v>
      </c>
      <c r="AB240" s="90"/>
      <c r="AC240" s="156" t="s">
        <v>36</v>
      </c>
      <c r="AD240" s="145" t="str">
        <f t="shared" si="12"/>
        <v>SÃO PAULO</v>
      </c>
      <c r="AE240" s="92" t="s">
        <v>79</v>
      </c>
    </row>
    <row r="241" spans="1:31" ht="30" customHeight="1">
      <c r="A241" s="197" t="s">
        <v>198</v>
      </c>
      <c r="B241" s="197">
        <v>2619832220</v>
      </c>
      <c r="C241" s="197" t="s">
        <v>144</v>
      </c>
      <c r="D241" s="197" t="s">
        <v>140</v>
      </c>
      <c r="E241" s="197" t="s">
        <v>35</v>
      </c>
      <c r="F241" s="197" t="s">
        <v>1390</v>
      </c>
      <c r="G241" s="197">
        <v>258</v>
      </c>
      <c r="H241" s="197" t="s">
        <v>208</v>
      </c>
      <c r="I241" s="197" t="s">
        <v>598</v>
      </c>
      <c r="J241" s="205" t="s">
        <v>1954</v>
      </c>
      <c r="K241" s="197" t="s">
        <v>705</v>
      </c>
      <c r="L241" s="203">
        <v>46154.295138888891</v>
      </c>
      <c r="M241" s="203">
        <v>46154.303472222222</v>
      </c>
      <c r="N241" s="197" t="s">
        <v>706</v>
      </c>
      <c r="O241" s="152" t="s">
        <v>207</v>
      </c>
      <c r="P241" s="90"/>
      <c r="Q241" s="140" t="s">
        <v>207</v>
      </c>
      <c r="R241" s="90"/>
      <c r="S241" s="140" t="s">
        <v>214</v>
      </c>
      <c r="T241" s="90"/>
      <c r="U241" s="140" t="s">
        <v>214</v>
      </c>
      <c r="V241" s="90"/>
      <c r="W241" s="140" t="s">
        <v>207</v>
      </c>
      <c r="X241" s="90"/>
      <c r="Y241" s="140" t="s">
        <v>207</v>
      </c>
      <c r="Z241" s="177" t="str">
        <f t="shared" si="11"/>
        <v>NC</v>
      </c>
      <c r="AA241" s="190" t="str">
        <f t="shared" si="10"/>
        <v>UTILIZOU O PDA CORRETAMENTE. NÃO HÁ FOTOS DE TODAS AS ETAPAS</v>
      </c>
      <c r="AB241" s="90"/>
      <c r="AC241" s="156" t="s">
        <v>36</v>
      </c>
      <c r="AD241" s="145" t="str">
        <f t="shared" si="12"/>
        <v>SÃO PAULO</v>
      </c>
      <c r="AE241" s="92" t="s">
        <v>79</v>
      </c>
    </row>
    <row r="242" spans="1:31" ht="30" customHeight="1">
      <c r="A242" s="197" t="s">
        <v>198</v>
      </c>
      <c r="B242" s="197">
        <v>2619832041</v>
      </c>
      <c r="C242" s="197" t="s">
        <v>144</v>
      </c>
      <c r="D242" s="197" t="s">
        <v>140</v>
      </c>
      <c r="E242" s="197" t="s">
        <v>35</v>
      </c>
      <c r="F242" s="197" t="s">
        <v>2099</v>
      </c>
      <c r="G242" s="197">
        <v>45</v>
      </c>
      <c r="H242" s="197" t="s">
        <v>595</v>
      </c>
      <c r="I242" s="197" t="s">
        <v>284</v>
      </c>
      <c r="J242" s="205" t="s">
        <v>1954</v>
      </c>
      <c r="K242" s="197" t="s">
        <v>705</v>
      </c>
      <c r="L242" s="203">
        <v>46154.284722222219</v>
      </c>
      <c r="M242" s="203">
        <v>46154.300694444442</v>
      </c>
      <c r="N242" s="197" t="s">
        <v>706</v>
      </c>
      <c r="O242" s="152" t="s">
        <v>207</v>
      </c>
      <c r="P242" s="90"/>
      <c r="Q242" s="140" t="s">
        <v>207</v>
      </c>
      <c r="R242" s="90"/>
      <c r="S242" s="140" t="s">
        <v>214</v>
      </c>
      <c r="T242" s="90"/>
      <c r="U242" s="140" t="s">
        <v>214</v>
      </c>
      <c r="V242" s="90"/>
      <c r="W242" s="140" t="s">
        <v>207</v>
      </c>
      <c r="X242" s="90"/>
      <c r="Y242" s="140" t="s">
        <v>207</v>
      </c>
      <c r="Z242" s="177" t="str">
        <f t="shared" si="11"/>
        <v>NC</v>
      </c>
      <c r="AA242" s="190" t="str">
        <f t="shared" si="10"/>
        <v>UTILIZOU O PDA CORRETAMENTE. NÃO HÁ FOTOS DE TODAS AS ETAPAS</v>
      </c>
      <c r="AB242" s="90"/>
      <c r="AC242" s="156" t="s">
        <v>36</v>
      </c>
      <c r="AD242" s="145" t="str">
        <f t="shared" si="12"/>
        <v>SÃO PAULO</v>
      </c>
      <c r="AE242" s="92" t="s">
        <v>79</v>
      </c>
    </row>
    <row r="243" spans="1:31" ht="30" customHeight="1">
      <c r="A243" s="197" t="s">
        <v>198</v>
      </c>
      <c r="B243" s="197">
        <v>2619830046</v>
      </c>
      <c r="C243" s="197" t="s">
        <v>144</v>
      </c>
      <c r="D243" s="197" t="s">
        <v>140</v>
      </c>
      <c r="E243" s="197" t="s">
        <v>35</v>
      </c>
      <c r="F243" s="197" t="s">
        <v>321</v>
      </c>
      <c r="G243" s="197">
        <v>860</v>
      </c>
      <c r="H243" s="197" t="s">
        <v>208</v>
      </c>
      <c r="I243" s="197" t="s">
        <v>322</v>
      </c>
      <c r="J243" s="205" t="s">
        <v>1954</v>
      </c>
      <c r="K243" s="197" t="s">
        <v>705</v>
      </c>
      <c r="L243" s="203">
        <v>46154.267361111109</v>
      </c>
      <c r="M243" s="203">
        <v>46154.291666666664</v>
      </c>
      <c r="N243" s="197" t="s">
        <v>706</v>
      </c>
      <c r="O243" s="152" t="s">
        <v>207</v>
      </c>
      <c r="P243" s="90"/>
      <c r="Q243" s="140" t="s">
        <v>207</v>
      </c>
      <c r="R243" s="90"/>
      <c r="S243" s="140" t="s">
        <v>207</v>
      </c>
      <c r="T243" s="90"/>
      <c r="U243" s="140" t="s">
        <v>207</v>
      </c>
      <c r="V243" s="90"/>
      <c r="W243" s="140" t="s">
        <v>207</v>
      </c>
      <c r="X243" s="90"/>
      <c r="Y243" s="140" t="s">
        <v>207</v>
      </c>
      <c r="Z243" s="177" t="str">
        <f t="shared" si="11"/>
        <v>C</v>
      </c>
      <c r="AA243" s="190" t="str">
        <f t="shared" si="10"/>
        <v>UTILIZOU O PDA CORRETAMENTE</v>
      </c>
      <c r="AB243" s="90"/>
      <c r="AC243" s="156" t="s">
        <v>36</v>
      </c>
      <c r="AD243" s="145" t="str">
        <f t="shared" si="12"/>
        <v>SÃO PAULO</v>
      </c>
      <c r="AE243" s="92" t="s">
        <v>79</v>
      </c>
    </row>
    <row r="244" spans="1:31" ht="30" customHeight="1">
      <c r="A244" s="197" t="s">
        <v>198</v>
      </c>
      <c r="B244" s="197">
        <v>2619830166</v>
      </c>
      <c r="C244" s="197" t="s">
        <v>143</v>
      </c>
      <c r="D244" s="197" t="s">
        <v>79</v>
      </c>
      <c r="E244" s="197" t="s">
        <v>35</v>
      </c>
      <c r="F244" s="197" t="s">
        <v>2100</v>
      </c>
      <c r="G244" s="197">
        <v>283</v>
      </c>
      <c r="H244" s="197" t="s">
        <v>208</v>
      </c>
      <c r="I244" s="197" t="s">
        <v>303</v>
      </c>
      <c r="J244" s="205" t="s">
        <v>1915</v>
      </c>
      <c r="K244" s="197" t="s">
        <v>200</v>
      </c>
      <c r="L244" s="203">
        <v>46154.35833333333</v>
      </c>
      <c r="M244" s="203">
        <v>46154.365972222222</v>
      </c>
      <c r="N244" s="197" t="s">
        <v>1944</v>
      </c>
      <c r="O244" s="152" t="s">
        <v>207</v>
      </c>
      <c r="P244" s="90"/>
      <c r="Q244" s="140" t="s">
        <v>207</v>
      </c>
      <c r="R244" s="90"/>
      <c r="S244" s="140" t="s">
        <v>207</v>
      </c>
      <c r="T244" s="90"/>
      <c r="U244" s="140" t="s">
        <v>207</v>
      </c>
      <c r="V244" s="90"/>
      <c r="W244" s="140" t="s">
        <v>207</v>
      </c>
      <c r="X244" s="90"/>
      <c r="Y244" s="140" t="s">
        <v>207</v>
      </c>
      <c r="Z244" s="177" t="str">
        <f t="shared" si="11"/>
        <v>C</v>
      </c>
      <c r="AA244" s="190" t="str">
        <f t="shared" si="10"/>
        <v>UTILIZOU O PDA CORRETAMENTE</v>
      </c>
      <c r="AB244" s="90"/>
      <c r="AC244" s="156" t="s">
        <v>36</v>
      </c>
      <c r="AD244" s="145" t="str">
        <f t="shared" si="12"/>
        <v>SÃO PAULO</v>
      </c>
      <c r="AE244" s="92" t="s">
        <v>79</v>
      </c>
    </row>
    <row r="245" spans="1:31" ht="30" customHeight="1">
      <c r="A245" s="197" t="s">
        <v>198</v>
      </c>
      <c r="B245" s="197">
        <v>2693075054</v>
      </c>
      <c r="C245" s="197" t="s">
        <v>143</v>
      </c>
      <c r="D245" s="197" t="s">
        <v>79</v>
      </c>
      <c r="E245" s="197" t="s">
        <v>35</v>
      </c>
      <c r="F245" s="197" t="s">
        <v>2101</v>
      </c>
      <c r="G245" s="197">
        <v>20</v>
      </c>
      <c r="H245" s="197" t="s">
        <v>257</v>
      </c>
      <c r="I245" s="197" t="s">
        <v>417</v>
      </c>
      <c r="J245" s="205" t="s">
        <v>1915</v>
      </c>
      <c r="K245" s="197"/>
      <c r="L245" s="203">
        <v>46154.3125</v>
      </c>
      <c r="M245" s="203">
        <v>46154.314583333333</v>
      </c>
      <c r="N245" s="197" t="s">
        <v>1944</v>
      </c>
      <c r="O245" s="152" t="s">
        <v>207</v>
      </c>
      <c r="P245" s="90"/>
      <c r="Q245" s="140" t="s">
        <v>207</v>
      </c>
      <c r="R245" s="90"/>
      <c r="S245" s="140" t="s">
        <v>207</v>
      </c>
      <c r="T245" s="90"/>
      <c r="U245" s="140" t="s">
        <v>207</v>
      </c>
      <c r="V245" s="90"/>
      <c r="W245" s="140" t="s">
        <v>207</v>
      </c>
      <c r="X245" s="90"/>
      <c r="Y245" s="140" t="s">
        <v>207</v>
      </c>
      <c r="Z245" s="177" t="str">
        <f t="shared" si="11"/>
        <v>C</v>
      </c>
      <c r="AA245" s="190" t="str">
        <f t="shared" si="10"/>
        <v>UTILIZOU O PDA CORRETAMENTE</v>
      </c>
      <c r="AB245" s="90"/>
      <c r="AC245" s="156" t="s">
        <v>36</v>
      </c>
      <c r="AD245" s="145" t="str">
        <f t="shared" si="12"/>
        <v>SÃO PAULO</v>
      </c>
      <c r="AE245" s="92" t="s">
        <v>79</v>
      </c>
    </row>
    <row r="246" spans="1:31" ht="30" customHeight="1">
      <c r="A246" s="197" t="s">
        <v>198</v>
      </c>
      <c r="B246" s="197">
        <v>2693088590</v>
      </c>
      <c r="C246" s="197" t="s">
        <v>143</v>
      </c>
      <c r="D246" s="197" t="s">
        <v>79</v>
      </c>
      <c r="E246" s="197" t="s">
        <v>35</v>
      </c>
      <c r="F246" s="197" t="s">
        <v>2102</v>
      </c>
      <c r="G246" s="197">
        <v>19</v>
      </c>
      <c r="H246" s="197" t="s">
        <v>2103</v>
      </c>
      <c r="I246" s="197" t="s">
        <v>596</v>
      </c>
      <c r="J246" s="205" t="s">
        <v>1915</v>
      </c>
      <c r="K246" s="197" t="s">
        <v>200</v>
      </c>
      <c r="L246" s="203">
        <v>46154.59375</v>
      </c>
      <c r="M246" s="203">
        <v>46154.594444444447</v>
      </c>
      <c r="N246" s="197" t="s">
        <v>1944</v>
      </c>
      <c r="O246" s="152" t="s">
        <v>207</v>
      </c>
      <c r="P246" s="90"/>
      <c r="Q246" s="140" t="s">
        <v>207</v>
      </c>
      <c r="R246" s="90"/>
      <c r="S246" s="140" t="s">
        <v>207</v>
      </c>
      <c r="T246" s="90"/>
      <c r="U246" s="140" t="s">
        <v>207</v>
      </c>
      <c r="V246" s="90"/>
      <c r="W246" s="140" t="s">
        <v>207</v>
      </c>
      <c r="X246" s="90"/>
      <c r="Y246" s="140" t="s">
        <v>207</v>
      </c>
      <c r="Z246" s="177" t="str">
        <f t="shared" si="11"/>
        <v>C</v>
      </c>
      <c r="AA246" s="190" t="str">
        <f t="shared" si="10"/>
        <v>UTILIZOU O PDA CORRETAMENTE</v>
      </c>
      <c r="AB246" s="90"/>
      <c r="AC246" s="156" t="s">
        <v>36</v>
      </c>
      <c r="AD246" s="145" t="str">
        <f t="shared" si="12"/>
        <v>SÃO PAULO</v>
      </c>
      <c r="AE246" s="92" t="s">
        <v>79</v>
      </c>
    </row>
    <row r="247" spans="1:31" ht="30" customHeight="1">
      <c r="A247" s="197" t="s">
        <v>198</v>
      </c>
      <c r="B247" s="197">
        <v>2693034880</v>
      </c>
      <c r="C247" s="197" t="s">
        <v>143</v>
      </c>
      <c r="D247" s="197" t="s">
        <v>79</v>
      </c>
      <c r="E247" s="197" t="s">
        <v>35</v>
      </c>
      <c r="F247" s="197" t="s">
        <v>286</v>
      </c>
      <c r="G247" s="197">
        <v>3576</v>
      </c>
      <c r="H247" s="197" t="s">
        <v>380</v>
      </c>
      <c r="I247" s="197" t="s">
        <v>717</v>
      </c>
      <c r="J247" s="205" t="s">
        <v>1918</v>
      </c>
      <c r="K247" s="197" t="s">
        <v>200</v>
      </c>
      <c r="L247" s="203">
        <v>46154.351388888892</v>
      </c>
      <c r="M247" s="203">
        <v>46154.356249999997</v>
      </c>
      <c r="N247" s="197" t="s">
        <v>1919</v>
      </c>
      <c r="O247" s="152" t="s">
        <v>207</v>
      </c>
      <c r="P247" s="90"/>
      <c r="Q247" s="140" t="s">
        <v>207</v>
      </c>
      <c r="R247" s="90"/>
      <c r="S247" s="140" t="s">
        <v>207</v>
      </c>
      <c r="T247" s="90"/>
      <c r="U247" s="140" t="s">
        <v>207</v>
      </c>
      <c r="V247" s="90"/>
      <c r="W247" s="140" t="s">
        <v>207</v>
      </c>
      <c r="X247" s="90"/>
      <c r="Y247" s="140" t="s">
        <v>207</v>
      </c>
      <c r="Z247" s="177" t="str">
        <f t="shared" si="11"/>
        <v>C</v>
      </c>
      <c r="AA247" s="190" t="str">
        <f t="shared" si="10"/>
        <v>UTILIZOU O PDA CORRETAMENTE</v>
      </c>
      <c r="AB247" s="90"/>
      <c r="AC247" s="156" t="s">
        <v>36</v>
      </c>
      <c r="AD247" s="145" t="str">
        <f t="shared" si="12"/>
        <v>SÃO PAULO</v>
      </c>
      <c r="AE247" s="92" t="s">
        <v>79</v>
      </c>
    </row>
    <row r="248" spans="1:31" ht="30" customHeight="1">
      <c r="A248" s="197" t="s">
        <v>198</v>
      </c>
      <c r="B248" s="197">
        <v>2692979637</v>
      </c>
      <c r="C248" s="197" t="s">
        <v>143</v>
      </c>
      <c r="D248" s="197" t="s">
        <v>79</v>
      </c>
      <c r="E248" s="197" t="s">
        <v>35</v>
      </c>
      <c r="F248" s="197" t="s">
        <v>2104</v>
      </c>
      <c r="G248" s="197">
        <v>622</v>
      </c>
      <c r="H248" s="197" t="s">
        <v>347</v>
      </c>
      <c r="I248" s="197" t="s">
        <v>284</v>
      </c>
      <c r="J248" s="205" t="s">
        <v>1943</v>
      </c>
      <c r="K248" s="197"/>
      <c r="L248" s="203">
        <v>46154.270138888889</v>
      </c>
      <c r="M248" s="203">
        <v>46154.275694444441</v>
      </c>
      <c r="N248" s="197" t="s">
        <v>1931</v>
      </c>
      <c r="O248" s="152" t="s">
        <v>207</v>
      </c>
      <c r="P248" s="90"/>
      <c r="Q248" s="140" t="s">
        <v>207</v>
      </c>
      <c r="R248" s="90"/>
      <c r="S248" s="140" t="s">
        <v>207</v>
      </c>
      <c r="T248" s="90"/>
      <c r="U248" s="140" t="s">
        <v>207</v>
      </c>
      <c r="V248" s="90"/>
      <c r="W248" s="140" t="s">
        <v>207</v>
      </c>
      <c r="X248" s="90"/>
      <c r="Y248" s="140" t="s">
        <v>207</v>
      </c>
      <c r="Z248" s="177" t="str">
        <f t="shared" si="11"/>
        <v>C</v>
      </c>
      <c r="AA248" s="190" t="str">
        <f t="shared" si="10"/>
        <v>UTILIZOU O PDA CORRETAMENTE</v>
      </c>
      <c r="AB248" s="90"/>
      <c r="AC248" s="156" t="s">
        <v>36</v>
      </c>
      <c r="AD248" s="145" t="str">
        <f t="shared" si="12"/>
        <v>SÃO PAULO</v>
      </c>
      <c r="AE248" s="92" t="s">
        <v>79</v>
      </c>
    </row>
    <row r="249" spans="1:31" ht="30" customHeight="1">
      <c r="A249" s="197" t="s">
        <v>198</v>
      </c>
      <c r="B249" s="197">
        <v>2619825192</v>
      </c>
      <c r="C249" s="197" t="s">
        <v>143</v>
      </c>
      <c r="D249" s="197" t="s">
        <v>79</v>
      </c>
      <c r="E249" s="197" t="s">
        <v>35</v>
      </c>
      <c r="F249" s="197" t="s">
        <v>1899</v>
      </c>
      <c r="G249" s="197">
        <v>55</v>
      </c>
      <c r="H249" s="197" t="s">
        <v>208</v>
      </c>
      <c r="I249" s="197" t="s">
        <v>230</v>
      </c>
      <c r="J249" s="205" t="s">
        <v>1943</v>
      </c>
      <c r="K249" s="197" t="s">
        <v>200</v>
      </c>
      <c r="L249" s="203">
        <v>46154.365972222222</v>
      </c>
      <c r="M249" s="203">
        <v>46154.367361111108</v>
      </c>
      <c r="N249" s="197" t="s">
        <v>1931</v>
      </c>
      <c r="O249" s="152" t="s">
        <v>207</v>
      </c>
      <c r="P249" s="90"/>
      <c r="Q249" s="140" t="s">
        <v>207</v>
      </c>
      <c r="R249" s="90"/>
      <c r="S249" s="140" t="s">
        <v>214</v>
      </c>
      <c r="T249" s="90"/>
      <c r="U249" s="140" t="s">
        <v>214</v>
      </c>
      <c r="V249" s="90"/>
      <c r="W249" s="140" t="s">
        <v>207</v>
      </c>
      <c r="X249" s="90"/>
      <c r="Y249" s="140" t="s">
        <v>207</v>
      </c>
      <c r="Z249" s="177" t="str">
        <f t="shared" si="11"/>
        <v>NC</v>
      </c>
      <c r="AA249" s="190" t="str">
        <f t="shared" si="10"/>
        <v>UTILIZOU O PDA CORRETAMENTE. NÃO HÁ FOTOS DE TODAS AS ETAPAS</v>
      </c>
      <c r="AB249" s="90"/>
      <c r="AC249" s="156" t="s">
        <v>36</v>
      </c>
      <c r="AD249" s="145" t="str">
        <f t="shared" si="12"/>
        <v>SÃO PAULO</v>
      </c>
      <c r="AE249" s="92" t="s">
        <v>79</v>
      </c>
    </row>
    <row r="250" spans="1:31" ht="30" customHeight="1">
      <c r="A250" s="197" t="s">
        <v>198</v>
      </c>
      <c r="B250" s="197">
        <v>2693032925</v>
      </c>
      <c r="C250" s="197" t="s">
        <v>143</v>
      </c>
      <c r="D250" s="197" t="s">
        <v>79</v>
      </c>
      <c r="E250" s="197" t="s">
        <v>35</v>
      </c>
      <c r="F250" s="197" t="s">
        <v>2105</v>
      </c>
      <c r="G250" s="197">
        <v>6</v>
      </c>
      <c r="H250" s="197" t="s">
        <v>200</v>
      </c>
      <c r="I250" s="197" t="s">
        <v>230</v>
      </c>
      <c r="J250" s="205" t="s">
        <v>1943</v>
      </c>
      <c r="K250" s="197" t="s">
        <v>200</v>
      </c>
      <c r="L250" s="203">
        <v>46154.37777777778</v>
      </c>
      <c r="M250" s="203">
        <v>46154.378472222219</v>
      </c>
      <c r="N250" s="197" t="s">
        <v>1931</v>
      </c>
      <c r="O250" s="152" t="s">
        <v>207</v>
      </c>
      <c r="P250" s="90"/>
      <c r="Q250" s="140" t="s">
        <v>207</v>
      </c>
      <c r="R250" s="90"/>
      <c r="S250" s="140" t="s">
        <v>214</v>
      </c>
      <c r="T250" s="90"/>
      <c r="U250" s="140" t="s">
        <v>214</v>
      </c>
      <c r="V250" s="90"/>
      <c r="W250" s="140" t="s">
        <v>207</v>
      </c>
      <c r="X250" s="90"/>
      <c r="Y250" s="140" t="s">
        <v>207</v>
      </c>
      <c r="Z250" s="177" t="str">
        <f t="shared" si="11"/>
        <v>NC</v>
      </c>
      <c r="AA250" s="190" t="str">
        <f t="shared" si="10"/>
        <v>UTILIZOU O PDA CORRETAMENTE. NÃO HÁ FOTOS DE TODAS AS ETAPAS</v>
      </c>
      <c r="AB250" s="90"/>
      <c r="AC250" s="156" t="s">
        <v>36</v>
      </c>
      <c r="AD250" s="145" t="str">
        <f t="shared" si="12"/>
        <v>SÃO PAULO</v>
      </c>
      <c r="AE250" s="92" t="s">
        <v>79</v>
      </c>
    </row>
    <row r="251" spans="1:31" ht="30" customHeight="1">
      <c r="A251" s="197" t="s">
        <v>198</v>
      </c>
      <c r="B251" s="197">
        <v>2619877492</v>
      </c>
      <c r="C251" s="197" t="s">
        <v>1923</v>
      </c>
      <c r="D251" s="197" t="s">
        <v>79</v>
      </c>
      <c r="E251" s="197" t="s">
        <v>35</v>
      </c>
      <c r="F251" s="197" t="s">
        <v>2106</v>
      </c>
      <c r="G251" s="197">
        <v>10</v>
      </c>
      <c r="H251" s="197"/>
      <c r="I251" s="197" t="s">
        <v>1077</v>
      </c>
      <c r="J251" s="205" t="s">
        <v>1943</v>
      </c>
      <c r="K251" s="197"/>
      <c r="L251" s="203">
        <v>46154.507638888892</v>
      </c>
      <c r="M251" s="203">
        <v>46154.508333333331</v>
      </c>
      <c r="N251" s="197" t="s">
        <v>1931</v>
      </c>
      <c r="O251" s="152" t="s">
        <v>207</v>
      </c>
      <c r="P251" s="90"/>
      <c r="Q251" s="140" t="s">
        <v>207</v>
      </c>
      <c r="R251" s="90"/>
      <c r="S251" s="140" t="s">
        <v>214</v>
      </c>
      <c r="T251" s="90"/>
      <c r="U251" s="140" t="s">
        <v>214</v>
      </c>
      <c r="V251" s="90"/>
      <c r="W251" s="140" t="s">
        <v>207</v>
      </c>
      <c r="X251" s="90"/>
      <c r="Y251" s="140" t="s">
        <v>207</v>
      </c>
      <c r="Z251" s="177" t="str">
        <f t="shared" si="11"/>
        <v>NC</v>
      </c>
      <c r="AA251" s="190" t="str">
        <f t="shared" si="10"/>
        <v>UTILIZOU O PDA CORRETAMENTE. NÃO HÁ FOTOS DE TODAS AS ETAPAS</v>
      </c>
      <c r="AB251" s="90"/>
      <c r="AC251" s="156" t="s">
        <v>36</v>
      </c>
      <c r="AD251" s="145" t="str">
        <f t="shared" si="12"/>
        <v>SÃO PAULO</v>
      </c>
      <c r="AE251" s="92" t="s">
        <v>79</v>
      </c>
    </row>
    <row r="252" spans="1:31" ht="30" customHeight="1">
      <c r="A252" s="197" t="s">
        <v>198</v>
      </c>
      <c r="B252" s="197">
        <v>2693094090</v>
      </c>
      <c r="C252" s="197" t="s">
        <v>146</v>
      </c>
      <c r="D252" s="197" t="s">
        <v>79</v>
      </c>
      <c r="E252" s="197" t="s">
        <v>35</v>
      </c>
      <c r="F252" s="197" t="s">
        <v>2107</v>
      </c>
      <c r="G252" s="197">
        <v>141</v>
      </c>
      <c r="H252" s="197" t="s">
        <v>200</v>
      </c>
      <c r="I252" s="197" t="s">
        <v>447</v>
      </c>
      <c r="J252" s="205" t="s">
        <v>1915</v>
      </c>
      <c r="K252" s="197" t="s">
        <v>200</v>
      </c>
      <c r="L252" s="203">
        <v>46154.51458333333</v>
      </c>
      <c r="M252" s="203">
        <v>46154.517361111109</v>
      </c>
      <c r="N252" s="197" t="s">
        <v>1931</v>
      </c>
      <c r="O252" s="152" t="s">
        <v>207</v>
      </c>
      <c r="P252" s="90"/>
      <c r="Q252" s="140" t="s">
        <v>207</v>
      </c>
      <c r="R252" s="90"/>
      <c r="S252" s="140" t="s">
        <v>207</v>
      </c>
      <c r="T252" s="90"/>
      <c r="U252" s="140" t="s">
        <v>207</v>
      </c>
      <c r="V252" s="90"/>
      <c r="W252" s="140" t="s">
        <v>207</v>
      </c>
      <c r="X252" s="90"/>
      <c r="Y252" s="140" t="s">
        <v>207</v>
      </c>
      <c r="Z252" s="177" t="str">
        <f t="shared" si="11"/>
        <v>C</v>
      </c>
      <c r="AA252" s="190" t="str">
        <f t="shared" si="10"/>
        <v>UTILIZOU O PDA CORRETAMENTE</v>
      </c>
      <c r="AB252" s="90"/>
      <c r="AC252" s="156" t="s">
        <v>36</v>
      </c>
      <c r="AD252" s="145" t="str">
        <f t="shared" si="12"/>
        <v>SÃO PAULO</v>
      </c>
      <c r="AE252" s="92" t="s">
        <v>79</v>
      </c>
    </row>
    <row r="253" spans="1:31" ht="30" customHeight="1">
      <c r="A253" s="197" t="s">
        <v>198</v>
      </c>
      <c r="B253" s="197">
        <v>2619829666</v>
      </c>
      <c r="C253" s="197" t="s">
        <v>143</v>
      </c>
      <c r="D253" s="197" t="s">
        <v>79</v>
      </c>
      <c r="E253" s="197" t="s">
        <v>35</v>
      </c>
      <c r="F253" s="197" t="s">
        <v>458</v>
      </c>
      <c r="G253" s="197">
        <v>17</v>
      </c>
      <c r="H253" s="197" t="s">
        <v>208</v>
      </c>
      <c r="I253" s="197" t="s">
        <v>287</v>
      </c>
      <c r="J253" s="205" t="s">
        <v>1918</v>
      </c>
      <c r="K253" s="197"/>
      <c r="L253" s="203">
        <v>46154.365277777775</v>
      </c>
      <c r="M253" s="203">
        <v>46154.372916666667</v>
      </c>
      <c r="N253" s="197" t="s">
        <v>1925</v>
      </c>
      <c r="O253" s="152" t="s">
        <v>207</v>
      </c>
      <c r="P253" s="90"/>
      <c r="Q253" s="140" t="s">
        <v>207</v>
      </c>
      <c r="R253" s="90"/>
      <c r="S253" s="140" t="s">
        <v>207</v>
      </c>
      <c r="T253" s="90"/>
      <c r="U253" s="140" t="s">
        <v>207</v>
      </c>
      <c r="V253" s="90"/>
      <c r="W253" s="140" t="s">
        <v>207</v>
      </c>
      <c r="X253" s="90"/>
      <c r="Y253" s="140" t="s">
        <v>207</v>
      </c>
      <c r="Z253" s="177" t="str">
        <f t="shared" si="11"/>
        <v>C</v>
      </c>
      <c r="AA253" s="190" t="str">
        <f t="shared" si="10"/>
        <v>UTILIZOU O PDA CORRETAMENTE</v>
      </c>
      <c r="AB253" s="90"/>
      <c r="AC253" s="156" t="s">
        <v>36</v>
      </c>
      <c r="AD253" s="145" t="str">
        <f t="shared" si="12"/>
        <v>SÃO PAULO</v>
      </c>
      <c r="AE253" s="92" t="s">
        <v>79</v>
      </c>
    </row>
    <row r="254" spans="1:31" ht="30" customHeight="1">
      <c r="A254" s="197" t="s">
        <v>198</v>
      </c>
      <c r="B254" s="197">
        <v>2693019985</v>
      </c>
      <c r="C254" s="197" t="s">
        <v>143</v>
      </c>
      <c r="D254" s="197" t="s">
        <v>79</v>
      </c>
      <c r="E254" s="197" t="s">
        <v>35</v>
      </c>
      <c r="F254" s="197" t="s">
        <v>458</v>
      </c>
      <c r="G254" s="197">
        <v>17</v>
      </c>
      <c r="H254" s="197" t="s">
        <v>205</v>
      </c>
      <c r="I254" s="197" t="s">
        <v>287</v>
      </c>
      <c r="J254" s="205" t="s">
        <v>1918</v>
      </c>
      <c r="K254" s="204" t="s">
        <v>2108</v>
      </c>
      <c r="L254" s="203">
        <v>46154.372916666667</v>
      </c>
      <c r="M254" s="203">
        <v>46154.37777777778</v>
      </c>
      <c r="N254" s="197" t="s">
        <v>1925</v>
      </c>
      <c r="O254" s="152" t="s">
        <v>207</v>
      </c>
      <c r="P254" s="90"/>
      <c r="Q254" s="140" t="s">
        <v>207</v>
      </c>
      <c r="R254" s="90"/>
      <c r="S254" s="140" t="s">
        <v>207</v>
      </c>
      <c r="T254" s="90"/>
      <c r="U254" s="140" t="s">
        <v>207</v>
      </c>
      <c r="V254" s="90"/>
      <c r="W254" s="140" t="s">
        <v>207</v>
      </c>
      <c r="X254" s="90"/>
      <c r="Y254" s="140" t="s">
        <v>207</v>
      </c>
      <c r="Z254" s="177" t="str">
        <f t="shared" si="11"/>
        <v>C</v>
      </c>
      <c r="AA254" s="190" t="str">
        <f t="shared" si="10"/>
        <v>UTILIZOU O PDA CORRETAMENTE</v>
      </c>
      <c r="AB254" s="90"/>
      <c r="AC254" s="156" t="s">
        <v>36</v>
      </c>
      <c r="AD254" s="145" t="str">
        <f t="shared" si="12"/>
        <v>SÃO PAULO</v>
      </c>
      <c r="AE254" s="92" t="s">
        <v>79</v>
      </c>
    </row>
    <row r="255" spans="1:31" ht="30" customHeight="1">
      <c r="A255" s="197" t="s">
        <v>198</v>
      </c>
      <c r="B255" s="197">
        <v>2693056848</v>
      </c>
      <c r="C255" s="197" t="s">
        <v>143</v>
      </c>
      <c r="D255" s="197" t="s">
        <v>79</v>
      </c>
      <c r="E255" s="197" t="s">
        <v>35</v>
      </c>
      <c r="F255" s="197" t="s">
        <v>868</v>
      </c>
      <c r="G255" s="197">
        <v>236</v>
      </c>
      <c r="H255" s="197"/>
      <c r="I255" s="197" t="s">
        <v>392</v>
      </c>
      <c r="J255" s="205" t="s">
        <v>1915</v>
      </c>
      <c r="K255" s="197"/>
      <c r="L255" s="203">
        <v>46154.547222222223</v>
      </c>
      <c r="M255" s="203">
        <v>46154.554166666669</v>
      </c>
      <c r="N255" s="197" t="s">
        <v>1933</v>
      </c>
      <c r="O255" s="152" t="s">
        <v>207</v>
      </c>
      <c r="P255" s="90"/>
      <c r="Q255" s="140" t="s">
        <v>207</v>
      </c>
      <c r="R255" s="90"/>
      <c r="S255" s="140" t="s">
        <v>207</v>
      </c>
      <c r="T255" s="90"/>
      <c r="U255" s="140" t="s">
        <v>207</v>
      </c>
      <c r="V255" s="90"/>
      <c r="W255" s="140" t="s">
        <v>207</v>
      </c>
      <c r="X255" s="90"/>
      <c r="Y255" s="140" t="s">
        <v>207</v>
      </c>
      <c r="Z255" s="177" t="str">
        <f t="shared" si="11"/>
        <v>C</v>
      </c>
      <c r="AA255" s="190" t="str">
        <f t="shared" si="10"/>
        <v>UTILIZOU O PDA CORRETAMENTE</v>
      </c>
      <c r="AB255" s="90"/>
      <c r="AC255" s="156" t="s">
        <v>36</v>
      </c>
      <c r="AD255" s="145" t="str">
        <f t="shared" si="12"/>
        <v>SÃO PAULO</v>
      </c>
      <c r="AE255" s="92" t="s">
        <v>79</v>
      </c>
    </row>
    <row r="256" spans="1:31" ht="30" customHeight="1">
      <c r="A256" s="197" t="s">
        <v>198</v>
      </c>
      <c r="B256" s="197">
        <v>2619851774</v>
      </c>
      <c r="C256" s="197" t="s">
        <v>146</v>
      </c>
      <c r="D256" s="197" t="s">
        <v>79</v>
      </c>
      <c r="E256" s="197" t="s">
        <v>35</v>
      </c>
      <c r="F256" s="197" t="s">
        <v>641</v>
      </c>
      <c r="G256" s="197">
        <v>133</v>
      </c>
      <c r="H256" s="197" t="s">
        <v>200</v>
      </c>
      <c r="I256" s="197" t="s">
        <v>642</v>
      </c>
      <c r="J256" s="205" t="s">
        <v>1915</v>
      </c>
      <c r="K256" s="197" t="s">
        <v>200</v>
      </c>
      <c r="L256" s="203">
        <v>46154.423611111109</v>
      </c>
      <c r="M256" s="203">
        <v>46154.435416666667</v>
      </c>
      <c r="N256" s="197" t="s">
        <v>1933</v>
      </c>
      <c r="O256" s="152" t="s">
        <v>207</v>
      </c>
      <c r="P256" s="90"/>
      <c r="Q256" s="140" t="s">
        <v>207</v>
      </c>
      <c r="R256" s="90"/>
      <c r="S256" s="140" t="s">
        <v>207</v>
      </c>
      <c r="T256" s="90"/>
      <c r="U256" s="140" t="s">
        <v>207</v>
      </c>
      <c r="V256" s="90"/>
      <c r="W256" s="140" t="s">
        <v>207</v>
      </c>
      <c r="X256" s="90"/>
      <c r="Y256" s="140" t="s">
        <v>207</v>
      </c>
      <c r="Z256" s="177" t="str">
        <f t="shared" si="11"/>
        <v>C</v>
      </c>
      <c r="AA256" s="190" t="str">
        <f t="shared" si="10"/>
        <v>UTILIZOU O PDA CORRETAMENTE</v>
      </c>
      <c r="AB256" s="90"/>
      <c r="AC256" s="156" t="s">
        <v>36</v>
      </c>
      <c r="AD256" s="145" t="str">
        <f t="shared" si="12"/>
        <v>SÃO PAULO</v>
      </c>
      <c r="AE256" s="92" t="s">
        <v>79</v>
      </c>
    </row>
    <row r="257" spans="1:31" ht="30" customHeight="1">
      <c r="A257" s="197" t="s">
        <v>198</v>
      </c>
      <c r="B257" s="197">
        <v>2693059155</v>
      </c>
      <c r="C257" s="197" t="s">
        <v>143</v>
      </c>
      <c r="D257" s="197" t="s">
        <v>79</v>
      </c>
      <c r="E257" s="197" t="s">
        <v>35</v>
      </c>
      <c r="F257" s="197" t="s">
        <v>2109</v>
      </c>
      <c r="G257" s="197">
        <v>35</v>
      </c>
      <c r="H257" s="197" t="s">
        <v>255</v>
      </c>
      <c r="I257" s="197" t="s">
        <v>615</v>
      </c>
      <c r="J257" s="205" t="s">
        <v>1915</v>
      </c>
      <c r="K257" s="197"/>
      <c r="L257" s="203">
        <v>46154.144444444442</v>
      </c>
      <c r="M257" s="203">
        <v>46154.191666666666</v>
      </c>
      <c r="N257" s="197" t="s">
        <v>1922</v>
      </c>
      <c r="O257" s="152" t="s">
        <v>207</v>
      </c>
      <c r="P257" s="90"/>
      <c r="Q257" s="140" t="s">
        <v>207</v>
      </c>
      <c r="R257" s="90"/>
      <c r="S257" s="140" t="s">
        <v>207</v>
      </c>
      <c r="T257" s="90"/>
      <c r="U257" s="140" t="s">
        <v>207</v>
      </c>
      <c r="V257" s="90"/>
      <c r="W257" s="140" t="s">
        <v>207</v>
      </c>
      <c r="X257" s="90"/>
      <c r="Y257" s="140" t="s">
        <v>207</v>
      </c>
      <c r="Z257" s="177" t="str">
        <f t="shared" si="11"/>
        <v>C</v>
      </c>
      <c r="AA257" s="190" t="str">
        <f t="shared" si="10"/>
        <v>UTILIZOU O PDA CORRETAMENTE</v>
      </c>
      <c r="AB257" s="90"/>
      <c r="AC257" s="156" t="s">
        <v>36</v>
      </c>
      <c r="AD257" s="145" t="str">
        <f t="shared" si="12"/>
        <v>SÃO PAULO</v>
      </c>
      <c r="AE257" s="92" t="s">
        <v>79</v>
      </c>
    </row>
    <row r="258" spans="1:31" ht="30" customHeight="1">
      <c r="A258" s="197" t="s">
        <v>198</v>
      </c>
      <c r="B258" s="197">
        <v>2619866751</v>
      </c>
      <c r="C258" s="197" t="s">
        <v>147</v>
      </c>
      <c r="D258" s="197" t="s">
        <v>79</v>
      </c>
      <c r="E258" s="197" t="s">
        <v>35</v>
      </c>
      <c r="F258" s="197" t="s">
        <v>2109</v>
      </c>
      <c r="G258" s="197">
        <v>263</v>
      </c>
      <c r="H258" s="197" t="s">
        <v>200</v>
      </c>
      <c r="I258" s="197" t="s">
        <v>615</v>
      </c>
      <c r="J258" s="205" t="s">
        <v>1943</v>
      </c>
      <c r="K258" s="197" t="s">
        <v>200</v>
      </c>
      <c r="L258" s="203">
        <v>46154.194444444445</v>
      </c>
      <c r="M258" s="203">
        <v>46154.239583333336</v>
      </c>
      <c r="N258" s="197" t="s">
        <v>1922</v>
      </c>
      <c r="O258" s="152" t="s">
        <v>207</v>
      </c>
      <c r="P258" s="90"/>
      <c r="Q258" s="140" t="s">
        <v>207</v>
      </c>
      <c r="R258" s="90"/>
      <c r="S258" s="140" t="s">
        <v>214</v>
      </c>
      <c r="T258" s="90"/>
      <c r="U258" s="140" t="s">
        <v>214</v>
      </c>
      <c r="V258" s="90"/>
      <c r="W258" s="140" t="s">
        <v>207</v>
      </c>
      <c r="X258" s="90"/>
      <c r="Y258" s="140" t="s">
        <v>207</v>
      </c>
      <c r="Z258" s="177" t="str">
        <f t="shared" si="11"/>
        <v>NC</v>
      </c>
      <c r="AA258" s="190" t="str">
        <f t="shared" ref="AA258:AA274" si="13">IF(AND(Y258="C",Z258="C"),"UTILIZOU O PDA CORRETAMENTE",IF(AND(Y258="C",Z258="NC"),"UTILIZOU O PDA CORRETAMENTE. NÃO HÁ FOTOS DE TODAS AS ETAPAS",IF(AND(Y258="NC",Z258="NC"),"NÃO UTILIZOU O PDA",IF(AND(Y258="NA",Z258="NA"),"NÃO AVALIADO POR FALHA DE SINCRONISMO"))))</f>
        <v>UTILIZOU O PDA CORRETAMENTE. NÃO HÁ FOTOS DE TODAS AS ETAPAS</v>
      </c>
      <c r="AB258" s="90"/>
      <c r="AC258" s="156" t="s">
        <v>36</v>
      </c>
      <c r="AD258" s="145" t="str">
        <f t="shared" si="12"/>
        <v>SÃO PAULO</v>
      </c>
      <c r="AE258" s="92" t="s">
        <v>79</v>
      </c>
    </row>
    <row r="259" spans="1:31" ht="30" customHeight="1">
      <c r="A259" s="197" t="s">
        <v>198</v>
      </c>
      <c r="B259" s="197">
        <v>2619878249</v>
      </c>
      <c r="C259" s="197" t="s">
        <v>1923</v>
      </c>
      <c r="D259" s="197" t="s">
        <v>79</v>
      </c>
      <c r="E259" s="197" t="s">
        <v>35</v>
      </c>
      <c r="F259" s="197" t="s">
        <v>2110</v>
      </c>
      <c r="G259" s="197">
        <v>73</v>
      </c>
      <c r="H259" s="197" t="s">
        <v>208</v>
      </c>
      <c r="I259" s="197" t="s">
        <v>615</v>
      </c>
      <c r="J259" s="205" t="s">
        <v>1915</v>
      </c>
      <c r="K259" s="197" t="s">
        <v>200</v>
      </c>
      <c r="L259" s="203">
        <v>46154.134027777778</v>
      </c>
      <c r="M259" s="203">
        <v>46154.138194444444</v>
      </c>
      <c r="N259" s="197" t="s">
        <v>1922</v>
      </c>
      <c r="O259" s="152" t="s">
        <v>207</v>
      </c>
      <c r="P259" s="90"/>
      <c r="Q259" s="140" t="s">
        <v>207</v>
      </c>
      <c r="R259" s="90"/>
      <c r="S259" s="140" t="s">
        <v>214</v>
      </c>
      <c r="T259" s="90"/>
      <c r="U259" s="140" t="s">
        <v>214</v>
      </c>
      <c r="V259" s="90"/>
      <c r="W259" s="140" t="s">
        <v>207</v>
      </c>
      <c r="X259" s="90"/>
      <c r="Y259" s="140" t="s">
        <v>207</v>
      </c>
      <c r="Z259" s="177" t="str">
        <f t="shared" ref="Z259:Z274" si="14">IF(AND(O259="",Q259="",S259="",U259="",W259=""),"",IF(OR(AND(O259&lt;&gt;"NA",O259&lt;&gt;"C",O259&lt;&gt;"NC",O259&lt;&gt;"SF",O259&lt;&gt;""),AND(Q259&lt;&gt;"NA",Q259&lt;&gt;"C",Q259&lt;&gt;"NC",Q259&lt;&gt;"SF",Q259&lt;&gt;""),AND(S259&lt;&gt;"NA",S259&lt;&gt;"C",S259&lt;&gt;"NC",S259&lt;&gt;"SF",S259&lt;&gt;""),AND(U259&lt;&gt;"NA",U259&lt;&gt;"C",U259&lt;&gt;"NC",U259&lt;&gt;"SF",U259&lt;&gt;""),AND(W259&lt;&gt;"NA",W259&lt;&gt;"C",W259&lt;&gt;"NC",W259&lt;&gt;"SF",W259&lt;&gt;"")),"FALSO",IF(AND(O259="NA",Q259="NA",S259="NA",U259="NA",W259="NA"),"NA",IF(OR(O259="NC",Q259="NC",S259="NC",U259="NC",W259="NC",O259="SF",Q259="SF",S259="SF",U259="SF",W259="SF"),"NC",IF(OR(O259="C",Q259="C",S259="C",U259="C",W259="C"),"C","")))))</f>
        <v>NC</v>
      </c>
      <c r="AA259" s="190" t="str">
        <f t="shared" si="13"/>
        <v>UTILIZOU O PDA CORRETAMENTE. NÃO HÁ FOTOS DE TODAS AS ETAPAS</v>
      </c>
      <c r="AB259" s="90"/>
      <c r="AC259" s="156" t="s">
        <v>36</v>
      </c>
      <c r="AD259" s="145" t="str">
        <f t="shared" ref="AD259:AD274" si="15">E259</f>
        <v>SÃO PAULO</v>
      </c>
      <c r="AE259" s="92" t="s">
        <v>79</v>
      </c>
    </row>
    <row r="260" spans="1:31" ht="30" customHeight="1">
      <c r="A260" s="197" t="s">
        <v>198</v>
      </c>
      <c r="B260" s="197">
        <v>2692996471</v>
      </c>
      <c r="C260" s="197" t="s">
        <v>147</v>
      </c>
      <c r="D260" s="197" t="s">
        <v>79</v>
      </c>
      <c r="E260" s="197" t="s">
        <v>35</v>
      </c>
      <c r="F260" s="197" t="s">
        <v>2111</v>
      </c>
      <c r="G260" s="197">
        <v>419</v>
      </c>
      <c r="H260" s="197" t="s">
        <v>200</v>
      </c>
      <c r="I260" s="197" t="s">
        <v>2090</v>
      </c>
      <c r="J260" s="205" t="s">
        <v>1915</v>
      </c>
      <c r="K260" s="197" t="s">
        <v>200</v>
      </c>
      <c r="L260" s="203">
        <v>46154.340277777781</v>
      </c>
      <c r="M260" s="203">
        <v>46154.35</v>
      </c>
      <c r="N260" s="197" t="s">
        <v>390</v>
      </c>
      <c r="O260" s="152" t="s">
        <v>207</v>
      </c>
      <c r="P260" s="90"/>
      <c r="Q260" s="140" t="s">
        <v>207</v>
      </c>
      <c r="R260" s="90"/>
      <c r="S260" s="140" t="s">
        <v>207</v>
      </c>
      <c r="T260" s="90"/>
      <c r="U260" s="140" t="s">
        <v>207</v>
      </c>
      <c r="V260" s="90"/>
      <c r="W260" s="140" t="s">
        <v>207</v>
      </c>
      <c r="X260" s="90"/>
      <c r="Y260" s="140" t="s">
        <v>207</v>
      </c>
      <c r="Z260" s="177" t="str">
        <f t="shared" si="14"/>
        <v>C</v>
      </c>
      <c r="AA260" s="190" t="str">
        <f t="shared" si="13"/>
        <v>UTILIZOU O PDA CORRETAMENTE</v>
      </c>
      <c r="AB260" s="90"/>
      <c r="AC260" s="156" t="s">
        <v>36</v>
      </c>
      <c r="AD260" s="145" t="str">
        <f t="shared" si="15"/>
        <v>SÃO PAULO</v>
      </c>
      <c r="AE260" s="92" t="s">
        <v>79</v>
      </c>
    </row>
    <row r="261" spans="1:31" ht="30" customHeight="1">
      <c r="A261" s="197" t="s">
        <v>198</v>
      </c>
      <c r="B261" s="197">
        <v>2619836454</v>
      </c>
      <c r="C261" s="197" t="s">
        <v>1923</v>
      </c>
      <c r="D261" s="197" t="s">
        <v>79</v>
      </c>
      <c r="E261" s="197" t="s">
        <v>35</v>
      </c>
      <c r="F261" s="197" t="s">
        <v>2112</v>
      </c>
      <c r="G261" s="197">
        <v>84</v>
      </c>
      <c r="H261" s="197" t="s">
        <v>208</v>
      </c>
      <c r="I261" s="197" t="s">
        <v>665</v>
      </c>
      <c r="J261" s="205" t="s">
        <v>1915</v>
      </c>
      <c r="K261" s="197" t="s">
        <v>200</v>
      </c>
      <c r="L261" s="203">
        <v>46154.324305555558</v>
      </c>
      <c r="M261" s="203">
        <v>46154.330555555556</v>
      </c>
      <c r="N261" s="197" t="s">
        <v>390</v>
      </c>
      <c r="O261" s="152" t="s">
        <v>207</v>
      </c>
      <c r="P261" s="90"/>
      <c r="Q261" s="140" t="s">
        <v>207</v>
      </c>
      <c r="R261" s="90"/>
      <c r="S261" s="140" t="s">
        <v>207</v>
      </c>
      <c r="T261" s="90"/>
      <c r="U261" s="140" t="s">
        <v>207</v>
      </c>
      <c r="V261" s="90"/>
      <c r="W261" s="140" t="s">
        <v>207</v>
      </c>
      <c r="X261" s="90"/>
      <c r="Y261" s="140" t="s">
        <v>207</v>
      </c>
      <c r="Z261" s="177" t="str">
        <f t="shared" si="14"/>
        <v>C</v>
      </c>
      <c r="AA261" s="190" t="str">
        <f t="shared" si="13"/>
        <v>UTILIZOU O PDA CORRETAMENTE</v>
      </c>
      <c r="AB261" s="90"/>
      <c r="AC261" s="156" t="s">
        <v>36</v>
      </c>
      <c r="AD261" s="145" t="str">
        <f t="shared" si="15"/>
        <v>SÃO PAULO</v>
      </c>
      <c r="AE261" s="92" t="s">
        <v>79</v>
      </c>
    </row>
    <row r="262" spans="1:31" ht="30" customHeight="1">
      <c r="A262" s="197" t="s">
        <v>198</v>
      </c>
      <c r="B262" s="197">
        <v>2693059326</v>
      </c>
      <c r="C262" s="197" t="s">
        <v>143</v>
      </c>
      <c r="D262" s="197" t="s">
        <v>79</v>
      </c>
      <c r="E262" s="197" t="s">
        <v>35</v>
      </c>
      <c r="F262" s="197" t="s">
        <v>2113</v>
      </c>
      <c r="G262" s="197">
        <v>237</v>
      </c>
      <c r="H262" s="197"/>
      <c r="I262" s="197" t="s">
        <v>665</v>
      </c>
      <c r="J262" s="205" t="s">
        <v>1915</v>
      </c>
      <c r="K262" s="197"/>
      <c r="L262" s="203">
        <v>46154.296527777777</v>
      </c>
      <c r="M262" s="203">
        <v>46154.302777777775</v>
      </c>
      <c r="N262" s="197" t="s">
        <v>390</v>
      </c>
      <c r="O262" s="152" t="s">
        <v>207</v>
      </c>
      <c r="P262" s="90"/>
      <c r="Q262" s="140" t="s">
        <v>207</v>
      </c>
      <c r="R262" s="90"/>
      <c r="S262" s="140" t="s">
        <v>214</v>
      </c>
      <c r="T262" s="90"/>
      <c r="U262" s="140" t="s">
        <v>214</v>
      </c>
      <c r="V262" s="90"/>
      <c r="W262" s="140" t="s">
        <v>207</v>
      </c>
      <c r="X262" s="90"/>
      <c r="Y262" s="140" t="s">
        <v>207</v>
      </c>
      <c r="Z262" s="177" t="str">
        <f t="shared" si="14"/>
        <v>NC</v>
      </c>
      <c r="AA262" s="190" t="str">
        <f t="shared" si="13"/>
        <v>UTILIZOU O PDA CORRETAMENTE. NÃO HÁ FOTOS DE TODAS AS ETAPAS</v>
      </c>
      <c r="AB262" s="90"/>
      <c r="AC262" s="156" t="s">
        <v>36</v>
      </c>
      <c r="AD262" s="145" t="str">
        <f t="shared" si="15"/>
        <v>SÃO PAULO</v>
      </c>
      <c r="AE262" s="92" t="s">
        <v>79</v>
      </c>
    </row>
    <row r="263" spans="1:31" ht="30" customHeight="1">
      <c r="A263" s="197" t="s">
        <v>198</v>
      </c>
      <c r="B263" s="197">
        <v>2619863058</v>
      </c>
      <c r="C263" s="197" t="s">
        <v>143</v>
      </c>
      <c r="D263" s="197" t="s">
        <v>79</v>
      </c>
      <c r="E263" s="197" t="s">
        <v>35</v>
      </c>
      <c r="F263" s="197" t="s">
        <v>1942</v>
      </c>
      <c r="G263" s="197">
        <v>34</v>
      </c>
      <c r="H263" s="197" t="s">
        <v>208</v>
      </c>
      <c r="I263" s="197" t="s">
        <v>1480</v>
      </c>
      <c r="J263" s="205" t="s">
        <v>1915</v>
      </c>
      <c r="K263" s="197"/>
      <c r="L263" s="203">
        <v>46154.161805555559</v>
      </c>
      <c r="M263" s="203">
        <v>46154.167361111111</v>
      </c>
      <c r="N263" s="197" t="s">
        <v>390</v>
      </c>
      <c r="O263" s="152" t="s">
        <v>207</v>
      </c>
      <c r="P263" s="90"/>
      <c r="Q263" s="140" t="s">
        <v>207</v>
      </c>
      <c r="R263" s="90"/>
      <c r="S263" s="140" t="s">
        <v>207</v>
      </c>
      <c r="T263" s="90"/>
      <c r="U263" s="140" t="s">
        <v>207</v>
      </c>
      <c r="V263" s="90"/>
      <c r="W263" s="140" t="s">
        <v>207</v>
      </c>
      <c r="X263" s="90"/>
      <c r="Y263" s="140" t="s">
        <v>207</v>
      </c>
      <c r="Z263" s="177" t="str">
        <f t="shared" si="14"/>
        <v>C</v>
      </c>
      <c r="AA263" s="190" t="str">
        <f t="shared" si="13"/>
        <v>UTILIZOU O PDA CORRETAMENTE</v>
      </c>
      <c r="AB263" s="90"/>
      <c r="AC263" s="156" t="s">
        <v>36</v>
      </c>
      <c r="AD263" s="145" t="str">
        <f t="shared" si="15"/>
        <v>SÃO PAULO</v>
      </c>
      <c r="AE263" s="92" t="s">
        <v>79</v>
      </c>
    </row>
    <row r="264" spans="1:31" ht="30" customHeight="1">
      <c r="A264" s="197" t="s">
        <v>198</v>
      </c>
      <c r="B264" s="197">
        <v>2619829965</v>
      </c>
      <c r="C264" s="197" t="s">
        <v>1923</v>
      </c>
      <c r="D264" s="197" t="s">
        <v>79</v>
      </c>
      <c r="E264" s="197" t="s">
        <v>35</v>
      </c>
      <c r="F264" s="197" t="s">
        <v>2114</v>
      </c>
      <c r="G264" s="197">
        <v>141</v>
      </c>
      <c r="H264" s="197" t="s">
        <v>257</v>
      </c>
      <c r="I264" s="197" t="s">
        <v>225</v>
      </c>
      <c r="J264" s="205" t="s">
        <v>1915</v>
      </c>
      <c r="K264" s="197" t="s">
        <v>200</v>
      </c>
      <c r="L264" s="203">
        <v>46154.363888888889</v>
      </c>
      <c r="M264" s="203">
        <v>46154.365277777775</v>
      </c>
      <c r="N264" s="197" t="s">
        <v>1916</v>
      </c>
      <c r="O264" s="152" t="s">
        <v>207</v>
      </c>
      <c r="P264" s="90"/>
      <c r="Q264" s="140" t="s">
        <v>207</v>
      </c>
      <c r="R264" s="90"/>
      <c r="S264" s="140" t="s">
        <v>207</v>
      </c>
      <c r="T264" s="90"/>
      <c r="U264" s="140" t="s">
        <v>207</v>
      </c>
      <c r="V264" s="90"/>
      <c r="W264" s="140" t="s">
        <v>207</v>
      </c>
      <c r="X264" s="90"/>
      <c r="Y264" s="140" t="s">
        <v>207</v>
      </c>
      <c r="Z264" s="177" t="str">
        <f t="shared" si="14"/>
        <v>C</v>
      </c>
      <c r="AA264" s="190" t="str">
        <f t="shared" si="13"/>
        <v>UTILIZOU O PDA CORRETAMENTE</v>
      </c>
      <c r="AB264" s="90"/>
      <c r="AC264" s="156" t="s">
        <v>36</v>
      </c>
      <c r="AD264" s="145" t="str">
        <f t="shared" si="15"/>
        <v>SÃO PAULO</v>
      </c>
      <c r="AE264" s="92" t="s">
        <v>79</v>
      </c>
    </row>
    <row r="265" spans="1:31" ht="30" customHeight="1">
      <c r="A265" s="197" t="s">
        <v>198</v>
      </c>
      <c r="B265" s="197">
        <v>2619942587</v>
      </c>
      <c r="C265" s="197" t="s">
        <v>143</v>
      </c>
      <c r="D265" s="197" t="s">
        <v>79</v>
      </c>
      <c r="E265" s="197" t="s">
        <v>35</v>
      </c>
      <c r="F265" s="197" t="s">
        <v>1070</v>
      </c>
      <c r="G265" s="197">
        <v>189</v>
      </c>
      <c r="H265" s="197" t="s">
        <v>208</v>
      </c>
      <c r="I265" s="197" t="s">
        <v>314</v>
      </c>
      <c r="J265" s="205" t="s">
        <v>1915</v>
      </c>
      <c r="K265" s="197" t="s">
        <v>200</v>
      </c>
      <c r="L265" s="203">
        <v>46154.333333333336</v>
      </c>
      <c r="M265" s="203">
        <v>46154.338194444441</v>
      </c>
      <c r="N265" s="197" t="s">
        <v>1925</v>
      </c>
      <c r="O265" s="152" t="s">
        <v>207</v>
      </c>
      <c r="P265" s="90"/>
      <c r="Q265" s="140" t="s">
        <v>207</v>
      </c>
      <c r="R265" s="90"/>
      <c r="S265" s="140" t="s">
        <v>207</v>
      </c>
      <c r="T265" s="90"/>
      <c r="U265" s="140" t="s">
        <v>207</v>
      </c>
      <c r="V265" s="90"/>
      <c r="W265" s="140" t="s">
        <v>207</v>
      </c>
      <c r="X265" s="90"/>
      <c r="Y265" s="140" t="s">
        <v>207</v>
      </c>
      <c r="Z265" s="177" t="str">
        <f t="shared" si="14"/>
        <v>C</v>
      </c>
      <c r="AA265" s="190" t="str">
        <f t="shared" si="13"/>
        <v>UTILIZOU O PDA CORRETAMENTE</v>
      </c>
      <c r="AB265" s="90"/>
      <c r="AC265" s="156" t="s">
        <v>36</v>
      </c>
      <c r="AD265" s="145" t="str">
        <f t="shared" si="15"/>
        <v>SÃO PAULO</v>
      </c>
      <c r="AE265" s="92" t="s">
        <v>79</v>
      </c>
    </row>
    <row r="266" spans="1:31" ht="30" customHeight="1">
      <c r="A266" s="197" t="s">
        <v>198</v>
      </c>
      <c r="B266" s="197">
        <v>2619939226</v>
      </c>
      <c r="C266" s="197" t="s">
        <v>143</v>
      </c>
      <c r="D266" s="197" t="s">
        <v>79</v>
      </c>
      <c r="E266" s="197" t="s">
        <v>35</v>
      </c>
      <c r="F266" s="197" t="s">
        <v>2115</v>
      </c>
      <c r="G266" s="197">
        <v>176</v>
      </c>
      <c r="H266" s="197" t="s">
        <v>208</v>
      </c>
      <c r="I266" s="197" t="s">
        <v>598</v>
      </c>
      <c r="J266" s="205" t="s">
        <v>1915</v>
      </c>
      <c r="K266" s="197"/>
      <c r="L266" s="203">
        <v>46154.438888888886</v>
      </c>
      <c r="M266" s="203">
        <v>46154.447222222225</v>
      </c>
      <c r="N266" s="197" t="s">
        <v>390</v>
      </c>
      <c r="O266" s="152" t="s">
        <v>207</v>
      </c>
      <c r="P266" s="90"/>
      <c r="Q266" s="140" t="s">
        <v>207</v>
      </c>
      <c r="R266" s="90"/>
      <c r="S266" s="140" t="s">
        <v>214</v>
      </c>
      <c r="T266" s="90"/>
      <c r="U266" s="140" t="s">
        <v>215</v>
      </c>
      <c r="V266" s="90" t="s">
        <v>2116</v>
      </c>
      <c r="W266" s="140" t="s">
        <v>207</v>
      </c>
      <c r="X266" s="90"/>
      <c r="Y266" s="140" t="s">
        <v>207</v>
      </c>
      <c r="Z266" s="177" t="str">
        <f t="shared" si="14"/>
        <v>NC</v>
      </c>
      <c r="AA266" s="190" t="str">
        <f t="shared" si="13"/>
        <v>UTILIZOU O PDA CORRETAMENTE. NÃO HÁ FOTOS DE TODAS AS ETAPAS</v>
      </c>
      <c r="AB266" s="90"/>
      <c r="AC266" s="156" t="s">
        <v>36</v>
      </c>
      <c r="AD266" s="145" t="str">
        <f t="shared" si="15"/>
        <v>SÃO PAULO</v>
      </c>
      <c r="AE266" s="92" t="s">
        <v>79</v>
      </c>
    </row>
    <row r="267" spans="1:31" ht="30" customHeight="1">
      <c r="A267" s="197" t="s">
        <v>198</v>
      </c>
      <c r="B267" s="197">
        <v>2693121531</v>
      </c>
      <c r="C267" s="197" t="s">
        <v>143</v>
      </c>
      <c r="D267" s="197" t="s">
        <v>79</v>
      </c>
      <c r="E267" s="197" t="s">
        <v>35</v>
      </c>
      <c r="F267" s="197" t="s">
        <v>2117</v>
      </c>
      <c r="G267" s="197">
        <v>61</v>
      </c>
      <c r="H267" s="197" t="s">
        <v>200</v>
      </c>
      <c r="I267" s="197" t="s">
        <v>829</v>
      </c>
      <c r="J267" s="205" t="s">
        <v>1915</v>
      </c>
      <c r="K267" s="197" t="s">
        <v>200</v>
      </c>
      <c r="L267" s="203">
        <v>46154.674305555556</v>
      </c>
      <c r="M267" s="203">
        <v>46154.677083333336</v>
      </c>
      <c r="N267" s="197" t="s">
        <v>1916</v>
      </c>
      <c r="O267" s="152" t="s">
        <v>207</v>
      </c>
      <c r="P267" s="90"/>
      <c r="Q267" s="140" t="s">
        <v>207</v>
      </c>
      <c r="R267" s="90"/>
      <c r="S267" s="140" t="s">
        <v>207</v>
      </c>
      <c r="T267" s="90"/>
      <c r="U267" s="140" t="s">
        <v>207</v>
      </c>
      <c r="V267" s="90"/>
      <c r="W267" s="140" t="s">
        <v>207</v>
      </c>
      <c r="X267" s="90"/>
      <c r="Y267" s="140" t="s">
        <v>207</v>
      </c>
      <c r="Z267" s="177" t="str">
        <f t="shared" si="14"/>
        <v>C</v>
      </c>
      <c r="AA267" s="190" t="str">
        <f t="shared" si="13"/>
        <v>UTILIZOU O PDA CORRETAMENTE</v>
      </c>
      <c r="AB267" s="90"/>
      <c r="AC267" s="156" t="s">
        <v>36</v>
      </c>
      <c r="AD267" s="145" t="str">
        <f t="shared" si="15"/>
        <v>SÃO PAULO</v>
      </c>
      <c r="AE267" s="92" t="s">
        <v>79</v>
      </c>
    </row>
    <row r="268" spans="1:31" ht="30" customHeight="1">
      <c r="A268" s="197" t="s">
        <v>198</v>
      </c>
      <c r="B268" s="197">
        <v>2619966048</v>
      </c>
      <c r="C268" s="197" t="s">
        <v>1923</v>
      </c>
      <c r="D268" s="197" t="s">
        <v>79</v>
      </c>
      <c r="E268" s="197" t="s">
        <v>35</v>
      </c>
      <c r="F268" s="197" t="s">
        <v>448</v>
      </c>
      <c r="G268" s="197">
        <v>863</v>
      </c>
      <c r="H268" s="197" t="s">
        <v>208</v>
      </c>
      <c r="I268" s="197" t="s">
        <v>314</v>
      </c>
      <c r="J268" s="205" t="s">
        <v>1915</v>
      </c>
      <c r="K268" s="197" t="s">
        <v>2118</v>
      </c>
      <c r="L268" s="203">
        <v>46154.480555555558</v>
      </c>
      <c r="M268" s="203">
        <v>46154.482638888891</v>
      </c>
      <c r="N268" s="197" t="s">
        <v>262</v>
      </c>
      <c r="O268" s="152" t="s">
        <v>207</v>
      </c>
      <c r="P268" s="90"/>
      <c r="Q268" s="140" t="s">
        <v>207</v>
      </c>
      <c r="R268" s="90"/>
      <c r="S268" s="140" t="s">
        <v>207</v>
      </c>
      <c r="T268" s="90"/>
      <c r="U268" s="140" t="s">
        <v>207</v>
      </c>
      <c r="V268" s="90"/>
      <c r="W268" s="140" t="s">
        <v>207</v>
      </c>
      <c r="X268" s="90"/>
      <c r="Y268" s="140" t="s">
        <v>207</v>
      </c>
      <c r="Z268" s="177" t="str">
        <f t="shared" si="14"/>
        <v>C</v>
      </c>
      <c r="AA268" s="190" t="str">
        <f t="shared" si="13"/>
        <v>UTILIZOU O PDA CORRETAMENTE</v>
      </c>
      <c r="AB268" s="90"/>
      <c r="AC268" s="156" t="s">
        <v>36</v>
      </c>
      <c r="AD268" s="145" t="str">
        <f t="shared" si="15"/>
        <v>SÃO PAULO</v>
      </c>
      <c r="AE268" s="92" t="s">
        <v>79</v>
      </c>
    </row>
    <row r="269" spans="1:31" ht="30" customHeight="1">
      <c r="A269" s="197" t="s">
        <v>198</v>
      </c>
      <c r="B269" s="197">
        <v>2619967615</v>
      </c>
      <c r="C269" s="197" t="s">
        <v>151</v>
      </c>
      <c r="D269" s="197" t="s">
        <v>140</v>
      </c>
      <c r="E269" s="197" t="s">
        <v>35</v>
      </c>
      <c r="F269" s="197" t="s">
        <v>602</v>
      </c>
      <c r="G269" s="197">
        <v>743</v>
      </c>
      <c r="H269" s="197" t="s">
        <v>208</v>
      </c>
      <c r="I269" s="197" t="s">
        <v>2119</v>
      </c>
      <c r="J269" s="205" t="s">
        <v>1966</v>
      </c>
      <c r="K269" s="204" t="s">
        <v>2120</v>
      </c>
      <c r="L269" s="203">
        <v>46154.487500000003</v>
      </c>
      <c r="M269" s="203">
        <v>46154.488194444442</v>
      </c>
      <c r="N269" s="197" t="s">
        <v>517</v>
      </c>
      <c r="O269" s="152" t="s">
        <v>207</v>
      </c>
      <c r="P269" s="90"/>
      <c r="Q269" s="140" t="s">
        <v>207</v>
      </c>
      <c r="R269" s="90"/>
      <c r="S269" s="140" t="s">
        <v>214</v>
      </c>
      <c r="T269" s="90"/>
      <c r="U269" s="140" t="s">
        <v>214</v>
      </c>
      <c r="V269" s="90"/>
      <c r="W269" s="140" t="s">
        <v>207</v>
      </c>
      <c r="X269" s="90"/>
      <c r="Y269" s="140" t="s">
        <v>207</v>
      </c>
      <c r="Z269" s="177" t="str">
        <f t="shared" si="14"/>
        <v>NC</v>
      </c>
      <c r="AA269" s="190" t="str">
        <f t="shared" si="13"/>
        <v>UTILIZOU O PDA CORRETAMENTE. NÃO HÁ FOTOS DE TODAS AS ETAPAS</v>
      </c>
      <c r="AB269" s="90"/>
      <c r="AC269" s="156" t="s">
        <v>36</v>
      </c>
      <c r="AD269" s="145" t="str">
        <f t="shared" si="15"/>
        <v>SÃO PAULO</v>
      </c>
      <c r="AE269" s="92" t="s">
        <v>79</v>
      </c>
    </row>
    <row r="270" spans="1:31" ht="30" customHeight="1">
      <c r="A270" s="197" t="s">
        <v>198</v>
      </c>
      <c r="B270" s="197">
        <v>2619971530</v>
      </c>
      <c r="C270" s="197" t="s">
        <v>149</v>
      </c>
      <c r="D270" s="197" t="s">
        <v>140</v>
      </c>
      <c r="E270" s="197" t="s">
        <v>35</v>
      </c>
      <c r="F270" s="197" t="s">
        <v>1562</v>
      </c>
      <c r="G270" s="197">
        <v>49</v>
      </c>
      <c r="H270" s="197"/>
      <c r="I270" s="197" t="s">
        <v>402</v>
      </c>
      <c r="J270" s="205" t="s">
        <v>1918</v>
      </c>
      <c r="K270" s="197"/>
      <c r="L270" s="203">
        <v>46154.55</v>
      </c>
      <c r="M270" s="203">
        <v>46154.550694444442</v>
      </c>
      <c r="N270" s="197" t="s">
        <v>1925</v>
      </c>
      <c r="O270" s="152" t="s">
        <v>207</v>
      </c>
      <c r="P270" s="90"/>
      <c r="Q270" s="140" t="s">
        <v>207</v>
      </c>
      <c r="R270" s="90"/>
      <c r="S270" s="140" t="s">
        <v>207</v>
      </c>
      <c r="T270" s="90"/>
      <c r="U270" s="140" t="s">
        <v>207</v>
      </c>
      <c r="V270" s="90"/>
      <c r="W270" s="140" t="s">
        <v>207</v>
      </c>
      <c r="X270" s="90"/>
      <c r="Y270" s="140" t="s">
        <v>207</v>
      </c>
      <c r="Z270" s="177" t="str">
        <f t="shared" si="14"/>
        <v>C</v>
      </c>
      <c r="AA270" s="190" t="str">
        <f t="shared" si="13"/>
        <v>UTILIZOU O PDA CORRETAMENTE</v>
      </c>
      <c r="AB270" s="90"/>
      <c r="AC270" s="156" t="s">
        <v>36</v>
      </c>
      <c r="AD270" s="145" t="str">
        <f t="shared" si="15"/>
        <v>SÃO PAULO</v>
      </c>
      <c r="AE270" s="92" t="s">
        <v>79</v>
      </c>
    </row>
    <row r="271" spans="1:31" ht="30" customHeight="1">
      <c r="A271" s="197" t="s">
        <v>198</v>
      </c>
      <c r="B271" s="197">
        <v>2693139135</v>
      </c>
      <c r="C271" s="197" t="s">
        <v>143</v>
      </c>
      <c r="D271" s="197" t="s">
        <v>79</v>
      </c>
      <c r="E271" s="197" t="s">
        <v>35</v>
      </c>
      <c r="F271" s="197" t="s">
        <v>468</v>
      </c>
      <c r="G271" s="197">
        <v>65</v>
      </c>
      <c r="H271" s="197" t="s">
        <v>200</v>
      </c>
      <c r="I271" s="197" t="s">
        <v>467</v>
      </c>
      <c r="J271" s="205" t="s">
        <v>1943</v>
      </c>
      <c r="K271" s="197" t="s">
        <v>200</v>
      </c>
      <c r="L271" s="203">
        <v>46154.288888888892</v>
      </c>
      <c r="M271" s="203">
        <v>46154.294444444444</v>
      </c>
      <c r="N271" s="197" t="s">
        <v>262</v>
      </c>
      <c r="O271" s="152" t="s">
        <v>207</v>
      </c>
      <c r="P271" s="90"/>
      <c r="Q271" s="140" t="s">
        <v>207</v>
      </c>
      <c r="R271" s="90"/>
      <c r="S271" s="140" t="s">
        <v>214</v>
      </c>
      <c r="T271" s="90"/>
      <c r="U271" s="140" t="s">
        <v>214</v>
      </c>
      <c r="V271" s="90"/>
      <c r="W271" s="140" t="s">
        <v>207</v>
      </c>
      <c r="X271" s="90"/>
      <c r="Y271" s="140" t="s">
        <v>207</v>
      </c>
      <c r="Z271" s="177" t="str">
        <f t="shared" si="14"/>
        <v>NC</v>
      </c>
      <c r="AA271" s="190" t="str">
        <f t="shared" si="13"/>
        <v>UTILIZOU O PDA CORRETAMENTE. NÃO HÁ FOTOS DE TODAS AS ETAPAS</v>
      </c>
      <c r="AB271" s="90"/>
      <c r="AC271" s="156" t="s">
        <v>36</v>
      </c>
      <c r="AD271" s="145" t="str">
        <f t="shared" si="15"/>
        <v>SÃO PAULO</v>
      </c>
      <c r="AE271" s="92" t="s">
        <v>79</v>
      </c>
    </row>
    <row r="272" spans="1:31" ht="30" customHeight="1">
      <c r="A272" s="197" t="s">
        <v>198</v>
      </c>
      <c r="B272" s="197">
        <v>2620041040</v>
      </c>
      <c r="C272" s="197" t="s">
        <v>1923</v>
      </c>
      <c r="D272" s="197" t="s">
        <v>79</v>
      </c>
      <c r="E272" s="197" t="s">
        <v>35</v>
      </c>
      <c r="F272" s="197" t="s">
        <v>728</v>
      </c>
      <c r="G272" s="197">
        <v>48</v>
      </c>
      <c r="H272" s="197"/>
      <c r="I272" s="197" t="s">
        <v>201</v>
      </c>
      <c r="J272" s="205" t="s">
        <v>1943</v>
      </c>
      <c r="K272" s="197"/>
      <c r="L272" s="203">
        <v>46154.339583333334</v>
      </c>
      <c r="M272" s="203">
        <v>46154.34097222222</v>
      </c>
      <c r="N272" s="197" t="s">
        <v>251</v>
      </c>
      <c r="O272" s="152" t="s">
        <v>215</v>
      </c>
      <c r="P272" s="90" t="s">
        <v>227</v>
      </c>
      <c r="Q272" s="152" t="s">
        <v>215</v>
      </c>
      <c r="R272" s="90" t="s">
        <v>227</v>
      </c>
      <c r="S272" s="152" t="s">
        <v>215</v>
      </c>
      <c r="T272" s="90" t="s">
        <v>227</v>
      </c>
      <c r="U272" s="152" t="s">
        <v>215</v>
      </c>
      <c r="V272" s="90" t="s">
        <v>227</v>
      </c>
      <c r="W272" s="152" t="s">
        <v>215</v>
      </c>
      <c r="X272" s="90" t="s">
        <v>227</v>
      </c>
      <c r="Y272" s="140" t="s">
        <v>215</v>
      </c>
      <c r="Z272" s="177" t="str">
        <f t="shared" si="14"/>
        <v>NC</v>
      </c>
      <c r="AA272" s="190" t="str">
        <f t="shared" si="13"/>
        <v>NÃO UTILIZOU O PDA</v>
      </c>
      <c r="AB272" s="90"/>
      <c r="AC272" s="156" t="s">
        <v>36</v>
      </c>
      <c r="AD272" s="145" t="str">
        <f t="shared" si="15"/>
        <v>SÃO PAULO</v>
      </c>
      <c r="AE272" s="92" t="s">
        <v>79</v>
      </c>
    </row>
    <row r="273" spans="1:31" ht="30" customHeight="1">
      <c r="A273" s="197" t="s">
        <v>198</v>
      </c>
      <c r="B273" s="197">
        <v>2620054067</v>
      </c>
      <c r="C273" s="197" t="s">
        <v>151</v>
      </c>
      <c r="D273" s="197" t="s">
        <v>140</v>
      </c>
      <c r="E273" s="197" t="s">
        <v>35</v>
      </c>
      <c r="F273" s="197" t="s">
        <v>2109</v>
      </c>
      <c r="G273" s="197">
        <v>263</v>
      </c>
      <c r="H273" s="197" t="s">
        <v>200</v>
      </c>
      <c r="I273" s="197" t="s">
        <v>615</v>
      </c>
      <c r="J273" s="205" t="s">
        <v>1966</v>
      </c>
      <c r="K273" s="197" t="s">
        <v>200</v>
      </c>
      <c r="L273" s="203">
        <v>46154.173611111109</v>
      </c>
      <c r="M273" s="203">
        <v>46154.179861111108</v>
      </c>
      <c r="N273" s="197" t="s">
        <v>1922</v>
      </c>
      <c r="O273" s="152" t="s">
        <v>215</v>
      </c>
      <c r="P273" s="90" t="s">
        <v>227</v>
      </c>
      <c r="Q273" s="152" t="s">
        <v>215</v>
      </c>
      <c r="R273" s="90" t="s">
        <v>227</v>
      </c>
      <c r="S273" s="152" t="s">
        <v>215</v>
      </c>
      <c r="T273" s="90" t="s">
        <v>227</v>
      </c>
      <c r="U273" s="152" t="s">
        <v>215</v>
      </c>
      <c r="V273" s="90" t="s">
        <v>227</v>
      </c>
      <c r="W273" s="152" t="s">
        <v>215</v>
      </c>
      <c r="X273" s="90" t="s">
        <v>227</v>
      </c>
      <c r="Y273" s="140" t="s">
        <v>215</v>
      </c>
      <c r="Z273" s="177" t="str">
        <f t="shared" si="14"/>
        <v>NC</v>
      </c>
      <c r="AA273" s="190" t="str">
        <f t="shared" si="13"/>
        <v>NÃO UTILIZOU O PDA</v>
      </c>
      <c r="AB273" s="90"/>
      <c r="AC273" s="156" t="s">
        <v>36</v>
      </c>
      <c r="AD273" s="145" t="str">
        <f t="shared" si="15"/>
        <v>SÃO PAULO</v>
      </c>
      <c r="AE273" s="92" t="s">
        <v>79</v>
      </c>
    </row>
    <row r="274" spans="1:31" ht="30" customHeight="1">
      <c r="A274" s="197" t="s">
        <v>198</v>
      </c>
      <c r="B274" s="197">
        <v>2620069025</v>
      </c>
      <c r="C274" s="197" t="s">
        <v>1923</v>
      </c>
      <c r="D274" s="197" t="s">
        <v>79</v>
      </c>
      <c r="E274" s="197" t="s">
        <v>35</v>
      </c>
      <c r="F274" s="197" t="s">
        <v>2121</v>
      </c>
      <c r="G274" s="197">
        <v>30</v>
      </c>
      <c r="H274" s="197"/>
      <c r="I274" s="197" t="s">
        <v>225</v>
      </c>
      <c r="J274" s="205" t="s">
        <v>1915</v>
      </c>
      <c r="K274" s="197"/>
      <c r="L274" s="203">
        <v>46154.731944444444</v>
      </c>
      <c r="M274" s="203">
        <v>46154.732638888891</v>
      </c>
      <c r="N274" s="197" t="s">
        <v>1916</v>
      </c>
      <c r="O274" s="152" t="s">
        <v>214</v>
      </c>
      <c r="P274" s="90"/>
      <c r="Q274" s="140" t="s">
        <v>214</v>
      </c>
      <c r="R274" s="90"/>
      <c r="S274" s="140" t="s">
        <v>214</v>
      </c>
      <c r="T274" s="90"/>
      <c r="U274" s="140" t="s">
        <v>214</v>
      </c>
      <c r="V274" s="90"/>
      <c r="W274" s="140" t="s">
        <v>214</v>
      </c>
      <c r="X274" s="90"/>
      <c r="Y274" s="140" t="s">
        <v>215</v>
      </c>
      <c r="Z274" s="177" t="str">
        <f t="shared" si="14"/>
        <v>NC</v>
      </c>
      <c r="AA274" s="190" t="str">
        <f t="shared" si="13"/>
        <v>NÃO UTILIZOU O PDA</v>
      </c>
      <c r="AB274" s="90"/>
      <c r="AC274" s="156" t="s">
        <v>36</v>
      </c>
      <c r="AD274" s="145" t="str">
        <f t="shared" si="15"/>
        <v>SÃO PAULO</v>
      </c>
      <c r="AE274" s="92" t="s">
        <v>79</v>
      </c>
    </row>
    <row r="275" spans="1:31" ht="30" customHeight="1">
      <c r="A275" s="176" t="s">
        <v>198</v>
      </c>
      <c r="B275" s="154">
        <v>2693148475</v>
      </c>
      <c r="C275" s="154" t="s">
        <v>143</v>
      </c>
      <c r="D275" s="154" t="s">
        <v>79</v>
      </c>
      <c r="E275" s="154" t="s">
        <v>35</v>
      </c>
      <c r="F275" s="154" t="s">
        <v>2122</v>
      </c>
      <c r="G275" s="154">
        <v>40</v>
      </c>
      <c r="H275" s="154" t="s">
        <v>200</v>
      </c>
      <c r="I275" s="154" t="s">
        <v>1105</v>
      </c>
      <c r="J275" s="154" t="s">
        <v>1915</v>
      </c>
      <c r="K275" s="154" t="s">
        <v>200</v>
      </c>
      <c r="L275" s="154" t="s">
        <v>847</v>
      </c>
      <c r="M275" s="154" t="s">
        <v>2123</v>
      </c>
      <c r="N275" s="154" t="s">
        <v>1944</v>
      </c>
      <c r="O275" s="152" t="s">
        <v>207</v>
      </c>
      <c r="P275" s="90"/>
      <c r="Q275" s="140" t="s">
        <v>207</v>
      </c>
      <c r="R275" s="90"/>
      <c r="S275" s="140" t="s">
        <v>207</v>
      </c>
      <c r="T275" s="90"/>
      <c r="U275" s="140" t="s">
        <v>207</v>
      </c>
      <c r="V275" s="90"/>
      <c r="W275" s="140" t="s">
        <v>207</v>
      </c>
      <c r="X275" s="90"/>
      <c r="Y275" s="140" t="s">
        <v>207</v>
      </c>
      <c r="Z275" s="177" t="str">
        <f t="shared" ref="Z275:Z322" si="16">IF(AND(O275="",Q275="",S275="",U275="",W275=""),"",IF(OR(AND(O275&lt;&gt;"NA",O275&lt;&gt;"C",O275&lt;&gt;"NC",O275&lt;&gt;"SF",O275&lt;&gt;""),AND(Q275&lt;&gt;"NA",Q275&lt;&gt;"C",Q275&lt;&gt;"NC",Q275&lt;&gt;"SF",Q275&lt;&gt;""),AND(S275&lt;&gt;"NA",S275&lt;&gt;"C",S275&lt;&gt;"NC",S275&lt;&gt;"SF",S275&lt;&gt;""),AND(U275&lt;&gt;"NA",U275&lt;&gt;"C",U275&lt;&gt;"NC",U275&lt;&gt;"SF",U275&lt;&gt;""),AND(W275&lt;&gt;"NA",W275&lt;&gt;"C",W275&lt;&gt;"NC",W275&lt;&gt;"SF",W275&lt;&gt;"")),"FALSO",IF(AND(O275="NA",Q275="NA",S275="NA",U275="NA",W275="NA"),"NA",IF(OR(O275="NC",Q275="NC",S275="NC",U275="NC",W275="NC",O275="SF",Q275="SF",S275="SF",U275="SF",W275="SF"),"NC",IF(OR(O275="C",Q275="C",S275="C",U275="C",W275="C"),"C","")))))</f>
        <v>C</v>
      </c>
      <c r="AA275" s="190" t="str">
        <f t="shared" ref="AA275:AA321" si="17">IF(AND(Y275="C",Z275="C"),"UTILIZOU O PDA CORRETAMENTE",IF(AND(Y275="C",Z275="NC"),"UTILIZOU O PDA CORRETAMENTE. NÃO HÁ FOTOS DE TODAS AS ETAPAS",IF(AND(Y275="NC",Z275="NC"),"NÃO UTILIZOU O PDA",IF(AND(Y275="NA",Z275="NA"),"NÃO AVALIADO POR FALHA DE SINCRONISMO"))))</f>
        <v>UTILIZOU O PDA CORRETAMENTE</v>
      </c>
      <c r="AB275" s="90"/>
      <c r="AC275" s="156" t="s">
        <v>36</v>
      </c>
      <c r="AD275" s="145" t="str">
        <f t="shared" ref="AD275:AD289" si="18">E275</f>
        <v>SÃO PAULO</v>
      </c>
      <c r="AE275" s="92" t="s">
        <v>79</v>
      </c>
    </row>
    <row r="276" spans="1:31" ht="30" customHeight="1">
      <c r="A276" s="161" t="s">
        <v>198</v>
      </c>
      <c r="B276" s="216">
        <v>2620125769</v>
      </c>
      <c r="C276" s="155" t="s">
        <v>1923</v>
      </c>
      <c r="D276" s="155" t="s">
        <v>79</v>
      </c>
      <c r="E276" s="155" t="s">
        <v>35</v>
      </c>
      <c r="F276" s="155" t="s">
        <v>1528</v>
      </c>
      <c r="G276" s="155">
        <v>333</v>
      </c>
      <c r="H276" s="155" t="s">
        <v>200</v>
      </c>
      <c r="I276" s="155" t="s">
        <v>303</v>
      </c>
      <c r="J276" s="155" t="s">
        <v>1915</v>
      </c>
      <c r="K276" s="155" t="s">
        <v>200</v>
      </c>
      <c r="L276" s="155" t="s">
        <v>2124</v>
      </c>
      <c r="M276" s="155" t="s">
        <v>827</v>
      </c>
      <c r="N276" s="155" t="s">
        <v>1944</v>
      </c>
      <c r="O276" s="152" t="s">
        <v>207</v>
      </c>
      <c r="P276" s="90"/>
      <c r="Q276" s="140" t="s">
        <v>207</v>
      </c>
      <c r="R276" s="90"/>
      <c r="S276" s="140" t="s">
        <v>207</v>
      </c>
      <c r="T276" s="90"/>
      <c r="U276" s="140" t="s">
        <v>207</v>
      </c>
      <c r="V276" s="90"/>
      <c r="W276" s="140" t="s">
        <v>207</v>
      </c>
      <c r="X276" s="90"/>
      <c r="Y276" s="140" t="s">
        <v>207</v>
      </c>
      <c r="Z276" s="177" t="str">
        <f t="shared" si="16"/>
        <v>C</v>
      </c>
      <c r="AA276" s="190" t="str">
        <f t="shared" si="17"/>
        <v>UTILIZOU O PDA CORRETAMENTE</v>
      </c>
      <c r="AB276" s="90" t="s">
        <v>207</v>
      </c>
      <c r="AC276" s="156" t="s">
        <v>36</v>
      </c>
      <c r="AD276" s="145" t="str">
        <f t="shared" si="18"/>
        <v>SÃO PAULO</v>
      </c>
      <c r="AE276" s="92" t="s">
        <v>79</v>
      </c>
    </row>
    <row r="277" spans="1:31" ht="30" customHeight="1">
      <c r="A277" s="161" t="s">
        <v>198</v>
      </c>
      <c r="B277" s="216">
        <v>2693148259</v>
      </c>
      <c r="C277" s="155" t="s">
        <v>143</v>
      </c>
      <c r="D277" s="155" t="s">
        <v>79</v>
      </c>
      <c r="E277" s="155" t="s">
        <v>35</v>
      </c>
      <c r="F277" s="155" t="s">
        <v>2125</v>
      </c>
      <c r="G277" s="155">
        <v>18</v>
      </c>
      <c r="H277" s="155" t="s">
        <v>205</v>
      </c>
      <c r="I277" s="155" t="s">
        <v>373</v>
      </c>
      <c r="J277" s="155" t="s">
        <v>1915</v>
      </c>
      <c r="K277" s="155" t="s">
        <v>200</v>
      </c>
      <c r="L277" s="155" t="s">
        <v>2126</v>
      </c>
      <c r="M277" s="155" t="s">
        <v>2127</v>
      </c>
      <c r="N277" s="155" t="s">
        <v>1916</v>
      </c>
      <c r="O277" s="152" t="s">
        <v>207</v>
      </c>
      <c r="P277" s="90"/>
      <c r="Q277" s="140" t="s">
        <v>207</v>
      </c>
      <c r="R277" s="90"/>
      <c r="S277" s="140" t="s">
        <v>207</v>
      </c>
      <c r="T277" s="90"/>
      <c r="U277" s="140" t="s">
        <v>207</v>
      </c>
      <c r="V277" s="90"/>
      <c r="W277" s="140" t="s">
        <v>207</v>
      </c>
      <c r="X277" s="90"/>
      <c r="Y277" s="140" t="s">
        <v>207</v>
      </c>
      <c r="Z277" s="177" t="str">
        <f t="shared" si="16"/>
        <v>C</v>
      </c>
      <c r="AA277" s="190" t="str">
        <f t="shared" si="17"/>
        <v>UTILIZOU O PDA CORRETAMENTE</v>
      </c>
      <c r="AB277" s="90" t="s">
        <v>207</v>
      </c>
      <c r="AC277" s="156" t="s">
        <v>36</v>
      </c>
      <c r="AD277" s="145" t="str">
        <f t="shared" si="18"/>
        <v>SÃO PAULO</v>
      </c>
      <c r="AE277" s="92" t="s">
        <v>79</v>
      </c>
    </row>
    <row r="278" spans="1:31" ht="30" customHeight="1">
      <c r="A278" s="161" t="s">
        <v>198</v>
      </c>
      <c r="B278" s="216">
        <v>2693160603</v>
      </c>
      <c r="C278" s="155" t="s">
        <v>143</v>
      </c>
      <c r="D278" s="155" t="s">
        <v>79</v>
      </c>
      <c r="E278" s="155" t="s">
        <v>35</v>
      </c>
      <c r="F278" s="155" t="s">
        <v>2128</v>
      </c>
      <c r="G278" s="155">
        <v>22</v>
      </c>
      <c r="H278" s="155" t="s">
        <v>257</v>
      </c>
      <c r="I278" s="155" t="s">
        <v>319</v>
      </c>
      <c r="J278" s="155" t="s">
        <v>1915</v>
      </c>
      <c r="K278" s="155" t="s">
        <v>200</v>
      </c>
      <c r="L278" s="155" t="s">
        <v>2129</v>
      </c>
      <c r="M278" s="155" t="s">
        <v>2130</v>
      </c>
      <c r="N278" s="155" t="s">
        <v>1916</v>
      </c>
      <c r="O278" s="152" t="s">
        <v>207</v>
      </c>
      <c r="P278" s="90"/>
      <c r="Q278" s="140" t="s">
        <v>207</v>
      </c>
      <c r="R278" s="90"/>
      <c r="S278" s="140" t="s">
        <v>207</v>
      </c>
      <c r="T278" s="90"/>
      <c r="U278" s="140" t="s">
        <v>207</v>
      </c>
      <c r="V278" s="90"/>
      <c r="W278" s="140" t="s">
        <v>207</v>
      </c>
      <c r="X278" s="90"/>
      <c r="Y278" s="140" t="s">
        <v>207</v>
      </c>
      <c r="Z278" s="177" t="str">
        <f t="shared" si="16"/>
        <v>C</v>
      </c>
      <c r="AA278" s="190" t="str">
        <f t="shared" si="17"/>
        <v>UTILIZOU O PDA CORRETAMENTE</v>
      </c>
      <c r="AB278" s="90" t="s">
        <v>207</v>
      </c>
      <c r="AC278" s="156" t="s">
        <v>36</v>
      </c>
      <c r="AD278" s="145" t="str">
        <f t="shared" si="18"/>
        <v>SÃO PAULO</v>
      </c>
      <c r="AE278" s="92" t="s">
        <v>79</v>
      </c>
    </row>
    <row r="279" spans="1:31" ht="30" customHeight="1">
      <c r="A279" s="161" t="s">
        <v>198</v>
      </c>
      <c r="B279" s="216">
        <v>2693143178</v>
      </c>
      <c r="C279" s="155" t="s">
        <v>143</v>
      </c>
      <c r="D279" s="155" t="s">
        <v>79</v>
      </c>
      <c r="E279" s="155" t="s">
        <v>35</v>
      </c>
      <c r="F279" s="155" t="s">
        <v>423</v>
      </c>
      <c r="G279" s="155">
        <v>577</v>
      </c>
      <c r="H279" s="155" t="s">
        <v>208</v>
      </c>
      <c r="I279" s="155" t="s">
        <v>424</v>
      </c>
      <c r="J279" s="155" t="s">
        <v>1915</v>
      </c>
      <c r="K279" s="155" t="s">
        <v>200</v>
      </c>
      <c r="L279" s="155" t="s">
        <v>2131</v>
      </c>
      <c r="M279" s="155" t="s">
        <v>2132</v>
      </c>
      <c r="N279" s="155" t="s">
        <v>390</v>
      </c>
      <c r="O279" s="152" t="s">
        <v>207</v>
      </c>
      <c r="P279" s="90"/>
      <c r="Q279" s="140" t="s">
        <v>214</v>
      </c>
      <c r="R279" s="90"/>
      <c r="S279" s="140" t="s">
        <v>214</v>
      </c>
      <c r="T279" s="90"/>
      <c r="U279" s="140" t="s">
        <v>214</v>
      </c>
      <c r="V279" s="90"/>
      <c r="W279" s="140" t="s">
        <v>214</v>
      </c>
      <c r="X279" s="90"/>
      <c r="Y279" s="140" t="s">
        <v>207</v>
      </c>
      <c r="Z279" s="177" t="str">
        <f t="shared" si="16"/>
        <v>NC</v>
      </c>
      <c r="AA279" s="190" t="str">
        <f t="shared" si="17"/>
        <v>UTILIZOU O PDA CORRETAMENTE. NÃO HÁ FOTOS DE TODAS AS ETAPAS</v>
      </c>
      <c r="AB279" s="90" t="s">
        <v>207</v>
      </c>
      <c r="AC279" s="156" t="s">
        <v>36</v>
      </c>
      <c r="AD279" s="145" t="str">
        <f t="shared" si="18"/>
        <v>SÃO PAULO</v>
      </c>
      <c r="AE279" s="92" t="s">
        <v>79</v>
      </c>
    </row>
    <row r="280" spans="1:31" ht="30" customHeight="1">
      <c r="A280" s="161" t="s">
        <v>198</v>
      </c>
      <c r="B280" s="216">
        <v>2693153284</v>
      </c>
      <c r="C280" s="155" t="s">
        <v>147</v>
      </c>
      <c r="D280" s="155" t="s">
        <v>79</v>
      </c>
      <c r="E280" s="155" t="s">
        <v>35</v>
      </c>
      <c r="F280" s="155" t="s">
        <v>415</v>
      </c>
      <c r="G280" s="155">
        <v>270</v>
      </c>
      <c r="H280" s="155" t="s">
        <v>200</v>
      </c>
      <c r="I280" s="155" t="s">
        <v>569</v>
      </c>
      <c r="J280" s="155" t="s">
        <v>1915</v>
      </c>
      <c r="K280" s="155" t="s">
        <v>200</v>
      </c>
      <c r="L280" s="155" t="s">
        <v>2133</v>
      </c>
      <c r="M280" s="155" t="s">
        <v>2134</v>
      </c>
      <c r="N280" s="155" t="s">
        <v>390</v>
      </c>
      <c r="O280" s="152" t="s">
        <v>207</v>
      </c>
      <c r="P280" s="90"/>
      <c r="Q280" s="140" t="s">
        <v>207</v>
      </c>
      <c r="R280" s="90"/>
      <c r="S280" s="140" t="s">
        <v>214</v>
      </c>
      <c r="T280" s="90"/>
      <c r="U280" s="140" t="s">
        <v>214</v>
      </c>
      <c r="V280" s="90"/>
      <c r="W280" s="140" t="s">
        <v>207</v>
      </c>
      <c r="X280" s="90"/>
      <c r="Y280" s="140" t="s">
        <v>207</v>
      </c>
      <c r="Z280" s="177" t="str">
        <f t="shared" si="16"/>
        <v>NC</v>
      </c>
      <c r="AA280" s="190" t="str">
        <f t="shared" si="17"/>
        <v>UTILIZOU O PDA CORRETAMENTE. NÃO HÁ FOTOS DE TODAS AS ETAPAS</v>
      </c>
      <c r="AB280" s="90" t="s">
        <v>207</v>
      </c>
      <c r="AC280" s="156" t="s">
        <v>36</v>
      </c>
      <c r="AD280" s="145" t="str">
        <f t="shared" si="18"/>
        <v>SÃO PAULO</v>
      </c>
      <c r="AE280" s="92" t="s">
        <v>79</v>
      </c>
    </row>
    <row r="281" spans="1:31" ht="30" customHeight="1">
      <c r="A281" s="161" t="s">
        <v>198</v>
      </c>
      <c r="B281" s="216">
        <v>2693150165</v>
      </c>
      <c r="C281" s="155" t="s">
        <v>147</v>
      </c>
      <c r="D281" s="155" t="s">
        <v>79</v>
      </c>
      <c r="E281" s="155" t="s">
        <v>35</v>
      </c>
      <c r="F281" s="155" t="s">
        <v>2135</v>
      </c>
      <c r="G281" s="155">
        <v>39</v>
      </c>
      <c r="H281" s="155" t="s">
        <v>200</v>
      </c>
      <c r="I281" s="155" t="s">
        <v>352</v>
      </c>
      <c r="J281" s="155" t="s">
        <v>1915</v>
      </c>
      <c r="K281" s="155" t="s">
        <v>200</v>
      </c>
      <c r="L281" s="155" t="s">
        <v>2136</v>
      </c>
      <c r="M281" s="155" t="s">
        <v>2137</v>
      </c>
      <c r="N281" s="155" t="s">
        <v>1933</v>
      </c>
      <c r="O281" s="152" t="s">
        <v>207</v>
      </c>
      <c r="P281" s="90"/>
      <c r="Q281" s="140" t="s">
        <v>207</v>
      </c>
      <c r="R281" s="90"/>
      <c r="S281" s="140" t="s">
        <v>207</v>
      </c>
      <c r="T281" s="90"/>
      <c r="U281" s="140" t="s">
        <v>207</v>
      </c>
      <c r="V281" s="90"/>
      <c r="W281" s="140" t="s">
        <v>207</v>
      </c>
      <c r="X281" s="90"/>
      <c r="Y281" s="140" t="s">
        <v>207</v>
      </c>
      <c r="Z281" s="177" t="str">
        <f t="shared" si="16"/>
        <v>C</v>
      </c>
      <c r="AA281" s="190" t="str">
        <f t="shared" si="17"/>
        <v>UTILIZOU O PDA CORRETAMENTE</v>
      </c>
      <c r="AB281" s="90" t="s">
        <v>207</v>
      </c>
      <c r="AC281" s="156" t="s">
        <v>36</v>
      </c>
      <c r="AD281" s="145" t="str">
        <f t="shared" si="18"/>
        <v>SÃO PAULO</v>
      </c>
      <c r="AE281" s="92" t="s">
        <v>79</v>
      </c>
    </row>
    <row r="282" spans="1:31" ht="30" customHeight="1">
      <c r="A282" s="161" t="s">
        <v>198</v>
      </c>
      <c r="B282" s="216">
        <v>2619983436</v>
      </c>
      <c r="C282" s="155" t="s">
        <v>143</v>
      </c>
      <c r="D282" s="155" t="s">
        <v>79</v>
      </c>
      <c r="E282" s="155" t="s">
        <v>35</v>
      </c>
      <c r="F282" s="155" t="s">
        <v>2138</v>
      </c>
      <c r="G282" s="155">
        <v>2</v>
      </c>
      <c r="H282" s="155" t="s">
        <v>205</v>
      </c>
      <c r="I282" s="155" t="s">
        <v>293</v>
      </c>
      <c r="J282" s="155" t="s">
        <v>1915</v>
      </c>
      <c r="K282" s="155" t="s">
        <v>200</v>
      </c>
      <c r="L282" s="155" t="s">
        <v>2139</v>
      </c>
      <c r="M282" s="155" t="s">
        <v>2140</v>
      </c>
      <c r="N282" s="155" t="s">
        <v>1933</v>
      </c>
      <c r="O282" s="152" t="s">
        <v>207</v>
      </c>
      <c r="P282" s="90"/>
      <c r="Q282" s="140" t="s">
        <v>207</v>
      </c>
      <c r="R282" s="90"/>
      <c r="S282" s="140" t="s">
        <v>207</v>
      </c>
      <c r="T282" s="90"/>
      <c r="U282" s="140" t="s">
        <v>207</v>
      </c>
      <c r="V282" s="90"/>
      <c r="W282" s="140" t="s">
        <v>207</v>
      </c>
      <c r="X282" s="90"/>
      <c r="Y282" s="140" t="s">
        <v>207</v>
      </c>
      <c r="Z282" s="177" t="str">
        <f t="shared" si="16"/>
        <v>C</v>
      </c>
      <c r="AA282" s="190" t="str">
        <f t="shared" si="17"/>
        <v>UTILIZOU O PDA CORRETAMENTE</v>
      </c>
      <c r="AB282" s="90" t="s">
        <v>207</v>
      </c>
      <c r="AC282" s="156" t="s">
        <v>36</v>
      </c>
      <c r="AD282" s="145" t="str">
        <f t="shared" si="18"/>
        <v>SÃO PAULO</v>
      </c>
      <c r="AE282" s="92" t="s">
        <v>79</v>
      </c>
    </row>
    <row r="283" spans="1:31" ht="30" customHeight="1">
      <c r="A283" s="161" t="s">
        <v>198</v>
      </c>
      <c r="B283" s="216">
        <v>2620021942</v>
      </c>
      <c r="C283" s="155" t="s">
        <v>147</v>
      </c>
      <c r="D283" s="155" t="s">
        <v>79</v>
      </c>
      <c r="E283" s="155" t="s">
        <v>35</v>
      </c>
      <c r="F283" s="155" t="s">
        <v>313</v>
      </c>
      <c r="G283" s="155">
        <v>14</v>
      </c>
      <c r="H283" s="155" t="s">
        <v>208</v>
      </c>
      <c r="I283" s="155" t="s">
        <v>314</v>
      </c>
      <c r="J283" s="155" t="s">
        <v>1915</v>
      </c>
      <c r="K283" s="155" t="s">
        <v>200</v>
      </c>
      <c r="L283" s="155" t="s">
        <v>2141</v>
      </c>
      <c r="M283" s="155" t="s">
        <v>2142</v>
      </c>
      <c r="N283" s="155" t="s">
        <v>1925</v>
      </c>
      <c r="O283" s="152" t="s">
        <v>207</v>
      </c>
      <c r="P283" s="90"/>
      <c r="Q283" s="140" t="s">
        <v>207</v>
      </c>
      <c r="R283" s="90"/>
      <c r="S283" s="140" t="s">
        <v>214</v>
      </c>
      <c r="T283" s="90"/>
      <c r="U283" s="140" t="s">
        <v>214</v>
      </c>
      <c r="V283" s="90"/>
      <c r="W283" s="140" t="s">
        <v>207</v>
      </c>
      <c r="X283" s="90"/>
      <c r="Y283" s="140" t="s">
        <v>207</v>
      </c>
      <c r="Z283" s="177" t="str">
        <f t="shared" si="16"/>
        <v>NC</v>
      </c>
      <c r="AA283" s="190" t="str">
        <f t="shared" si="17"/>
        <v>UTILIZOU O PDA CORRETAMENTE. NÃO HÁ FOTOS DE TODAS AS ETAPAS</v>
      </c>
      <c r="AB283" s="90" t="s">
        <v>207</v>
      </c>
      <c r="AC283" s="156" t="s">
        <v>36</v>
      </c>
      <c r="AD283" s="145" t="str">
        <f t="shared" si="18"/>
        <v>SÃO PAULO</v>
      </c>
      <c r="AE283" s="92" t="s">
        <v>79</v>
      </c>
    </row>
    <row r="284" spans="1:31" ht="30" customHeight="1">
      <c r="A284" s="161" t="s">
        <v>198</v>
      </c>
      <c r="B284" s="216">
        <v>2693161615</v>
      </c>
      <c r="C284" s="155" t="s">
        <v>147</v>
      </c>
      <c r="D284" s="155" t="s">
        <v>79</v>
      </c>
      <c r="E284" s="155" t="s">
        <v>35</v>
      </c>
      <c r="F284" s="155" t="s">
        <v>2073</v>
      </c>
      <c r="G284" s="155">
        <v>66</v>
      </c>
      <c r="H284" s="155" t="s">
        <v>200</v>
      </c>
      <c r="I284" s="155" t="s">
        <v>497</v>
      </c>
      <c r="J284" s="155" t="s">
        <v>1932</v>
      </c>
      <c r="K284" s="155" t="s">
        <v>200</v>
      </c>
      <c r="L284" s="155" t="s">
        <v>2143</v>
      </c>
      <c r="M284" s="155" t="s">
        <v>2144</v>
      </c>
      <c r="N284" s="155" t="s">
        <v>1933</v>
      </c>
      <c r="O284" s="152" t="s">
        <v>207</v>
      </c>
      <c r="P284" s="90"/>
      <c r="Q284" s="140" t="s">
        <v>207</v>
      </c>
      <c r="R284" s="90"/>
      <c r="S284" s="140" t="s">
        <v>207</v>
      </c>
      <c r="T284" s="90"/>
      <c r="U284" s="140" t="s">
        <v>207</v>
      </c>
      <c r="V284" s="90"/>
      <c r="W284" s="140" t="s">
        <v>207</v>
      </c>
      <c r="X284" s="90"/>
      <c r="Y284" s="140" t="s">
        <v>207</v>
      </c>
      <c r="Z284" s="177" t="str">
        <f t="shared" si="16"/>
        <v>C</v>
      </c>
      <c r="AA284" s="190" t="str">
        <f t="shared" si="17"/>
        <v>UTILIZOU O PDA CORRETAMENTE</v>
      </c>
      <c r="AB284" s="90" t="s">
        <v>207</v>
      </c>
      <c r="AC284" s="156" t="s">
        <v>36</v>
      </c>
      <c r="AD284" s="145" t="str">
        <f t="shared" si="18"/>
        <v>SÃO PAULO</v>
      </c>
      <c r="AE284" s="92" t="s">
        <v>79</v>
      </c>
    </row>
    <row r="285" spans="1:31" ht="30" customHeight="1">
      <c r="A285" s="161" t="s">
        <v>198</v>
      </c>
      <c r="B285" s="216">
        <v>2693144420</v>
      </c>
      <c r="C285" s="155" t="s">
        <v>143</v>
      </c>
      <c r="D285" s="155" t="s">
        <v>79</v>
      </c>
      <c r="E285" s="155" t="s">
        <v>35</v>
      </c>
      <c r="F285" s="155" t="s">
        <v>2145</v>
      </c>
      <c r="G285" s="155">
        <v>50</v>
      </c>
      <c r="H285" s="155" t="s">
        <v>257</v>
      </c>
      <c r="I285" s="155" t="s">
        <v>701</v>
      </c>
      <c r="J285" s="155" t="s">
        <v>1915</v>
      </c>
      <c r="K285" s="155" t="s">
        <v>200</v>
      </c>
      <c r="L285" s="155" t="s">
        <v>2146</v>
      </c>
      <c r="M285" s="155" t="s">
        <v>2147</v>
      </c>
      <c r="N285" s="155" t="s">
        <v>1925</v>
      </c>
      <c r="O285" s="152" t="s">
        <v>207</v>
      </c>
      <c r="P285" s="90"/>
      <c r="Q285" s="140" t="s">
        <v>207</v>
      </c>
      <c r="R285" s="90"/>
      <c r="S285" s="140" t="s">
        <v>214</v>
      </c>
      <c r="T285" s="90"/>
      <c r="U285" s="140" t="s">
        <v>214</v>
      </c>
      <c r="V285" s="90"/>
      <c r="W285" s="140" t="s">
        <v>207</v>
      </c>
      <c r="X285" s="90"/>
      <c r="Y285" s="140" t="s">
        <v>207</v>
      </c>
      <c r="Z285" s="177" t="str">
        <f t="shared" si="16"/>
        <v>NC</v>
      </c>
      <c r="AA285" s="190" t="str">
        <f t="shared" si="17"/>
        <v>UTILIZOU O PDA CORRETAMENTE. NÃO HÁ FOTOS DE TODAS AS ETAPAS</v>
      </c>
      <c r="AB285" s="90" t="s">
        <v>207</v>
      </c>
      <c r="AC285" s="156" t="s">
        <v>36</v>
      </c>
      <c r="AD285" s="145" t="str">
        <f t="shared" si="18"/>
        <v>SÃO PAULO</v>
      </c>
      <c r="AE285" s="92" t="s">
        <v>79</v>
      </c>
    </row>
    <row r="286" spans="1:31" ht="30" customHeight="1">
      <c r="A286" s="161" t="s">
        <v>198</v>
      </c>
      <c r="B286" s="216">
        <v>2693164318</v>
      </c>
      <c r="C286" s="155" t="s">
        <v>143</v>
      </c>
      <c r="D286" s="155" t="s">
        <v>79</v>
      </c>
      <c r="E286" s="155" t="s">
        <v>35</v>
      </c>
      <c r="F286" s="155" t="s">
        <v>2148</v>
      </c>
      <c r="G286" s="155">
        <v>228</v>
      </c>
      <c r="H286" s="155" t="s">
        <v>255</v>
      </c>
      <c r="I286" s="155" t="s">
        <v>548</v>
      </c>
      <c r="J286" s="155" t="s">
        <v>1915</v>
      </c>
      <c r="K286" s="155" t="s">
        <v>200</v>
      </c>
      <c r="L286" s="155" t="s">
        <v>2149</v>
      </c>
      <c r="M286" s="155" t="s">
        <v>2150</v>
      </c>
      <c r="N286" s="155" t="s">
        <v>1925</v>
      </c>
      <c r="O286" s="152" t="s">
        <v>207</v>
      </c>
      <c r="P286" s="90"/>
      <c r="Q286" s="140" t="s">
        <v>207</v>
      </c>
      <c r="R286" s="90"/>
      <c r="S286" s="140" t="s">
        <v>207</v>
      </c>
      <c r="T286" s="90"/>
      <c r="U286" s="140" t="s">
        <v>214</v>
      </c>
      <c r="V286" s="90"/>
      <c r="W286" s="140" t="s">
        <v>207</v>
      </c>
      <c r="X286" s="90"/>
      <c r="Y286" s="140" t="s">
        <v>207</v>
      </c>
      <c r="Z286" s="177" t="str">
        <f t="shared" si="16"/>
        <v>NC</v>
      </c>
      <c r="AA286" s="190" t="str">
        <f t="shared" si="17"/>
        <v>UTILIZOU O PDA CORRETAMENTE. NÃO HÁ FOTOS DE TODAS AS ETAPAS</v>
      </c>
      <c r="AB286" s="90" t="s">
        <v>207</v>
      </c>
      <c r="AC286" s="156" t="s">
        <v>36</v>
      </c>
      <c r="AD286" s="145" t="str">
        <f t="shared" si="18"/>
        <v>SÃO PAULO</v>
      </c>
      <c r="AE286" s="92" t="s">
        <v>79</v>
      </c>
    </row>
    <row r="287" spans="1:31" ht="30" customHeight="1">
      <c r="A287" s="161" t="s">
        <v>198</v>
      </c>
      <c r="B287" s="216">
        <v>2693152077</v>
      </c>
      <c r="C287" s="155" t="s">
        <v>143</v>
      </c>
      <c r="D287" s="155" t="s">
        <v>79</v>
      </c>
      <c r="E287" s="155" t="s">
        <v>35</v>
      </c>
      <c r="F287" s="155" t="s">
        <v>2151</v>
      </c>
      <c r="G287" s="155">
        <v>15</v>
      </c>
      <c r="H287" s="155" t="s">
        <v>325</v>
      </c>
      <c r="I287" s="155" t="s">
        <v>355</v>
      </c>
      <c r="J287" s="155" t="s">
        <v>1915</v>
      </c>
      <c r="K287" s="155" t="s">
        <v>200</v>
      </c>
      <c r="L287" s="155" t="s">
        <v>2152</v>
      </c>
      <c r="M287" s="155" t="s">
        <v>2153</v>
      </c>
      <c r="N287" s="155" t="s">
        <v>1919</v>
      </c>
      <c r="O287" s="152" t="s">
        <v>214</v>
      </c>
      <c r="P287" s="90"/>
      <c r="Q287" s="140" t="s">
        <v>214</v>
      </c>
      <c r="R287" s="90"/>
      <c r="S287" s="140" t="s">
        <v>214</v>
      </c>
      <c r="T287" s="90"/>
      <c r="U287" s="140" t="s">
        <v>214</v>
      </c>
      <c r="V287" s="90"/>
      <c r="W287" s="140" t="s">
        <v>214</v>
      </c>
      <c r="X287" s="90"/>
      <c r="Y287" s="140" t="s">
        <v>215</v>
      </c>
      <c r="Z287" s="177" t="str">
        <f t="shared" si="16"/>
        <v>NC</v>
      </c>
      <c r="AA287" s="190" t="str">
        <f t="shared" si="17"/>
        <v>NÃO UTILIZOU O PDA</v>
      </c>
      <c r="AB287" s="90" t="s">
        <v>207</v>
      </c>
      <c r="AC287" s="156" t="s">
        <v>36</v>
      </c>
      <c r="AD287" s="145" t="str">
        <f t="shared" si="18"/>
        <v>SÃO PAULO</v>
      </c>
      <c r="AE287" s="92" t="s">
        <v>79</v>
      </c>
    </row>
    <row r="288" spans="1:31" ht="30" customHeight="1">
      <c r="A288" s="161" t="s">
        <v>198</v>
      </c>
      <c r="B288" s="216">
        <v>2693151604</v>
      </c>
      <c r="C288" s="155" t="s">
        <v>143</v>
      </c>
      <c r="D288" s="155" t="s">
        <v>79</v>
      </c>
      <c r="E288" s="155" t="s">
        <v>35</v>
      </c>
      <c r="F288" s="155" t="s">
        <v>2154</v>
      </c>
      <c r="G288" s="155">
        <v>22</v>
      </c>
      <c r="H288" s="155" t="s">
        <v>208</v>
      </c>
      <c r="I288" s="155" t="s">
        <v>675</v>
      </c>
      <c r="J288" s="155" t="s">
        <v>1915</v>
      </c>
      <c r="K288" s="155" t="s">
        <v>200</v>
      </c>
      <c r="L288" s="155" t="s">
        <v>2155</v>
      </c>
      <c r="M288" s="155" t="s">
        <v>2156</v>
      </c>
      <c r="N288" s="155" t="s">
        <v>1931</v>
      </c>
      <c r="O288" s="152" t="s">
        <v>207</v>
      </c>
      <c r="P288" s="90"/>
      <c r="Q288" s="140" t="s">
        <v>207</v>
      </c>
      <c r="R288" s="90"/>
      <c r="S288" s="140" t="s">
        <v>214</v>
      </c>
      <c r="T288" s="90"/>
      <c r="U288" s="140" t="s">
        <v>214</v>
      </c>
      <c r="V288" s="90"/>
      <c r="W288" s="140" t="s">
        <v>214</v>
      </c>
      <c r="X288" s="90"/>
      <c r="Y288" s="140" t="s">
        <v>207</v>
      </c>
      <c r="Z288" s="177" t="str">
        <f t="shared" si="16"/>
        <v>NC</v>
      </c>
      <c r="AA288" s="190" t="str">
        <f t="shared" si="17"/>
        <v>UTILIZOU O PDA CORRETAMENTE. NÃO HÁ FOTOS DE TODAS AS ETAPAS</v>
      </c>
      <c r="AB288" s="90" t="s">
        <v>207</v>
      </c>
      <c r="AC288" s="156" t="s">
        <v>36</v>
      </c>
      <c r="AD288" s="145" t="str">
        <f t="shared" si="18"/>
        <v>SÃO PAULO</v>
      </c>
      <c r="AE288" s="92" t="s">
        <v>79</v>
      </c>
    </row>
    <row r="289" spans="1:31" ht="30" customHeight="1">
      <c r="A289" s="161" t="s">
        <v>198</v>
      </c>
      <c r="B289" s="216">
        <v>2693181703</v>
      </c>
      <c r="C289" s="155" t="s">
        <v>146</v>
      </c>
      <c r="D289" s="155" t="s">
        <v>79</v>
      </c>
      <c r="E289" s="155" t="s">
        <v>35</v>
      </c>
      <c r="F289" s="155" t="s">
        <v>2157</v>
      </c>
      <c r="G289" s="155">
        <v>246</v>
      </c>
      <c r="H289" s="155" t="s">
        <v>1081</v>
      </c>
      <c r="I289" s="155" t="s">
        <v>440</v>
      </c>
      <c r="J289" s="155" t="s">
        <v>1915</v>
      </c>
      <c r="K289" s="155" t="s">
        <v>200</v>
      </c>
      <c r="L289" s="155" t="s">
        <v>2158</v>
      </c>
      <c r="M289" s="155" t="s">
        <v>2159</v>
      </c>
      <c r="N289" s="155" t="s">
        <v>1931</v>
      </c>
      <c r="O289" s="152" t="s">
        <v>207</v>
      </c>
      <c r="P289" s="90"/>
      <c r="Q289" s="140" t="s">
        <v>207</v>
      </c>
      <c r="R289" s="90"/>
      <c r="S289" s="140" t="s">
        <v>207</v>
      </c>
      <c r="T289" s="90"/>
      <c r="U289" s="140" t="s">
        <v>207</v>
      </c>
      <c r="V289" s="90"/>
      <c r="W289" s="140" t="s">
        <v>207</v>
      </c>
      <c r="X289" s="90"/>
      <c r="Y289" s="140" t="s">
        <v>207</v>
      </c>
      <c r="Z289" s="177" t="str">
        <f t="shared" si="16"/>
        <v>C</v>
      </c>
      <c r="AA289" s="190" t="str">
        <f t="shared" si="17"/>
        <v>UTILIZOU O PDA CORRETAMENTE</v>
      </c>
      <c r="AB289" s="90" t="s">
        <v>207</v>
      </c>
      <c r="AC289" s="156" t="s">
        <v>36</v>
      </c>
      <c r="AD289" s="145" t="str">
        <f t="shared" si="18"/>
        <v>SÃO PAULO</v>
      </c>
      <c r="AE289" s="92" t="s">
        <v>79</v>
      </c>
    </row>
    <row r="290" spans="1:31" ht="30" customHeight="1">
      <c r="A290" s="161" t="s">
        <v>198</v>
      </c>
      <c r="B290" s="216">
        <v>2619956904</v>
      </c>
      <c r="C290" s="155" t="s">
        <v>1923</v>
      </c>
      <c r="D290" s="155" t="s">
        <v>79</v>
      </c>
      <c r="E290" s="155" t="s">
        <v>35</v>
      </c>
      <c r="F290" s="155" t="s">
        <v>660</v>
      </c>
      <c r="G290" s="155">
        <v>33</v>
      </c>
      <c r="H290" s="155" t="s">
        <v>205</v>
      </c>
      <c r="I290" s="155" t="s">
        <v>661</v>
      </c>
      <c r="J290" s="155" t="s">
        <v>1915</v>
      </c>
      <c r="K290" s="155" t="s">
        <v>2160</v>
      </c>
      <c r="L290" s="155" t="s">
        <v>2161</v>
      </c>
      <c r="M290" s="155" t="s">
        <v>2162</v>
      </c>
      <c r="N290" s="155" t="s">
        <v>1919</v>
      </c>
      <c r="O290" s="152" t="s">
        <v>207</v>
      </c>
      <c r="P290" s="90"/>
      <c r="Q290" s="140" t="s">
        <v>207</v>
      </c>
      <c r="R290" s="90"/>
      <c r="S290" s="140" t="s">
        <v>214</v>
      </c>
      <c r="T290" s="90"/>
      <c r="U290" s="140" t="s">
        <v>214</v>
      </c>
      <c r="V290" s="90"/>
      <c r="W290" s="140" t="s">
        <v>207</v>
      </c>
      <c r="X290" s="90"/>
      <c r="Y290" s="140" t="s">
        <v>207</v>
      </c>
      <c r="Z290" s="177" t="str">
        <f t="shared" si="16"/>
        <v>NC</v>
      </c>
      <c r="AA290" s="190" t="str">
        <f t="shared" si="17"/>
        <v>UTILIZOU O PDA CORRETAMENTE. NÃO HÁ FOTOS DE TODAS AS ETAPAS</v>
      </c>
      <c r="AB290" s="90" t="s">
        <v>207</v>
      </c>
      <c r="AC290" s="156" t="s">
        <v>36</v>
      </c>
      <c r="AD290" s="145" t="str">
        <f t="shared" ref="AD290:AD353" si="19">E290</f>
        <v>SÃO PAULO</v>
      </c>
      <c r="AE290" s="92" t="s">
        <v>79</v>
      </c>
    </row>
    <row r="291" spans="1:31" ht="30" customHeight="1">
      <c r="A291" s="161" t="s">
        <v>198</v>
      </c>
      <c r="B291" s="216">
        <v>2693140045</v>
      </c>
      <c r="C291" s="155" t="s">
        <v>143</v>
      </c>
      <c r="D291" s="155" t="s">
        <v>79</v>
      </c>
      <c r="E291" s="155" t="s">
        <v>35</v>
      </c>
      <c r="F291" s="155" t="s">
        <v>900</v>
      </c>
      <c r="G291" s="155">
        <v>537</v>
      </c>
      <c r="H291" s="155" t="s">
        <v>208</v>
      </c>
      <c r="I291" s="155" t="s">
        <v>675</v>
      </c>
      <c r="J291" s="155" t="s">
        <v>1915</v>
      </c>
      <c r="K291" s="155" t="s">
        <v>200</v>
      </c>
      <c r="L291" s="155" t="s">
        <v>2163</v>
      </c>
      <c r="M291" s="155" t="s">
        <v>2164</v>
      </c>
      <c r="N291" s="155" t="s">
        <v>1931</v>
      </c>
      <c r="O291" s="152" t="s">
        <v>207</v>
      </c>
      <c r="P291" s="90"/>
      <c r="Q291" s="140" t="s">
        <v>207</v>
      </c>
      <c r="R291" s="90"/>
      <c r="S291" s="140" t="s">
        <v>214</v>
      </c>
      <c r="T291" s="90"/>
      <c r="U291" s="140" t="s">
        <v>214</v>
      </c>
      <c r="V291" s="90"/>
      <c r="W291" s="140" t="s">
        <v>207</v>
      </c>
      <c r="X291" s="90"/>
      <c r="Y291" s="140" t="s">
        <v>207</v>
      </c>
      <c r="Z291" s="177" t="str">
        <f t="shared" si="16"/>
        <v>NC</v>
      </c>
      <c r="AA291" s="190" t="str">
        <f t="shared" si="17"/>
        <v>UTILIZOU O PDA CORRETAMENTE. NÃO HÁ FOTOS DE TODAS AS ETAPAS</v>
      </c>
      <c r="AB291" s="90" t="s">
        <v>207</v>
      </c>
      <c r="AC291" s="156" t="s">
        <v>36</v>
      </c>
      <c r="AD291" s="145" t="str">
        <f t="shared" si="19"/>
        <v>SÃO PAULO</v>
      </c>
      <c r="AE291" s="92" t="s">
        <v>79</v>
      </c>
    </row>
    <row r="292" spans="1:31" ht="30" customHeight="1">
      <c r="A292" s="161" t="s">
        <v>198</v>
      </c>
      <c r="B292" s="216">
        <v>2619961388</v>
      </c>
      <c r="C292" s="155" t="s">
        <v>143</v>
      </c>
      <c r="D292" s="155" t="s">
        <v>79</v>
      </c>
      <c r="E292" s="155" t="s">
        <v>35</v>
      </c>
      <c r="F292" s="155" t="s">
        <v>1899</v>
      </c>
      <c r="G292" s="155">
        <v>126</v>
      </c>
      <c r="H292" s="155" t="s">
        <v>208</v>
      </c>
      <c r="I292" s="155" t="s">
        <v>230</v>
      </c>
      <c r="J292" s="155" t="s">
        <v>1915</v>
      </c>
      <c r="K292" s="155" t="s">
        <v>200</v>
      </c>
      <c r="L292" s="155" t="s">
        <v>2165</v>
      </c>
      <c r="M292" s="155" t="s">
        <v>2166</v>
      </c>
      <c r="N292" s="155" t="s">
        <v>1931</v>
      </c>
      <c r="O292" s="152" t="s">
        <v>207</v>
      </c>
      <c r="P292" s="90"/>
      <c r="Q292" s="140" t="s">
        <v>207</v>
      </c>
      <c r="R292" s="90"/>
      <c r="S292" s="140" t="s">
        <v>214</v>
      </c>
      <c r="T292" s="90"/>
      <c r="U292" s="140" t="s">
        <v>214</v>
      </c>
      <c r="V292" s="90"/>
      <c r="W292" s="140" t="s">
        <v>207</v>
      </c>
      <c r="X292" s="90"/>
      <c r="Y292" s="140" t="s">
        <v>207</v>
      </c>
      <c r="Z292" s="177" t="str">
        <f t="shared" si="16"/>
        <v>NC</v>
      </c>
      <c r="AA292" s="190" t="str">
        <f t="shared" si="17"/>
        <v>UTILIZOU O PDA CORRETAMENTE. NÃO HÁ FOTOS DE TODAS AS ETAPAS</v>
      </c>
      <c r="AB292" s="90" t="s">
        <v>207</v>
      </c>
      <c r="AC292" s="156" t="s">
        <v>36</v>
      </c>
      <c r="AD292" s="145" t="str">
        <f t="shared" si="19"/>
        <v>SÃO PAULO</v>
      </c>
      <c r="AE292" s="92" t="s">
        <v>79</v>
      </c>
    </row>
    <row r="293" spans="1:31" ht="30" customHeight="1">
      <c r="A293" s="161" t="s">
        <v>198</v>
      </c>
      <c r="B293" s="216">
        <v>2693183805</v>
      </c>
      <c r="C293" s="155" t="s">
        <v>143</v>
      </c>
      <c r="D293" s="155" t="s">
        <v>79</v>
      </c>
      <c r="E293" s="155" t="s">
        <v>35</v>
      </c>
      <c r="F293" s="155" t="s">
        <v>2167</v>
      </c>
      <c r="G293" s="155">
        <v>14</v>
      </c>
      <c r="H293" s="155" t="s">
        <v>208</v>
      </c>
      <c r="I293" s="155" t="s">
        <v>230</v>
      </c>
      <c r="J293" s="155" t="s">
        <v>1915</v>
      </c>
      <c r="K293" s="155" t="s">
        <v>200</v>
      </c>
      <c r="L293" s="155" t="s">
        <v>780</v>
      </c>
      <c r="M293" s="155" t="s">
        <v>784</v>
      </c>
      <c r="N293" s="155" t="s">
        <v>1931</v>
      </c>
      <c r="O293" s="152" t="s">
        <v>207</v>
      </c>
      <c r="P293" s="90"/>
      <c r="Q293" s="140" t="s">
        <v>207</v>
      </c>
      <c r="R293" s="90"/>
      <c r="S293" s="140" t="s">
        <v>207</v>
      </c>
      <c r="T293" s="90"/>
      <c r="U293" s="140" t="s">
        <v>207</v>
      </c>
      <c r="V293" s="90"/>
      <c r="W293" s="140" t="s">
        <v>207</v>
      </c>
      <c r="X293" s="90"/>
      <c r="Y293" s="140" t="s">
        <v>207</v>
      </c>
      <c r="Z293" s="177" t="str">
        <f t="shared" si="16"/>
        <v>C</v>
      </c>
      <c r="AA293" s="190" t="str">
        <f t="shared" si="17"/>
        <v>UTILIZOU O PDA CORRETAMENTE</v>
      </c>
      <c r="AB293" s="90" t="s">
        <v>207</v>
      </c>
      <c r="AC293" s="156" t="s">
        <v>36</v>
      </c>
      <c r="AD293" s="145" t="str">
        <f t="shared" si="19"/>
        <v>SÃO PAULO</v>
      </c>
      <c r="AE293" s="92" t="s">
        <v>79</v>
      </c>
    </row>
    <row r="294" spans="1:31" ht="30" customHeight="1">
      <c r="A294" s="161" t="s">
        <v>198</v>
      </c>
      <c r="B294" s="216">
        <v>2693182812</v>
      </c>
      <c r="C294" s="155" t="s">
        <v>146</v>
      </c>
      <c r="D294" s="155" t="s">
        <v>79</v>
      </c>
      <c r="E294" s="155" t="s">
        <v>35</v>
      </c>
      <c r="F294" s="155" t="s">
        <v>2167</v>
      </c>
      <c r="G294" s="155">
        <v>14</v>
      </c>
      <c r="H294" s="155" t="s">
        <v>257</v>
      </c>
      <c r="I294" s="155" t="s">
        <v>230</v>
      </c>
      <c r="J294" s="155" t="s">
        <v>1915</v>
      </c>
      <c r="K294" s="155" t="s">
        <v>200</v>
      </c>
      <c r="L294" s="155" t="s">
        <v>782</v>
      </c>
      <c r="M294" s="155" t="s">
        <v>786</v>
      </c>
      <c r="N294" s="155" t="s">
        <v>1931</v>
      </c>
      <c r="O294" s="152" t="s">
        <v>207</v>
      </c>
      <c r="P294" s="90"/>
      <c r="Q294" s="140" t="s">
        <v>207</v>
      </c>
      <c r="R294" s="90"/>
      <c r="S294" s="140" t="s">
        <v>214</v>
      </c>
      <c r="T294" s="90"/>
      <c r="U294" s="140" t="s">
        <v>214</v>
      </c>
      <c r="V294" s="90"/>
      <c r="W294" s="140" t="s">
        <v>207</v>
      </c>
      <c r="X294" s="90"/>
      <c r="Y294" s="140" t="s">
        <v>207</v>
      </c>
      <c r="Z294" s="177" t="str">
        <f t="shared" si="16"/>
        <v>NC</v>
      </c>
      <c r="AA294" s="190" t="str">
        <f t="shared" si="17"/>
        <v>UTILIZOU O PDA CORRETAMENTE. NÃO HÁ FOTOS DE TODAS AS ETAPAS</v>
      </c>
      <c r="AB294" s="90" t="s">
        <v>207</v>
      </c>
      <c r="AC294" s="156" t="s">
        <v>36</v>
      </c>
      <c r="AD294" s="145" t="str">
        <f t="shared" si="19"/>
        <v>SÃO PAULO</v>
      </c>
      <c r="AE294" s="92" t="s">
        <v>79</v>
      </c>
    </row>
    <row r="295" spans="1:31" ht="30" customHeight="1">
      <c r="A295" s="161" t="s">
        <v>198</v>
      </c>
      <c r="B295" s="216">
        <v>2693186495</v>
      </c>
      <c r="C295" s="155" t="s">
        <v>146</v>
      </c>
      <c r="D295" s="155" t="s">
        <v>79</v>
      </c>
      <c r="E295" s="155" t="s">
        <v>35</v>
      </c>
      <c r="F295" s="155" t="s">
        <v>2168</v>
      </c>
      <c r="G295" s="155">
        <v>67</v>
      </c>
      <c r="H295" s="155" t="s">
        <v>205</v>
      </c>
      <c r="I295" s="155" t="s">
        <v>284</v>
      </c>
      <c r="J295" s="155" t="s">
        <v>1915</v>
      </c>
      <c r="K295" s="155" t="s">
        <v>200</v>
      </c>
      <c r="L295" s="155" t="s">
        <v>2169</v>
      </c>
      <c r="M295" s="155" t="s">
        <v>792</v>
      </c>
      <c r="N295" s="155" t="s">
        <v>1931</v>
      </c>
      <c r="O295" s="152" t="s">
        <v>207</v>
      </c>
      <c r="P295" s="90"/>
      <c r="Q295" s="140" t="s">
        <v>214</v>
      </c>
      <c r="R295" s="90"/>
      <c r="S295" s="140" t="s">
        <v>214</v>
      </c>
      <c r="T295" s="90"/>
      <c r="U295" s="140" t="s">
        <v>214</v>
      </c>
      <c r="V295" s="90"/>
      <c r="W295" s="140" t="s">
        <v>207</v>
      </c>
      <c r="X295" s="90"/>
      <c r="Y295" s="140" t="s">
        <v>207</v>
      </c>
      <c r="Z295" s="177" t="str">
        <f t="shared" si="16"/>
        <v>NC</v>
      </c>
      <c r="AA295" s="190" t="str">
        <f t="shared" si="17"/>
        <v>UTILIZOU O PDA CORRETAMENTE. NÃO HÁ FOTOS DE TODAS AS ETAPAS</v>
      </c>
      <c r="AB295" s="90"/>
      <c r="AC295" s="156" t="s">
        <v>36</v>
      </c>
      <c r="AD295" s="145" t="str">
        <f t="shared" si="19"/>
        <v>SÃO PAULO</v>
      </c>
      <c r="AE295" s="92" t="s">
        <v>79</v>
      </c>
    </row>
    <row r="296" spans="1:31" ht="30" customHeight="1">
      <c r="A296" s="161" t="s">
        <v>198</v>
      </c>
      <c r="B296" s="216">
        <v>2618451084</v>
      </c>
      <c r="C296" s="155" t="s">
        <v>150</v>
      </c>
      <c r="D296" s="155" t="s">
        <v>140</v>
      </c>
      <c r="E296" s="155" t="s">
        <v>35</v>
      </c>
      <c r="F296" s="155" t="s">
        <v>796</v>
      </c>
      <c r="G296" s="155">
        <v>1174</v>
      </c>
      <c r="H296" s="155" t="s">
        <v>208</v>
      </c>
      <c r="I296" s="155" t="s">
        <v>433</v>
      </c>
      <c r="J296" s="155" t="s">
        <v>2051</v>
      </c>
      <c r="K296" s="155" t="s">
        <v>200</v>
      </c>
      <c r="L296" s="155" t="s">
        <v>798</v>
      </c>
      <c r="M296" s="155" t="s">
        <v>2170</v>
      </c>
      <c r="N296" s="155" t="s">
        <v>206</v>
      </c>
      <c r="O296" s="152" t="s">
        <v>207</v>
      </c>
      <c r="P296" s="90"/>
      <c r="Q296" s="140" t="s">
        <v>207</v>
      </c>
      <c r="R296" s="90"/>
      <c r="S296" s="140" t="s">
        <v>207</v>
      </c>
      <c r="T296" s="90"/>
      <c r="U296" s="140" t="s">
        <v>207</v>
      </c>
      <c r="V296" s="90"/>
      <c r="W296" s="140" t="s">
        <v>207</v>
      </c>
      <c r="X296" s="90"/>
      <c r="Y296" s="140" t="s">
        <v>207</v>
      </c>
      <c r="Z296" s="177" t="str">
        <f t="shared" si="16"/>
        <v>C</v>
      </c>
      <c r="AA296" s="190" t="str">
        <f t="shared" si="17"/>
        <v>UTILIZOU O PDA CORRETAMENTE</v>
      </c>
      <c r="AB296" s="90" t="s">
        <v>207</v>
      </c>
      <c r="AC296" s="156" t="s">
        <v>36</v>
      </c>
      <c r="AD296" s="145" t="str">
        <f t="shared" si="19"/>
        <v>SÃO PAULO</v>
      </c>
      <c r="AE296" s="92" t="s">
        <v>79</v>
      </c>
    </row>
    <row r="297" spans="1:31" ht="30" customHeight="1">
      <c r="A297" s="161" t="s">
        <v>198</v>
      </c>
      <c r="B297" s="216">
        <v>2618470583</v>
      </c>
      <c r="C297" s="155" t="s">
        <v>150</v>
      </c>
      <c r="D297" s="155" t="s">
        <v>140</v>
      </c>
      <c r="E297" s="155" t="s">
        <v>35</v>
      </c>
      <c r="F297" s="155" t="s">
        <v>1974</v>
      </c>
      <c r="G297" s="155">
        <v>65</v>
      </c>
      <c r="H297" s="155" t="s">
        <v>200</v>
      </c>
      <c r="I297" s="155" t="s">
        <v>225</v>
      </c>
      <c r="J297" s="155" t="s">
        <v>2051</v>
      </c>
      <c r="K297" s="155" t="s">
        <v>200</v>
      </c>
      <c r="L297" s="155" t="s">
        <v>2171</v>
      </c>
      <c r="M297" s="155" t="s">
        <v>2172</v>
      </c>
      <c r="N297" s="155" t="s">
        <v>206</v>
      </c>
      <c r="O297" s="152" t="s">
        <v>207</v>
      </c>
      <c r="P297" s="90"/>
      <c r="Q297" s="140" t="s">
        <v>207</v>
      </c>
      <c r="R297" s="90"/>
      <c r="S297" s="140" t="s">
        <v>207</v>
      </c>
      <c r="T297" s="90"/>
      <c r="U297" s="140" t="s">
        <v>207</v>
      </c>
      <c r="V297" s="90"/>
      <c r="W297" s="140" t="s">
        <v>207</v>
      </c>
      <c r="X297" s="90"/>
      <c r="Y297" s="140" t="s">
        <v>207</v>
      </c>
      <c r="Z297" s="177" t="str">
        <f t="shared" si="16"/>
        <v>C</v>
      </c>
      <c r="AA297" s="190" t="str">
        <f t="shared" si="17"/>
        <v>UTILIZOU O PDA CORRETAMENTE</v>
      </c>
      <c r="AB297" s="90" t="s">
        <v>207</v>
      </c>
      <c r="AC297" s="156" t="s">
        <v>36</v>
      </c>
      <c r="AD297" s="145" t="str">
        <f t="shared" si="19"/>
        <v>SÃO PAULO</v>
      </c>
      <c r="AE297" s="92" t="s">
        <v>79</v>
      </c>
    </row>
    <row r="298" spans="1:31" ht="30" customHeight="1">
      <c r="A298" s="161" t="s">
        <v>198</v>
      </c>
      <c r="B298" s="216">
        <v>2619851268</v>
      </c>
      <c r="C298" s="155" t="s">
        <v>150</v>
      </c>
      <c r="D298" s="155" t="s">
        <v>140</v>
      </c>
      <c r="E298" s="155" t="s">
        <v>35</v>
      </c>
      <c r="F298" s="155" t="s">
        <v>796</v>
      </c>
      <c r="G298" s="155">
        <v>1174</v>
      </c>
      <c r="H298" s="155" t="s">
        <v>205</v>
      </c>
      <c r="I298" s="155" t="s">
        <v>433</v>
      </c>
      <c r="J298" s="155" t="s">
        <v>2051</v>
      </c>
      <c r="K298" s="155" t="s">
        <v>200</v>
      </c>
      <c r="L298" s="155" t="s">
        <v>2173</v>
      </c>
      <c r="M298" s="155" t="s">
        <v>2174</v>
      </c>
      <c r="N298" s="155" t="s">
        <v>206</v>
      </c>
      <c r="O298" s="152" t="s">
        <v>207</v>
      </c>
      <c r="P298" s="90"/>
      <c r="Q298" s="140" t="s">
        <v>214</v>
      </c>
      <c r="R298" s="90"/>
      <c r="S298" s="140" t="s">
        <v>207</v>
      </c>
      <c r="T298" s="90"/>
      <c r="U298" s="140" t="s">
        <v>207</v>
      </c>
      <c r="V298" s="90"/>
      <c r="W298" s="140" t="s">
        <v>207</v>
      </c>
      <c r="X298" s="90"/>
      <c r="Y298" s="140" t="s">
        <v>207</v>
      </c>
      <c r="Z298" s="177" t="str">
        <f t="shared" si="16"/>
        <v>NC</v>
      </c>
      <c r="AA298" s="190" t="str">
        <f t="shared" si="17"/>
        <v>UTILIZOU O PDA CORRETAMENTE. NÃO HÁ FOTOS DE TODAS AS ETAPAS</v>
      </c>
      <c r="AB298" s="90" t="s">
        <v>207</v>
      </c>
      <c r="AC298" s="156" t="s">
        <v>36</v>
      </c>
      <c r="AD298" s="145" t="str">
        <f t="shared" si="19"/>
        <v>SÃO PAULO</v>
      </c>
      <c r="AE298" s="92" t="s">
        <v>79</v>
      </c>
    </row>
    <row r="299" spans="1:31" ht="30" customHeight="1">
      <c r="A299" s="161" t="s">
        <v>198</v>
      </c>
      <c r="B299" s="216">
        <v>2619865260</v>
      </c>
      <c r="C299" s="155" t="s">
        <v>150</v>
      </c>
      <c r="D299" s="155" t="s">
        <v>140</v>
      </c>
      <c r="E299" s="155" t="s">
        <v>35</v>
      </c>
      <c r="F299" s="155" t="s">
        <v>809</v>
      </c>
      <c r="G299" s="155">
        <v>203</v>
      </c>
      <c r="H299" s="155" t="s">
        <v>208</v>
      </c>
      <c r="I299" s="155" t="s">
        <v>811</v>
      </c>
      <c r="J299" s="155" t="s">
        <v>2051</v>
      </c>
      <c r="K299" s="155" t="s">
        <v>200</v>
      </c>
      <c r="L299" s="155" t="s">
        <v>2175</v>
      </c>
      <c r="M299" s="155" t="s">
        <v>2176</v>
      </c>
      <c r="N299" s="155" t="s">
        <v>206</v>
      </c>
      <c r="O299" s="152" t="s">
        <v>207</v>
      </c>
      <c r="P299" s="90"/>
      <c r="Q299" s="140" t="s">
        <v>207</v>
      </c>
      <c r="R299" s="90"/>
      <c r="S299" s="140" t="s">
        <v>207</v>
      </c>
      <c r="T299" s="90"/>
      <c r="U299" s="140" t="s">
        <v>207</v>
      </c>
      <c r="V299" s="90"/>
      <c r="W299" s="140" t="s">
        <v>207</v>
      </c>
      <c r="X299" s="90"/>
      <c r="Y299" s="140" t="s">
        <v>207</v>
      </c>
      <c r="Z299" s="177" t="str">
        <f t="shared" si="16"/>
        <v>C</v>
      </c>
      <c r="AA299" s="190" t="str">
        <f t="shared" si="17"/>
        <v>UTILIZOU O PDA CORRETAMENTE</v>
      </c>
      <c r="AB299" s="90" t="s">
        <v>207</v>
      </c>
      <c r="AC299" s="156" t="s">
        <v>36</v>
      </c>
      <c r="AD299" s="145" t="str">
        <f t="shared" si="19"/>
        <v>SÃO PAULO</v>
      </c>
      <c r="AE299" s="92" t="s">
        <v>79</v>
      </c>
    </row>
    <row r="300" spans="1:31" ht="30" customHeight="1">
      <c r="A300" s="161" t="s">
        <v>198</v>
      </c>
      <c r="B300" s="216">
        <v>2619852645</v>
      </c>
      <c r="C300" s="155" t="s">
        <v>150</v>
      </c>
      <c r="D300" s="155" t="s">
        <v>140</v>
      </c>
      <c r="E300" s="155" t="s">
        <v>35</v>
      </c>
      <c r="F300" s="155" t="s">
        <v>796</v>
      </c>
      <c r="G300" s="155">
        <v>1174</v>
      </c>
      <c r="H300" s="155" t="s">
        <v>257</v>
      </c>
      <c r="I300" s="155" t="s">
        <v>433</v>
      </c>
      <c r="J300" s="155" t="s">
        <v>2051</v>
      </c>
      <c r="K300" s="155" t="s">
        <v>200</v>
      </c>
      <c r="L300" s="155" t="s">
        <v>2177</v>
      </c>
      <c r="M300" s="155" t="s">
        <v>2177</v>
      </c>
      <c r="N300" s="155" t="s">
        <v>206</v>
      </c>
      <c r="O300" s="152" t="s">
        <v>207</v>
      </c>
      <c r="P300" s="90"/>
      <c r="Q300" s="140" t="s">
        <v>214</v>
      </c>
      <c r="R300" s="90"/>
      <c r="S300" s="140" t="s">
        <v>207</v>
      </c>
      <c r="T300" s="90"/>
      <c r="U300" s="140" t="s">
        <v>207</v>
      </c>
      <c r="V300" s="90"/>
      <c r="W300" s="140" t="s">
        <v>207</v>
      </c>
      <c r="X300" s="90"/>
      <c r="Y300" s="140" t="s">
        <v>207</v>
      </c>
      <c r="Z300" s="177" t="str">
        <f t="shared" si="16"/>
        <v>NC</v>
      </c>
      <c r="AA300" s="190" t="str">
        <f t="shared" si="17"/>
        <v>UTILIZOU O PDA CORRETAMENTE. NÃO HÁ FOTOS DE TODAS AS ETAPAS</v>
      </c>
      <c r="AB300" s="90" t="s">
        <v>207</v>
      </c>
      <c r="AC300" s="156" t="s">
        <v>36</v>
      </c>
      <c r="AD300" s="145" t="str">
        <f t="shared" si="19"/>
        <v>SÃO PAULO</v>
      </c>
      <c r="AE300" s="92" t="s">
        <v>79</v>
      </c>
    </row>
    <row r="301" spans="1:31" ht="30" customHeight="1">
      <c r="A301" s="161" t="s">
        <v>198</v>
      </c>
      <c r="B301" s="216">
        <v>2619866253</v>
      </c>
      <c r="C301" s="155" t="s">
        <v>150</v>
      </c>
      <c r="D301" s="155" t="s">
        <v>140</v>
      </c>
      <c r="E301" s="155" t="s">
        <v>35</v>
      </c>
      <c r="F301" s="155" t="s">
        <v>809</v>
      </c>
      <c r="G301" s="155">
        <v>203</v>
      </c>
      <c r="H301" s="155" t="s">
        <v>205</v>
      </c>
      <c r="I301" s="155" t="s">
        <v>811</v>
      </c>
      <c r="J301" s="155" t="s">
        <v>2051</v>
      </c>
      <c r="K301" s="155" t="s">
        <v>200</v>
      </c>
      <c r="L301" s="155" t="s">
        <v>2178</v>
      </c>
      <c r="M301" s="155" t="s">
        <v>2178</v>
      </c>
      <c r="N301" s="155" t="s">
        <v>206</v>
      </c>
      <c r="O301" s="152" t="s">
        <v>207</v>
      </c>
      <c r="P301" s="90"/>
      <c r="Q301" s="140" t="s">
        <v>214</v>
      </c>
      <c r="R301" s="90"/>
      <c r="S301" s="140" t="s">
        <v>207</v>
      </c>
      <c r="T301" s="90"/>
      <c r="U301" s="140" t="s">
        <v>207</v>
      </c>
      <c r="V301" s="90"/>
      <c r="W301" s="140" t="s">
        <v>207</v>
      </c>
      <c r="X301" s="90"/>
      <c r="Y301" s="140" t="s">
        <v>207</v>
      </c>
      <c r="Z301" s="177" t="str">
        <f t="shared" si="16"/>
        <v>NC</v>
      </c>
      <c r="AA301" s="190" t="str">
        <f t="shared" si="17"/>
        <v>UTILIZOU O PDA CORRETAMENTE. NÃO HÁ FOTOS DE TODAS AS ETAPAS</v>
      </c>
      <c r="AB301" s="90" t="s">
        <v>207</v>
      </c>
      <c r="AC301" s="156" t="s">
        <v>36</v>
      </c>
      <c r="AD301" s="145" t="str">
        <f t="shared" si="19"/>
        <v>SÃO PAULO</v>
      </c>
      <c r="AE301" s="92" t="s">
        <v>79</v>
      </c>
    </row>
    <row r="302" spans="1:31" ht="30" customHeight="1">
      <c r="A302" s="161" t="s">
        <v>198</v>
      </c>
      <c r="B302" s="216">
        <v>2620117211</v>
      </c>
      <c r="C302" s="155" t="s">
        <v>151</v>
      </c>
      <c r="D302" s="155" t="s">
        <v>140</v>
      </c>
      <c r="E302" s="155" t="s">
        <v>35</v>
      </c>
      <c r="F302" s="155" t="s">
        <v>1883</v>
      </c>
      <c r="G302" s="155">
        <v>265</v>
      </c>
      <c r="H302" s="155" t="s">
        <v>200</v>
      </c>
      <c r="I302" s="155" t="s">
        <v>598</v>
      </c>
      <c r="J302" s="155" t="s">
        <v>1966</v>
      </c>
      <c r="K302" s="155" t="s">
        <v>200</v>
      </c>
      <c r="L302" s="155" t="s">
        <v>821</v>
      </c>
      <c r="M302" s="155" t="s">
        <v>822</v>
      </c>
      <c r="N302" s="155" t="s">
        <v>251</v>
      </c>
      <c r="O302" s="152" t="s">
        <v>77</v>
      </c>
      <c r="P302" s="90"/>
      <c r="Q302" s="140" t="s">
        <v>77</v>
      </c>
      <c r="R302" s="90"/>
      <c r="S302" s="140" t="s">
        <v>77</v>
      </c>
      <c r="T302" s="90"/>
      <c r="U302" s="140" t="s">
        <v>77</v>
      </c>
      <c r="V302" s="90"/>
      <c r="W302" s="140" t="s">
        <v>77</v>
      </c>
      <c r="X302" s="90"/>
      <c r="Y302" s="140" t="s">
        <v>77</v>
      </c>
      <c r="Z302" s="177" t="str">
        <f t="shared" si="16"/>
        <v>NA</v>
      </c>
      <c r="AA302" s="190" t="str">
        <f t="shared" si="17"/>
        <v>NÃO AVALIADO POR FALHA DE SINCRONISMO</v>
      </c>
      <c r="AB302" s="90" t="s">
        <v>207</v>
      </c>
      <c r="AC302" s="156" t="s">
        <v>36</v>
      </c>
      <c r="AD302" s="145" t="str">
        <f t="shared" si="19"/>
        <v>SÃO PAULO</v>
      </c>
      <c r="AE302" s="92" t="s">
        <v>79</v>
      </c>
    </row>
    <row r="303" spans="1:31" ht="30" customHeight="1">
      <c r="A303" s="161" t="s">
        <v>198</v>
      </c>
      <c r="B303" s="216">
        <v>2620202672</v>
      </c>
      <c r="C303" s="155" t="s">
        <v>1923</v>
      </c>
      <c r="D303" s="155" t="s">
        <v>79</v>
      </c>
      <c r="E303" s="155" t="s">
        <v>35</v>
      </c>
      <c r="F303" s="155" t="s">
        <v>1185</v>
      </c>
      <c r="G303" s="155">
        <v>284</v>
      </c>
      <c r="H303" s="155" t="s">
        <v>426</v>
      </c>
      <c r="I303" s="155" t="s">
        <v>271</v>
      </c>
      <c r="J303" s="155" t="s">
        <v>1915</v>
      </c>
      <c r="K303" s="155" t="s">
        <v>2179</v>
      </c>
      <c r="L303" s="155" t="s">
        <v>2180</v>
      </c>
      <c r="M303" s="155" t="s">
        <v>2181</v>
      </c>
      <c r="N303" s="155" t="s">
        <v>1944</v>
      </c>
      <c r="O303" s="152" t="s">
        <v>215</v>
      </c>
      <c r="P303" s="90" t="s">
        <v>227</v>
      </c>
      <c r="Q303" s="152" t="s">
        <v>215</v>
      </c>
      <c r="R303" s="90" t="s">
        <v>227</v>
      </c>
      <c r="S303" s="152" t="s">
        <v>215</v>
      </c>
      <c r="T303" s="90" t="s">
        <v>227</v>
      </c>
      <c r="U303" s="152" t="s">
        <v>215</v>
      </c>
      <c r="V303" s="90" t="s">
        <v>227</v>
      </c>
      <c r="W303" s="152" t="s">
        <v>215</v>
      </c>
      <c r="X303" s="90" t="s">
        <v>227</v>
      </c>
      <c r="Y303" s="152" t="s">
        <v>215</v>
      </c>
      <c r="Z303" s="177" t="str">
        <f t="shared" si="16"/>
        <v>NC</v>
      </c>
      <c r="AA303" s="190" t="str">
        <f t="shared" si="17"/>
        <v>NÃO UTILIZOU O PDA</v>
      </c>
      <c r="AB303" s="90" t="s">
        <v>207</v>
      </c>
      <c r="AC303" s="156" t="s">
        <v>36</v>
      </c>
      <c r="AD303" s="145" t="str">
        <f t="shared" si="19"/>
        <v>SÃO PAULO</v>
      </c>
      <c r="AE303" s="92" t="s">
        <v>79</v>
      </c>
    </row>
    <row r="304" spans="1:31" ht="30" customHeight="1">
      <c r="A304" s="161" t="s">
        <v>198</v>
      </c>
      <c r="B304" s="216">
        <v>2619984519</v>
      </c>
      <c r="C304" s="155" t="s">
        <v>143</v>
      </c>
      <c r="D304" s="155" t="s">
        <v>79</v>
      </c>
      <c r="E304" s="155" t="s">
        <v>35</v>
      </c>
      <c r="F304" s="155" t="s">
        <v>2182</v>
      </c>
      <c r="G304" s="155">
        <v>138</v>
      </c>
      <c r="H304" s="155" t="s">
        <v>347</v>
      </c>
      <c r="I304" s="155" t="s">
        <v>598</v>
      </c>
      <c r="J304" s="155" t="s">
        <v>1915</v>
      </c>
      <c r="K304" s="155" t="s">
        <v>200</v>
      </c>
      <c r="L304" s="155" t="s">
        <v>774</v>
      </c>
      <c r="M304" s="155" t="s">
        <v>2183</v>
      </c>
      <c r="N304" s="155" t="s">
        <v>390</v>
      </c>
      <c r="O304" s="152" t="s">
        <v>207</v>
      </c>
      <c r="P304" s="90"/>
      <c r="Q304" s="140" t="s">
        <v>207</v>
      </c>
      <c r="R304" s="90"/>
      <c r="S304" s="140" t="s">
        <v>214</v>
      </c>
      <c r="T304" s="90"/>
      <c r="U304" s="140" t="s">
        <v>214</v>
      </c>
      <c r="V304" s="90"/>
      <c r="W304" s="140" t="s">
        <v>207</v>
      </c>
      <c r="X304" s="90"/>
      <c r="Y304" s="140" t="s">
        <v>207</v>
      </c>
      <c r="Z304" s="177" t="str">
        <f t="shared" si="16"/>
        <v>NC</v>
      </c>
      <c r="AA304" s="190" t="str">
        <f t="shared" si="17"/>
        <v>UTILIZOU O PDA CORRETAMENTE. NÃO HÁ FOTOS DE TODAS AS ETAPAS</v>
      </c>
      <c r="AB304" s="90" t="s">
        <v>207</v>
      </c>
      <c r="AC304" s="156" t="s">
        <v>36</v>
      </c>
      <c r="AD304" s="145" t="str">
        <f t="shared" si="19"/>
        <v>SÃO PAULO</v>
      </c>
      <c r="AE304" s="92" t="s">
        <v>79</v>
      </c>
    </row>
    <row r="305" spans="1:31" ht="30" customHeight="1">
      <c r="A305" s="161" t="s">
        <v>198</v>
      </c>
      <c r="B305" s="216">
        <v>2620110632</v>
      </c>
      <c r="C305" s="155" t="s">
        <v>146</v>
      </c>
      <c r="D305" s="155" t="s">
        <v>79</v>
      </c>
      <c r="E305" s="155" t="s">
        <v>35</v>
      </c>
      <c r="F305" s="155" t="s">
        <v>1111</v>
      </c>
      <c r="G305" s="155">
        <v>642</v>
      </c>
      <c r="H305" s="155" t="s">
        <v>208</v>
      </c>
      <c r="I305" s="155" t="s">
        <v>36</v>
      </c>
      <c r="J305" s="155" t="s">
        <v>1915</v>
      </c>
      <c r="K305" s="155" t="s">
        <v>200</v>
      </c>
      <c r="L305" s="155" t="s">
        <v>2184</v>
      </c>
      <c r="M305" s="155" t="s">
        <v>2185</v>
      </c>
      <c r="N305" s="155" t="s">
        <v>1922</v>
      </c>
      <c r="O305" s="152" t="s">
        <v>207</v>
      </c>
      <c r="P305" s="90"/>
      <c r="Q305" s="140" t="s">
        <v>207</v>
      </c>
      <c r="R305" s="90"/>
      <c r="S305" s="140" t="s">
        <v>214</v>
      </c>
      <c r="T305" s="90"/>
      <c r="U305" s="140" t="s">
        <v>214</v>
      </c>
      <c r="V305" s="90"/>
      <c r="W305" s="140" t="s">
        <v>214</v>
      </c>
      <c r="X305" s="90"/>
      <c r="Y305" s="140" t="s">
        <v>215</v>
      </c>
      <c r="Z305" s="177" t="str">
        <f t="shared" si="16"/>
        <v>NC</v>
      </c>
      <c r="AA305" s="190" t="str">
        <f t="shared" si="17"/>
        <v>NÃO UTILIZOU O PDA</v>
      </c>
      <c r="AB305" s="90" t="s">
        <v>207</v>
      </c>
      <c r="AC305" s="156" t="s">
        <v>36</v>
      </c>
      <c r="AD305" s="145" t="str">
        <f t="shared" si="19"/>
        <v>SÃO PAULO</v>
      </c>
      <c r="AE305" s="92" t="s">
        <v>79</v>
      </c>
    </row>
    <row r="306" spans="1:31" ht="30" customHeight="1">
      <c r="A306" s="161" t="s">
        <v>198</v>
      </c>
      <c r="B306" s="216">
        <v>2693196918</v>
      </c>
      <c r="C306" s="155" t="s">
        <v>144</v>
      </c>
      <c r="D306" s="155" t="s">
        <v>140</v>
      </c>
      <c r="E306" s="155" t="s">
        <v>35</v>
      </c>
      <c r="F306" s="155" t="s">
        <v>1111</v>
      </c>
      <c r="G306" s="155">
        <v>159</v>
      </c>
      <c r="H306" s="155" t="s">
        <v>208</v>
      </c>
      <c r="I306" s="155" t="s">
        <v>36</v>
      </c>
      <c r="J306" s="155" t="s">
        <v>1954</v>
      </c>
      <c r="K306" s="155" t="s">
        <v>200</v>
      </c>
      <c r="L306" s="155" t="s">
        <v>2186</v>
      </c>
      <c r="M306" s="155" t="s">
        <v>2187</v>
      </c>
      <c r="N306" s="155" t="s">
        <v>1922</v>
      </c>
      <c r="O306" s="152" t="s">
        <v>207</v>
      </c>
      <c r="P306" s="90"/>
      <c r="Q306" s="140" t="s">
        <v>207</v>
      </c>
      <c r="R306" s="90"/>
      <c r="S306" s="140" t="s">
        <v>214</v>
      </c>
      <c r="T306" s="90"/>
      <c r="U306" s="140" t="s">
        <v>214</v>
      </c>
      <c r="V306" s="90"/>
      <c r="W306" s="140" t="s">
        <v>207</v>
      </c>
      <c r="X306" s="90"/>
      <c r="Y306" s="140" t="s">
        <v>207</v>
      </c>
      <c r="Z306" s="177" t="str">
        <f t="shared" si="16"/>
        <v>NC</v>
      </c>
      <c r="AA306" s="190" t="str">
        <f t="shared" si="17"/>
        <v>UTILIZOU O PDA CORRETAMENTE. NÃO HÁ FOTOS DE TODAS AS ETAPAS</v>
      </c>
      <c r="AB306" s="90" t="s">
        <v>207</v>
      </c>
      <c r="AC306" s="156" t="s">
        <v>36</v>
      </c>
      <c r="AD306" s="145" t="str">
        <f t="shared" si="19"/>
        <v>SÃO PAULO</v>
      </c>
      <c r="AE306" s="92" t="s">
        <v>79</v>
      </c>
    </row>
    <row r="307" spans="1:31" ht="30" customHeight="1">
      <c r="A307" s="161" t="s">
        <v>198</v>
      </c>
      <c r="B307" s="216">
        <v>2620207529</v>
      </c>
      <c r="C307" s="155" t="s">
        <v>149</v>
      </c>
      <c r="D307" s="155" t="s">
        <v>140</v>
      </c>
      <c r="E307" s="155" t="s">
        <v>35</v>
      </c>
      <c r="F307" s="155" t="s">
        <v>2188</v>
      </c>
      <c r="G307" s="155">
        <v>10</v>
      </c>
      <c r="H307" s="155" t="s">
        <v>1421</v>
      </c>
      <c r="I307" s="155" t="s">
        <v>211</v>
      </c>
      <c r="J307" s="155" t="s">
        <v>1918</v>
      </c>
      <c r="K307" s="155" t="s">
        <v>200</v>
      </c>
      <c r="L307" s="155" t="s">
        <v>2189</v>
      </c>
      <c r="M307" s="155" t="s">
        <v>2190</v>
      </c>
      <c r="N307" s="155" t="s">
        <v>1922</v>
      </c>
      <c r="O307" s="152" t="s">
        <v>215</v>
      </c>
      <c r="P307" s="90" t="s">
        <v>227</v>
      </c>
      <c r="Q307" s="152" t="s">
        <v>215</v>
      </c>
      <c r="R307" s="90" t="s">
        <v>227</v>
      </c>
      <c r="S307" s="152" t="s">
        <v>215</v>
      </c>
      <c r="T307" s="90" t="s">
        <v>227</v>
      </c>
      <c r="U307" s="152" t="s">
        <v>215</v>
      </c>
      <c r="V307" s="90" t="s">
        <v>227</v>
      </c>
      <c r="W307" s="152" t="s">
        <v>215</v>
      </c>
      <c r="X307" s="90" t="s">
        <v>227</v>
      </c>
      <c r="Y307" s="152" t="s">
        <v>215</v>
      </c>
      <c r="Z307" s="152" t="s">
        <v>215</v>
      </c>
      <c r="AA307" s="190" t="str">
        <f t="shared" si="17"/>
        <v>NÃO UTILIZOU O PDA</v>
      </c>
      <c r="AB307" s="90" t="s">
        <v>207</v>
      </c>
      <c r="AC307" s="156" t="s">
        <v>36</v>
      </c>
      <c r="AD307" s="145" t="str">
        <f t="shared" si="19"/>
        <v>SÃO PAULO</v>
      </c>
      <c r="AE307" s="92" t="s">
        <v>79</v>
      </c>
    </row>
    <row r="308" spans="1:31" ht="30" customHeight="1">
      <c r="A308" s="161" t="s">
        <v>198</v>
      </c>
      <c r="B308" s="216">
        <v>2620207670</v>
      </c>
      <c r="C308" s="155" t="s">
        <v>149</v>
      </c>
      <c r="D308" s="155" t="s">
        <v>140</v>
      </c>
      <c r="E308" s="155" t="s">
        <v>35</v>
      </c>
      <c r="F308" s="155" t="s">
        <v>2188</v>
      </c>
      <c r="G308" s="155">
        <v>10</v>
      </c>
      <c r="H308" s="155" t="s">
        <v>1482</v>
      </c>
      <c r="I308" s="155" t="s">
        <v>211</v>
      </c>
      <c r="J308" s="155" t="s">
        <v>1918</v>
      </c>
      <c r="K308" s="155" t="s">
        <v>200</v>
      </c>
      <c r="L308" s="155" t="s">
        <v>2191</v>
      </c>
      <c r="M308" s="155" t="s">
        <v>2192</v>
      </c>
      <c r="N308" s="155" t="s">
        <v>1922</v>
      </c>
      <c r="O308" s="152" t="s">
        <v>215</v>
      </c>
      <c r="P308" s="90" t="s">
        <v>227</v>
      </c>
      <c r="Q308" s="152" t="s">
        <v>215</v>
      </c>
      <c r="R308" s="90" t="s">
        <v>227</v>
      </c>
      <c r="S308" s="152" t="s">
        <v>215</v>
      </c>
      <c r="T308" s="90" t="s">
        <v>227</v>
      </c>
      <c r="U308" s="152" t="s">
        <v>215</v>
      </c>
      <c r="V308" s="90" t="s">
        <v>227</v>
      </c>
      <c r="W308" s="152" t="s">
        <v>215</v>
      </c>
      <c r="X308" s="90" t="s">
        <v>227</v>
      </c>
      <c r="Y308" s="152" t="s">
        <v>215</v>
      </c>
      <c r="Z308" s="177" t="str">
        <f t="shared" si="16"/>
        <v>NC</v>
      </c>
      <c r="AA308" s="190" t="str">
        <f t="shared" si="17"/>
        <v>NÃO UTILIZOU O PDA</v>
      </c>
      <c r="AB308" s="90" t="s">
        <v>207</v>
      </c>
      <c r="AC308" s="156" t="s">
        <v>36</v>
      </c>
      <c r="AD308" s="145" t="str">
        <f t="shared" si="19"/>
        <v>SÃO PAULO</v>
      </c>
      <c r="AE308" s="92" t="s">
        <v>79</v>
      </c>
    </row>
    <row r="309" spans="1:31" ht="30" customHeight="1">
      <c r="A309" s="161" t="s">
        <v>198</v>
      </c>
      <c r="B309" s="216">
        <v>2693210600</v>
      </c>
      <c r="C309" s="155" t="s">
        <v>146</v>
      </c>
      <c r="D309" s="155" t="s">
        <v>79</v>
      </c>
      <c r="E309" s="155" t="s">
        <v>35</v>
      </c>
      <c r="F309" s="155" t="s">
        <v>442</v>
      </c>
      <c r="G309" s="155">
        <v>312</v>
      </c>
      <c r="H309" s="155" t="s">
        <v>208</v>
      </c>
      <c r="I309" s="155" t="s">
        <v>2193</v>
      </c>
      <c r="J309" s="155" t="s">
        <v>1915</v>
      </c>
      <c r="K309" s="155" t="s">
        <v>200</v>
      </c>
      <c r="L309" s="155" t="s">
        <v>2194</v>
      </c>
      <c r="M309" s="155" t="s">
        <v>2195</v>
      </c>
      <c r="N309" s="155" t="s">
        <v>1916</v>
      </c>
      <c r="O309" s="152" t="s">
        <v>207</v>
      </c>
      <c r="P309" s="90"/>
      <c r="Q309" s="140" t="s">
        <v>207</v>
      </c>
      <c r="R309" s="90"/>
      <c r="S309" s="140" t="s">
        <v>207</v>
      </c>
      <c r="T309" s="90"/>
      <c r="U309" s="140" t="s">
        <v>207</v>
      </c>
      <c r="V309" s="90"/>
      <c r="W309" s="140" t="s">
        <v>207</v>
      </c>
      <c r="X309" s="90"/>
      <c r="Y309" s="140" t="s">
        <v>207</v>
      </c>
      <c r="Z309" s="177" t="str">
        <f t="shared" si="16"/>
        <v>C</v>
      </c>
      <c r="AA309" s="190" t="str">
        <f t="shared" si="17"/>
        <v>UTILIZOU O PDA CORRETAMENTE</v>
      </c>
      <c r="AB309" s="90" t="s">
        <v>207</v>
      </c>
      <c r="AC309" s="156" t="s">
        <v>36</v>
      </c>
      <c r="AD309" s="145" t="str">
        <f t="shared" si="19"/>
        <v>SÃO PAULO</v>
      </c>
      <c r="AE309" s="92" t="s">
        <v>79</v>
      </c>
    </row>
    <row r="310" spans="1:31" ht="30" customHeight="1">
      <c r="A310" s="161" t="s">
        <v>198</v>
      </c>
      <c r="B310" s="216">
        <v>2620196953</v>
      </c>
      <c r="C310" s="155" t="s">
        <v>147</v>
      </c>
      <c r="D310" s="155" t="s">
        <v>79</v>
      </c>
      <c r="E310" s="155" t="s">
        <v>35</v>
      </c>
      <c r="F310" s="155" t="s">
        <v>2196</v>
      </c>
      <c r="G310" s="155">
        <v>91</v>
      </c>
      <c r="H310" s="155" t="s">
        <v>200</v>
      </c>
      <c r="I310" s="155" t="s">
        <v>471</v>
      </c>
      <c r="J310" s="155" t="s">
        <v>1932</v>
      </c>
      <c r="K310" s="155" t="s">
        <v>200</v>
      </c>
      <c r="L310" s="155" t="s">
        <v>2197</v>
      </c>
      <c r="M310" s="155" t="s">
        <v>801</v>
      </c>
      <c r="N310" s="155" t="s">
        <v>1933</v>
      </c>
      <c r="O310" s="152" t="s">
        <v>207</v>
      </c>
      <c r="P310" s="90"/>
      <c r="Q310" s="140" t="s">
        <v>207</v>
      </c>
      <c r="R310" s="90"/>
      <c r="S310" s="140" t="s">
        <v>207</v>
      </c>
      <c r="T310" s="90"/>
      <c r="U310" s="140" t="s">
        <v>207</v>
      </c>
      <c r="V310" s="90"/>
      <c r="W310" s="140" t="s">
        <v>214</v>
      </c>
      <c r="X310" s="90"/>
      <c r="Y310" s="140" t="s">
        <v>207</v>
      </c>
      <c r="Z310" s="177" t="str">
        <f t="shared" si="16"/>
        <v>NC</v>
      </c>
      <c r="AA310" s="190" t="str">
        <f t="shared" si="17"/>
        <v>UTILIZOU O PDA CORRETAMENTE. NÃO HÁ FOTOS DE TODAS AS ETAPAS</v>
      </c>
      <c r="AB310" s="90"/>
      <c r="AC310" s="156" t="s">
        <v>36</v>
      </c>
      <c r="AD310" s="145" t="str">
        <f t="shared" si="19"/>
        <v>SÃO PAULO</v>
      </c>
      <c r="AE310" s="92" t="s">
        <v>79</v>
      </c>
    </row>
    <row r="311" spans="1:31" ht="30" customHeight="1">
      <c r="A311" s="161" t="s">
        <v>198</v>
      </c>
      <c r="B311" s="216">
        <v>2620183598</v>
      </c>
      <c r="C311" s="155" t="s">
        <v>1923</v>
      </c>
      <c r="D311" s="155" t="s">
        <v>79</v>
      </c>
      <c r="E311" s="155" t="s">
        <v>35</v>
      </c>
      <c r="F311" s="155" t="s">
        <v>2198</v>
      </c>
      <c r="G311" s="155">
        <v>180</v>
      </c>
      <c r="H311" s="155" t="s">
        <v>200</v>
      </c>
      <c r="I311" s="155" t="s">
        <v>675</v>
      </c>
      <c r="J311" s="155" t="s">
        <v>1915</v>
      </c>
      <c r="K311" s="155" t="s">
        <v>200</v>
      </c>
      <c r="L311" s="155" t="s">
        <v>2199</v>
      </c>
      <c r="M311" s="155" t="s">
        <v>2200</v>
      </c>
      <c r="N311" s="155" t="s">
        <v>1931</v>
      </c>
      <c r="O311" s="152" t="s">
        <v>207</v>
      </c>
      <c r="P311" s="90"/>
      <c r="Q311" s="140" t="s">
        <v>207</v>
      </c>
      <c r="R311" s="90"/>
      <c r="S311" s="140" t="s">
        <v>214</v>
      </c>
      <c r="T311" s="90"/>
      <c r="U311" s="140" t="s">
        <v>214</v>
      </c>
      <c r="V311" s="90"/>
      <c r="W311" s="140" t="s">
        <v>207</v>
      </c>
      <c r="X311" s="90"/>
      <c r="Y311" s="140" t="s">
        <v>207</v>
      </c>
      <c r="Z311" s="177" t="str">
        <f t="shared" si="16"/>
        <v>NC</v>
      </c>
      <c r="AA311" s="190" t="str">
        <f t="shared" si="17"/>
        <v>UTILIZOU O PDA CORRETAMENTE. NÃO HÁ FOTOS DE TODAS AS ETAPAS</v>
      </c>
      <c r="AB311" s="90" t="s">
        <v>207</v>
      </c>
      <c r="AC311" s="156" t="s">
        <v>36</v>
      </c>
      <c r="AD311" s="145" t="str">
        <f t="shared" si="19"/>
        <v>SÃO PAULO</v>
      </c>
      <c r="AE311" s="92" t="s">
        <v>79</v>
      </c>
    </row>
    <row r="312" spans="1:31" ht="30" customHeight="1">
      <c r="A312" s="161" t="s">
        <v>198</v>
      </c>
      <c r="B312" s="216">
        <v>2620183537</v>
      </c>
      <c r="C312" s="155" t="s">
        <v>1923</v>
      </c>
      <c r="D312" s="155" t="s">
        <v>79</v>
      </c>
      <c r="E312" s="155" t="s">
        <v>35</v>
      </c>
      <c r="F312" s="155" t="s">
        <v>2201</v>
      </c>
      <c r="G312" s="155">
        <v>167</v>
      </c>
      <c r="H312" s="155" t="s">
        <v>208</v>
      </c>
      <c r="I312" s="155" t="s">
        <v>675</v>
      </c>
      <c r="J312" s="155" t="s">
        <v>1915</v>
      </c>
      <c r="K312" s="155" t="s">
        <v>200</v>
      </c>
      <c r="L312" s="155" t="s">
        <v>2202</v>
      </c>
      <c r="M312" s="155" t="s">
        <v>2203</v>
      </c>
      <c r="N312" s="155" t="s">
        <v>1931</v>
      </c>
      <c r="O312" s="152" t="s">
        <v>207</v>
      </c>
      <c r="P312" s="90"/>
      <c r="Q312" s="140" t="s">
        <v>207</v>
      </c>
      <c r="R312" s="90"/>
      <c r="S312" s="140" t="s">
        <v>214</v>
      </c>
      <c r="T312" s="90"/>
      <c r="U312" s="140" t="s">
        <v>214</v>
      </c>
      <c r="V312" s="90"/>
      <c r="W312" s="140" t="s">
        <v>207</v>
      </c>
      <c r="X312" s="90"/>
      <c r="Y312" s="140" t="s">
        <v>207</v>
      </c>
      <c r="Z312" s="177" t="str">
        <f t="shared" si="16"/>
        <v>NC</v>
      </c>
      <c r="AA312" s="190" t="str">
        <f t="shared" si="17"/>
        <v>UTILIZOU O PDA CORRETAMENTE. NÃO HÁ FOTOS DE TODAS AS ETAPAS</v>
      </c>
      <c r="AB312" s="90"/>
      <c r="AC312" s="156" t="s">
        <v>36</v>
      </c>
      <c r="AD312" s="145" t="str">
        <f t="shared" si="19"/>
        <v>SÃO PAULO</v>
      </c>
      <c r="AE312" s="92" t="s">
        <v>79</v>
      </c>
    </row>
    <row r="313" spans="1:31" ht="30" customHeight="1">
      <c r="A313" s="161" t="s">
        <v>198</v>
      </c>
      <c r="B313" s="216">
        <v>2620202320</v>
      </c>
      <c r="C313" s="155" t="s">
        <v>143</v>
      </c>
      <c r="D313" s="155" t="s">
        <v>79</v>
      </c>
      <c r="E313" s="155" t="s">
        <v>35</v>
      </c>
      <c r="F313" s="155" t="s">
        <v>2204</v>
      </c>
      <c r="G313" s="155">
        <v>757</v>
      </c>
      <c r="H313" s="155" t="s">
        <v>205</v>
      </c>
      <c r="I313" s="155" t="s">
        <v>314</v>
      </c>
      <c r="J313" s="155" t="s">
        <v>1918</v>
      </c>
      <c r="K313" s="155" t="s">
        <v>200</v>
      </c>
      <c r="L313" s="155" t="s">
        <v>2205</v>
      </c>
      <c r="M313" s="155" t="s">
        <v>2206</v>
      </c>
      <c r="N313" s="155" t="s">
        <v>1925</v>
      </c>
      <c r="O313" s="152" t="s">
        <v>207</v>
      </c>
      <c r="P313" s="90"/>
      <c r="Q313" s="140" t="s">
        <v>207</v>
      </c>
      <c r="R313" s="90"/>
      <c r="S313" s="140" t="s">
        <v>207</v>
      </c>
      <c r="T313" s="90"/>
      <c r="U313" s="140" t="s">
        <v>214</v>
      </c>
      <c r="V313" s="90"/>
      <c r="W313" s="140" t="s">
        <v>207</v>
      </c>
      <c r="X313" s="90"/>
      <c r="Y313" s="140" t="s">
        <v>207</v>
      </c>
      <c r="Z313" s="177" t="str">
        <f t="shared" si="16"/>
        <v>NC</v>
      </c>
      <c r="AA313" s="190" t="str">
        <f t="shared" si="17"/>
        <v>UTILIZOU O PDA CORRETAMENTE. NÃO HÁ FOTOS DE TODAS AS ETAPAS</v>
      </c>
      <c r="AB313" s="90" t="s">
        <v>207</v>
      </c>
      <c r="AC313" s="156" t="s">
        <v>36</v>
      </c>
      <c r="AD313" s="145" t="str">
        <f t="shared" si="19"/>
        <v>SÃO PAULO</v>
      </c>
      <c r="AE313" s="92" t="s">
        <v>79</v>
      </c>
    </row>
    <row r="314" spans="1:31" ht="30" customHeight="1">
      <c r="A314" s="161" t="s">
        <v>198</v>
      </c>
      <c r="B314" s="216">
        <v>2620190668</v>
      </c>
      <c r="C314" s="155" t="s">
        <v>143</v>
      </c>
      <c r="D314" s="155" t="s">
        <v>79</v>
      </c>
      <c r="E314" s="155" t="s">
        <v>35</v>
      </c>
      <c r="F314" s="155" t="s">
        <v>422</v>
      </c>
      <c r="G314" s="155">
        <v>1883</v>
      </c>
      <c r="H314" s="155" t="s">
        <v>200</v>
      </c>
      <c r="I314" s="155" t="s">
        <v>201</v>
      </c>
      <c r="J314" s="155" t="s">
        <v>1915</v>
      </c>
      <c r="K314" s="155" t="s">
        <v>200</v>
      </c>
      <c r="L314" s="155" t="s">
        <v>2207</v>
      </c>
      <c r="M314" s="155" t="s">
        <v>2208</v>
      </c>
      <c r="N314" s="155" t="s">
        <v>390</v>
      </c>
      <c r="O314" s="152" t="s">
        <v>207</v>
      </c>
      <c r="P314" s="90"/>
      <c r="Q314" s="140" t="s">
        <v>207</v>
      </c>
      <c r="R314" s="90"/>
      <c r="S314" s="140" t="s">
        <v>207</v>
      </c>
      <c r="T314" s="90"/>
      <c r="U314" s="140" t="s">
        <v>207</v>
      </c>
      <c r="V314" s="90"/>
      <c r="W314" s="140" t="s">
        <v>207</v>
      </c>
      <c r="X314" s="90"/>
      <c r="Y314" s="140" t="s">
        <v>207</v>
      </c>
      <c r="Z314" s="177" t="str">
        <f t="shared" si="16"/>
        <v>C</v>
      </c>
      <c r="AA314" s="190" t="str">
        <f t="shared" si="17"/>
        <v>UTILIZOU O PDA CORRETAMENTE</v>
      </c>
      <c r="AB314" s="90"/>
      <c r="AC314" s="156" t="s">
        <v>36</v>
      </c>
      <c r="AD314" s="145" t="str">
        <f t="shared" si="19"/>
        <v>SÃO PAULO</v>
      </c>
      <c r="AE314" s="92" t="s">
        <v>79</v>
      </c>
    </row>
    <row r="315" spans="1:31" ht="30" customHeight="1">
      <c r="A315" s="161" t="s">
        <v>198</v>
      </c>
      <c r="B315" s="216">
        <v>2693209329</v>
      </c>
      <c r="C315" s="155" t="s">
        <v>143</v>
      </c>
      <c r="D315" s="155" t="s">
        <v>79</v>
      </c>
      <c r="E315" s="155" t="s">
        <v>35</v>
      </c>
      <c r="F315" s="155" t="s">
        <v>210</v>
      </c>
      <c r="G315" s="155">
        <v>30</v>
      </c>
      <c r="H315" s="155" t="s">
        <v>208</v>
      </c>
      <c r="I315" s="155" t="s">
        <v>211</v>
      </c>
      <c r="J315" s="155" t="s">
        <v>1915</v>
      </c>
      <c r="K315" s="155" t="s">
        <v>200</v>
      </c>
      <c r="L315" s="155" t="s">
        <v>2209</v>
      </c>
      <c r="M315" s="155" t="s">
        <v>2210</v>
      </c>
      <c r="N315" s="155" t="s">
        <v>1922</v>
      </c>
      <c r="O315" s="152" t="s">
        <v>207</v>
      </c>
      <c r="P315" s="90"/>
      <c r="Q315" s="140" t="s">
        <v>207</v>
      </c>
      <c r="R315" s="90"/>
      <c r="S315" s="140" t="s">
        <v>214</v>
      </c>
      <c r="T315" s="90"/>
      <c r="U315" s="140" t="s">
        <v>214</v>
      </c>
      <c r="V315" s="90"/>
      <c r="W315" s="140" t="s">
        <v>207</v>
      </c>
      <c r="X315" s="90"/>
      <c r="Y315" s="140" t="s">
        <v>207</v>
      </c>
      <c r="Z315" s="177" t="str">
        <f t="shared" si="16"/>
        <v>NC</v>
      </c>
      <c r="AA315" s="190" t="str">
        <f t="shared" si="17"/>
        <v>UTILIZOU O PDA CORRETAMENTE. NÃO HÁ FOTOS DE TODAS AS ETAPAS</v>
      </c>
      <c r="AB315" s="90"/>
      <c r="AC315" s="156" t="s">
        <v>36</v>
      </c>
      <c r="AD315" s="145" t="str">
        <f t="shared" si="19"/>
        <v>SÃO PAULO</v>
      </c>
      <c r="AE315" s="92" t="s">
        <v>79</v>
      </c>
    </row>
    <row r="316" spans="1:31" ht="30" customHeight="1">
      <c r="A316" s="161" t="s">
        <v>198</v>
      </c>
      <c r="B316" s="216">
        <v>2620225862</v>
      </c>
      <c r="C316" s="155" t="s">
        <v>149</v>
      </c>
      <c r="D316" s="155" t="s">
        <v>140</v>
      </c>
      <c r="E316" s="155" t="s">
        <v>35</v>
      </c>
      <c r="F316" s="155" t="s">
        <v>2211</v>
      </c>
      <c r="G316" s="155">
        <v>56</v>
      </c>
      <c r="H316" s="155" t="s">
        <v>200</v>
      </c>
      <c r="I316" s="155" t="s">
        <v>389</v>
      </c>
      <c r="J316" s="155" t="s">
        <v>1918</v>
      </c>
      <c r="K316" s="155" t="s">
        <v>2212</v>
      </c>
      <c r="L316" s="155" t="s">
        <v>2213</v>
      </c>
      <c r="M316" s="155" t="s">
        <v>2214</v>
      </c>
      <c r="N316" s="155" t="s">
        <v>1944</v>
      </c>
      <c r="O316" s="152" t="s">
        <v>207</v>
      </c>
      <c r="P316" s="90"/>
      <c r="Q316" s="140" t="s">
        <v>207</v>
      </c>
      <c r="R316" s="90"/>
      <c r="S316" s="140" t="s">
        <v>207</v>
      </c>
      <c r="T316" s="90"/>
      <c r="U316" s="140" t="s">
        <v>207</v>
      </c>
      <c r="V316" s="90"/>
      <c r="W316" s="140" t="s">
        <v>207</v>
      </c>
      <c r="X316" s="90"/>
      <c r="Y316" s="140" t="s">
        <v>207</v>
      </c>
      <c r="Z316" s="177" t="str">
        <f t="shared" si="16"/>
        <v>C</v>
      </c>
      <c r="AA316" s="190" t="str">
        <f t="shared" si="17"/>
        <v>UTILIZOU O PDA CORRETAMENTE</v>
      </c>
      <c r="AB316" s="90" t="s">
        <v>207</v>
      </c>
      <c r="AC316" s="156" t="s">
        <v>36</v>
      </c>
      <c r="AD316" s="145" t="str">
        <f t="shared" si="19"/>
        <v>SÃO PAULO</v>
      </c>
      <c r="AE316" s="92" t="s">
        <v>79</v>
      </c>
    </row>
    <row r="317" spans="1:31" ht="30" customHeight="1">
      <c r="A317" s="161" t="s">
        <v>198</v>
      </c>
      <c r="B317" s="216">
        <v>2620227797</v>
      </c>
      <c r="C317" s="155" t="s">
        <v>1923</v>
      </c>
      <c r="D317" s="155" t="s">
        <v>79</v>
      </c>
      <c r="E317" s="155" t="s">
        <v>35</v>
      </c>
      <c r="F317" s="155" t="s">
        <v>954</v>
      </c>
      <c r="G317" s="155">
        <v>357</v>
      </c>
      <c r="H317" s="155" t="s">
        <v>329</v>
      </c>
      <c r="I317" s="155" t="s">
        <v>225</v>
      </c>
      <c r="J317" s="155" t="s">
        <v>1915</v>
      </c>
      <c r="K317" s="155" t="s">
        <v>200</v>
      </c>
      <c r="L317" s="155" t="s">
        <v>2215</v>
      </c>
      <c r="M317" s="155" t="s">
        <v>2216</v>
      </c>
      <c r="N317" s="155" t="s">
        <v>1916</v>
      </c>
      <c r="O317" s="152" t="s">
        <v>215</v>
      </c>
      <c r="P317" s="90" t="s">
        <v>227</v>
      </c>
      <c r="Q317" s="152" t="s">
        <v>215</v>
      </c>
      <c r="R317" s="90" t="s">
        <v>227</v>
      </c>
      <c r="S317" s="152" t="s">
        <v>215</v>
      </c>
      <c r="T317" s="90" t="s">
        <v>227</v>
      </c>
      <c r="U317" s="152" t="s">
        <v>215</v>
      </c>
      <c r="V317" s="90" t="s">
        <v>227</v>
      </c>
      <c r="W317" s="152" t="s">
        <v>215</v>
      </c>
      <c r="X317" s="90" t="s">
        <v>227</v>
      </c>
      <c r="Y317" s="152" t="s">
        <v>215</v>
      </c>
      <c r="Z317" s="177" t="str">
        <f t="shared" si="16"/>
        <v>NC</v>
      </c>
      <c r="AA317" s="190" t="str">
        <f t="shared" si="17"/>
        <v>NÃO UTILIZOU O PDA</v>
      </c>
      <c r="AB317" s="90" t="s">
        <v>207</v>
      </c>
      <c r="AC317" s="156" t="s">
        <v>36</v>
      </c>
      <c r="AD317" s="145" t="str">
        <f t="shared" si="19"/>
        <v>SÃO PAULO</v>
      </c>
      <c r="AE317" s="92" t="s">
        <v>79</v>
      </c>
    </row>
    <row r="318" spans="1:31" ht="30" customHeight="1">
      <c r="A318" s="161" t="s">
        <v>198</v>
      </c>
      <c r="B318" s="216">
        <v>2619971768</v>
      </c>
      <c r="C318" s="155" t="s">
        <v>151</v>
      </c>
      <c r="D318" s="155" t="s">
        <v>140</v>
      </c>
      <c r="E318" s="155" t="s">
        <v>35</v>
      </c>
      <c r="F318" s="155" t="s">
        <v>2217</v>
      </c>
      <c r="G318" s="155">
        <v>166</v>
      </c>
      <c r="H318" s="155" t="s">
        <v>257</v>
      </c>
      <c r="I318" s="155" t="s">
        <v>558</v>
      </c>
      <c r="J318" s="155" t="s">
        <v>1966</v>
      </c>
      <c r="K318" s="155" t="s">
        <v>586</v>
      </c>
      <c r="L318" s="155" t="s">
        <v>2123</v>
      </c>
      <c r="M318" s="155" t="s">
        <v>1668</v>
      </c>
      <c r="N318" s="155" t="s">
        <v>331</v>
      </c>
      <c r="O318" s="152" t="s">
        <v>207</v>
      </c>
      <c r="P318" s="90"/>
      <c r="Q318" s="140" t="s">
        <v>207</v>
      </c>
      <c r="R318" s="90"/>
      <c r="S318" s="140" t="s">
        <v>207</v>
      </c>
      <c r="T318" s="90"/>
      <c r="U318" s="140" t="s">
        <v>214</v>
      </c>
      <c r="V318" s="90"/>
      <c r="W318" s="140" t="s">
        <v>207</v>
      </c>
      <c r="X318" s="90"/>
      <c r="Y318" s="140" t="s">
        <v>207</v>
      </c>
      <c r="Z318" s="177" t="str">
        <f t="shared" si="16"/>
        <v>NC</v>
      </c>
      <c r="AA318" s="190" t="str">
        <f t="shared" si="17"/>
        <v>UTILIZOU O PDA CORRETAMENTE. NÃO HÁ FOTOS DE TODAS AS ETAPAS</v>
      </c>
      <c r="AB318" s="90" t="s">
        <v>207</v>
      </c>
      <c r="AC318" s="156" t="s">
        <v>36</v>
      </c>
      <c r="AD318" s="145" t="str">
        <f t="shared" si="19"/>
        <v>SÃO PAULO</v>
      </c>
      <c r="AE318" s="92" t="s">
        <v>79</v>
      </c>
    </row>
    <row r="319" spans="1:31" ht="30" customHeight="1">
      <c r="A319" s="161" t="s">
        <v>198</v>
      </c>
      <c r="B319" s="216">
        <v>2620053005</v>
      </c>
      <c r="C319" s="155" t="s">
        <v>151</v>
      </c>
      <c r="D319" s="155" t="s">
        <v>140</v>
      </c>
      <c r="E319" s="155" t="s">
        <v>35</v>
      </c>
      <c r="F319" s="155" t="s">
        <v>2218</v>
      </c>
      <c r="G319" s="155">
        <v>25</v>
      </c>
      <c r="H319" s="155" t="s">
        <v>208</v>
      </c>
      <c r="I319" s="155" t="s">
        <v>479</v>
      </c>
      <c r="J319" s="155" t="s">
        <v>1966</v>
      </c>
      <c r="K319" s="155" t="s">
        <v>200</v>
      </c>
      <c r="L319" s="155" t="s">
        <v>2219</v>
      </c>
      <c r="M319" s="155" t="s">
        <v>2220</v>
      </c>
      <c r="N319" s="155" t="s">
        <v>262</v>
      </c>
      <c r="O319" s="152" t="s">
        <v>207</v>
      </c>
      <c r="P319" s="90"/>
      <c r="Q319" s="140" t="s">
        <v>207</v>
      </c>
      <c r="R319" s="90"/>
      <c r="S319" s="140" t="s">
        <v>214</v>
      </c>
      <c r="T319" s="90"/>
      <c r="U319" s="140" t="s">
        <v>214</v>
      </c>
      <c r="V319" s="90"/>
      <c r="W319" s="140" t="s">
        <v>207</v>
      </c>
      <c r="X319" s="90"/>
      <c r="Y319" s="140" t="s">
        <v>207</v>
      </c>
      <c r="Z319" s="177" t="str">
        <f t="shared" si="16"/>
        <v>NC</v>
      </c>
      <c r="AA319" s="190" t="str">
        <f t="shared" si="17"/>
        <v>UTILIZOU O PDA CORRETAMENTE. NÃO HÁ FOTOS DE TODAS AS ETAPAS</v>
      </c>
      <c r="AB319" s="90" t="s">
        <v>207</v>
      </c>
      <c r="AC319" s="156" t="s">
        <v>36</v>
      </c>
      <c r="AD319" s="145" t="str">
        <f t="shared" si="19"/>
        <v>SÃO PAULO</v>
      </c>
      <c r="AE319" s="92" t="s">
        <v>79</v>
      </c>
    </row>
    <row r="320" spans="1:31" ht="30" customHeight="1">
      <c r="A320" s="161" t="s">
        <v>198</v>
      </c>
      <c r="B320" s="216">
        <v>2693231428</v>
      </c>
      <c r="C320" s="155" t="s">
        <v>143</v>
      </c>
      <c r="D320" s="155" t="s">
        <v>79</v>
      </c>
      <c r="E320" s="155" t="s">
        <v>35</v>
      </c>
      <c r="F320" s="155" t="s">
        <v>409</v>
      </c>
      <c r="G320" s="155">
        <v>25</v>
      </c>
      <c r="H320" s="155" t="s">
        <v>2221</v>
      </c>
      <c r="I320" s="155" t="s">
        <v>355</v>
      </c>
      <c r="J320" s="155" t="s">
        <v>1915</v>
      </c>
      <c r="K320" s="155" t="s">
        <v>200</v>
      </c>
      <c r="L320" s="155" t="s">
        <v>2222</v>
      </c>
      <c r="M320" s="155" t="s">
        <v>2223</v>
      </c>
      <c r="N320" s="155" t="s">
        <v>262</v>
      </c>
      <c r="O320" s="152" t="s">
        <v>207</v>
      </c>
      <c r="P320" s="90"/>
      <c r="Q320" s="140" t="s">
        <v>207</v>
      </c>
      <c r="R320" s="90"/>
      <c r="S320" s="140" t="s">
        <v>214</v>
      </c>
      <c r="T320" s="90"/>
      <c r="U320" s="140" t="s">
        <v>214</v>
      </c>
      <c r="V320" s="90"/>
      <c r="W320" s="140" t="s">
        <v>207</v>
      </c>
      <c r="X320" s="90"/>
      <c r="Y320" s="140" t="s">
        <v>207</v>
      </c>
      <c r="Z320" s="177" t="str">
        <f t="shared" si="16"/>
        <v>NC</v>
      </c>
      <c r="AA320" s="190" t="str">
        <f t="shared" si="17"/>
        <v>UTILIZOU O PDA CORRETAMENTE. NÃO HÁ FOTOS DE TODAS AS ETAPAS</v>
      </c>
      <c r="AB320" s="90" t="s">
        <v>207</v>
      </c>
      <c r="AC320" s="156" t="s">
        <v>36</v>
      </c>
      <c r="AD320" s="145" t="str">
        <f t="shared" si="19"/>
        <v>SÃO PAULO</v>
      </c>
      <c r="AE320" s="92" t="s">
        <v>79</v>
      </c>
    </row>
    <row r="321" spans="1:31" ht="30" customHeight="1">
      <c r="A321" s="161" t="s">
        <v>198</v>
      </c>
      <c r="B321" s="216">
        <v>2620226057</v>
      </c>
      <c r="C321" s="155" t="s">
        <v>1923</v>
      </c>
      <c r="D321" s="155" t="s">
        <v>79</v>
      </c>
      <c r="E321" s="155" t="s">
        <v>35</v>
      </c>
      <c r="F321" s="155" t="s">
        <v>2224</v>
      </c>
      <c r="G321" s="155">
        <v>14</v>
      </c>
      <c r="H321" s="155" t="s">
        <v>2225</v>
      </c>
      <c r="I321" s="155" t="s">
        <v>1124</v>
      </c>
      <c r="J321" s="155" t="s">
        <v>1915</v>
      </c>
      <c r="K321" s="155" t="s">
        <v>200</v>
      </c>
      <c r="L321" s="155" t="s">
        <v>2226</v>
      </c>
      <c r="M321" s="155" t="s">
        <v>2223</v>
      </c>
      <c r="N321" s="155" t="s">
        <v>1944</v>
      </c>
      <c r="O321" s="152" t="s">
        <v>215</v>
      </c>
      <c r="P321" s="90" t="s">
        <v>227</v>
      </c>
      <c r="Q321" s="152" t="s">
        <v>215</v>
      </c>
      <c r="R321" s="90" t="s">
        <v>227</v>
      </c>
      <c r="S321" s="152" t="s">
        <v>215</v>
      </c>
      <c r="T321" s="90" t="s">
        <v>227</v>
      </c>
      <c r="U321" s="152" t="s">
        <v>215</v>
      </c>
      <c r="V321" s="90" t="s">
        <v>227</v>
      </c>
      <c r="W321" s="152" t="s">
        <v>215</v>
      </c>
      <c r="X321" s="90" t="s">
        <v>227</v>
      </c>
      <c r="Y321" s="152" t="s">
        <v>215</v>
      </c>
      <c r="Z321" s="177" t="str">
        <f t="shared" si="16"/>
        <v>NC</v>
      </c>
      <c r="AA321" s="190" t="str">
        <f t="shared" si="17"/>
        <v>NÃO UTILIZOU O PDA</v>
      </c>
      <c r="AB321" s="90" t="s">
        <v>207</v>
      </c>
      <c r="AC321" s="156" t="s">
        <v>36</v>
      </c>
      <c r="AD321" s="145" t="str">
        <f t="shared" si="19"/>
        <v>SÃO PAULO</v>
      </c>
      <c r="AE321" s="92" t="s">
        <v>79</v>
      </c>
    </row>
    <row r="322" spans="1:31" ht="30" customHeight="1">
      <c r="A322" s="161" t="s">
        <v>198</v>
      </c>
      <c r="B322" s="216">
        <v>2620244518</v>
      </c>
      <c r="C322" s="155" t="s">
        <v>149</v>
      </c>
      <c r="D322" s="155" t="s">
        <v>140</v>
      </c>
      <c r="E322" s="155" t="s">
        <v>35</v>
      </c>
      <c r="F322" s="155" t="s">
        <v>2227</v>
      </c>
      <c r="G322" s="155">
        <v>15</v>
      </c>
      <c r="H322" s="155" t="s">
        <v>200</v>
      </c>
      <c r="I322" s="155" t="s">
        <v>725</v>
      </c>
      <c r="J322" s="155" t="s">
        <v>1918</v>
      </c>
      <c r="K322" s="155" t="s">
        <v>2060</v>
      </c>
      <c r="L322" s="155" t="s">
        <v>2228</v>
      </c>
      <c r="M322" s="155" t="s">
        <v>2229</v>
      </c>
      <c r="N322" s="155" t="s">
        <v>1925</v>
      </c>
      <c r="O322" s="152" t="s">
        <v>207</v>
      </c>
      <c r="P322" s="90"/>
      <c r="Q322" s="140" t="s">
        <v>214</v>
      </c>
      <c r="R322" s="90"/>
      <c r="S322" s="140" t="s">
        <v>214</v>
      </c>
      <c r="T322" s="90"/>
      <c r="U322" s="140" t="s">
        <v>214</v>
      </c>
      <c r="V322" s="90"/>
      <c r="W322" s="140" t="s">
        <v>214</v>
      </c>
      <c r="X322" s="90"/>
      <c r="Y322" s="140" t="s">
        <v>215</v>
      </c>
      <c r="Z322" s="177" t="str">
        <f t="shared" si="16"/>
        <v>NC</v>
      </c>
      <c r="AA322" s="190" t="str">
        <f t="shared" ref="AA322:AA385" si="20">IF(AND(Y322="C",Z322="C"),"UTILIZOU O PDA CORRETAMENTE",IF(AND(Y322="C",Z322="NC"),"UTILIZOU O PDA CORRETAMENTE. NÃO HÁ FOTOS DE TODAS AS ETAPAS",IF(AND(Y322="NC",Z322="NC"),"NÃO UTILIZOU O PDA",IF(AND(Y322="NA",Z322="NA"),"NÃO AVALIADO POR FALHA DE SINCRONISMO"))))</f>
        <v>NÃO UTILIZOU O PDA</v>
      </c>
      <c r="AB322" s="90"/>
      <c r="AC322" s="156" t="s">
        <v>36</v>
      </c>
      <c r="AD322" s="145" t="str">
        <f t="shared" si="19"/>
        <v>SÃO PAULO</v>
      </c>
      <c r="AE322" s="92" t="s">
        <v>79</v>
      </c>
    </row>
    <row r="323" spans="1:31" ht="30" customHeight="1">
      <c r="A323" s="176" t="s">
        <v>198</v>
      </c>
      <c r="B323" s="215">
        <v>2693275598</v>
      </c>
      <c r="C323" s="154" t="s">
        <v>143</v>
      </c>
      <c r="D323" s="154" t="s">
        <v>79</v>
      </c>
      <c r="E323" s="154" t="s">
        <v>35</v>
      </c>
      <c r="F323" s="154" t="s">
        <v>2230</v>
      </c>
      <c r="G323" s="154">
        <v>131</v>
      </c>
      <c r="H323" s="154" t="s">
        <v>200</v>
      </c>
      <c r="I323" s="154" t="s">
        <v>303</v>
      </c>
      <c r="J323" s="154" t="s">
        <v>1915</v>
      </c>
      <c r="K323" s="154" t="s">
        <v>200</v>
      </c>
      <c r="L323" s="154" t="s">
        <v>2231</v>
      </c>
      <c r="M323" s="154" t="s">
        <v>931</v>
      </c>
      <c r="N323" s="154" t="s">
        <v>1944</v>
      </c>
      <c r="O323" s="152" t="s">
        <v>207</v>
      </c>
      <c r="P323" s="90"/>
      <c r="Q323" s="140" t="s">
        <v>207</v>
      </c>
      <c r="R323" s="90"/>
      <c r="S323" s="140" t="s">
        <v>207</v>
      </c>
      <c r="T323" s="90"/>
      <c r="U323" s="140" t="s">
        <v>214</v>
      </c>
      <c r="V323" s="90"/>
      <c r="W323" s="140" t="s">
        <v>214</v>
      </c>
      <c r="X323" s="90"/>
      <c r="Y323" s="140" t="s">
        <v>207</v>
      </c>
      <c r="Z323" s="177" t="str">
        <f t="shared" ref="Z323:Z386" si="21">IF(AND(O323="",Q323="",S323="",U323="",W323=""),"",IF(OR(AND(O323&lt;&gt;"NA",O323&lt;&gt;"C",O323&lt;&gt;"NC",O323&lt;&gt;"SF",O323&lt;&gt;""),AND(Q323&lt;&gt;"NA",Q323&lt;&gt;"C",Q323&lt;&gt;"NC",Q323&lt;&gt;"SF",Q323&lt;&gt;""),AND(S323&lt;&gt;"NA",S323&lt;&gt;"C",S323&lt;&gt;"NC",S323&lt;&gt;"SF",S323&lt;&gt;""),AND(U323&lt;&gt;"NA",U323&lt;&gt;"C",U323&lt;&gt;"NC",U323&lt;&gt;"SF",U323&lt;&gt;""),AND(W323&lt;&gt;"NA",W323&lt;&gt;"C",W323&lt;&gt;"NC",W323&lt;&gt;"SF",W323&lt;&gt;"")),"FALSO",IF(AND(O323="NA",Q323="NA",S323="NA",U323="NA",W323="NA"),"NA",IF(OR(O323="NC",Q323="NC",S323="NC",U323="NC",W323="NC",O323="SF",Q323="SF",S323="SF",U323="SF",W323="SF"),"NC",IF(OR(O323="C",Q323="C",S323="C",U323="C",W323="C"),"C","")))))</f>
        <v>NC</v>
      </c>
      <c r="AA323" s="190" t="str">
        <f t="shared" si="20"/>
        <v>UTILIZOU O PDA CORRETAMENTE. NÃO HÁ FOTOS DE TODAS AS ETAPAS</v>
      </c>
      <c r="AB323" s="90" t="s">
        <v>207</v>
      </c>
      <c r="AC323" s="156" t="s">
        <v>36</v>
      </c>
      <c r="AD323" s="145" t="str">
        <f t="shared" si="19"/>
        <v>SÃO PAULO</v>
      </c>
      <c r="AE323" s="92" t="s">
        <v>79</v>
      </c>
    </row>
    <row r="324" spans="1:31" ht="30" customHeight="1">
      <c r="A324" s="161" t="s">
        <v>198</v>
      </c>
      <c r="B324" s="216">
        <v>2693290955</v>
      </c>
      <c r="C324" s="155" t="s">
        <v>143</v>
      </c>
      <c r="D324" s="155" t="s">
        <v>79</v>
      </c>
      <c r="E324" s="155" t="s">
        <v>35</v>
      </c>
      <c r="F324" s="155" t="s">
        <v>1946</v>
      </c>
      <c r="G324" s="155">
        <v>138</v>
      </c>
      <c r="H324" s="155" t="s">
        <v>200</v>
      </c>
      <c r="I324" s="155" t="s">
        <v>479</v>
      </c>
      <c r="J324" s="155" t="s">
        <v>1915</v>
      </c>
      <c r="K324" s="155" t="s">
        <v>200</v>
      </c>
      <c r="L324" s="155" t="s">
        <v>2232</v>
      </c>
      <c r="M324" s="155" t="s">
        <v>869</v>
      </c>
      <c r="N324" s="155" t="s">
        <v>1944</v>
      </c>
      <c r="O324" s="152" t="s">
        <v>207</v>
      </c>
      <c r="P324" s="90"/>
      <c r="Q324" s="140" t="s">
        <v>214</v>
      </c>
      <c r="R324" s="90"/>
      <c r="S324" s="140" t="s">
        <v>214</v>
      </c>
      <c r="T324" s="90"/>
      <c r="U324" s="140" t="s">
        <v>214</v>
      </c>
      <c r="V324" s="90"/>
      <c r="W324" s="140" t="s">
        <v>207</v>
      </c>
      <c r="X324" s="90"/>
      <c r="Y324" s="140" t="s">
        <v>207</v>
      </c>
      <c r="Z324" s="177" t="str">
        <f t="shared" si="21"/>
        <v>NC</v>
      </c>
      <c r="AA324" s="190" t="str">
        <f t="shared" si="20"/>
        <v>UTILIZOU O PDA CORRETAMENTE. NÃO HÁ FOTOS DE TODAS AS ETAPAS</v>
      </c>
      <c r="AB324" s="90" t="s">
        <v>207</v>
      </c>
      <c r="AC324" s="156" t="s">
        <v>36</v>
      </c>
      <c r="AD324" s="145" t="str">
        <f t="shared" si="19"/>
        <v>SÃO PAULO</v>
      </c>
      <c r="AE324" s="92" t="s">
        <v>79</v>
      </c>
    </row>
    <row r="325" spans="1:31" ht="30" customHeight="1">
      <c r="A325" s="161" t="s">
        <v>198</v>
      </c>
      <c r="B325" s="216">
        <v>2693251907</v>
      </c>
      <c r="C325" s="155" t="s">
        <v>147</v>
      </c>
      <c r="D325" s="155" t="s">
        <v>79</v>
      </c>
      <c r="E325" s="155" t="s">
        <v>35</v>
      </c>
      <c r="F325" s="155" t="s">
        <v>2233</v>
      </c>
      <c r="G325" s="155">
        <v>226</v>
      </c>
      <c r="H325" s="155" t="s">
        <v>208</v>
      </c>
      <c r="I325" s="155" t="s">
        <v>290</v>
      </c>
      <c r="J325" s="155" t="s">
        <v>1915</v>
      </c>
      <c r="K325" s="155" t="s">
        <v>200</v>
      </c>
      <c r="L325" s="155" t="s">
        <v>2234</v>
      </c>
      <c r="M325" s="155" t="s">
        <v>2235</v>
      </c>
      <c r="N325" s="155" t="s">
        <v>390</v>
      </c>
      <c r="O325" s="152" t="s">
        <v>207</v>
      </c>
      <c r="P325" s="90"/>
      <c r="Q325" s="140" t="s">
        <v>207</v>
      </c>
      <c r="R325" s="90"/>
      <c r="S325" s="140" t="s">
        <v>214</v>
      </c>
      <c r="T325" s="90"/>
      <c r="U325" s="140" t="s">
        <v>207</v>
      </c>
      <c r="V325" s="90"/>
      <c r="W325" s="140" t="s">
        <v>207</v>
      </c>
      <c r="X325" s="90"/>
      <c r="Y325" s="140" t="s">
        <v>207</v>
      </c>
      <c r="Z325" s="177" t="str">
        <f t="shared" si="21"/>
        <v>NC</v>
      </c>
      <c r="AA325" s="190" t="str">
        <f t="shared" si="20"/>
        <v>UTILIZOU O PDA CORRETAMENTE. NÃO HÁ FOTOS DE TODAS AS ETAPAS</v>
      </c>
      <c r="AB325" s="90" t="s">
        <v>207</v>
      </c>
      <c r="AC325" s="156" t="s">
        <v>36</v>
      </c>
      <c r="AD325" s="145" t="str">
        <f t="shared" si="19"/>
        <v>SÃO PAULO</v>
      </c>
      <c r="AE325" s="92" t="s">
        <v>79</v>
      </c>
    </row>
    <row r="326" spans="1:31" ht="30" customHeight="1">
      <c r="A326" s="161" t="s">
        <v>198</v>
      </c>
      <c r="B326" s="216">
        <v>2693235591</v>
      </c>
      <c r="C326" s="155" t="s">
        <v>143</v>
      </c>
      <c r="D326" s="155" t="s">
        <v>79</v>
      </c>
      <c r="E326" s="155" t="s">
        <v>35</v>
      </c>
      <c r="F326" s="155" t="s">
        <v>2236</v>
      </c>
      <c r="G326" s="155">
        <v>442</v>
      </c>
      <c r="H326" s="155" t="s">
        <v>200</v>
      </c>
      <c r="I326" s="155" t="s">
        <v>652</v>
      </c>
      <c r="J326" s="155" t="s">
        <v>1915</v>
      </c>
      <c r="K326" s="155" t="s">
        <v>200</v>
      </c>
      <c r="L326" s="155" t="s">
        <v>2237</v>
      </c>
      <c r="M326" s="155" t="s">
        <v>2238</v>
      </c>
      <c r="N326" s="155" t="s">
        <v>1922</v>
      </c>
      <c r="O326" s="152" t="s">
        <v>207</v>
      </c>
      <c r="P326" s="90"/>
      <c r="Q326" s="140" t="s">
        <v>214</v>
      </c>
      <c r="R326" s="90"/>
      <c r="S326" s="140" t="s">
        <v>214</v>
      </c>
      <c r="T326" s="90"/>
      <c r="U326" s="140" t="s">
        <v>214</v>
      </c>
      <c r="V326" s="90"/>
      <c r="W326" s="140" t="s">
        <v>207</v>
      </c>
      <c r="X326" s="90"/>
      <c r="Y326" s="140" t="s">
        <v>207</v>
      </c>
      <c r="Z326" s="177" t="str">
        <f t="shared" si="21"/>
        <v>NC</v>
      </c>
      <c r="AA326" s="190" t="str">
        <f t="shared" si="20"/>
        <v>UTILIZOU O PDA CORRETAMENTE. NÃO HÁ FOTOS DE TODAS AS ETAPAS</v>
      </c>
      <c r="AB326" s="90" t="s">
        <v>207</v>
      </c>
      <c r="AC326" s="156" t="s">
        <v>36</v>
      </c>
      <c r="AD326" s="145" t="str">
        <f t="shared" si="19"/>
        <v>SÃO PAULO</v>
      </c>
      <c r="AE326" s="92" t="s">
        <v>79</v>
      </c>
    </row>
    <row r="327" spans="1:31" ht="30" customHeight="1">
      <c r="A327" s="161" t="s">
        <v>198</v>
      </c>
      <c r="B327" s="216">
        <v>2620213217</v>
      </c>
      <c r="C327" s="155" t="s">
        <v>1923</v>
      </c>
      <c r="D327" s="155" t="s">
        <v>79</v>
      </c>
      <c r="E327" s="155" t="s">
        <v>35</v>
      </c>
      <c r="F327" s="155" t="s">
        <v>405</v>
      </c>
      <c r="G327" s="155">
        <v>813</v>
      </c>
      <c r="H327" s="155" t="s">
        <v>1479</v>
      </c>
      <c r="I327" s="155" t="s">
        <v>211</v>
      </c>
      <c r="J327" s="155" t="s">
        <v>1915</v>
      </c>
      <c r="K327" s="155" t="s">
        <v>200</v>
      </c>
      <c r="L327" s="155" t="s">
        <v>2239</v>
      </c>
      <c r="M327" s="155" t="s">
        <v>2240</v>
      </c>
      <c r="N327" s="155" t="s">
        <v>1922</v>
      </c>
      <c r="O327" s="152" t="s">
        <v>215</v>
      </c>
      <c r="P327" s="90" t="s">
        <v>227</v>
      </c>
      <c r="Q327" s="152" t="s">
        <v>215</v>
      </c>
      <c r="R327" s="90" t="s">
        <v>227</v>
      </c>
      <c r="S327" s="152" t="s">
        <v>215</v>
      </c>
      <c r="T327" s="90" t="s">
        <v>227</v>
      </c>
      <c r="U327" s="152" t="s">
        <v>215</v>
      </c>
      <c r="V327" s="90" t="s">
        <v>227</v>
      </c>
      <c r="W327" s="152" t="s">
        <v>215</v>
      </c>
      <c r="X327" s="90" t="s">
        <v>227</v>
      </c>
      <c r="Y327" s="152" t="s">
        <v>215</v>
      </c>
      <c r="Z327" s="177" t="str">
        <f t="shared" si="21"/>
        <v>NC</v>
      </c>
      <c r="AA327" s="190" t="str">
        <f t="shared" si="20"/>
        <v>NÃO UTILIZOU O PDA</v>
      </c>
      <c r="AB327" s="90" t="s">
        <v>207</v>
      </c>
      <c r="AC327" s="156" t="s">
        <v>36</v>
      </c>
      <c r="AD327" s="145" t="str">
        <f t="shared" si="19"/>
        <v>SÃO PAULO</v>
      </c>
      <c r="AE327" s="92" t="s">
        <v>79</v>
      </c>
    </row>
    <row r="328" spans="1:31" ht="30" customHeight="1">
      <c r="A328" s="161" t="s">
        <v>198</v>
      </c>
      <c r="B328" s="216">
        <v>2620233039</v>
      </c>
      <c r="C328" s="155" t="s">
        <v>1923</v>
      </c>
      <c r="D328" s="155" t="s">
        <v>79</v>
      </c>
      <c r="E328" s="155" t="s">
        <v>35</v>
      </c>
      <c r="F328" s="155" t="s">
        <v>2241</v>
      </c>
      <c r="G328" s="155">
        <v>604</v>
      </c>
      <c r="H328" s="155" t="s">
        <v>200</v>
      </c>
      <c r="I328" s="155" t="s">
        <v>569</v>
      </c>
      <c r="J328" s="155" t="s">
        <v>1915</v>
      </c>
      <c r="K328" s="155" t="s">
        <v>200</v>
      </c>
      <c r="L328" s="155" t="s">
        <v>2242</v>
      </c>
      <c r="M328" s="155" t="s">
        <v>2243</v>
      </c>
      <c r="N328" s="155" t="s">
        <v>390</v>
      </c>
      <c r="O328" s="152" t="s">
        <v>207</v>
      </c>
      <c r="P328" s="90"/>
      <c r="Q328" s="140" t="s">
        <v>214</v>
      </c>
      <c r="R328" s="90"/>
      <c r="S328" s="140" t="s">
        <v>214</v>
      </c>
      <c r="T328" s="90"/>
      <c r="U328" s="140" t="s">
        <v>214</v>
      </c>
      <c r="V328" s="90"/>
      <c r="W328" s="140" t="s">
        <v>207</v>
      </c>
      <c r="X328" s="90"/>
      <c r="Y328" s="140" t="s">
        <v>207</v>
      </c>
      <c r="Z328" s="177" t="str">
        <f t="shared" si="21"/>
        <v>NC</v>
      </c>
      <c r="AA328" s="190" t="str">
        <f t="shared" si="20"/>
        <v>UTILIZOU O PDA CORRETAMENTE. NÃO HÁ FOTOS DE TODAS AS ETAPAS</v>
      </c>
      <c r="AB328" s="90" t="s">
        <v>207</v>
      </c>
      <c r="AC328" s="156" t="s">
        <v>36</v>
      </c>
      <c r="AD328" s="145" t="str">
        <f t="shared" si="19"/>
        <v>SÃO PAULO</v>
      </c>
      <c r="AE328" s="92" t="s">
        <v>79</v>
      </c>
    </row>
    <row r="329" spans="1:31" ht="30" customHeight="1">
      <c r="A329" s="161" t="s">
        <v>198</v>
      </c>
      <c r="B329" s="216">
        <v>2620224641</v>
      </c>
      <c r="C329" s="155" t="s">
        <v>147</v>
      </c>
      <c r="D329" s="155" t="s">
        <v>79</v>
      </c>
      <c r="E329" s="155" t="s">
        <v>35</v>
      </c>
      <c r="F329" s="155" t="s">
        <v>2244</v>
      </c>
      <c r="G329" s="155">
        <v>36</v>
      </c>
      <c r="H329" s="155" t="s">
        <v>380</v>
      </c>
      <c r="I329" s="155" t="s">
        <v>571</v>
      </c>
      <c r="J329" s="155" t="s">
        <v>1915</v>
      </c>
      <c r="K329" s="155" t="s">
        <v>200</v>
      </c>
      <c r="L329" s="155" t="s">
        <v>2245</v>
      </c>
      <c r="M329" s="155" t="s">
        <v>2246</v>
      </c>
      <c r="N329" s="155" t="s">
        <v>1922</v>
      </c>
      <c r="O329" s="152" t="s">
        <v>207</v>
      </c>
      <c r="P329" s="90"/>
      <c r="Q329" s="140" t="s">
        <v>214</v>
      </c>
      <c r="R329" s="90"/>
      <c r="S329" s="140" t="s">
        <v>214</v>
      </c>
      <c r="T329" s="90"/>
      <c r="U329" s="140" t="s">
        <v>214</v>
      </c>
      <c r="V329" s="90"/>
      <c r="W329" s="140" t="s">
        <v>207</v>
      </c>
      <c r="X329" s="90"/>
      <c r="Y329" s="140" t="s">
        <v>207</v>
      </c>
      <c r="Z329" s="177" t="str">
        <f t="shared" si="21"/>
        <v>NC</v>
      </c>
      <c r="AA329" s="190" t="str">
        <f t="shared" si="20"/>
        <v>UTILIZOU O PDA CORRETAMENTE. NÃO HÁ FOTOS DE TODAS AS ETAPAS</v>
      </c>
      <c r="AB329" s="90" t="s">
        <v>207</v>
      </c>
      <c r="AC329" s="156" t="s">
        <v>36</v>
      </c>
      <c r="AD329" s="145" t="str">
        <f t="shared" si="19"/>
        <v>SÃO PAULO</v>
      </c>
      <c r="AE329" s="92" t="s">
        <v>79</v>
      </c>
    </row>
    <row r="330" spans="1:31" ht="30" customHeight="1">
      <c r="A330" s="161" t="s">
        <v>198</v>
      </c>
      <c r="B330" s="216">
        <v>2620230845</v>
      </c>
      <c r="C330" s="155" t="s">
        <v>1923</v>
      </c>
      <c r="D330" s="155" t="s">
        <v>79</v>
      </c>
      <c r="E330" s="155" t="s">
        <v>35</v>
      </c>
      <c r="F330" s="155" t="s">
        <v>2247</v>
      </c>
      <c r="G330" s="155">
        <v>47</v>
      </c>
      <c r="H330" s="155" t="s">
        <v>200</v>
      </c>
      <c r="I330" s="155" t="s">
        <v>241</v>
      </c>
      <c r="J330" s="155" t="s">
        <v>1915</v>
      </c>
      <c r="K330" s="155" t="s">
        <v>200</v>
      </c>
      <c r="L330" s="155" t="s">
        <v>2243</v>
      </c>
      <c r="M330" s="155" t="s">
        <v>2248</v>
      </c>
      <c r="N330" s="155" t="s">
        <v>1922</v>
      </c>
      <c r="O330" s="152" t="s">
        <v>207</v>
      </c>
      <c r="P330" s="90"/>
      <c r="Q330" s="140" t="s">
        <v>207</v>
      </c>
      <c r="R330" s="90"/>
      <c r="S330" s="140" t="s">
        <v>214</v>
      </c>
      <c r="T330" s="90"/>
      <c r="U330" s="140" t="s">
        <v>214</v>
      </c>
      <c r="V330" s="90"/>
      <c r="W330" s="140" t="s">
        <v>207</v>
      </c>
      <c r="X330" s="90"/>
      <c r="Y330" s="140" t="s">
        <v>207</v>
      </c>
      <c r="Z330" s="177" t="str">
        <f t="shared" si="21"/>
        <v>NC</v>
      </c>
      <c r="AA330" s="190" t="str">
        <f t="shared" si="20"/>
        <v>UTILIZOU O PDA CORRETAMENTE. NÃO HÁ FOTOS DE TODAS AS ETAPAS</v>
      </c>
      <c r="AB330" s="90" t="s">
        <v>207</v>
      </c>
      <c r="AC330" s="156" t="s">
        <v>36</v>
      </c>
      <c r="AD330" s="145" t="str">
        <f t="shared" si="19"/>
        <v>SÃO PAULO</v>
      </c>
      <c r="AE330" s="92" t="s">
        <v>79</v>
      </c>
    </row>
    <row r="331" spans="1:31" ht="30" customHeight="1">
      <c r="A331" s="161" t="s">
        <v>198</v>
      </c>
      <c r="B331" s="216">
        <v>2620247513</v>
      </c>
      <c r="C331" s="155" t="s">
        <v>143</v>
      </c>
      <c r="D331" s="155" t="s">
        <v>79</v>
      </c>
      <c r="E331" s="155" t="s">
        <v>35</v>
      </c>
      <c r="F331" s="155" t="s">
        <v>599</v>
      </c>
      <c r="G331" s="155">
        <v>62</v>
      </c>
      <c r="H331" s="155" t="s">
        <v>325</v>
      </c>
      <c r="I331" s="155" t="s">
        <v>271</v>
      </c>
      <c r="J331" s="155" t="s">
        <v>1918</v>
      </c>
      <c r="K331" s="155" t="s">
        <v>200</v>
      </c>
      <c r="L331" s="155" t="s">
        <v>2249</v>
      </c>
      <c r="M331" s="155" t="s">
        <v>2250</v>
      </c>
      <c r="N331" s="155" t="s">
        <v>1922</v>
      </c>
      <c r="O331" s="152" t="s">
        <v>214</v>
      </c>
      <c r="P331" s="90"/>
      <c r="Q331" s="140" t="s">
        <v>207</v>
      </c>
      <c r="R331" s="90"/>
      <c r="S331" s="140" t="s">
        <v>214</v>
      </c>
      <c r="T331" s="90"/>
      <c r="U331" s="140" t="s">
        <v>214</v>
      </c>
      <c r="V331" s="90"/>
      <c r="W331" s="140" t="s">
        <v>207</v>
      </c>
      <c r="X331" s="90"/>
      <c r="Y331" s="140" t="s">
        <v>207</v>
      </c>
      <c r="Z331" s="177" t="str">
        <f t="shared" si="21"/>
        <v>NC</v>
      </c>
      <c r="AA331" s="190" t="str">
        <f t="shared" si="20"/>
        <v>UTILIZOU O PDA CORRETAMENTE. NÃO HÁ FOTOS DE TODAS AS ETAPAS</v>
      </c>
      <c r="AB331" s="90" t="s">
        <v>207</v>
      </c>
      <c r="AC331" s="156" t="s">
        <v>36</v>
      </c>
      <c r="AD331" s="145" t="str">
        <f t="shared" si="19"/>
        <v>SÃO PAULO</v>
      </c>
      <c r="AE331" s="92" t="s">
        <v>79</v>
      </c>
    </row>
    <row r="332" spans="1:31" ht="30" customHeight="1">
      <c r="A332" s="161" t="s">
        <v>198</v>
      </c>
      <c r="B332" s="216">
        <v>2620235322</v>
      </c>
      <c r="C332" s="155" t="s">
        <v>143</v>
      </c>
      <c r="D332" s="155" t="s">
        <v>79</v>
      </c>
      <c r="E332" s="155" t="s">
        <v>35</v>
      </c>
      <c r="F332" s="155" t="s">
        <v>505</v>
      </c>
      <c r="G332" s="155">
        <v>99</v>
      </c>
      <c r="H332" s="155" t="s">
        <v>329</v>
      </c>
      <c r="I332" s="155" t="s">
        <v>455</v>
      </c>
      <c r="J332" s="155" t="s">
        <v>1915</v>
      </c>
      <c r="K332" s="155" t="s">
        <v>200</v>
      </c>
      <c r="L332" s="155" t="s">
        <v>2251</v>
      </c>
      <c r="M332" s="155" t="s">
        <v>2252</v>
      </c>
      <c r="N332" s="155" t="s">
        <v>1922</v>
      </c>
      <c r="O332" s="152" t="s">
        <v>207</v>
      </c>
      <c r="P332" s="90"/>
      <c r="Q332" s="140" t="s">
        <v>207</v>
      </c>
      <c r="R332" s="90"/>
      <c r="S332" s="140" t="s">
        <v>214</v>
      </c>
      <c r="T332" s="90"/>
      <c r="U332" s="140" t="s">
        <v>214</v>
      </c>
      <c r="V332" s="90"/>
      <c r="W332" s="140" t="s">
        <v>214</v>
      </c>
      <c r="X332" s="90"/>
      <c r="Y332" s="140" t="s">
        <v>207</v>
      </c>
      <c r="Z332" s="177" t="str">
        <f t="shared" si="21"/>
        <v>NC</v>
      </c>
      <c r="AA332" s="190" t="str">
        <f t="shared" si="20"/>
        <v>UTILIZOU O PDA CORRETAMENTE. NÃO HÁ FOTOS DE TODAS AS ETAPAS</v>
      </c>
      <c r="AB332" s="90" t="s">
        <v>207</v>
      </c>
      <c r="AC332" s="156" t="s">
        <v>36</v>
      </c>
      <c r="AD332" s="145" t="str">
        <f t="shared" si="19"/>
        <v>SÃO PAULO</v>
      </c>
      <c r="AE332" s="92" t="s">
        <v>79</v>
      </c>
    </row>
    <row r="333" spans="1:31" ht="30" customHeight="1">
      <c r="A333" s="161" t="s">
        <v>198</v>
      </c>
      <c r="B333" s="216">
        <v>2693239791</v>
      </c>
      <c r="C333" s="155" t="s">
        <v>143</v>
      </c>
      <c r="D333" s="155" t="s">
        <v>79</v>
      </c>
      <c r="E333" s="155" t="s">
        <v>35</v>
      </c>
      <c r="F333" s="155" t="s">
        <v>2253</v>
      </c>
      <c r="G333" s="155">
        <v>33</v>
      </c>
      <c r="H333" s="155" t="s">
        <v>200</v>
      </c>
      <c r="I333" s="155" t="s">
        <v>352</v>
      </c>
      <c r="J333" s="155" t="s">
        <v>1915</v>
      </c>
      <c r="K333" s="155" t="s">
        <v>200</v>
      </c>
      <c r="L333" s="155" t="s">
        <v>933</v>
      </c>
      <c r="M333" s="155" t="s">
        <v>2254</v>
      </c>
      <c r="N333" s="155" t="s">
        <v>1933</v>
      </c>
      <c r="O333" s="152" t="s">
        <v>207</v>
      </c>
      <c r="P333" s="90"/>
      <c r="Q333" s="140" t="s">
        <v>207</v>
      </c>
      <c r="R333" s="90"/>
      <c r="S333" s="140" t="s">
        <v>207</v>
      </c>
      <c r="T333" s="90"/>
      <c r="U333" s="140" t="s">
        <v>207</v>
      </c>
      <c r="V333" s="90"/>
      <c r="W333" s="140" t="s">
        <v>207</v>
      </c>
      <c r="X333" s="90"/>
      <c r="Y333" s="140" t="s">
        <v>207</v>
      </c>
      <c r="Z333" s="177" t="str">
        <f t="shared" si="21"/>
        <v>C</v>
      </c>
      <c r="AA333" s="190" t="str">
        <f t="shared" si="20"/>
        <v>UTILIZOU O PDA CORRETAMENTE</v>
      </c>
      <c r="AB333" s="90" t="s">
        <v>207</v>
      </c>
      <c r="AC333" s="156" t="s">
        <v>36</v>
      </c>
      <c r="AD333" s="145" t="str">
        <f t="shared" si="19"/>
        <v>SÃO PAULO</v>
      </c>
      <c r="AE333" s="92" t="s">
        <v>79</v>
      </c>
    </row>
    <row r="334" spans="1:31" ht="30" customHeight="1">
      <c r="A334" s="161" t="s">
        <v>198</v>
      </c>
      <c r="B334" s="216">
        <v>2620250875</v>
      </c>
      <c r="C334" s="155" t="s">
        <v>1923</v>
      </c>
      <c r="D334" s="155" t="s">
        <v>79</v>
      </c>
      <c r="E334" s="155" t="s">
        <v>35</v>
      </c>
      <c r="F334" s="155" t="s">
        <v>2255</v>
      </c>
      <c r="G334" s="155">
        <v>210</v>
      </c>
      <c r="H334" s="155" t="s">
        <v>200</v>
      </c>
      <c r="I334" s="155" t="s">
        <v>548</v>
      </c>
      <c r="J334" s="155" t="s">
        <v>1915</v>
      </c>
      <c r="K334" s="155" t="s">
        <v>200</v>
      </c>
      <c r="L334" s="155" t="s">
        <v>2256</v>
      </c>
      <c r="M334" s="155" t="s">
        <v>2257</v>
      </c>
      <c r="N334" s="155" t="s">
        <v>1925</v>
      </c>
      <c r="O334" s="152" t="s">
        <v>207</v>
      </c>
      <c r="P334" s="90"/>
      <c r="Q334" s="140" t="s">
        <v>207</v>
      </c>
      <c r="R334" s="90"/>
      <c r="S334" s="140" t="s">
        <v>214</v>
      </c>
      <c r="T334" s="90"/>
      <c r="U334" s="140" t="s">
        <v>214</v>
      </c>
      <c r="V334" s="90"/>
      <c r="W334" s="140" t="s">
        <v>214</v>
      </c>
      <c r="X334" s="90"/>
      <c r="Y334" s="140" t="s">
        <v>207</v>
      </c>
      <c r="Z334" s="177" t="str">
        <f t="shared" si="21"/>
        <v>NC</v>
      </c>
      <c r="AA334" s="190" t="str">
        <f t="shared" si="20"/>
        <v>UTILIZOU O PDA CORRETAMENTE. NÃO HÁ FOTOS DE TODAS AS ETAPAS</v>
      </c>
      <c r="AB334" s="90"/>
      <c r="AC334" s="156" t="s">
        <v>36</v>
      </c>
      <c r="AD334" s="145" t="str">
        <f t="shared" si="19"/>
        <v>SÃO PAULO</v>
      </c>
      <c r="AE334" s="92" t="s">
        <v>79</v>
      </c>
    </row>
    <row r="335" spans="1:31" ht="30" customHeight="1">
      <c r="A335" s="161" t="s">
        <v>198</v>
      </c>
      <c r="B335" s="216">
        <v>2620208200</v>
      </c>
      <c r="C335" s="155" t="s">
        <v>144</v>
      </c>
      <c r="D335" s="155" t="s">
        <v>140</v>
      </c>
      <c r="E335" s="155" t="s">
        <v>35</v>
      </c>
      <c r="F335" s="155" t="s">
        <v>2258</v>
      </c>
      <c r="G335" s="155">
        <v>74</v>
      </c>
      <c r="H335" s="155" t="s">
        <v>200</v>
      </c>
      <c r="I335" s="155" t="s">
        <v>355</v>
      </c>
      <c r="J335" s="155" t="s">
        <v>1954</v>
      </c>
      <c r="K335" s="155" t="s">
        <v>200</v>
      </c>
      <c r="L335" s="155" t="s">
        <v>2259</v>
      </c>
      <c r="M335" s="155" t="s">
        <v>2260</v>
      </c>
      <c r="N335" s="155" t="s">
        <v>1919</v>
      </c>
      <c r="O335" s="152" t="s">
        <v>207</v>
      </c>
      <c r="P335" s="90"/>
      <c r="Q335" s="140" t="s">
        <v>214</v>
      </c>
      <c r="R335" s="90"/>
      <c r="S335" s="140" t="s">
        <v>214</v>
      </c>
      <c r="T335" s="90"/>
      <c r="U335" s="140" t="s">
        <v>214</v>
      </c>
      <c r="V335" s="90"/>
      <c r="W335" s="140" t="s">
        <v>207</v>
      </c>
      <c r="X335" s="90"/>
      <c r="Y335" s="140" t="s">
        <v>207</v>
      </c>
      <c r="Z335" s="177" t="str">
        <f t="shared" si="21"/>
        <v>NC</v>
      </c>
      <c r="AA335" s="190" t="str">
        <f t="shared" si="20"/>
        <v>UTILIZOU O PDA CORRETAMENTE. NÃO HÁ FOTOS DE TODAS AS ETAPAS</v>
      </c>
      <c r="AB335" s="90" t="s">
        <v>207</v>
      </c>
      <c r="AC335" s="156" t="s">
        <v>36</v>
      </c>
      <c r="AD335" s="145" t="str">
        <f t="shared" si="19"/>
        <v>SÃO PAULO</v>
      </c>
      <c r="AE335" s="92" t="s">
        <v>79</v>
      </c>
    </row>
    <row r="336" spans="1:31" ht="30" customHeight="1">
      <c r="A336" s="161" t="s">
        <v>198</v>
      </c>
      <c r="B336" s="216">
        <v>2620204191</v>
      </c>
      <c r="C336" s="155" t="s">
        <v>1923</v>
      </c>
      <c r="D336" s="155" t="s">
        <v>79</v>
      </c>
      <c r="E336" s="155" t="s">
        <v>35</v>
      </c>
      <c r="F336" s="155" t="s">
        <v>2261</v>
      </c>
      <c r="G336" s="155">
        <v>21</v>
      </c>
      <c r="H336" s="155" t="s">
        <v>208</v>
      </c>
      <c r="I336" s="155" t="s">
        <v>515</v>
      </c>
      <c r="J336" s="155" t="s">
        <v>1915</v>
      </c>
      <c r="K336" s="155" t="s">
        <v>200</v>
      </c>
      <c r="L336" s="155" t="s">
        <v>913</v>
      </c>
      <c r="M336" s="155" t="s">
        <v>2262</v>
      </c>
      <c r="N336" s="155" t="s">
        <v>1931</v>
      </c>
      <c r="O336" s="152" t="s">
        <v>214</v>
      </c>
      <c r="P336" s="90"/>
      <c r="Q336" s="140" t="s">
        <v>214</v>
      </c>
      <c r="R336" s="90"/>
      <c r="S336" s="140" t="s">
        <v>214</v>
      </c>
      <c r="T336" s="90"/>
      <c r="U336" s="140" t="s">
        <v>214</v>
      </c>
      <c r="V336" s="90"/>
      <c r="W336" s="140" t="s">
        <v>214</v>
      </c>
      <c r="X336" s="90"/>
      <c r="Y336" s="140" t="s">
        <v>215</v>
      </c>
      <c r="Z336" s="177" t="str">
        <f t="shared" si="21"/>
        <v>NC</v>
      </c>
      <c r="AA336" s="190" t="str">
        <f t="shared" si="20"/>
        <v>NÃO UTILIZOU O PDA</v>
      </c>
      <c r="AB336" s="90" t="s">
        <v>207</v>
      </c>
      <c r="AC336" s="156" t="s">
        <v>36</v>
      </c>
      <c r="AD336" s="145" t="str">
        <f t="shared" si="19"/>
        <v>SÃO PAULO</v>
      </c>
      <c r="AE336" s="92" t="s">
        <v>79</v>
      </c>
    </row>
    <row r="337" spans="1:31" ht="30" customHeight="1">
      <c r="A337" s="161" t="s">
        <v>198</v>
      </c>
      <c r="B337" s="216">
        <v>2620322985</v>
      </c>
      <c r="C337" s="155" t="s">
        <v>1923</v>
      </c>
      <c r="D337" s="155" t="s">
        <v>79</v>
      </c>
      <c r="E337" s="155" t="s">
        <v>35</v>
      </c>
      <c r="F337" s="155" t="s">
        <v>2263</v>
      </c>
      <c r="G337" s="155">
        <v>40</v>
      </c>
      <c r="H337" s="155" t="s">
        <v>200</v>
      </c>
      <c r="I337" s="155" t="s">
        <v>322</v>
      </c>
      <c r="J337" s="155" t="s">
        <v>1915</v>
      </c>
      <c r="K337" s="155" t="s">
        <v>200</v>
      </c>
      <c r="L337" s="155" t="s">
        <v>904</v>
      </c>
      <c r="M337" s="155" t="s">
        <v>2264</v>
      </c>
      <c r="N337" s="155" t="s">
        <v>203</v>
      </c>
      <c r="O337" s="152" t="s">
        <v>77</v>
      </c>
      <c r="P337" s="90"/>
      <c r="Q337" s="140" t="s">
        <v>77</v>
      </c>
      <c r="R337" s="90"/>
      <c r="S337" s="140" t="s">
        <v>77</v>
      </c>
      <c r="T337" s="90"/>
      <c r="U337" s="140" t="s">
        <v>77</v>
      </c>
      <c r="V337" s="90"/>
      <c r="W337" s="140" t="s">
        <v>77</v>
      </c>
      <c r="X337" s="90"/>
      <c r="Y337" s="140" t="s">
        <v>77</v>
      </c>
      <c r="Z337" s="177" t="str">
        <f t="shared" si="21"/>
        <v>NA</v>
      </c>
      <c r="AA337" s="190" t="str">
        <f t="shared" si="20"/>
        <v>NÃO AVALIADO POR FALHA DE SINCRONISMO</v>
      </c>
      <c r="AB337" s="90" t="s">
        <v>207</v>
      </c>
      <c r="AC337" s="156" t="s">
        <v>36</v>
      </c>
      <c r="AD337" s="145" t="str">
        <f t="shared" si="19"/>
        <v>SÃO PAULO</v>
      </c>
      <c r="AE337" s="92" t="s">
        <v>79</v>
      </c>
    </row>
    <row r="338" spans="1:31" ht="30" customHeight="1">
      <c r="A338" s="161" t="s">
        <v>198</v>
      </c>
      <c r="B338" s="216">
        <v>2620327841</v>
      </c>
      <c r="C338" s="155" t="s">
        <v>1923</v>
      </c>
      <c r="D338" s="155" t="s">
        <v>79</v>
      </c>
      <c r="E338" s="155" t="s">
        <v>35</v>
      </c>
      <c r="F338" s="155" t="s">
        <v>2265</v>
      </c>
      <c r="G338" s="155">
        <v>129</v>
      </c>
      <c r="H338" s="155" t="s">
        <v>200</v>
      </c>
      <c r="I338" s="155" t="s">
        <v>479</v>
      </c>
      <c r="J338" s="155" t="s">
        <v>1915</v>
      </c>
      <c r="K338" s="155" t="s">
        <v>200</v>
      </c>
      <c r="L338" s="155" t="s">
        <v>2266</v>
      </c>
      <c r="M338" s="155" t="s">
        <v>2267</v>
      </c>
      <c r="N338" s="155" t="s">
        <v>1944</v>
      </c>
      <c r="O338" s="152" t="s">
        <v>207</v>
      </c>
      <c r="P338" s="90"/>
      <c r="Q338" s="140" t="s">
        <v>207</v>
      </c>
      <c r="R338" s="90"/>
      <c r="S338" s="140" t="s">
        <v>207</v>
      </c>
      <c r="T338" s="90"/>
      <c r="U338" s="140" t="s">
        <v>207</v>
      </c>
      <c r="V338" s="90"/>
      <c r="W338" s="140" t="s">
        <v>207</v>
      </c>
      <c r="X338" s="90"/>
      <c r="Y338" s="140" t="s">
        <v>207</v>
      </c>
      <c r="Z338" s="177" t="str">
        <f t="shared" si="21"/>
        <v>C</v>
      </c>
      <c r="AA338" s="190" t="str">
        <f t="shared" si="20"/>
        <v>UTILIZOU O PDA CORRETAMENTE</v>
      </c>
      <c r="AB338" s="90" t="s">
        <v>207</v>
      </c>
      <c r="AC338" s="156" t="s">
        <v>36</v>
      </c>
      <c r="AD338" s="145" t="str">
        <f t="shared" si="19"/>
        <v>SÃO PAULO</v>
      </c>
      <c r="AE338" s="92" t="s">
        <v>79</v>
      </c>
    </row>
    <row r="339" spans="1:31" ht="30" customHeight="1">
      <c r="A339" s="161" t="s">
        <v>198</v>
      </c>
      <c r="B339" s="216">
        <v>2620326533</v>
      </c>
      <c r="C339" s="155" t="s">
        <v>1923</v>
      </c>
      <c r="D339" s="155" t="s">
        <v>79</v>
      </c>
      <c r="E339" s="155" t="s">
        <v>35</v>
      </c>
      <c r="F339" s="155" t="s">
        <v>2268</v>
      </c>
      <c r="G339" s="155">
        <v>15</v>
      </c>
      <c r="H339" s="155" t="s">
        <v>200</v>
      </c>
      <c r="I339" s="155" t="s">
        <v>440</v>
      </c>
      <c r="J339" s="155" t="s">
        <v>1915</v>
      </c>
      <c r="K339" s="155" t="s">
        <v>200</v>
      </c>
      <c r="L339" s="155" t="s">
        <v>2269</v>
      </c>
      <c r="M339" s="155" t="s">
        <v>2270</v>
      </c>
      <c r="N339" s="155" t="s">
        <v>1931</v>
      </c>
      <c r="O339" s="152" t="s">
        <v>207</v>
      </c>
      <c r="P339" s="90"/>
      <c r="Q339" s="140" t="s">
        <v>207</v>
      </c>
      <c r="R339" s="90"/>
      <c r="S339" s="140" t="s">
        <v>214</v>
      </c>
      <c r="T339" s="90"/>
      <c r="U339" s="140" t="s">
        <v>214</v>
      </c>
      <c r="V339" s="90"/>
      <c r="W339" s="140" t="s">
        <v>207</v>
      </c>
      <c r="X339" s="90"/>
      <c r="Y339" s="140" t="s">
        <v>207</v>
      </c>
      <c r="Z339" s="177" t="str">
        <f t="shared" si="21"/>
        <v>NC</v>
      </c>
      <c r="AA339" s="190" t="str">
        <f t="shared" si="20"/>
        <v>UTILIZOU O PDA CORRETAMENTE. NÃO HÁ FOTOS DE TODAS AS ETAPAS</v>
      </c>
      <c r="AB339" s="90" t="s">
        <v>207</v>
      </c>
      <c r="AC339" s="156" t="s">
        <v>36</v>
      </c>
      <c r="AD339" s="145" t="str">
        <f t="shared" si="19"/>
        <v>SÃO PAULO</v>
      </c>
      <c r="AE339" s="92" t="s">
        <v>79</v>
      </c>
    </row>
    <row r="340" spans="1:31" ht="30" customHeight="1">
      <c r="A340" s="161" t="s">
        <v>198</v>
      </c>
      <c r="B340" s="216">
        <v>2620328888</v>
      </c>
      <c r="C340" s="155" t="s">
        <v>1923</v>
      </c>
      <c r="D340" s="155" t="s">
        <v>79</v>
      </c>
      <c r="E340" s="155" t="s">
        <v>35</v>
      </c>
      <c r="F340" s="155" t="s">
        <v>476</v>
      </c>
      <c r="G340" s="155">
        <v>552</v>
      </c>
      <c r="H340" s="155" t="s">
        <v>200</v>
      </c>
      <c r="I340" s="155" t="s">
        <v>440</v>
      </c>
      <c r="J340" s="155" t="s">
        <v>1915</v>
      </c>
      <c r="K340" s="155" t="s">
        <v>200</v>
      </c>
      <c r="L340" s="155" t="s">
        <v>2271</v>
      </c>
      <c r="M340" s="155" t="s">
        <v>2271</v>
      </c>
      <c r="N340" s="155" t="s">
        <v>1931</v>
      </c>
      <c r="O340" s="152" t="s">
        <v>214</v>
      </c>
      <c r="P340" s="90"/>
      <c r="Q340" s="140" t="s">
        <v>214</v>
      </c>
      <c r="R340" s="90"/>
      <c r="S340" s="140" t="s">
        <v>207</v>
      </c>
      <c r="T340" s="90"/>
      <c r="U340" s="140" t="s">
        <v>207</v>
      </c>
      <c r="V340" s="90"/>
      <c r="W340" s="140" t="s">
        <v>207</v>
      </c>
      <c r="X340" s="90"/>
      <c r="Y340" s="140" t="s">
        <v>207</v>
      </c>
      <c r="Z340" s="177" t="str">
        <f t="shared" si="21"/>
        <v>NC</v>
      </c>
      <c r="AA340" s="190" t="str">
        <f t="shared" si="20"/>
        <v>UTILIZOU O PDA CORRETAMENTE. NÃO HÁ FOTOS DE TODAS AS ETAPAS</v>
      </c>
      <c r="AB340" s="90" t="s">
        <v>207</v>
      </c>
      <c r="AC340" s="156" t="s">
        <v>36</v>
      </c>
      <c r="AD340" s="145" t="str">
        <f t="shared" si="19"/>
        <v>SÃO PAULO</v>
      </c>
      <c r="AE340" s="92" t="s">
        <v>79</v>
      </c>
    </row>
    <row r="341" spans="1:31" ht="30" customHeight="1">
      <c r="A341" s="161" t="s">
        <v>198</v>
      </c>
      <c r="B341" s="216">
        <v>2620332277</v>
      </c>
      <c r="C341" s="155" t="s">
        <v>1923</v>
      </c>
      <c r="D341" s="155" t="s">
        <v>79</v>
      </c>
      <c r="E341" s="155" t="s">
        <v>35</v>
      </c>
      <c r="F341" s="155" t="s">
        <v>2272</v>
      </c>
      <c r="G341" s="155">
        <v>339</v>
      </c>
      <c r="H341" s="155" t="s">
        <v>200</v>
      </c>
      <c r="I341" s="155" t="s">
        <v>300</v>
      </c>
      <c r="J341" s="155" t="s">
        <v>1915</v>
      </c>
      <c r="K341" s="155" t="s">
        <v>200</v>
      </c>
      <c r="L341" s="155" t="s">
        <v>2273</v>
      </c>
      <c r="M341" s="155" t="s">
        <v>2274</v>
      </c>
      <c r="N341" s="155" t="s">
        <v>390</v>
      </c>
      <c r="O341" s="152" t="s">
        <v>207</v>
      </c>
      <c r="P341" s="90"/>
      <c r="Q341" s="140" t="s">
        <v>207</v>
      </c>
      <c r="R341" s="90"/>
      <c r="S341" s="140" t="s">
        <v>207</v>
      </c>
      <c r="T341" s="90"/>
      <c r="U341" s="140" t="s">
        <v>207</v>
      </c>
      <c r="V341" s="90"/>
      <c r="W341" s="140" t="s">
        <v>207</v>
      </c>
      <c r="X341" s="90"/>
      <c r="Y341" s="140" t="s">
        <v>207</v>
      </c>
      <c r="Z341" s="177" t="str">
        <f t="shared" si="21"/>
        <v>C</v>
      </c>
      <c r="AA341" s="190" t="str">
        <f t="shared" si="20"/>
        <v>UTILIZOU O PDA CORRETAMENTE</v>
      </c>
      <c r="AB341" s="90"/>
      <c r="AC341" s="156" t="s">
        <v>36</v>
      </c>
      <c r="AD341" s="145" t="str">
        <f t="shared" si="19"/>
        <v>SÃO PAULO</v>
      </c>
      <c r="AE341" s="92" t="s">
        <v>79</v>
      </c>
    </row>
    <row r="342" spans="1:31" ht="30" customHeight="1">
      <c r="A342" s="161" t="s">
        <v>198</v>
      </c>
      <c r="B342" s="216">
        <v>2620325445</v>
      </c>
      <c r="C342" s="155" t="s">
        <v>1923</v>
      </c>
      <c r="D342" s="155" t="s">
        <v>79</v>
      </c>
      <c r="E342" s="155" t="s">
        <v>35</v>
      </c>
      <c r="F342" s="155" t="s">
        <v>2275</v>
      </c>
      <c r="G342" s="155">
        <v>399</v>
      </c>
      <c r="H342" s="155" t="s">
        <v>205</v>
      </c>
      <c r="I342" s="155" t="s">
        <v>2062</v>
      </c>
      <c r="J342" s="155" t="s">
        <v>1915</v>
      </c>
      <c r="K342" s="155" t="s">
        <v>200</v>
      </c>
      <c r="L342" s="155" t="s">
        <v>2276</v>
      </c>
      <c r="M342" s="155" t="s">
        <v>2277</v>
      </c>
      <c r="N342" s="155" t="s">
        <v>1919</v>
      </c>
      <c r="O342" s="152" t="s">
        <v>207</v>
      </c>
      <c r="P342" s="90"/>
      <c r="Q342" s="140" t="s">
        <v>214</v>
      </c>
      <c r="R342" s="90"/>
      <c r="S342" s="140" t="s">
        <v>207</v>
      </c>
      <c r="T342" s="90"/>
      <c r="U342" s="140" t="s">
        <v>207</v>
      </c>
      <c r="V342" s="90"/>
      <c r="W342" s="140" t="s">
        <v>207</v>
      </c>
      <c r="X342" s="90"/>
      <c r="Y342" s="140" t="s">
        <v>207</v>
      </c>
      <c r="Z342" s="177" t="str">
        <f t="shared" si="21"/>
        <v>NC</v>
      </c>
      <c r="AA342" s="190" t="str">
        <f t="shared" si="20"/>
        <v>UTILIZOU O PDA CORRETAMENTE. NÃO HÁ FOTOS DE TODAS AS ETAPAS</v>
      </c>
      <c r="AB342" s="90" t="s">
        <v>207</v>
      </c>
      <c r="AC342" s="156" t="s">
        <v>36</v>
      </c>
      <c r="AD342" s="145" t="str">
        <f t="shared" si="19"/>
        <v>SÃO PAULO</v>
      </c>
      <c r="AE342" s="92" t="s">
        <v>79</v>
      </c>
    </row>
    <row r="343" spans="1:31" ht="30" customHeight="1">
      <c r="A343" s="161" t="s">
        <v>198</v>
      </c>
      <c r="B343" s="216">
        <v>2620342913</v>
      </c>
      <c r="C343" s="155" t="s">
        <v>1923</v>
      </c>
      <c r="D343" s="155" t="s">
        <v>79</v>
      </c>
      <c r="E343" s="155" t="s">
        <v>35</v>
      </c>
      <c r="F343" s="155" t="s">
        <v>2278</v>
      </c>
      <c r="G343" s="155">
        <v>58</v>
      </c>
      <c r="H343" s="155" t="s">
        <v>2279</v>
      </c>
      <c r="I343" s="155" t="s">
        <v>433</v>
      </c>
      <c r="J343" s="155" t="s">
        <v>1915</v>
      </c>
      <c r="K343" s="155" t="s">
        <v>2060</v>
      </c>
      <c r="L343" s="155" t="s">
        <v>2280</v>
      </c>
      <c r="M343" s="155" t="s">
        <v>2281</v>
      </c>
      <c r="N343" s="155" t="s">
        <v>1925</v>
      </c>
      <c r="O343" s="152" t="s">
        <v>214</v>
      </c>
      <c r="P343" s="90"/>
      <c r="Q343" s="140" t="s">
        <v>214</v>
      </c>
      <c r="R343" s="90"/>
      <c r="S343" s="140" t="s">
        <v>214</v>
      </c>
      <c r="T343" s="90"/>
      <c r="U343" s="140" t="s">
        <v>214</v>
      </c>
      <c r="V343" s="90"/>
      <c r="W343" s="140" t="s">
        <v>214</v>
      </c>
      <c r="X343" s="90"/>
      <c r="Y343" s="140" t="s">
        <v>215</v>
      </c>
      <c r="Z343" s="177" t="str">
        <f t="shared" si="21"/>
        <v>NC</v>
      </c>
      <c r="AA343" s="190" t="str">
        <f t="shared" si="20"/>
        <v>NÃO UTILIZOU O PDA</v>
      </c>
      <c r="AB343" s="90" t="s">
        <v>207</v>
      </c>
      <c r="AC343" s="156" t="s">
        <v>36</v>
      </c>
      <c r="AD343" s="145" t="str">
        <f t="shared" si="19"/>
        <v>SÃO PAULO</v>
      </c>
      <c r="AE343" s="92" t="s">
        <v>79</v>
      </c>
    </row>
    <row r="344" spans="1:31" ht="30" customHeight="1">
      <c r="A344" s="161" t="s">
        <v>198</v>
      </c>
      <c r="B344" s="216">
        <v>2693314525</v>
      </c>
      <c r="C344" s="155" t="s">
        <v>143</v>
      </c>
      <c r="D344" s="155" t="s">
        <v>79</v>
      </c>
      <c r="E344" s="155" t="s">
        <v>35</v>
      </c>
      <c r="F344" s="155" t="s">
        <v>2282</v>
      </c>
      <c r="G344" s="155">
        <v>1</v>
      </c>
      <c r="H344" s="155" t="s">
        <v>325</v>
      </c>
      <c r="I344" s="155" t="s">
        <v>1124</v>
      </c>
      <c r="J344" s="155" t="s">
        <v>1915</v>
      </c>
      <c r="K344" s="155" t="s">
        <v>200</v>
      </c>
      <c r="L344" s="155" t="s">
        <v>2283</v>
      </c>
      <c r="M344" s="155" t="s">
        <v>2284</v>
      </c>
      <c r="N344" s="155" t="s">
        <v>1944</v>
      </c>
      <c r="O344" s="152" t="s">
        <v>207</v>
      </c>
      <c r="P344" s="90"/>
      <c r="Q344" s="140" t="s">
        <v>207</v>
      </c>
      <c r="R344" s="90"/>
      <c r="S344" s="140" t="s">
        <v>207</v>
      </c>
      <c r="T344" s="90"/>
      <c r="U344" s="140" t="s">
        <v>207</v>
      </c>
      <c r="V344" s="90"/>
      <c r="W344" s="140" t="s">
        <v>215</v>
      </c>
      <c r="X344" s="90" t="s">
        <v>269</v>
      </c>
      <c r="Y344" s="140" t="s">
        <v>207</v>
      </c>
      <c r="Z344" s="177" t="str">
        <f t="shared" si="21"/>
        <v>NC</v>
      </c>
      <c r="AA344" s="190" t="str">
        <f t="shared" si="20"/>
        <v>UTILIZOU O PDA CORRETAMENTE. NÃO HÁ FOTOS DE TODAS AS ETAPAS</v>
      </c>
      <c r="AB344" s="90" t="s">
        <v>207</v>
      </c>
      <c r="AC344" s="156" t="s">
        <v>36</v>
      </c>
      <c r="AD344" s="145" t="str">
        <f t="shared" si="19"/>
        <v>SÃO PAULO</v>
      </c>
      <c r="AE344" s="92" t="s">
        <v>79</v>
      </c>
    </row>
    <row r="345" spans="1:31" ht="30" customHeight="1">
      <c r="A345" s="161" t="s">
        <v>198</v>
      </c>
      <c r="B345" s="216">
        <v>2693307471</v>
      </c>
      <c r="C345" s="155" t="s">
        <v>143</v>
      </c>
      <c r="D345" s="155" t="s">
        <v>79</v>
      </c>
      <c r="E345" s="155" t="s">
        <v>35</v>
      </c>
      <c r="F345" s="155" t="s">
        <v>2285</v>
      </c>
      <c r="G345" s="155">
        <v>51</v>
      </c>
      <c r="H345" s="155" t="s">
        <v>200</v>
      </c>
      <c r="I345" s="155" t="s">
        <v>2286</v>
      </c>
      <c r="J345" s="155" t="s">
        <v>1915</v>
      </c>
      <c r="K345" s="155" t="s">
        <v>200</v>
      </c>
      <c r="L345" s="155" t="s">
        <v>2287</v>
      </c>
      <c r="M345" s="155" t="s">
        <v>2288</v>
      </c>
      <c r="N345" s="155" t="s">
        <v>390</v>
      </c>
      <c r="O345" s="152" t="s">
        <v>207</v>
      </c>
      <c r="P345" s="90"/>
      <c r="Q345" s="140" t="s">
        <v>214</v>
      </c>
      <c r="R345" s="90"/>
      <c r="S345" s="140" t="s">
        <v>207</v>
      </c>
      <c r="T345" s="90"/>
      <c r="U345" s="140" t="s">
        <v>207</v>
      </c>
      <c r="V345" s="90"/>
      <c r="W345" s="140" t="s">
        <v>207</v>
      </c>
      <c r="X345" s="90"/>
      <c r="Y345" s="140" t="s">
        <v>207</v>
      </c>
      <c r="Z345" s="177" t="str">
        <f t="shared" si="21"/>
        <v>NC</v>
      </c>
      <c r="AA345" s="190" t="str">
        <f t="shared" si="20"/>
        <v>UTILIZOU O PDA CORRETAMENTE. NÃO HÁ FOTOS DE TODAS AS ETAPAS</v>
      </c>
      <c r="AB345" s="90" t="s">
        <v>207</v>
      </c>
      <c r="AC345" s="156" t="s">
        <v>36</v>
      </c>
      <c r="AD345" s="145" t="str">
        <f t="shared" si="19"/>
        <v>SÃO PAULO</v>
      </c>
      <c r="AE345" s="92" t="s">
        <v>79</v>
      </c>
    </row>
    <row r="346" spans="1:31" ht="30" customHeight="1">
      <c r="A346" s="161" t="s">
        <v>198</v>
      </c>
      <c r="B346" s="216">
        <v>2620324819</v>
      </c>
      <c r="C346" s="155" t="s">
        <v>143</v>
      </c>
      <c r="D346" s="155" t="s">
        <v>79</v>
      </c>
      <c r="E346" s="155" t="s">
        <v>35</v>
      </c>
      <c r="F346" s="155" t="s">
        <v>2289</v>
      </c>
      <c r="G346" s="155">
        <v>127</v>
      </c>
      <c r="H346" s="155" t="s">
        <v>208</v>
      </c>
      <c r="I346" s="155" t="s">
        <v>1480</v>
      </c>
      <c r="J346" s="155" t="s">
        <v>1915</v>
      </c>
      <c r="K346" s="155" t="s">
        <v>200</v>
      </c>
      <c r="L346" s="155" t="s">
        <v>2290</v>
      </c>
      <c r="M346" s="155" t="s">
        <v>2291</v>
      </c>
      <c r="N346" s="155" t="s">
        <v>390</v>
      </c>
      <c r="O346" s="152" t="s">
        <v>207</v>
      </c>
      <c r="P346" s="90"/>
      <c r="Q346" s="140" t="s">
        <v>207</v>
      </c>
      <c r="R346" s="90"/>
      <c r="S346" s="140" t="s">
        <v>214</v>
      </c>
      <c r="T346" s="90"/>
      <c r="U346" s="140" t="s">
        <v>214</v>
      </c>
      <c r="V346" s="90"/>
      <c r="W346" s="140" t="s">
        <v>207</v>
      </c>
      <c r="X346" s="90"/>
      <c r="Y346" s="140" t="s">
        <v>207</v>
      </c>
      <c r="Z346" s="177" t="str">
        <f t="shared" si="21"/>
        <v>NC</v>
      </c>
      <c r="AA346" s="190" t="str">
        <f t="shared" si="20"/>
        <v>UTILIZOU O PDA CORRETAMENTE. NÃO HÁ FOTOS DE TODAS AS ETAPAS</v>
      </c>
      <c r="AB346" s="90"/>
      <c r="AC346" s="156" t="s">
        <v>36</v>
      </c>
      <c r="AD346" s="145" t="str">
        <f t="shared" si="19"/>
        <v>SÃO PAULO</v>
      </c>
      <c r="AE346" s="92" t="s">
        <v>79</v>
      </c>
    </row>
    <row r="347" spans="1:31" ht="30" customHeight="1">
      <c r="A347" s="161" t="s">
        <v>198</v>
      </c>
      <c r="B347" s="216">
        <v>2693298695</v>
      </c>
      <c r="C347" s="155" t="s">
        <v>146</v>
      </c>
      <c r="D347" s="155" t="s">
        <v>79</v>
      </c>
      <c r="E347" s="155" t="s">
        <v>35</v>
      </c>
      <c r="F347" s="155" t="s">
        <v>2292</v>
      </c>
      <c r="G347" s="155">
        <v>39</v>
      </c>
      <c r="H347" s="155" t="s">
        <v>205</v>
      </c>
      <c r="I347" s="155" t="s">
        <v>248</v>
      </c>
      <c r="J347" s="155" t="s">
        <v>1915</v>
      </c>
      <c r="K347" s="155" t="s">
        <v>200</v>
      </c>
      <c r="L347" s="249">
        <v>46156.385416666664</v>
      </c>
      <c r="M347" s="155" t="s">
        <v>2293</v>
      </c>
      <c r="N347" s="155" t="s">
        <v>1933</v>
      </c>
      <c r="O347" s="152" t="s">
        <v>207</v>
      </c>
      <c r="P347" s="90"/>
      <c r="Q347" s="140" t="s">
        <v>207</v>
      </c>
      <c r="R347" s="90"/>
      <c r="S347" s="140" t="s">
        <v>214</v>
      </c>
      <c r="T347" s="90"/>
      <c r="U347" s="140" t="s">
        <v>214</v>
      </c>
      <c r="V347" s="90"/>
      <c r="W347" s="140" t="s">
        <v>207</v>
      </c>
      <c r="X347" s="90"/>
      <c r="Y347" s="140" t="s">
        <v>207</v>
      </c>
      <c r="Z347" s="177" t="str">
        <f t="shared" si="21"/>
        <v>NC</v>
      </c>
      <c r="AA347" s="190" t="str">
        <f t="shared" si="20"/>
        <v>UTILIZOU O PDA CORRETAMENTE. NÃO HÁ FOTOS DE TODAS AS ETAPAS</v>
      </c>
      <c r="AB347" s="90" t="s">
        <v>207</v>
      </c>
      <c r="AC347" s="156" t="s">
        <v>36</v>
      </c>
      <c r="AD347" s="145" t="str">
        <f t="shared" si="19"/>
        <v>SÃO PAULO</v>
      </c>
      <c r="AE347" s="92" t="s">
        <v>79</v>
      </c>
    </row>
    <row r="348" spans="1:31" ht="30" customHeight="1">
      <c r="A348" s="161" t="s">
        <v>198</v>
      </c>
      <c r="B348" s="216">
        <v>2620334607</v>
      </c>
      <c r="C348" s="155" t="s">
        <v>143</v>
      </c>
      <c r="D348" s="155" t="s">
        <v>79</v>
      </c>
      <c r="E348" s="155" t="s">
        <v>35</v>
      </c>
      <c r="F348" s="155" t="s">
        <v>2294</v>
      </c>
      <c r="G348" s="155">
        <v>289</v>
      </c>
      <c r="H348" s="155" t="s">
        <v>200</v>
      </c>
      <c r="I348" s="155" t="s">
        <v>322</v>
      </c>
      <c r="J348" s="155" t="s">
        <v>1915</v>
      </c>
      <c r="K348" s="155" t="s">
        <v>200</v>
      </c>
      <c r="L348" s="155" t="s">
        <v>2295</v>
      </c>
      <c r="M348" s="155" t="s">
        <v>2296</v>
      </c>
      <c r="N348" s="155" t="s">
        <v>1922</v>
      </c>
      <c r="O348" s="152" t="s">
        <v>207</v>
      </c>
      <c r="P348" s="90"/>
      <c r="Q348" s="140" t="s">
        <v>207</v>
      </c>
      <c r="R348" s="90"/>
      <c r="S348" s="140" t="s">
        <v>214</v>
      </c>
      <c r="T348" s="90"/>
      <c r="U348" s="140" t="s">
        <v>214</v>
      </c>
      <c r="V348" s="90"/>
      <c r="W348" s="140" t="s">
        <v>207</v>
      </c>
      <c r="X348" s="90"/>
      <c r="Y348" s="140" t="s">
        <v>207</v>
      </c>
      <c r="Z348" s="177" t="str">
        <f t="shared" si="21"/>
        <v>NC</v>
      </c>
      <c r="AA348" s="190" t="str">
        <f t="shared" si="20"/>
        <v>UTILIZOU O PDA CORRETAMENTE. NÃO HÁ FOTOS DE TODAS AS ETAPAS</v>
      </c>
      <c r="AB348" s="90" t="s">
        <v>207</v>
      </c>
      <c r="AC348" s="156" t="s">
        <v>36</v>
      </c>
      <c r="AD348" s="145" t="str">
        <f t="shared" si="19"/>
        <v>SÃO PAULO</v>
      </c>
      <c r="AE348" s="92" t="s">
        <v>79</v>
      </c>
    </row>
    <row r="349" spans="1:31" ht="30" customHeight="1">
      <c r="A349" s="161" t="s">
        <v>198</v>
      </c>
      <c r="B349" s="216">
        <v>2620337117</v>
      </c>
      <c r="C349" s="155" t="s">
        <v>1923</v>
      </c>
      <c r="D349" s="155" t="s">
        <v>79</v>
      </c>
      <c r="E349" s="155" t="s">
        <v>35</v>
      </c>
      <c r="F349" s="155" t="s">
        <v>2297</v>
      </c>
      <c r="G349" s="155">
        <v>70</v>
      </c>
      <c r="H349" s="155" t="s">
        <v>200</v>
      </c>
      <c r="I349" s="155" t="s">
        <v>308</v>
      </c>
      <c r="J349" s="155" t="s">
        <v>1915</v>
      </c>
      <c r="K349" s="155" t="s">
        <v>200</v>
      </c>
      <c r="L349" s="155" t="s">
        <v>2298</v>
      </c>
      <c r="M349" s="155" t="s">
        <v>2299</v>
      </c>
      <c r="N349" s="155" t="s">
        <v>1922</v>
      </c>
      <c r="O349" s="152" t="s">
        <v>207</v>
      </c>
      <c r="P349" s="90"/>
      <c r="Q349" s="140" t="s">
        <v>207</v>
      </c>
      <c r="R349" s="90"/>
      <c r="S349" s="140" t="s">
        <v>214</v>
      </c>
      <c r="T349" s="90"/>
      <c r="U349" s="140" t="s">
        <v>214</v>
      </c>
      <c r="V349" s="90"/>
      <c r="W349" s="140" t="s">
        <v>207</v>
      </c>
      <c r="X349" s="90"/>
      <c r="Y349" s="140" t="s">
        <v>207</v>
      </c>
      <c r="Z349" s="177" t="str">
        <f t="shared" si="21"/>
        <v>NC</v>
      </c>
      <c r="AA349" s="190" t="str">
        <f t="shared" si="20"/>
        <v>UTILIZOU O PDA CORRETAMENTE. NÃO HÁ FOTOS DE TODAS AS ETAPAS</v>
      </c>
      <c r="AB349" s="90" t="s">
        <v>207</v>
      </c>
      <c r="AC349" s="156" t="s">
        <v>36</v>
      </c>
      <c r="AD349" s="145" t="str">
        <f t="shared" si="19"/>
        <v>SÃO PAULO</v>
      </c>
      <c r="AE349" s="92" t="s">
        <v>79</v>
      </c>
    </row>
    <row r="350" spans="1:31" ht="30" customHeight="1">
      <c r="A350" s="161" t="s">
        <v>198</v>
      </c>
      <c r="B350" s="216">
        <v>2620374412</v>
      </c>
      <c r="C350" s="155" t="s">
        <v>1923</v>
      </c>
      <c r="D350" s="155" t="s">
        <v>79</v>
      </c>
      <c r="E350" s="155" t="s">
        <v>35</v>
      </c>
      <c r="F350" s="155" t="s">
        <v>2300</v>
      </c>
      <c r="G350" s="155">
        <v>8</v>
      </c>
      <c r="H350" s="155" t="s">
        <v>200</v>
      </c>
      <c r="I350" s="155" t="s">
        <v>230</v>
      </c>
      <c r="J350" s="155" t="s">
        <v>1915</v>
      </c>
      <c r="K350" s="155" t="s">
        <v>200</v>
      </c>
      <c r="L350" s="155" t="s">
        <v>2301</v>
      </c>
      <c r="M350" s="155" t="s">
        <v>2302</v>
      </c>
      <c r="N350" s="155" t="s">
        <v>323</v>
      </c>
      <c r="O350" s="152" t="s">
        <v>207</v>
      </c>
      <c r="P350" s="90"/>
      <c r="Q350" s="140" t="s">
        <v>207</v>
      </c>
      <c r="R350" s="90"/>
      <c r="S350" s="140" t="s">
        <v>214</v>
      </c>
      <c r="T350" s="90"/>
      <c r="U350" s="140" t="s">
        <v>214</v>
      </c>
      <c r="V350" s="90"/>
      <c r="W350" s="140" t="s">
        <v>207</v>
      </c>
      <c r="X350" s="90"/>
      <c r="Y350" s="140" t="s">
        <v>207</v>
      </c>
      <c r="Z350" s="177" t="str">
        <f t="shared" si="21"/>
        <v>NC</v>
      </c>
      <c r="AA350" s="190" t="str">
        <f t="shared" si="20"/>
        <v>UTILIZOU O PDA CORRETAMENTE. NÃO HÁ FOTOS DE TODAS AS ETAPAS</v>
      </c>
      <c r="AB350" s="90"/>
      <c r="AC350" s="156" t="s">
        <v>36</v>
      </c>
      <c r="AD350" s="145" t="str">
        <f t="shared" si="19"/>
        <v>SÃO PAULO</v>
      </c>
      <c r="AE350" s="92" t="s">
        <v>79</v>
      </c>
    </row>
    <row r="351" spans="1:31" ht="30" customHeight="1">
      <c r="A351" s="161" t="s">
        <v>198</v>
      </c>
      <c r="B351" s="216">
        <v>2620373323</v>
      </c>
      <c r="C351" s="155" t="s">
        <v>151</v>
      </c>
      <c r="D351" s="155" t="s">
        <v>140</v>
      </c>
      <c r="E351" s="155" t="s">
        <v>35</v>
      </c>
      <c r="F351" s="155" t="s">
        <v>2247</v>
      </c>
      <c r="G351" s="155">
        <v>47</v>
      </c>
      <c r="H351" s="155" t="s">
        <v>200</v>
      </c>
      <c r="I351" s="155" t="s">
        <v>241</v>
      </c>
      <c r="J351" s="155" t="s">
        <v>1966</v>
      </c>
      <c r="K351" s="155" t="s">
        <v>200</v>
      </c>
      <c r="L351" s="155" t="s">
        <v>2303</v>
      </c>
      <c r="M351" s="155" t="s">
        <v>2304</v>
      </c>
      <c r="N351" s="155" t="s">
        <v>1922</v>
      </c>
      <c r="O351" s="152" t="s">
        <v>215</v>
      </c>
      <c r="P351" s="90" t="s">
        <v>227</v>
      </c>
      <c r="Q351" s="152" t="s">
        <v>215</v>
      </c>
      <c r="R351" s="90" t="s">
        <v>227</v>
      </c>
      <c r="S351" s="152" t="s">
        <v>215</v>
      </c>
      <c r="T351" s="90" t="s">
        <v>227</v>
      </c>
      <c r="U351" s="152" t="s">
        <v>215</v>
      </c>
      <c r="V351" s="90" t="s">
        <v>227</v>
      </c>
      <c r="W351" s="152" t="s">
        <v>215</v>
      </c>
      <c r="X351" s="90" t="s">
        <v>227</v>
      </c>
      <c r="Y351" s="152" t="s">
        <v>215</v>
      </c>
      <c r="Z351" s="177" t="str">
        <f t="shared" si="21"/>
        <v>NC</v>
      </c>
      <c r="AA351" s="190" t="str">
        <f t="shared" si="20"/>
        <v>NÃO UTILIZOU O PDA</v>
      </c>
      <c r="AB351" s="90" t="s">
        <v>207</v>
      </c>
      <c r="AC351" s="156" t="s">
        <v>36</v>
      </c>
      <c r="AD351" s="145" t="str">
        <f t="shared" si="19"/>
        <v>SÃO PAULO</v>
      </c>
      <c r="AE351" s="92" t="s">
        <v>79</v>
      </c>
    </row>
    <row r="352" spans="1:31" ht="30" customHeight="1">
      <c r="A352" s="161" t="s">
        <v>198</v>
      </c>
      <c r="B352" s="216">
        <v>2620373102</v>
      </c>
      <c r="C352" s="155" t="s">
        <v>1923</v>
      </c>
      <c r="D352" s="155" t="s">
        <v>79</v>
      </c>
      <c r="E352" s="155" t="s">
        <v>35</v>
      </c>
      <c r="F352" s="155" t="s">
        <v>2305</v>
      </c>
      <c r="G352" s="155">
        <v>31</v>
      </c>
      <c r="H352" s="155" t="s">
        <v>2306</v>
      </c>
      <c r="I352" s="155" t="s">
        <v>725</v>
      </c>
      <c r="J352" s="155" t="s">
        <v>1915</v>
      </c>
      <c r="K352" s="155" t="s">
        <v>200</v>
      </c>
      <c r="L352" s="155" t="s">
        <v>2307</v>
      </c>
      <c r="M352" s="155" t="s">
        <v>2308</v>
      </c>
      <c r="N352" s="155" t="s">
        <v>1925</v>
      </c>
      <c r="O352" s="152" t="s">
        <v>207</v>
      </c>
      <c r="P352" s="90"/>
      <c r="Q352" s="140" t="s">
        <v>207</v>
      </c>
      <c r="R352" s="90"/>
      <c r="S352" s="140" t="s">
        <v>214</v>
      </c>
      <c r="T352" s="90"/>
      <c r="U352" s="140" t="s">
        <v>214</v>
      </c>
      <c r="V352" s="90"/>
      <c r="W352" s="140" t="s">
        <v>207</v>
      </c>
      <c r="X352" s="90"/>
      <c r="Y352" s="140" t="s">
        <v>207</v>
      </c>
      <c r="Z352" s="177" t="str">
        <f t="shared" si="21"/>
        <v>NC</v>
      </c>
      <c r="AA352" s="190" t="str">
        <f t="shared" si="20"/>
        <v>UTILIZOU O PDA CORRETAMENTE. NÃO HÁ FOTOS DE TODAS AS ETAPAS</v>
      </c>
      <c r="AB352" s="90" t="s">
        <v>207</v>
      </c>
      <c r="AC352" s="156" t="s">
        <v>36</v>
      </c>
      <c r="AD352" s="145" t="str">
        <f t="shared" si="19"/>
        <v>SÃO PAULO</v>
      </c>
      <c r="AE352" s="92" t="s">
        <v>79</v>
      </c>
    </row>
    <row r="353" spans="1:31" ht="30" customHeight="1">
      <c r="A353" s="161" t="s">
        <v>198</v>
      </c>
      <c r="B353" s="216">
        <v>2620377389</v>
      </c>
      <c r="C353" s="155" t="s">
        <v>1923</v>
      </c>
      <c r="D353" s="155" t="s">
        <v>79</v>
      </c>
      <c r="E353" s="155" t="s">
        <v>35</v>
      </c>
      <c r="F353" s="155" t="s">
        <v>2309</v>
      </c>
      <c r="G353" s="155">
        <v>770</v>
      </c>
      <c r="H353" s="155" t="s">
        <v>200</v>
      </c>
      <c r="I353" s="155" t="s">
        <v>665</v>
      </c>
      <c r="J353" s="155" t="s">
        <v>1915</v>
      </c>
      <c r="K353" s="155" t="s">
        <v>200</v>
      </c>
      <c r="L353" s="155" t="s">
        <v>2310</v>
      </c>
      <c r="M353" s="155" t="s">
        <v>2311</v>
      </c>
      <c r="N353" s="155" t="s">
        <v>1933</v>
      </c>
      <c r="O353" s="152" t="s">
        <v>207</v>
      </c>
      <c r="P353" s="90"/>
      <c r="Q353" s="140" t="s">
        <v>207</v>
      </c>
      <c r="R353" s="90"/>
      <c r="S353" s="140" t="s">
        <v>214</v>
      </c>
      <c r="T353" s="90"/>
      <c r="U353" s="140" t="s">
        <v>214</v>
      </c>
      <c r="V353" s="90"/>
      <c r="W353" s="140" t="s">
        <v>214</v>
      </c>
      <c r="X353" s="90"/>
      <c r="Y353" s="140" t="s">
        <v>207</v>
      </c>
      <c r="Z353" s="177" t="str">
        <f t="shared" si="21"/>
        <v>NC</v>
      </c>
      <c r="AA353" s="190" t="str">
        <f t="shared" si="20"/>
        <v>UTILIZOU O PDA CORRETAMENTE. NÃO HÁ FOTOS DE TODAS AS ETAPAS</v>
      </c>
      <c r="AB353" s="90"/>
      <c r="AC353" s="156" t="s">
        <v>36</v>
      </c>
      <c r="AD353" s="145" t="str">
        <f t="shared" si="19"/>
        <v>SÃO PAULO</v>
      </c>
      <c r="AE353" s="92" t="s">
        <v>79</v>
      </c>
    </row>
    <row r="354" spans="1:31" ht="30" customHeight="1">
      <c r="A354" s="161" t="s">
        <v>198</v>
      </c>
      <c r="B354" s="216">
        <v>2620378676</v>
      </c>
      <c r="C354" s="155" t="s">
        <v>1923</v>
      </c>
      <c r="D354" s="155" t="s">
        <v>79</v>
      </c>
      <c r="E354" s="155" t="s">
        <v>35</v>
      </c>
      <c r="F354" s="155" t="s">
        <v>276</v>
      </c>
      <c r="G354" s="155">
        <v>131</v>
      </c>
      <c r="H354" s="155" t="s">
        <v>205</v>
      </c>
      <c r="I354" s="155" t="s">
        <v>277</v>
      </c>
      <c r="J354" s="155" t="s">
        <v>1915</v>
      </c>
      <c r="K354" s="155" t="s">
        <v>2060</v>
      </c>
      <c r="L354" s="155" t="s">
        <v>2312</v>
      </c>
      <c r="M354" s="155" t="s">
        <v>2313</v>
      </c>
      <c r="N354" s="155" t="s">
        <v>1925</v>
      </c>
      <c r="O354" s="152" t="s">
        <v>207</v>
      </c>
      <c r="P354" s="90"/>
      <c r="Q354" s="140" t="s">
        <v>214</v>
      </c>
      <c r="R354" s="90"/>
      <c r="S354" s="140" t="s">
        <v>214</v>
      </c>
      <c r="T354" s="90"/>
      <c r="U354" s="140" t="s">
        <v>214</v>
      </c>
      <c r="V354" s="90"/>
      <c r="W354" s="140" t="s">
        <v>214</v>
      </c>
      <c r="X354" s="90"/>
      <c r="Y354" s="140" t="s">
        <v>207</v>
      </c>
      <c r="Z354" s="177" t="str">
        <f t="shared" si="21"/>
        <v>NC</v>
      </c>
      <c r="AA354" s="190" t="str">
        <f t="shared" si="20"/>
        <v>UTILIZOU O PDA CORRETAMENTE. NÃO HÁ FOTOS DE TODAS AS ETAPAS</v>
      </c>
      <c r="AB354" s="90"/>
      <c r="AC354" s="156" t="s">
        <v>36</v>
      </c>
      <c r="AD354" s="145" t="str">
        <f t="shared" ref="AD354:AD417" si="22">E354</f>
        <v>SÃO PAULO</v>
      </c>
      <c r="AE354" s="92" t="s">
        <v>79</v>
      </c>
    </row>
    <row r="355" spans="1:31" ht="30" customHeight="1">
      <c r="A355" s="161" t="s">
        <v>198</v>
      </c>
      <c r="B355" s="216">
        <v>2620382902</v>
      </c>
      <c r="C355" s="155" t="s">
        <v>149</v>
      </c>
      <c r="D355" s="155" t="s">
        <v>140</v>
      </c>
      <c r="E355" s="155" t="s">
        <v>35</v>
      </c>
      <c r="F355" s="155" t="s">
        <v>2314</v>
      </c>
      <c r="G355" s="155">
        <v>440</v>
      </c>
      <c r="H355" s="155" t="s">
        <v>208</v>
      </c>
      <c r="I355" s="155" t="s">
        <v>542</v>
      </c>
      <c r="J355" s="155" t="s">
        <v>1918</v>
      </c>
      <c r="K355" s="155" t="s">
        <v>200</v>
      </c>
      <c r="L355" s="155" t="s">
        <v>2315</v>
      </c>
      <c r="M355" s="155" t="s">
        <v>2316</v>
      </c>
      <c r="N355" s="155" t="s">
        <v>1916</v>
      </c>
      <c r="O355" s="152" t="s">
        <v>214</v>
      </c>
      <c r="P355" s="90"/>
      <c r="Q355" s="140" t="s">
        <v>214</v>
      </c>
      <c r="R355" s="90"/>
      <c r="S355" s="140" t="s">
        <v>214</v>
      </c>
      <c r="T355" s="90"/>
      <c r="U355" s="140" t="s">
        <v>214</v>
      </c>
      <c r="V355" s="90"/>
      <c r="W355" s="140" t="s">
        <v>214</v>
      </c>
      <c r="X355" s="90"/>
      <c r="Y355" s="140" t="s">
        <v>215</v>
      </c>
      <c r="Z355" s="177" t="str">
        <f t="shared" si="21"/>
        <v>NC</v>
      </c>
      <c r="AA355" s="190" t="str">
        <f t="shared" si="20"/>
        <v>NÃO UTILIZOU O PDA</v>
      </c>
      <c r="AB355" s="90" t="s">
        <v>207</v>
      </c>
      <c r="AC355" s="156" t="s">
        <v>36</v>
      </c>
      <c r="AD355" s="145" t="str">
        <f t="shared" si="22"/>
        <v>SÃO PAULO</v>
      </c>
      <c r="AE355" s="92" t="s">
        <v>79</v>
      </c>
    </row>
    <row r="356" spans="1:31" ht="30" customHeight="1">
      <c r="A356" s="161" t="s">
        <v>198</v>
      </c>
      <c r="B356" s="216">
        <v>2620382144</v>
      </c>
      <c r="C356" s="155" t="s">
        <v>1923</v>
      </c>
      <c r="D356" s="155" t="s">
        <v>79</v>
      </c>
      <c r="E356" s="155" t="s">
        <v>35</v>
      </c>
      <c r="F356" s="155" t="s">
        <v>2314</v>
      </c>
      <c r="G356" s="155">
        <v>369</v>
      </c>
      <c r="H356" s="155" t="s">
        <v>325</v>
      </c>
      <c r="I356" s="155" t="s">
        <v>542</v>
      </c>
      <c r="J356" s="155" t="s">
        <v>1915</v>
      </c>
      <c r="K356" s="155" t="s">
        <v>200</v>
      </c>
      <c r="L356" s="155" t="s">
        <v>2308</v>
      </c>
      <c r="M356" s="155" t="s">
        <v>2317</v>
      </c>
      <c r="N356" s="155" t="s">
        <v>1916</v>
      </c>
      <c r="O356" s="152" t="s">
        <v>207</v>
      </c>
      <c r="P356" s="90"/>
      <c r="Q356" s="140" t="s">
        <v>207</v>
      </c>
      <c r="R356" s="90"/>
      <c r="S356" s="140" t="s">
        <v>214</v>
      </c>
      <c r="T356" s="90"/>
      <c r="U356" s="140" t="s">
        <v>207</v>
      </c>
      <c r="V356" s="90"/>
      <c r="W356" s="140" t="s">
        <v>214</v>
      </c>
      <c r="X356" s="90"/>
      <c r="Y356" s="140" t="s">
        <v>207</v>
      </c>
      <c r="Z356" s="177" t="str">
        <f t="shared" si="21"/>
        <v>NC</v>
      </c>
      <c r="AA356" s="190" t="str">
        <f t="shared" si="20"/>
        <v>UTILIZOU O PDA CORRETAMENTE. NÃO HÁ FOTOS DE TODAS AS ETAPAS</v>
      </c>
      <c r="AB356" s="90"/>
      <c r="AC356" s="156" t="s">
        <v>36</v>
      </c>
      <c r="AD356" s="145" t="str">
        <f t="shared" si="22"/>
        <v>SÃO PAULO</v>
      </c>
      <c r="AE356" s="92" t="s">
        <v>79</v>
      </c>
    </row>
    <row r="357" spans="1:31" ht="30" customHeight="1">
      <c r="A357" s="161" t="s">
        <v>198</v>
      </c>
      <c r="B357" s="216">
        <v>2620381286</v>
      </c>
      <c r="C357" s="155" t="s">
        <v>1923</v>
      </c>
      <c r="D357" s="155" t="s">
        <v>79</v>
      </c>
      <c r="E357" s="155" t="s">
        <v>35</v>
      </c>
      <c r="F357" s="155" t="s">
        <v>2318</v>
      </c>
      <c r="G357" s="155">
        <v>43</v>
      </c>
      <c r="H357" s="155" t="s">
        <v>200</v>
      </c>
      <c r="I357" s="155" t="s">
        <v>596</v>
      </c>
      <c r="J357" s="155" t="s">
        <v>1915</v>
      </c>
      <c r="K357" s="155" t="s">
        <v>2319</v>
      </c>
      <c r="L357" s="155" t="s">
        <v>2320</v>
      </c>
      <c r="M357" s="155" t="s">
        <v>2321</v>
      </c>
      <c r="N357" s="155" t="s">
        <v>1944</v>
      </c>
      <c r="O357" s="152" t="s">
        <v>207</v>
      </c>
      <c r="P357" s="90"/>
      <c r="Q357" s="140" t="s">
        <v>214</v>
      </c>
      <c r="R357" s="90"/>
      <c r="S357" s="140" t="s">
        <v>214</v>
      </c>
      <c r="T357" s="90"/>
      <c r="U357" s="140" t="s">
        <v>214</v>
      </c>
      <c r="V357" s="90"/>
      <c r="W357" s="140" t="s">
        <v>207</v>
      </c>
      <c r="X357" s="90"/>
      <c r="Y357" s="140" t="s">
        <v>207</v>
      </c>
      <c r="Z357" s="177" t="str">
        <f t="shared" si="21"/>
        <v>NC</v>
      </c>
      <c r="AA357" s="190" t="str">
        <f t="shared" si="20"/>
        <v>UTILIZOU O PDA CORRETAMENTE. NÃO HÁ FOTOS DE TODAS AS ETAPAS</v>
      </c>
      <c r="AB357" s="90" t="s">
        <v>207</v>
      </c>
      <c r="AC357" s="156" t="s">
        <v>36</v>
      </c>
      <c r="AD357" s="145" t="str">
        <f t="shared" si="22"/>
        <v>SÃO PAULO</v>
      </c>
      <c r="AE357" s="92" t="s">
        <v>79</v>
      </c>
    </row>
    <row r="358" spans="1:31" ht="30" customHeight="1">
      <c r="A358" s="161" t="s">
        <v>198</v>
      </c>
      <c r="B358" s="216">
        <v>2620381441</v>
      </c>
      <c r="C358" s="155" t="s">
        <v>1923</v>
      </c>
      <c r="D358" s="155" t="s">
        <v>79</v>
      </c>
      <c r="E358" s="155" t="s">
        <v>35</v>
      </c>
      <c r="F358" s="155" t="s">
        <v>2322</v>
      </c>
      <c r="G358" s="155">
        <v>32</v>
      </c>
      <c r="H358" s="155" t="s">
        <v>200</v>
      </c>
      <c r="I358" s="155" t="s">
        <v>515</v>
      </c>
      <c r="J358" s="155" t="s">
        <v>1915</v>
      </c>
      <c r="K358" s="155" t="s">
        <v>2323</v>
      </c>
      <c r="L358" s="155" t="s">
        <v>2324</v>
      </c>
      <c r="M358" s="155" t="s">
        <v>2325</v>
      </c>
      <c r="N358" s="155" t="s">
        <v>1944</v>
      </c>
      <c r="O358" s="152" t="s">
        <v>207</v>
      </c>
      <c r="P358" s="90"/>
      <c r="Q358" s="140" t="s">
        <v>207</v>
      </c>
      <c r="R358" s="90"/>
      <c r="S358" s="140" t="s">
        <v>214</v>
      </c>
      <c r="T358" s="90"/>
      <c r="U358" s="140" t="s">
        <v>214</v>
      </c>
      <c r="V358" s="90"/>
      <c r="W358" s="140" t="s">
        <v>207</v>
      </c>
      <c r="X358" s="90"/>
      <c r="Y358" s="140" t="s">
        <v>207</v>
      </c>
      <c r="Z358" s="177" t="str">
        <f t="shared" si="21"/>
        <v>NC</v>
      </c>
      <c r="AA358" s="190" t="str">
        <f t="shared" si="20"/>
        <v>UTILIZOU O PDA CORRETAMENTE. NÃO HÁ FOTOS DE TODAS AS ETAPAS</v>
      </c>
      <c r="AB358" s="90" t="s">
        <v>207</v>
      </c>
      <c r="AC358" s="156" t="s">
        <v>36</v>
      </c>
      <c r="AD358" s="145" t="str">
        <f t="shared" si="22"/>
        <v>SÃO PAULO</v>
      </c>
      <c r="AE358" s="92" t="s">
        <v>79</v>
      </c>
    </row>
    <row r="359" spans="1:31" ht="30" customHeight="1">
      <c r="A359" s="161" t="s">
        <v>198</v>
      </c>
      <c r="B359" s="216">
        <v>2620381723</v>
      </c>
      <c r="C359" s="155" t="s">
        <v>1923</v>
      </c>
      <c r="D359" s="155" t="s">
        <v>79</v>
      </c>
      <c r="E359" s="155" t="s">
        <v>35</v>
      </c>
      <c r="F359" s="155" t="s">
        <v>1155</v>
      </c>
      <c r="G359" s="155">
        <v>650</v>
      </c>
      <c r="H359" s="155" t="s">
        <v>208</v>
      </c>
      <c r="I359" s="155" t="s">
        <v>395</v>
      </c>
      <c r="J359" s="155" t="s">
        <v>1915</v>
      </c>
      <c r="K359" s="155" t="s">
        <v>2326</v>
      </c>
      <c r="L359" s="155" t="s">
        <v>1676</v>
      </c>
      <c r="M359" s="155" t="s">
        <v>2327</v>
      </c>
      <c r="N359" s="155" t="s">
        <v>1919</v>
      </c>
      <c r="O359" s="152" t="s">
        <v>207</v>
      </c>
      <c r="P359" s="90"/>
      <c r="Q359" s="140" t="s">
        <v>207</v>
      </c>
      <c r="R359" s="90"/>
      <c r="S359" s="140" t="s">
        <v>214</v>
      </c>
      <c r="T359" s="90"/>
      <c r="U359" s="140" t="s">
        <v>207</v>
      </c>
      <c r="V359" s="90"/>
      <c r="W359" s="140" t="s">
        <v>215</v>
      </c>
      <c r="X359" s="90" t="s">
        <v>269</v>
      </c>
      <c r="Y359" s="140" t="s">
        <v>207</v>
      </c>
      <c r="Z359" s="177" t="str">
        <f t="shared" si="21"/>
        <v>NC</v>
      </c>
      <c r="AA359" s="190" t="str">
        <f t="shared" si="20"/>
        <v>UTILIZOU O PDA CORRETAMENTE. NÃO HÁ FOTOS DE TODAS AS ETAPAS</v>
      </c>
      <c r="AB359" s="90"/>
      <c r="AC359" s="156" t="s">
        <v>36</v>
      </c>
      <c r="AD359" s="145" t="str">
        <f t="shared" si="22"/>
        <v>SÃO PAULO</v>
      </c>
      <c r="AE359" s="92" t="s">
        <v>79</v>
      </c>
    </row>
    <row r="360" spans="1:31" ht="30" customHeight="1">
      <c r="A360" s="161" t="s">
        <v>198</v>
      </c>
      <c r="B360" s="216">
        <v>2620386527</v>
      </c>
      <c r="C360" s="155" t="s">
        <v>1923</v>
      </c>
      <c r="D360" s="155" t="s">
        <v>79</v>
      </c>
      <c r="E360" s="155" t="s">
        <v>35</v>
      </c>
      <c r="F360" s="155" t="s">
        <v>2328</v>
      </c>
      <c r="G360" s="155">
        <v>168</v>
      </c>
      <c r="H360" s="155" t="s">
        <v>200</v>
      </c>
      <c r="I360" s="155" t="s">
        <v>338</v>
      </c>
      <c r="J360" s="155" t="s">
        <v>1915</v>
      </c>
      <c r="K360" s="155" t="s">
        <v>200</v>
      </c>
      <c r="L360" s="155" t="s">
        <v>2329</v>
      </c>
      <c r="M360" s="155" t="s">
        <v>2330</v>
      </c>
      <c r="N360" s="155" t="s">
        <v>235</v>
      </c>
      <c r="O360" s="152" t="s">
        <v>77</v>
      </c>
      <c r="P360" s="90"/>
      <c r="Q360" s="140" t="s">
        <v>77</v>
      </c>
      <c r="R360" s="90"/>
      <c r="S360" s="140" t="s">
        <v>77</v>
      </c>
      <c r="T360" s="90"/>
      <c r="U360" s="140" t="s">
        <v>77</v>
      </c>
      <c r="V360" s="90"/>
      <c r="W360" s="140" t="s">
        <v>77</v>
      </c>
      <c r="X360" s="90"/>
      <c r="Y360" s="140" t="s">
        <v>77</v>
      </c>
      <c r="Z360" s="177" t="str">
        <f t="shared" si="21"/>
        <v>NA</v>
      </c>
      <c r="AA360" s="190" t="str">
        <f t="shared" si="20"/>
        <v>NÃO AVALIADO POR FALHA DE SINCRONISMO</v>
      </c>
      <c r="AB360" s="90" t="s">
        <v>207</v>
      </c>
      <c r="AC360" s="156" t="s">
        <v>36</v>
      </c>
      <c r="AD360" s="145" t="str">
        <f t="shared" si="22"/>
        <v>SÃO PAULO</v>
      </c>
      <c r="AE360" s="92" t="s">
        <v>79</v>
      </c>
    </row>
    <row r="361" spans="1:31" ht="30" customHeight="1">
      <c r="A361" s="176" t="s">
        <v>198</v>
      </c>
      <c r="B361" s="215">
        <v>2620003882</v>
      </c>
      <c r="C361" s="154" t="s">
        <v>150</v>
      </c>
      <c r="D361" s="154" t="s">
        <v>140</v>
      </c>
      <c r="E361" s="154" t="s">
        <v>35</v>
      </c>
      <c r="F361" s="154" t="s">
        <v>356</v>
      </c>
      <c r="G361" s="154">
        <v>105</v>
      </c>
      <c r="H361" s="154" t="s">
        <v>200</v>
      </c>
      <c r="I361" s="154" t="s">
        <v>357</v>
      </c>
      <c r="J361" s="154" t="s">
        <v>2051</v>
      </c>
      <c r="K361" s="154" t="s">
        <v>200</v>
      </c>
      <c r="L361" s="154" t="s">
        <v>2331</v>
      </c>
      <c r="M361" s="154" t="s">
        <v>2332</v>
      </c>
      <c r="N361" s="154" t="s">
        <v>251</v>
      </c>
      <c r="O361" s="152" t="s">
        <v>207</v>
      </c>
      <c r="P361" s="90"/>
      <c r="Q361" s="140" t="s">
        <v>207</v>
      </c>
      <c r="R361" s="90"/>
      <c r="S361" s="140" t="s">
        <v>214</v>
      </c>
      <c r="T361" s="90"/>
      <c r="U361" s="140" t="s">
        <v>207</v>
      </c>
      <c r="V361" s="90"/>
      <c r="W361" s="140" t="s">
        <v>207</v>
      </c>
      <c r="X361" s="90"/>
      <c r="Y361" s="140" t="s">
        <v>207</v>
      </c>
      <c r="Z361" s="177" t="str">
        <f t="shared" si="21"/>
        <v>NC</v>
      </c>
      <c r="AA361" s="190" t="str">
        <f t="shared" si="20"/>
        <v>UTILIZOU O PDA CORRETAMENTE. NÃO HÁ FOTOS DE TODAS AS ETAPAS</v>
      </c>
      <c r="AB361" s="90" t="s">
        <v>207</v>
      </c>
      <c r="AC361" s="156" t="s">
        <v>36</v>
      </c>
      <c r="AD361" s="145" t="str">
        <f t="shared" si="22"/>
        <v>SÃO PAULO</v>
      </c>
      <c r="AE361" s="92" t="s">
        <v>79</v>
      </c>
    </row>
    <row r="362" spans="1:31" ht="30" customHeight="1">
      <c r="A362" s="161" t="s">
        <v>198</v>
      </c>
      <c r="B362" s="216">
        <v>2693317267</v>
      </c>
      <c r="C362" s="155" t="s">
        <v>143</v>
      </c>
      <c r="D362" s="155" t="s">
        <v>79</v>
      </c>
      <c r="E362" s="155" t="s">
        <v>35</v>
      </c>
      <c r="F362" s="155" t="s">
        <v>2333</v>
      </c>
      <c r="G362" s="155">
        <v>45</v>
      </c>
      <c r="H362" s="155" t="s">
        <v>205</v>
      </c>
      <c r="I362" s="155" t="s">
        <v>271</v>
      </c>
      <c r="J362" s="155" t="s">
        <v>1918</v>
      </c>
      <c r="K362" s="155" t="s">
        <v>200</v>
      </c>
      <c r="L362" s="155" t="s">
        <v>2334</v>
      </c>
      <c r="M362" s="155" t="s">
        <v>2335</v>
      </c>
      <c r="N362" s="155" t="s">
        <v>1944</v>
      </c>
      <c r="O362" s="152" t="s">
        <v>215</v>
      </c>
      <c r="P362" s="90" t="s">
        <v>2336</v>
      </c>
      <c r="Q362" s="140" t="s">
        <v>207</v>
      </c>
      <c r="R362" s="90"/>
      <c r="S362" s="140" t="s">
        <v>207</v>
      </c>
      <c r="T362" s="90"/>
      <c r="U362" s="140" t="s">
        <v>207</v>
      </c>
      <c r="V362" s="90"/>
      <c r="W362" s="140" t="s">
        <v>207</v>
      </c>
      <c r="X362" s="90"/>
      <c r="Y362" s="140" t="s">
        <v>207</v>
      </c>
      <c r="Z362" s="177" t="str">
        <f t="shared" si="21"/>
        <v>NC</v>
      </c>
      <c r="AA362" s="190" t="str">
        <f t="shared" si="20"/>
        <v>UTILIZOU O PDA CORRETAMENTE. NÃO HÁ FOTOS DE TODAS AS ETAPAS</v>
      </c>
      <c r="AB362" s="90" t="s">
        <v>207</v>
      </c>
      <c r="AC362" s="156" t="s">
        <v>36</v>
      </c>
      <c r="AD362" s="145" t="str">
        <f t="shared" si="22"/>
        <v>SÃO PAULO</v>
      </c>
      <c r="AE362" s="92" t="s">
        <v>79</v>
      </c>
    </row>
    <row r="363" spans="1:31" ht="30" customHeight="1">
      <c r="A363" s="161" t="s">
        <v>198</v>
      </c>
      <c r="B363" s="216">
        <v>2693372412</v>
      </c>
      <c r="C363" s="155" t="s">
        <v>143</v>
      </c>
      <c r="D363" s="155" t="s">
        <v>79</v>
      </c>
      <c r="E363" s="155" t="s">
        <v>35</v>
      </c>
      <c r="F363" s="155" t="s">
        <v>2337</v>
      </c>
      <c r="G363" s="155">
        <v>171</v>
      </c>
      <c r="H363" s="155" t="s">
        <v>205</v>
      </c>
      <c r="I363" s="155" t="s">
        <v>567</v>
      </c>
      <c r="J363" s="155" t="s">
        <v>1915</v>
      </c>
      <c r="K363" s="155" t="s">
        <v>200</v>
      </c>
      <c r="L363" s="155" t="s">
        <v>2338</v>
      </c>
      <c r="M363" s="155" t="s">
        <v>2332</v>
      </c>
      <c r="N363" s="155" t="s">
        <v>1931</v>
      </c>
      <c r="O363" s="152" t="s">
        <v>207</v>
      </c>
      <c r="P363" s="90"/>
      <c r="Q363" s="140" t="s">
        <v>207</v>
      </c>
      <c r="R363" s="90"/>
      <c r="S363" s="140" t="s">
        <v>214</v>
      </c>
      <c r="T363" s="90"/>
      <c r="U363" s="140" t="s">
        <v>214</v>
      </c>
      <c r="V363" s="90"/>
      <c r="W363" s="140" t="s">
        <v>207</v>
      </c>
      <c r="X363" s="90"/>
      <c r="Y363" s="140" t="s">
        <v>207</v>
      </c>
      <c r="Z363" s="177" t="str">
        <f t="shared" si="21"/>
        <v>NC</v>
      </c>
      <c r="AA363" s="190" t="str">
        <f t="shared" si="20"/>
        <v>UTILIZOU O PDA CORRETAMENTE. NÃO HÁ FOTOS DE TODAS AS ETAPAS</v>
      </c>
      <c r="AB363" s="90" t="s">
        <v>207</v>
      </c>
      <c r="AC363" s="156" t="s">
        <v>36</v>
      </c>
      <c r="AD363" s="145" t="str">
        <f t="shared" si="22"/>
        <v>SÃO PAULO</v>
      </c>
      <c r="AE363" s="92" t="s">
        <v>79</v>
      </c>
    </row>
    <row r="364" spans="1:31" ht="30" customHeight="1">
      <c r="A364" s="161" t="s">
        <v>198</v>
      </c>
      <c r="B364" s="216">
        <v>2620346562</v>
      </c>
      <c r="C364" s="155" t="s">
        <v>1923</v>
      </c>
      <c r="D364" s="155" t="s">
        <v>79</v>
      </c>
      <c r="E364" s="155" t="s">
        <v>35</v>
      </c>
      <c r="F364" s="155" t="s">
        <v>2339</v>
      </c>
      <c r="G364" s="155">
        <v>158</v>
      </c>
      <c r="H364" s="155" t="s">
        <v>200</v>
      </c>
      <c r="I364" s="155" t="s">
        <v>290</v>
      </c>
      <c r="J364" s="155" t="s">
        <v>1915</v>
      </c>
      <c r="K364" s="155" t="s">
        <v>200</v>
      </c>
      <c r="L364" s="155" t="s">
        <v>2340</v>
      </c>
      <c r="M364" s="155" t="s">
        <v>2341</v>
      </c>
      <c r="N364" s="155" t="s">
        <v>390</v>
      </c>
      <c r="O364" s="152" t="s">
        <v>207</v>
      </c>
      <c r="P364" s="90"/>
      <c r="Q364" s="140" t="s">
        <v>207</v>
      </c>
      <c r="R364" s="90"/>
      <c r="S364" s="140" t="s">
        <v>207</v>
      </c>
      <c r="T364" s="90"/>
      <c r="U364" s="140" t="s">
        <v>207</v>
      </c>
      <c r="V364" s="90"/>
      <c r="W364" s="140" t="s">
        <v>207</v>
      </c>
      <c r="X364" s="90"/>
      <c r="Y364" s="140" t="s">
        <v>207</v>
      </c>
      <c r="Z364" s="177" t="str">
        <f t="shared" si="21"/>
        <v>C</v>
      </c>
      <c r="AA364" s="190" t="str">
        <f t="shared" si="20"/>
        <v>UTILIZOU O PDA CORRETAMENTE</v>
      </c>
      <c r="AB364" s="90" t="s">
        <v>207</v>
      </c>
      <c r="AC364" s="156" t="s">
        <v>36</v>
      </c>
      <c r="AD364" s="145" t="str">
        <f t="shared" si="22"/>
        <v>SÃO PAULO</v>
      </c>
      <c r="AE364" s="92" t="s">
        <v>79</v>
      </c>
    </row>
    <row r="365" spans="1:31" ht="30" customHeight="1">
      <c r="A365" s="161" t="s">
        <v>198</v>
      </c>
      <c r="B365" s="216">
        <v>2620393533</v>
      </c>
      <c r="C365" s="155" t="s">
        <v>1923</v>
      </c>
      <c r="D365" s="155" t="s">
        <v>79</v>
      </c>
      <c r="E365" s="155" t="s">
        <v>35</v>
      </c>
      <c r="F365" s="155" t="s">
        <v>1926</v>
      </c>
      <c r="G365" s="155">
        <v>5</v>
      </c>
      <c r="H365" s="155" t="s">
        <v>208</v>
      </c>
      <c r="I365" s="155" t="s">
        <v>319</v>
      </c>
      <c r="J365" s="155" t="s">
        <v>1915</v>
      </c>
      <c r="K365" s="155" t="s">
        <v>200</v>
      </c>
      <c r="L365" s="155" t="s">
        <v>2342</v>
      </c>
      <c r="M365" s="155" t="s">
        <v>993</v>
      </c>
      <c r="N365" s="155" t="s">
        <v>1916</v>
      </c>
      <c r="O365" s="152" t="s">
        <v>207</v>
      </c>
      <c r="P365" s="90"/>
      <c r="Q365" s="140" t="s">
        <v>207</v>
      </c>
      <c r="R365" s="90"/>
      <c r="S365" s="140" t="s">
        <v>214</v>
      </c>
      <c r="T365" s="90"/>
      <c r="U365" s="140" t="s">
        <v>214</v>
      </c>
      <c r="V365" s="90"/>
      <c r="W365" s="140" t="s">
        <v>207</v>
      </c>
      <c r="X365" s="90"/>
      <c r="Y365" s="140" t="s">
        <v>207</v>
      </c>
      <c r="Z365" s="177" t="str">
        <f t="shared" si="21"/>
        <v>NC</v>
      </c>
      <c r="AA365" s="190" t="str">
        <f t="shared" si="20"/>
        <v>UTILIZOU O PDA CORRETAMENTE. NÃO HÁ FOTOS DE TODAS AS ETAPAS</v>
      </c>
      <c r="AB365" s="90" t="s">
        <v>207</v>
      </c>
      <c r="AC365" s="156" t="s">
        <v>36</v>
      </c>
      <c r="AD365" s="145" t="str">
        <f t="shared" si="22"/>
        <v>SÃO PAULO</v>
      </c>
      <c r="AE365" s="92" t="s">
        <v>79</v>
      </c>
    </row>
    <row r="366" spans="1:31" ht="30" customHeight="1">
      <c r="A366" s="161" t="s">
        <v>198</v>
      </c>
      <c r="B366" s="216">
        <v>2620235752</v>
      </c>
      <c r="C366" s="155" t="s">
        <v>151</v>
      </c>
      <c r="D366" s="155" t="s">
        <v>140</v>
      </c>
      <c r="E366" s="155" t="s">
        <v>35</v>
      </c>
      <c r="F366" s="155" t="s">
        <v>563</v>
      </c>
      <c r="G366" s="155">
        <v>2968</v>
      </c>
      <c r="H366" s="155" t="s">
        <v>208</v>
      </c>
      <c r="I366" s="155" t="s">
        <v>234</v>
      </c>
      <c r="J366" s="155" t="s">
        <v>1966</v>
      </c>
      <c r="K366" s="155" t="s">
        <v>200</v>
      </c>
      <c r="L366" s="155" t="s">
        <v>2343</v>
      </c>
      <c r="M366" s="155" t="s">
        <v>959</v>
      </c>
      <c r="N366" s="155" t="s">
        <v>232</v>
      </c>
      <c r="O366" s="152" t="s">
        <v>77</v>
      </c>
      <c r="P366" s="90"/>
      <c r="Q366" s="140" t="s">
        <v>77</v>
      </c>
      <c r="R366" s="90"/>
      <c r="S366" s="140" t="s">
        <v>77</v>
      </c>
      <c r="T366" s="90"/>
      <c r="U366" s="140" t="s">
        <v>77</v>
      </c>
      <c r="V366" s="90"/>
      <c r="W366" s="140" t="s">
        <v>77</v>
      </c>
      <c r="X366" s="90"/>
      <c r="Y366" s="140" t="s">
        <v>77</v>
      </c>
      <c r="Z366" s="177" t="str">
        <f t="shared" si="21"/>
        <v>NA</v>
      </c>
      <c r="AA366" s="190" t="str">
        <f t="shared" si="20"/>
        <v>NÃO AVALIADO POR FALHA DE SINCRONISMO</v>
      </c>
      <c r="AB366" s="90" t="s">
        <v>207</v>
      </c>
      <c r="AC366" s="156" t="s">
        <v>36</v>
      </c>
      <c r="AD366" s="145" t="str">
        <f t="shared" si="22"/>
        <v>SÃO PAULO</v>
      </c>
      <c r="AE366" s="92" t="s">
        <v>79</v>
      </c>
    </row>
    <row r="367" spans="1:31" ht="30" customHeight="1">
      <c r="A367" s="161" t="s">
        <v>198</v>
      </c>
      <c r="B367" s="216">
        <v>2620389871</v>
      </c>
      <c r="C367" s="155" t="s">
        <v>143</v>
      </c>
      <c r="D367" s="155" t="s">
        <v>79</v>
      </c>
      <c r="E367" s="155" t="s">
        <v>35</v>
      </c>
      <c r="F367" s="155" t="s">
        <v>2344</v>
      </c>
      <c r="G367" s="155">
        <v>283</v>
      </c>
      <c r="H367" s="155" t="s">
        <v>208</v>
      </c>
      <c r="I367" s="155" t="s">
        <v>567</v>
      </c>
      <c r="J367" s="155" t="s">
        <v>1915</v>
      </c>
      <c r="K367" s="155" t="s">
        <v>200</v>
      </c>
      <c r="L367" s="155" t="s">
        <v>2345</v>
      </c>
      <c r="M367" s="155" t="s">
        <v>2345</v>
      </c>
      <c r="N367" s="155" t="s">
        <v>1931</v>
      </c>
      <c r="O367" s="152" t="s">
        <v>207</v>
      </c>
      <c r="P367" s="90"/>
      <c r="Q367" s="140" t="s">
        <v>214</v>
      </c>
      <c r="R367" s="90"/>
      <c r="S367" s="140" t="s">
        <v>214</v>
      </c>
      <c r="T367" s="90"/>
      <c r="U367" s="140" t="s">
        <v>214</v>
      </c>
      <c r="V367" s="90"/>
      <c r="W367" s="140" t="s">
        <v>207</v>
      </c>
      <c r="X367" s="90"/>
      <c r="Y367" s="140" t="s">
        <v>207</v>
      </c>
      <c r="Z367" s="177" t="str">
        <f t="shared" si="21"/>
        <v>NC</v>
      </c>
      <c r="AA367" s="190" t="str">
        <f t="shared" si="20"/>
        <v>UTILIZOU O PDA CORRETAMENTE. NÃO HÁ FOTOS DE TODAS AS ETAPAS</v>
      </c>
      <c r="AB367" s="90" t="s">
        <v>207</v>
      </c>
      <c r="AC367" s="156" t="s">
        <v>36</v>
      </c>
      <c r="AD367" s="145" t="str">
        <f t="shared" si="22"/>
        <v>SÃO PAULO</v>
      </c>
      <c r="AE367" s="92" t="s">
        <v>79</v>
      </c>
    </row>
    <row r="368" spans="1:31" ht="30" customHeight="1">
      <c r="A368" s="161" t="s">
        <v>198</v>
      </c>
      <c r="B368" s="216">
        <v>2620345734</v>
      </c>
      <c r="C368" s="155" t="s">
        <v>144</v>
      </c>
      <c r="D368" s="155" t="s">
        <v>140</v>
      </c>
      <c r="E368" s="155" t="s">
        <v>35</v>
      </c>
      <c r="F368" s="155" t="s">
        <v>2346</v>
      </c>
      <c r="G368" s="155">
        <v>200</v>
      </c>
      <c r="H368" s="155" t="s">
        <v>325</v>
      </c>
      <c r="I368" s="155" t="s">
        <v>1188</v>
      </c>
      <c r="J368" s="155" t="s">
        <v>1954</v>
      </c>
      <c r="K368" s="155" t="s">
        <v>200</v>
      </c>
      <c r="L368" s="155" t="s">
        <v>2347</v>
      </c>
      <c r="M368" s="155" t="s">
        <v>2348</v>
      </c>
      <c r="N368" s="155" t="s">
        <v>1931</v>
      </c>
      <c r="O368" s="152" t="s">
        <v>207</v>
      </c>
      <c r="P368" s="90"/>
      <c r="Q368" s="140" t="s">
        <v>207</v>
      </c>
      <c r="R368" s="90"/>
      <c r="S368" s="140" t="s">
        <v>214</v>
      </c>
      <c r="T368" s="90"/>
      <c r="U368" s="140" t="s">
        <v>214</v>
      </c>
      <c r="V368" s="90"/>
      <c r="W368" s="140" t="s">
        <v>207</v>
      </c>
      <c r="X368" s="90"/>
      <c r="Y368" s="140" t="s">
        <v>207</v>
      </c>
      <c r="Z368" s="177" t="str">
        <f t="shared" si="21"/>
        <v>NC</v>
      </c>
      <c r="AA368" s="190" t="str">
        <f t="shared" si="20"/>
        <v>UTILIZOU O PDA CORRETAMENTE. NÃO HÁ FOTOS DE TODAS AS ETAPAS</v>
      </c>
      <c r="AB368" s="90" t="s">
        <v>207</v>
      </c>
      <c r="AC368" s="156" t="s">
        <v>36</v>
      </c>
      <c r="AD368" s="145" t="str">
        <f t="shared" si="22"/>
        <v>SÃO PAULO</v>
      </c>
      <c r="AE368" s="92" t="s">
        <v>79</v>
      </c>
    </row>
    <row r="369" spans="1:31" ht="30" customHeight="1">
      <c r="A369" s="161" t="s">
        <v>198</v>
      </c>
      <c r="B369" s="216">
        <v>2693371233</v>
      </c>
      <c r="C369" s="155" t="s">
        <v>146</v>
      </c>
      <c r="D369" s="155" t="s">
        <v>79</v>
      </c>
      <c r="E369" s="155" t="s">
        <v>35</v>
      </c>
      <c r="F369" s="155" t="s">
        <v>1881</v>
      </c>
      <c r="G369" s="155">
        <v>846</v>
      </c>
      <c r="H369" s="155" t="s">
        <v>200</v>
      </c>
      <c r="I369" s="155" t="s">
        <v>300</v>
      </c>
      <c r="J369" s="155" t="s">
        <v>1915</v>
      </c>
      <c r="K369" s="155" t="s">
        <v>200</v>
      </c>
      <c r="L369" s="155" t="s">
        <v>2349</v>
      </c>
      <c r="M369" s="155" t="s">
        <v>1058</v>
      </c>
      <c r="N369" s="155" t="s">
        <v>390</v>
      </c>
      <c r="O369" s="152" t="s">
        <v>207</v>
      </c>
      <c r="P369" s="90"/>
      <c r="Q369" s="140" t="s">
        <v>207</v>
      </c>
      <c r="R369" s="90"/>
      <c r="S369" s="140" t="s">
        <v>214</v>
      </c>
      <c r="T369" s="90"/>
      <c r="U369" s="140" t="s">
        <v>207</v>
      </c>
      <c r="V369" s="90"/>
      <c r="W369" s="140" t="s">
        <v>207</v>
      </c>
      <c r="X369" s="90"/>
      <c r="Y369" s="140" t="s">
        <v>207</v>
      </c>
      <c r="Z369" s="177" t="str">
        <f t="shared" si="21"/>
        <v>NC</v>
      </c>
      <c r="AA369" s="190" t="str">
        <f t="shared" si="20"/>
        <v>UTILIZOU O PDA CORRETAMENTE. NÃO HÁ FOTOS DE TODAS AS ETAPAS</v>
      </c>
      <c r="AB369" s="90" t="s">
        <v>207</v>
      </c>
      <c r="AC369" s="156" t="s">
        <v>36</v>
      </c>
      <c r="AD369" s="145" t="str">
        <f t="shared" si="22"/>
        <v>SÃO PAULO</v>
      </c>
      <c r="AE369" s="92" t="s">
        <v>79</v>
      </c>
    </row>
    <row r="370" spans="1:31" ht="30" customHeight="1">
      <c r="A370" s="161" t="s">
        <v>198</v>
      </c>
      <c r="B370" s="216">
        <v>2620350043</v>
      </c>
      <c r="C370" s="155" t="s">
        <v>149</v>
      </c>
      <c r="D370" s="155" t="s">
        <v>140</v>
      </c>
      <c r="E370" s="155" t="s">
        <v>35</v>
      </c>
      <c r="F370" s="155" t="s">
        <v>2350</v>
      </c>
      <c r="G370" s="155">
        <v>22</v>
      </c>
      <c r="H370" s="155" t="s">
        <v>208</v>
      </c>
      <c r="I370" s="155" t="s">
        <v>873</v>
      </c>
      <c r="J370" s="155" t="s">
        <v>1918</v>
      </c>
      <c r="K370" s="155" t="s">
        <v>200</v>
      </c>
      <c r="L370" s="155" t="s">
        <v>2351</v>
      </c>
      <c r="M370" s="155" t="s">
        <v>2352</v>
      </c>
      <c r="N370" s="155" t="s">
        <v>1916</v>
      </c>
      <c r="O370" s="152" t="s">
        <v>214</v>
      </c>
      <c r="P370" s="90"/>
      <c r="Q370" s="140" t="s">
        <v>207</v>
      </c>
      <c r="R370" s="90"/>
      <c r="S370" s="140" t="s">
        <v>207</v>
      </c>
      <c r="T370" s="90"/>
      <c r="U370" s="140" t="s">
        <v>207</v>
      </c>
      <c r="V370" s="90"/>
      <c r="W370" s="140" t="s">
        <v>215</v>
      </c>
      <c r="X370" s="90" t="s">
        <v>269</v>
      </c>
      <c r="Y370" s="140" t="s">
        <v>207</v>
      </c>
      <c r="Z370" s="177" t="str">
        <f t="shared" si="21"/>
        <v>NC</v>
      </c>
      <c r="AA370" s="190" t="str">
        <f t="shared" si="20"/>
        <v>UTILIZOU O PDA CORRETAMENTE. NÃO HÁ FOTOS DE TODAS AS ETAPAS</v>
      </c>
      <c r="AB370" s="90"/>
      <c r="AC370" s="156" t="s">
        <v>36</v>
      </c>
      <c r="AD370" s="145" t="str">
        <f t="shared" si="22"/>
        <v>SÃO PAULO</v>
      </c>
      <c r="AE370" s="92" t="s">
        <v>79</v>
      </c>
    </row>
    <row r="371" spans="1:31" ht="30" customHeight="1">
      <c r="A371" s="161" t="s">
        <v>198</v>
      </c>
      <c r="B371" s="216">
        <v>2620328152</v>
      </c>
      <c r="C371" s="155" t="s">
        <v>1923</v>
      </c>
      <c r="D371" s="155" t="s">
        <v>79</v>
      </c>
      <c r="E371" s="155" t="s">
        <v>35</v>
      </c>
      <c r="F371" s="155" t="s">
        <v>2353</v>
      </c>
      <c r="G371" s="155">
        <v>390</v>
      </c>
      <c r="H371" s="155" t="s">
        <v>208</v>
      </c>
      <c r="I371" s="155" t="s">
        <v>392</v>
      </c>
      <c r="J371" s="155" t="s">
        <v>1915</v>
      </c>
      <c r="K371" s="155" t="s">
        <v>200</v>
      </c>
      <c r="L371" s="155" t="s">
        <v>2354</v>
      </c>
      <c r="M371" s="155" t="s">
        <v>2355</v>
      </c>
      <c r="N371" s="155" t="s">
        <v>1933</v>
      </c>
      <c r="O371" s="152" t="s">
        <v>207</v>
      </c>
      <c r="P371" s="90"/>
      <c r="Q371" s="140" t="s">
        <v>207</v>
      </c>
      <c r="R371" s="90"/>
      <c r="S371" s="140" t="s">
        <v>207</v>
      </c>
      <c r="T371" s="90"/>
      <c r="U371" s="140" t="s">
        <v>207</v>
      </c>
      <c r="V371" s="90"/>
      <c r="W371" s="140" t="s">
        <v>207</v>
      </c>
      <c r="X371" s="90"/>
      <c r="Y371" s="140" t="s">
        <v>207</v>
      </c>
      <c r="Z371" s="177" t="str">
        <f t="shared" si="21"/>
        <v>C</v>
      </c>
      <c r="AA371" s="190" t="str">
        <f t="shared" si="20"/>
        <v>UTILIZOU O PDA CORRETAMENTE</v>
      </c>
      <c r="AB371" s="90" t="s">
        <v>207</v>
      </c>
      <c r="AC371" s="156" t="s">
        <v>36</v>
      </c>
      <c r="AD371" s="145" t="str">
        <f t="shared" si="22"/>
        <v>SÃO PAULO</v>
      </c>
      <c r="AE371" s="92" t="s">
        <v>79</v>
      </c>
    </row>
    <row r="372" spans="1:31" ht="30" customHeight="1">
      <c r="A372" s="161" t="s">
        <v>198</v>
      </c>
      <c r="B372" s="216">
        <v>2620565918</v>
      </c>
      <c r="C372" s="155" t="s">
        <v>1923</v>
      </c>
      <c r="D372" s="155" t="s">
        <v>79</v>
      </c>
      <c r="E372" s="155" t="s">
        <v>35</v>
      </c>
      <c r="F372" s="155" t="s">
        <v>405</v>
      </c>
      <c r="G372" s="155">
        <v>935</v>
      </c>
      <c r="H372" s="155" t="s">
        <v>200</v>
      </c>
      <c r="I372" s="155" t="s">
        <v>211</v>
      </c>
      <c r="J372" s="155" t="s">
        <v>1915</v>
      </c>
      <c r="K372" s="155" t="s">
        <v>200</v>
      </c>
      <c r="L372" s="155" t="s">
        <v>2356</v>
      </c>
      <c r="M372" s="155" t="s">
        <v>2357</v>
      </c>
      <c r="N372" s="155" t="s">
        <v>1925</v>
      </c>
      <c r="O372" s="152" t="s">
        <v>207</v>
      </c>
      <c r="P372" s="90"/>
      <c r="Q372" s="140" t="s">
        <v>207</v>
      </c>
      <c r="R372" s="90"/>
      <c r="S372" s="140" t="s">
        <v>214</v>
      </c>
      <c r="T372" s="90"/>
      <c r="U372" s="140" t="s">
        <v>214</v>
      </c>
      <c r="V372" s="90"/>
      <c r="W372" s="140" t="s">
        <v>207</v>
      </c>
      <c r="X372" s="90"/>
      <c r="Y372" s="140" t="s">
        <v>207</v>
      </c>
      <c r="Z372" s="177" t="str">
        <f t="shared" si="21"/>
        <v>NC</v>
      </c>
      <c r="AA372" s="190" t="str">
        <f t="shared" si="20"/>
        <v>UTILIZOU O PDA CORRETAMENTE. NÃO HÁ FOTOS DE TODAS AS ETAPAS</v>
      </c>
      <c r="AB372" s="90" t="s">
        <v>207</v>
      </c>
      <c r="AC372" s="156" t="s">
        <v>36</v>
      </c>
      <c r="AD372" s="145" t="str">
        <f t="shared" si="22"/>
        <v>SÃO PAULO</v>
      </c>
      <c r="AE372" s="92" t="s">
        <v>79</v>
      </c>
    </row>
    <row r="373" spans="1:31" ht="30" customHeight="1">
      <c r="A373" s="161" t="s">
        <v>198</v>
      </c>
      <c r="B373" s="216">
        <v>2620566044</v>
      </c>
      <c r="C373" s="155" t="s">
        <v>1923</v>
      </c>
      <c r="D373" s="155" t="s">
        <v>79</v>
      </c>
      <c r="E373" s="155" t="s">
        <v>35</v>
      </c>
      <c r="F373" s="155" t="s">
        <v>2358</v>
      </c>
      <c r="G373" s="155">
        <v>26</v>
      </c>
      <c r="H373" s="155" t="s">
        <v>401</v>
      </c>
      <c r="I373" s="155" t="s">
        <v>701</v>
      </c>
      <c r="J373" s="155" t="s">
        <v>1915</v>
      </c>
      <c r="K373" s="155" t="s">
        <v>200</v>
      </c>
      <c r="L373" s="155" t="s">
        <v>2359</v>
      </c>
      <c r="M373" s="155" t="s">
        <v>2360</v>
      </c>
      <c r="N373" s="155" t="s">
        <v>1919</v>
      </c>
      <c r="O373" s="152" t="s">
        <v>207</v>
      </c>
      <c r="P373" s="90"/>
      <c r="Q373" s="140" t="s">
        <v>207</v>
      </c>
      <c r="R373" s="90"/>
      <c r="S373" s="140" t="s">
        <v>207</v>
      </c>
      <c r="T373" s="90"/>
      <c r="U373" s="140" t="s">
        <v>207</v>
      </c>
      <c r="V373" s="90"/>
      <c r="W373" s="140" t="s">
        <v>214</v>
      </c>
      <c r="X373" s="90"/>
      <c r="Y373" s="140" t="s">
        <v>207</v>
      </c>
      <c r="Z373" s="177" t="str">
        <f t="shared" si="21"/>
        <v>NC</v>
      </c>
      <c r="AA373" s="190" t="str">
        <f t="shared" si="20"/>
        <v>UTILIZOU O PDA CORRETAMENTE. NÃO HÁ FOTOS DE TODAS AS ETAPAS</v>
      </c>
      <c r="AB373" s="90"/>
      <c r="AC373" s="156" t="s">
        <v>36</v>
      </c>
      <c r="AD373" s="145" t="str">
        <f t="shared" si="22"/>
        <v>SÃO PAULO</v>
      </c>
      <c r="AE373" s="92" t="s">
        <v>79</v>
      </c>
    </row>
    <row r="374" spans="1:31" ht="30" customHeight="1">
      <c r="A374" s="161" t="s">
        <v>198</v>
      </c>
      <c r="B374" s="216">
        <v>2620568061</v>
      </c>
      <c r="C374" s="155" t="s">
        <v>1923</v>
      </c>
      <c r="D374" s="155" t="s">
        <v>79</v>
      </c>
      <c r="E374" s="155" t="s">
        <v>35</v>
      </c>
      <c r="F374" s="155" t="s">
        <v>2361</v>
      </c>
      <c r="G374" s="155">
        <v>84</v>
      </c>
      <c r="H374" s="155" t="s">
        <v>205</v>
      </c>
      <c r="I374" s="155" t="s">
        <v>225</v>
      </c>
      <c r="J374" s="155" t="s">
        <v>1915</v>
      </c>
      <c r="K374" s="155" t="s">
        <v>200</v>
      </c>
      <c r="L374" s="155" t="s">
        <v>2362</v>
      </c>
      <c r="M374" s="155" t="s">
        <v>2362</v>
      </c>
      <c r="N374" s="155" t="s">
        <v>1916</v>
      </c>
      <c r="O374" s="152" t="s">
        <v>207</v>
      </c>
      <c r="P374" s="90"/>
      <c r="Q374" s="140" t="s">
        <v>207</v>
      </c>
      <c r="R374" s="90"/>
      <c r="S374" s="140" t="s">
        <v>214</v>
      </c>
      <c r="T374" s="90"/>
      <c r="U374" s="140" t="s">
        <v>214</v>
      </c>
      <c r="V374" s="90"/>
      <c r="W374" s="140" t="s">
        <v>214</v>
      </c>
      <c r="X374" s="90"/>
      <c r="Y374" s="140" t="s">
        <v>207</v>
      </c>
      <c r="Z374" s="177" t="str">
        <f t="shared" si="21"/>
        <v>NC</v>
      </c>
      <c r="AA374" s="190" t="str">
        <f t="shared" si="20"/>
        <v>UTILIZOU O PDA CORRETAMENTE. NÃO HÁ FOTOS DE TODAS AS ETAPAS</v>
      </c>
      <c r="AB374" s="90"/>
      <c r="AC374" s="156" t="s">
        <v>36</v>
      </c>
      <c r="AD374" s="145" t="str">
        <f t="shared" si="22"/>
        <v>SÃO PAULO</v>
      </c>
      <c r="AE374" s="92" t="s">
        <v>79</v>
      </c>
    </row>
    <row r="375" spans="1:31" ht="30" customHeight="1">
      <c r="A375" s="161" t="s">
        <v>198</v>
      </c>
      <c r="B375" s="216">
        <v>2620568581</v>
      </c>
      <c r="C375" s="155" t="s">
        <v>1923</v>
      </c>
      <c r="D375" s="155" t="s">
        <v>79</v>
      </c>
      <c r="E375" s="155" t="s">
        <v>35</v>
      </c>
      <c r="F375" s="155" t="s">
        <v>2025</v>
      </c>
      <c r="G375" s="155">
        <v>37</v>
      </c>
      <c r="H375" s="155" t="s">
        <v>208</v>
      </c>
      <c r="I375" s="155" t="s">
        <v>1035</v>
      </c>
      <c r="J375" s="155" t="s">
        <v>1915</v>
      </c>
      <c r="K375" s="155" t="s">
        <v>200</v>
      </c>
      <c r="L375" s="155" t="s">
        <v>1710</v>
      </c>
      <c r="M375" s="155" t="s">
        <v>2363</v>
      </c>
      <c r="N375" s="155" t="s">
        <v>1916</v>
      </c>
      <c r="O375" s="152" t="s">
        <v>207</v>
      </c>
      <c r="P375" s="90"/>
      <c r="Q375" s="140" t="s">
        <v>207</v>
      </c>
      <c r="R375" s="90"/>
      <c r="S375" s="140" t="s">
        <v>214</v>
      </c>
      <c r="T375" s="90"/>
      <c r="U375" s="140" t="s">
        <v>214</v>
      </c>
      <c r="V375" s="90"/>
      <c r="W375" s="140" t="s">
        <v>214</v>
      </c>
      <c r="X375" s="90"/>
      <c r="Y375" s="140" t="s">
        <v>207</v>
      </c>
      <c r="Z375" s="177" t="str">
        <f t="shared" si="21"/>
        <v>NC</v>
      </c>
      <c r="AA375" s="190" t="str">
        <f t="shared" si="20"/>
        <v>UTILIZOU O PDA CORRETAMENTE. NÃO HÁ FOTOS DE TODAS AS ETAPAS</v>
      </c>
      <c r="AB375" s="90" t="s">
        <v>207</v>
      </c>
      <c r="AC375" s="156" t="s">
        <v>36</v>
      </c>
      <c r="AD375" s="145" t="str">
        <f t="shared" si="22"/>
        <v>SÃO PAULO</v>
      </c>
      <c r="AE375" s="92" t="s">
        <v>79</v>
      </c>
    </row>
    <row r="376" spans="1:31" ht="30" customHeight="1">
      <c r="A376" s="161" t="s">
        <v>198</v>
      </c>
      <c r="B376" s="216">
        <v>2620343455</v>
      </c>
      <c r="C376" s="155" t="s">
        <v>1923</v>
      </c>
      <c r="D376" s="155" t="s">
        <v>79</v>
      </c>
      <c r="E376" s="155" t="s">
        <v>35</v>
      </c>
      <c r="F376" s="155" t="s">
        <v>1976</v>
      </c>
      <c r="G376" s="155">
        <v>62</v>
      </c>
      <c r="H376" s="155" t="s">
        <v>200</v>
      </c>
      <c r="I376" s="155" t="s">
        <v>373</v>
      </c>
      <c r="J376" s="155" t="s">
        <v>1915</v>
      </c>
      <c r="K376" s="155" t="s">
        <v>200</v>
      </c>
      <c r="L376" s="155" t="s">
        <v>2334</v>
      </c>
      <c r="M376" s="155" t="s">
        <v>2364</v>
      </c>
      <c r="N376" s="155" t="s">
        <v>1916</v>
      </c>
      <c r="O376" s="152" t="s">
        <v>77</v>
      </c>
      <c r="P376" s="90"/>
      <c r="Q376" s="140" t="s">
        <v>77</v>
      </c>
      <c r="R376" s="90"/>
      <c r="S376" s="140" t="s">
        <v>77</v>
      </c>
      <c r="T376" s="90"/>
      <c r="U376" s="140" t="s">
        <v>77</v>
      </c>
      <c r="V376" s="90"/>
      <c r="W376" s="140" t="s">
        <v>77</v>
      </c>
      <c r="X376" s="90"/>
      <c r="Y376" s="140" t="s">
        <v>77</v>
      </c>
      <c r="Z376" s="177" t="str">
        <f t="shared" si="21"/>
        <v>NA</v>
      </c>
      <c r="AA376" s="190" t="str">
        <f t="shared" si="20"/>
        <v>NÃO AVALIADO POR FALHA DE SINCRONISMO</v>
      </c>
      <c r="AB376" s="90"/>
      <c r="AC376" s="156" t="s">
        <v>36</v>
      </c>
      <c r="AD376" s="145" t="str">
        <f t="shared" si="22"/>
        <v>SÃO PAULO</v>
      </c>
      <c r="AE376" s="92" t="s">
        <v>79</v>
      </c>
    </row>
    <row r="377" spans="1:31" ht="30" customHeight="1">
      <c r="A377" s="161" t="s">
        <v>198</v>
      </c>
      <c r="B377" s="216">
        <v>2620577338</v>
      </c>
      <c r="C377" s="155" t="s">
        <v>1923</v>
      </c>
      <c r="D377" s="155" t="s">
        <v>79</v>
      </c>
      <c r="E377" s="155" t="s">
        <v>35</v>
      </c>
      <c r="F377" s="155" t="s">
        <v>2365</v>
      </c>
      <c r="G377" s="155">
        <v>3</v>
      </c>
      <c r="H377" s="155" t="s">
        <v>200</v>
      </c>
      <c r="I377" s="155" t="s">
        <v>376</v>
      </c>
      <c r="J377" s="155" t="s">
        <v>1915</v>
      </c>
      <c r="K377" s="155" t="s">
        <v>200</v>
      </c>
      <c r="L377" s="155" t="s">
        <v>2366</v>
      </c>
      <c r="M377" s="155" t="s">
        <v>2367</v>
      </c>
      <c r="N377" s="155" t="s">
        <v>390</v>
      </c>
      <c r="O377" s="152" t="s">
        <v>207</v>
      </c>
      <c r="P377" s="90"/>
      <c r="Q377" s="140" t="s">
        <v>214</v>
      </c>
      <c r="R377" s="90"/>
      <c r="S377" s="140" t="s">
        <v>214</v>
      </c>
      <c r="T377" s="90"/>
      <c r="U377" s="140" t="s">
        <v>214</v>
      </c>
      <c r="V377" s="90"/>
      <c r="W377" s="140" t="s">
        <v>207</v>
      </c>
      <c r="X377" s="90"/>
      <c r="Y377" s="140" t="s">
        <v>207</v>
      </c>
      <c r="Z377" s="177" t="str">
        <f t="shared" si="21"/>
        <v>NC</v>
      </c>
      <c r="AA377" s="190" t="str">
        <f t="shared" si="20"/>
        <v>UTILIZOU O PDA CORRETAMENTE. NÃO HÁ FOTOS DE TODAS AS ETAPAS</v>
      </c>
      <c r="AB377" s="90" t="s">
        <v>207</v>
      </c>
      <c r="AC377" s="156" t="s">
        <v>36</v>
      </c>
      <c r="AD377" s="145" t="str">
        <f t="shared" si="22"/>
        <v>SÃO PAULO</v>
      </c>
      <c r="AE377" s="92" t="s">
        <v>79</v>
      </c>
    </row>
    <row r="378" spans="1:31" ht="30" customHeight="1">
      <c r="A378" s="161" t="s">
        <v>198</v>
      </c>
      <c r="B378" s="216">
        <v>2620580744</v>
      </c>
      <c r="C378" s="155" t="s">
        <v>1923</v>
      </c>
      <c r="D378" s="155" t="s">
        <v>79</v>
      </c>
      <c r="E378" s="155" t="s">
        <v>35</v>
      </c>
      <c r="F378" s="155" t="s">
        <v>2368</v>
      </c>
      <c r="G378" s="155">
        <v>77</v>
      </c>
      <c r="H378" s="155" t="s">
        <v>208</v>
      </c>
      <c r="I378" s="155" t="s">
        <v>201</v>
      </c>
      <c r="J378" s="155" t="s">
        <v>1915</v>
      </c>
      <c r="K378" s="155" t="s">
        <v>200</v>
      </c>
      <c r="L378" s="155" t="s">
        <v>2369</v>
      </c>
      <c r="M378" s="155" t="s">
        <v>2370</v>
      </c>
      <c r="N378" s="155" t="s">
        <v>390</v>
      </c>
      <c r="O378" s="152" t="s">
        <v>207</v>
      </c>
      <c r="P378" s="90"/>
      <c r="Q378" s="140" t="s">
        <v>207</v>
      </c>
      <c r="R378" s="90"/>
      <c r="S378" s="140" t="s">
        <v>214</v>
      </c>
      <c r="T378" s="90"/>
      <c r="U378" s="140" t="s">
        <v>214</v>
      </c>
      <c r="V378" s="90"/>
      <c r="W378" s="140" t="s">
        <v>207</v>
      </c>
      <c r="X378" s="90"/>
      <c r="Y378" s="140" t="s">
        <v>207</v>
      </c>
      <c r="Z378" s="177" t="str">
        <f t="shared" si="21"/>
        <v>NC</v>
      </c>
      <c r="AA378" s="190" t="str">
        <f t="shared" si="20"/>
        <v>UTILIZOU O PDA CORRETAMENTE. NÃO HÁ FOTOS DE TODAS AS ETAPAS</v>
      </c>
      <c r="AB378" s="90" t="s">
        <v>207</v>
      </c>
      <c r="AC378" s="156" t="s">
        <v>36</v>
      </c>
      <c r="AD378" s="145" t="str">
        <f t="shared" si="22"/>
        <v>SÃO PAULO</v>
      </c>
      <c r="AE378" s="92" t="s">
        <v>79</v>
      </c>
    </row>
    <row r="379" spans="1:31" ht="30" customHeight="1">
      <c r="A379" s="161" t="s">
        <v>198</v>
      </c>
      <c r="B379" s="216">
        <v>2620580293</v>
      </c>
      <c r="C379" s="155" t="s">
        <v>1923</v>
      </c>
      <c r="D379" s="155" t="s">
        <v>79</v>
      </c>
      <c r="E379" s="155" t="s">
        <v>35</v>
      </c>
      <c r="F379" s="155" t="s">
        <v>707</v>
      </c>
      <c r="G379" s="155">
        <v>157</v>
      </c>
      <c r="H379" s="155" t="s">
        <v>208</v>
      </c>
      <c r="I379" s="155" t="s">
        <v>708</v>
      </c>
      <c r="J379" s="155" t="s">
        <v>1915</v>
      </c>
      <c r="K379" s="155" t="s">
        <v>200</v>
      </c>
      <c r="L379" s="155" t="s">
        <v>2371</v>
      </c>
      <c r="M379" s="155" t="s">
        <v>2372</v>
      </c>
      <c r="N379" s="155" t="s">
        <v>1916</v>
      </c>
      <c r="O379" s="152" t="s">
        <v>207</v>
      </c>
      <c r="P379" s="90"/>
      <c r="Q379" s="140" t="s">
        <v>214</v>
      </c>
      <c r="R379" s="90"/>
      <c r="S379" s="140" t="s">
        <v>207</v>
      </c>
      <c r="T379" s="90"/>
      <c r="U379" s="140" t="s">
        <v>214</v>
      </c>
      <c r="V379" s="90"/>
      <c r="W379" s="140" t="s">
        <v>214</v>
      </c>
      <c r="X379" s="90"/>
      <c r="Y379" s="140" t="s">
        <v>207</v>
      </c>
      <c r="Z379" s="177" t="str">
        <f t="shared" si="21"/>
        <v>NC</v>
      </c>
      <c r="AA379" s="190" t="str">
        <f t="shared" si="20"/>
        <v>UTILIZOU O PDA CORRETAMENTE. NÃO HÁ FOTOS DE TODAS AS ETAPAS</v>
      </c>
      <c r="AB379" s="90"/>
      <c r="AC379" s="156" t="s">
        <v>36</v>
      </c>
      <c r="AD379" s="145" t="str">
        <f t="shared" si="22"/>
        <v>SÃO PAULO</v>
      </c>
      <c r="AE379" s="92" t="s">
        <v>79</v>
      </c>
    </row>
    <row r="380" spans="1:31" ht="30" customHeight="1">
      <c r="A380" s="161" t="s">
        <v>198</v>
      </c>
      <c r="B380" s="216">
        <v>2620570659</v>
      </c>
      <c r="C380" s="155" t="s">
        <v>1923</v>
      </c>
      <c r="D380" s="155" t="s">
        <v>79</v>
      </c>
      <c r="E380" s="155" t="s">
        <v>35</v>
      </c>
      <c r="F380" s="155" t="s">
        <v>2373</v>
      </c>
      <c r="G380" s="155">
        <v>224</v>
      </c>
      <c r="H380" s="155" t="s">
        <v>200</v>
      </c>
      <c r="I380" s="155" t="s">
        <v>218</v>
      </c>
      <c r="J380" s="155" t="s">
        <v>1915</v>
      </c>
      <c r="K380" s="155" t="s">
        <v>2374</v>
      </c>
      <c r="L380" s="155" t="s">
        <v>2375</v>
      </c>
      <c r="M380" s="155" t="s">
        <v>2376</v>
      </c>
      <c r="N380" s="155" t="s">
        <v>1933</v>
      </c>
      <c r="O380" s="152" t="s">
        <v>207</v>
      </c>
      <c r="P380" s="90"/>
      <c r="Q380" s="140" t="s">
        <v>214</v>
      </c>
      <c r="R380" s="90"/>
      <c r="S380" s="140" t="s">
        <v>214</v>
      </c>
      <c r="T380" s="90"/>
      <c r="U380" s="140" t="s">
        <v>214</v>
      </c>
      <c r="V380" s="90"/>
      <c r="W380" s="140" t="s">
        <v>214</v>
      </c>
      <c r="X380" s="90"/>
      <c r="Y380" s="140" t="s">
        <v>207</v>
      </c>
      <c r="Z380" s="177" t="str">
        <f t="shared" si="21"/>
        <v>NC</v>
      </c>
      <c r="AA380" s="190" t="str">
        <f t="shared" si="20"/>
        <v>UTILIZOU O PDA CORRETAMENTE. NÃO HÁ FOTOS DE TODAS AS ETAPAS</v>
      </c>
      <c r="AB380" s="90"/>
      <c r="AC380" s="156" t="s">
        <v>36</v>
      </c>
      <c r="AD380" s="145" t="str">
        <f t="shared" si="22"/>
        <v>SÃO PAULO</v>
      </c>
      <c r="AE380" s="92" t="s">
        <v>79</v>
      </c>
    </row>
    <row r="381" spans="1:31" ht="30" customHeight="1">
      <c r="A381" s="161" t="s">
        <v>198</v>
      </c>
      <c r="B381" s="216">
        <v>2620570838</v>
      </c>
      <c r="C381" s="155" t="s">
        <v>1923</v>
      </c>
      <c r="D381" s="155" t="s">
        <v>79</v>
      </c>
      <c r="E381" s="155" t="s">
        <v>35</v>
      </c>
      <c r="F381" s="155" t="s">
        <v>683</v>
      </c>
      <c r="G381" s="155">
        <v>227</v>
      </c>
      <c r="H381" s="155" t="s">
        <v>208</v>
      </c>
      <c r="I381" s="155" t="s">
        <v>513</v>
      </c>
      <c r="J381" s="155" t="s">
        <v>1915</v>
      </c>
      <c r="K381" s="155" t="s">
        <v>200</v>
      </c>
      <c r="L381" s="155" t="s">
        <v>1016</v>
      </c>
      <c r="M381" s="155" t="s">
        <v>2377</v>
      </c>
      <c r="N381" s="155" t="s">
        <v>1933</v>
      </c>
      <c r="O381" s="152" t="s">
        <v>207</v>
      </c>
      <c r="P381" s="90"/>
      <c r="Q381" s="140" t="s">
        <v>214</v>
      </c>
      <c r="R381" s="90"/>
      <c r="S381" s="140" t="s">
        <v>214</v>
      </c>
      <c r="T381" s="90"/>
      <c r="U381" s="140" t="s">
        <v>214</v>
      </c>
      <c r="V381" s="90"/>
      <c r="W381" s="140" t="s">
        <v>214</v>
      </c>
      <c r="X381" s="90"/>
      <c r="Y381" s="140" t="s">
        <v>207</v>
      </c>
      <c r="Z381" s="177" t="str">
        <f t="shared" si="21"/>
        <v>NC</v>
      </c>
      <c r="AA381" s="190" t="str">
        <f t="shared" si="20"/>
        <v>UTILIZOU O PDA CORRETAMENTE. NÃO HÁ FOTOS DE TODAS AS ETAPAS</v>
      </c>
      <c r="AB381" s="90" t="s">
        <v>207</v>
      </c>
      <c r="AC381" s="156" t="s">
        <v>36</v>
      </c>
      <c r="AD381" s="145" t="str">
        <f t="shared" si="22"/>
        <v>SÃO PAULO</v>
      </c>
      <c r="AE381" s="92" t="s">
        <v>79</v>
      </c>
    </row>
    <row r="382" spans="1:31" ht="30" customHeight="1">
      <c r="A382" s="161" t="s">
        <v>198</v>
      </c>
      <c r="B382" s="216">
        <v>2620576315</v>
      </c>
      <c r="C382" s="155" t="s">
        <v>1923</v>
      </c>
      <c r="D382" s="155" t="s">
        <v>79</v>
      </c>
      <c r="E382" s="155" t="s">
        <v>35</v>
      </c>
      <c r="F382" s="155" t="s">
        <v>2378</v>
      </c>
      <c r="G382" s="155">
        <v>569</v>
      </c>
      <c r="H382" s="155" t="s">
        <v>205</v>
      </c>
      <c r="I382" s="155" t="s">
        <v>497</v>
      </c>
      <c r="J382" s="155" t="s">
        <v>1915</v>
      </c>
      <c r="K382" s="155" t="s">
        <v>200</v>
      </c>
      <c r="L382" s="155" t="s">
        <v>2379</v>
      </c>
      <c r="M382" s="155" t="s">
        <v>1015</v>
      </c>
      <c r="N382" s="155" t="s">
        <v>1933</v>
      </c>
      <c r="O382" s="152" t="s">
        <v>215</v>
      </c>
      <c r="P382" s="90" t="s">
        <v>227</v>
      </c>
      <c r="Q382" s="152" t="s">
        <v>215</v>
      </c>
      <c r="R382" s="90" t="s">
        <v>227</v>
      </c>
      <c r="S382" s="152" t="s">
        <v>215</v>
      </c>
      <c r="T382" s="90" t="s">
        <v>227</v>
      </c>
      <c r="U382" s="152" t="s">
        <v>215</v>
      </c>
      <c r="V382" s="90" t="s">
        <v>227</v>
      </c>
      <c r="W382" s="152" t="s">
        <v>215</v>
      </c>
      <c r="X382" s="90" t="s">
        <v>227</v>
      </c>
      <c r="Y382" s="152" t="s">
        <v>215</v>
      </c>
      <c r="Z382" s="177" t="str">
        <f t="shared" si="21"/>
        <v>NC</v>
      </c>
      <c r="AA382" s="190" t="str">
        <f t="shared" si="20"/>
        <v>NÃO UTILIZOU O PDA</v>
      </c>
      <c r="AB382" s="90" t="s">
        <v>207</v>
      </c>
      <c r="AC382" s="156" t="s">
        <v>36</v>
      </c>
      <c r="AD382" s="145" t="str">
        <f t="shared" si="22"/>
        <v>SÃO PAULO</v>
      </c>
      <c r="AE382" s="92" t="s">
        <v>79</v>
      </c>
    </row>
    <row r="383" spans="1:31" ht="30" customHeight="1">
      <c r="A383" s="161" t="s">
        <v>198</v>
      </c>
      <c r="B383" s="216">
        <v>2620577104</v>
      </c>
      <c r="C383" s="155" t="s">
        <v>1923</v>
      </c>
      <c r="D383" s="155" t="s">
        <v>79</v>
      </c>
      <c r="E383" s="155" t="s">
        <v>35</v>
      </c>
      <c r="F383" s="155" t="s">
        <v>2380</v>
      </c>
      <c r="G383" s="155">
        <v>148</v>
      </c>
      <c r="H383" s="155" t="s">
        <v>257</v>
      </c>
      <c r="I383" s="155" t="s">
        <v>218</v>
      </c>
      <c r="J383" s="155" t="s">
        <v>1915</v>
      </c>
      <c r="K383" s="155" t="s">
        <v>200</v>
      </c>
      <c r="L383" s="155" t="s">
        <v>2381</v>
      </c>
      <c r="M383" s="155" t="s">
        <v>2382</v>
      </c>
      <c r="N383" s="155" t="s">
        <v>1933</v>
      </c>
      <c r="O383" s="152" t="s">
        <v>215</v>
      </c>
      <c r="P383" s="90" t="s">
        <v>227</v>
      </c>
      <c r="Q383" s="152" t="s">
        <v>215</v>
      </c>
      <c r="R383" s="90" t="s">
        <v>227</v>
      </c>
      <c r="S383" s="152" t="s">
        <v>215</v>
      </c>
      <c r="T383" s="90" t="s">
        <v>227</v>
      </c>
      <c r="U383" s="152" t="s">
        <v>215</v>
      </c>
      <c r="V383" s="90" t="s">
        <v>227</v>
      </c>
      <c r="W383" s="152" t="s">
        <v>215</v>
      </c>
      <c r="X383" s="90" t="s">
        <v>227</v>
      </c>
      <c r="Y383" s="152" t="s">
        <v>215</v>
      </c>
      <c r="Z383" s="177" t="str">
        <f t="shared" si="21"/>
        <v>NC</v>
      </c>
      <c r="AA383" s="190" t="str">
        <f t="shared" si="20"/>
        <v>NÃO UTILIZOU O PDA</v>
      </c>
      <c r="AB383" s="90" t="s">
        <v>207</v>
      </c>
      <c r="AC383" s="156" t="s">
        <v>36</v>
      </c>
      <c r="AD383" s="145" t="str">
        <f t="shared" si="22"/>
        <v>SÃO PAULO</v>
      </c>
      <c r="AE383" s="92" t="s">
        <v>79</v>
      </c>
    </row>
    <row r="384" spans="1:31" ht="30" customHeight="1">
      <c r="A384" s="161" t="s">
        <v>198</v>
      </c>
      <c r="B384" s="216">
        <v>2620580409</v>
      </c>
      <c r="C384" s="155" t="s">
        <v>1923</v>
      </c>
      <c r="D384" s="155" t="s">
        <v>79</v>
      </c>
      <c r="E384" s="155" t="s">
        <v>35</v>
      </c>
      <c r="F384" s="155" t="s">
        <v>2383</v>
      </c>
      <c r="G384" s="155">
        <v>12</v>
      </c>
      <c r="H384" s="155" t="s">
        <v>200</v>
      </c>
      <c r="I384" s="155" t="s">
        <v>293</v>
      </c>
      <c r="J384" s="155" t="s">
        <v>1915</v>
      </c>
      <c r="K384" s="155" t="s">
        <v>200</v>
      </c>
      <c r="L384" s="155" t="s">
        <v>2384</v>
      </c>
      <c r="M384" s="155" t="s">
        <v>2385</v>
      </c>
      <c r="N384" s="155" t="s">
        <v>1933</v>
      </c>
      <c r="O384" s="152" t="s">
        <v>215</v>
      </c>
      <c r="P384" s="90" t="s">
        <v>227</v>
      </c>
      <c r="Q384" s="152" t="s">
        <v>215</v>
      </c>
      <c r="R384" s="90" t="s">
        <v>227</v>
      </c>
      <c r="S384" s="152" t="s">
        <v>215</v>
      </c>
      <c r="T384" s="90" t="s">
        <v>227</v>
      </c>
      <c r="U384" s="152" t="s">
        <v>215</v>
      </c>
      <c r="V384" s="90" t="s">
        <v>227</v>
      </c>
      <c r="W384" s="152" t="s">
        <v>215</v>
      </c>
      <c r="X384" s="90" t="s">
        <v>227</v>
      </c>
      <c r="Y384" s="152" t="s">
        <v>215</v>
      </c>
      <c r="Z384" s="177" t="str">
        <f t="shared" si="21"/>
        <v>NC</v>
      </c>
      <c r="AA384" s="190" t="str">
        <f t="shared" si="20"/>
        <v>NÃO UTILIZOU O PDA</v>
      </c>
      <c r="AB384" s="90" t="s">
        <v>207</v>
      </c>
      <c r="AC384" s="156" t="s">
        <v>36</v>
      </c>
      <c r="AD384" s="145" t="str">
        <f t="shared" si="22"/>
        <v>SÃO PAULO</v>
      </c>
      <c r="AE384" s="92" t="s">
        <v>79</v>
      </c>
    </row>
    <row r="385" spans="1:31" ht="30" customHeight="1">
      <c r="A385" s="161" t="s">
        <v>198</v>
      </c>
      <c r="B385" s="216">
        <v>2620569417</v>
      </c>
      <c r="C385" s="155" t="s">
        <v>1923</v>
      </c>
      <c r="D385" s="155" t="s">
        <v>79</v>
      </c>
      <c r="E385" s="155" t="s">
        <v>35</v>
      </c>
      <c r="F385" s="155" t="s">
        <v>2100</v>
      </c>
      <c r="G385" s="155">
        <v>131</v>
      </c>
      <c r="H385" s="155" t="s">
        <v>200</v>
      </c>
      <c r="I385" s="155" t="s">
        <v>303</v>
      </c>
      <c r="J385" s="155" t="s">
        <v>1915</v>
      </c>
      <c r="K385" s="155" t="s">
        <v>2386</v>
      </c>
      <c r="L385" s="155" t="s">
        <v>1047</v>
      </c>
      <c r="M385" s="155" t="s">
        <v>2387</v>
      </c>
      <c r="N385" s="155" t="s">
        <v>1944</v>
      </c>
      <c r="O385" s="152" t="s">
        <v>207</v>
      </c>
      <c r="P385" s="90"/>
      <c r="Q385" s="140" t="s">
        <v>207</v>
      </c>
      <c r="R385" s="90"/>
      <c r="S385" s="140" t="s">
        <v>207</v>
      </c>
      <c r="T385" s="90"/>
      <c r="U385" s="140" t="s">
        <v>207</v>
      </c>
      <c r="V385" s="90"/>
      <c r="W385" s="140" t="s">
        <v>207</v>
      </c>
      <c r="X385" s="90"/>
      <c r="Y385" s="140" t="s">
        <v>207</v>
      </c>
      <c r="Z385" s="177" t="str">
        <f t="shared" si="21"/>
        <v>C</v>
      </c>
      <c r="AA385" s="190" t="str">
        <f t="shared" si="20"/>
        <v>UTILIZOU O PDA CORRETAMENTE</v>
      </c>
      <c r="AB385" s="90"/>
      <c r="AC385" s="156" t="s">
        <v>36</v>
      </c>
      <c r="AD385" s="145" t="str">
        <f t="shared" si="22"/>
        <v>SÃO PAULO</v>
      </c>
      <c r="AE385" s="92" t="s">
        <v>79</v>
      </c>
    </row>
    <row r="386" spans="1:31" ht="30" customHeight="1">
      <c r="A386" s="161" t="s">
        <v>198</v>
      </c>
      <c r="B386" s="216">
        <v>2620550068</v>
      </c>
      <c r="C386" s="155" t="s">
        <v>143</v>
      </c>
      <c r="D386" s="155" t="s">
        <v>79</v>
      </c>
      <c r="E386" s="155" t="s">
        <v>35</v>
      </c>
      <c r="F386" s="155" t="s">
        <v>2388</v>
      </c>
      <c r="G386" s="155">
        <v>1009</v>
      </c>
      <c r="H386" s="155" t="s">
        <v>200</v>
      </c>
      <c r="I386" s="155" t="s">
        <v>2389</v>
      </c>
      <c r="J386" s="155" t="s">
        <v>1915</v>
      </c>
      <c r="K386" s="155" t="s">
        <v>200</v>
      </c>
      <c r="L386" s="155" t="s">
        <v>2390</v>
      </c>
      <c r="M386" s="155" t="s">
        <v>2391</v>
      </c>
      <c r="N386" s="155" t="s">
        <v>1922</v>
      </c>
      <c r="O386" s="152" t="s">
        <v>207</v>
      </c>
      <c r="P386" s="90"/>
      <c r="Q386" s="140" t="s">
        <v>207</v>
      </c>
      <c r="R386" s="90"/>
      <c r="S386" s="140" t="s">
        <v>214</v>
      </c>
      <c r="T386" s="90"/>
      <c r="U386" s="140" t="s">
        <v>214</v>
      </c>
      <c r="V386" s="90"/>
      <c r="W386" s="140" t="s">
        <v>207</v>
      </c>
      <c r="X386" s="90"/>
      <c r="Y386" s="140" t="s">
        <v>207</v>
      </c>
      <c r="Z386" s="177" t="str">
        <f t="shared" si="21"/>
        <v>NC</v>
      </c>
      <c r="AA386" s="190" t="str">
        <f t="shared" ref="AA386:AA449" si="23">IF(AND(Y386="C",Z386="C"),"UTILIZOU O PDA CORRETAMENTE",IF(AND(Y386="C",Z386="NC"),"UTILIZOU O PDA CORRETAMENTE. NÃO HÁ FOTOS DE TODAS AS ETAPAS",IF(AND(Y386="NC",Z386="NC"),"NÃO UTILIZOU O PDA",IF(AND(Y386="NA",Z386="NA"),"NÃO AVALIADO POR FALHA DE SINCRONISMO"))))</f>
        <v>UTILIZOU O PDA CORRETAMENTE. NÃO HÁ FOTOS DE TODAS AS ETAPAS</v>
      </c>
      <c r="AB386" s="90" t="s">
        <v>207</v>
      </c>
      <c r="AC386" s="156" t="s">
        <v>36</v>
      </c>
      <c r="AD386" s="145" t="str">
        <f t="shared" si="22"/>
        <v>SÃO PAULO</v>
      </c>
      <c r="AE386" s="92" t="s">
        <v>79</v>
      </c>
    </row>
    <row r="387" spans="1:31" ht="30" customHeight="1">
      <c r="A387" s="161" t="s">
        <v>198</v>
      </c>
      <c r="B387" s="216">
        <v>2620577498</v>
      </c>
      <c r="C387" s="155" t="s">
        <v>143</v>
      </c>
      <c r="D387" s="155" t="s">
        <v>79</v>
      </c>
      <c r="E387" s="155" t="s">
        <v>35</v>
      </c>
      <c r="F387" s="155" t="s">
        <v>2392</v>
      </c>
      <c r="G387" s="155">
        <v>84</v>
      </c>
      <c r="H387" s="155" t="s">
        <v>200</v>
      </c>
      <c r="I387" s="155" t="s">
        <v>573</v>
      </c>
      <c r="J387" s="155" t="s">
        <v>1915</v>
      </c>
      <c r="K387" s="155" t="s">
        <v>200</v>
      </c>
      <c r="L387" s="155" t="s">
        <v>2393</v>
      </c>
      <c r="M387" s="155" t="s">
        <v>2394</v>
      </c>
      <c r="N387" s="155" t="s">
        <v>1944</v>
      </c>
      <c r="O387" s="152" t="s">
        <v>207</v>
      </c>
      <c r="P387" s="90"/>
      <c r="Q387" s="140" t="s">
        <v>207</v>
      </c>
      <c r="R387" s="90"/>
      <c r="S387" s="140" t="s">
        <v>214</v>
      </c>
      <c r="T387" s="90"/>
      <c r="U387" s="140" t="s">
        <v>214</v>
      </c>
      <c r="V387" s="90"/>
      <c r="W387" s="140" t="s">
        <v>207</v>
      </c>
      <c r="X387" s="90"/>
      <c r="Y387" s="140" t="s">
        <v>207</v>
      </c>
      <c r="Z387" s="177" t="str">
        <f t="shared" ref="Z387:Z450" si="24">IF(AND(O387="",Q387="",S387="",U387="",W387=""),"",IF(OR(AND(O387&lt;&gt;"NA",O387&lt;&gt;"C",O387&lt;&gt;"NC",O387&lt;&gt;"SF",O387&lt;&gt;""),AND(Q387&lt;&gt;"NA",Q387&lt;&gt;"C",Q387&lt;&gt;"NC",Q387&lt;&gt;"SF",Q387&lt;&gt;""),AND(S387&lt;&gt;"NA",S387&lt;&gt;"C",S387&lt;&gt;"NC",S387&lt;&gt;"SF",S387&lt;&gt;""),AND(U387&lt;&gt;"NA",U387&lt;&gt;"C",U387&lt;&gt;"NC",U387&lt;&gt;"SF",U387&lt;&gt;""),AND(W387&lt;&gt;"NA",W387&lt;&gt;"C",W387&lt;&gt;"NC",W387&lt;&gt;"SF",W387&lt;&gt;"")),"FALSO",IF(AND(O387="NA",Q387="NA",S387="NA",U387="NA",W387="NA"),"NA",IF(OR(O387="NC",Q387="NC",S387="NC",U387="NC",W387="NC",O387="SF",Q387="SF",S387="SF",U387="SF",W387="SF"),"NC",IF(OR(O387="C",Q387="C",S387="C",U387="C",W387="C"),"C","")))))</f>
        <v>NC</v>
      </c>
      <c r="AA387" s="190" t="str">
        <f t="shared" si="23"/>
        <v>UTILIZOU O PDA CORRETAMENTE. NÃO HÁ FOTOS DE TODAS AS ETAPAS</v>
      </c>
      <c r="AB387" s="90" t="s">
        <v>207</v>
      </c>
      <c r="AC387" s="156" t="s">
        <v>36</v>
      </c>
      <c r="AD387" s="145" t="str">
        <f t="shared" si="22"/>
        <v>SÃO PAULO</v>
      </c>
      <c r="AE387" s="92" t="s">
        <v>79</v>
      </c>
    </row>
    <row r="388" spans="1:31" ht="30" customHeight="1">
      <c r="A388" s="161" t="s">
        <v>198</v>
      </c>
      <c r="B388" s="216">
        <v>2693449354</v>
      </c>
      <c r="C388" s="155" t="s">
        <v>143</v>
      </c>
      <c r="D388" s="155" t="s">
        <v>79</v>
      </c>
      <c r="E388" s="155" t="s">
        <v>35</v>
      </c>
      <c r="F388" s="155" t="s">
        <v>2395</v>
      </c>
      <c r="G388" s="155">
        <v>30</v>
      </c>
      <c r="H388" s="155" t="s">
        <v>200</v>
      </c>
      <c r="I388" s="155" t="s">
        <v>392</v>
      </c>
      <c r="J388" s="155" t="s">
        <v>1915</v>
      </c>
      <c r="K388" s="155" t="s">
        <v>200</v>
      </c>
      <c r="L388" s="155" t="s">
        <v>2396</v>
      </c>
      <c r="M388" s="155" t="s">
        <v>2397</v>
      </c>
      <c r="N388" s="155" t="s">
        <v>1944</v>
      </c>
      <c r="O388" s="152" t="s">
        <v>207</v>
      </c>
      <c r="P388" s="90"/>
      <c r="Q388" s="140" t="s">
        <v>207</v>
      </c>
      <c r="R388" s="90"/>
      <c r="S388" s="140" t="s">
        <v>207</v>
      </c>
      <c r="T388" s="90"/>
      <c r="U388" s="140" t="s">
        <v>207</v>
      </c>
      <c r="V388" s="90"/>
      <c r="W388" s="140" t="s">
        <v>207</v>
      </c>
      <c r="X388" s="90"/>
      <c r="Y388" s="140" t="s">
        <v>207</v>
      </c>
      <c r="Z388" s="177" t="str">
        <f t="shared" si="24"/>
        <v>C</v>
      </c>
      <c r="AA388" s="190" t="str">
        <f t="shared" si="23"/>
        <v>UTILIZOU O PDA CORRETAMENTE</v>
      </c>
      <c r="AB388" s="90" t="s">
        <v>207</v>
      </c>
      <c r="AC388" s="156" t="s">
        <v>36</v>
      </c>
      <c r="AD388" s="145" t="str">
        <f t="shared" si="22"/>
        <v>SÃO PAULO</v>
      </c>
      <c r="AE388" s="92" t="s">
        <v>79</v>
      </c>
    </row>
    <row r="389" spans="1:31" ht="30" customHeight="1">
      <c r="A389" s="161" t="s">
        <v>198</v>
      </c>
      <c r="B389" s="216">
        <v>2620624379</v>
      </c>
      <c r="C389" s="155" t="s">
        <v>147</v>
      </c>
      <c r="D389" s="155" t="s">
        <v>79</v>
      </c>
      <c r="E389" s="155" t="s">
        <v>35</v>
      </c>
      <c r="F389" s="155" t="s">
        <v>2395</v>
      </c>
      <c r="G389" s="155">
        <v>17</v>
      </c>
      <c r="H389" s="155" t="s">
        <v>255</v>
      </c>
      <c r="I389" s="155" t="s">
        <v>392</v>
      </c>
      <c r="J389" s="155" t="s">
        <v>1915</v>
      </c>
      <c r="K389" s="155" t="s">
        <v>200</v>
      </c>
      <c r="L389" s="155" t="s">
        <v>2398</v>
      </c>
      <c r="M389" s="155" t="s">
        <v>2399</v>
      </c>
      <c r="N389" s="155" t="s">
        <v>1944</v>
      </c>
      <c r="O389" s="152" t="s">
        <v>207</v>
      </c>
      <c r="P389" s="90"/>
      <c r="Q389" s="140" t="s">
        <v>207</v>
      </c>
      <c r="R389" s="90"/>
      <c r="S389" s="140" t="s">
        <v>214</v>
      </c>
      <c r="T389" s="90"/>
      <c r="U389" s="140" t="s">
        <v>214</v>
      </c>
      <c r="V389" s="90"/>
      <c r="W389" s="140" t="s">
        <v>214</v>
      </c>
      <c r="X389" s="90"/>
      <c r="Y389" s="140" t="s">
        <v>207</v>
      </c>
      <c r="Z389" s="177" t="str">
        <f t="shared" si="24"/>
        <v>NC</v>
      </c>
      <c r="AA389" s="190" t="str">
        <f t="shared" si="23"/>
        <v>UTILIZOU O PDA CORRETAMENTE. NÃO HÁ FOTOS DE TODAS AS ETAPAS</v>
      </c>
      <c r="AB389" s="90" t="s">
        <v>207</v>
      </c>
      <c r="AC389" s="156" t="s">
        <v>36</v>
      </c>
      <c r="AD389" s="145" t="str">
        <f t="shared" si="22"/>
        <v>SÃO PAULO</v>
      </c>
      <c r="AE389" s="92" t="s">
        <v>79</v>
      </c>
    </row>
    <row r="390" spans="1:31" ht="30" customHeight="1">
      <c r="A390" s="161" t="s">
        <v>198</v>
      </c>
      <c r="B390" s="216">
        <v>2693421666</v>
      </c>
      <c r="C390" s="155" t="s">
        <v>147</v>
      </c>
      <c r="D390" s="155" t="s">
        <v>79</v>
      </c>
      <c r="E390" s="155" t="s">
        <v>35</v>
      </c>
      <c r="F390" s="155" t="s">
        <v>2168</v>
      </c>
      <c r="G390" s="155">
        <v>116</v>
      </c>
      <c r="H390" s="155" t="s">
        <v>208</v>
      </c>
      <c r="I390" s="155" t="s">
        <v>284</v>
      </c>
      <c r="J390" s="155" t="s">
        <v>1915</v>
      </c>
      <c r="K390" s="155" t="s">
        <v>200</v>
      </c>
      <c r="L390" s="155" t="s">
        <v>2400</v>
      </c>
      <c r="M390" s="155" t="s">
        <v>2401</v>
      </c>
      <c r="N390" s="155" t="s">
        <v>1933</v>
      </c>
      <c r="O390" s="152" t="s">
        <v>207</v>
      </c>
      <c r="P390" s="90"/>
      <c r="Q390" s="140" t="s">
        <v>214</v>
      </c>
      <c r="R390" s="90"/>
      <c r="S390" s="140" t="s">
        <v>207</v>
      </c>
      <c r="T390" s="90"/>
      <c r="U390" s="140" t="s">
        <v>207</v>
      </c>
      <c r="V390" s="90"/>
      <c r="W390" s="140" t="s">
        <v>207</v>
      </c>
      <c r="X390" s="90"/>
      <c r="Y390" s="140" t="s">
        <v>207</v>
      </c>
      <c r="Z390" s="177" t="str">
        <f t="shared" si="24"/>
        <v>NC</v>
      </c>
      <c r="AA390" s="190" t="str">
        <f t="shared" si="23"/>
        <v>UTILIZOU O PDA CORRETAMENTE. NÃO HÁ FOTOS DE TODAS AS ETAPAS</v>
      </c>
      <c r="AB390" s="90" t="s">
        <v>207</v>
      </c>
      <c r="AC390" s="156" t="s">
        <v>36</v>
      </c>
      <c r="AD390" s="145" t="str">
        <f t="shared" si="22"/>
        <v>SÃO PAULO</v>
      </c>
      <c r="AE390" s="92" t="s">
        <v>79</v>
      </c>
    </row>
    <row r="391" spans="1:31" ht="30" customHeight="1">
      <c r="A391" s="161" t="s">
        <v>198</v>
      </c>
      <c r="B391" s="216">
        <v>2693441212</v>
      </c>
      <c r="C391" s="155" t="s">
        <v>143</v>
      </c>
      <c r="D391" s="155" t="s">
        <v>79</v>
      </c>
      <c r="E391" s="155" t="s">
        <v>35</v>
      </c>
      <c r="F391" s="155" t="s">
        <v>1415</v>
      </c>
      <c r="G391" s="155">
        <v>246</v>
      </c>
      <c r="H391" s="155" t="s">
        <v>329</v>
      </c>
      <c r="I391" s="155" t="s">
        <v>284</v>
      </c>
      <c r="J391" s="155" t="s">
        <v>1915</v>
      </c>
      <c r="K391" s="155" t="s">
        <v>200</v>
      </c>
      <c r="L391" s="155" t="s">
        <v>2402</v>
      </c>
      <c r="M391" s="155" t="s">
        <v>2403</v>
      </c>
      <c r="N391" s="155" t="s">
        <v>1933</v>
      </c>
      <c r="O391" s="152" t="s">
        <v>207</v>
      </c>
      <c r="P391" s="90"/>
      <c r="Q391" s="140" t="s">
        <v>207</v>
      </c>
      <c r="R391" s="90"/>
      <c r="S391" s="140" t="s">
        <v>207</v>
      </c>
      <c r="T391" s="90"/>
      <c r="U391" s="140" t="s">
        <v>207</v>
      </c>
      <c r="V391" s="90"/>
      <c r="W391" s="140" t="s">
        <v>207</v>
      </c>
      <c r="X391" s="90"/>
      <c r="Y391" s="140" t="s">
        <v>207</v>
      </c>
      <c r="Z391" s="177" t="str">
        <f t="shared" si="24"/>
        <v>C</v>
      </c>
      <c r="AA391" s="190" t="str">
        <f t="shared" si="23"/>
        <v>UTILIZOU O PDA CORRETAMENTE</v>
      </c>
      <c r="AB391" s="90" t="s">
        <v>207</v>
      </c>
      <c r="AC391" s="156" t="s">
        <v>36</v>
      </c>
      <c r="AD391" s="145" t="str">
        <f t="shared" si="22"/>
        <v>SÃO PAULO</v>
      </c>
      <c r="AE391" s="92" t="s">
        <v>79</v>
      </c>
    </row>
    <row r="392" spans="1:31" ht="30" customHeight="1">
      <c r="A392" s="161" t="s">
        <v>198</v>
      </c>
      <c r="B392" s="216">
        <v>2693397046</v>
      </c>
      <c r="C392" s="155" t="s">
        <v>143</v>
      </c>
      <c r="D392" s="155" t="s">
        <v>79</v>
      </c>
      <c r="E392" s="155" t="s">
        <v>35</v>
      </c>
      <c r="F392" s="155" t="s">
        <v>2404</v>
      </c>
      <c r="G392" s="155">
        <v>27</v>
      </c>
      <c r="H392" s="155" t="s">
        <v>200</v>
      </c>
      <c r="I392" s="155" t="s">
        <v>917</v>
      </c>
      <c r="J392" s="155" t="s">
        <v>1915</v>
      </c>
      <c r="K392" s="155"/>
      <c r="L392" s="155" t="s">
        <v>2405</v>
      </c>
      <c r="M392" s="155" t="s">
        <v>2406</v>
      </c>
      <c r="N392" s="155" t="s">
        <v>1933</v>
      </c>
      <c r="O392" s="152" t="s">
        <v>207</v>
      </c>
      <c r="P392" s="90"/>
      <c r="Q392" s="140" t="s">
        <v>207</v>
      </c>
      <c r="R392" s="90"/>
      <c r="S392" s="140" t="s">
        <v>214</v>
      </c>
      <c r="T392" s="90"/>
      <c r="U392" s="140" t="s">
        <v>207</v>
      </c>
      <c r="V392" s="90"/>
      <c r="W392" s="140" t="s">
        <v>207</v>
      </c>
      <c r="X392" s="90"/>
      <c r="Y392" s="140" t="s">
        <v>207</v>
      </c>
      <c r="Z392" s="177" t="str">
        <f t="shared" si="24"/>
        <v>NC</v>
      </c>
      <c r="AA392" s="190" t="str">
        <f t="shared" si="23"/>
        <v>UTILIZOU O PDA CORRETAMENTE. NÃO HÁ FOTOS DE TODAS AS ETAPAS</v>
      </c>
      <c r="AB392" s="90" t="s">
        <v>207</v>
      </c>
      <c r="AC392" s="156" t="s">
        <v>36</v>
      </c>
      <c r="AD392" s="145" t="str">
        <f t="shared" si="22"/>
        <v>SÃO PAULO</v>
      </c>
      <c r="AE392" s="92" t="s">
        <v>79</v>
      </c>
    </row>
    <row r="393" spans="1:31" ht="30" customHeight="1">
      <c r="A393" s="161" t="s">
        <v>198</v>
      </c>
      <c r="B393" s="216">
        <v>2620587476</v>
      </c>
      <c r="C393" s="155" t="s">
        <v>1923</v>
      </c>
      <c r="D393" s="155" t="s">
        <v>79</v>
      </c>
      <c r="E393" s="155" t="s">
        <v>35</v>
      </c>
      <c r="F393" s="155" t="s">
        <v>2407</v>
      </c>
      <c r="G393" s="155">
        <v>5</v>
      </c>
      <c r="H393" s="155" t="s">
        <v>491</v>
      </c>
      <c r="I393" s="155" t="s">
        <v>482</v>
      </c>
      <c r="J393" s="155" t="s">
        <v>1915</v>
      </c>
      <c r="K393" s="155" t="s">
        <v>200</v>
      </c>
      <c r="L393" s="155" t="s">
        <v>2408</v>
      </c>
      <c r="M393" s="155" t="s">
        <v>2409</v>
      </c>
      <c r="N393" s="155" t="s">
        <v>1933</v>
      </c>
      <c r="O393" s="152" t="s">
        <v>207</v>
      </c>
      <c r="P393" s="90"/>
      <c r="Q393" s="140" t="s">
        <v>207</v>
      </c>
      <c r="R393" s="90"/>
      <c r="S393" s="140" t="s">
        <v>214</v>
      </c>
      <c r="T393" s="90"/>
      <c r="U393" s="140" t="s">
        <v>214</v>
      </c>
      <c r="V393" s="90"/>
      <c r="W393" s="140" t="s">
        <v>214</v>
      </c>
      <c r="X393" s="90"/>
      <c r="Y393" s="140" t="s">
        <v>207</v>
      </c>
      <c r="Z393" s="177" t="str">
        <f t="shared" si="24"/>
        <v>NC</v>
      </c>
      <c r="AA393" s="190" t="str">
        <f t="shared" si="23"/>
        <v>UTILIZOU O PDA CORRETAMENTE. NÃO HÁ FOTOS DE TODAS AS ETAPAS</v>
      </c>
      <c r="AB393" s="90" t="s">
        <v>207</v>
      </c>
      <c r="AC393" s="156" t="s">
        <v>36</v>
      </c>
      <c r="AD393" s="145" t="str">
        <f t="shared" si="22"/>
        <v>SÃO PAULO</v>
      </c>
      <c r="AE393" s="92" t="s">
        <v>79</v>
      </c>
    </row>
    <row r="394" spans="1:31" ht="30" customHeight="1">
      <c r="A394" s="161" t="s">
        <v>198</v>
      </c>
      <c r="B394" s="216">
        <v>2693401588</v>
      </c>
      <c r="C394" s="155" t="s">
        <v>147</v>
      </c>
      <c r="D394" s="155" t="s">
        <v>79</v>
      </c>
      <c r="E394" s="155" t="s">
        <v>35</v>
      </c>
      <c r="F394" s="155" t="s">
        <v>1685</v>
      </c>
      <c r="G394" s="155">
        <v>774</v>
      </c>
      <c r="H394" s="155" t="s">
        <v>1485</v>
      </c>
      <c r="I394" s="155" t="s">
        <v>411</v>
      </c>
      <c r="J394" s="155" t="s">
        <v>1915</v>
      </c>
      <c r="K394" s="155" t="s">
        <v>200</v>
      </c>
      <c r="L394" s="155" t="s">
        <v>2410</v>
      </c>
      <c r="M394" s="155" t="s">
        <v>2411</v>
      </c>
      <c r="N394" s="155" t="s">
        <v>390</v>
      </c>
      <c r="O394" s="152" t="s">
        <v>207</v>
      </c>
      <c r="P394" s="90"/>
      <c r="Q394" s="140" t="s">
        <v>207</v>
      </c>
      <c r="R394" s="90"/>
      <c r="S394" s="140" t="s">
        <v>214</v>
      </c>
      <c r="T394" s="90"/>
      <c r="U394" s="140" t="s">
        <v>214</v>
      </c>
      <c r="V394" s="90"/>
      <c r="W394" s="140" t="s">
        <v>207</v>
      </c>
      <c r="X394" s="90"/>
      <c r="Y394" s="140" t="s">
        <v>207</v>
      </c>
      <c r="Z394" s="177" t="str">
        <f t="shared" si="24"/>
        <v>NC</v>
      </c>
      <c r="AA394" s="190" t="str">
        <f t="shared" si="23"/>
        <v>UTILIZOU O PDA CORRETAMENTE. NÃO HÁ FOTOS DE TODAS AS ETAPAS</v>
      </c>
      <c r="AB394" s="90" t="s">
        <v>207</v>
      </c>
      <c r="AC394" s="156" t="s">
        <v>36</v>
      </c>
      <c r="AD394" s="145" t="str">
        <f t="shared" si="22"/>
        <v>SÃO PAULO</v>
      </c>
      <c r="AE394" s="92" t="s">
        <v>79</v>
      </c>
    </row>
    <row r="395" spans="1:31" ht="30" customHeight="1">
      <c r="A395" s="161" t="s">
        <v>198</v>
      </c>
      <c r="B395" s="216">
        <v>2620561363</v>
      </c>
      <c r="C395" s="155" t="s">
        <v>144</v>
      </c>
      <c r="D395" s="155" t="s">
        <v>140</v>
      </c>
      <c r="E395" s="155" t="s">
        <v>35</v>
      </c>
      <c r="F395" s="155" t="s">
        <v>2412</v>
      </c>
      <c r="G395" s="155">
        <v>46</v>
      </c>
      <c r="H395" s="155" t="s">
        <v>208</v>
      </c>
      <c r="I395" s="155" t="s">
        <v>558</v>
      </c>
      <c r="J395" s="155" t="s">
        <v>1954</v>
      </c>
      <c r="K395" s="155" t="s">
        <v>200</v>
      </c>
      <c r="L395" s="155" t="s">
        <v>2413</v>
      </c>
      <c r="M395" s="155" t="s">
        <v>2414</v>
      </c>
      <c r="N395" s="155" t="s">
        <v>390</v>
      </c>
      <c r="O395" s="152" t="s">
        <v>207</v>
      </c>
      <c r="P395" s="90"/>
      <c r="Q395" s="140" t="s">
        <v>214</v>
      </c>
      <c r="R395" s="90"/>
      <c r="S395" s="140" t="s">
        <v>214</v>
      </c>
      <c r="T395" s="90"/>
      <c r="U395" s="140" t="s">
        <v>214</v>
      </c>
      <c r="V395" s="90"/>
      <c r="W395" s="140" t="s">
        <v>207</v>
      </c>
      <c r="X395" s="90"/>
      <c r="Y395" s="140" t="s">
        <v>207</v>
      </c>
      <c r="Z395" s="177" t="str">
        <f t="shared" si="24"/>
        <v>NC</v>
      </c>
      <c r="AA395" s="190" t="str">
        <f t="shared" si="23"/>
        <v>UTILIZOU O PDA CORRETAMENTE. NÃO HÁ FOTOS DE TODAS AS ETAPAS</v>
      </c>
      <c r="AB395" s="90" t="s">
        <v>207</v>
      </c>
      <c r="AC395" s="156" t="s">
        <v>36</v>
      </c>
      <c r="AD395" s="145" t="str">
        <f t="shared" si="22"/>
        <v>SÃO PAULO</v>
      </c>
      <c r="AE395" s="92" t="s">
        <v>79</v>
      </c>
    </row>
    <row r="396" spans="1:31" ht="30" customHeight="1">
      <c r="A396" s="161" t="s">
        <v>198</v>
      </c>
      <c r="B396" s="216">
        <v>2693439069</v>
      </c>
      <c r="C396" s="155" t="s">
        <v>146</v>
      </c>
      <c r="D396" s="155" t="s">
        <v>79</v>
      </c>
      <c r="E396" s="155" t="s">
        <v>35</v>
      </c>
      <c r="F396" s="155" t="s">
        <v>1677</v>
      </c>
      <c r="G396" s="155">
        <v>115</v>
      </c>
      <c r="H396" s="155" t="s">
        <v>205</v>
      </c>
      <c r="I396" s="155" t="s">
        <v>290</v>
      </c>
      <c r="J396" s="155" t="s">
        <v>1915</v>
      </c>
      <c r="K396" s="155" t="s">
        <v>200</v>
      </c>
      <c r="L396" s="155" t="s">
        <v>2397</v>
      </c>
      <c r="M396" s="155" t="s">
        <v>2415</v>
      </c>
      <c r="N396" s="155" t="s">
        <v>390</v>
      </c>
      <c r="O396" s="152" t="s">
        <v>207</v>
      </c>
      <c r="P396" s="90"/>
      <c r="Q396" s="140" t="s">
        <v>207</v>
      </c>
      <c r="R396" s="90"/>
      <c r="S396" s="140" t="s">
        <v>214</v>
      </c>
      <c r="T396" s="90"/>
      <c r="U396" s="140" t="s">
        <v>214</v>
      </c>
      <c r="V396" s="90"/>
      <c r="W396" s="140" t="s">
        <v>207</v>
      </c>
      <c r="X396" s="90"/>
      <c r="Y396" s="140" t="s">
        <v>207</v>
      </c>
      <c r="Z396" s="177" t="str">
        <f t="shared" si="24"/>
        <v>NC</v>
      </c>
      <c r="AA396" s="190" t="str">
        <f t="shared" si="23"/>
        <v>UTILIZOU O PDA CORRETAMENTE. NÃO HÁ FOTOS DE TODAS AS ETAPAS</v>
      </c>
      <c r="AB396" s="90" t="s">
        <v>207</v>
      </c>
      <c r="AC396" s="156" t="s">
        <v>36</v>
      </c>
      <c r="AD396" s="145" t="str">
        <f t="shared" si="22"/>
        <v>SÃO PAULO</v>
      </c>
      <c r="AE396" s="92" t="s">
        <v>79</v>
      </c>
    </row>
    <row r="397" spans="1:31" ht="30" customHeight="1">
      <c r="A397" s="161" t="s">
        <v>198</v>
      </c>
      <c r="B397" s="216">
        <v>2620561268</v>
      </c>
      <c r="C397" s="155" t="s">
        <v>144</v>
      </c>
      <c r="D397" s="155" t="s">
        <v>140</v>
      </c>
      <c r="E397" s="155" t="s">
        <v>35</v>
      </c>
      <c r="F397" s="155" t="s">
        <v>2416</v>
      </c>
      <c r="G397" s="155">
        <v>41</v>
      </c>
      <c r="H397" s="155" t="s">
        <v>200</v>
      </c>
      <c r="I397" s="155" t="s">
        <v>1755</v>
      </c>
      <c r="J397" s="155" t="s">
        <v>1954</v>
      </c>
      <c r="K397" s="155" t="s">
        <v>200</v>
      </c>
      <c r="L397" s="155" t="s">
        <v>2417</v>
      </c>
      <c r="M397" s="155" t="s">
        <v>2417</v>
      </c>
      <c r="N397" s="155" t="s">
        <v>390</v>
      </c>
      <c r="O397" s="152" t="s">
        <v>207</v>
      </c>
      <c r="P397" s="90"/>
      <c r="Q397" s="140" t="s">
        <v>207</v>
      </c>
      <c r="R397" s="90"/>
      <c r="S397" s="140" t="s">
        <v>214</v>
      </c>
      <c r="T397" s="90"/>
      <c r="U397" s="140" t="s">
        <v>214</v>
      </c>
      <c r="V397" s="90"/>
      <c r="W397" s="140" t="s">
        <v>214</v>
      </c>
      <c r="X397" s="90"/>
      <c r="Y397" s="140" t="s">
        <v>207</v>
      </c>
      <c r="Z397" s="177" t="str">
        <f t="shared" si="24"/>
        <v>NC</v>
      </c>
      <c r="AA397" s="190" t="str">
        <f t="shared" si="23"/>
        <v>UTILIZOU O PDA CORRETAMENTE. NÃO HÁ FOTOS DE TODAS AS ETAPAS</v>
      </c>
      <c r="AB397" s="90" t="s">
        <v>207</v>
      </c>
      <c r="AC397" s="156" t="s">
        <v>36</v>
      </c>
      <c r="AD397" s="145" t="str">
        <f t="shared" si="22"/>
        <v>SÃO PAULO</v>
      </c>
      <c r="AE397" s="92" t="s">
        <v>79</v>
      </c>
    </row>
    <row r="398" spans="1:31" ht="30" customHeight="1">
      <c r="A398" s="161" t="s">
        <v>198</v>
      </c>
      <c r="B398" s="216">
        <v>2693446808</v>
      </c>
      <c r="C398" s="155" t="s">
        <v>143</v>
      </c>
      <c r="D398" s="155" t="s">
        <v>79</v>
      </c>
      <c r="E398" s="155" t="s">
        <v>35</v>
      </c>
      <c r="F398" s="155" t="s">
        <v>1940</v>
      </c>
      <c r="G398" s="155">
        <v>66</v>
      </c>
      <c r="H398" s="155" t="s">
        <v>200</v>
      </c>
      <c r="I398" s="155" t="s">
        <v>1407</v>
      </c>
      <c r="J398" s="155" t="s">
        <v>1915</v>
      </c>
      <c r="K398" s="155" t="s">
        <v>200</v>
      </c>
      <c r="L398" s="155" t="s">
        <v>2418</v>
      </c>
      <c r="M398" s="155" t="s">
        <v>2419</v>
      </c>
      <c r="N398" s="155" t="s">
        <v>390</v>
      </c>
      <c r="O398" s="152" t="s">
        <v>207</v>
      </c>
      <c r="P398" s="90"/>
      <c r="Q398" s="140" t="s">
        <v>207</v>
      </c>
      <c r="R398" s="90"/>
      <c r="S398" s="140" t="s">
        <v>214</v>
      </c>
      <c r="T398" s="90"/>
      <c r="U398" s="140" t="s">
        <v>214</v>
      </c>
      <c r="V398" s="90"/>
      <c r="W398" s="140" t="s">
        <v>207</v>
      </c>
      <c r="X398" s="90"/>
      <c r="Y398" s="140" t="s">
        <v>207</v>
      </c>
      <c r="Z398" s="177" t="str">
        <f t="shared" si="24"/>
        <v>NC</v>
      </c>
      <c r="AA398" s="190" t="str">
        <f t="shared" si="23"/>
        <v>UTILIZOU O PDA CORRETAMENTE. NÃO HÁ FOTOS DE TODAS AS ETAPAS</v>
      </c>
      <c r="AB398" s="90" t="s">
        <v>207</v>
      </c>
      <c r="AC398" s="156" t="s">
        <v>36</v>
      </c>
      <c r="AD398" s="145" t="str">
        <f t="shared" si="22"/>
        <v>SÃO PAULO</v>
      </c>
      <c r="AE398" s="92" t="s">
        <v>79</v>
      </c>
    </row>
    <row r="399" spans="1:31" ht="30" customHeight="1">
      <c r="A399" s="161" t="s">
        <v>198</v>
      </c>
      <c r="B399" s="216">
        <v>2620570499</v>
      </c>
      <c r="C399" s="155" t="s">
        <v>1923</v>
      </c>
      <c r="D399" s="155" t="s">
        <v>79</v>
      </c>
      <c r="E399" s="155" t="s">
        <v>35</v>
      </c>
      <c r="F399" s="155" t="s">
        <v>2420</v>
      </c>
      <c r="G399" s="155">
        <v>1041</v>
      </c>
      <c r="H399" s="155" t="s">
        <v>208</v>
      </c>
      <c r="I399" s="155" t="s">
        <v>1105</v>
      </c>
      <c r="J399" s="155" t="s">
        <v>1915</v>
      </c>
      <c r="K399" s="155" t="s">
        <v>200</v>
      </c>
      <c r="L399" s="155" t="s">
        <v>1094</v>
      </c>
      <c r="M399" s="155" t="s">
        <v>1082</v>
      </c>
      <c r="N399" s="155" t="s">
        <v>1944</v>
      </c>
      <c r="O399" s="152" t="s">
        <v>207</v>
      </c>
      <c r="P399" s="90"/>
      <c r="Q399" s="140" t="s">
        <v>207</v>
      </c>
      <c r="R399" s="90"/>
      <c r="S399" s="140" t="s">
        <v>214</v>
      </c>
      <c r="T399" s="90"/>
      <c r="U399" s="140" t="s">
        <v>214</v>
      </c>
      <c r="V399" s="90"/>
      <c r="W399" s="140" t="s">
        <v>207</v>
      </c>
      <c r="X399" s="90"/>
      <c r="Y399" s="140" t="s">
        <v>207</v>
      </c>
      <c r="Z399" s="177" t="str">
        <f t="shared" si="24"/>
        <v>NC</v>
      </c>
      <c r="AA399" s="190" t="str">
        <f t="shared" si="23"/>
        <v>UTILIZOU O PDA CORRETAMENTE. NÃO HÁ FOTOS DE TODAS AS ETAPAS</v>
      </c>
      <c r="AB399" s="90"/>
      <c r="AC399" s="156" t="s">
        <v>36</v>
      </c>
      <c r="AD399" s="145" t="str">
        <f t="shared" si="22"/>
        <v>SÃO PAULO</v>
      </c>
      <c r="AE399" s="92" t="s">
        <v>79</v>
      </c>
    </row>
    <row r="400" spans="1:31" ht="30" customHeight="1">
      <c r="A400" s="161" t="s">
        <v>198</v>
      </c>
      <c r="B400" s="216">
        <v>2620714536</v>
      </c>
      <c r="C400" s="155" t="s">
        <v>1923</v>
      </c>
      <c r="D400" s="155" t="s">
        <v>79</v>
      </c>
      <c r="E400" s="155" t="s">
        <v>35</v>
      </c>
      <c r="F400" s="155" t="s">
        <v>2421</v>
      </c>
      <c r="G400" s="155">
        <v>120</v>
      </c>
      <c r="H400" s="155" t="s">
        <v>208</v>
      </c>
      <c r="I400" s="155" t="s">
        <v>596</v>
      </c>
      <c r="J400" s="155" t="s">
        <v>1915</v>
      </c>
      <c r="K400" s="155" t="s">
        <v>2422</v>
      </c>
      <c r="L400" s="155" t="s">
        <v>2423</v>
      </c>
      <c r="M400" s="155" t="s">
        <v>2424</v>
      </c>
      <c r="N400" s="155" t="s">
        <v>1944</v>
      </c>
      <c r="O400" s="152" t="s">
        <v>214</v>
      </c>
      <c r="P400" s="90"/>
      <c r="Q400" s="140" t="s">
        <v>214</v>
      </c>
      <c r="R400" s="90"/>
      <c r="S400" s="140" t="s">
        <v>214</v>
      </c>
      <c r="T400" s="90"/>
      <c r="U400" s="140" t="s">
        <v>214</v>
      </c>
      <c r="V400" s="90"/>
      <c r="W400" s="140" t="s">
        <v>214</v>
      </c>
      <c r="X400" s="90"/>
      <c r="Y400" s="140" t="s">
        <v>215</v>
      </c>
      <c r="Z400" s="177" t="str">
        <f t="shared" si="24"/>
        <v>NC</v>
      </c>
      <c r="AA400" s="190" t="str">
        <f t="shared" si="23"/>
        <v>NÃO UTILIZOU O PDA</v>
      </c>
      <c r="AB400" s="90" t="s">
        <v>207</v>
      </c>
      <c r="AC400" s="156" t="s">
        <v>36</v>
      </c>
      <c r="AD400" s="145" t="str">
        <f t="shared" si="22"/>
        <v>SÃO PAULO</v>
      </c>
      <c r="AE400" s="92" t="s">
        <v>79</v>
      </c>
    </row>
    <row r="401" spans="1:31" ht="30" customHeight="1">
      <c r="A401" s="161" t="s">
        <v>198</v>
      </c>
      <c r="B401" s="216">
        <v>2620379028</v>
      </c>
      <c r="C401" s="155" t="s">
        <v>151</v>
      </c>
      <c r="D401" s="155" t="s">
        <v>140</v>
      </c>
      <c r="E401" s="155" t="s">
        <v>35</v>
      </c>
      <c r="F401" s="155" t="s">
        <v>964</v>
      </c>
      <c r="G401" s="155">
        <v>81</v>
      </c>
      <c r="H401" s="155" t="s">
        <v>200</v>
      </c>
      <c r="I401" s="155" t="s">
        <v>303</v>
      </c>
      <c r="J401" s="155" t="s">
        <v>1966</v>
      </c>
      <c r="K401" s="155" t="s">
        <v>200</v>
      </c>
      <c r="L401" s="155" t="s">
        <v>1088</v>
      </c>
      <c r="M401" s="155" t="s">
        <v>1089</v>
      </c>
      <c r="N401" s="155" t="s">
        <v>349</v>
      </c>
      <c r="O401" s="152" t="s">
        <v>207</v>
      </c>
      <c r="P401" s="90"/>
      <c r="Q401" s="140" t="s">
        <v>207</v>
      </c>
      <c r="R401" s="90"/>
      <c r="S401" s="140" t="s">
        <v>214</v>
      </c>
      <c r="T401" s="90"/>
      <c r="U401" s="140" t="s">
        <v>214</v>
      </c>
      <c r="V401" s="90"/>
      <c r="W401" s="140" t="s">
        <v>214</v>
      </c>
      <c r="X401" s="90"/>
      <c r="Y401" s="140" t="s">
        <v>207</v>
      </c>
      <c r="Z401" s="177" t="str">
        <f t="shared" si="24"/>
        <v>NC</v>
      </c>
      <c r="AA401" s="190" t="str">
        <f t="shared" si="23"/>
        <v>UTILIZOU O PDA CORRETAMENTE. NÃO HÁ FOTOS DE TODAS AS ETAPAS</v>
      </c>
      <c r="AB401" s="90"/>
      <c r="AC401" s="156" t="s">
        <v>36</v>
      </c>
      <c r="AD401" s="145" t="str">
        <f t="shared" si="22"/>
        <v>SÃO PAULO</v>
      </c>
      <c r="AE401" s="92" t="s">
        <v>79</v>
      </c>
    </row>
    <row r="402" spans="1:31" ht="30" customHeight="1">
      <c r="A402" s="161" t="s">
        <v>198</v>
      </c>
      <c r="B402" s="216">
        <v>2620720682</v>
      </c>
      <c r="C402" s="155" t="s">
        <v>1923</v>
      </c>
      <c r="D402" s="155" t="s">
        <v>79</v>
      </c>
      <c r="E402" s="155" t="s">
        <v>35</v>
      </c>
      <c r="F402" s="155" t="s">
        <v>2425</v>
      </c>
      <c r="G402" s="155">
        <v>367</v>
      </c>
      <c r="H402" s="155" t="s">
        <v>200</v>
      </c>
      <c r="I402" s="155" t="s">
        <v>218</v>
      </c>
      <c r="J402" s="155" t="s">
        <v>1915</v>
      </c>
      <c r="K402" s="155" t="s">
        <v>2319</v>
      </c>
      <c r="L402" s="155" t="s">
        <v>2426</v>
      </c>
      <c r="M402" s="155" t="s">
        <v>2427</v>
      </c>
      <c r="N402" s="155" t="s">
        <v>1944</v>
      </c>
      <c r="O402" s="152" t="s">
        <v>214</v>
      </c>
      <c r="P402" s="90"/>
      <c r="Q402" s="140" t="s">
        <v>214</v>
      </c>
      <c r="R402" s="90"/>
      <c r="S402" s="140" t="s">
        <v>214</v>
      </c>
      <c r="T402" s="90"/>
      <c r="U402" s="140" t="s">
        <v>214</v>
      </c>
      <c r="V402" s="90"/>
      <c r="W402" s="140" t="s">
        <v>207</v>
      </c>
      <c r="X402" s="90"/>
      <c r="Y402" s="140" t="s">
        <v>215</v>
      </c>
      <c r="Z402" s="177" t="str">
        <f t="shared" si="24"/>
        <v>NC</v>
      </c>
      <c r="AA402" s="190" t="str">
        <f t="shared" si="23"/>
        <v>NÃO UTILIZOU O PDA</v>
      </c>
      <c r="AB402" s="90" t="s">
        <v>207</v>
      </c>
      <c r="AC402" s="156" t="s">
        <v>36</v>
      </c>
      <c r="AD402" s="145" t="str">
        <f t="shared" si="22"/>
        <v>SÃO PAULO</v>
      </c>
      <c r="AE402" s="92" t="s">
        <v>79</v>
      </c>
    </row>
    <row r="403" spans="1:31" ht="30" customHeight="1">
      <c r="A403" s="161" t="s">
        <v>198</v>
      </c>
      <c r="B403" s="216">
        <v>2620718759</v>
      </c>
      <c r="C403" s="155" t="s">
        <v>1923</v>
      </c>
      <c r="D403" s="155" t="s">
        <v>79</v>
      </c>
      <c r="E403" s="155" t="s">
        <v>35</v>
      </c>
      <c r="F403" s="155" t="s">
        <v>2428</v>
      </c>
      <c r="G403" s="155">
        <v>67</v>
      </c>
      <c r="H403" s="155" t="s">
        <v>208</v>
      </c>
      <c r="I403" s="155" t="s">
        <v>220</v>
      </c>
      <c r="J403" s="155" t="s">
        <v>1943</v>
      </c>
      <c r="K403" s="155" t="s">
        <v>2429</v>
      </c>
      <c r="L403" s="155" t="s">
        <v>2430</v>
      </c>
      <c r="M403" s="155" t="s">
        <v>2431</v>
      </c>
      <c r="N403" s="155" t="s">
        <v>1925</v>
      </c>
      <c r="O403" s="152" t="s">
        <v>207</v>
      </c>
      <c r="P403" s="90"/>
      <c r="Q403" s="140" t="s">
        <v>207</v>
      </c>
      <c r="R403" s="90"/>
      <c r="S403" s="140" t="s">
        <v>207</v>
      </c>
      <c r="T403" s="90"/>
      <c r="U403" s="140" t="s">
        <v>207</v>
      </c>
      <c r="V403" s="90"/>
      <c r="W403" s="140" t="s">
        <v>215</v>
      </c>
      <c r="X403" s="90" t="s">
        <v>269</v>
      </c>
      <c r="Y403" s="140" t="s">
        <v>207</v>
      </c>
      <c r="Z403" s="177" t="str">
        <f t="shared" si="24"/>
        <v>NC</v>
      </c>
      <c r="AA403" s="190" t="str">
        <f t="shared" si="23"/>
        <v>UTILIZOU O PDA CORRETAMENTE. NÃO HÁ FOTOS DE TODAS AS ETAPAS</v>
      </c>
      <c r="AB403" s="90" t="s">
        <v>207</v>
      </c>
      <c r="AC403" s="156" t="s">
        <v>36</v>
      </c>
      <c r="AD403" s="145" t="str">
        <f t="shared" si="22"/>
        <v>SÃO PAULO</v>
      </c>
      <c r="AE403" s="92" t="s">
        <v>79</v>
      </c>
    </row>
    <row r="404" spans="1:31" ht="30" customHeight="1">
      <c r="A404" s="161" t="s">
        <v>198</v>
      </c>
      <c r="B404" s="216">
        <v>2620714302</v>
      </c>
      <c r="C404" s="155" t="s">
        <v>143</v>
      </c>
      <c r="D404" s="155" t="s">
        <v>79</v>
      </c>
      <c r="E404" s="155" t="s">
        <v>35</v>
      </c>
      <c r="F404" s="155" t="s">
        <v>1400</v>
      </c>
      <c r="G404" s="155">
        <v>7</v>
      </c>
      <c r="H404" s="155" t="s">
        <v>200</v>
      </c>
      <c r="I404" s="155" t="s">
        <v>652</v>
      </c>
      <c r="J404" s="155" t="s">
        <v>1915</v>
      </c>
      <c r="K404" s="155" t="s">
        <v>200</v>
      </c>
      <c r="L404" s="155" t="s">
        <v>2432</v>
      </c>
      <c r="M404" s="155" t="s">
        <v>2433</v>
      </c>
      <c r="N404" s="155" t="s">
        <v>1936</v>
      </c>
      <c r="O404" s="152" t="s">
        <v>207</v>
      </c>
      <c r="P404" s="90"/>
      <c r="Q404" s="140" t="s">
        <v>207</v>
      </c>
      <c r="R404" s="90"/>
      <c r="S404" s="140" t="s">
        <v>214</v>
      </c>
      <c r="T404" s="90"/>
      <c r="U404" s="140" t="s">
        <v>214</v>
      </c>
      <c r="V404" s="90"/>
      <c r="W404" s="140" t="s">
        <v>207</v>
      </c>
      <c r="X404" s="90"/>
      <c r="Y404" s="140" t="s">
        <v>207</v>
      </c>
      <c r="Z404" s="177" t="str">
        <f t="shared" si="24"/>
        <v>NC</v>
      </c>
      <c r="AA404" s="190" t="str">
        <f t="shared" si="23"/>
        <v>UTILIZOU O PDA CORRETAMENTE. NÃO HÁ FOTOS DE TODAS AS ETAPAS</v>
      </c>
      <c r="AB404" s="90" t="s">
        <v>207</v>
      </c>
      <c r="AC404" s="156" t="s">
        <v>36</v>
      </c>
      <c r="AD404" s="145" t="str">
        <f t="shared" si="22"/>
        <v>SÃO PAULO</v>
      </c>
      <c r="AE404" s="92" t="s">
        <v>79</v>
      </c>
    </row>
    <row r="405" spans="1:31" ht="30" customHeight="1">
      <c r="A405" s="161" t="s">
        <v>198</v>
      </c>
      <c r="B405" s="216">
        <v>2693490907</v>
      </c>
      <c r="C405" s="155" t="s">
        <v>143</v>
      </c>
      <c r="D405" s="155" t="s">
        <v>79</v>
      </c>
      <c r="E405" s="155" t="s">
        <v>35</v>
      </c>
      <c r="F405" s="155" t="s">
        <v>844</v>
      </c>
      <c r="G405" s="155">
        <v>43</v>
      </c>
      <c r="H405" s="155" t="s">
        <v>426</v>
      </c>
      <c r="I405" s="155" t="s">
        <v>2434</v>
      </c>
      <c r="J405" s="155" t="s">
        <v>1915</v>
      </c>
      <c r="K405" s="155" t="s">
        <v>200</v>
      </c>
      <c r="L405" s="155" t="s">
        <v>2435</v>
      </c>
      <c r="M405" s="155" t="s">
        <v>2436</v>
      </c>
      <c r="N405" s="155" t="s">
        <v>1936</v>
      </c>
      <c r="O405" s="152" t="s">
        <v>207</v>
      </c>
      <c r="P405" s="90"/>
      <c r="Q405" s="140" t="s">
        <v>214</v>
      </c>
      <c r="R405" s="90"/>
      <c r="S405" s="140" t="s">
        <v>214</v>
      </c>
      <c r="T405" s="90"/>
      <c r="U405" s="140" t="s">
        <v>214</v>
      </c>
      <c r="V405" s="90"/>
      <c r="W405" s="140" t="s">
        <v>207</v>
      </c>
      <c r="X405" s="90"/>
      <c r="Y405" s="140" t="s">
        <v>207</v>
      </c>
      <c r="Z405" s="177" t="str">
        <f t="shared" si="24"/>
        <v>NC</v>
      </c>
      <c r="AA405" s="190" t="str">
        <f t="shared" si="23"/>
        <v>UTILIZOU O PDA CORRETAMENTE. NÃO HÁ FOTOS DE TODAS AS ETAPAS</v>
      </c>
      <c r="AB405" s="90" t="s">
        <v>207</v>
      </c>
      <c r="AC405" s="156" t="s">
        <v>36</v>
      </c>
      <c r="AD405" s="145" t="str">
        <f t="shared" si="22"/>
        <v>SÃO PAULO</v>
      </c>
      <c r="AE405" s="92" t="s">
        <v>79</v>
      </c>
    </row>
    <row r="406" spans="1:31" ht="30" customHeight="1">
      <c r="A406" s="161" t="s">
        <v>198</v>
      </c>
      <c r="B406" s="216">
        <v>2693485017</v>
      </c>
      <c r="C406" s="155" t="s">
        <v>143</v>
      </c>
      <c r="D406" s="155" t="s">
        <v>79</v>
      </c>
      <c r="E406" s="155" t="s">
        <v>35</v>
      </c>
      <c r="F406" s="155" t="s">
        <v>2437</v>
      </c>
      <c r="G406" s="155">
        <v>27</v>
      </c>
      <c r="H406" s="155" t="s">
        <v>380</v>
      </c>
      <c r="I406" s="155" t="s">
        <v>330</v>
      </c>
      <c r="J406" s="155" t="s">
        <v>1915</v>
      </c>
      <c r="K406" s="155" t="s">
        <v>200</v>
      </c>
      <c r="L406" s="155" t="s">
        <v>2438</v>
      </c>
      <c r="M406" s="155" t="s">
        <v>2439</v>
      </c>
      <c r="N406" s="155" t="s">
        <v>1936</v>
      </c>
      <c r="O406" s="152" t="s">
        <v>207</v>
      </c>
      <c r="P406" s="90"/>
      <c r="Q406" s="140" t="s">
        <v>207</v>
      </c>
      <c r="R406" s="90"/>
      <c r="S406" s="140" t="s">
        <v>214</v>
      </c>
      <c r="T406" s="90"/>
      <c r="U406" s="140" t="s">
        <v>214</v>
      </c>
      <c r="V406" s="90"/>
      <c r="W406" s="140" t="s">
        <v>207</v>
      </c>
      <c r="X406" s="90"/>
      <c r="Y406" s="140" t="s">
        <v>207</v>
      </c>
      <c r="Z406" s="177" t="str">
        <f t="shared" si="24"/>
        <v>NC</v>
      </c>
      <c r="AA406" s="190" t="str">
        <f t="shared" si="23"/>
        <v>UTILIZOU O PDA CORRETAMENTE. NÃO HÁ FOTOS DE TODAS AS ETAPAS</v>
      </c>
      <c r="AB406" s="90" t="s">
        <v>207</v>
      </c>
      <c r="AC406" s="156" t="s">
        <v>36</v>
      </c>
      <c r="AD406" s="145" t="str">
        <f t="shared" si="22"/>
        <v>SÃO PAULO</v>
      </c>
      <c r="AE406" s="92" t="s">
        <v>79</v>
      </c>
    </row>
    <row r="407" spans="1:31" ht="30" customHeight="1">
      <c r="A407" s="161" t="s">
        <v>198</v>
      </c>
      <c r="B407" s="216">
        <v>2693495917</v>
      </c>
      <c r="C407" s="155" t="s">
        <v>146</v>
      </c>
      <c r="D407" s="155" t="s">
        <v>79</v>
      </c>
      <c r="E407" s="155" t="s">
        <v>35</v>
      </c>
      <c r="F407" s="155" t="s">
        <v>2440</v>
      </c>
      <c r="G407" s="155">
        <v>7</v>
      </c>
      <c r="H407" s="155" t="s">
        <v>325</v>
      </c>
      <c r="I407" s="155" t="s">
        <v>241</v>
      </c>
      <c r="J407" s="155" t="s">
        <v>1915</v>
      </c>
      <c r="K407" s="155" t="s">
        <v>200</v>
      </c>
      <c r="L407" s="155" t="s">
        <v>2441</v>
      </c>
      <c r="M407" s="155" t="s">
        <v>2442</v>
      </c>
      <c r="N407" s="155" t="s">
        <v>1936</v>
      </c>
      <c r="O407" s="152" t="s">
        <v>207</v>
      </c>
      <c r="P407" s="90"/>
      <c r="Q407" s="140" t="s">
        <v>207</v>
      </c>
      <c r="R407" s="90"/>
      <c r="S407" s="140" t="s">
        <v>214</v>
      </c>
      <c r="T407" s="90"/>
      <c r="U407" s="140" t="s">
        <v>214</v>
      </c>
      <c r="V407" s="90"/>
      <c r="W407" s="140" t="s">
        <v>207</v>
      </c>
      <c r="X407" s="90"/>
      <c r="Y407" s="140" t="s">
        <v>207</v>
      </c>
      <c r="Z407" s="177" t="str">
        <f t="shared" si="24"/>
        <v>NC</v>
      </c>
      <c r="AA407" s="190" t="str">
        <f t="shared" si="23"/>
        <v>UTILIZOU O PDA CORRETAMENTE. NÃO HÁ FOTOS DE TODAS AS ETAPAS</v>
      </c>
      <c r="AB407" s="90" t="s">
        <v>207</v>
      </c>
      <c r="AC407" s="156" t="s">
        <v>36</v>
      </c>
      <c r="AD407" s="145" t="str">
        <f t="shared" si="22"/>
        <v>SÃO PAULO</v>
      </c>
      <c r="AE407" s="92" t="s">
        <v>79</v>
      </c>
    </row>
    <row r="408" spans="1:31" ht="30" customHeight="1">
      <c r="A408" s="161" t="s">
        <v>198</v>
      </c>
      <c r="B408" s="216">
        <v>2620720406</v>
      </c>
      <c r="C408" s="155" t="s">
        <v>143</v>
      </c>
      <c r="D408" s="155" t="s">
        <v>79</v>
      </c>
      <c r="E408" s="155" t="s">
        <v>35</v>
      </c>
      <c r="F408" s="155" t="s">
        <v>793</v>
      </c>
      <c r="G408" s="155">
        <v>226</v>
      </c>
      <c r="H408" s="155" t="s">
        <v>200</v>
      </c>
      <c r="I408" s="155" t="s">
        <v>615</v>
      </c>
      <c r="J408" s="155" t="s">
        <v>1915</v>
      </c>
      <c r="K408" s="155" t="s">
        <v>200</v>
      </c>
      <c r="L408" s="155" t="s">
        <v>2443</v>
      </c>
      <c r="M408" s="155" t="s">
        <v>2444</v>
      </c>
      <c r="N408" s="155" t="s">
        <v>1936</v>
      </c>
      <c r="O408" s="152" t="s">
        <v>207</v>
      </c>
      <c r="P408" s="90"/>
      <c r="Q408" s="140" t="s">
        <v>207</v>
      </c>
      <c r="R408" s="90"/>
      <c r="S408" s="140" t="s">
        <v>214</v>
      </c>
      <c r="T408" s="90"/>
      <c r="U408" s="140" t="s">
        <v>214</v>
      </c>
      <c r="V408" s="90"/>
      <c r="W408" s="140" t="s">
        <v>207</v>
      </c>
      <c r="X408" s="90"/>
      <c r="Y408" s="140" t="s">
        <v>207</v>
      </c>
      <c r="Z408" s="177" t="str">
        <f t="shared" si="24"/>
        <v>NC</v>
      </c>
      <c r="AA408" s="190" t="str">
        <f t="shared" si="23"/>
        <v>UTILIZOU O PDA CORRETAMENTE. NÃO HÁ FOTOS DE TODAS AS ETAPAS</v>
      </c>
      <c r="AB408" s="90" t="s">
        <v>207</v>
      </c>
      <c r="AC408" s="156" t="s">
        <v>36</v>
      </c>
      <c r="AD408" s="145" t="str">
        <f t="shared" si="22"/>
        <v>SÃO PAULO</v>
      </c>
      <c r="AE408" s="92" t="s">
        <v>79</v>
      </c>
    </row>
    <row r="409" spans="1:31" ht="30" customHeight="1">
      <c r="A409" s="161" t="s">
        <v>198</v>
      </c>
      <c r="B409" s="216">
        <v>2693502883</v>
      </c>
      <c r="C409" s="155" t="s">
        <v>143</v>
      </c>
      <c r="D409" s="155" t="s">
        <v>79</v>
      </c>
      <c r="E409" s="155" t="s">
        <v>35</v>
      </c>
      <c r="F409" s="155" t="s">
        <v>752</v>
      </c>
      <c r="G409" s="155">
        <v>1513</v>
      </c>
      <c r="H409" s="155" t="s">
        <v>208</v>
      </c>
      <c r="I409" s="155" t="s">
        <v>411</v>
      </c>
      <c r="J409" s="155" t="s">
        <v>1915</v>
      </c>
      <c r="K409" s="155" t="s">
        <v>200</v>
      </c>
      <c r="L409" s="155" t="s">
        <v>2445</v>
      </c>
      <c r="M409" s="155" t="s">
        <v>2446</v>
      </c>
      <c r="N409" s="155" t="s">
        <v>1936</v>
      </c>
      <c r="O409" s="152" t="s">
        <v>207</v>
      </c>
      <c r="P409" s="90"/>
      <c r="Q409" s="140" t="s">
        <v>207</v>
      </c>
      <c r="R409" s="90"/>
      <c r="S409" s="140" t="s">
        <v>214</v>
      </c>
      <c r="T409" s="90"/>
      <c r="U409" s="140" t="s">
        <v>214</v>
      </c>
      <c r="V409" s="90"/>
      <c r="W409" s="140" t="s">
        <v>207</v>
      </c>
      <c r="X409" s="90"/>
      <c r="Y409" s="140" t="s">
        <v>207</v>
      </c>
      <c r="Z409" s="177" t="str">
        <f t="shared" si="24"/>
        <v>NC</v>
      </c>
      <c r="AA409" s="190" t="str">
        <f t="shared" si="23"/>
        <v>UTILIZOU O PDA CORRETAMENTE. NÃO HÁ FOTOS DE TODAS AS ETAPAS</v>
      </c>
      <c r="AB409" s="90" t="s">
        <v>207</v>
      </c>
      <c r="AC409" s="156" t="s">
        <v>36</v>
      </c>
      <c r="AD409" s="145" t="str">
        <f t="shared" si="22"/>
        <v>SÃO PAULO</v>
      </c>
      <c r="AE409" s="92" t="s">
        <v>79</v>
      </c>
    </row>
    <row r="410" spans="1:31" ht="30" customHeight="1">
      <c r="A410" s="161" t="s">
        <v>198</v>
      </c>
      <c r="B410" s="216">
        <v>2620721718</v>
      </c>
      <c r="C410" s="155" t="s">
        <v>146</v>
      </c>
      <c r="D410" s="155" t="s">
        <v>79</v>
      </c>
      <c r="E410" s="155" t="s">
        <v>35</v>
      </c>
      <c r="F410" s="155" t="s">
        <v>2447</v>
      </c>
      <c r="G410" s="155">
        <v>102</v>
      </c>
      <c r="H410" s="155" t="s">
        <v>200</v>
      </c>
      <c r="I410" s="155" t="s">
        <v>571</v>
      </c>
      <c r="J410" s="155" t="s">
        <v>1915</v>
      </c>
      <c r="K410" s="155" t="s">
        <v>200</v>
      </c>
      <c r="L410" s="155" t="s">
        <v>2448</v>
      </c>
      <c r="M410" s="155" t="s">
        <v>2449</v>
      </c>
      <c r="N410" s="155" t="s">
        <v>1936</v>
      </c>
      <c r="O410" s="152" t="s">
        <v>207</v>
      </c>
      <c r="P410" s="90"/>
      <c r="Q410" s="140" t="s">
        <v>207</v>
      </c>
      <c r="R410" s="90"/>
      <c r="S410" s="140" t="s">
        <v>207</v>
      </c>
      <c r="T410" s="90"/>
      <c r="U410" s="140" t="s">
        <v>207</v>
      </c>
      <c r="V410" s="90"/>
      <c r="W410" s="140" t="s">
        <v>207</v>
      </c>
      <c r="X410" s="90"/>
      <c r="Y410" s="140" t="s">
        <v>207</v>
      </c>
      <c r="Z410" s="177" t="str">
        <f t="shared" si="24"/>
        <v>C</v>
      </c>
      <c r="AA410" s="190" t="str">
        <f t="shared" si="23"/>
        <v>UTILIZOU O PDA CORRETAMENTE</v>
      </c>
      <c r="AB410" s="90" t="s">
        <v>207</v>
      </c>
      <c r="AC410" s="156" t="s">
        <v>36</v>
      </c>
      <c r="AD410" s="145" t="str">
        <f t="shared" si="22"/>
        <v>SÃO PAULO</v>
      </c>
      <c r="AE410" s="92" t="s">
        <v>79</v>
      </c>
    </row>
    <row r="411" spans="1:31" ht="30" customHeight="1">
      <c r="A411" s="161" t="s">
        <v>198</v>
      </c>
      <c r="B411" s="216">
        <v>2620791584</v>
      </c>
      <c r="C411" s="155" t="s">
        <v>151</v>
      </c>
      <c r="D411" s="155" t="s">
        <v>140</v>
      </c>
      <c r="E411" s="155" t="s">
        <v>35</v>
      </c>
      <c r="F411" s="155" t="s">
        <v>2450</v>
      </c>
      <c r="G411" s="155">
        <v>154</v>
      </c>
      <c r="H411" s="155" t="s">
        <v>200</v>
      </c>
      <c r="I411" s="155" t="s">
        <v>300</v>
      </c>
      <c r="J411" s="155" t="s">
        <v>1966</v>
      </c>
      <c r="K411" s="155" t="s">
        <v>200</v>
      </c>
      <c r="L411" s="155" t="s">
        <v>2451</v>
      </c>
      <c r="M411" s="155" t="s">
        <v>2452</v>
      </c>
      <c r="N411" s="155" t="s">
        <v>235</v>
      </c>
      <c r="O411" s="152" t="s">
        <v>215</v>
      </c>
      <c r="P411" s="90" t="s">
        <v>227</v>
      </c>
      <c r="Q411" s="152" t="s">
        <v>215</v>
      </c>
      <c r="R411" s="90" t="s">
        <v>227</v>
      </c>
      <c r="S411" s="152" t="s">
        <v>215</v>
      </c>
      <c r="T411" s="90" t="s">
        <v>227</v>
      </c>
      <c r="U411" s="152" t="s">
        <v>215</v>
      </c>
      <c r="V411" s="90" t="s">
        <v>227</v>
      </c>
      <c r="W411" s="152" t="s">
        <v>215</v>
      </c>
      <c r="X411" s="90" t="s">
        <v>227</v>
      </c>
      <c r="Y411" s="152" t="s">
        <v>215</v>
      </c>
      <c r="Z411" s="177" t="str">
        <f t="shared" si="24"/>
        <v>NC</v>
      </c>
      <c r="AA411" s="190" t="str">
        <f t="shared" si="23"/>
        <v>NÃO UTILIZOU O PDA</v>
      </c>
      <c r="AB411" s="90" t="s">
        <v>207</v>
      </c>
      <c r="AC411" s="156" t="s">
        <v>36</v>
      </c>
      <c r="AD411" s="145" t="str">
        <f t="shared" si="22"/>
        <v>SÃO PAULO</v>
      </c>
      <c r="AE411" s="92" t="s">
        <v>79</v>
      </c>
    </row>
    <row r="412" spans="1:31" ht="30" customHeight="1">
      <c r="A412" s="161" t="s">
        <v>198</v>
      </c>
      <c r="B412" s="216">
        <v>2620779769</v>
      </c>
      <c r="C412" s="155" t="s">
        <v>1923</v>
      </c>
      <c r="D412" s="155" t="s">
        <v>79</v>
      </c>
      <c r="E412" s="155" t="s">
        <v>35</v>
      </c>
      <c r="F412" s="155" t="s">
        <v>555</v>
      </c>
      <c r="G412" s="155">
        <v>140</v>
      </c>
      <c r="H412" s="155" t="s">
        <v>205</v>
      </c>
      <c r="I412" s="155" t="s">
        <v>417</v>
      </c>
      <c r="J412" s="155" t="s">
        <v>1915</v>
      </c>
      <c r="K412" s="155" t="s">
        <v>2060</v>
      </c>
      <c r="L412" s="155" t="s">
        <v>2453</v>
      </c>
      <c r="M412" s="155" t="s">
        <v>2454</v>
      </c>
      <c r="N412" s="155" t="s">
        <v>1925</v>
      </c>
      <c r="O412" s="152" t="s">
        <v>214</v>
      </c>
      <c r="P412" s="90"/>
      <c r="Q412" s="140" t="s">
        <v>214</v>
      </c>
      <c r="R412" s="90"/>
      <c r="S412" s="140" t="s">
        <v>214</v>
      </c>
      <c r="T412" s="90"/>
      <c r="U412" s="140" t="s">
        <v>214</v>
      </c>
      <c r="V412" s="90"/>
      <c r="W412" s="140" t="s">
        <v>214</v>
      </c>
      <c r="X412" s="90"/>
      <c r="Y412" s="140" t="s">
        <v>207</v>
      </c>
      <c r="Z412" s="177" t="str">
        <f t="shared" si="24"/>
        <v>NC</v>
      </c>
      <c r="AA412" s="190" t="str">
        <f t="shared" si="23"/>
        <v>UTILIZOU O PDA CORRETAMENTE. NÃO HÁ FOTOS DE TODAS AS ETAPAS</v>
      </c>
      <c r="AB412" s="90" t="s">
        <v>207</v>
      </c>
      <c r="AC412" s="156" t="s">
        <v>36</v>
      </c>
      <c r="AD412" s="145" t="str">
        <f t="shared" si="22"/>
        <v>SÃO PAULO</v>
      </c>
      <c r="AE412" s="92" t="s">
        <v>79</v>
      </c>
    </row>
    <row r="413" spans="1:31" ht="30" customHeight="1">
      <c r="A413" s="161" t="s">
        <v>198</v>
      </c>
      <c r="B413" s="216">
        <v>2620781258</v>
      </c>
      <c r="C413" s="155" t="s">
        <v>1923</v>
      </c>
      <c r="D413" s="155" t="s">
        <v>79</v>
      </c>
      <c r="E413" s="155" t="s">
        <v>35</v>
      </c>
      <c r="F413" s="155" t="s">
        <v>2455</v>
      </c>
      <c r="G413" s="155">
        <v>762</v>
      </c>
      <c r="H413" s="155" t="s">
        <v>200</v>
      </c>
      <c r="I413" s="155" t="s">
        <v>1188</v>
      </c>
      <c r="J413" s="155" t="s">
        <v>1915</v>
      </c>
      <c r="K413" s="155" t="s">
        <v>2060</v>
      </c>
      <c r="L413" s="155" t="s">
        <v>2456</v>
      </c>
      <c r="M413" s="155" t="s">
        <v>2457</v>
      </c>
      <c r="N413" s="155" t="s">
        <v>1925</v>
      </c>
      <c r="O413" s="152" t="s">
        <v>214</v>
      </c>
      <c r="P413" s="90"/>
      <c r="Q413" s="140" t="s">
        <v>214</v>
      </c>
      <c r="R413" s="90"/>
      <c r="S413" s="140" t="s">
        <v>214</v>
      </c>
      <c r="T413" s="90"/>
      <c r="U413" s="140" t="s">
        <v>214</v>
      </c>
      <c r="V413" s="90"/>
      <c r="W413" s="140" t="s">
        <v>214</v>
      </c>
      <c r="X413" s="90"/>
      <c r="Y413" s="140" t="s">
        <v>215</v>
      </c>
      <c r="Z413" s="177" t="str">
        <f t="shared" si="24"/>
        <v>NC</v>
      </c>
      <c r="AA413" s="190" t="str">
        <f t="shared" si="23"/>
        <v>NÃO UTILIZOU O PDA</v>
      </c>
      <c r="AB413" s="90" t="s">
        <v>207</v>
      </c>
      <c r="AC413" s="156" t="s">
        <v>36</v>
      </c>
      <c r="AD413" s="145" t="str">
        <f t="shared" si="22"/>
        <v>SÃO PAULO</v>
      </c>
      <c r="AE413" s="92" t="s">
        <v>79</v>
      </c>
    </row>
    <row r="414" spans="1:31" ht="30" customHeight="1">
      <c r="A414" s="161" t="s">
        <v>198</v>
      </c>
      <c r="B414" s="216">
        <v>2620783318</v>
      </c>
      <c r="C414" s="155" t="s">
        <v>1923</v>
      </c>
      <c r="D414" s="155" t="s">
        <v>79</v>
      </c>
      <c r="E414" s="155" t="s">
        <v>35</v>
      </c>
      <c r="F414" s="155" t="s">
        <v>977</v>
      </c>
      <c r="G414" s="155">
        <v>173</v>
      </c>
      <c r="H414" s="155" t="s">
        <v>208</v>
      </c>
      <c r="I414" s="155" t="s">
        <v>591</v>
      </c>
      <c r="J414" s="155" t="s">
        <v>1915</v>
      </c>
      <c r="K414" s="155" t="s">
        <v>2458</v>
      </c>
      <c r="L414" s="155" t="s">
        <v>2459</v>
      </c>
      <c r="M414" s="155" t="s">
        <v>2460</v>
      </c>
      <c r="N414" s="155" t="s">
        <v>1919</v>
      </c>
      <c r="O414" s="152" t="s">
        <v>214</v>
      </c>
      <c r="P414" s="90"/>
      <c r="Q414" s="140" t="s">
        <v>214</v>
      </c>
      <c r="R414" s="90"/>
      <c r="S414" s="140" t="s">
        <v>214</v>
      </c>
      <c r="T414" s="90"/>
      <c r="U414" s="140" t="s">
        <v>214</v>
      </c>
      <c r="V414" s="90"/>
      <c r="W414" s="140" t="s">
        <v>214</v>
      </c>
      <c r="X414" s="90"/>
      <c r="Y414" s="140" t="s">
        <v>215</v>
      </c>
      <c r="Z414" s="177" t="str">
        <f t="shared" si="24"/>
        <v>NC</v>
      </c>
      <c r="AA414" s="190" t="str">
        <f t="shared" si="23"/>
        <v>NÃO UTILIZOU O PDA</v>
      </c>
      <c r="AB414" s="90" t="s">
        <v>207</v>
      </c>
      <c r="AC414" s="156" t="s">
        <v>36</v>
      </c>
      <c r="AD414" s="145" t="str">
        <f t="shared" si="22"/>
        <v>SÃO PAULO</v>
      </c>
      <c r="AE414" s="92" t="s">
        <v>79</v>
      </c>
    </row>
    <row r="415" spans="1:31" ht="30" customHeight="1">
      <c r="A415" s="161" t="s">
        <v>198</v>
      </c>
      <c r="B415" s="216">
        <v>2620788569</v>
      </c>
      <c r="C415" s="155" t="s">
        <v>1923</v>
      </c>
      <c r="D415" s="155" t="s">
        <v>79</v>
      </c>
      <c r="E415" s="155" t="s">
        <v>35</v>
      </c>
      <c r="F415" s="155" t="s">
        <v>977</v>
      </c>
      <c r="G415" s="155">
        <v>173</v>
      </c>
      <c r="H415" s="155" t="s">
        <v>205</v>
      </c>
      <c r="I415" s="155" t="s">
        <v>591</v>
      </c>
      <c r="J415" s="155" t="s">
        <v>1915</v>
      </c>
      <c r="K415" s="155" t="s">
        <v>2461</v>
      </c>
      <c r="L415" s="155" t="s">
        <v>2462</v>
      </c>
      <c r="M415" s="155" t="s">
        <v>2463</v>
      </c>
      <c r="N415" s="155" t="s">
        <v>1919</v>
      </c>
      <c r="O415" s="152" t="s">
        <v>214</v>
      </c>
      <c r="P415" s="90"/>
      <c r="Q415" s="140" t="s">
        <v>214</v>
      </c>
      <c r="R415" s="90"/>
      <c r="S415" s="140" t="s">
        <v>214</v>
      </c>
      <c r="T415" s="90"/>
      <c r="U415" s="140" t="s">
        <v>214</v>
      </c>
      <c r="V415" s="90"/>
      <c r="W415" s="140" t="s">
        <v>207</v>
      </c>
      <c r="X415" s="90"/>
      <c r="Y415" s="140" t="s">
        <v>207</v>
      </c>
      <c r="Z415" s="177" t="str">
        <f t="shared" si="24"/>
        <v>NC</v>
      </c>
      <c r="AA415" s="190" t="str">
        <f t="shared" si="23"/>
        <v>UTILIZOU O PDA CORRETAMENTE. NÃO HÁ FOTOS DE TODAS AS ETAPAS</v>
      </c>
      <c r="AB415" s="90"/>
      <c r="AC415" s="156" t="s">
        <v>36</v>
      </c>
      <c r="AD415" s="145" t="str">
        <f t="shared" si="22"/>
        <v>SÃO PAULO</v>
      </c>
      <c r="AE415" s="92" t="s">
        <v>79</v>
      </c>
    </row>
    <row r="416" spans="1:31" ht="30" customHeight="1">
      <c r="A416" s="161" t="s">
        <v>198</v>
      </c>
      <c r="B416" s="216">
        <v>2620779166</v>
      </c>
      <c r="C416" s="155" t="s">
        <v>1923</v>
      </c>
      <c r="D416" s="155" t="s">
        <v>79</v>
      </c>
      <c r="E416" s="155" t="s">
        <v>35</v>
      </c>
      <c r="F416" s="155" t="s">
        <v>1930</v>
      </c>
      <c r="G416" s="155">
        <v>497</v>
      </c>
      <c r="H416" s="155" t="s">
        <v>208</v>
      </c>
      <c r="I416" s="155" t="s">
        <v>479</v>
      </c>
      <c r="J416" s="155" t="s">
        <v>1915</v>
      </c>
      <c r="K416" s="155" t="s">
        <v>2060</v>
      </c>
      <c r="L416" s="155" t="s">
        <v>2454</v>
      </c>
      <c r="M416" s="155" t="s">
        <v>2456</v>
      </c>
      <c r="N416" s="155" t="s">
        <v>1925</v>
      </c>
      <c r="O416" s="152" t="s">
        <v>207</v>
      </c>
      <c r="P416" s="90"/>
      <c r="Q416" s="140" t="s">
        <v>207</v>
      </c>
      <c r="R416" s="90"/>
      <c r="S416" s="140" t="s">
        <v>214</v>
      </c>
      <c r="T416" s="90"/>
      <c r="U416" s="140" t="s">
        <v>214</v>
      </c>
      <c r="V416" s="90"/>
      <c r="W416" s="140" t="s">
        <v>214</v>
      </c>
      <c r="X416" s="90"/>
      <c r="Y416" s="140" t="s">
        <v>207</v>
      </c>
      <c r="Z416" s="177" t="str">
        <f t="shared" si="24"/>
        <v>NC</v>
      </c>
      <c r="AA416" s="190" t="str">
        <f t="shared" si="23"/>
        <v>UTILIZOU O PDA CORRETAMENTE. NÃO HÁ FOTOS DE TODAS AS ETAPAS</v>
      </c>
      <c r="AB416" s="90"/>
      <c r="AC416" s="156" t="s">
        <v>36</v>
      </c>
      <c r="AD416" s="145" t="str">
        <f t="shared" si="22"/>
        <v>SÃO PAULO</v>
      </c>
      <c r="AE416" s="92" t="s">
        <v>79</v>
      </c>
    </row>
    <row r="417" spans="1:31" ht="30" customHeight="1">
      <c r="A417" s="161" t="s">
        <v>198</v>
      </c>
      <c r="B417" s="216">
        <v>2620792290</v>
      </c>
      <c r="C417" s="155" t="s">
        <v>1923</v>
      </c>
      <c r="D417" s="155" t="s">
        <v>79</v>
      </c>
      <c r="E417" s="155" t="s">
        <v>35</v>
      </c>
      <c r="F417" s="155" t="s">
        <v>539</v>
      </c>
      <c r="G417" s="155">
        <v>22</v>
      </c>
      <c r="H417" s="155" t="s">
        <v>325</v>
      </c>
      <c r="I417" s="155" t="s">
        <v>230</v>
      </c>
      <c r="J417" s="155" t="s">
        <v>1915</v>
      </c>
      <c r="K417" s="155" t="s">
        <v>2060</v>
      </c>
      <c r="L417" s="155" t="s">
        <v>2464</v>
      </c>
      <c r="M417" s="155" t="s">
        <v>2465</v>
      </c>
      <c r="N417" s="155" t="s">
        <v>1925</v>
      </c>
      <c r="O417" s="152" t="s">
        <v>214</v>
      </c>
      <c r="P417" s="90"/>
      <c r="Q417" s="140" t="s">
        <v>214</v>
      </c>
      <c r="R417" s="90"/>
      <c r="S417" s="140" t="s">
        <v>214</v>
      </c>
      <c r="T417" s="90"/>
      <c r="U417" s="140" t="s">
        <v>214</v>
      </c>
      <c r="V417" s="90"/>
      <c r="W417" s="140" t="s">
        <v>214</v>
      </c>
      <c r="X417" s="90"/>
      <c r="Y417" s="140" t="s">
        <v>215</v>
      </c>
      <c r="Z417" s="177" t="str">
        <f t="shared" si="24"/>
        <v>NC</v>
      </c>
      <c r="AA417" s="190" t="str">
        <f t="shared" si="23"/>
        <v>NÃO UTILIZOU O PDA</v>
      </c>
      <c r="AB417" s="90" t="s">
        <v>207</v>
      </c>
      <c r="AC417" s="156" t="s">
        <v>36</v>
      </c>
      <c r="AD417" s="145" t="str">
        <f t="shared" si="22"/>
        <v>SÃO PAULO</v>
      </c>
      <c r="AE417" s="92" t="s">
        <v>79</v>
      </c>
    </row>
    <row r="418" spans="1:31" ht="30" customHeight="1">
      <c r="A418" s="161" t="s">
        <v>198</v>
      </c>
      <c r="B418" s="216">
        <v>2620792304</v>
      </c>
      <c r="C418" s="155" t="s">
        <v>1923</v>
      </c>
      <c r="D418" s="155" t="s">
        <v>79</v>
      </c>
      <c r="E418" s="155" t="s">
        <v>35</v>
      </c>
      <c r="F418" s="155" t="s">
        <v>2337</v>
      </c>
      <c r="G418" s="155">
        <v>171</v>
      </c>
      <c r="H418" s="155" t="s">
        <v>257</v>
      </c>
      <c r="I418" s="155" t="s">
        <v>567</v>
      </c>
      <c r="J418" s="155" t="s">
        <v>1915</v>
      </c>
      <c r="K418" s="155" t="s">
        <v>2060</v>
      </c>
      <c r="L418" s="155" t="s">
        <v>2466</v>
      </c>
      <c r="M418" s="155" t="s">
        <v>2467</v>
      </c>
      <c r="N418" s="155" t="s">
        <v>1925</v>
      </c>
      <c r="O418" s="152" t="s">
        <v>214</v>
      </c>
      <c r="P418" s="90"/>
      <c r="Q418" s="140" t="s">
        <v>214</v>
      </c>
      <c r="R418" s="90"/>
      <c r="S418" s="140" t="s">
        <v>214</v>
      </c>
      <c r="T418" s="90"/>
      <c r="U418" s="140" t="s">
        <v>214</v>
      </c>
      <c r="V418" s="90"/>
      <c r="W418" s="140" t="s">
        <v>214</v>
      </c>
      <c r="X418" s="90"/>
      <c r="Y418" s="140" t="s">
        <v>215</v>
      </c>
      <c r="Z418" s="177" t="str">
        <f t="shared" si="24"/>
        <v>NC</v>
      </c>
      <c r="AA418" s="190" t="str">
        <f t="shared" si="23"/>
        <v>NÃO UTILIZOU O PDA</v>
      </c>
      <c r="AB418" s="90" t="s">
        <v>207</v>
      </c>
      <c r="AC418" s="156" t="s">
        <v>36</v>
      </c>
      <c r="AD418" s="145" t="str">
        <f t="shared" ref="AD418:AD481" si="25">E418</f>
        <v>SÃO PAULO</v>
      </c>
      <c r="AE418" s="92" t="s">
        <v>79</v>
      </c>
    </row>
    <row r="419" spans="1:31" ht="30" customHeight="1">
      <c r="A419" s="161" t="s">
        <v>198</v>
      </c>
      <c r="B419" s="216">
        <v>2620792344</v>
      </c>
      <c r="C419" s="155" t="s">
        <v>1923</v>
      </c>
      <c r="D419" s="155" t="s">
        <v>79</v>
      </c>
      <c r="E419" s="155" t="s">
        <v>35</v>
      </c>
      <c r="F419" s="155" t="s">
        <v>442</v>
      </c>
      <c r="G419" s="155">
        <v>248</v>
      </c>
      <c r="H419" s="155" t="s">
        <v>205</v>
      </c>
      <c r="I419" s="155" t="s">
        <v>225</v>
      </c>
      <c r="J419" s="155" t="s">
        <v>1915</v>
      </c>
      <c r="K419" s="155" t="s">
        <v>2060</v>
      </c>
      <c r="L419" s="155" t="s">
        <v>2468</v>
      </c>
      <c r="M419" s="155" t="s">
        <v>2468</v>
      </c>
      <c r="N419" s="155" t="s">
        <v>1925</v>
      </c>
      <c r="O419" s="152" t="s">
        <v>214</v>
      </c>
      <c r="P419" s="90"/>
      <c r="Q419" s="140" t="s">
        <v>214</v>
      </c>
      <c r="R419" s="90"/>
      <c r="S419" s="140" t="s">
        <v>214</v>
      </c>
      <c r="T419" s="90"/>
      <c r="U419" s="140" t="s">
        <v>214</v>
      </c>
      <c r="V419" s="90"/>
      <c r="W419" s="140" t="s">
        <v>214</v>
      </c>
      <c r="X419" s="90"/>
      <c r="Y419" s="140" t="s">
        <v>215</v>
      </c>
      <c r="Z419" s="177" t="str">
        <f t="shared" si="24"/>
        <v>NC</v>
      </c>
      <c r="AA419" s="190" t="str">
        <f t="shared" si="23"/>
        <v>NÃO UTILIZOU O PDA</v>
      </c>
      <c r="AB419" s="90"/>
      <c r="AC419" s="156" t="s">
        <v>36</v>
      </c>
      <c r="AD419" s="145" t="str">
        <f t="shared" si="25"/>
        <v>SÃO PAULO</v>
      </c>
      <c r="AE419" s="92" t="s">
        <v>79</v>
      </c>
    </row>
    <row r="420" spans="1:31" ht="30" customHeight="1">
      <c r="A420" s="161" t="s">
        <v>198</v>
      </c>
      <c r="B420" s="216">
        <v>2620792149</v>
      </c>
      <c r="C420" s="155" t="s">
        <v>1923</v>
      </c>
      <c r="D420" s="155" t="s">
        <v>79</v>
      </c>
      <c r="E420" s="155" t="s">
        <v>35</v>
      </c>
      <c r="F420" s="155" t="s">
        <v>2469</v>
      </c>
      <c r="G420" s="155">
        <v>27</v>
      </c>
      <c r="H420" s="155" t="s">
        <v>401</v>
      </c>
      <c r="I420" s="155" t="s">
        <v>548</v>
      </c>
      <c r="J420" s="155" t="s">
        <v>1915</v>
      </c>
      <c r="K420" s="155" t="s">
        <v>2461</v>
      </c>
      <c r="L420" s="155" t="s">
        <v>2470</v>
      </c>
      <c r="M420" s="155" t="s">
        <v>2471</v>
      </c>
      <c r="N420" s="155" t="s">
        <v>1919</v>
      </c>
      <c r="O420" s="152" t="s">
        <v>214</v>
      </c>
      <c r="P420" s="90"/>
      <c r="Q420" s="140" t="s">
        <v>214</v>
      </c>
      <c r="R420" s="90"/>
      <c r="S420" s="140" t="s">
        <v>214</v>
      </c>
      <c r="T420" s="90"/>
      <c r="U420" s="140" t="s">
        <v>214</v>
      </c>
      <c r="V420" s="90"/>
      <c r="W420" s="140" t="s">
        <v>214</v>
      </c>
      <c r="X420" s="90"/>
      <c r="Y420" s="140" t="s">
        <v>215</v>
      </c>
      <c r="Z420" s="177" t="str">
        <f t="shared" si="24"/>
        <v>NC</v>
      </c>
      <c r="AA420" s="190" t="str">
        <f t="shared" si="23"/>
        <v>NÃO UTILIZOU O PDA</v>
      </c>
      <c r="AB420" s="90" t="s">
        <v>207</v>
      </c>
      <c r="AC420" s="156" t="s">
        <v>36</v>
      </c>
      <c r="AD420" s="145" t="str">
        <f t="shared" si="25"/>
        <v>SÃO PAULO</v>
      </c>
      <c r="AE420" s="92" t="s">
        <v>79</v>
      </c>
    </row>
    <row r="421" spans="1:31" ht="30" customHeight="1">
      <c r="A421" s="161" t="s">
        <v>198</v>
      </c>
      <c r="B421" s="216">
        <v>2620792170</v>
      </c>
      <c r="C421" s="155" t="s">
        <v>1923</v>
      </c>
      <c r="D421" s="155" t="s">
        <v>79</v>
      </c>
      <c r="E421" s="155" t="s">
        <v>35</v>
      </c>
      <c r="F421" s="155" t="s">
        <v>547</v>
      </c>
      <c r="G421" s="155">
        <v>548</v>
      </c>
      <c r="H421" s="155" t="s">
        <v>208</v>
      </c>
      <c r="I421" s="155" t="s">
        <v>548</v>
      </c>
      <c r="J421" s="155" t="s">
        <v>1915</v>
      </c>
      <c r="K421" s="155" t="s">
        <v>2472</v>
      </c>
      <c r="L421" s="155" t="s">
        <v>2473</v>
      </c>
      <c r="M421" s="155" t="s">
        <v>2474</v>
      </c>
      <c r="N421" s="155" t="s">
        <v>1919</v>
      </c>
      <c r="O421" s="152" t="s">
        <v>214</v>
      </c>
      <c r="P421" s="90"/>
      <c r="Q421" s="140" t="s">
        <v>214</v>
      </c>
      <c r="R421" s="90"/>
      <c r="S421" s="140" t="s">
        <v>214</v>
      </c>
      <c r="T421" s="90"/>
      <c r="U421" s="140" t="s">
        <v>214</v>
      </c>
      <c r="V421" s="90"/>
      <c r="W421" s="140" t="s">
        <v>214</v>
      </c>
      <c r="X421" s="90"/>
      <c r="Y421" s="140" t="s">
        <v>215</v>
      </c>
      <c r="Z421" s="177" t="str">
        <f t="shared" si="24"/>
        <v>NC</v>
      </c>
      <c r="AA421" s="190" t="str">
        <f t="shared" si="23"/>
        <v>NÃO UTILIZOU O PDA</v>
      </c>
      <c r="AB421" s="90" t="s">
        <v>207</v>
      </c>
      <c r="AC421" s="156" t="s">
        <v>36</v>
      </c>
      <c r="AD421" s="145" t="str">
        <f t="shared" si="25"/>
        <v>SÃO PAULO</v>
      </c>
      <c r="AE421" s="92" t="s">
        <v>79</v>
      </c>
    </row>
    <row r="422" spans="1:31" ht="30" customHeight="1">
      <c r="A422" s="161" t="s">
        <v>198</v>
      </c>
      <c r="B422" s="216">
        <v>2620792158</v>
      </c>
      <c r="C422" s="155" t="s">
        <v>1923</v>
      </c>
      <c r="D422" s="155" t="s">
        <v>79</v>
      </c>
      <c r="E422" s="155" t="s">
        <v>35</v>
      </c>
      <c r="F422" s="155" t="s">
        <v>2261</v>
      </c>
      <c r="G422" s="155">
        <v>137</v>
      </c>
      <c r="H422" s="155" t="s">
        <v>208</v>
      </c>
      <c r="I422" s="155" t="s">
        <v>515</v>
      </c>
      <c r="J422" s="155" t="s">
        <v>1915</v>
      </c>
      <c r="K422" s="155" t="s">
        <v>200</v>
      </c>
      <c r="L422" s="155" t="s">
        <v>2475</v>
      </c>
      <c r="M422" s="155" t="s">
        <v>2464</v>
      </c>
      <c r="N422" s="155" t="s">
        <v>1925</v>
      </c>
      <c r="O422" s="152" t="s">
        <v>214</v>
      </c>
      <c r="P422" s="90"/>
      <c r="Q422" s="140" t="s">
        <v>214</v>
      </c>
      <c r="R422" s="90"/>
      <c r="S422" s="140" t="s">
        <v>214</v>
      </c>
      <c r="T422" s="90"/>
      <c r="U422" s="140" t="s">
        <v>214</v>
      </c>
      <c r="V422" s="90"/>
      <c r="W422" s="140" t="s">
        <v>214</v>
      </c>
      <c r="X422" s="90"/>
      <c r="Y422" s="140" t="s">
        <v>215</v>
      </c>
      <c r="Z422" s="177" t="str">
        <f t="shared" si="24"/>
        <v>NC</v>
      </c>
      <c r="AA422" s="190" t="str">
        <f t="shared" si="23"/>
        <v>NÃO UTILIZOU O PDA</v>
      </c>
      <c r="AB422" s="90" t="s">
        <v>207</v>
      </c>
      <c r="AC422" s="156" t="s">
        <v>36</v>
      </c>
      <c r="AD422" s="145" t="str">
        <f t="shared" si="25"/>
        <v>SÃO PAULO</v>
      </c>
      <c r="AE422" s="92" t="s">
        <v>79</v>
      </c>
    </row>
    <row r="423" spans="1:31" ht="30" customHeight="1">
      <c r="A423" s="161" t="s">
        <v>198</v>
      </c>
      <c r="B423" s="216">
        <v>2620792177</v>
      </c>
      <c r="C423" s="155" t="s">
        <v>1923</v>
      </c>
      <c r="D423" s="155" t="s">
        <v>79</v>
      </c>
      <c r="E423" s="155" t="s">
        <v>35</v>
      </c>
      <c r="F423" s="155" t="s">
        <v>886</v>
      </c>
      <c r="G423" s="155">
        <v>59</v>
      </c>
      <c r="H423" s="155" t="s">
        <v>200</v>
      </c>
      <c r="I423" s="155" t="s">
        <v>515</v>
      </c>
      <c r="J423" s="155" t="s">
        <v>1915</v>
      </c>
      <c r="K423" s="155" t="s">
        <v>2060</v>
      </c>
      <c r="L423" s="155" t="s">
        <v>2476</v>
      </c>
      <c r="M423" s="155" t="s">
        <v>2476</v>
      </c>
      <c r="N423" s="155" t="s">
        <v>1925</v>
      </c>
      <c r="O423" s="152" t="s">
        <v>214</v>
      </c>
      <c r="P423" s="90"/>
      <c r="Q423" s="140" t="s">
        <v>214</v>
      </c>
      <c r="R423" s="90"/>
      <c r="S423" s="140" t="s">
        <v>214</v>
      </c>
      <c r="T423" s="90"/>
      <c r="U423" s="140" t="s">
        <v>214</v>
      </c>
      <c r="V423" s="90"/>
      <c r="W423" s="140" t="s">
        <v>214</v>
      </c>
      <c r="X423" s="90"/>
      <c r="Y423" s="140" t="s">
        <v>215</v>
      </c>
      <c r="Z423" s="177" t="str">
        <f t="shared" si="24"/>
        <v>NC</v>
      </c>
      <c r="AA423" s="190" t="str">
        <f t="shared" si="23"/>
        <v>NÃO UTILIZOU O PDA</v>
      </c>
      <c r="AB423" s="90" t="s">
        <v>207</v>
      </c>
      <c r="AC423" s="156" t="s">
        <v>36</v>
      </c>
      <c r="AD423" s="145" t="str">
        <f t="shared" si="25"/>
        <v>SÃO PAULO</v>
      </c>
      <c r="AE423" s="92" t="s">
        <v>79</v>
      </c>
    </row>
    <row r="424" spans="1:31" ht="30" customHeight="1">
      <c r="A424" s="161" t="s">
        <v>198</v>
      </c>
      <c r="B424" s="216">
        <v>2693484060</v>
      </c>
      <c r="C424" s="155" t="s">
        <v>1923</v>
      </c>
      <c r="D424" s="155" t="s">
        <v>79</v>
      </c>
      <c r="E424" s="155" t="s">
        <v>35</v>
      </c>
      <c r="F424" s="155" t="s">
        <v>1410</v>
      </c>
      <c r="G424" s="155">
        <v>63</v>
      </c>
      <c r="H424" s="155" t="s">
        <v>205</v>
      </c>
      <c r="I424" s="155" t="s">
        <v>1411</v>
      </c>
      <c r="J424" s="155" t="s">
        <v>1915</v>
      </c>
      <c r="K424" s="155" t="s">
        <v>200</v>
      </c>
      <c r="L424" s="155" t="s">
        <v>2477</v>
      </c>
      <c r="M424" s="155" t="s">
        <v>2478</v>
      </c>
      <c r="N424" s="155" t="s">
        <v>288</v>
      </c>
      <c r="O424" s="152" t="s">
        <v>214</v>
      </c>
      <c r="P424" s="90"/>
      <c r="Q424" s="140" t="s">
        <v>214</v>
      </c>
      <c r="R424" s="90"/>
      <c r="S424" s="140" t="s">
        <v>214</v>
      </c>
      <c r="T424" s="90"/>
      <c r="U424" s="140" t="s">
        <v>214</v>
      </c>
      <c r="V424" s="90"/>
      <c r="W424" s="140" t="s">
        <v>214</v>
      </c>
      <c r="X424" s="90"/>
      <c r="Y424" s="140" t="s">
        <v>215</v>
      </c>
      <c r="Z424" s="177" t="str">
        <f t="shared" si="24"/>
        <v>NC</v>
      </c>
      <c r="AA424" s="190" t="str">
        <f t="shared" si="23"/>
        <v>NÃO UTILIZOU O PDA</v>
      </c>
      <c r="AB424" s="90" t="s">
        <v>207</v>
      </c>
      <c r="AC424" s="156" t="s">
        <v>36</v>
      </c>
      <c r="AD424" s="145" t="str">
        <f t="shared" si="25"/>
        <v>SÃO PAULO</v>
      </c>
      <c r="AE424" s="92" t="s">
        <v>79</v>
      </c>
    </row>
    <row r="425" spans="1:31" ht="30" customHeight="1">
      <c r="A425" s="161" t="s">
        <v>198</v>
      </c>
      <c r="B425" s="216">
        <v>2620793163</v>
      </c>
      <c r="C425" s="155" t="s">
        <v>1923</v>
      </c>
      <c r="D425" s="155" t="s">
        <v>79</v>
      </c>
      <c r="E425" s="155" t="s">
        <v>35</v>
      </c>
      <c r="F425" s="155" t="s">
        <v>2479</v>
      </c>
      <c r="G425" s="155">
        <v>41</v>
      </c>
      <c r="H425" s="155" t="s">
        <v>208</v>
      </c>
      <c r="I425" s="155" t="s">
        <v>241</v>
      </c>
      <c r="J425" s="155" t="s">
        <v>1915</v>
      </c>
      <c r="K425" s="206" t="s">
        <v>2480</v>
      </c>
      <c r="L425" s="155" t="s">
        <v>2481</v>
      </c>
      <c r="M425" s="155" t="s">
        <v>2482</v>
      </c>
      <c r="N425" s="155" t="s">
        <v>1925</v>
      </c>
      <c r="O425" s="152" t="s">
        <v>214</v>
      </c>
      <c r="P425" s="90"/>
      <c r="Q425" s="140" t="s">
        <v>214</v>
      </c>
      <c r="R425" s="90"/>
      <c r="S425" s="140" t="s">
        <v>214</v>
      </c>
      <c r="T425" s="90"/>
      <c r="U425" s="140" t="s">
        <v>214</v>
      </c>
      <c r="V425" s="90"/>
      <c r="W425" s="140" t="s">
        <v>214</v>
      </c>
      <c r="X425" s="90"/>
      <c r="Y425" s="140" t="s">
        <v>215</v>
      </c>
      <c r="Z425" s="177" t="str">
        <f t="shared" si="24"/>
        <v>NC</v>
      </c>
      <c r="AA425" s="190" t="str">
        <f t="shared" si="23"/>
        <v>NÃO UTILIZOU O PDA</v>
      </c>
      <c r="AB425" s="90" t="s">
        <v>207</v>
      </c>
      <c r="AC425" s="156" t="s">
        <v>36</v>
      </c>
      <c r="AD425" s="145" t="str">
        <f t="shared" si="25"/>
        <v>SÃO PAULO</v>
      </c>
      <c r="AE425" s="92" t="s">
        <v>79</v>
      </c>
    </row>
    <row r="426" spans="1:31" ht="30" customHeight="1">
      <c r="A426" s="161" t="s">
        <v>198</v>
      </c>
      <c r="B426" s="216">
        <v>2620793234</v>
      </c>
      <c r="C426" s="155" t="s">
        <v>151</v>
      </c>
      <c r="D426" s="155" t="s">
        <v>140</v>
      </c>
      <c r="E426" s="155" t="s">
        <v>35</v>
      </c>
      <c r="F426" s="155" t="s">
        <v>2483</v>
      </c>
      <c r="G426" s="155">
        <v>19</v>
      </c>
      <c r="H426" s="155" t="s">
        <v>200</v>
      </c>
      <c r="I426" s="155" t="s">
        <v>293</v>
      </c>
      <c r="J426" s="155" t="s">
        <v>1966</v>
      </c>
      <c r="K426" s="155" t="s">
        <v>200</v>
      </c>
      <c r="L426" s="155" t="s">
        <v>2484</v>
      </c>
      <c r="M426" s="155" t="s">
        <v>2485</v>
      </c>
      <c r="N426" s="155" t="s">
        <v>251</v>
      </c>
      <c r="O426" s="152" t="s">
        <v>207</v>
      </c>
      <c r="P426" s="90"/>
      <c r="Q426" s="140" t="s">
        <v>207</v>
      </c>
      <c r="R426" s="90"/>
      <c r="S426" s="140" t="s">
        <v>214</v>
      </c>
      <c r="T426" s="90"/>
      <c r="U426" s="140" t="s">
        <v>214</v>
      </c>
      <c r="V426" s="90"/>
      <c r="W426" s="140" t="s">
        <v>214</v>
      </c>
      <c r="X426" s="90"/>
      <c r="Y426" s="140" t="s">
        <v>207</v>
      </c>
      <c r="Z426" s="177" t="str">
        <f t="shared" si="24"/>
        <v>NC</v>
      </c>
      <c r="AA426" s="190" t="str">
        <f t="shared" si="23"/>
        <v>UTILIZOU O PDA CORRETAMENTE. NÃO HÁ FOTOS DE TODAS AS ETAPAS</v>
      </c>
      <c r="AB426" s="90" t="s">
        <v>207</v>
      </c>
      <c r="AC426" s="156" t="s">
        <v>36</v>
      </c>
      <c r="AD426" s="145" t="str">
        <f t="shared" si="25"/>
        <v>SÃO PAULO</v>
      </c>
      <c r="AE426" s="92" t="s">
        <v>79</v>
      </c>
    </row>
    <row r="427" spans="1:31" ht="30" customHeight="1">
      <c r="A427" s="161" t="s">
        <v>198</v>
      </c>
      <c r="B427" s="216">
        <v>2693531982</v>
      </c>
      <c r="C427" s="155" t="s">
        <v>143</v>
      </c>
      <c r="D427" s="155" t="s">
        <v>79</v>
      </c>
      <c r="E427" s="155" t="s">
        <v>35</v>
      </c>
      <c r="F427" s="155" t="s">
        <v>2486</v>
      </c>
      <c r="G427" s="155">
        <v>146</v>
      </c>
      <c r="H427" s="155" t="s">
        <v>257</v>
      </c>
      <c r="I427" s="155" t="s">
        <v>615</v>
      </c>
      <c r="J427" s="155" t="s">
        <v>1915</v>
      </c>
      <c r="K427" s="155" t="s">
        <v>200</v>
      </c>
      <c r="L427" s="155" t="s">
        <v>2487</v>
      </c>
      <c r="M427" s="155" t="s">
        <v>2488</v>
      </c>
      <c r="N427" s="155" t="s">
        <v>1922</v>
      </c>
      <c r="O427" s="152" t="s">
        <v>207</v>
      </c>
      <c r="P427" s="90"/>
      <c r="Q427" s="140" t="s">
        <v>207</v>
      </c>
      <c r="R427" s="90"/>
      <c r="S427" s="140" t="s">
        <v>207</v>
      </c>
      <c r="T427" s="90"/>
      <c r="U427" s="140" t="s">
        <v>214</v>
      </c>
      <c r="V427" s="90"/>
      <c r="W427" s="140" t="s">
        <v>207</v>
      </c>
      <c r="X427" s="90"/>
      <c r="Y427" s="140" t="s">
        <v>207</v>
      </c>
      <c r="Z427" s="177" t="str">
        <f t="shared" si="24"/>
        <v>NC</v>
      </c>
      <c r="AA427" s="190" t="str">
        <f t="shared" si="23"/>
        <v>UTILIZOU O PDA CORRETAMENTE. NÃO HÁ FOTOS DE TODAS AS ETAPAS</v>
      </c>
      <c r="AB427" s="90" t="s">
        <v>207</v>
      </c>
      <c r="AC427" s="156" t="s">
        <v>36</v>
      </c>
      <c r="AD427" s="145" t="str">
        <f t="shared" si="25"/>
        <v>SÃO PAULO</v>
      </c>
      <c r="AE427" s="92" t="s">
        <v>79</v>
      </c>
    </row>
    <row r="428" spans="1:31" ht="30" customHeight="1">
      <c r="A428" s="153" t="s">
        <v>198</v>
      </c>
      <c r="B428" s="257">
        <v>2620381923</v>
      </c>
      <c r="C428" s="207" t="s">
        <v>151</v>
      </c>
      <c r="D428" s="207" t="s">
        <v>140</v>
      </c>
      <c r="E428" s="207" t="s">
        <v>35</v>
      </c>
      <c r="F428" s="207" t="s">
        <v>2489</v>
      </c>
      <c r="G428" s="207">
        <v>4</v>
      </c>
      <c r="H428" s="207" t="s">
        <v>401</v>
      </c>
      <c r="I428" s="207" t="s">
        <v>259</v>
      </c>
      <c r="J428" s="207" t="s">
        <v>1966</v>
      </c>
      <c r="K428" s="207" t="s">
        <v>200</v>
      </c>
      <c r="L428" s="207" t="s">
        <v>2490</v>
      </c>
      <c r="M428" s="207" t="s">
        <v>2491</v>
      </c>
      <c r="N428" s="207" t="s">
        <v>251</v>
      </c>
      <c r="O428" s="152" t="s">
        <v>207</v>
      </c>
      <c r="P428" s="90"/>
      <c r="Q428" s="140" t="s">
        <v>207</v>
      </c>
      <c r="R428" s="90"/>
      <c r="S428" s="140" t="s">
        <v>214</v>
      </c>
      <c r="T428" s="90"/>
      <c r="U428" s="140" t="s">
        <v>214</v>
      </c>
      <c r="V428" s="90"/>
      <c r="W428" s="140" t="s">
        <v>207</v>
      </c>
      <c r="X428" s="90"/>
      <c r="Y428" s="140" t="s">
        <v>207</v>
      </c>
      <c r="Z428" s="177" t="str">
        <f t="shared" si="24"/>
        <v>NC</v>
      </c>
      <c r="AA428" s="190" t="str">
        <f t="shared" si="23"/>
        <v>UTILIZOU O PDA CORRETAMENTE. NÃO HÁ FOTOS DE TODAS AS ETAPAS</v>
      </c>
      <c r="AB428" s="90" t="s">
        <v>207</v>
      </c>
      <c r="AC428" s="156" t="s">
        <v>36</v>
      </c>
      <c r="AD428" s="145" t="str">
        <f t="shared" si="25"/>
        <v>SÃO PAULO</v>
      </c>
      <c r="AE428" s="92" t="s">
        <v>79</v>
      </c>
    </row>
    <row r="429" spans="1:31" ht="30" customHeight="1">
      <c r="A429" s="208" t="s">
        <v>198</v>
      </c>
      <c r="B429" s="258">
        <v>2620385950</v>
      </c>
      <c r="C429" s="209" t="s">
        <v>151</v>
      </c>
      <c r="D429" s="209" t="s">
        <v>140</v>
      </c>
      <c r="E429" s="209" t="s">
        <v>35</v>
      </c>
      <c r="F429" s="209" t="s">
        <v>2492</v>
      </c>
      <c r="G429" s="209">
        <v>129</v>
      </c>
      <c r="H429" s="209" t="s">
        <v>200</v>
      </c>
      <c r="I429" s="209" t="s">
        <v>689</v>
      </c>
      <c r="J429" s="209" t="s">
        <v>1966</v>
      </c>
      <c r="K429" s="209" t="s">
        <v>200</v>
      </c>
      <c r="L429" s="209" t="s">
        <v>2493</v>
      </c>
      <c r="M429" s="209" t="s">
        <v>2494</v>
      </c>
      <c r="N429" s="209" t="s">
        <v>206</v>
      </c>
      <c r="O429" s="152" t="s">
        <v>207</v>
      </c>
      <c r="P429" s="90"/>
      <c r="Q429" s="140" t="s">
        <v>214</v>
      </c>
      <c r="R429" s="90"/>
      <c r="S429" s="140" t="s">
        <v>214</v>
      </c>
      <c r="T429" s="90"/>
      <c r="U429" s="140" t="s">
        <v>214</v>
      </c>
      <c r="V429" s="90"/>
      <c r="W429" s="140" t="s">
        <v>214</v>
      </c>
      <c r="X429" s="90"/>
      <c r="Y429" s="140" t="s">
        <v>207</v>
      </c>
      <c r="Z429" s="177" t="str">
        <f t="shared" si="24"/>
        <v>NC</v>
      </c>
      <c r="AA429" s="190" t="str">
        <f t="shared" si="23"/>
        <v>UTILIZOU O PDA CORRETAMENTE. NÃO HÁ FOTOS DE TODAS AS ETAPAS</v>
      </c>
      <c r="AB429" s="90"/>
      <c r="AC429" s="156" t="s">
        <v>36</v>
      </c>
      <c r="AD429" s="145" t="str">
        <f t="shared" si="25"/>
        <v>SÃO PAULO</v>
      </c>
      <c r="AE429" s="92" t="s">
        <v>79</v>
      </c>
    </row>
    <row r="430" spans="1:31" ht="30" customHeight="1">
      <c r="A430" s="208" t="s">
        <v>198</v>
      </c>
      <c r="B430" s="258">
        <v>2620793340</v>
      </c>
      <c r="C430" s="209" t="s">
        <v>1923</v>
      </c>
      <c r="D430" s="209" t="s">
        <v>79</v>
      </c>
      <c r="E430" s="209" t="s">
        <v>35</v>
      </c>
      <c r="F430" s="209" t="s">
        <v>2495</v>
      </c>
      <c r="G430" s="209">
        <v>427</v>
      </c>
      <c r="H430" s="209" t="s">
        <v>329</v>
      </c>
      <c r="I430" s="209" t="s">
        <v>225</v>
      </c>
      <c r="J430" s="209" t="s">
        <v>1915</v>
      </c>
      <c r="K430" s="209" t="s">
        <v>200</v>
      </c>
      <c r="L430" s="209" t="s">
        <v>2496</v>
      </c>
      <c r="M430" s="209" t="s">
        <v>2497</v>
      </c>
      <c r="N430" s="209" t="s">
        <v>1916</v>
      </c>
      <c r="O430" s="152" t="s">
        <v>207</v>
      </c>
      <c r="P430" s="90"/>
      <c r="Q430" s="140" t="s">
        <v>207</v>
      </c>
      <c r="R430" s="90"/>
      <c r="S430" s="140" t="s">
        <v>207</v>
      </c>
      <c r="T430" s="90"/>
      <c r="U430" s="140" t="s">
        <v>207</v>
      </c>
      <c r="V430" s="90"/>
      <c r="W430" s="140" t="s">
        <v>207</v>
      </c>
      <c r="X430" s="90"/>
      <c r="Y430" s="140" t="s">
        <v>207</v>
      </c>
      <c r="Z430" s="177" t="str">
        <f t="shared" si="24"/>
        <v>C</v>
      </c>
      <c r="AA430" s="190" t="str">
        <f t="shared" si="23"/>
        <v>UTILIZOU O PDA CORRETAMENTE</v>
      </c>
      <c r="AB430" s="90" t="s">
        <v>207</v>
      </c>
      <c r="AC430" s="156" t="s">
        <v>36</v>
      </c>
      <c r="AD430" s="145" t="str">
        <f t="shared" si="25"/>
        <v>SÃO PAULO</v>
      </c>
      <c r="AE430" s="92" t="s">
        <v>79</v>
      </c>
    </row>
    <row r="431" spans="1:31" ht="30" customHeight="1">
      <c r="A431" s="208" t="s">
        <v>198</v>
      </c>
      <c r="B431" s="258">
        <v>2620793298</v>
      </c>
      <c r="C431" s="209" t="s">
        <v>1923</v>
      </c>
      <c r="D431" s="209" t="s">
        <v>79</v>
      </c>
      <c r="E431" s="209" t="s">
        <v>35</v>
      </c>
      <c r="F431" s="209" t="s">
        <v>2498</v>
      </c>
      <c r="G431" s="209">
        <v>87</v>
      </c>
      <c r="H431" s="209" t="s">
        <v>200</v>
      </c>
      <c r="I431" s="209" t="s">
        <v>689</v>
      </c>
      <c r="J431" s="209" t="s">
        <v>1915</v>
      </c>
      <c r="K431" s="209" t="s">
        <v>200</v>
      </c>
      <c r="L431" s="209" t="s">
        <v>2499</v>
      </c>
      <c r="M431" s="209" t="s">
        <v>2499</v>
      </c>
      <c r="N431" s="209" t="s">
        <v>390</v>
      </c>
      <c r="O431" s="152" t="s">
        <v>207</v>
      </c>
      <c r="P431" s="90"/>
      <c r="Q431" s="140" t="s">
        <v>207</v>
      </c>
      <c r="R431" s="90"/>
      <c r="S431" s="140" t="s">
        <v>214</v>
      </c>
      <c r="T431" s="90"/>
      <c r="U431" s="140" t="s">
        <v>214</v>
      </c>
      <c r="V431" s="90"/>
      <c r="W431" s="140" t="s">
        <v>214</v>
      </c>
      <c r="X431" s="90"/>
      <c r="Y431" s="140" t="s">
        <v>207</v>
      </c>
      <c r="Z431" s="177" t="str">
        <f t="shared" si="24"/>
        <v>NC</v>
      </c>
      <c r="AA431" s="190" t="str">
        <f t="shared" si="23"/>
        <v>UTILIZOU O PDA CORRETAMENTE. NÃO HÁ FOTOS DE TODAS AS ETAPAS</v>
      </c>
      <c r="AB431" s="90" t="s">
        <v>207</v>
      </c>
      <c r="AC431" s="156" t="s">
        <v>36</v>
      </c>
      <c r="AD431" s="145" t="str">
        <f t="shared" si="25"/>
        <v>SÃO PAULO</v>
      </c>
      <c r="AE431" s="92" t="s">
        <v>79</v>
      </c>
    </row>
    <row r="432" spans="1:31" ht="30" customHeight="1">
      <c r="A432" s="208" t="s">
        <v>198</v>
      </c>
      <c r="B432" s="258">
        <v>2620793281</v>
      </c>
      <c r="C432" s="209" t="s">
        <v>1923</v>
      </c>
      <c r="D432" s="209" t="s">
        <v>79</v>
      </c>
      <c r="E432" s="209" t="s">
        <v>35</v>
      </c>
      <c r="F432" s="209" t="s">
        <v>1855</v>
      </c>
      <c r="G432" s="209">
        <v>237</v>
      </c>
      <c r="H432" s="209" t="s">
        <v>208</v>
      </c>
      <c r="I432" s="209" t="s">
        <v>482</v>
      </c>
      <c r="J432" s="209" t="s">
        <v>1915</v>
      </c>
      <c r="K432" s="209" t="s">
        <v>200</v>
      </c>
      <c r="L432" s="209" t="s">
        <v>2500</v>
      </c>
      <c r="M432" s="209" t="s">
        <v>2501</v>
      </c>
      <c r="N432" s="209" t="s">
        <v>1931</v>
      </c>
      <c r="O432" s="152" t="s">
        <v>207</v>
      </c>
      <c r="P432" s="90"/>
      <c r="Q432" s="140" t="s">
        <v>207</v>
      </c>
      <c r="R432" s="90"/>
      <c r="S432" s="140" t="s">
        <v>214</v>
      </c>
      <c r="T432" s="90"/>
      <c r="U432" s="140" t="s">
        <v>214</v>
      </c>
      <c r="V432" s="90"/>
      <c r="W432" s="140" t="s">
        <v>214</v>
      </c>
      <c r="X432" s="90"/>
      <c r="Y432" s="140" t="s">
        <v>207</v>
      </c>
      <c r="Z432" s="177" t="str">
        <f t="shared" si="24"/>
        <v>NC</v>
      </c>
      <c r="AA432" s="190" t="str">
        <f t="shared" si="23"/>
        <v>UTILIZOU O PDA CORRETAMENTE. NÃO HÁ FOTOS DE TODAS AS ETAPAS</v>
      </c>
      <c r="AB432" s="90" t="s">
        <v>207</v>
      </c>
      <c r="AC432" s="156" t="s">
        <v>36</v>
      </c>
      <c r="AD432" s="145" t="str">
        <f t="shared" si="25"/>
        <v>SÃO PAULO</v>
      </c>
      <c r="AE432" s="92" t="s">
        <v>79</v>
      </c>
    </row>
    <row r="433" spans="1:31" ht="30" customHeight="1">
      <c r="A433" s="208" t="s">
        <v>198</v>
      </c>
      <c r="B433" s="258">
        <v>2693537428</v>
      </c>
      <c r="C433" s="209" t="s">
        <v>143</v>
      </c>
      <c r="D433" s="209" t="s">
        <v>79</v>
      </c>
      <c r="E433" s="209" t="s">
        <v>35</v>
      </c>
      <c r="F433" s="209" t="s">
        <v>2502</v>
      </c>
      <c r="G433" s="209">
        <v>133</v>
      </c>
      <c r="H433" s="209" t="s">
        <v>205</v>
      </c>
      <c r="I433" s="209" t="s">
        <v>1077</v>
      </c>
      <c r="J433" s="209" t="s">
        <v>1915</v>
      </c>
      <c r="K433" s="209" t="s">
        <v>200</v>
      </c>
      <c r="L433" s="209" t="s">
        <v>2503</v>
      </c>
      <c r="M433" s="209" t="s">
        <v>2504</v>
      </c>
      <c r="N433" s="209" t="s">
        <v>1931</v>
      </c>
      <c r="O433" s="152" t="s">
        <v>207</v>
      </c>
      <c r="P433" s="90"/>
      <c r="Q433" s="140" t="s">
        <v>214</v>
      </c>
      <c r="R433" s="90"/>
      <c r="S433" s="140" t="s">
        <v>214</v>
      </c>
      <c r="T433" s="90"/>
      <c r="U433" s="140" t="s">
        <v>214</v>
      </c>
      <c r="V433" s="90"/>
      <c r="W433" s="140" t="s">
        <v>207</v>
      </c>
      <c r="X433" s="90"/>
      <c r="Y433" s="140" t="s">
        <v>207</v>
      </c>
      <c r="Z433" s="177" t="str">
        <f t="shared" si="24"/>
        <v>NC</v>
      </c>
      <c r="AA433" s="190" t="str">
        <f t="shared" si="23"/>
        <v>UTILIZOU O PDA CORRETAMENTE. NÃO HÁ FOTOS DE TODAS AS ETAPAS</v>
      </c>
      <c r="AB433" s="90" t="s">
        <v>207</v>
      </c>
      <c r="AC433" s="156" t="s">
        <v>36</v>
      </c>
      <c r="AD433" s="145" t="str">
        <f t="shared" si="25"/>
        <v>SÃO PAULO</v>
      </c>
      <c r="AE433" s="92" t="s">
        <v>79</v>
      </c>
    </row>
    <row r="434" spans="1:31" ht="30" customHeight="1">
      <c r="A434" s="208" t="s">
        <v>198</v>
      </c>
      <c r="B434" s="258">
        <v>2693522576</v>
      </c>
      <c r="C434" s="209" t="s">
        <v>143</v>
      </c>
      <c r="D434" s="209" t="s">
        <v>79</v>
      </c>
      <c r="E434" s="209" t="s">
        <v>35</v>
      </c>
      <c r="F434" s="209" t="s">
        <v>2505</v>
      </c>
      <c r="G434" s="209">
        <v>171</v>
      </c>
      <c r="H434" s="209" t="s">
        <v>200</v>
      </c>
      <c r="I434" s="209" t="s">
        <v>287</v>
      </c>
      <c r="J434" s="209" t="s">
        <v>1915</v>
      </c>
      <c r="K434" s="209" t="s">
        <v>200</v>
      </c>
      <c r="L434" s="209" t="s">
        <v>2506</v>
      </c>
      <c r="M434" s="209" t="s">
        <v>2507</v>
      </c>
      <c r="N434" s="209" t="s">
        <v>1919</v>
      </c>
      <c r="O434" s="152" t="s">
        <v>207</v>
      </c>
      <c r="P434" s="90"/>
      <c r="Q434" s="140" t="s">
        <v>207</v>
      </c>
      <c r="R434" s="90"/>
      <c r="S434" s="140" t="s">
        <v>207</v>
      </c>
      <c r="T434" s="90"/>
      <c r="U434" s="140" t="s">
        <v>214</v>
      </c>
      <c r="V434" s="90"/>
      <c r="W434" s="140" t="s">
        <v>207</v>
      </c>
      <c r="X434" s="90"/>
      <c r="Y434" s="140" t="s">
        <v>207</v>
      </c>
      <c r="Z434" s="177" t="str">
        <f t="shared" si="24"/>
        <v>NC</v>
      </c>
      <c r="AA434" s="190" t="str">
        <f t="shared" si="23"/>
        <v>UTILIZOU O PDA CORRETAMENTE. NÃO HÁ FOTOS DE TODAS AS ETAPAS</v>
      </c>
      <c r="AB434" s="90" t="s">
        <v>207</v>
      </c>
      <c r="AC434" s="156" t="s">
        <v>36</v>
      </c>
      <c r="AD434" s="145" t="str">
        <f t="shared" si="25"/>
        <v>SÃO PAULO</v>
      </c>
      <c r="AE434" s="92" t="s">
        <v>79</v>
      </c>
    </row>
    <row r="435" spans="1:31" ht="30" customHeight="1">
      <c r="A435" s="208" t="s">
        <v>198</v>
      </c>
      <c r="B435" s="258">
        <v>2620793362</v>
      </c>
      <c r="C435" s="209" t="s">
        <v>1923</v>
      </c>
      <c r="D435" s="209" t="s">
        <v>79</v>
      </c>
      <c r="E435" s="209" t="s">
        <v>35</v>
      </c>
      <c r="F435" s="209" t="s">
        <v>342</v>
      </c>
      <c r="G435" s="209">
        <v>7</v>
      </c>
      <c r="H435" s="209" t="s">
        <v>200</v>
      </c>
      <c r="I435" s="209" t="s">
        <v>259</v>
      </c>
      <c r="J435" s="209" t="s">
        <v>1915</v>
      </c>
      <c r="K435" s="209" t="s">
        <v>200</v>
      </c>
      <c r="L435" s="209" t="s">
        <v>2508</v>
      </c>
      <c r="M435" s="209" t="s">
        <v>2509</v>
      </c>
      <c r="N435" s="209" t="s">
        <v>1919</v>
      </c>
      <c r="O435" s="152" t="s">
        <v>207</v>
      </c>
      <c r="P435" s="90"/>
      <c r="Q435" s="140" t="s">
        <v>207</v>
      </c>
      <c r="R435" s="90"/>
      <c r="S435" s="140" t="s">
        <v>207</v>
      </c>
      <c r="T435" s="90"/>
      <c r="U435" s="140" t="s">
        <v>207</v>
      </c>
      <c r="V435" s="90"/>
      <c r="W435" s="140" t="s">
        <v>214</v>
      </c>
      <c r="X435" s="90"/>
      <c r="Y435" s="140" t="s">
        <v>207</v>
      </c>
      <c r="Z435" s="177" t="str">
        <f t="shared" si="24"/>
        <v>NC</v>
      </c>
      <c r="AA435" s="190" t="str">
        <f t="shared" si="23"/>
        <v>UTILIZOU O PDA CORRETAMENTE. NÃO HÁ FOTOS DE TODAS AS ETAPAS</v>
      </c>
      <c r="AB435" s="90" t="s">
        <v>207</v>
      </c>
      <c r="AC435" s="156" t="s">
        <v>36</v>
      </c>
      <c r="AD435" s="145" t="str">
        <f t="shared" si="25"/>
        <v>SÃO PAULO</v>
      </c>
      <c r="AE435" s="92" t="s">
        <v>79</v>
      </c>
    </row>
    <row r="436" spans="1:31" ht="30" customHeight="1">
      <c r="A436" s="208" t="s">
        <v>198</v>
      </c>
      <c r="B436" s="258">
        <v>2693545529</v>
      </c>
      <c r="C436" s="209" t="s">
        <v>146</v>
      </c>
      <c r="D436" s="209" t="s">
        <v>79</v>
      </c>
      <c r="E436" s="209" t="s">
        <v>35</v>
      </c>
      <c r="F436" s="209" t="s">
        <v>2510</v>
      </c>
      <c r="G436" s="209">
        <v>843</v>
      </c>
      <c r="H436" s="209" t="s">
        <v>255</v>
      </c>
      <c r="I436" s="209" t="s">
        <v>271</v>
      </c>
      <c r="J436" s="209" t="s">
        <v>1915</v>
      </c>
      <c r="K436" s="209" t="s">
        <v>200</v>
      </c>
      <c r="L436" s="209" t="s">
        <v>2511</v>
      </c>
      <c r="M436" s="209" t="s">
        <v>2512</v>
      </c>
      <c r="N436" s="209" t="s">
        <v>1944</v>
      </c>
      <c r="O436" s="152" t="s">
        <v>207</v>
      </c>
      <c r="P436" s="90"/>
      <c r="Q436" s="140" t="s">
        <v>207</v>
      </c>
      <c r="R436" s="90"/>
      <c r="S436" s="140" t="s">
        <v>207</v>
      </c>
      <c r="T436" s="90"/>
      <c r="U436" s="140" t="s">
        <v>207</v>
      </c>
      <c r="V436" s="90"/>
      <c r="W436" s="140" t="s">
        <v>207</v>
      </c>
      <c r="X436" s="90"/>
      <c r="Y436" s="140" t="s">
        <v>207</v>
      </c>
      <c r="Z436" s="177" t="str">
        <f t="shared" si="24"/>
        <v>C</v>
      </c>
      <c r="AA436" s="190" t="str">
        <f t="shared" si="23"/>
        <v>UTILIZOU O PDA CORRETAMENTE</v>
      </c>
      <c r="AB436" s="90" t="s">
        <v>207</v>
      </c>
      <c r="AC436" s="156" t="s">
        <v>36</v>
      </c>
      <c r="AD436" s="145" t="str">
        <f t="shared" si="25"/>
        <v>SÃO PAULO</v>
      </c>
      <c r="AE436" s="92" t="s">
        <v>79</v>
      </c>
    </row>
    <row r="437" spans="1:31" ht="30" customHeight="1">
      <c r="A437" s="208" t="s">
        <v>198</v>
      </c>
      <c r="B437" s="258">
        <v>2620801284</v>
      </c>
      <c r="C437" s="209" t="s">
        <v>146</v>
      </c>
      <c r="D437" s="209" t="s">
        <v>79</v>
      </c>
      <c r="E437" s="209" t="s">
        <v>35</v>
      </c>
      <c r="F437" s="209" t="s">
        <v>1114</v>
      </c>
      <c r="G437" s="209">
        <v>374</v>
      </c>
      <c r="H437" s="209" t="s">
        <v>200</v>
      </c>
      <c r="I437" s="209" t="s">
        <v>300</v>
      </c>
      <c r="J437" s="209" t="s">
        <v>1915</v>
      </c>
      <c r="K437" s="209" t="s">
        <v>200</v>
      </c>
      <c r="L437" s="209" t="s">
        <v>2513</v>
      </c>
      <c r="M437" s="209" t="s">
        <v>2514</v>
      </c>
      <c r="N437" s="209" t="s">
        <v>390</v>
      </c>
      <c r="O437" s="152" t="s">
        <v>207</v>
      </c>
      <c r="P437" s="90"/>
      <c r="Q437" s="140" t="s">
        <v>207</v>
      </c>
      <c r="R437" s="90"/>
      <c r="S437" s="140" t="s">
        <v>214</v>
      </c>
      <c r="T437" s="90"/>
      <c r="U437" s="140" t="s">
        <v>214</v>
      </c>
      <c r="V437" s="90"/>
      <c r="W437" s="140" t="s">
        <v>207</v>
      </c>
      <c r="X437" s="90"/>
      <c r="Y437" s="140" t="s">
        <v>207</v>
      </c>
      <c r="Z437" s="177" t="str">
        <f t="shared" si="24"/>
        <v>NC</v>
      </c>
      <c r="AA437" s="190" t="str">
        <f t="shared" si="23"/>
        <v>UTILIZOU O PDA CORRETAMENTE. NÃO HÁ FOTOS DE TODAS AS ETAPAS</v>
      </c>
      <c r="AB437" s="90" t="s">
        <v>207</v>
      </c>
      <c r="AC437" s="156" t="s">
        <v>36</v>
      </c>
      <c r="AD437" s="145" t="str">
        <f t="shared" si="25"/>
        <v>SÃO PAULO</v>
      </c>
      <c r="AE437" s="92" t="s">
        <v>79</v>
      </c>
    </row>
    <row r="438" spans="1:31" ht="30" customHeight="1">
      <c r="A438" s="208" t="s">
        <v>198</v>
      </c>
      <c r="B438" s="258">
        <v>2620800976</v>
      </c>
      <c r="C438" s="209" t="s">
        <v>146</v>
      </c>
      <c r="D438" s="209" t="s">
        <v>79</v>
      </c>
      <c r="E438" s="209" t="s">
        <v>35</v>
      </c>
      <c r="F438" s="209" t="s">
        <v>1114</v>
      </c>
      <c r="G438" s="209">
        <v>362</v>
      </c>
      <c r="H438" s="209" t="s">
        <v>200</v>
      </c>
      <c r="I438" s="209" t="s">
        <v>300</v>
      </c>
      <c r="J438" s="209" t="s">
        <v>1915</v>
      </c>
      <c r="K438" s="209" t="s">
        <v>200</v>
      </c>
      <c r="L438" s="209" t="s">
        <v>2515</v>
      </c>
      <c r="M438" s="209" t="s">
        <v>2516</v>
      </c>
      <c r="N438" s="209" t="s">
        <v>390</v>
      </c>
      <c r="O438" s="152" t="s">
        <v>207</v>
      </c>
      <c r="P438" s="90"/>
      <c r="Q438" s="140" t="s">
        <v>214</v>
      </c>
      <c r="R438" s="90"/>
      <c r="S438" s="140" t="s">
        <v>214</v>
      </c>
      <c r="T438" s="90"/>
      <c r="U438" s="140" t="s">
        <v>214</v>
      </c>
      <c r="V438" s="90"/>
      <c r="W438" s="140" t="s">
        <v>207</v>
      </c>
      <c r="X438" s="90"/>
      <c r="Y438" s="140" t="s">
        <v>207</v>
      </c>
      <c r="Z438" s="177" t="str">
        <f t="shared" si="24"/>
        <v>NC</v>
      </c>
      <c r="AA438" s="190" t="str">
        <f t="shared" si="23"/>
        <v>UTILIZOU O PDA CORRETAMENTE. NÃO HÁ FOTOS DE TODAS AS ETAPAS</v>
      </c>
      <c r="AB438" s="90" t="s">
        <v>207</v>
      </c>
      <c r="AC438" s="156" t="s">
        <v>36</v>
      </c>
      <c r="AD438" s="145" t="str">
        <f t="shared" si="25"/>
        <v>SÃO PAULO</v>
      </c>
      <c r="AE438" s="92" t="s">
        <v>79</v>
      </c>
    </row>
    <row r="439" spans="1:31" ht="30" customHeight="1">
      <c r="A439" s="208" t="s">
        <v>198</v>
      </c>
      <c r="B439" s="258">
        <v>2620852120</v>
      </c>
      <c r="C439" s="209" t="s">
        <v>151</v>
      </c>
      <c r="D439" s="209" t="s">
        <v>140</v>
      </c>
      <c r="E439" s="209" t="s">
        <v>35</v>
      </c>
      <c r="F439" s="209" t="s">
        <v>659</v>
      </c>
      <c r="G439" s="209">
        <v>646</v>
      </c>
      <c r="H439" s="209" t="s">
        <v>200</v>
      </c>
      <c r="I439" s="209" t="s">
        <v>536</v>
      </c>
      <c r="J439" s="209" t="s">
        <v>1966</v>
      </c>
      <c r="K439" s="209" t="s">
        <v>656</v>
      </c>
      <c r="L439" s="209" t="s">
        <v>2517</v>
      </c>
      <c r="M439" s="209" t="s">
        <v>2518</v>
      </c>
      <c r="N439" s="209" t="s">
        <v>331</v>
      </c>
      <c r="O439" s="152" t="s">
        <v>207</v>
      </c>
      <c r="P439" s="90"/>
      <c r="Q439" s="140" t="s">
        <v>207</v>
      </c>
      <c r="R439" s="90"/>
      <c r="S439" s="140" t="s">
        <v>214</v>
      </c>
      <c r="T439" s="90"/>
      <c r="U439" s="140" t="s">
        <v>214</v>
      </c>
      <c r="V439" s="90"/>
      <c r="W439" s="140" t="s">
        <v>214</v>
      </c>
      <c r="X439" s="90"/>
      <c r="Y439" s="140" t="s">
        <v>207</v>
      </c>
      <c r="Z439" s="177" t="str">
        <f t="shared" si="24"/>
        <v>NC</v>
      </c>
      <c r="AA439" s="190" t="str">
        <f t="shared" si="23"/>
        <v>UTILIZOU O PDA CORRETAMENTE. NÃO HÁ FOTOS DE TODAS AS ETAPAS</v>
      </c>
      <c r="AB439" s="90" t="s">
        <v>207</v>
      </c>
      <c r="AC439" s="156" t="s">
        <v>36</v>
      </c>
      <c r="AD439" s="145" t="str">
        <f t="shared" si="25"/>
        <v>SÃO PAULO</v>
      </c>
      <c r="AE439" s="92" t="s">
        <v>79</v>
      </c>
    </row>
    <row r="440" spans="1:31" ht="30" customHeight="1">
      <c r="A440" s="208" t="s">
        <v>198</v>
      </c>
      <c r="B440" s="258">
        <v>2620823026</v>
      </c>
      <c r="C440" s="209" t="s">
        <v>1923</v>
      </c>
      <c r="D440" s="209" t="s">
        <v>79</v>
      </c>
      <c r="E440" s="209" t="s">
        <v>35</v>
      </c>
      <c r="F440" s="209" t="s">
        <v>2519</v>
      </c>
      <c r="G440" s="209">
        <v>4</v>
      </c>
      <c r="H440" s="209" t="s">
        <v>329</v>
      </c>
      <c r="I440" s="209" t="s">
        <v>433</v>
      </c>
      <c r="J440" s="209" t="s">
        <v>1915</v>
      </c>
      <c r="K440" s="209" t="s">
        <v>200</v>
      </c>
      <c r="L440" s="209" t="s">
        <v>2520</v>
      </c>
      <c r="M440" s="209" t="s">
        <v>2521</v>
      </c>
      <c r="N440" s="209" t="s">
        <v>1925</v>
      </c>
      <c r="O440" s="152" t="s">
        <v>207</v>
      </c>
      <c r="P440" s="90"/>
      <c r="Q440" s="140" t="s">
        <v>207</v>
      </c>
      <c r="R440" s="90"/>
      <c r="S440" s="140" t="s">
        <v>214</v>
      </c>
      <c r="T440" s="90"/>
      <c r="U440" s="140" t="s">
        <v>214</v>
      </c>
      <c r="V440" s="90"/>
      <c r="W440" s="140" t="s">
        <v>214</v>
      </c>
      <c r="X440" s="90"/>
      <c r="Y440" s="140" t="s">
        <v>207</v>
      </c>
      <c r="Z440" s="177" t="str">
        <f t="shared" si="24"/>
        <v>NC</v>
      </c>
      <c r="AA440" s="190" t="str">
        <f t="shared" si="23"/>
        <v>UTILIZOU O PDA CORRETAMENTE. NÃO HÁ FOTOS DE TODAS AS ETAPAS</v>
      </c>
      <c r="AB440" s="90"/>
      <c r="AC440" s="156" t="s">
        <v>36</v>
      </c>
      <c r="AD440" s="145" t="str">
        <f t="shared" si="25"/>
        <v>SÃO PAULO</v>
      </c>
      <c r="AE440" s="92" t="s">
        <v>79</v>
      </c>
    </row>
    <row r="441" spans="1:31" ht="30" customHeight="1">
      <c r="A441" s="208" t="s">
        <v>198</v>
      </c>
      <c r="B441" s="258">
        <v>2620849058</v>
      </c>
      <c r="C441" s="209" t="s">
        <v>1923</v>
      </c>
      <c r="D441" s="209" t="s">
        <v>79</v>
      </c>
      <c r="E441" s="209" t="s">
        <v>35</v>
      </c>
      <c r="F441" s="209" t="s">
        <v>1992</v>
      </c>
      <c r="G441" s="209">
        <v>290</v>
      </c>
      <c r="H441" s="209" t="s">
        <v>347</v>
      </c>
      <c r="I441" s="209" t="s">
        <v>440</v>
      </c>
      <c r="J441" s="209" t="s">
        <v>1915</v>
      </c>
      <c r="K441" s="209" t="s">
        <v>200</v>
      </c>
      <c r="L441" s="209" t="s">
        <v>2522</v>
      </c>
      <c r="M441" s="209" t="s">
        <v>2523</v>
      </c>
      <c r="N441" s="209" t="s">
        <v>1931</v>
      </c>
      <c r="O441" s="152" t="s">
        <v>207</v>
      </c>
      <c r="P441" s="90"/>
      <c r="Q441" s="140" t="s">
        <v>207</v>
      </c>
      <c r="R441" s="90"/>
      <c r="S441" s="140" t="s">
        <v>214</v>
      </c>
      <c r="T441" s="90"/>
      <c r="U441" s="140" t="s">
        <v>214</v>
      </c>
      <c r="V441" s="90"/>
      <c r="W441" s="140" t="s">
        <v>207</v>
      </c>
      <c r="X441" s="90"/>
      <c r="Y441" s="140" t="s">
        <v>207</v>
      </c>
      <c r="Z441" s="177" t="str">
        <f t="shared" si="24"/>
        <v>NC</v>
      </c>
      <c r="AA441" s="190" t="str">
        <f t="shared" si="23"/>
        <v>UTILIZOU O PDA CORRETAMENTE. NÃO HÁ FOTOS DE TODAS AS ETAPAS</v>
      </c>
      <c r="AB441" s="90" t="s">
        <v>207</v>
      </c>
      <c r="AC441" s="156" t="s">
        <v>36</v>
      </c>
      <c r="AD441" s="145" t="str">
        <f t="shared" si="25"/>
        <v>SÃO PAULO</v>
      </c>
      <c r="AE441" s="92" t="s">
        <v>79</v>
      </c>
    </row>
    <row r="442" spans="1:31" ht="30" customHeight="1">
      <c r="A442" s="208" t="s">
        <v>198</v>
      </c>
      <c r="B442" s="258">
        <v>2620868804</v>
      </c>
      <c r="C442" s="209" t="s">
        <v>1923</v>
      </c>
      <c r="D442" s="209" t="s">
        <v>79</v>
      </c>
      <c r="E442" s="209" t="s">
        <v>35</v>
      </c>
      <c r="F442" s="209" t="s">
        <v>2524</v>
      </c>
      <c r="G442" s="209">
        <v>15</v>
      </c>
      <c r="H442" s="209" t="s">
        <v>200</v>
      </c>
      <c r="I442" s="209" t="s">
        <v>284</v>
      </c>
      <c r="J442" s="209" t="s">
        <v>1915</v>
      </c>
      <c r="K442" s="209" t="s">
        <v>200</v>
      </c>
      <c r="L442" s="209" t="s">
        <v>2525</v>
      </c>
      <c r="M442" s="209" t="s">
        <v>2526</v>
      </c>
      <c r="N442" s="209" t="s">
        <v>1931</v>
      </c>
      <c r="O442" s="152" t="s">
        <v>207</v>
      </c>
      <c r="P442" s="90"/>
      <c r="Q442" s="140" t="s">
        <v>207</v>
      </c>
      <c r="R442" s="90"/>
      <c r="S442" s="140" t="s">
        <v>214</v>
      </c>
      <c r="T442" s="90"/>
      <c r="U442" s="140" t="s">
        <v>214</v>
      </c>
      <c r="V442" s="90"/>
      <c r="W442" s="140" t="s">
        <v>214</v>
      </c>
      <c r="X442" s="90"/>
      <c r="Y442" s="140" t="s">
        <v>207</v>
      </c>
      <c r="Z442" s="177" t="str">
        <f t="shared" si="24"/>
        <v>NC</v>
      </c>
      <c r="AA442" s="190" t="str">
        <f t="shared" si="23"/>
        <v>UTILIZOU O PDA CORRETAMENTE. NÃO HÁ FOTOS DE TODAS AS ETAPAS</v>
      </c>
      <c r="AB442" s="90"/>
      <c r="AC442" s="156" t="s">
        <v>36</v>
      </c>
      <c r="AD442" s="145" t="str">
        <f t="shared" si="25"/>
        <v>SÃO PAULO</v>
      </c>
      <c r="AE442" s="92" t="s">
        <v>79</v>
      </c>
    </row>
    <row r="443" spans="1:31" ht="30" customHeight="1">
      <c r="A443" s="208" t="s">
        <v>198</v>
      </c>
      <c r="B443" s="258">
        <v>2620851983</v>
      </c>
      <c r="C443" s="209" t="s">
        <v>1923</v>
      </c>
      <c r="D443" s="209" t="s">
        <v>79</v>
      </c>
      <c r="E443" s="209" t="s">
        <v>35</v>
      </c>
      <c r="F443" s="209" t="s">
        <v>1449</v>
      </c>
      <c r="G443" s="209">
        <v>323</v>
      </c>
      <c r="H443" s="209" t="s">
        <v>205</v>
      </c>
      <c r="I443" s="209" t="s">
        <v>277</v>
      </c>
      <c r="J443" s="209" t="s">
        <v>1915</v>
      </c>
      <c r="K443" s="209" t="s">
        <v>200</v>
      </c>
      <c r="L443" s="209" t="s">
        <v>2527</v>
      </c>
      <c r="M443" s="209" t="s">
        <v>2528</v>
      </c>
      <c r="N443" s="209" t="s">
        <v>1919</v>
      </c>
      <c r="O443" s="152" t="s">
        <v>214</v>
      </c>
      <c r="P443" s="90"/>
      <c r="Q443" s="140" t="s">
        <v>214</v>
      </c>
      <c r="R443" s="90"/>
      <c r="S443" s="140" t="s">
        <v>214</v>
      </c>
      <c r="T443" s="90"/>
      <c r="U443" s="140" t="s">
        <v>214</v>
      </c>
      <c r="V443" s="90"/>
      <c r="W443" s="140" t="s">
        <v>214</v>
      </c>
      <c r="X443" s="90"/>
      <c r="Y443" s="140" t="s">
        <v>215</v>
      </c>
      <c r="Z443" s="177" t="str">
        <f t="shared" si="24"/>
        <v>NC</v>
      </c>
      <c r="AA443" s="190" t="str">
        <f t="shared" si="23"/>
        <v>NÃO UTILIZOU O PDA</v>
      </c>
      <c r="AB443" s="90" t="s">
        <v>207</v>
      </c>
      <c r="AC443" s="156" t="s">
        <v>36</v>
      </c>
      <c r="AD443" s="145" t="str">
        <f t="shared" si="25"/>
        <v>SÃO PAULO</v>
      </c>
      <c r="AE443" s="92" t="s">
        <v>79</v>
      </c>
    </row>
    <row r="444" spans="1:31" ht="30" customHeight="1">
      <c r="A444" s="208" t="s">
        <v>198</v>
      </c>
      <c r="B444" s="258">
        <v>2620850417</v>
      </c>
      <c r="C444" s="209" t="s">
        <v>1923</v>
      </c>
      <c r="D444" s="209" t="s">
        <v>79</v>
      </c>
      <c r="E444" s="209" t="s">
        <v>35</v>
      </c>
      <c r="F444" s="209" t="s">
        <v>2529</v>
      </c>
      <c r="G444" s="209">
        <v>1221</v>
      </c>
      <c r="H444" s="209" t="s">
        <v>200</v>
      </c>
      <c r="I444" s="209" t="s">
        <v>287</v>
      </c>
      <c r="J444" s="209" t="s">
        <v>1915</v>
      </c>
      <c r="K444" s="209" t="s">
        <v>2530</v>
      </c>
      <c r="L444" s="209" t="s">
        <v>2531</v>
      </c>
      <c r="M444" s="209" t="s">
        <v>2532</v>
      </c>
      <c r="N444" s="209" t="s">
        <v>1919</v>
      </c>
      <c r="O444" s="152" t="s">
        <v>207</v>
      </c>
      <c r="P444" s="90"/>
      <c r="Q444" s="140" t="s">
        <v>207</v>
      </c>
      <c r="R444" s="90"/>
      <c r="S444" s="140" t="s">
        <v>207</v>
      </c>
      <c r="T444" s="90"/>
      <c r="U444" s="140" t="s">
        <v>207</v>
      </c>
      <c r="V444" s="90"/>
      <c r="W444" s="140" t="s">
        <v>207</v>
      </c>
      <c r="X444" s="90"/>
      <c r="Y444" s="140" t="s">
        <v>207</v>
      </c>
      <c r="Z444" s="177" t="str">
        <f t="shared" si="24"/>
        <v>C</v>
      </c>
      <c r="AA444" s="190" t="str">
        <f t="shared" si="23"/>
        <v>UTILIZOU O PDA CORRETAMENTE</v>
      </c>
      <c r="AB444" s="90"/>
      <c r="AC444" s="156" t="s">
        <v>36</v>
      </c>
      <c r="AD444" s="145" t="str">
        <f t="shared" si="25"/>
        <v>SÃO PAULO</v>
      </c>
      <c r="AE444" s="92" t="s">
        <v>79</v>
      </c>
    </row>
    <row r="445" spans="1:31" ht="30" customHeight="1">
      <c r="A445" s="208" t="s">
        <v>198</v>
      </c>
      <c r="B445" s="258">
        <v>2620851717</v>
      </c>
      <c r="C445" s="209" t="s">
        <v>1923</v>
      </c>
      <c r="D445" s="209" t="s">
        <v>79</v>
      </c>
      <c r="E445" s="209" t="s">
        <v>35</v>
      </c>
      <c r="F445" s="209" t="s">
        <v>1449</v>
      </c>
      <c r="G445" s="209">
        <v>323</v>
      </c>
      <c r="H445" s="209" t="s">
        <v>208</v>
      </c>
      <c r="I445" s="209" t="s">
        <v>277</v>
      </c>
      <c r="J445" s="209" t="s">
        <v>1915</v>
      </c>
      <c r="K445" s="209" t="s">
        <v>200</v>
      </c>
      <c r="L445" s="209" t="s">
        <v>2533</v>
      </c>
      <c r="M445" s="209" t="s">
        <v>2534</v>
      </c>
      <c r="N445" s="209" t="s">
        <v>1919</v>
      </c>
      <c r="O445" s="152" t="s">
        <v>214</v>
      </c>
      <c r="P445" s="90"/>
      <c r="Q445" s="140" t="s">
        <v>214</v>
      </c>
      <c r="R445" s="90"/>
      <c r="S445" s="140" t="s">
        <v>214</v>
      </c>
      <c r="T445" s="90"/>
      <c r="U445" s="140" t="s">
        <v>214</v>
      </c>
      <c r="V445" s="90"/>
      <c r="W445" s="140" t="s">
        <v>214</v>
      </c>
      <c r="X445" s="90"/>
      <c r="Y445" s="140" t="s">
        <v>215</v>
      </c>
      <c r="Z445" s="177" t="str">
        <f t="shared" si="24"/>
        <v>NC</v>
      </c>
      <c r="AA445" s="190" t="str">
        <f t="shared" si="23"/>
        <v>NÃO UTILIZOU O PDA</v>
      </c>
      <c r="AB445" s="90" t="s">
        <v>207</v>
      </c>
      <c r="AC445" s="156" t="s">
        <v>36</v>
      </c>
      <c r="AD445" s="145" t="str">
        <f t="shared" si="25"/>
        <v>SÃO PAULO</v>
      </c>
      <c r="AE445" s="92" t="s">
        <v>79</v>
      </c>
    </row>
    <row r="446" spans="1:31" ht="30" customHeight="1">
      <c r="A446" s="208" t="s">
        <v>198</v>
      </c>
      <c r="B446" s="258">
        <v>2620851297</v>
      </c>
      <c r="C446" s="209" t="s">
        <v>1923</v>
      </c>
      <c r="D446" s="209" t="s">
        <v>79</v>
      </c>
      <c r="E446" s="209" t="s">
        <v>35</v>
      </c>
      <c r="F446" s="209" t="s">
        <v>1449</v>
      </c>
      <c r="G446" s="209">
        <v>323</v>
      </c>
      <c r="H446" s="209" t="s">
        <v>257</v>
      </c>
      <c r="I446" s="209" t="s">
        <v>277</v>
      </c>
      <c r="J446" s="209" t="s">
        <v>1915</v>
      </c>
      <c r="K446" s="209" t="s">
        <v>2535</v>
      </c>
      <c r="L446" s="209" t="s">
        <v>2536</v>
      </c>
      <c r="M446" s="209" t="s">
        <v>2537</v>
      </c>
      <c r="N446" s="209" t="s">
        <v>1919</v>
      </c>
      <c r="O446" s="152" t="s">
        <v>207</v>
      </c>
      <c r="P446" s="90"/>
      <c r="Q446" s="140" t="s">
        <v>214</v>
      </c>
      <c r="R446" s="90"/>
      <c r="S446" s="140" t="s">
        <v>214</v>
      </c>
      <c r="T446" s="90"/>
      <c r="U446" s="140" t="s">
        <v>214</v>
      </c>
      <c r="V446" s="90"/>
      <c r="W446" s="140" t="s">
        <v>207</v>
      </c>
      <c r="X446" s="90"/>
      <c r="Y446" s="140" t="s">
        <v>207</v>
      </c>
      <c r="Z446" s="177" t="str">
        <f t="shared" si="24"/>
        <v>NC</v>
      </c>
      <c r="AA446" s="190" t="str">
        <f t="shared" si="23"/>
        <v>UTILIZOU O PDA CORRETAMENTE. NÃO HÁ FOTOS DE TODAS AS ETAPAS</v>
      </c>
      <c r="AB446" s="90"/>
      <c r="AC446" s="156" t="s">
        <v>36</v>
      </c>
      <c r="AD446" s="145" t="str">
        <f t="shared" si="25"/>
        <v>SÃO PAULO</v>
      </c>
      <c r="AE446" s="92" t="s">
        <v>79</v>
      </c>
    </row>
    <row r="447" spans="1:31" ht="30" customHeight="1">
      <c r="A447" s="208" t="s">
        <v>198</v>
      </c>
      <c r="B447" s="258">
        <v>2620854596</v>
      </c>
      <c r="C447" s="209" t="s">
        <v>1923</v>
      </c>
      <c r="D447" s="209" t="s">
        <v>79</v>
      </c>
      <c r="E447" s="209" t="s">
        <v>35</v>
      </c>
      <c r="F447" s="209" t="s">
        <v>688</v>
      </c>
      <c r="G447" s="209">
        <v>581</v>
      </c>
      <c r="H447" s="209" t="s">
        <v>200</v>
      </c>
      <c r="I447" s="209" t="s">
        <v>689</v>
      </c>
      <c r="J447" s="209" t="s">
        <v>1943</v>
      </c>
      <c r="K447" s="209" t="s">
        <v>200</v>
      </c>
      <c r="L447" s="209" t="s">
        <v>2538</v>
      </c>
      <c r="M447" s="209" t="s">
        <v>2539</v>
      </c>
      <c r="N447" s="209" t="s">
        <v>390</v>
      </c>
      <c r="O447" s="152" t="s">
        <v>77</v>
      </c>
      <c r="P447" s="90"/>
      <c r="Q447" s="140" t="s">
        <v>77</v>
      </c>
      <c r="R447" s="90"/>
      <c r="S447" s="140" t="s">
        <v>77</v>
      </c>
      <c r="T447" s="90"/>
      <c r="U447" s="140" t="s">
        <v>77</v>
      </c>
      <c r="V447" s="90"/>
      <c r="W447" s="140" t="s">
        <v>77</v>
      </c>
      <c r="X447" s="90"/>
      <c r="Y447" s="140" t="s">
        <v>77</v>
      </c>
      <c r="Z447" s="177" t="str">
        <f t="shared" si="24"/>
        <v>NA</v>
      </c>
      <c r="AA447" s="190" t="str">
        <f t="shared" si="23"/>
        <v>NÃO AVALIADO POR FALHA DE SINCRONISMO</v>
      </c>
      <c r="AB447" s="90"/>
      <c r="AC447" s="156" t="s">
        <v>36</v>
      </c>
      <c r="AD447" s="145" t="str">
        <f t="shared" si="25"/>
        <v>SÃO PAULO</v>
      </c>
      <c r="AE447" s="92" t="s">
        <v>79</v>
      </c>
    </row>
    <row r="448" spans="1:31" ht="30" customHeight="1">
      <c r="A448" s="208" t="s">
        <v>198</v>
      </c>
      <c r="B448" s="258">
        <v>2620855449</v>
      </c>
      <c r="C448" s="209" t="s">
        <v>1923</v>
      </c>
      <c r="D448" s="209" t="s">
        <v>79</v>
      </c>
      <c r="E448" s="209" t="s">
        <v>35</v>
      </c>
      <c r="F448" s="209" t="s">
        <v>688</v>
      </c>
      <c r="G448" s="209">
        <v>1197</v>
      </c>
      <c r="H448" s="209" t="s">
        <v>205</v>
      </c>
      <c r="I448" s="209" t="s">
        <v>689</v>
      </c>
      <c r="J448" s="209" t="s">
        <v>1915</v>
      </c>
      <c r="K448" s="209" t="s">
        <v>200</v>
      </c>
      <c r="L448" s="209" t="s">
        <v>2540</v>
      </c>
      <c r="M448" s="209" t="s">
        <v>2538</v>
      </c>
      <c r="N448" s="209" t="s">
        <v>390</v>
      </c>
      <c r="O448" s="152" t="s">
        <v>207</v>
      </c>
      <c r="P448" s="90"/>
      <c r="Q448" s="140" t="s">
        <v>214</v>
      </c>
      <c r="R448" s="90"/>
      <c r="S448" s="140" t="s">
        <v>214</v>
      </c>
      <c r="T448" s="90"/>
      <c r="U448" s="140" t="s">
        <v>214</v>
      </c>
      <c r="V448" s="90"/>
      <c r="W448" s="140" t="s">
        <v>207</v>
      </c>
      <c r="X448" s="90"/>
      <c r="Y448" s="140" t="s">
        <v>207</v>
      </c>
      <c r="Z448" s="177" t="str">
        <f t="shared" si="24"/>
        <v>NC</v>
      </c>
      <c r="AA448" s="190" t="str">
        <f t="shared" si="23"/>
        <v>UTILIZOU O PDA CORRETAMENTE. NÃO HÁ FOTOS DE TODAS AS ETAPAS</v>
      </c>
      <c r="AB448" s="90" t="s">
        <v>207</v>
      </c>
      <c r="AC448" s="156" t="s">
        <v>36</v>
      </c>
      <c r="AD448" s="145" t="str">
        <f t="shared" si="25"/>
        <v>SÃO PAULO</v>
      </c>
      <c r="AE448" s="92" t="s">
        <v>79</v>
      </c>
    </row>
    <row r="449" spans="1:31" ht="30" customHeight="1">
      <c r="A449" s="208" t="s">
        <v>198</v>
      </c>
      <c r="B449" s="258">
        <v>2620849427</v>
      </c>
      <c r="C449" s="209" t="s">
        <v>1923</v>
      </c>
      <c r="D449" s="209" t="s">
        <v>79</v>
      </c>
      <c r="E449" s="209" t="s">
        <v>35</v>
      </c>
      <c r="F449" s="209" t="s">
        <v>694</v>
      </c>
      <c r="G449" s="209">
        <v>1556</v>
      </c>
      <c r="H449" s="209" t="s">
        <v>208</v>
      </c>
      <c r="I449" s="209" t="s">
        <v>293</v>
      </c>
      <c r="J449" s="209" t="s">
        <v>1915</v>
      </c>
      <c r="K449" s="209" t="s">
        <v>200</v>
      </c>
      <c r="L449" s="209" t="s">
        <v>2541</v>
      </c>
      <c r="M449" s="209" t="s">
        <v>2542</v>
      </c>
      <c r="N449" s="209" t="s">
        <v>1933</v>
      </c>
      <c r="O449" s="152" t="s">
        <v>207</v>
      </c>
      <c r="P449" s="90"/>
      <c r="Q449" s="140" t="s">
        <v>214</v>
      </c>
      <c r="R449" s="90"/>
      <c r="S449" s="140" t="s">
        <v>214</v>
      </c>
      <c r="T449" s="90"/>
      <c r="U449" s="140" t="s">
        <v>214</v>
      </c>
      <c r="V449" s="90"/>
      <c r="W449" s="140" t="s">
        <v>214</v>
      </c>
      <c r="X449" s="90"/>
      <c r="Y449" s="140" t="s">
        <v>207</v>
      </c>
      <c r="Z449" s="177" t="str">
        <f t="shared" si="24"/>
        <v>NC</v>
      </c>
      <c r="AA449" s="190" t="str">
        <f t="shared" si="23"/>
        <v>UTILIZOU O PDA CORRETAMENTE. NÃO HÁ FOTOS DE TODAS AS ETAPAS</v>
      </c>
      <c r="AB449" s="90"/>
      <c r="AC449" s="156" t="s">
        <v>36</v>
      </c>
      <c r="AD449" s="145" t="str">
        <f t="shared" si="25"/>
        <v>SÃO PAULO</v>
      </c>
      <c r="AE449" s="92" t="s">
        <v>79</v>
      </c>
    </row>
    <row r="450" spans="1:31" ht="30" customHeight="1">
      <c r="A450" s="208" t="s">
        <v>198</v>
      </c>
      <c r="B450" s="258">
        <v>2620857092</v>
      </c>
      <c r="C450" s="209" t="s">
        <v>1923</v>
      </c>
      <c r="D450" s="209" t="s">
        <v>79</v>
      </c>
      <c r="E450" s="209" t="s">
        <v>35</v>
      </c>
      <c r="F450" s="209" t="s">
        <v>2204</v>
      </c>
      <c r="G450" s="209">
        <v>550</v>
      </c>
      <c r="H450" s="209" t="s">
        <v>205</v>
      </c>
      <c r="I450" s="209" t="s">
        <v>314</v>
      </c>
      <c r="J450" s="209" t="s">
        <v>1915</v>
      </c>
      <c r="K450" s="209" t="s">
        <v>2060</v>
      </c>
      <c r="L450" s="209" t="s">
        <v>2543</v>
      </c>
      <c r="M450" s="209" t="s">
        <v>2544</v>
      </c>
      <c r="N450" s="209" t="s">
        <v>1925</v>
      </c>
      <c r="O450" s="152" t="s">
        <v>214</v>
      </c>
      <c r="P450" s="90"/>
      <c r="Q450" s="140" t="s">
        <v>214</v>
      </c>
      <c r="R450" s="90"/>
      <c r="S450" s="140" t="s">
        <v>214</v>
      </c>
      <c r="T450" s="90"/>
      <c r="U450" s="140" t="s">
        <v>214</v>
      </c>
      <c r="V450" s="90"/>
      <c r="W450" s="140" t="s">
        <v>214</v>
      </c>
      <c r="X450" s="90"/>
      <c r="Y450" s="140" t="s">
        <v>215</v>
      </c>
      <c r="Z450" s="177" t="str">
        <f t="shared" si="24"/>
        <v>NC</v>
      </c>
      <c r="AA450" s="190" t="str">
        <f t="shared" ref="AA450:AA513" si="26">IF(AND(Y450="C",Z450="C"),"UTILIZOU O PDA CORRETAMENTE",IF(AND(Y450="C",Z450="NC"),"UTILIZOU O PDA CORRETAMENTE. NÃO HÁ FOTOS DE TODAS AS ETAPAS",IF(AND(Y450="NC",Z450="NC"),"NÃO UTILIZOU O PDA",IF(AND(Y450="NA",Z450="NA"),"NÃO AVALIADO POR FALHA DE SINCRONISMO"))))</f>
        <v>NÃO UTILIZOU O PDA</v>
      </c>
      <c r="AB450" s="90" t="s">
        <v>207</v>
      </c>
      <c r="AC450" s="156" t="s">
        <v>36</v>
      </c>
      <c r="AD450" s="145" t="str">
        <f t="shared" si="25"/>
        <v>SÃO PAULO</v>
      </c>
      <c r="AE450" s="92" t="s">
        <v>79</v>
      </c>
    </row>
    <row r="451" spans="1:31" ht="30" customHeight="1">
      <c r="A451" s="208" t="s">
        <v>198</v>
      </c>
      <c r="B451" s="258">
        <v>2620877167</v>
      </c>
      <c r="C451" s="209" t="s">
        <v>1923</v>
      </c>
      <c r="D451" s="209" t="s">
        <v>79</v>
      </c>
      <c r="E451" s="209" t="s">
        <v>35</v>
      </c>
      <c r="F451" s="209" t="s">
        <v>2545</v>
      </c>
      <c r="G451" s="209">
        <v>414</v>
      </c>
      <c r="H451" s="209" t="s">
        <v>208</v>
      </c>
      <c r="I451" s="209" t="s">
        <v>527</v>
      </c>
      <c r="J451" s="209" t="s">
        <v>1915</v>
      </c>
      <c r="K451" s="209" t="s">
        <v>200</v>
      </c>
      <c r="L451" s="209" t="s">
        <v>1150</v>
      </c>
      <c r="M451" s="209" t="s">
        <v>2546</v>
      </c>
      <c r="N451" s="209" t="s">
        <v>390</v>
      </c>
      <c r="O451" s="152" t="s">
        <v>214</v>
      </c>
      <c r="P451" s="90"/>
      <c r="Q451" s="140" t="s">
        <v>214</v>
      </c>
      <c r="R451" s="90"/>
      <c r="S451" s="140" t="s">
        <v>214</v>
      </c>
      <c r="T451" s="90"/>
      <c r="U451" s="140" t="s">
        <v>214</v>
      </c>
      <c r="V451" s="90"/>
      <c r="W451" s="140" t="s">
        <v>214</v>
      </c>
      <c r="X451" s="90"/>
      <c r="Y451" s="140" t="s">
        <v>215</v>
      </c>
      <c r="Z451" s="177" t="str">
        <f t="shared" ref="Z451:Z514" si="27">IF(AND(O451="",Q451="",S451="",U451="",W451=""),"",IF(OR(AND(O451&lt;&gt;"NA",O451&lt;&gt;"C",O451&lt;&gt;"NC",O451&lt;&gt;"SF",O451&lt;&gt;""),AND(Q451&lt;&gt;"NA",Q451&lt;&gt;"C",Q451&lt;&gt;"NC",Q451&lt;&gt;"SF",Q451&lt;&gt;""),AND(S451&lt;&gt;"NA",S451&lt;&gt;"C",S451&lt;&gt;"NC",S451&lt;&gt;"SF",S451&lt;&gt;""),AND(U451&lt;&gt;"NA",U451&lt;&gt;"C",U451&lt;&gt;"NC",U451&lt;&gt;"SF",U451&lt;&gt;""),AND(W451&lt;&gt;"NA",W451&lt;&gt;"C",W451&lt;&gt;"NC",W451&lt;&gt;"SF",W451&lt;&gt;"")),"FALSO",IF(AND(O451="NA",Q451="NA",S451="NA",U451="NA",W451="NA"),"NA",IF(OR(O451="NC",Q451="NC",S451="NC",U451="NC",W451="NC",O451="SF",Q451="SF",S451="SF",U451="SF",W451="SF"),"NC",IF(OR(O451="C",Q451="C",S451="C",U451="C",W451="C"),"C","")))))</f>
        <v>NC</v>
      </c>
      <c r="AA451" s="190" t="str">
        <f t="shared" si="26"/>
        <v>NÃO UTILIZOU O PDA</v>
      </c>
      <c r="AB451" s="90" t="s">
        <v>207</v>
      </c>
      <c r="AC451" s="156" t="s">
        <v>36</v>
      </c>
      <c r="AD451" s="145" t="str">
        <f t="shared" si="25"/>
        <v>SÃO PAULO</v>
      </c>
      <c r="AE451" s="92" t="s">
        <v>79</v>
      </c>
    </row>
    <row r="452" spans="1:31" ht="30" customHeight="1">
      <c r="A452" s="208" t="s">
        <v>198</v>
      </c>
      <c r="B452" s="258">
        <v>2620884351</v>
      </c>
      <c r="C452" s="209" t="s">
        <v>1923</v>
      </c>
      <c r="D452" s="209" t="s">
        <v>79</v>
      </c>
      <c r="E452" s="209" t="s">
        <v>35</v>
      </c>
      <c r="F452" s="209" t="s">
        <v>2547</v>
      </c>
      <c r="G452" s="209">
        <v>19</v>
      </c>
      <c r="H452" s="209" t="s">
        <v>200</v>
      </c>
      <c r="I452" s="209" t="s">
        <v>510</v>
      </c>
      <c r="J452" s="209" t="s">
        <v>1915</v>
      </c>
      <c r="K452" s="209" t="s">
        <v>200</v>
      </c>
      <c r="L452" s="209" t="s">
        <v>2548</v>
      </c>
      <c r="M452" s="209" t="s">
        <v>2548</v>
      </c>
      <c r="N452" s="209" t="s">
        <v>390</v>
      </c>
      <c r="O452" s="152" t="s">
        <v>214</v>
      </c>
      <c r="P452" s="90"/>
      <c r="Q452" s="140" t="s">
        <v>214</v>
      </c>
      <c r="R452" s="90"/>
      <c r="S452" s="140" t="s">
        <v>214</v>
      </c>
      <c r="T452" s="90"/>
      <c r="U452" s="140" t="s">
        <v>214</v>
      </c>
      <c r="V452" s="90"/>
      <c r="W452" s="140" t="s">
        <v>214</v>
      </c>
      <c r="X452" s="90"/>
      <c r="Y452" s="140" t="s">
        <v>215</v>
      </c>
      <c r="Z452" s="177" t="str">
        <f t="shared" si="27"/>
        <v>NC</v>
      </c>
      <c r="AA452" s="190" t="str">
        <f t="shared" si="26"/>
        <v>NÃO UTILIZOU O PDA</v>
      </c>
      <c r="AB452" s="90" t="s">
        <v>207</v>
      </c>
      <c r="AC452" s="156" t="s">
        <v>36</v>
      </c>
      <c r="AD452" s="145" t="str">
        <f t="shared" si="25"/>
        <v>SÃO PAULO</v>
      </c>
      <c r="AE452" s="92" t="s">
        <v>79</v>
      </c>
    </row>
    <row r="453" spans="1:31" ht="30" customHeight="1">
      <c r="A453" s="153" t="s">
        <v>198</v>
      </c>
      <c r="B453" s="257">
        <v>2693583312</v>
      </c>
      <c r="C453" s="207" t="s">
        <v>146</v>
      </c>
      <c r="D453" s="207" t="s">
        <v>79</v>
      </c>
      <c r="E453" s="207" t="s">
        <v>35</v>
      </c>
      <c r="F453" s="207" t="s">
        <v>2549</v>
      </c>
      <c r="G453" s="207">
        <v>13</v>
      </c>
      <c r="H453" s="207" t="s">
        <v>200</v>
      </c>
      <c r="I453" s="207" t="s">
        <v>373</v>
      </c>
      <c r="J453" s="207" t="s">
        <v>1915</v>
      </c>
      <c r="K453" s="207" t="s">
        <v>200</v>
      </c>
      <c r="L453" s="207" t="s">
        <v>1271</v>
      </c>
      <c r="M453" s="207" t="s">
        <v>2550</v>
      </c>
      <c r="N453" s="207" t="s">
        <v>1916</v>
      </c>
      <c r="O453" s="152" t="s">
        <v>207</v>
      </c>
      <c r="P453" s="90"/>
      <c r="Q453" s="140" t="s">
        <v>207</v>
      </c>
      <c r="R453" s="90"/>
      <c r="S453" s="140" t="s">
        <v>207</v>
      </c>
      <c r="T453" s="90"/>
      <c r="U453" s="140" t="s">
        <v>207</v>
      </c>
      <c r="V453" s="90"/>
      <c r="W453" s="140" t="s">
        <v>207</v>
      </c>
      <c r="X453" s="90"/>
      <c r="Y453" s="140" t="s">
        <v>207</v>
      </c>
      <c r="Z453" s="177" t="str">
        <f t="shared" si="27"/>
        <v>C</v>
      </c>
      <c r="AA453" s="190" t="str">
        <f t="shared" si="26"/>
        <v>UTILIZOU O PDA CORRETAMENTE</v>
      </c>
      <c r="AB453" s="90" t="s">
        <v>207</v>
      </c>
      <c r="AC453" s="156" t="s">
        <v>36</v>
      </c>
      <c r="AD453" s="145" t="str">
        <f t="shared" si="25"/>
        <v>SÃO PAULO</v>
      </c>
      <c r="AE453" s="92" t="s">
        <v>79</v>
      </c>
    </row>
    <row r="454" spans="1:31" ht="30" customHeight="1">
      <c r="A454" s="208" t="s">
        <v>198</v>
      </c>
      <c r="B454" s="258">
        <v>2620881406</v>
      </c>
      <c r="C454" s="209" t="s">
        <v>1923</v>
      </c>
      <c r="D454" s="209" t="s">
        <v>79</v>
      </c>
      <c r="E454" s="209" t="s">
        <v>35</v>
      </c>
      <c r="F454" s="209" t="s">
        <v>1968</v>
      </c>
      <c r="G454" s="209">
        <v>97</v>
      </c>
      <c r="H454" s="209" t="s">
        <v>205</v>
      </c>
      <c r="I454" s="209" t="s">
        <v>220</v>
      </c>
      <c r="J454" s="209" t="s">
        <v>1915</v>
      </c>
      <c r="K454" s="209" t="s">
        <v>200</v>
      </c>
      <c r="L454" s="209" t="s">
        <v>2551</v>
      </c>
      <c r="M454" s="209" t="s">
        <v>2552</v>
      </c>
      <c r="N454" s="209" t="s">
        <v>1916</v>
      </c>
      <c r="O454" s="152" t="s">
        <v>207</v>
      </c>
      <c r="P454" s="90"/>
      <c r="Q454" s="140" t="s">
        <v>207</v>
      </c>
      <c r="R454" s="90"/>
      <c r="S454" s="140" t="s">
        <v>207</v>
      </c>
      <c r="T454" s="90"/>
      <c r="U454" s="140" t="s">
        <v>207</v>
      </c>
      <c r="V454" s="90"/>
      <c r="W454" s="140" t="s">
        <v>207</v>
      </c>
      <c r="X454" s="90"/>
      <c r="Y454" s="140" t="s">
        <v>207</v>
      </c>
      <c r="Z454" s="177" t="str">
        <f t="shared" si="27"/>
        <v>C</v>
      </c>
      <c r="AA454" s="190" t="str">
        <f t="shared" si="26"/>
        <v>UTILIZOU O PDA CORRETAMENTE</v>
      </c>
      <c r="AB454" s="90" t="s">
        <v>207</v>
      </c>
      <c r="AC454" s="156" t="s">
        <v>36</v>
      </c>
      <c r="AD454" s="145" t="str">
        <f t="shared" si="25"/>
        <v>SÃO PAULO</v>
      </c>
      <c r="AE454" s="92" t="s">
        <v>79</v>
      </c>
    </row>
    <row r="455" spans="1:31" ht="30" customHeight="1">
      <c r="A455" s="208" t="s">
        <v>198</v>
      </c>
      <c r="B455" s="258">
        <v>2620839253</v>
      </c>
      <c r="C455" s="209" t="s">
        <v>143</v>
      </c>
      <c r="D455" s="209" t="s">
        <v>79</v>
      </c>
      <c r="E455" s="209" t="s">
        <v>35</v>
      </c>
      <c r="F455" s="209" t="s">
        <v>2553</v>
      </c>
      <c r="G455" s="209">
        <v>25</v>
      </c>
      <c r="H455" s="209" t="s">
        <v>205</v>
      </c>
      <c r="I455" s="209" t="s">
        <v>717</v>
      </c>
      <c r="J455" s="209" t="s">
        <v>1918</v>
      </c>
      <c r="K455" s="209" t="s">
        <v>200</v>
      </c>
      <c r="L455" s="209" t="s">
        <v>1265</v>
      </c>
      <c r="M455" s="209" t="s">
        <v>2554</v>
      </c>
      <c r="N455" s="209" t="s">
        <v>1933</v>
      </c>
      <c r="O455" s="152" t="s">
        <v>207</v>
      </c>
      <c r="P455" s="90"/>
      <c r="Q455" s="140" t="s">
        <v>207</v>
      </c>
      <c r="R455" s="90"/>
      <c r="S455" s="140" t="s">
        <v>207</v>
      </c>
      <c r="T455" s="90"/>
      <c r="U455" s="140" t="s">
        <v>207</v>
      </c>
      <c r="V455" s="90"/>
      <c r="W455" s="140" t="s">
        <v>207</v>
      </c>
      <c r="X455" s="90"/>
      <c r="Y455" s="140" t="s">
        <v>207</v>
      </c>
      <c r="Z455" s="177" t="str">
        <f t="shared" si="27"/>
        <v>C</v>
      </c>
      <c r="AA455" s="190" t="str">
        <f t="shared" si="26"/>
        <v>UTILIZOU O PDA CORRETAMENTE</v>
      </c>
      <c r="AB455" s="90" t="s">
        <v>207</v>
      </c>
      <c r="AC455" s="156" t="s">
        <v>36</v>
      </c>
      <c r="AD455" s="145" t="str">
        <f t="shared" si="25"/>
        <v>SÃO PAULO</v>
      </c>
      <c r="AE455" s="92" t="s">
        <v>79</v>
      </c>
    </row>
    <row r="456" spans="1:31" ht="30" customHeight="1">
      <c r="A456" s="208" t="s">
        <v>198</v>
      </c>
      <c r="B456" s="258">
        <v>2693619906</v>
      </c>
      <c r="C456" s="209" t="s">
        <v>143</v>
      </c>
      <c r="D456" s="209" t="s">
        <v>79</v>
      </c>
      <c r="E456" s="209" t="s">
        <v>35</v>
      </c>
      <c r="F456" s="209" t="s">
        <v>2555</v>
      </c>
      <c r="G456" s="209">
        <v>55</v>
      </c>
      <c r="H456" s="209" t="s">
        <v>200</v>
      </c>
      <c r="I456" s="209" t="s">
        <v>1935</v>
      </c>
      <c r="J456" s="209" t="s">
        <v>1915</v>
      </c>
      <c r="K456" s="209" t="s">
        <v>200</v>
      </c>
      <c r="L456" s="209" t="s">
        <v>2556</v>
      </c>
      <c r="M456" s="209" t="s">
        <v>2557</v>
      </c>
      <c r="N456" s="209" t="s">
        <v>1933</v>
      </c>
      <c r="O456" s="152" t="s">
        <v>207</v>
      </c>
      <c r="P456" s="90"/>
      <c r="Q456" s="140" t="s">
        <v>207</v>
      </c>
      <c r="R456" s="90"/>
      <c r="S456" s="140" t="s">
        <v>207</v>
      </c>
      <c r="T456" s="90"/>
      <c r="U456" s="140" t="s">
        <v>207</v>
      </c>
      <c r="V456" s="90"/>
      <c r="W456" s="140" t="s">
        <v>207</v>
      </c>
      <c r="X456" s="90"/>
      <c r="Y456" s="140" t="s">
        <v>207</v>
      </c>
      <c r="Z456" s="177" t="str">
        <f t="shared" si="27"/>
        <v>C</v>
      </c>
      <c r="AA456" s="190" t="str">
        <f t="shared" si="26"/>
        <v>UTILIZOU O PDA CORRETAMENTE</v>
      </c>
      <c r="AB456" s="90" t="s">
        <v>207</v>
      </c>
      <c r="AC456" s="156" t="s">
        <v>36</v>
      </c>
      <c r="AD456" s="145" t="str">
        <f t="shared" si="25"/>
        <v>SÃO PAULO</v>
      </c>
      <c r="AE456" s="92" t="s">
        <v>79</v>
      </c>
    </row>
    <row r="457" spans="1:31" ht="30" customHeight="1">
      <c r="A457" s="208" t="s">
        <v>198</v>
      </c>
      <c r="B457" s="258">
        <v>2693623056</v>
      </c>
      <c r="C457" s="209" t="s">
        <v>143</v>
      </c>
      <c r="D457" s="209" t="s">
        <v>79</v>
      </c>
      <c r="E457" s="209" t="s">
        <v>35</v>
      </c>
      <c r="F457" s="209" t="s">
        <v>2558</v>
      </c>
      <c r="G457" s="209">
        <v>554</v>
      </c>
      <c r="H457" s="209" t="s">
        <v>200</v>
      </c>
      <c r="I457" s="209" t="s">
        <v>497</v>
      </c>
      <c r="J457" s="209" t="s">
        <v>1915</v>
      </c>
      <c r="K457" s="209" t="s">
        <v>200</v>
      </c>
      <c r="L457" s="209" t="s">
        <v>1270</v>
      </c>
      <c r="M457" s="209" t="s">
        <v>2559</v>
      </c>
      <c r="N457" s="209" t="s">
        <v>1933</v>
      </c>
      <c r="O457" s="152" t="s">
        <v>207</v>
      </c>
      <c r="P457" s="90"/>
      <c r="Q457" s="140" t="s">
        <v>207</v>
      </c>
      <c r="R457" s="90"/>
      <c r="S457" s="140" t="s">
        <v>207</v>
      </c>
      <c r="T457" s="90"/>
      <c r="U457" s="140" t="s">
        <v>207</v>
      </c>
      <c r="V457" s="90"/>
      <c r="W457" s="140" t="s">
        <v>207</v>
      </c>
      <c r="X457" s="90"/>
      <c r="Y457" s="140" t="s">
        <v>207</v>
      </c>
      <c r="Z457" s="177" t="str">
        <f t="shared" si="27"/>
        <v>C</v>
      </c>
      <c r="AA457" s="190" t="str">
        <f t="shared" si="26"/>
        <v>UTILIZOU O PDA CORRETAMENTE</v>
      </c>
      <c r="AB457" s="90" t="s">
        <v>207</v>
      </c>
      <c r="AC457" s="156" t="s">
        <v>36</v>
      </c>
      <c r="AD457" s="145" t="str">
        <f t="shared" si="25"/>
        <v>SÃO PAULO</v>
      </c>
      <c r="AE457" s="92" t="s">
        <v>79</v>
      </c>
    </row>
    <row r="458" spans="1:31" ht="30" customHeight="1">
      <c r="A458" s="208" t="s">
        <v>198</v>
      </c>
      <c r="B458" s="258">
        <v>2620978430</v>
      </c>
      <c r="C458" s="209" t="s">
        <v>147</v>
      </c>
      <c r="D458" s="209" t="s">
        <v>79</v>
      </c>
      <c r="E458" s="209" t="s">
        <v>35</v>
      </c>
      <c r="F458" s="209" t="s">
        <v>468</v>
      </c>
      <c r="G458" s="209">
        <v>38</v>
      </c>
      <c r="H458" s="209" t="s">
        <v>200</v>
      </c>
      <c r="I458" s="209" t="s">
        <v>467</v>
      </c>
      <c r="J458" s="209" t="s">
        <v>1915</v>
      </c>
      <c r="K458" s="209" t="s">
        <v>200</v>
      </c>
      <c r="L458" s="209" t="s">
        <v>2560</v>
      </c>
      <c r="M458" s="209" t="s">
        <v>2561</v>
      </c>
      <c r="N458" s="209" t="s">
        <v>1933</v>
      </c>
      <c r="O458" s="152" t="s">
        <v>207</v>
      </c>
      <c r="P458" s="90"/>
      <c r="Q458" s="140" t="s">
        <v>207</v>
      </c>
      <c r="R458" s="90"/>
      <c r="S458" s="140" t="s">
        <v>207</v>
      </c>
      <c r="T458" s="90"/>
      <c r="U458" s="140" t="s">
        <v>207</v>
      </c>
      <c r="V458" s="90"/>
      <c r="W458" s="140" t="s">
        <v>207</v>
      </c>
      <c r="X458" s="90"/>
      <c r="Y458" s="140" t="s">
        <v>207</v>
      </c>
      <c r="Z458" s="177" t="str">
        <f t="shared" si="27"/>
        <v>C</v>
      </c>
      <c r="AA458" s="190" t="str">
        <f t="shared" si="26"/>
        <v>UTILIZOU O PDA CORRETAMENTE</v>
      </c>
      <c r="AB458" s="90" t="s">
        <v>207</v>
      </c>
      <c r="AC458" s="156" t="s">
        <v>36</v>
      </c>
      <c r="AD458" s="145" t="str">
        <f t="shared" si="25"/>
        <v>SÃO PAULO</v>
      </c>
      <c r="AE458" s="92" t="s">
        <v>79</v>
      </c>
    </row>
    <row r="459" spans="1:31" ht="30" customHeight="1">
      <c r="A459" s="208" t="s">
        <v>198</v>
      </c>
      <c r="B459" s="258">
        <v>2620869993</v>
      </c>
      <c r="C459" s="209" t="s">
        <v>1923</v>
      </c>
      <c r="D459" s="209" t="s">
        <v>79</v>
      </c>
      <c r="E459" s="209" t="s">
        <v>35</v>
      </c>
      <c r="F459" s="209" t="s">
        <v>1095</v>
      </c>
      <c r="G459" s="209">
        <v>44</v>
      </c>
      <c r="H459" s="209" t="s">
        <v>200</v>
      </c>
      <c r="I459" s="209" t="s">
        <v>433</v>
      </c>
      <c r="J459" s="209" t="s">
        <v>1915</v>
      </c>
      <c r="K459" s="209" t="s">
        <v>200</v>
      </c>
      <c r="L459" s="209" t="s">
        <v>2562</v>
      </c>
      <c r="M459" s="209" t="s">
        <v>2563</v>
      </c>
      <c r="N459" s="209" t="s">
        <v>1925</v>
      </c>
      <c r="O459" s="152" t="s">
        <v>207</v>
      </c>
      <c r="P459" s="90"/>
      <c r="Q459" s="140" t="s">
        <v>207</v>
      </c>
      <c r="R459" s="90"/>
      <c r="S459" s="140" t="s">
        <v>214</v>
      </c>
      <c r="T459" s="90"/>
      <c r="U459" s="140" t="s">
        <v>214</v>
      </c>
      <c r="V459" s="90"/>
      <c r="W459" s="140" t="s">
        <v>214</v>
      </c>
      <c r="X459" s="90"/>
      <c r="Y459" s="140" t="s">
        <v>207</v>
      </c>
      <c r="Z459" s="177" t="str">
        <f t="shared" si="27"/>
        <v>NC</v>
      </c>
      <c r="AA459" s="190" t="str">
        <f t="shared" si="26"/>
        <v>UTILIZOU O PDA CORRETAMENTE. NÃO HÁ FOTOS DE TODAS AS ETAPAS</v>
      </c>
      <c r="AB459" s="90" t="s">
        <v>207</v>
      </c>
      <c r="AC459" s="156" t="s">
        <v>36</v>
      </c>
      <c r="AD459" s="145" t="str">
        <f t="shared" si="25"/>
        <v>SÃO PAULO</v>
      </c>
      <c r="AE459" s="92" t="s">
        <v>79</v>
      </c>
    </row>
    <row r="460" spans="1:31" ht="30" customHeight="1">
      <c r="A460" s="208" t="s">
        <v>198</v>
      </c>
      <c r="B460" s="258">
        <v>2693646446</v>
      </c>
      <c r="C460" s="209" t="s">
        <v>143</v>
      </c>
      <c r="D460" s="209" t="s">
        <v>79</v>
      </c>
      <c r="E460" s="209" t="s">
        <v>35</v>
      </c>
      <c r="F460" s="209" t="s">
        <v>639</v>
      </c>
      <c r="G460" s="209">
        <v>1196</v>
      </c>
      <c r="H460" s="209" t="s">
        <v>205</v>
      </c>
      <c r="I460" s="209" t="s">
        <v>408</v>
      </c>
      <c r="J460" s="209" t="s">
        <v>1915</v>
      </c>
      <c r="K460" s="209" t="s">
        <v>200</v>
      </c>
      <c r="L460" s="209" t="s">
        <v>2564</v>
      </c>
      <c r="M460" s="209" t="s">
        <v>2565</v>
      </c>
      <c r="N460" s="209" t="s">
        <v>1931</v>
      </c>
      <c r="O460" s="152" t="s">
        <v>207</v>
      </c>
      <c r="P460" s="90"/>
      <c r="Q460" s="140" t="s">
        <v>207</v>
      </c>
      <c r="R460" s="90"/>
      <c r="S460" s="140" t="s">
        <v>214</v>
      </c>
      <c r="T460" s="90"/>
      <c r="U460" s="140" t="s">
        <v>214</v>
      </c>
      <c r="V460" s="90"/>
      <c r="W460" s="140" t="s">
        <v>214</v>
      </c>
      <c r="X460" s="90"/>
      <c r="Y460" s="140" t="s">
        <v>207</v>
      </c>
      <c r="Z460" s="177" t="str">
        <f t="shared" si="27"/>
        <v>NC</v>
      </c>
      <c r="AA460" s="190" t="str">
        <f t="shared" si="26"/>
        <v>UTILIZOU O PDA CORRETAMENTE. NÃO HÁ FOTOS DE TODAS AS ETAPAS</v>
      </c>
      <c r="AB460" s="90" t="s">
        <v>207</v>
      </c>
      <c r="AC460" s="156" t="s">
        <v>36</v>
      </c>
      <c r="AD460" s="145" t="str">
        <f t="shared" si="25"/>
        <v>SÃO PAULO</v>
      </c>
      <c r="AE460" s="92" t="s">
        <v>79</v>
      </c>
    </row>
    <row r="461" spans="1:31" ht="30" customHeight="1">
      <c r="A461" s="208" t="s">
        <v>198</v>
      </c>
      <c r="B461" s="258">
        <v>2693617275</v>
      </c>
      <c r="C461" s="209" t="s">
        <v>146</v>
      </c>
      <c r="D461" s="209" t="s">
        <v>79</v>
      </c>
      <c r="E461" s="209" t="s">
        <v>35</v>
      </c>
      <c r="F461" s="209" t="s">
        <v>2168</v>
      </c>
      <c r="G461" s="209">
        <v>58</v>
      </c>
      <c r="H461" s="209" t="s">
        <v>208</v>
      </c>
      <c r="I461" s="209" t="s">
        <v>284</v>
      </c>
      <c r="J461" s="209" t="s">
        <v>1915</v>
      </c>
      <c r="K461" s="209" t="s">
        <v>200</v>
      </c>
      <c r="L461" s="209" t="s">
        <v>2566</v>
      </c>
      <c r="M461" s="209" t="s">
        <v>2567</v>
      </c>
      <c r="N461" s="209" t="s">
        <v>1931</v>
      </c>
      <c r="O461" s="152" t="s">
        <v>207</v>
      </c>
      <c r="P461" s="90"/>
      <c r="Q461" s="140" t="s">
        <v>207</v>
      </c>
      <c r="R461" s="90"/>
      <c r="S461" s="140" t="s">
        <v>214</v>
      </c>
      <c r="T461" s="90"/>
      <c r="U461" s="140" t="s">
        <v>214</v>
      </c>
      <c r="V461" s="90"/>
      <c r="W461" s="140" t="s">
        <v>207</v>
      </c>
      <c r="X461" s="90"/>
      <c r="Y461" s="140" t="s">
        <v>207</v>
      </c>
      <c r="Z461" s="177" t="str">
        <f t="shared" si="27"/>
        <v>NC</v>
      </c>
      <c r="AA461" s="190" t="str">
        <f t="shared" si="26"/>
        <v>UTILIZOU O PDA CORRETAMENTE. NÃO HÁ FOTOS DE TODAS AS ETAPAS</v>
      </c>
      <c r="AB461" s="90" t="s">
        <v>207</v>
      </c>
      <c r="AC461" s="156" t="s">
        <v>36</v>
      </c>
      <c r="AD461" s="145" t="str">
        <f t="shared" si="25"/>
        <v>SÃO PAULO</v>
      </c>
      <c r="AE461" s="92" t="s">
        <v>79</v>
      </c>
    </row>
    <row r="462" spans="1:31" ht="30" customHeight="1">
      <c r="A462" s="208" t="s">
        <v>198</v>
      </c>
      <c r="B462" s="258">
        <v>2620859377</v>
      </c>
      <c r="C462" s="209" t="s">
        <v>1923</v>
      </c>
      <c r="D462" s="209" t="s">
        <v>79</v>
      </c>
      <c r="E462" s="209" t="s">
        <v>35</v>
      </c>
      <c r="F462" s="209" t="s">
        <v>2568</v>
      </c>
      <c r="G462" s="209">
        <v>314</v>
      </c>
      <c r="H462" s="209" t="s">
        <v>255</v>
      </c>
      <c r="I462" s="209" t="s">
        <v>287</v>
      </c>
      <c r="J462" s="209" t="s">
        <v>1915</v>
      </c>
      <c r="K462" s="209" t="s">
        <v>2458</v>
      </c>
      <c r="L462" s="209" t="s">
        <v>2569</v>
      </c>
      <c r="M462" s="209" t="s">
        <v>2570</v>
      </c>
      <c r="N462" s="209" t="s">
        <v>1919</v>
      </c>
      <c r="O462" s="152" t="s">
        <v>207</v>
      </c>
      <c r="P462" s="90"/>
      <c r="Q462" s="140" t="s">
        <v>214</v>
      </c>
      <c r="R462" s="90"/>
      <c r="S462" s="140" t="s">
        <v>214</v>
      </c>
      <c r="T462" s="90"/>
      <c r="U462" s="140" t="s">
        <v>214</v>
      </c>
      <c r="V462" s="90"/>
      <c r="W462" s="140" t="s">
        <v>207</v>
      </c>
      <c r="X462" s="90"/>
      <c r="Y462" s="140" t="s">
        <v>207</v>
      </c>
      <c r="Z462" s="177" t="str">
        <f t="shared" si="27"/>
        <v>NC</v>
      </c>
      <c r="AA462" s="190" t="str">
        <f t="shared" si="26"/>
        <v>UTILIZOU O PDA CORRETAMENTE. NÃO HÁ FOTOS DE TODAS AS ETAPAS</v>
      </c>
      <c r="AB462" s="90"/>
      <c r="AC462" s="156" t="s">
        <v>36</v>
      </c>
      <c r="AD462" s="145" t="str">
        <f t="shared" si="25"/>
        <v>SÃO PAULO</v>
      </c>
      <c r="AE462" s="92" t="s">
        <v>79</v>
      </c>
    </row>
    <row r="463" spans="1:31" ht="30" customHeight="1">
      <c r="A463" s="208" t="s">
        <v>198</v>
      </c>
      <c r="B463" s="258">
        <v>2620896860</v>
      </c>
      <c r="C463" s="209" t="s">
        <v>1923</v>
      </c>
      <c r="D463" s="209" t="s">
        <v>79</v>
      </c>
      <c r="E463" s="209" t="s">
        <v>35</v>
      </c>
      <c r="F463" s="209" t="s">
        <v>2035</v>
      </c>
      <c r="G463" s="209">
        <v>142</v>
      </c>
      <c r="H463" s="209" t="s">
        <v>208</v>
      </c>
      <c r="I463" s="209" t="s">
        <v>395</v>
      </c>
      <c r="J463" s="209" t="s">
        <v>1915</v>
      </c>
      <c r="K463" s="209" t="s">
        <v>2571</v>
      </c>
      <c r="L463" s="209" t="s">
        <v>2572</v>
      </c>
      <c r="M463" s="209" t="s">
        <v>2573</v>
      </c>
      <c r="N463" s="209" t="s">
        <v>1919</v>
      </c>
      <c r="O463" s="152" t="s">
        <v>207</v>
      </c>
      <c r="P463" s="90"/>
      <c r="Q463" s="140" t="s">
        <v>214</v>
      </c>
      <c r="R463" s="90"/>
      <c r="S463" s="140" t="s">
        <v>214</v>
      </c>
      <c r="T463" s="90"/>
      <c r="U463" s="140" t="s">
        <v>214</v>
      </c>
      <c r="V463" s="90"/>
      <c r="W463" s="140" t="s">
        <v>214</v>
      </c>
      <c r="X463" s="90"/>
      <c r="Y463" s="140" t="s">
        <v>207</v>
      </c>
      <c r="Z463" s="177" t="str">
        <f t="shared" si="27"/>
        <v>NC</v>
      </c>
      <c r="AA463" s="190" t="str">
        <f t="shared" si="26"/>
        <v>UTILIZOU O PDA CORRETAMENTE. NÃO HÁ FOTOS DE TODAS AS ETAPAS</v>
      </c>
      <c r="AB463" s="90" t="s">
        <v>207</v>
      </c>
      <c r="AC463" s="156" t="s">
        <v>36</v>
      </c>
      <c r="AD463" s="145" t="str">
        <f t="shared" si="25"/>
        <v>SÃO PAULO</v>
      </c>
      <c r="AE463" s="92" t="s">
        <v>79</v>
      </c>
    </row>
    <row r="464" spans="1:31" ht="30" customHeight="1">
      <c r="A464" s="208" t="s">
        <v>198</v>
      </c>
      <c r="B464" s="258">
        <v>2620857525</v>
      </c>
      <c r="C464" s="209" t="s">
        <v>151</v>
      </c>
      <c r="D464" s="209" t="s">
        <v>140</v>
      </c>
      <c r="E464" s="209" t="s">
        <v>35</v>
      </c>
      <c r="F464" s="209" t="s">
        <v>1926</v>
      </c>
      <c r="G464" s="209">
        <v>5</v>
      </c>
      <c r="H464" s="209" t="s">
        <v>208</v>
      </c>
      <c r="I464" s="209" t="s">
        <v>319</v>
      </c>
      <c r="J464" s="209" t="s">
        <v>1966</v>
      </c>
      <c r="K464" s="209" t="s">
        <v>200</v>
      </c>
      <c r="L464" s="209" t="s">
        <v>1220</v>
      </c>
      <c r="M464" s="209" t="s">
        <v>2574</v>
      </c>
      <c r="N464" s="209" t="s">
        <v>206</v>
      </c>
      <c r="O464" s="152" t="s">
        <v>207</v>
      </c>
      <c r="P464" s="90"/>
      <c r="Q464" s="140" t="s">
        <v>207</v>
      </c>
      <c r="R464" s="90"/>
      <c r="S464" s="140" t="s">
        <v>207</v>
      </c>
      <c r="T464" s="90"/>
      <c r="U464" s="140" t="s">
        <v>207</v>
      </c>
      <c r="V464" s="90"/>
      <c r="W464" s="140" t="s">
        <v>207</v>
      </c>
      <c r="X464" s="90"/>
      <c r="Y464" s="140" t="s">
        <v>207</v>
      </c>
      <c r="Z464" s="177" t="str">
        <f t="shared" si="27"/>
        <v>C</v>
      </c>
      <c r="AA464" s="190" t="str">
        <f t="shared" si="26"/>
        <v>UTILIZOU O PDA CORRETAMENTE</v>
      </c>
      <c r="AB464" s="90" t="s">
        <v>207</v>
      </c>
      <c r="AC464" s="156" t="s">
        <v>36</v>
      </c>
      <c r="AD464" s="145" t="str">
        <f t="shared" si="25"/>
        <v>SÃO PAULO</v>
      </c>
      <c r="AE464" s="92" t="s">
        <v>79</v>
      </c>
    </row>
    <row r="465" spans="1:31" ht="30" customHeight="1">
      <c r="A465" s="208" t="s">
        <v>198</v>
      </c>
      <c r="B465" s="258">
        <v>2620857943</v>
      </c>
      <c r="C465" s="209" t="s">
        <v>151</v>
      </c>
      <c r="D465" s="209" t="s">
        <v>140</v>
      </c>
      <c r="E465" s="209" t="s">
        <v>35</v>
      </c>
      <c r="F465" s="209" t="s">
        <v>2447</v>
      </c>
      <c r="G465" s="209">
        <v>168</v>
      </c>
      <c r="H465" s="209" t="s">
        <v>205</v>
      </c>
      <c r="I465" s="209" t="s">
        <v>571</v>
      </c>
      <c r="J465" s="209" t="s">
        <v>1966</v>
      </c>
      <c r="K465" s="209" t="s">
        <v>200</v>
      </c>
      <c r="L465" s="209" t="s">
        <v>1218</v>
      </c>
      <c r="M465" s="209" t="s">
        <v>1255</v>
      </c>
      <c r="N465" s="209" t="s">
        <v>206</v>
      </c>
      <c r="O465" s="152" t="s">
        <v>207</v>
      </c>
      <c r="P465" s="90"/>
      <c r="Q465" s="140" t="s">
        <v>207</v>
      </c>
      <c r="R465" s="90"/>
      <c r="S465" s="140" t="s">
        <v>207</v>
      </c>
      <c r="T465" s="90"/>
      <c r="U465" s="140" t="s">
        <v>207</v>
      </c>
      <c r="V465" s="90"/>
      <c r="W465" s="140" t="s">
        <v>207</v>
      </c>
      <c r="X465" s="90"/>
      <c r="Y465" s="140" t="s">
        <v>207</v>
      </c>
      <c r="Z465" s="177" t="str">
        <f t="shared" si="27"/>
        <v>C</v>
      </c>
      <c r="AA465" s="190" t="str">
        <f t="shared" si="26"/>
        <v>UTILIZOU O PDA CORRETAMENTE</v>
      </c>
      <c r="AB465" s="90" t="s">
        <v>207</v>
      </c>
      <c r="AC465" s="156" t="s">
        <v>36</v>
      </c>
      <c r="AD465" s="145" t="str">
        <f t="shared" si="25"/>
        <v>SÃO PAULO</v>
      </c>
      <c r="AE465" s="92" t="s">
        <v>79</v>
      </c>
    </row>
    <row r="466" spans="1:31" ht="30" customHeight="1">
      <c r="A466" s="208" t="s">
        <v>198</v>
      </c>
      <c r="B466" s="258">
        <v>2620236591</v>
      </c>
      <c r="C466" s="209" t="s">
        <v>151</v>
      </c>
      <c r="D466" s="209" t="s">
        <v>140</v>
      </c>
      <c r="E466" s="209" t="s">
        <v>35</v>
      </c>
      <c r="F466" s="209" t="s">
        <v>660</v>
      </c>
      <c r="G466" s="209">
        <v>19</v>
      </c>
      <c r="H466" s="209" t="s">
        <v>208</v>
      </c>
      <c r="I466" s="209" t="s">
        <v>661</v>
      </c>
      <c r="J466" s="209" t="s">
        <v>1966</v>
      </c>
      <c r="K466" s="209" t="s">
        <v>200</v>
      </c>
      <c r="L466" s="209" t="s">
        <v>2575</v>
      </c>
      <c r="M466" s="209" t="s">
        <v>2576</v>
      </c>
      <c r="N466" s="209" t="s">
        <v>251</v>
      </c>
      <c r="O466" s="152" t="s">
        <v>207</v>
      </c>
      <c r="P466" s="90"/>
      <c r="Q466" s="140" t="s">
        <v>207</v>
      </c>
      <c r="R466" s="90"/>
      <c r="S466" s="140" t="s">
        <v>214</v>
      </c>
      <c r="T466" s="90"/>
      <c r="U466" s="140" t="s">
        <v>214</v>
      </c>
      <c r="V466" s="90"/>
      <c r="W466" s="140" t="s">
        <v>207</v>
      </c>
      <c r="X466" s="90"/>
      <c r="Y466" s="140" t="s">
        <v>207</v>
      </c>
      <c r="Z466" s="177" t="str">
        <f t="shared" si="27"/>
        <v>NC</v>
      </c>
      <c r="AA466" s="190" t="str">
        <f t="shared" si="26"/>
        <v>UTILIZOU O PDA CORRETAMENTE. NÃO HÁ FOTOS DE TODAS AS ETAPAS</v>
      </c>
      <c r="AB466" s="90" t="s">
        <v>207</v>
      </c>
      <c r="AC466" s="156" t="s">
        <v>36</v>
      </c>
      <c r="AD466" s="145" t="str">
        <f t="shared" si="25"/>
        <v>SÃO PAULO</v>
      </c>
      <c r="AE466" s="92" t="s">
        <v>79</v>
      </c>
    </row>
    <row r="467" spans="1:31" ht="30" customHeight="1">
      <c r="A467" s="208" t="s">
        <v>198</v>
      </c>
      <c r="B467" s="258">
        <v>2621059884</v>
      </c>
      <c r="C467" s="209" t="s">
        <v>151</v>
      </c>
      <c r="D467" s="209" t="s">
        <v>140</v>
      </c>
      <c r="E467" s="209" t="s">
        <v>35</v>
      </c>
      <c r="F467" s="209" t="s">
        <v>2577</v>
      </c>
      <c r="G467" s="209">
        <v>348</v>
      </c>
      <c r="H467" s="209" t="s">
        <v>200</v>
      </c>
      <c r="I467" s="209" t="s">
        <v>303</v>
      </c>
      <c r="J467" s="209" t="s">
        <v>1966</v>
      </c>
      <c r="K467" s="209" t="s">
        <v>200</v>
      </c>
      <c r="L467" s="209" t="s">
        <v>2578</v>
      </c>
      <c r="M467" s="209" t="s">
        <v>2579</v>
      </c>
      <c r="N467" s="209" t="s">
        <v>403</v>
      </c>
      <c r="O467" s="152" t="s">
        <v>214</v>
      </c>
      <c r="P467" s="90"/>
      <c r="Q467" s="140" t="s">
        <v>214</v>
      </c>
      <c r="R467" s="90"/>
      <c r="S467" s="140" t="s">
        <v>214</v>
      </c>
      <c r="T467" s="90"/>
      <c r="U467" s="140" t="s">
        <v>214</v>
      </c>
      <c r="V467" s="90"/>
      <c r="W467" s="140" t="s">
        <v>214</v>
      </c>
      <c r="X467" s="90"/>
      <c r="Y467" s="140" t="s">
        <v>215</v>
      </c>
      <c r="Z467" s="177" t="str">
        <f t="shared" si="27"/>
        <v>NC</v>
      </c>
      <c r="AA467" s="190" t="str">
        <f t="shared" si="26"/>
        <v>NÃO UTILIZOU O PDA</v>
      </c>
      <c r="AB467" s="90" t="s">
        <v>207</v>
      </c>
      <c r="AC467" s="156" t="s">
        <v>36</v>
      </c>
      <c r="AD467" s="145" t="str">
        <f t="shared" si="25"/>
        <v>SÃO PAULO</v>
      </c>
      <c r="AE467" s="92" t="s">
        <v>79</v>
      </c>
    </row>
    <row r="468" spans="1:31" ht="30" customHeight="1">
      <c r="A468" s="208" t="s">
        <v>198</v>
      </c>
      <c r="B468" s="258">
        <v>2621057291</v>
      </c>
      <c r="C468" s="209" t="s">
        <v>1923</v>
      </c>
      <c r="D468" s="209" t="s">
        <v>79</v>
      </c>
      <c r="E468" s="209" t="s">
        <v>35</v>
      </c>
      <c r="F468" s="209" t="s">
        <v>597</v>
      </c>
      <c r="G468" s="209">
        <v>310</v>
      </c>
      <c r="H468" s="209" t="s">
        <v>200</v>
      </c>
      <c r="I468" s="209" t="s">
        <v>598</v>
      </c>
      <c r="J468" s="209" t="s">
        <v>1915</v>
      </c>
      <c r="K468" s="209" t="s">
        <v>200</v>
      </c>
      <c r="L468" s="209" t="s">
        <v>2580</v>
      </c>
      <c r="M468" s="209" t="s">
        <v>2581</v>
      </c>
      <c r="N468" s="209" t="s">
        <v>390</v>
      </c>
      <c r="O468" s="152" t="s">
        <v>207</v>
      </c>
      <c r="P468" s="90"/>
      <c r="Q468" s="140" t="s">
        <v>207</v>
      </c>
      <c r="R468" s="90"/>
      <c r="S468" s="140" t="s">
        <v>214</v>
      </c>
      <c r="T468" s="90"/>
      <c r="U468" s="140" t="s">
        <v>214</v>
      </c>
      <c r="V468" s="90"/>
      <c r="W468" s="140" t="s">
        <v>207</v>
      </c>
      <c r="X468" s="90"/>
      <c r="Y468" s="140" t="s">
        <v>207</v>
      </c>
      <c r="Z468" s="177" t="str">
        <f t="shared" si="27"/>
        <v>NC</v>
      </c>
      <c r="AA468" s="190" t="str">
        <f t="shared" si="26"/>
        <v>UTILIZOU O PDA CORRETAMENTE. NÃO HÁ FOTOS DE TODAS AS ETAPAS</v>
      </c>
      <c r="AB468" s="90" t="s">
        <v>207</v>
      </c>
      <c r="AC468" s="156" t="s">
        <v>36</v>
      </c>
      <c r="AD468" s="145" t="str">
        <f t="shared" si="25"/>
        <v>SÃO PAULO</v>
      </c>
      <c r="AE468" s="92" t="s">
        <v>79</v>
      </c>
    </row>
    <row r="469" spans="1:31" ht="30" customHeight="1">
      <c r="A469" s="208" t="s">
        <v>198</v>
      </c>
      <c r="B469" s="258">
        <v>2620824840</v>
      </c>
      <c r="C469" s="209" t="s">
        <v>142</v>
      </c>
      <c r="D469" s="209" t="s">
        <v>79</v>
      </c>
      <c r="E469" s="209" t="s">
        <v>35</v>
      </c>
      <c r="F469" s="209" t="s">
        <v>2582</v>
      </c>
      <c r="G469" s="209">
        <v>204</v>
      </c>
      <c r="H469" s="209" t="s">
        <v>200</v>
      </c>
      <c r="I469" s="209" t="s">
        <v>455</v>
      </c>
      <c r="J469" s="209" t="s">
        <v>1915</v>
      </c>
      <c r="K469" s="209" t="s">
        <v>200</v>
      </c>
      <c r="L469" s="209" t="s">
        <v>2583</v>
      </c>
      <c r="M469" s="209" t="s">
        <v>2584</v>
      </c>
      <c r="N469" s="209" t="s">
        <v>1944</v>
      </c>
      <c r="O469" s="152" t="s">
        <v>207</v>
      </c>
      <c r="P469" s="90"/>
      <c r="Q469" s="140" t="s">
        <v>207</v>
      </c>
      <c r="R469" s="90"/>
      <c r="S469" s="140" t="s">
        <v>207</v>
      </c>
      <c r="T469" s="90"/>
      <c r="U469" s="140" t="s">
        <v>207</v>
      </c>
      <c r="V469" s="90"/>
      <c r="W469" s="140" t="s">
        <v>207</v>
      </c>
      <c r="X469" s="90"/>
      <c r="Y469" s="140" t="s">
        <v>207</v>
      </c>
      <c r="Z469" s="177" t="str">
        <f t="shared" si="27"/>
        <v>C</v>
      </c>
      <c r="AA469" s="190" t="str">
        <f t="shared" si="26"/>
        <v>UTILIZOU O PDA CORRETAMENTE</v>
      </c>
      <c r="AB469" s="90" t="s">
        <v>207</v>
      </c>
      <c r="AC469" s="156" t="s">
        <v>36</v>
      </c>
      <c r="AD469" s="145" t="str">
        <f t="shared" si="25"/>
        <v>SÃO PAULO</v>
      </c>
      <c r="AE469" s="92" t="s">
        <v>79</v>
      </c>
    </row>
    <row r="470" spans="1:31" ht="30" customHeight="1">
      <c r="A470" s="208" t="s">
        <v>198</v>
      </c>
      <c r="B470" s="258">
        <v>2620818962</v>
      </c>
      <c r="C470" s="209" t="s">
        <v>143</v>
      </c>
      <c r="D470" s="209" t="s">
        <v>79</v>
      </c>
      <c r="E470" s="209" t="s">
        <v>35</v>
      </c>
      <c r="F470" s="209" t="s">
        <v>2585</v>
      </c>
      <c r="G470" s="209">
        <v>56</v>
      </c>
      <c r="H470" s="209" t="s">
        <v>200</v>
      </c>
      <c r="I470" s="209" t="s">
        <v>679</v>
      </c>
      <c r="J470" s="209" t="s">
        <v>1915</v>
      </c>
      <c r="K470" s="209" t="s">
        <v>200</v>
      </c>
      <c r="L470" s="209" t="s">
        <v>2586</v>
      </c>
      <c r="M470" s="209" t="s">
        <v>2587</v>
      </c>
      <c r="N470" s="209" t="s">
        <v>1944</v>
      </c>
      <c r="O470" s="152" t="s">
        <v>207</v>
      </c>
      <c r="P470" s="90"/>
      <c r="Q470" s="140" t="s">
        <v>207</v>
      </c>
      <c r="R470" s="90"/>
      <c r="S470" s="140" t="s">
        <v>214</v>
      </c>
      <c r="T470" s="90"/>
      <c r="U470" s="140" t="s">
        <v>214</v>
      </c>
      <c r="V470" s="90"/>
      <c r="W470" s="140" t="s">
        <v>215</v>
      </c>
      <c r="X470" s="90" t="s">
        <v>2588</v>
      </c>
      <c r="Y470" s="140" t="s">
        <v>207</v>
      </c>
      <c r="Z470" s="177" t="str">
        <f t="shared" si="27"/>
        <v>NC</v>
      </c>
      <c r="AA470" s="190" t="str">
        <f t="shared" si="26"/>
        <v>UTILIZOU O PDA CORRETAMENTE. NÃO HÁ FOTOS DE TODAS AS ETAPAS</v>
      </c>
      <c r="AB470" s="90" t="s">
        <v>207</v>
      </c>
      <c r="AC470" s="156" t="s">
        <v>36</v>
      </c>
      <c r="AD470" s="145" t="str">
        <f t="shared" si="25"/>
        <v>SÃO PAULO</v>
      </c>
      <c r="AE470" s="92" t="s">
        <v>79</v>
      </c>
    </row>
    <row r="471" spans="1:31" ht="30" customHeight="1">
      <c r="A471" s="208" t="s">
        <v>198</v>
      </c>
      <c r="B471" s="258">
        <v>2620894478</v>
      </c>
      <c r="C471" s="209" t="s">
        <v>1923</v>
      </c>
      <c r="D471" s="209" t="s">
        <v>79</v>
      </c>
      <c r="E471" s="209" t="s">
        <v>35</v>
      </c>
      <c r="F471" s="209" t="s">
        <v>2589</v>
      </c>
      <c r="G471" s="209">
        <v>175</v>
      </c>
      <c r="H471" s="209" t="s">
        <v>200</v>
      </c>
      <c r="I471" s="209" t="s">
        <v>234</v>
      </c>
      <c r="J471" s="209" t="s">
        <v>1915</v>
      </c>
      <c r="K471" s="209" t="s">
        <v>200</v>
      </c>
      <c r="L471" s="209" t="s">
        <v>1247</v>
      </c>
      <c r="M471" s="209" t="s">
        <v>2590</v>
      </c>
      <c r="N471" s="209" t="s">
        <v>1944</v>
      </c>
      <c r="O471" s="152" t="s">
        <v>207</v>
      </c>
      <c r="P471" s="90"/>
      <c r="Q471" s="140" t="s">
        <v>207</v>
      </c>
      <c r="R471" s="90"/>
      <c r="S471" s="140" t="s">
        <v>207</v>
      </c>
      <c r="T471" s="90"/>
      <c r="U471" s="140" t="s">
        <v>207</v>
      </c>
      <c r="V471" s="90"/>
      <c r="W471" s="140" t="s">
        <v>207</v>
      </c>
      <c r="X471" s="90"/>
      <c r="Y471" s="140" t="s">
        <v>207</v>
      </c>
      <c r="Z471" s="177" t="str">
        <f t="shared" si="27"/>
        <v>C</v>
      </c>
      <c r="AA471" s="190" t="str">
        <f t="shared" si="26"/>
        <v>UTILIZOU O PDA CORRETAMENTE</v>
      </c>
      <c r="AB471" s="90" t="s">
        <v>207</v>
      </c>
      <c r="AC471" s="156" t="s">
        <v>36</v>
      </c>
      <c r="AD471" s="145" t="str">
        <f t="shared" si="25"/>
        <v>SÃO PAULO</v>
      </c>
      <c r="AE471" s="92" t="s">
        <v>79</v>
      </c>
    </row>
    <row r="472" spans="1:31" ht="30" customHeight="1">
      <c r="A472" s="208" t="s">
        <v>198</v>
      </c>
      <c r="B472" s="258">
        <v>2620870828</v>
      </c>
      <c r="C472" s="209" t="s">
        <v>149</v>
      </c>
      <c r="D472" s="209" t="s">
        <v>140</v>
      </c>
      <c r="E472" s="209" t="s">
        <v>35</v>
      </c>
      <c r="F472" s="209" t="s">
        <v>1095</v>
      </c>
      <c r="G472" s="209">
        <v>44</v>
      </c>
      <c r="H472" s="209" t="s">
        <v>200</v>
      </c>
      <c r="I472" s="209" t="s">
        <v>433</v>
      </c>
      <c r="J472" s="209" t="s">
        <v>1918</v>
      </c>
      <c r="K472" s="209" t="s">
        <v>200</v>
      </c>
      <c r="L472" s="209" t="s">
        <v>2591</v>
      </c>
      <c r="M472" s="209" t="s">
        <v>2592</v>
      </c>
      <c r="N472" s="209" t="s">
        <v>262</v>
      </c>
      <c r="O472" s="152" t="s">
        <v>207</v>
      </c>
      <c r="P472" s="90"/>
      <c r="Q472" s="140" t="s">
        <v>207</v>
      </c>
      <c r="R472" s="90"/>
      <c r="S472" s="140" t="s">
        <v>214</v>
      </c>
      <c r="T472" s="90"/>
      <c r="U472" s="140" t="s">
        <v>214</v>
      </c>
      <c r="V472" s="90"/>
      <c r="W472" s="140" t="s">
        <v>215</v>
      </c>
      <c r="X472" s="90" t="s">
        <v>269</v>
      </c>
      <c r="Y472" s="140" t="s">
        <v>207</v>
      </c>
      <c r="Z472" s="177" t="str">
        <f t="shared" si="27"/>
        <v>NC</v>
      </c>
      <c r="AA472" s="190" t="str">
        <f t="shared" si="26"/>
        <v>UTILIZOU O PDA CORRETAMENTE. NÃO HÁ FOTOS DE TODAS AS ETAPAS</v>
      </c>
      <c r="AB472" s="90" t="s">
        <v>207</v>
      </c>
      <c r="AC472" s="156" t="s">
        <v>36</v>
      </c>
      <c r="AD472" s="145" t="str">
        <f t="shared" si="25"/>
        <v>SÃO PAULO</v>
      </c>
      <c r="AE472" s="92" t="s">
        <v>79</v>
      </c>
    </row>
    <row r="473" spans="1:31" ht="30" customHeight="1">
      <c r="A473" s="208" t="s">
        <v>198</v>
      </c>
      <c r="B473" s="258">
        <v>2621092671</v>
      </c>
      <c r="C473" s="209" t="s">
        <v>1923</v>
      </c>
      <c r="D473" s="209" t="s">
        <v>79</v>
      </c>
      <c r="E473" s="209" t="s">
        <v>35</v>
      </c>
      <c r="F473" s="209" t="s">
        <v>2593</v>
      </c>
      <c r="G473" s="209">
        <v>118</v>
      </c>
      <c r="H473" s="209" t="s">
        <v>200</v>
      </c>
      <c r="I473" s="209" t="s">
        <v>1077</v>
      </c>
      <c r="J473" s="209" t="s">
        <v>1915</v>
      </c>
      <c r="K473" s="209" t="s">
        <v>200</v>
      </c>
      <c r="L473" s="209" t="s">
        <v>2594</v>
      </c>
      <c r="M473" s="209" t="s">
        <v>2594</v>
      </c>
      <c r="N473" s="209" t="s">
        <v>1931</v>
      </c>
      <c r="O473" s="152" t="s">
        <v>207</v>
      </c>
      <c r="P473" s="90"/>
      <c r="Q473" s="140" t="s">
        <v>207</v>
      </c>
      <c r="R473" s="90"/>
      <c r="S473" s="140" t="s">
        <v>214</v>
      </c>
      <c r="T473" s="90"/>
      <c r="U473" s="140" t="s">
        <v>214</v>
      </c>
      <c r="V473" s="90"/>
      <c r="W473" s="140" t="s">
        <v>207</v>
      </c>
      <c r="X473" s="90"/>
      <c r="Y473" s="140" t="s">
        <v>207</v>
      </c>
      <c r="Z473" s="177" t="str">
        <f t="shared" si="27"/>
        <v>NC</v>
      </c>
      <c r="AA473" s="190" t="str">
        <f t="shared" si="26"/>
        <v>UTILIZOU O PDA CORRETAMENTE. NÃO HÁ FOTOS DE TODAS AS ETAPAS</v>
      </c>
      <c r="AB473" s="90" t="s">
        <v>207</v>
      </c>
      <c r="AC473" s="156" t="s">
        <v>36</v>
      </c>
      <c r="AD473" s="145" t="str">
        <f t="shared" si="25"/>
        <v>SÃO PAULO</v>
      </c>
      <c r="AE473" s="92" t="s">
        <v>79</v>
      </c>
    </row>
    <row r="474" spans="1:31" ht="30" customHeight="1">
      <c r="A474" s="208" t="s">
        <v>198</v>
      </c>
      <c r="B474" s="258">
        <v>2621099983</v>
      </c>
      <c r="C474" s="209" t="s">
        <v>1923</v>
      </c>
      <c r="D474" s="209" t="s">
        <v>79</v>
      </c>
      <c r="E474" s="209" t="s">
        <v>35</v>
      </c>
      <c r="F474" s="209" t="s">
        <v>2595</v>
      </c>
      <c r="G474" s="209">
        <v>59</v>
      </c>
      <c r="H474" s="209" t="s">
        <v>200</v>
      </c>
      <c r="I474" s="209" t="s">
        <v>970</v>
      </c>
      <c r="J474" s="209" t="s">
        <v>1915</v>
      </c>
      <c r="K474" s="209" t="s">
        <v>200</v>
      </c>
      <c r="L474" s="209" t="s">
        <v>2574</v>
      </c>
      <c r="M474" s="209" t="s">
        <v>2596</v>
      </c>
      <c r="N474" s="209" t="s">
        <v>390</v>
      </c>
      <c r="O474" s="152" t="s">
        <v>207</v>
      </c>
      <c r="P474" s="90"/>
      <c r="Q474" s="140" t="s">
        <v>207</v>
      </c>
      <c r="R474" s="90"/>
      <c r="S474" s="140" t="s">
        <v>214</v>
      </c>
      <c r="T474" s="90"/>
      <c r="U474" s="140" t="s">
        <v>214</v>
      </c>
      <c r="V474" s="90"/>
      <c r="W474" s="140" t="s">
        <v>214</v>
      </c>
      <c r="X474" s="90"/>
      <c r="Y474" s="140" t="s">
        <v>207</v>
      </c>
      <c r="Z474" s="177" t="str">
        <f t="shared" si="27"/>
        <v>NC</v>
      </c>
      <c r="AA474" s="190" t="str">
        <f t="shared" si="26"/>
        <v>UTILIZOU O PDA CORRETAMENTE. NÃO HÁ FOTOS DE TODAS AS ETAPAS</v>
      </c>
      <c r="AB474" s="90" t="s">
        <v>207</v>
      </c>
      <c r="AC474" s="156" t="s">
        <v>36</v>
      </c>
      <c r="AD474" s="145" t="str">
        <f t="shared" si="25"/>
        <v>SÃO PAULO</v>
      </c>
      <c r="AE474" s="92" t="s">
        <v>79</v>
      </c>
    </row>
    <row r="475" spans="1:31" ht="30" customHeight="1">
      <c r="A475" s="208" t="s">
        <v>198</v>
      </c>
      <c r="B475" s="258">
        <v>2621099775</v>
      </c>
      <c r="C475" s="209" t="s">
        <v>1923</v>
      </c>
      <c r="D475" s="209" t="s">
        <v>79</v>
      </c>
      <c r="E475" s="209" t="s">
        <v>35</v>
      </c>
      <c r="F475" s="209" t="s">
        <v>1580</v>
      </c>
      <c r="G475" s="209">
        <v>344</v>
      </c>
      <c r="H475" s="209" t="s">
        <v>200</v>
      </c>
      <c r="I475" s="209" t="s">
        <v>1480</v>
      </c>
      <c r="J475" s="209" t="s">
        <v>1915</v>
      </c>
      <c r="K475" s="209" t="s">
        <v>200</v>
      </c>
      <c r="L475" s="209" t="s">
        <v>2597</v>
      </c>
      <c r="M475" s="209" t="s">
        <v>2574</v>
      </c>
      <c r="N475" s="209" t="s">
        <v>390</v>
      </c>
      <c r="O475" s="152" t="s">
        <v>207</v>
      </c>
      <c r="P475" s="90"/>
      <c r="Q475" s="140" t="s">
        <v>207</v>
      </c>
      <c r="R475" s="90"/>
      <c r="S475" s="140" t="s">
        <v>214</v>
      </c>
      <c r="T475" s="90"/>
      <c r="U475" s="140" t="s">
        <v>214</v>
      </c>
      <c r="V475" s="90"/>
      <c r="W475" s="140" t="s">
        <v>214</v>
      </c>
      <c r="X475" s="90"/>
      <c r="Y475" s="140" t="s">
        <v>207</v>
      </c>
      <c r="Z475" s="177" t="str">
        <f t="shared" si="27"/>
        <v>NC</v>
      </c>
      <c r="AA475" s="190" t="str">
        <f t="shared" si="26"/>
        <v>UTILIZOU O PDA CORRETAMENTE. NÃO HÁ FOTOS DE TODAS AS ETAPAS</v>
      </c>
      <c r="AB475" s="90" t="s">
        <v>207</v>
      </c>
      <c r="AC475" s="156" t="s">
        <v>36</v>
      </c>
      <c r="AD475" s="145" t="str">
        <f t="shared" si="25"/>
        <v>SÃO PAULO</v>
      </c>
      <c r="AE475" s="92" t="s">
        <v>79</v>
      </c>
    </row>
    <row r="476" spans="1:31" ht="30" customHeight="1">
      <c r="A476" s="208" t="s">
        <v>198</v>
      </c>
      <c r="B476" s="258">
        <v>2621100414</v>
      </c>
      <c r="C476" s="209" t="s">
        <v>1923</v>
      </c>
      <c r="D476" s="209" t="s">
        <v>79</v>
      </c>
      <c r="E476" s="209" t="s">
        <v>35</v>
      </c>
      <c r="F476" s="209" t="s">
        <v>2598</v>
      </c>
      <c r="G476" s="209">
        <v>497</v>
      </c>
      <c r="H476" s="209" t="s">
        <v>347</v>
      </c>
      <c r="I476" s="209" t="s">
        <v>357</v>
      </c>
      <c r="J476" s="209" t="s">
        <v>1915</v>
      </c>
      <c r="K476" s="209" t="s">
        <v>200</v>
      </c>
      <c r="L476" s="209" t="s">
        <v>2599</v>
      </c>
      <c r="M476" s="209" t="s">
        <v>2599</v>
      </c>
      <c r="N476" s="209" t="s">
        <v>390</v>
      </c>
      <c r="O476" s="152" t="s">
        <v>207</v>
      </c>
      <c r="P476" s="90"/>
      <c r="Q476" s="140" t="s">
        <v>207</v>
      </c>
      <c r="R476" s="90"/>
      <c r="S476" s="140" t="s">
        <v>214</v>
      </c>
      <c r="T476" s="90"/>
      <c r="U476" s="140" t="s">
        <v>214</v>
      </c>
      <c r="V476" s="90"/>
      <c r="W476" s="140" t="s">
        <v>214</v>
      </c>
      <c r="X476" s="90"/>
      <c r="Y476" s="140" t="s">
        <v>207</v>
      </c>
      <c r="Z476" s="177" t="str">
        <f t="shared" si="27"/>
        <v>NC</v>
      </c>
      <c r="AA476" s="190" t="str">
        <f t="shared" si="26"/>
        <v>UTILIZOU O PDA CORRETAMENTE. NÃO HÁ FOTOS DE TODAS AS ETAPAS</v>
      </c>
      <c r="AB476" s="90" t="s">
        <v>207</v>
      </c>
      <c r="AC476" s="156" t="s">
        <v>36</v>
      </c>
      <c r="AD476" s="145" t="str">
        <f t="shared" si="25"/>
        <v>SÃO PAULO</v>
      </c>
      <c r="AE476" s="92" t="s">
        <v>79</v>
      </c>
    </row>
    <row r="477" spans="1:31" ht="30" customHeight="1">
      <c r="A477" s="208" t="s">
        <v>198</v>
      </c>
      <c r="B477" s="258">
        <v>2621100557</v>
      </c>
      <c r="C477" s="209" t="s">
        <v>1923</v>
      </c>
      <c r="D477" s="209" t="s">
        <v>79</v>
      </c>
      <c r="E477" s="209" t="s">
        <v>35</v>
      </c>
      <c r="F477" s="209" t="s">
        <v>299</v>
      </c>
      <c r="G477" s="209">
        <v>50</v>
      </c>
      <c r="H477" s="209" t="s">
        <v>200</v>
      </c>
      <c r="I477" s="209" t="s">
        <v>300</v>
      </c>
      <c r="J477" s="209" t="s">
        <v>1915</v>
      </c>
      <c r="K477" s="209" t="s">
        <v>200</v>
      </c>
      <c r="L477" s="209" t="s">
        <v>2600</v>
      </c>
      <c r="M477" s="209" t="s">
        <v>2601</v>
      </c>
      <c r="N477" s="209" t="s">
        <v>390</v>
      </c>
      <c r="O477" s="152" t="s">
        <v>207</v>
      </c>
      <c r="P477" s="90"/>
      <c r="Q477" s="140" t="s">
        <v>214</v>
      </c>
      <c r="R477" s="90"/>
      <c r="S477" s="140" t="s">
        <v>214</v>
      </c>
      <c r="T477" s="90"/>
      <c r="U477" s="140" t="s">
        <v>214</v>
      </c>
      <c r="V477" s="90"/>
      <c r="W477" s="140" t="s">
        <v>207</v>
      </c>
      <c r="X477" s="90"/>
      <c r="Y477" s="140" t="s">
        <v>207</v>
      </c>
      <c r="Z477" s="177" t="str">
        <f t="shared" si="27"/>
        <v>NC</v>
      </c>
      <c r="AA477" s="190" t="str">
        <f t="shared" si="26"/>
        <v>UTILIZOU O PDA CORRETAMENTE. NÃO HÁ FOTOS DE TODAS AS ETAPAS</v>
      </c>
      <c r="AB477" s="90" t="s">
        <v>207</v>
      </c>
      <c r="AC477" s="156" t="s">
        <v>36</v>
      </c>
      <c r="AD477" s="145" t="str">
        <f t="shared" si="25"/>
        <v>SÃO PAULO</v>
      </c>
      <c r="AE477" s="92" t="s">
        <v>79</v>
      </c>
    </row>
    <row r="478" spans="1:31" ht="30" customHeight="1">
      <c r="A478" s="208" t="s">
        <v>198</v>
      </c>
      <c r="B478" s="258">
        <v>2621095283</v>
      </c>
      <c r="C478" s="209" t="s">
        <v>1923</v>
      </c>
      <c r="D478" s="209" t="s">
        <v>79</v>
      </c>
      <c r="E478" s="209" t="s">
        <v>35</v>
      </c>
      <c r="F478" s="209" t="s">
        <v>2602</v>
      </c>
      <c r="G478" s="209">
        <v>201</v>
      </c>
      <c r="H478" s="209" t="s">
        <v>329</v>
      </c>
      <c r="I478" s="209" t="s">
        <v>271</v>
      </c>
      <c r="J478" s="209" t="s">
        <v>1915</v>
      </c>
      <c r="K478" s="209" t="s">
        <v>2319</v>
      </c>
      <c r="L478" s="209" t="s">
        <v>2603</v>
      </c>
      <c r="M478" s="209" t="s">
        <v>2604</v>
      </c>
      <c r="N478" s="209" t="s">
        <v>1944</v>
      </c>
      <c r="O478" s="152" t="s">
        <v>207</v>
      </c>
      <c r="P478" s="90"/>
      <c r="Q478" s="140" t="s">
        <v>214</v>
      </c>
      <c r="R478" s="90"/>
      <c r="S478" s="140" t="s">
        <v>207</v>
      </c>
      <c r="T478" s="90"/>
      <c r="U478" s="140" t="s">
        <v>207</v>
      </c>
      <c r="V478" s="90"/>
      <c r="W478" s="140" t="s">
        <v>207</v>
      </c>
      <c r="X478" s="90"/>
      <c r="Y478" s="140" t="s">
        <v>207</v>
      </c>
      <c r="Z478" s="177" t="str">
        <f t="shared" si="27"/>
        <v>NC</v>
      </c>
      <c r="AA478" s="190" t="str">
        <f t="shared" si="26"/>
        <v>UTILIZOU O PDA CORRETAMENTE. NÃO HÁ FOTOS DE TODAS AS ETAPAS</v>
      </c>
      <c r="AB478" s="90" t="s">
        <v>207</v>
      </c>
      <c r="AC478" s="156" t="s">
        <v>36</v>
      </c>
      <c r="AD478" s="145" t="str">
        <f t="shared" si="25"/>
        <v>SÃO PAULO</v>
      </c>
      <c r="AE478" s="92" t="s">
        <v>79</v>
      </c>
    </row>
    <row r="479" spans="1:31" ht="30" customHeight="1">
      <c r="A479" s="208" t="s">
        <v>198</v>
      </c>
      <c r="B479" s="258">
        <v>2621096413</v>
      </c>
      <c r="C479" s="209" t="s">
        <v>1923</v>
      </c>
      <c r="D479" s="209" t="s">
        <v>79</v>
      </c>
      <c r="E479" s="209" t="s">
        <v>35</v>
      </c>
      <c r="F479" s="209" t="s">
        <v>2605</v>
      </c>
      <c r="G479" s="209">
        <v>143</v>
      </c>
      <c r="H479" s="209" t="s">
        <v>200</v>
      </c>
      <c r="I479" s="209" t="s">
        <v>392</v>
      </c>
      <c r="J479" s="209" t="s">
        <v>1915</v>
      </c>
      <c r="K479" s="209" t="s">
        <v>2319</v>
      </c>
      <c r="L479" s="209" t="s">
        <v>2606</v>
      </c>
      <c r="M479" s="209" t="s">
        <v>2607</v>
      </c>
      <c r="N479" s="209" t="s">
        <v>1944</v>
      </c>
      <c r="O479" s="152" t="s">
        <v>207</v>
      </c>
      <c r="P479" s="90"/>
      <c r="Q479" s="140" t="s">
        <v>207</v>
      </c>
      <c r="R479" s="90"/>
      <c r="S479" s="140" t="s">
        <v>214</v>
      </c>
      <c r="T479" s="90"/>
      <c r="U479" s="140" t="s">
        <v>214</v>
      </c>
      <c r="V479" s="90"/>
      <c r="W479" s="140" t="s">
        <v>214</v>
      </c>
      <c r="X479" s="90"/>
      <c r="Y479" s="140" t="s">
        <v>207</v>
      </c>
      <c r="Z479" s="177" t="str">
        <f t="shared" si="27"/>
        <v>NC</v>
      </c>
      <c r="AA479" s="190" t="str">
        <f t="shared" si="26"/>
        <v>UTILIZOU O PDA CORRETAMENTE. NÃO HÁ FOTOS DE TODAS AS ETAPAS</v>
      </c>
      <c r="AB479" s="90" t="s">
        <v>207</v>
      </c>
      <c r="AC479" s="156" t="s">
        <v>36</v>
      </c>
      <c r="AD479" s="145" t="str">
        <f t="shared" si="25"/>
        <v>SÃO PAULO</v>
      </c>
      <c r="AE479" s="92" t="s">
        <v>79</v>
      </c>
    </row>
    <row r="480" spans="1:31" ht="30" customHeight="1">
      <c r="A480" s="208" t="s">
        <v>198</v>
      </c>
      <c r="B480" s="258">
        <v>2621101924</v>
      </c>
      <c r="C480" s="209" t="s">
        <v>1923</v>
      </c>
      <c r="D480" s="209" t="s">
        <v>79</v>
      </c>
      <c r="E480" s="209" t="s">
        <v>35</v>
      </c>
      <c r="F480" s="209" t="s">
        <v>2608</v>
      </c>
      <c r="G480" s="209">
        <v>214</v>
      </c>
      <c r="H480" s="209" t="s">
        <v>255</v>
      </c>
      <c r="I480" s="209" t="s">
        <v>2062</v>
      </c>
      <c r="J480" s="209" t="s">
        <v>1915</v>
      </c>
      <c r="K480" s="209" t="s">
        <v>2609</v>
      </c>
      <c r="L480" s="209" t="s">
        <v>2610</v>
      </c>
      <c r="M480" s="209" t="s">
        <v>1281</v>
      </c>
      <c r="N480" s="209" t="s">
        <v>1919</v>
      </c>
      <c r="O480" s="152" t="s">
        <v>77</v>
      </c>
      <c r="P480" s="90"/>
      <c r="Q480" s="140" t="s">
        <v>77</v>
      </c>
      <c r="R480" s="90"/>
      <c r="S480" s="140" t="s">
        <v>77</v>
      </c>
      <c r="T480" s="90"/>
      <c r="U480" s="140" t="s">
        <v>77</v>
      </c>
      <c r="V480" s="90"/>
      <c r="W480" s="140" t="s">
        <v>77</v>
      </c>
      <c r="X480" s="90"/>
      <c r="Y480" s="140" t="s">
        <v>77</v>
      </c>
      <c r="Z480" s="177" t="str">
        <f t="shared" si="27"/>
        <v>NA</v>
      </c>
      <c r="AA480" s="190" t="str">
        <f t="shared" si="26"/>
        <v>NÃO AVALIADO POR FALHA DE SINCRONISMO</v>
      </c>
      <c r="AB480" s="90" t="s">
        <v>207</v>
      </c>
      <c r="AC480" s="156" t="s">
        <v>36</v>
      </c>
      <c r="AD480" s="145" t="str">
        <f t="shared" si="25"/>
        <v>SÃO PAULO</v>
      </c>
      <c r="AE480" s="92" t="s">
        <v>79</v>
      </c>
    </row>
    <row r="481" spans="1:31" ht="30" customHeight="1">
      <c r="A481" s="208" t="s">
        <v>198</v>
      </c>
      <c r="B481" s="258">
        <v>2621102105</v>
      </c>
      <c r="C481" s="209" t="s">
        <v>1923</v>
      </c>
      <c r="D481" s="209" t="s">
        <v>79</v>
      </c>
      <c r="E481" s="209" t="s">
        <v>35</v>
      </c>
      <c r="F481" s="209" t="s">
        <v>1395</v>
      </c>
      <c r="G481" s="209">
        <v>369</v>
      </c>
      <c r="H481" s="209" t="s">
        <v>208</v>
      </c>
      <c r="I481" s="209" t="s">
        <v>287</v>
      </c>
      <c r="J481" s="209" t="s">
        <v>1915</v>
      </c>
      <c r="K481" s="209" t="s">
        <v>2458</v>
      </c>
      <c r="L481" s="209" t="s">
        <v>2611</v>
      </c>
      <c r="M481" s="209" t="s">
        <v>2612</v>
      </c>
      <c r="N481" s="209" t="s">
        <v>1919</v>
      </c>
      <c r="O481" s="152" t="s">
        <v>207</v>
      </c>
      <c r="P481" s="90"/>
      <c r="Q481" s="140" t="s">
        <v>207</v>
      </c>
      <c r="R481" s="90"/>
      <c r="S481" s="140" t="s">
        <v>214</v>
      </c>
      <c r="T481" s="90"/>
      <c r="U481" s="140" t="s">
        <v>214</v>
      </c>
      <c r="V481" s="90"/>
      <c r="W481" s="140" t="s">
        <v>207</v>
      </c>
      <c r="X481" s="90"/>
      <c r="Y481" s="140" t="s">
        <v>207</v>
      </c>
      <c r="Z481" s="177" t="str">
        <f t="shared" si="27"/>
        <v>NC</v>
      </c>
      <c r="AA481" s="190" t="str">
        <f t="shared" si="26"/>
        <v>UTILIZOU O PDA CORRETAMENTE. NÃO HÁ FOTOS DE TODAS AS ETAPAS</v>
      </c>
      <c r="AB481" s="90"/>
      <c r="AC481" s="156" t="s">
        <v>36</v>
      </c>
      <c r="AD481" s="145" t="str">
        <f t="shared" si="25"/>
        <v>SÃO PAULO</v>
      </c>
      <c r="AE481" s="92" t="s">
        <v>79</v>
      </c>
    </row>
    <row r="482" spans="1:31" ht="30" customHeight="1">
      <c r="A482" s="208" t="s">
        <v>198</v>
      </c>
      <c r="B482" s="258">
        <v>2621101701</v>
      </c>
      <c r="C482" s="209" t="s">
        <v>1923</v>
      </c>
      <c r="D482" s="209" t="s">
        <v>79</v>
      </c>
      <c r="E482" s="209" t="s">
        <v>35</v>
      </c>
      <c r="F482" s="209" t="s">
        <v>540</v>
      </c>
      <c r="G482" s="209">
        <v>120</v>
      </c>
      <c r="H482" s="209" t="s">
        <v>620</v>
      </c>
      <c r="I482" s="209" t="s">
        <v>433</v>
      </c>
      <c r="J482" s="209" t="s">
        <v>1915</v>
      </c>
      <c r="K482" s="209" t="s">
        <v>2458</v>
      </c>
      <c r="L482" s="209" t="s">
        <v>2613</v>
      </c>
      <c r="M482" s="209" t="s">
        <v>2614</v>
      </c>
      <c r="N482" s="209" t="s">
        <v>1919</v>
      </c>
      <c r="O482" s="152" t="s">
        <v>207</v>
      </c>
      <c r="P482" s="90"/>
      <c r="Q482" s="140" t="s">
        <v>214</v>
      </c>
      <c r="R482" s="90"/>
      <c r="S482" s="140" t="s">
        <v>214</v>
      </c>
      <c r="T482" s="90"/>
      <c r="U482" s="140" t="s">
        <v>214</v>
      </c>
      <c r="V482" s="90"/>
      <c r="W482" s="140" t="s">
        <v>207</v>
      </c>
      <c r="X482" s="90"/>
      <c r="Y482" s="140" t="s">
        <v>207</v>
      </c>
      <c r="Z482" s="177" t="str">
        <f t="shared" si="27"/>
        <v>NC</v>
      </c>
      <c r="AA482" s="190" t="str">
        <f t="shared" si="26"/>
        <v>UTILIZOU O PDA CORRETAMENTE. NÃO HÁ FOTOS DE TODAS AS ETAPAS</v>
      </c>
      <c r="AB482" s="90"/>
      <c r="AC482" s="156" t="s">
        <v>36</v>
      </c>
      <c r="AD482" s="145" t="str">
        <f t="shared" ref="AD482:AD545" si="28">E482</f>
        <v>SÃO PAULO</v>
      </c>
      <c r="AE482" s="92" t="s">
        <v>79</v>
      </c>
    </row>
    <row r="483" spans="1:31" ht="30" customHeight="1">
      <c r="A483" s="208" t="s">
        <v>198</v>
      </c>
      <c r="B483" s="258">
        <v>2621102457</v>
      </c>
      <c r="C483" s="209" t="s">
        <v>1923</v>
      </c>
      <c r="D483" s="209" t="s">
        <v>79</v>
      </c>
      <c r="E483" s="209" t="s">
        <v>35</v>
      </c>
      <c r="F483" s="209" t="s">
        <v>540</v>
      </c>
      <c r="G483" s="209">
        <v>22</v>
      </c>
      <c r="H483" s="209" t="s">
        <v>329</v>
      </c>
      <c r="I483" s="209" t="s">
        <v>433</v>
      </c>
      <c r="J483" s="209" t="s">
        <v>1915</v>
      </c>
      <c r="K483" s="209" t="s">
        <v>2060</v>
      </c>
      <c r="L483" s="209" t="s">
        <v>2615</v>
      </c>
      <c r="M483" s="209" t="s">
        <v>1208</v>
      </c>
      <c r="N483" s="209" t="s">
        <v>1925</v>
      </c>
      <c r="O483" s="152" t="s">
        <v>207</v>
      </c>
      <c r="P483" s="90"/>
      <c r="Q483" s="140" t="s">
        <v>207</v>
      </c>
      <c r="R483" s="90"/>
      <c r="S483" s="140" t="s">
        <v>214</v>
      </c>
      <c r="T483" s="90"/>
      <c r="U483" s="140" t="s">
        <v>214</v>
      </c>
      <c r="V483" s="90"/>
      <c r="W483" s="140" t="s">
        <v>214</v>
      </c>
      <c r="X483" s="90"/>
      <c r="Y483" s="140" t="s">
        <v>207</v>
      </c>
      <c r="Z483" s="177" t="str">
        <f t="shared" si="27"/>
        <v>NC</v>
      </c>
      <c r="AA483" s="190" t="str">
        <f t="shared" si="26"/>
        <v>UTILIZOU O PDA CORRETAMENTE. NÃO HÁ FOTOS DE TODAS AS ETAPAS</v>
      </c>
      <c r="AB483" s="90"/>
      <c r="AC483" s="156" t="s">
        <v>36</v>
      </c>
      <c r="AD483" s="145" t="str">
        <f t="shared" si="28"/>
        <v>SÃO PAULO</v>
      </c>
      <c r="AE483" s="92" t="s">
        <v>79</v>
      </c>
    </row>
    <row r="484" spans="1:31" ht="30" customHeight="1">
      <c r="A484" s="208" t="s">
        <v>198</v>
      </c>
      <c r="B484" s="258">
        <v>2621102605</v>
      </c>
      <c r="C484" s="209" t="s">
        <v>1923</v>
      </c>
      <c r="D484" s="209" t="s">
        <v>79</v>
      </c>
      <c r="E484" s="209" t="s">
        <v>35</v>
      </c>
      <c r="F484" s="209" t="s">
        <v>2608</v>
      </c>
      <c r="G484" s="209">
        <v>185</v>
      </c>
      <c r="H484" s="209" t="s">
        <v>208</v>
      </c>
      <c r="I484" s="209" t="s">
        <v>2062</v>
      </c>
      <c r="J484" s="209" t="s">
        <v>1915</v>
      </c>
      <c r="K484" s="209" t="s">
        <v>2060</v>
      </c>
      <c r="L484" s="209" t="s">
        <v>2616</v>
      </c>
      <c r="M484" s="209" t="s">
        <v>2617</v>
      </c>
      <c r="N484" s="209" t="s">
        <v>1925</v>
      </c>
      <c r="O484" s="152" t="s">
        <v>207</v>
      </c>
      <c r="P484" s="90"/>
      <c r="Q484" s="140" t="s">
        <v>207</v>
      </c>
      <c r="R484" s="90"/>
      <c r="S484" s="140" t="s">
        <v>214</v>
      </c>
      <c r="T484" s="90"/>
      <c r="U484" s="140" t="s">
        <v>214</v>
      </c>
      <c r="V484" s="90"/>
      <c r="W484" s="140" t="s">
        <v>214</v>
      </c>
      <c r="X484" s="90"/>
      <c r="Y484" s="140" t="s">
        <v>207</v>
      </c>
      <c r="Z484" s="177" t="str">
        <f t="shared" si="27"/>
        <v>NC</v>
      </c>
      <c r="AA484" s="190" t="str">
        <f t="shared" si="26"/>
        <v>UTILIZOU O PDA CORRETAMENTE. NÃO HÁ FOTOS DE TODAS AS ETAPAS</v>
      </c>
      <c r="AB484" s="90"/>
      <c r="AC484" s="156" t="s">
        <v>36</v>
      </c>
      <c r="AD484" s="145" t="str">
        <f t="shared" si="28"/>
        <v>SÃO PAULO</v>
      </c>
      <c r="AE484" s="92" t="s">
        <v>79</v>
      </c>
    </row>
    <row r="485" spans="1:31" ht="30" customHeight="1">
      <c r="A485" s="208" t="s">
        <v>198</v>
      </c>
      <c r="B485" s="258">
        <v>2621109372</v>
      </c>
      <c r="C485" s="209" t="s">
        <v>1923</v>
      </c>
      <c r="D485" s="209" t="s">
        <v>79</v>
      </c>
      <c r="E485" s="209" t="s">
        <v>35</v>
      </c>
      <c r="F485" s="209" t="s">
        <v>2618</v>
      </c>
      <c r="G485" s="209">
        <v>105</v>
      </c>
      <c r="H485" s="209" t="s">
        <v>200</v>
      </c>
      <c r="I485" s="209" t="s">
        <v>455</v>
      </c>
      <c r="J485" s="209" t="s">
        <v>1915</v>
      </c>
      <c r="K485" s="209" t="s">
        <v>2319</v>
      </c>
      <c r="L485" s="209" t="s">
        <v>2554</v>
      </c>
      <c r="M485" s="209" t="s">
        <v>2619</v>
      </c>
      <c r="N485" s="209" t="s">
        <v>1944</v>
      </c>
      <c r="O485" s="152" t="s">
        <v>207</v>
      </c>
      <c r="P485" s="90"/>
      <c r="Q485" s="140" t="s">
        <v>207</v>
      </c>
      <c r="R485" s="90"/>
      <c r="S485" s="140" t="s">
        <v>214</v>
      </c>
      <c r="T485" s="90"/>
      <c r="U485" s="140" t="s">
        <v>214</v>
      </c>
      <c r="V485" s="90"/>
      <c r="W485" s="140" t="s">
        <v>207</v>
      </c>
      <c r="X485" s="90"/>
      <c r="Y485" s="140" t="s">
        <v>207</v>
      </c>
      <c r="Z485" s="177" t="str">
        <f t="shared" si="27"/>
        <v>NC</v>
      </c>
      <c r="AA485" s="190" t="str">
        <f t="shared" si="26"/>
        <v>UTILIZOU O PDA CORRETAMENTE. NÃO HÁ FOTOS DE TODAS AS ETAPAS</v>
      </c>
      <c r="AB485" s="90" t="s">
        <v>207</v>
      </c>
      <c r="AC485" s="156" t="s">
        <v>36</v>
      </c>
      <c r="AD485" s="145" t="str">
        <f t="shared" si="28"/>
        <v>SÃO PAULO</v>
      </c>
      <c r="AE485" s="92" t="s">
        <v>79</v>
      </c>
    </row>
    <row r="486" spans="1:31" ht="30" customHeight="1">
      <c r="A486" s="208" t="s">
        <v>198</v>
      </c>
      <c r="B486" s="258">
        <v>2621103864</v>
      </c>
      <c r="C486" s="209" t="s">
        <v>1923</v>
      </c>
      <c r="D486" s="209" t="s">
        <v>79</v>
      </c>
      <c r="E486" s="209" t="s">
        <v>35</v>
      </c>
      <c r="F486" s="209" t="s">
        <v>2620</v>
      </c>
      <c r="G486" s="209">
        <v>96</v>
      </c>
      <c r="H486" s="209" t="s">
        <v>200</v>
      </c>
      <c r="I486" s="209" t="s">
        <v>220</v>
      </c>
      <c r="J486" s="209" t="s">
        <v>1915</v>
      </c>
      <c r="K486" s="209" t="s">
        <v>200</v>
      </c>
      <c r="L486" s="209" t="s">
        <v>1295</v>
      </c>
      <c r="M486" s="209" t="s">
        <v>2621</v>
      </c>
      <c r="N486" s="209" t="s">
        <v>1916</v>
      </c>
      <c r="O486" s="152" t="s">
        <v>207</v>
      </c>
      <c r="P486" s="90"/>
      <c r="Q486" s="140" t="s">
        <v>207</v>
      </c>
      <c r="R486" s="90"/>
      <c r="S486" s="140" t="s">
        <v>214</v>
      </c>
      <c r="T486" s="90"/>
      <c r="U486" s="140" t="s">
        <v>214</v>
      </c>
      <c r="V486" s="90"/>
      <c r="W486" s="140" t="s">
        <v>214</v>
      </c>
      <c r="X486" s="90"/>
      <c r="Y486" s="140" t="s">
        <v>207</v>
      </c>
      <c r="Z486" s="177" t="str">
        <f t="shared" si="27"/>
        <v>NC</v>
      </c>
      <c r="AA486" s="190" t="str">
        <f t="shared" si="26"/>
        <v>UTILIZOU O PDA CORRETAMENTE. NÃO HÁ FOTOS DE TODAS AS ETAPAS</v>
      </c>
      <c r="AB486" s="90" t="s">
        <v>207</v>
      </c>
      <c r="AC486" s="156" t="s">
        <v>36</v>
      </c>
      <c r="AD486" s="145" t="str">
        <f t="shared" si="28"/>
        <v>SÃO PAULO</v>
      </c>
      <c r="AE486" s="92" t="s">
        <v>79</v>
      </c>
    </row>
    <row r="487" spans="1:31" ht="30" customHeight="1">
      <c r="A487" s="208" t="s">
        <v>198</v>
      </c>
      <c r="B487" s="258">
        <v>2621104007</v>
      </c>
      <c r="C487" s="209" t="s">
        <v>1923</v>
      </c>
      <c r="D487" s="209" t="s">
        <v>79</v>
      </c>
      <c r="E487" s="209" t="s">
        <v>35</v>
      </c>
      <c r="F487" s="209" t="s">
        <v>2622</v>
      </c>
      <c r="G487" s="209">
        <v>180</v>
      </c>
      <c r="H487" s="209" t="s">
        <v>200</v>
      </c>
      <c r="I487" s="209" t="s">
        <v>853</v>
      </c>
      <c r="J487" s="209" t="s">
        <v>1915</v>
      </c>
      <c r="K487" s="209" t="s">
        <v>200</v>
      </c>
      <c r="L487" s="209" t="s">
        <v>2621</v>
      </c>
      <c r="M487" s="209" t="s">
        <v>2623</v>
      </c>
      <c r="N487" s="209" t="s">
        <v>1916</v>
      </c>
      <c r="O487" s="152" t="s">
        <v>214</v>
      </c>
      <c r="P487" s="90"/>
      <c r="Q487" s="140" t="s">
        <v>214</v>
      </c>
      <c r="R487" s="90"/>
      <c r="S487" s="140" t="s">
        <v>214</v>
      </c>
      <c r="T487" s="90"/>
      <c r="U487" s="140" t="s">
        <v>214</v>
      </c>
      <c r="V487" s="90"/>
      <c r="W487" s="140" t="s">
        <v>207</v>
      </c>
      <c r="X487" s="90"/>
      <c r="Y487" s="140" t="s">
        <v>207</v>
      </c>
      <c r="Z487" s="177" t="str">
        <f t="shared" si="27"/>
        <v>NC</v>
      </c>
      <c r="AA487" s="190" t="str">
        <f t="shared" si="26"/>
        <v>UTILIZOU O PDA CORRETAMENTE. NÃO HÁ FOTOS DE TODAS AS ETAPAS</v>
      </c>
      <c r="AB487" s="90"/>
      <c r="AC487" s="156" t="s">
        <v>36</v>
      </c>
      <c r="AD487" s="145" t="str">
        <f t="shared" si="28"/>
        <v>SÃO PAULO</v>
      </c>
      <c r="AE487" s="92" t="s">
        <v>79</v>
      </c>
    </row>
    <row r="488" spans="1:31" ht="30" customHeight="1">
      <c r="A488" s="208" t="s">
        <v>198</v>
      </c>
      <c r="B488" s="258">
        <v>2621104359</v>
      </c>
      <c r="C488" s="209" t="s">
        <v>1923</v>
      </c>
      <c r="D488" s="209" t="s">
        <v>79</v>
      </c>
      <c r="E488" s="209" t="s">
        <v>35</v>
      </c>
      <c r="F488" s="209" t="s">
        <v>2624</v>
      </c>
      <c r="G488" s="209">
        <v>12</v>
      </c>
      <c r="H488" s="209" t="s">
        <v>208</v>
      </c>
      <c r="I488" s="209" t="s">
        <v>580</v>
      </c>
      <c r="J488" s="209" t="s">
        <v>1915</v>
      </c>
      <c r="K488" s="209" t="s">
        <v>200</v>
      </c>
      <c r="L488" s="209" t="s">
        <v>2625</v>
      </c>
      <c r="M488" s="209" t="s">
        <v>2626</v>
      </c>
      <c r="N488" s="209" t="s">
        <v>1916</v>
      </c>
      <c r="O488" s="152" t="s">
        <v>207</v>
      </c>
      <c r="P488" s="90"/>
      <c r="Q488" s="140" t="s">
        <v>207</v>
      </c>
      <c r="R488" s="90"/>
      <c r="S488" s="140" t="s">
        <v>207</v>
      </c>
      <c r="T488" s="90"/>
      <c r="U488" s="140" t="s">
        <v>214</v>
      </c>
      <c r="V488" s="90"/>
      <c r="W488" s="140" t="s">
        <v>214</v>
      </c>
      <c r="X488" s="90"/>
      <c r="Y488" s="140" t="s">
        <v>207</v>
      </c>
      <c r="Z488" s="177" t="str">
        <f t="shared" si="27"/>
        <v>NC</v>
      </c>
      <c r="AA488" s="190" t="str">
        <f t="shared" si="26"/>
        <v>UTILIZOU O PDA CORRETAMENTE. NÃO HÁ FOTOS DE TODAS AS ETAPAS</v>
      </c>
      <c r="AB488" s="90"/>
      <c r="AC488" s="156" t="s">
        <v>36</v>
      </c>
      <c r="AD488" s="145" t="str">
        <f t="shared" si="28"/>
        <v>SÃO PAULO</v>
      </c>
      <c r="AE488" s="92" t="s">
        <v>79</v>
      </c>
    </row>
    <row r="489" spans="1:31" ht="30" customHeight="1">
      <c r="A489" s="208" t="s">
        <v>198</v>
      </c>
      <c r="B489" s="258">
        <v>2621104206</v>
      </c>
      <c r="C489" s="209" t="s">
        <v>1923</v>
      </c>
      <c r="D489" s="209" t="s">
        <v>79</v>
      </c>
      <c r="E489" s="209" t="s">
        <v>35</v>
      </c>
      <c r="F489" s="209" t="s">
        <v>2627</v>
      </c>
      <c r="G489" s="209">
        <v>78</v>
      </c>
      <c r="H489" s="209" t="s">
        <v>208</v>
      </c>
      <c r="I489" s="209" t="s">
        <v>917</v>
      </c>
      <c r="J489" s="209" t="s">
        <v>1915</v>
      </c>
      <c r="K489" s="209" t="s">
        <v>200</v>
      </c>
      <c r="L489" s="209" t="s">
        <v>2623</v>
      </c>
      <c r="M489" s="209" t="s">
        <v>1296</v>
      </c>
      <c r="N489" s="209" t="s">
        <v>1916</v>
      </c>
      <c r="O489" s="152" t="s">
        <v>207</v>
      </c>
      <c r="P489" s="90"/>
      <c r="Q489" s="140" t="s">
        <v>207</v>
      </c>
      <c r="R489" s="90"/>
      <c r="S489" s="140" t="s">
        <v>207</v>
      </c>
      <c r="T489" s="90"/>
      <c r="U489" s="140" t="s">
        <v>207</v>
      </c>
      <c r="V489" s="90"/>
      <c r="W489" s="140" t="s">
        <v>214</v>
      </c>
      <c r="X489" s="90"/>
      <c r="Y489" s="140" t="s">
        <v>207</v>
      </c>
      <c r="Z489" s="177" t="str">
        <f t="shared" si="27"/>
        <v>NC</v>
      </c>
      <c r="AA489" s="190" t="str">
        <f t="shared" si="26"/>
        <v>UTILIZOU O PDA CORRETAMENTE. NÃO HÁ FOTOS DE TODAS AS ETAPAS</v>
      </c>
      <c r="AB489" s="90"/>
      <c r="AC489" s="156" t="s">
        <v>36</v>
      </c>
      <c r="AD489" s="145" t="str">
        <f t="shared" si="28"/>
        <v>SÃO PAULO</v>
      </c>
      <c r="AE489" s="92" t="s">
        <v>79</v>
      </c>
    </row>
    <row r="490" spans="1:31" ht="30" customHeight="1">
      <c r="A490" s="208" t="s">
        <v>198</v>
      </c>
      <c r="B490" s="258">
        <v>2621104515</v>
      </c>
      <c r="C490" s="209" t="s">
        <v>1923</v>
      </c>
      <c r="D490" s="209" t="s">
        <v>79</v>
      </c>
      <c r="E490" s="209" t="s">
        <v>35</v>
      </c>
      <c r="F490" s="209" t="s">
        <v>2628</v>
      </c>
      <c r="G490" s="209">
        <v>124</v>
      </c>
      <c r="H490" s="209" t="s">
        <v>208</v>
      </c>
      <c r="I490" s="209" t="s">
        <v>1532</v>
      </c>
      <c r="J490" s="209" t="s">
        <v>1915</v>
      </c>
      <c r="K490" s="209" t="s">
        <v>200</v>
      </c>
      <c r="L490" s="209" t="s">
        <v>2626</v>
      </c>
      <c r="M490" s="209" t="s">
        <v>2629</v>
      </c>
      <c r="N490" s="209" t="s">
        <v>1916</v>
      </c>
      <c r="O490" s="152" t="s">
        <v>207</v>
      </c>
      <c r="P490" s="90"/>
      <c r="Q490" s="140" t="s">
        <v>207</v>
      </c>
      <c r="R490" s="90"/>
      <c r="S490" s="140" t="s">
        <v>207</v>
      </c>
      <c r="T490" s="90"/>
      <c r="U490" s="140" t="s">
        <v>214</v>
      </c>
      <c r="V490" s="90"/>
      <c r="W490" s="140" t="s">
        <v>214</v>
      </c>
      <c r="X490" s="90"/>
      <c r="Y490" s="140" t="s">
        <v>207</v>
      </c>
      <c r="Z490" s="177" t="str">
        <f t="shared" si="27"/>
        <v>NC</v>
      </c>
      <c r="AA490" s="190" t="str">
        <f t="shared" si="26"/>
        <v>UTILIZOU O PDA CORRETAMENTE. NÃO HÁ FOTOS DE TODAS AS ETAPAS</v>
      </c>
      <c r="AB490" s="90"/>
      <c r="AC490" s="156" t="s">
        <v>36</v>
      </c>
      <c r="AD490" s="145" t="str">
        <f t="shared" si="28"/>
        <v>SÃO PAULO</v>
      </c>
      <c r="AE490" s="92" t="s">
        <v>79</v>
      </c>
    </row>
    <row r="491" spans="1:31" ht="30" customHeight="1">
      <c r="A491" s="208" t="s">
        <v>198</v>
      </c>
      <c r="B491" s="258">
        <v>2693595532</v>
      </c>
      <c r="C491" s="209" t="s">
        <v>143</v>
      </c>
      <c r="D491" s="209" t="s">
        <v>79</v>
      </c>
      <c r="E491" s="209" t="s">
        <v>35</v>
      </c>
      <c r="F491" s="209" t="s">
        <v>889</v>
      </c>
      <c r="G491" s="209">
        <v>73</v>
      </c>
      <c r="H491" s="209" t="s">
        <v>347</v>
      </c>
      <c r="I491" s="209" t="s">
        <v>515</v>
      </c>
      <c r="J491" s="209" t="s">
        <v>1943</v>
      </c>
      <c r="K491" s="209" t="s">
        <v>200</v>
      </c>
      <c r="L491" s="209" t="s">
        <v>1281</v>
      </c>
      <c r="M491" s="209" t="s">
        <v>2611</v>
      </c>
      <c r="N491" s="209" t="s">
        <v>320</v>
      </c>
      <c r="O491" s="152" t="s">
        <v>207</v>
      </c>
      <c r="P491" s="90"/>
      <c r="Q491" s="140" t="s">
        <v>207</v>
      </c>
      <c r="R491" s="90"/>
      <c r="S491" s="140" t="s">
        <v>214</v>
      </c>
      <c r="T491" s="90"/>
      <c r="U491" s="140" t="s">
        <v>214</v>
      </c>
      <c r="V491" s="90"/>
      <c r="W491" s="140" t="s">
        <v>214</v>
      </c>
      <c r="X491" s="90"/>
      <c r="Y491" s="140" t="s">
        <v>207</v>
      </c>
      <c r="Z491" s="177" t="str">
        <f t="shared" si="27"/>
        <v>NC</v>
      </c>
      <c r="AA491" s="190" t="str">
        <f t="shared" si="26"/>
        <v>UTILIZOU O PDA CORRETAMENTE. NÃO HÁ FOTOS DE TODAS AS ETAPAS</v>
      </c>
      <c r="AB491" s="90" t="s">
        <v>207</v>
      </c>
      <c r="AC491" s="156" t="s">
        <v>36</v>
      </c>
      <c r="AD491" s="145" t="str">
        <f t="shared" si="28"/>
        <v>SÃO PAULO</v>
      </c>
      <c r="AE491" s="92" t="s">
        <v>79</v>
      </c>
    </row>
    <row r="492" spans="1:31" ht="30" customHeight="1">
      <c r="A492" s="153" t="s">
        <v>198</v>
      </c>
      <c r="B492" s="257">
        <v>2693677067</v>
      </c>
      <c r="C492" s="207" t="s">
        <v>143</v>
      </c>
      <c r="D492" s="207" t="s">
        <v>79</v>
      </c>
      <c r="E492" s="207" t="s">
        <v>35</v>
      </c>
      <c r="F492" s="207" t="s">
        <v>2630</v>
      </c>
      <c r="G492" s="207">
        <v>253</v>
      </c>
      <c r="H492" s="207" t="s">
        <v>1917</v>
      </c>
      <c r="I492" s="207" t="s">
        <v>636</v>
      </c>
      <c r="J492" s="207" t="s">
        <v>1915</v>
      </c>
      <c r="K492" s="207" t="s">
        <v>200</v>
      </c>
      <c r="L492" s="207" t="s">
        <v>2631</v>
      </c>
      <c r="M492" s="207" t="s">
        <v>1304</v>
      </c>
      <c r="N492" s="207" t="s">
        <v>1931</v>
      </c>
      <c r="O492" s="152" t="s">
        <v>207</v>
      </c>
      <c r="P492" s="90"/>
      <c r="Q492" s="140" t="s">
        <v>207</v>
      </c>
      <c r="R492" s="90"/>
      <c r="S492" s="140" t="s">
        <v>214</v>
      </c>
      <c r="T492" s="90"/>
      <c r="U492" s="140" t="s">
        <v>214</v>
      </c>
      <c r="V492" s="90"/>
      <c r="W492" s="140" t="s">
        <v>207</v>
      </c>
      <c r="X492" s="90"/>
      <c r="Y492" s="140" t="s">
        <v>207</v>
      </c>
      <c r="Z492" s="177" t="str">
        <f t="shared" si="27"/>
        <v>NC</v>
      </c>
      <c r="AA492" s="190" t="str">
        <f t="shared" si="26"/>
        <v>UTILIZOU O PDA CORRETAMENTE. NÃO HÁ FOTOS DE TODAS AS ETAPAS</v>
      </c>
      <c r="AB492" s="90" t="s">
        <v>207</v>
      </c>
      <c r="AC492" s="156" t="s">
        <v>36</v>
      </c>
      <c r="AD492" s="145" t="str">
        <f t="shared" si="28"/>
        <v>SÃO PAULO</v>
      </c>
      <c r="AE492" s="92" t="s">
        <v>79</v>
      </c>
    </row>
    <row r="493" spans="1:31" ht="30" customHeight="1">
      <c r="A493" s="208" t="s">
        <v>198</v>
      </c>
      <c r="B493" s="258">
        <v>2621071342</v>
      </c>
      <c r="C493" s="209" t="s">
        <v>143</v>
      </c>
      <c r="D493" s="209" t="s">
        <v>79</v>
      </c>
      <c r="E493" s="209" t="s">
        <v>35</v>
      </c>
      <c r="F493" s="209" t="s">
        <v>2502</v>
      </c>
      <c r="G493" s="209">
        <v>145</v>
      </c>
      <c r="H493" s="209" t="s">
        <v>200</v>
      </c>
      <c r="I493" s="209" t="s">
        <v>1077</v>
      </c>
      <c r="J493" s="209" t="s">
        <v>1915</v>
      </c>
      <c r="K493" s="209" t="s">
        <v>200</v>
      </c>
      <c r="L493" s="209" t="s">
        <v>2632</v>
      </c>
      <c r="M493" s="209" t="s">
        <v>2633</v>
      </c>
      <c r="N493" s="209" t="s">
        <v>1931</v>
      </c>
      <c r="O493" s="152" t="s">
        <v>207</v>
      </c>
      <c r="P493" s="90"/>
      <c r="Q493" s="140" t="s">
        <v>207</v>
      </c>
      <c r="R493" s="90"/>
      <c r="S493" s="140" t="s">
        <v>214</v>
      </c>
      <c r="T493" s="90"/>
      <c r="U493" s="140" t="s">
        <v>214</v>
      </c>
      <c r="V493" s="90"/>
      <c r="W493" s="140" t="s">
        <v>207</v>
      </c>
      <c r="X493" s="90"/>
      <c r="Y493" s="140" t="s">
        <v>207</v>
      </c>
      <c r="Z493" s="177" t="str">
        <f t="shared" si="27"/>
        <v>NC</v>
      </c>
      <c r="AA493" s="190" t="str">
        <f t="shared" si="26"/>
        <v>UTILIZOU O PDA CORRETAMENTE. NÃO HÁ FOTOS DE TODAS AS ETAPAS</v>
      </c>
      <c r="AB493" s="90" t="s">
        <v>207</v>
      </c>
      <c r="AC493" s="156" t="s">
        <v>36</v>
      </c>
      <c r="AD493" s="145" t="str">
        <f t="shared" si="28"/>
        <v>SÃO PAULO</v>
      </c>
      <c r="AE493" s="92" t="s">
        <v>79</v>
      </c>
    </row>
    <row r="494" spans="1:31" ht="30" customHeight="1">
      <c r="A494" s="208" t="s">
        <v>198</v>
      </c>
      <c r="B494" s="258">
        <v>2693700863</v>
      </c>
      <c r="C494" s="209" t="s">
        <v>143</v>
      </c>
      <c r="D494" s="209" t="s">
        <v>79</v>
      </c>
      <c r="E494" s="209" t="s">
        <v>35</v>
      </c>
      <c r="F494" s="209" t="s">
        <v>616</v>
      </c>
      <c r="G494" s="209">
        <v>31</v>
      </c>
      <c r="H494" s="209" t="s">
        <v>347</v>
      </c>
      <c r="I494" s="209" t="s">
        <v>359</v>
      </c>
      <c r="J494" s="209" t="s">
        <v>1918</v>
      </c>
      <c r="K494" s="209" t="s">
        <v>200</v>
      </c>
      <c r="L494" s="209" t="s">
        <v>2634</v>
      </c>
      <c r="M494" s="209" t="s">
        <v>2635</v>
      </c>
      <c r="N494" s="209" t="s">
        <v>1931</v>
      </c>
      <c r="O494" s="152" t="s">
        <v>207</v>
      </c>
      <c r="P494" s="90"/>
      <c r="Q494" s="140" t="s">
        <v>214</v>
      </c>
      <c r="R494" s="90"/>
      <c r="S494" s="140" t="s">
        <v>207</v>
      </c>
      <c r="T494" s="90"/>
      <c r="U494" s="140" t="s">
        <v>207</v>
      </c>
      <c r="V494" s="90"/>
      <c r="W494" s="140" t="s">
        <v>207</v>
      </c>
      <c r="X494" s="90"/>
      <c r="Y494" s="140" t="s">
        <v>207</v>
      </c>
      <c r="Z494" s="177" t="str">
        <f t="shared" si="27"/>
        <v>NC</v>
      </c>
      <c r="AA494" s="190" t="str">
        <f t="shared" si="26"/>
        <v>UTILIZOU O PDA CORRETAMENTE. NÃO HÁ FOTOS DE TODAS AS ETAPAS</v>
      </c>
      <c r="AB494" s="90" t="s">
        <v>207</v>
      </c>
      <c r="AC494" s="156" t="s">
        <v>36</v>
      </c>
      <c r="AD494" s="145" t="str">
        <f t="shared" si="28"/>
        <v>SÃO PAULO</v>
      </c>
      <c r="AE494" s="92" t="s">
        <v>79</v>
      </c>
    </row>
    <row r="495" spans="1:31" ht="30" customHeight="1">
      <c r="A495" s="208" t="s">
        <v>198</v>
      </c>
      <c r="B495" s="258">
        <v>2621116133</v>
      </c>
      <c r="C495" s="209" t="s">
        <v>1923</v>
      </c>
      <c r="D495" s="209" t="s">
        <v>79</v>
      </c>
      <c r="E495" s="209" t="s">
        <v>35</v>
      </c>
      <c r="F495" s="209" t="s">
        <v>2636</v>
      </c>
      <c r="G495" s="209">
        <v>6</v>
      </c>
      <c r="H495" s="209" t="s">
        <v>347</v>
      </c>
      <c r="I495" s="209" t="s">
        <v>482</v>
      </c>
      <c r="J495" s="209" t="s">
        <v>1915</v>
      </c>
      <c r="K495" s="209" t="s">
        <v>200</v>
      </c>
      <c r="L495" s="209" t="s">
        <v>2637</v>
      </c>
      <c r="M495" s="209" t="s">
        <v>2638</v>
      </c>
      <c r="N495" s="209" t="s">
        <v>1931</v>
      </c>
      <c r="O495" s="152" t="s">
        <v>207</v>
      </c>
      <c r="P495" s="90"/>
      <c r="Q495" s="140" t="s">
        <v>207</v>
      </c>
      <c r="R495" s="90"/>
      <c r="S495" s="140" t="s">
        <v>214</v>
      </c>
      <c r="T495" s="90"/>
      <c r="U495" s="140" t="s">
        <v>214</v>
      </c>
      <c r="V495" s="90"/>
      <c r="W495" s="140" t="s">
        <v>207</v>
      </c>
      <c r="X495" s="90"/>
      <c r="Y495" s="140" t="s">
        <v>207</v>
      </c>
      <c r="Z495" s="177" t="str">
        <f t="shared" si="27"/>
        <v>NC</v>
      </c>
      <c r="AA495" s="190" t="str">
        <f t="shared" si="26"/>
        <v>UTILIZOU O PDA CORRETAMENTE. NÃO HÁ FOTOS DE TODAS AS ETAPAS</v>
      </c>
      <c r="AB495" s="90" t="s">
        <v>207</v>
      </c>
      <c r="AC495" s="156" t="s">
        <v>36</v>
      </c>
      <c r="AD495" s="145" t="str">
        <f t="shared" si="28"/>
        <v>SÃO PAULO</v>
      </c>
      <c r="AE495" s="92" t="s">
        <v>79</v>
      </c>
    </row>
    <row r="496" spans="1:31" ht="30" customHeight="1">
      <c r="A496" s="208" t="s">
        <v>198</v>
      </c>
      <c r="B496" s="258">
        <v>2621097021</v>
      </c>
      <c r="C496" s="209" t="s">
        <v>1923</v>
      </c>
      <c r="D496" s="209" t="s">
        <v>79</v>
      </c>
      <c r="E496" s="209" t="s">
        <v>35</v>
      </c>
      <c r="F496" s="209" t="s">
        <v>1573</v>
      </c>
      <c r="G496" s="209">
        <v>503</v>
      </c>
      <c r="H496" s="209" t="s">
        <v>208</v>
      </c>
      <c r="I496" s="209" t="s">
        <v>241</v>
      </c>
      <c r="J496" s="209" t="s">
        <v>1915</v>
      </c>
      <c r="K496" s="209" t="s">
        <v>2319</v>
      </c>
      <c r="L496" s="209" t="s">
        <v>1325</v>
      </c>
      <c r="M496" s="209" t="s">
        <v>2639</v>
      </c>
      <c r="N496" s="209" t="s">
        <v>1944</v>
      </c>
      <c r="O496" s="152" t="s">
        <v>207</v>
      </c>
      <c r="P496" s="90"/>
      <c r="Q496" s="140" t="s">
        <v>207</v>
      </c>
      <c r="R496" s="90"/>
      <c r="S496" s="140" t="s">
        <v>207</v>
      </c>
      <c r="T496" s="90"/>
      <c r="U496" s="140" t="s">
        <v>207</v>
      </c>
      <c r="V496" s="90"/>
      <c r="W496" s="140" t="s">
        <v>207</v>
      </c>
      <c r="X496" s="90"/>
      <c r="Y496" s="140" t="s">
        <v>207</v>
      </c>
      <c r="Z496" s="177" t="str">
        <f t="shared" si="27"/>
        <v>C</v>
      </c>
      <c r="AA496" s="190" t="str">
        <f t="shared" si="26"/>
        <v>UTILIZOU O PDA CORRETAMENTE</v>
      </c>
      <c r="AB496" s="90"/>
      <c r="AC496" s="156" t="s">
        <v>36</v>
      </c>
      <c r="AD496" s="145" t="str">
        <f t="shared" si="28"/>
        <v>SÃO PAULO</v>
      </c>
      <c r="AE496" s="92" t="s">
        <v>79</v>
      </c>
    </row>
    <row r="497" spans="1:31" ht="30" customHeight="1">
      <c r="A497" s="208" t="s">
        <v>198</v>
      </c>
      <c r="B497" s="258">
        <v>2621099130</v>
      </c>
      <c r="C497" s="209" t="s">
        <v>151</v>
      </c>
      <c r="D497" s="209" t="s">
        <v>140</v>
      </c>
      <c r="E497" s="209" t="s">
        <v>35</v>
      </c>
      <c r="F497" s="209" t="s">
        <v>669</v>
      </c>
      <c r="G497" s="209">
        <v>235</v>
      </c>
      <c r="H497" s="209" t="s">
        <v>2640</v>
      </c>
      <c r="I497" s="209" t="s">
        <v>652</v>
      </c>
      <c r="J497" s="209" t="s">
        <v>1966</v>
      </c>
      <c r="K497" s="209" t="s">
        <v>200</v>
      </c>
      <c r="L497" s="209" t="s">
        <v>2641</v>
      </c>
      <c r="M497" s="209" t="s">
        <v>2642</v>
      </c>
      <c r="N497" s="209" t="s">
        <v>251</v>
      </c>
      <c r="O497" s="152" t="s">
        <v>207</v>
      </c>
      <c r="P497" s="90"/>
      <c r="Q497" s="140" t="s">
        <v>207</v>
      </c>
      <c r="R497" s="90"/>
      <c r="S497" s="140" t="s">
        <v>214</v>
      </c>
      <c r="T497" s="90"/>
      <c r="U497" s="140" t="s">
        <v>214</v>
      </c>
      <c r="V497" s="90"/>
      <c r="W497" s="140" t="s">
        <v>207</v>
      </c>
      <c r="X497" s="90"/>
      <c r="Y497" s="140" t="s">
        <v>207</v>
      </c>
      <c r="Z497" s="177" t="str">
        <f t="shared" si="27"/>
        <v>NC</v>
      </c>
      <c r="AA497" s="190" t="str">
        <f t="shared" si="26"/>
        <v>UTILIZOU O PDA CORRETAMENTE. NÃO HÁ FOTOS DE TODAS AS ETAPAS</v>
      </c>
      <c r="AB497" s="90" t="s">
        <v>207</v>
      </c>
      <c r="AC497" s="156" t="s">
        <v>36</v>
      </c>
      <c r="AD497" s="145" t="str">
        <f t="shared" si="28"/>
        <v>SÃO PAULO</v>
      </c>
      <c r="AE497" s="92" t="s">
        <v>79</v>
      </c>
    </row>
    <row r="498" spans="1:31" ht="30" customHeight="1">
      <c r="A498" s="208" t="s">
        <v>198</v>
      </c>
      <c r="B498" s="258">
        <v>2621102272</v>
      </c>
      <c r="C498" s="209" t="s">
        <v>151</v>
      </c>
      <c r="D498" s="209" t="s">
        <v>140</v>
      </c>
      <c r="E498" s="209" t="s">
        <v>35</v>
      </c>
      <c r="F498" s="209" t="s">
        <v>286</v>
      </c>
      <c r="G498" s="209">
        <v>4048</v>
      </c>
      <c r="H498" s="209" t="s">
        <v>255</v>
      </c>
      <c r="I498" s="209" t="s">
        <v>402</v>
      </c>
      <c r="J498" s="209" t="s">
        <v>1966</v>
      </c>
      <c r="K498" s="209" t="s">
        <v>200</v>
      </c>
      <c r="L498" s="209" t="s">
        <v>2643</v>
      </c>
      <c r="M498" s="209" t="s">
        <v>2644</v>
      </c>
      <c r="N498" s="209" t="s">
        <v>251</v>
      </c>
      <c r="O498" s="152" t="s">
        <v>207</v>
      </c>
      <c r="P498" s="90"/>
      <c r="Q498" s="140" t="s">
        <v>207</v>
      </c>
      <c r="R498" s="90"/>
      <c r="S498" s="140" t="s">
        <v>214</v>
      </c>
      <c r="T498" s="90"/>
      <c r="U498" s="140" t="s">
        <v>214</v>
      </c>
      <c r="V498" s="90"/>
      <c r="W498" s="140" t="s">
        <v>207</v>
      </c>
      <c r="X498" s="90"/>
      <c r="Y498" s="140" t="s">
        <v>207</v>
      </c>
      <c r="Z498" s="177" t="str">
        <f t="shared" si="27"/>
        <v>NC</v>
      </c>
      <c r="AA498" s="190" t="str">
        <f t="shared" si="26"/>
        <v>UTILIZOU O PDA CORRETAMENTE. NÃO HÁ FOTOS DE TODAS AS ETAPAS</v>
      </c>
      <c r="AB498" s="90" t="s">
        <v>207</v>
      </c>
      <c r="AC498" s="156" t="s">
        <v>36</v>
      </c>
      <c r="AD498" s="145" t="str">
        <f t="shared" si="28"/>
        <v>SÃO PAULO</v>
      </c>
      <c r="AE498" s="92" t="s">
        <v>79</v>
      </c>
    </row>
    <row r="499" spans="1:31" ht="30" customHeight="1">
      <c r="A499" s="208" t="s">
        <v>198</v>
      </c>
      <c r="B499" s="258">
        <v>2621068203</v>
      </c>
      <c r="C499" s="209" t="s">
        <v>151</v>
      </c>
      <c r="D499" s="209" t="s">
        <v>140</v>
      </c>
      <c r="E499" s="209" t="s">
        <v>35</v>
      </c>
      <c r="F499" s="209" t="s">
        <v>2645</v>
      </c>
      <c r="G499" s="209">
        <v>53</v>
      </c>
      <c r="H499" s="209" t="s">
        <v>200</v>
      </c>
      <c r="I499" s="209" t="s">
        <v>495</v>
      </c>
      <c r="J499" s="209" t="s">
        <v>1966</v>
      </c>
      <c r="K499" s="209" t="s">
        <v>200</v>
      </c>
      <c r="L499" s="209" t="s">
        <v>2646</v>
      </c>
      <c r="M499" s="209" t="s">
        <v>2647</v>
      </c>
      <c r="N499" s="209" t="s">
        <v>251</v>
      </c>
      <c r="O499" s="152" t="s">
        <v>207</v>
      </c>
      <c r="P499" s="90"/>
      <c r="Q499" s="140" t="s">
        <v>207</v>
      </c>
      <c r="R499" s="90"/>
      <c r="S499" s="140" t="s">
        <v>214</v>
      </c>
      <c r="T499" s="90"/>
      <c r="U499" s="140" t="s">
        <v>214</v>
      </c>
      <c r="V499" s="90"/>
      <c r="W499" s="140" t="s">
        <v>207</v>
      </c>
      <c r="X499" s="90"/>
      <c r="Y499" s="140" t="s">
        <v>207</v>
      </c>
      <c r="Z499" s="177" t="str">
        <f t="shared" si="27"/>
        <v>NC</v>
      </c>
      <c r="AA499" s="190" t="str">
        <f t="shared" si="26"/>
        <v>UTILIZOU O PDA CORRETAMENTE. NÃO HÁ FOTOS DE TODAS AS ETAPAS</v>
      </c>
      <c r="AB499" s="90" t="s">
        <v>207</v>
      </c>
      <c r="AC499" s="156" t="s">
        <v>36</v>
      </c>
      <c r="AD499" s="145" t="str">
        <f t="shared" si="28"/>
        <v>SÃO PAULO</v>
      </c>
      <c r="AE499" s="92" t="s">
        <v>79</v>
      </c>
    </row>
    <row r="500" spans="1:31" ht="30" customHeight="1">
      <c r="A500" s="208" t="s">
        <v>198</v>
      </c>
      <c r="B500" s="258">
        <v>2620877323</v>
      </c>
      <c r="C500" s="209" t="s">
        <v>151</v>
      </c>
      <c r="D500" s="209" t="s">
        <v>140</v>
      </c>
      <c r="E500" s="209" t="s">
        <v>35</v>
      </c>
      <c r="F500" s="209" t="s">
        <v>2648</v>
      </c>
      <c r="G500" s="209">
        <v>4</v>
      </c>
      <c r="H500" s="209" t="s">
        <v>401</v>
      </c>
      <c r="I500" s="209" t="s">
        <v>811</v>
      </c>
      <c r="J500" s="209" t="s">
        <v>1966</v>
      </c>
      <c r="K500" s="209" t="s">
        <v>200</v>
      </c>
      <c r="L500" s="209" t="s">
        <v>2649</v>
      </c>
      <c r="M500" s="209" t="s">
        <v>1355</v>
      </c>
      <c r="N500" s="209" t="s">
        <v>251</v>
      </c>
      <c r="O500" s="152" t="s">
        <v>207</v>
      </c>
      <c r="P500" s="90"/>
      <c r="Q500" s="140" t="s">
        <v>207</v>
      </c>
      <c r="R500" s="90"/>
      <c r="S500" s="140" t="s">
        <v>214</v>
      </c>
      <c r="T500" s="90"/>
      <c r="U500" s="140" t="s">
        <v>214</v>
      </c>
      <c r="V500" s="90"/>
      <c r="W500" s="140" t="s">
        <v>207</v>
      </c>
      <c r="X500" s="90"/>
      <c r="Y500" s="140" t="s">
        <v>207</v>
      </c>
      <c r="Z500" s="177" t="str">
        <f t="shared" si="27"/>
        <v>NC</v>
      </c>
      <c r="AA500" s="190" t="str">
        <f t="shared" si="26"/>
        <v>UTILIZOU O PDA CORRETAMENTE. NÃO HÁ FOTOS DE TODAS AS ETAPAS</v>
      </c>
      <c r="AB500" s="90" t="s">
        <v>207</v>
      </c>
      <c r="AC500" s="156" t="s">
        <v>36</v>
      </c>
      <c r="AD500" s="145" t="str">
        <f t="shared" si="28"/>
        <v>SÃO PAULO</v>
      </c>
      <c r="AE500" s="92" t="s">
        <v>79</v>
      </c>
    </row>
    <row r="501" spans="1:31" ht="30" customHeight="1">
      <c r="A501" s="208" t="s">
        <v>198</v>
      </c>
      <c r="B501" s="258">
        <v>2621255895</v>
      </c>
      <c r="C501" s="209" t="s">
        <v>1923</v>
      </c>
      <c r="D501" s="209" t="s">
        <v>79</v>
      </c>
      <c r="E501" s="209" t="s">
        <v>35</v>
      </c>
      <c r="F501" s="209" t="s">
        <v>583</v>
      </c>
      <c r="G501" s="209">
        <v>12</v>
      </c>
      <c r="H501" s="209" t="s">
        <v>208</v>
      </c>
      <c r="I501" s="209" t="s">
        <v>584</v>
      </c>
      <c r="J501" s="209" t="s">
        <v>1915</v>
      </c>
      <c r="K501" s="209" t="s">
        <v>200</v>
      </c>
      <c r="L501" s="209" t="s">
        <v>2650</v>
      </c>
      <c r="M501" s="209" t="s">
        <v>2651</v>
      </c>
      <c r="N501" s="209" t="s">
        <v>1916</v>
      </c>
      <c r="O501" s="152" t="s">
        <v>207</v>
      </c>
      <c r="P501" s="90"/>
      <c r="Q501" s="140" t="s">
        <v>214</v>
      </c>
      <c r="R501" s="90"/>
      <c r="S501" s="140" t="s">
        <v>214</v>
      </c>
      <c r="T501" s="90"/>
      <c r="U501" s="140" t="s">
        <v>214</v>
      </c>
      <c r="V501" s="90"/>
      <c r="W501" s="140" t="s">
        <v>214</v>
      </c>
      <c r="X501" s="90"/>
      <c r="Y501" s="140" t="s">
        <v>207</v>
      </c>
      <c r="Z501" s="177" t="str">
        <f t="shared" si="27"/>
        <v>NC</v>
      </c>
      <c r="AA501" s="190" t="str">
        <f t="shared" si="26"/>
        <v>UTILIZOU O PDA CORRETAMENTE. NÃO HÁ FOTOS DE TODAS AS ETAPAS</v>
      </c>
      <c r="AB501" s="90"/>
      <c r="AC501" s="156" t="s">
        <v>36</v>
      </c>
      <c r="AD501" s="145" t="str">
        <f t="shared" si="28"/>
        <v>SÃO PAULO</v>
      </c>
      <c r="AE501" s="92" t="s">
        <v>79</v>
      </c>
    </row>
    <row r="502" spans="1:31" ht="30" customHeight="1">
      <c r="A502" s="208" t="s">
        <v>198</v>
      </c>
      <c r="B502" s="258">
        <v>2621277608</v>
      </c>
      <c r="C502" s="209" t="s">
        <v>151</v>
      </c>
      <c r="D502" s="209" t="s">
        <v>140</v>
      </c>
      <c r="E502" s="209" t="s">
        <v>35</v>
      </c>
      <c r="F502" s="209" t="s">
        <v>599</v>
      </c>
      <c r="G502" s="209">
        <v>21</v>
      </c>
      <c r="H502" s="209" t="s">
        <v>200</v>
      </c>
      <c r="I502" s="209" t="s">
        <v>256</v>
      </c>
      <c r="J502" s="209" t="s">
        <v>1966</v>
      </c>
      <c r="K502" s="209" t="s">
        <v>200</v>
      </c>
      <c r="L502" s="209" t="s">
        <v>2652</v>
      </c>
      <c r="M502" s="209" t="s">
        <v>2653</v>
      </c>
      <c r="N502" s="209" t="s">
        <v>235</v>
      </c>
      <c r="O502" s="152" t="s">
        <v>207</v>
      </c>
      <c r="P502" s="90"/>
      <c r="Q502" s="140" t="s">
        <v>207</v>
      </c>
      <c r="R502" s="90"/>
      <c r="S502" s="140" t="s">
        <v>214</v>
      </c>
      <c r="T502" s="90"/>
      <c r="U502" s="140" t="s">
        <v>214</v>
      </c>
      <c r="V502" s="90"/>
      <c r="W502" s="140" t="s">
        <v>207</v>
      </c>
      <c r="X502" s="90"/>
      <c r="Y502" s="140" t="s">
        <v>207</v>
      </c>
      <c r="Z502" s="177" t="str">
        <f t="shared" si="27"/>
        <v>NC</v>
      </c>
      <c r="AA502" s="190" t="str">
        <f t="shared" si="26"/>
        <v>UTILIZOU O PDA CORRETAMENTE. NÃO HÁ FOTOS DE TODAS AS ETAPAS</v>
      </c>
      <c r="AB502" s="90" t="s">
        <v>207</v>
      </c>
      <c r="AC502" s="156" t="s">
        <v>36</v>
      </c>
      <c r="AD502" s="145" t="str">
        <f t="shared" si="28"/>
        <v>SÃO PAULO</v>
      </c>
      <c r="AE502" s="92" t="s">
        <v>79</v>
      </c>
    </row>
    <row r="503" spans="1:31" ht="30" customHeight="1">
      <c r="A503" s="208" t="s">
        <v>198</v>
      </c>
      <c r="B503" s="258">
        <v>2621255511</v>
      </c>
      <c r="C503" s="209" t="s">
        <v>147</v>
      </c>
      <c r="D503" s="209" t="s">
        <v>79</v>
      </c>
      <c r="E503" s="209" t="s">
        <v>35</v>
      </c>
      <c r="F503" s="209" t="s">
        <v>2654</v>
      </c>
      <c r="G503" s="209">
        <v>57</v>
      </c>
      <c r="H503" s="209" t="s">
        <v>205</v>
      </c>
      <c r="I503" s="209" t="s">
        <v>479</v>
      </c>
      <c r="J503" s="209" t="s">
        <v>1915</v>
      </c>
      <c r="K503" s="209" t="s">
        <v>200</v>
      </c>
      <c r="L503" s="209" t="s">
        <v>2655</v>
      </c>
      <c r="M503" s="209" t="s">
        <v>2656</v>
      </c>
      <c r="N503" s="209" t="s">
        <v>1944</v>
      </c>
      <c r="O503" s="152" t="s">
        <v>207</v>
      </c>
      <c r="P503" s="90"/>
      <c r="Q503" s="140" t="s">
        <v>207</v>
      </c>
      <c r="R503" s="90"/>
      <c r="S503" s="140" t="s">
        <v>207</v>
      </c>
      <c r="T503" s="90"/>
      <c r="U503" s="140" t="s">
        <v>214</v>
      </c>
      <c r="V503" s="90"/>
      <c r="W503" s="140" t="s">
        <v>207</v>
      </c>
      <c r="X503" s="90"/>
      <c r="Y503" s="140" t="s">
        <v>207</v>
      </c>
      <c r="Z503" s="177" t="str">
        <f t="shared" si="27"/>
        <v>NC</v>
      </c>
      <c r="AA503" s="190" t="str">
        <f t="shared" si="26"/>
        <v>UTILIZOU O PDA CORRETAMENTE. NÃO HÁ FOTOS DE TODAS AS ETAPAS</v>
      </c>
      <c r="AB503" s="90" t="s">
        <v>207</v>
      </c>
      <c r="AC503" s="156" t="s">
        <v>36</v>
      </c>
      <c r="AD503" s="145" t="str">
        <f t="shared" si="28"/>
        <v>SÃO PAULO</v>
      </c>
      <c r="AE503" s="92" t="s">
        <v>79</v>
      </c>
    </row>
    <row r="504" spans="1:31" ht="30" customHeight="1">
      <c r="A504" s="208" t="s">
        <v>198</v>
      </c>
      <c r="B504" s="258">
        <v>2621276368</v>
      </c>
      <c r="C504" s="209" t="s">
        <v>1923</v>
      </c>
      <c r="D504" s="209" t="s">
        <v>79</v>
      </c>
      <c r="E504" s="209" t="s">
        <v>35</v>
      </c>
      <c r="F504" s="209" t="s">
        <v>1531</v>
      </c>
      <c r="G504" s="209">
        <v>62</v>
      </c>
      <c r="H504" s="209" t="s">
        <v>208</v>
      </c>
      <c r="I504" s="209" t="s">
        <v>1532</v>
      </c>
      <c r="J504" s="209" t="s">
        <v>1915</v>
      </c>
      <c r="K504" s="209" t="s">
        <v>200</v>
      </c>
      <c r="L504" s="209" t="s">
        <v>2657</v>
      </c>
      <c r="M504" s="209" t="s">
        <v>1847</v>
      </c>
      <c r="N504" s="209" t="s">
        <v>1916</v>
      </c>
      <c r="O504" s="152" t="s">
        <v>207</v>
      </c>
      <c r="P504" s="90"/>
      <c r="Q504" s="140" t="s">
        <v>207</v>
      </c>
      <c r="R504" s="90"/>
      <c r="S504" s="140" t="s">
        <v>207</v>
      </c>
      <c r="T504" s="90"/>
      <c r="U504" s="140" t="s">
        <v>207</v>
      </c>
      <c r="V504" s="90"/>
      <c r="W504" s="140" t="s">
        <v>207</v>
      </c>
      <c r="X504" s="90"/>
      <c r="Y504" s="140" t="s">
        <v>207</v>
      </c>
      <c r="Z504" s="177" t="str">
        <f t="shared" si="27"/>
        <v>C</v>
      </c>
      <c r="AA504" s="190" t="str">
        <f t="shared" si="26"/>
        <v>UTILIZOU O PDA CORRETAMENTE</v>
      </c>
      <c r="AB504" s="90" t="s">
        <v>207</v>
      </c>
      <c r="AC504" s="156" t="s">
        <v>36</v>
      </c>
      <c r="AD504" s="145" t="str">
        <f t="shared" si="28"/>
        <v>SÃO PAULO</v>
      </c>
      <c r="AE504" s="92" t="s">
        <v>79</v>
      </c>
    </row>
    <row r="505" spans="1:31" ht="30" customHeight="1">
      <c r="A505" s="208" t="s">
        <v>198</v>
      </c>
      <c r="B505" s="258">
        <v>2693760744</v>
      </c>
      <c r="C505" s="209" t="s">
        <v>143</v>
      </c>
      <c r="D505" s="209" t="s">
        <v>79</v>
      </c>
      <c r="E505" s="209" t="s">
        <v>35</v>
      </c>
      <c r="F505" s="209" t="s">
        <v>1775</v>
      </c>
      <c r="G505" s="209">
        <v>852</v>
      </c>
      <c r="H505" s="209" t="s">
        <v>200</v>
      </c>
      <c r="I505" s="209" t="s">
        <v>1776</v>
      </c>
      <c r="J505" s="209" t="s">
        <v>1915</v>
      </c>
      <c r="K505" s="209" t="s">
        <v>200</v>
      </c>
      <c r="L505" s="209" t="s">
        <v>2658</v>
      </c>
      <c r="M505" s="209" t="s">
        <v>2659</v>
      </c>
      <c r="N505" s="209" t="s">
        <v>1933</v>
      </c>
      <c r="O505" s="152" t="s">
        <v>207</v>
      </c>
      <c r="P505" s="90"/>
      <c r="Q505" s="140" t="s">
        <v>207</v>
      </c>
      <c r="R505" s="90"/>
      <c r="S505" s="140" t="s">
        <v>214</v>
      </c>
      <c r="T505" s="90"/>
      <c r="U505" s="140" t="s">
        <v>207</v>
      </c>
      <c r="V505" s="90"/>
      <c r="W505" s="140" t="s">
        <v>207</v>
      </c>
      <c r="X505" s="90"/>
      <c r="Y505" s="140" t="s">
        <v>207</v>
      </c>
      <c r="Z505" s="177" t="str">
        <f t="shared" si="27"/>
        <v>NC</v>
      </c>
      <c r="AA505" s="190" t="str">
        <f t="shared" si="26"/>
        <v>UTILIZOU O PDA CORRETAMENTE. NÃO HÁ FOTOS DE TODAS AS ETAPAS</v>
      </c>
      <c r="AB505" s="90" t="s">
        <v>207</v>
      </c>
      <c r="AC505" s="156" t="s">
        <v>36</v>
      </c>
      <c r="AD505" s="145" t="str">
        <f t="shared" si="28"/>
        <v>SÃO PAULO</v>
      </c>
      <c r="AE505" s="92" t="s">
        <v>79</v>
      </c>
    </row>
    <row r="506" spans="1:31" ht="30" customHeight="1">
      <c r="A506" s="208" t="s">
        <v>198</v>
      </c>
      <c r="B506" s="258">
        <v>2693760349</v>
      </c>
      <c r="C506" s="209" t="s">
        <v>147</v>
      </c>
      <c r="D506" s="209" t="s">
        <v>79</v>
      </c>
      <c r="E506" s="209" t="s">
        <v>35</v>
      </c>
      <c r="F506" s="209" t="s">
        <v>2660</v>
      </c>
      <c r="G506" s="209">
        <v>117</v>
      </c>
      <c r="H506" s="209" t="s">
        <v>401</v>
      </c>
      <c r="I506" s="209" t="s">
        <v>352</v>
      </c>
      <c r="J506" s="209" t="s">
        <v>1915</v>
      </c>
      <c r="K506" s="209" t="s">
        <v>200</v>
      </c>
      <c r="L506" s="209" t="s">
        <v>1315</v>
      </c>
      <c r="M506" s="209" t="s">
        <v>2661</v>
      </c>
      <c r="N506" s="209" t="s">
        <v>1933</v>
      </c>
      <c r="O506" s="152" t="s">
        <v>207</v>
      </c>
      <c r="P506" s="90"/>
      <c r="Q506" s="140" t="s">
        <v>207</v>
      </c>
      <c r="R506" s="90"/>
      <c r="S506" s="140" t="s">
        <v>207</v>
      </c>
      <c r="T506" s="90"/>
      <c r="U506" s="140" t="s">
        <v>207</v>
      </c>
      <c r="V506" s="90"/>
      <c r="W506" s="140" t="s">
        <v>207</v>
      </c>
      <c r="X506" s="90"/>
      <c r="Y506" s="140" t="s">
        <v>207</v>
      </c>
      <c r="Z506" s="177" t="str">
        <f t="shared" si="27"/>
        <v>C</v>
      </c>
      <c r="AA506" s="190" t="str">
        <f t="shared" si="26"/>
        <v>UTILIZOU O PDA CORRETAMENTE</v>
      </c>
      <c r="AB506" s="90" t="s">
        <v>207</v>
      </c>
      <c r="AC506" s="156" t="s">
        <v>36</v>
      </c>
      <c r="AD506" s="145" t="str">
        <f t="shared" si="28"/>
        <v>SÃO PAULO</v>
      </c>
      <c r="AE506" s="92" t="s">
        <v>79</v>
      </c>
    </row>
    <row r="507" spans="1:31" ht="30" customHeight="1">
      <c r="A507" s="208" t="s">
        <v>198</v>
      </c>
      <c r="B507" s="258">
        <v>2693758987</v>
      </c>
      <c r="C507" s="209" t="s">
        <v>143</v>
      </c>
      <c r="D507" s="209" t="s">
        <v>79</v>
      </c>
      <c r="E507" s="209" t="s">
        <v>35</v>
      </c>
      <c r="F507" s="209" t="s">
        <v>1430</v>
      </c>
      <c r="G507" s="209">
        <v>534</v>
      </c>
      <c r="H507" s="209" t="s">
        <v>257</v>
      </c>
      <c r="I507" s="209" t="s">
        <v>408</v>
      </c>
      <c r="J507" s="209" t="s">
        <v>1915</v>
      </c>
      <c r="K507" s="209" t="s">
        <v>200</v>
      </c>
      <c r="L507" s="209" t="s">
        <v>2662</v>
      </c>
      <c r="M507" s="209" t="s">
        <v>2663</v>
      </c>
      <c r="N507" s="209" t="s">
        <v>1931</v>
      </c>
      <c r="O507" s="152" t="s">
        <v>207</v>
      </c>
      <c r="P507" s="90"/>
      <c r="Q507" s="140" t="s">
        <v>207</v>
      </c>
      <c r="R507" s="90"/>
      <c r="S507" s="140" t="s">
        <v>214</v>
      </c>
      <c r="T507" s="90"/>
      <c r="U507" s="140" t="s">
        <v>214</v>
      </c>
      <c r="V507" s="90"/>
      <c r="W507" s="140" t="s">
        <v>207</v>
      </c>
      <c r="X507" s="90"/>
      <c r="Y507" s="140" t="s">
        <v>207</v>
      </c>
      <c r="Z507" s="177" t="str">
        <f t="shared" si="27"/>
        <v>NC</v>
      </c>
      <c r="AA507" s="190" t="str">
        <f t="shared" si="26"/>
        <v>UTILIZOU O PDA CORRETAMENTE. NÃO HÁ FOTOS DE TODAS AS ETAPAS</v>
      </c>
      <c r="AB507" s="90" t="s">
        <v>207</v>
      </c>
      <c r="AC507" s="156" t="s">
        <v>36</v>
      </c>
      <c r="AD507" s="145" t="str">
        <f t="shared" si="28"/>
        <v>SÃO PAULO</v>
      </c>
      <c r="AE507" s="92" t="s">
        <v>79</v>
      </c>
    </row>
    <row r="508" spans="1:31" ht="30" customHeight="1">
      <c r="A508" s="208" t="s">
        <v>198</v>
      </c>
      <c r="B508" s="258">
        <v>2621277658</v>
      </c>
      <c r="C508" s="209" t="s">
        <v>1923</v>
      </c>
      <c r="D508" s="209" t="s">
        <v>79</v>
      </c>
      <c r="E508" s="209" t="s">
        <v>35</v>
      </c>
      <c r="F508" s="209" t="s">
        <v>1926</v>
      </c>
      <c r="G508" s="209">
        <v>25</v>
      </c>
      <c r="H508" s="209" t="s">
        <v>208</v>
      </c>
      <c r="I508" s="209" t="s">
        <v>319</v>
      </c>
      <c r="J508" s="209" t="s">
        <v>1915</v>
      </c>
      <c r="K508" s="209" t="s">
        <v>200</v>
      </c>
      <c r="L508" s="209" t="s">
        <v>2664</v>
      </c>
      <c r="M508" s="209" t="s">
        <v>2665</v>
      </c>
      <c r="N508" s="209" t="s">
        <v>1916</v>
      </c>
      <c r="O508" s="152" t="s">
        <v>207</v>
      </c>
      <c r="P508" s="90"/>
      <c r="Q508" s="140" t="s">
        <v>207</v>
      </c>
      <c r="R508" s="90"/>
      <c r="S508" s="140" t="s">
        <v>214</v>
      </c>
      <c r="T508" s="90"/>
      <c r="U508" s="140" t="s">
        <v>214</v>
      </c>
      <c r="V508" s="90"/>
      <c r="W508" s="140" t="s">
        <v>214</v>
      </c>
      <c r="X508" s="90"/>
      <c r="Y508" s="140" t="s">
        <v>207</v>
      </c>
      <c r="Z508" s="177" t="str">
        <f t="shared" si="27"/>
        <v>NC</v>
      </c>
      <c r="AA508" s="190" t="str">
        <f t="shared" si="26"/>
        <v>UTILIZOU O PDA CORRETAMENTE. NÃO HÁ FOTOS DE TODAS AS ETAPAS</v>
      </c>
      <c r="AB508" s="90"/>
      <c r="AC508" s="156" t="s">
        <v>36</v>
      </c>
      <c r="AD508" s="145" t="str">
        <f t="shared" si="28"/>
        <v>SÃO PAULO</v>
      </c>
      <c r="AE508" s="92" t="s">
        <v>79</v>
      </c>
    </row>
    <row r="509" spans="1:31" ht="30" customHeight="1">
      <c r="A509" s="208" t="s">
        <v>198</v>
      </c>
      <c r="B509" s="258">
        <v>2621293545</v>
      </c>
      <c r="C509" s="209" t="s">
        <v>1923</v>
      </c>
      <c r="D509" s="209" t="s">
        <v>79</v>
      </c>
      <c r="E509" s="209" t="s">
        <v>35</v>
      </c>
      <c r="F509" s="209" t="s">
        <v>321</v>
      </c>
      <c r="G509" s="209">
        <v>372</v>
      </c>
      <c r="H509" s="209" t="s">
        <v>200</v>
      </c>
      <c r="I509" s="209" t="s">
        <v>322</v>
      </c>
      <c r="J509" s="209" t="s">
        <v>1915</v>
      </c>
      <c r="K509" s="209" t="s">
        <v>200</v>
      </c>
      <c r="L509" s="209" t="s">
        <v>2666</v>
      </c>
      <c r="M509" s="209" t="s">
        <v>2667</v>
      </c>
      <c r="N509" s="209" t="s">
        <v>2668</v>
      </c>
      <c r="O509" s="152" t="s">
        <v>214</v>
      </c>
      <c r="P509" s="90"/>
      <c r="Q509" s="140" t="s">
        <v>214</v>
      </c>
      <c r="R509" s="90"/>
      <c r="S509" s="140" t="s">
        <v>214</v>
      </c>
      <c r="T509" s="90"/>
      <c r="U509" s="140" t="s">
        <v>214</v>
      </c>
      <c r="V509" s="90"/>
      <c r="W509" s="140" t="s">
        <v>214</v>
      </c>
      <c r="X509" s="90"/>
      <c r="Y509" s="140" t="s">
        <v>207</v>
      </c>
      <c r="Z509" s="177" t="str">
        <f t="shared" si="27"/>
        <v>NC</v>
      </c>
      <c r="AA509" s="190" t="str">
        <f t="shared" si="26"/>
        <v>UTILIZOU O PDA CORRETAMENTE. NÃO HÁ FOTOS DE TODAS AS ETAPAS</v>
      </c>
      <c r="AB509" s="90" t="s">
        <v>207</v>
      </c>
      <c r="AC509" s="156" t="s">
        <v>36</v>
      </c>
      <c r="AD509" s="145" t="str">
        <f t="shared" si="28"/>
        <v>SÃO PAULO</v>
      </c>
      <c r="AE509" s="92" t="s">
        <v>79</v>
      </c>
    </row>
    <row r="510" spans="1:31" ht="30" customHeight="1">
      <c r="A510" s="208" t="s">
        <v>198</v>
      </c>
      <c r="B510" s="258">
        <v>2621292979</v>
      </c>
      <c r="C510" s="209" t="s">
        <v>1923</v>
      </c>
      <c r="D510" s="209" t="s">
        <v>79</v>
      </c>
      <c r="E510" s="209" t="s">
        <v>35</v>
      </c>
      <c r="F510" s="209" t="s">
        <v>2608</v>
      </c>
      <c r="G510" s="209">
        <v>258</v>
      </c>
      <c r="H510" s="209" t="s">
        <v>255</v>
      </c>
      <c r="I510" s="209" t="s">
        <v>2062</v>
      </c>
      <c r="J510" s="209" t="s">
        <v>1915</v>
      </c>
      <c r="K510" s="209" t="s">
        <v>2669</v>
      </c>
      <c r="L510" s="209" t="s">
        <v>2670</v>
      </c>
      <c r="M510" s="209" t="s">
        <v>2671</v>
      </c>
      <c r="N510" s="209" t="s">
        <v>1919</v>
      </c>
      <c r="O510" s="152" t="s">
        <v>214</v>
      </c>
      <c r="P510" s="90"/>
      <c r="Q510" s="140" t="s">
        <v>214</v>
      </c>
      <c r="R510" s="90"/>
      <c r="S510" s="140" t="s">
        <v>214</v>
      </c>
      <c r="T510" s="90"/>
      <c r="U510" s="140" t="s">
        <v>214</v>
      </c>
      <c r="V510" s="90"/>
      <c r="W510" s="140" t="s">
        <v>214</v>
      </c>
      <c r="X510" s="90"/>
      <c r="Y510" s="140" t="s">
        <v>207</v>
      </c>
      <c r="Z510" s="177" t="str">
        <f t="shared" si="27"/>
        <v>NC</v>
      </c>
      <c r="AA510" s="190" t="str">
        <f t="shared" si="26"/>
        <v>UTILIZOU O PDA CORRETAMENTE. NÃO HÁ FOTOS DE TODAS AS ETAPAS</v>
      </c>
      <c r="AB510" s="90" t="s">
        <v>207</v>
      </c>
      <c r="AC510" s="156" t="s">
        <v>36</v>
      </c>
      <c r="AD510" s="145" t="str">
        <f t="shared" si="28"/>
        <v>SÃO PAULO</v>
      </c>
      <c r="AE510" s="92" t="s">
        <v>79</v>
      </c>
    </row>
    <row r="511" spans="1:31" ht="30" customHeight="1">
      <c r="A511" s="208" t="s">
        <v>198</v>
      </c>
      <c r="B511" s="258">
        <v>2621293193</v>
      </c>
      <c r="C511" s="209" t="s">
        <v>1923</v>
      </c>
      <c r="D511" s="209" t="s">
        <v>79</v>
      </c>
      <c r="E511" s="209" t="s">
        <v>35</v>
      </c>
      <c r="F511" s="209" t="s">
        <v>2672</v>
      </c>
      <c r="G511" s="209">
        <v>68</v>
      </c>
      <c r="H511" s="209" t="s">
        <v>2673</v>
      </c>
      <c r="I511" s="209" t="s">
        <v>287</v>
      </c>
      <c r="J511" s="209" t="s">
        <v>1915</v>
      </c>
      <c r="K511" s="209" t="s">
        <v>2060</v>
      </c>
      <c r="L511" s="209" t="s">
        <v>1817</v>
      </c>
      <c r="M511" s="209" t="s">
        <v>2674</v>
      </c>
      <c r="N511" s="209" t="s">
        <v>1925</v>
      </c>
      <c r="O511" s="152" t="s">
        <v>214</v>
      </c>
      <c r="P511" s="90"/>
      <c r="Q511" s="140" t="s">
        <v>214</v>
      </c>
      <c r="R511" s="90"/>
      <c r="S511" s="140" t="s">
        <v>214</v>
      </c>
      <c r="T511" s="90"/>
      <c r="U511" s="140" t="s">
        <v>214</v>
      </c>
      <c r="V511" s="90"/>
      <c r="W511" s="140" t="s">
        <v>214</v>
      </c>
      <c r="X511" s="90"/>
      <c r="Y511" s="140" t="s">
        <v>207</v>
      </c>
      <c r="Z511" s="177" t="str">
        <f t="shared" si="27"/>
        <v>NC</v>
      </c>
      <c r="AA511" s="190" t="str">
        <f t="shared" si="26"/>
        <v>UTILIZOU O PDA CORRETAMENTE. NÃO HÁ FOTOS DE TODAS AS ETAPAS</v>
      </c>
      <c r="AB511" s="90" t="s">
        <v>207</v>
      </c>
      <c r="AC511" s="156" t="s">
        <v>36</v>
      </c>
      <c r="AD511" s="145" t="str">
        <f t="shared" si="28"/>
        <v>SÃO PAULO</v>
      </c>
      <c r="AE511" s="92" t="s">
        <v>79</v>
      </c>
    </row>
    <row r="512" spans="1:31" ht="30" customHeight="1">
      <c r="A512" s="208" t="s">
        <v>198</v>
      </c>
      <c r="B512" s="258">
        <v>2621293360</v>
      </c>
      <c r="C512" s="209" t="s">
        <v>1923</v>
      </c>
      <c r="D512" s="209" t="s">
        <v>79</v>
      </c>
      <c r="E512" s="209" t="s">
        <v>35</v>
      </c>
      <c r="F512" s="209" t="s">
        <v>2675</v>
      </c>
      <c r="G512" s="209">
        <v>40</v>
      </c>
      <c r="H512" s="209" t="s">
        <v>200</v>
      </c>
      <c r="I512" s="209" t="s">
        <v>402</v>
      </c>
      <c r="J512" s="209" t="s">
        <v>1915</v>
      </c>
      <c r="K512" s="209" t="s">
        <v>2060</v>
      </c>
      <c r="L512" s="209" t="s">
        <v>2676</v>
      </c>
      <c r="M512" s="209" t="s">
        <v>2677</v>
      </c>
      <c r="N512" s="209" t="s">
        <v>1925</v>
      </c>
      <c r="O512" s="152" t="s">
        <v>214</v>
      </c>
      <c r="P512" s="90"/>
      <c r="Q512" s="140" t="s">
        <v>214</v>
      </c>
      <c r="R512" s="90"/>
      <c r="S512" s="140" t="s">
        <v>214</v>
      </c>
      <c r="T512" s="90"/>
      <c r="U512" s="140" t="s">
        <v>214</v>
      </c>
      <c r="V512" s="90"/>
      <c r="W512" s="140" t="s">
        <v>214</v>
      </c>
      <c r="X512" s="90"/>
      <c r="Y512" s="140" t="s">
        <v>207</v>
      </c>
      <c r="Z512" s="177" t="str">
        <f t="shared" si="27"/>
        <v>NC</v>
      </c>
      <c r="AA512" s="190" t="str">
        <f t="shared" si="26"/>
        <v>UTILIZOU O PDA CORRETAMENTE. NÃO HÁ FOTOS DE TODAS AS ETAPAS</v>
      </c>
      <c r="AB512" s="90" t="s">
        <v>207</v>
      </c>
      <c r="AC512" s="156" t="s">
        <v>36</v>
      </c>
      <c r="AD512" s="145" t="str">
        <f t="shared" si="28"/>
        <v>SÃO PAULO</v>
      </c>
      <c r="AE512" s="92" t="s">
        <v>79</v>
      </c>
    </row>
    <row r="513" spans="1:31" ht="30" customHeight="1">
      <c r="A513" s="208" t="s">
        <v>198</v>
      </c>
      <c r="B513" s="258">
        <v>2621102836</v>
      </c>
      <c r="C513" s="209" t="s">
        <v>151</v>
      </c>
      <c r="D513" s="209" t="s">
        <v>140</v>
      </c>
      <c r="E513" s="209" t="s">
        <v>35</v>
      </c>
      <c r="F513" s="209" t="s">
        <v>2678</v>
      </c>
      <c r="G513" s="209">
        <v>35</v>
      </c>
      <c r="H513" s="209" t="s">
        <v>205</v>
      </c>
      <c r="I513" s="209" t="s">
        <v>603</v>
      </c>
      <c r="J513" s="209" t="s">
        <v>1966</v>
      </c>
      <c r="K513" s="209" t="s">
        <v>200</v>
      </c>
      <c r="L513" s="209" t="s">
        <v>2670</v>
      </c>
      <c r="M513" s="209" t="s">
        <v>2679</v>
      </c>
      <c r="N513" s="209" t="s">
        <v>206</v>
      </c>
      <c r="O513" s="152" t="s">
        <v>207</v>
      </c>
      <c r="P513" s="90"/>
      <c r="Q513" s="140" t="s">
        <v>207</v>
      </c>
      <c r="R513" s="90"/>
      <c r="S513" s="140" t="s">
        <v>207</v>
      </c>
      <c r="T513" s="90"/>
      <c r="U513" s="140" t="s">
        <v>207</v>
      </c>
      <c r="V513" s="90"/>
      <c r="W513" s="140" t="s">
        <v>207</v>
      </c>
      <c r="X513" s="90"/>
      <c r="Y513" s="140" t="s">
        <v>207</v>
      </c>
      <c r="Z513" s="177" t="str">
        <f t="shared" si="27"/>
        <v>C</v>
      </c>
      <c r="AA513" s="190" t="str">
        <f t="shared" si="26"/>
        <v>UTILIZOU O PDA CORRETAMENTE</v>
      </c>
      <c r="AB513" s="90" t="s">
        <v>207</v>
      </c>
      <c r="AC513" s="156" t="s">
        <v>36</v>
      </c>
      <c r="AD513" s="145" t="str">
        <f t="shared" si="28"/>
        <v>SÃO PAULO</v>
      </c>
      <c r="AE513" s="92" t="s">
        <v>79</v>
      </c>
    </row>
    <row r="514" spans="1:31" ht="30" customHeight="1">
      <c r="A514" s="208" t="s">
        <v>198</v>
      </c>
      <c r="B514" s="258">
        <v>2621358172</v>
      </c>
      <c r="C514" s="209" t="s">
        <v>1923</v>
      </c>
      <c r="D514" s="209" t="s">
        <v>79</v>
      </c>
      <c r="E514" s="209" t="s">
        <v>35</v>
      </c>
      <c r="F514" s="209" t="s">
        <v>394</v>
      </c>
      <c r="G514" s="209">
        <v>183</v>
      </c>
      <c r="H514" s="209" t="s">
        <v>208</v>
      </c>
      <c r="I514" s="209" t="s">
        <v>395</v>
      </c>
      <c r="J514" s="209" t="s">
        <v>1915</v>
      </c>
      <c r="K514" s="209" t="s">
        <v>2060</v>
      </c>
      <c r="L514" s="209" t="s">
        <v>2680</v>
      </c>
      <c r="M514" s="209" t="s">
        <v>2681</v>
      </c>
      <c r="N514" s="209" t="s">
        <v>1925</v>
      </c>
      <c r="O514" s="152" t="s">
        <v>214</v>
      </c>
      <c r="P514" s="90"/>
      <c r="Q514" s="140" t="s">
        <v>214</v>
      </c>
      <c r="R514" s="90"/>
      <c r="S514" s="140" t="s">
        <v>214</v>
      </c>
      <c r="T514" s="90"/>
      <c r="U514" s="140" t="s">
        <v>214</v>
      </c>
      <c r="V514" s="90"/>
      <c r="W514" s="140" t="s">
        <v>214</v>
      </c>
      <c r="X514" s="90"/>
      <c r="Y514" s="140" t="s">
        <v>207</v>
      </c>
      <c r="Z514" s="177" t="str">
        <f t="shared" si="27"/>
        <v>NC</v>
      </c>
      <c r="AA514" s="190" t="str">
        <f t="shared" ref="AA514:AA577" si="29">IF(AND(Y514="C",Z514="C"),"UTILIZOU O PDA CORRETAMENTE",IF(AND(Y514="C",Z514="NC"),"UTILIZOU O PDA CORRETAMENTE. NÃO HÁ FOTOS DE TODAS AS ETAPAS",IF(AND(Y514="NC",Z514="NC"),"NÃO UTILIZOU O PDA",IF(AND(Y514="NA",Z514="NA"),"NÃO AVALIADO POR FALHA DE SINCRONISMO"))))</f>
        <v>UTILIZOU O PDA CORRETAMENTE. NÃO HÁ FOTOS DE TODAS AS ETAPAS</v>
      </c>
      <c r="AB514" s="90" t="s">
        <v>207</v>
      </c>
      <c r="AC514" s="156" t="s">
        <v>36</v>
      </c>
      <c r="AD514" s="145" t="str">
        <f t="shared" si="28"/>
        <v>SÃO PAULO</v>
      </c>
      <c r="AE514" s="92" t="s">
        <v>79</v>
      </c>
    </row>
    <row r="515" spans="1:31" ht="30" customHeight="1">
      <c r="A515" s="208" t="s">
        <v>198</v>
      </c>
      <c r="B515" s="258">
        <v>2621359929</v>
      </c>
      <c r="C515" s="209" t="s">
        <v>1923</v>
      </c>
      <c r="D515" s="209" t="s">
        <v>79</v>
      </c>
      <c r="E515" s="209" t="s">
        <v>35</v>
      </c>
      <c r="F515" s="209" t="s">
        <v>1460</v>
      </c>
      <c r="G515" s="209">
        <v>69</v>
      </c>
      <c r="H515" s="209" t="s">
        <v>208</v>
      </c>
      <c r="I515" s="209" t="s">
        <v>701</v>
      </c>
      <c r="J515" s="209" t="s">
        <v>1915</v>
      </c>
      <c r="K515" s="209" t="s">
        <v>2060</v>
      </c>
      <c r="L515" s="209" t="s">
        <v>2682</v>
      </c>
      <c r="M515" s="209" t="s">
        <v>2680</v>
      </c>
      <c r="N515" s="209" t="s">
        <v>1925</v>
      </c>
      <c r="O515" s="152" t="s">
        <v>214</v>
      </c>
      <c r="P515" s="90"/>
      <c r="Q515" s="140" t="s">
        <v>214</v>
      </c>
      <c r="R515" s="90"/>
      <c r="S515" s="140" t="s">
        <v>214</v>
      </c>
      <c r="T515" s="90"/>
      <c r="U515" s="140" t="s">
        <v>214</v>
      </c>
      <c r="V515" s="90"/>
      <c r="W515" s="140" t="s">
        <v>214</v>
      </c>
      <c r="X515" s="90"/>
      <c r="Y515" s="140" t="s">
        <v>207</v>
      </c>
      <c r="Z515" s="177" t="str">
        <f t="shared" ref="Z515:Z578" si="30">IF(AND(O515="",Q515="",S515="",U515="",W515=""),"",IF(OR(AND(O515&lt;&gt;"NA",O515&lt;&gt;"C",O515&lt;&gt;"NC",O515&lt;&gt;"SF",O515&lt;&gt;""),AND(Q515&lt;&gt;"NA",Q515&lt;&gt;"C",Q515&lt;&gt;"NC",Q515&lt;&gt;"SF",Q515&lt;&gt;""),AND(S515&lt;&gt;"NA",S515&lt;&gt;"C",S515&lt;&gt;"NC",S515&lt;&gt;"SF",S515&lt;&gt;""),AND(U515&lt;&gt;"NA",U515&lt;&gt;"C",U515&lt;&gt;"NC",U515&lt;&gt;"SF",U515&lt;&gt;""),AND(W515&lt;&gt;"NA",W515&lt;&gt;"C",W515&lt;&gt;"NC",W515&lt;&gt;"SF",W515&lt;&gt;"")),"FALSO",IF(AND(O515="NA",Q515="NA",S515="NA",U515="NA",W515="NA"),"NA",IF(OR(O515="NC",Q515="NC",S515="NC",U515="NC",W515="NC",O515="SF",Q515="SF",S515="SF",U515="SF",W515="SF"),"NC",IF(OR(O515="C",Q515="C",S515="C",U515="C",W515="C"),"C","")))))</f>
        <v>NC</v>
      </c>
      <c r="AA515" s="190" t="str">
        <f t="shared" si="29"/>
        <v>UTILIZOU O PDA CORRETAMENTE. NÃO HÁ FOTOS DE TODAS AS ETAPAS</v>
      </c>
      <c r="AB515" s="90" t="s">
        <v>207</v>
      </c>
      <c r="AC515" s="156" t="s">
        <v>36</v>
      </c>
      <c r="AD515" s="145" t="str">
        <f t="shared" si="28"/>
        <v>SÃO PAULO</v>
      </c>
      <c r="AE515" s="92" t="s">
        <v>79</v>
      </c>
    </row>
    <row r="516" spans="1:31" ht="30" customHeight="1">
      <c r="A516" s="208" t="s">
        <v>198</v>
      </c>
      <c r="B516" s="258">
        <v>2621357416</v>
      </c>
      <c r="C516" s="209" t="s">
        <v>1923</v>
      </c>
      <c r="D516" s="209" t="s">
        <v>79</v>
      </c>
      <c r="E516" s="209" t="s">
        <v>35</v>
      </c>
      <c r="F516" s="209" t="s">
        <v>394</v>
      </c>
      <c r="G516" s="209">
        <v>183</v>
      </c>
      <c r="H516" s="209" t="s">
        <v>257</v>
      </c>
      <c r="I516" s="209" t="s">
        <v>395</v>
      </c>
      <c r="J516" s="209" t="s">
        <v>1915</v>
      </c>
      <c r="K516" s="209" t="s">
        <v>2060</v>
      </c>
      <c r="L516" s="209" t="s">
        <v>2681</v>
      </c>
      <c r="M516" s="209" t="s">
        <v>2683</v>
      </c>
      <c r="N516" s="209" t="s">
        <v>1925</v>
      </c>
      <c r="O516" s="152" t="s">
        <v>207</v>
      </c>
      <c r="P516" s="90"/>
      <c r="Q516" s="140" t="s">
        <v>207</v>
      </c>
      <c r="R516" s="90"/>
      <c r="S516" s="140" t="s">
        <v>214</v>
      </c>
      <c r="T516" s="90"/>
      <c r="U516" s="140" t="s">
        <v>214</v>
      </c>
      <c r="V516" s="90"/>
      <c r="W516" s="140" t="s">
        <v>214</v>
      </c>
      <c r="X516" s="90"/>
      <c r="Y516" s="140" t="s">
        <v>207</v>
      </c>
      <c r="Z516" s="177" t="str">
        <f t="shared" si="30"/>
        <v>NC</v>
      </c>
      <c r="AA516" s="190" t="str">
        <f t="shared" si="29"/>
        <v>UTILIZOU O PDA CORRETAMENTE. NÃO HÁ FOTOS DE TODAS AS ETAPAS</v>
      </c>
      <c r="AB516" s="90"/>
      <c r="AC516" s="156" t="s">
        <v>36</v>
      </c>
      <c r="AD516" s="145" t="str">
        <f t="shared" si="28"/>
        <v>SÃO PAULO</v>
      </c>
      <c r="AE516" s="92" t="s">
        <v>79</v>
      </c>
    </row>
    <row r="517" spans="1:31" ht="30" customHeight="1">
      <c r="A517" s="208" t="s">
        <v>198</v>
      </c>
      <c r="B517" s="258">
        <v>2621356714</v>
      </c>
      <c r="C517" s="209" t="s">
        <v>1923</v>
      </c>
      <c r="D517" s="209" t="s">
        <v>79</v>
      </c>
      <c r="E517" s="209" t="s">
        <v>35</v>
      </c>
      <c r="F517" s="209" t="s">
        <v>572</v>
      </c>
      <c r="G517" s="209">
        <v>2132</v>
      </c>
      <c r="H517" s="209" t="s">
        <v>208</v>
      </c>
      <c r="I517" s="209" t="s">
        <v>1188</v>
      </c>
      <c r="J517" s="209" t="s">
        <v>1915</v>
      </c>
      <c r="K517" s="209" t="s">
        <v>200</v>
      </c>
      <c r="L517" s="209" t="s">
        <v>1332</v>
      </c>
      <c r="M517" s="209" t="s">
        <v>2684</v>
      </c>
      <c r="N517" s="209" t="s">
        <v>1931</v>
      </c>
      <c r="O517" s="152" t="s">
        <v>207</v>
      </c>
      <c r="P517" s="90"/>
      <c r="Q517" s="140" t="s">
        <v>207</v>
      </c>
      <c r="R517" s="90"/>
      <c r="S517" s="140" t="s">
        <v>214</v>
      </c>
      <c r="T517" s="90"/>
      <c r="U517" s="140" t="s">
        <v>214</v>
      </c>
      <c r="V517" s="90"/>
      <c r="W517" s="140" t="s">
        <v>207</v>
      </c>
      <c r="X517" s="90"/>
      <c r="Y517" s="140" t="s">
        <v>207</v>
      </c>
      <c r="Z517" s="177" t="str">
        <f t="shared" si="30"/>
        <v>NC</v>
      </c>
      <c r="AA517" s="190" t="str">
        <f t="shared" si="29"/>
        <v>UTILIZOU O PDA CORRETAMENTE. NÃO HÁ FOTOS DE TODAS AS ETAPAS</v>
      </c>
      <c r="AB517" s="90"/>
      <c r="AC517" s="156" t="s">
        <v>36</v>
      </c>
      <c r="AD517" s="145" t="str">
        <f t="shared" si="28"/>
        <v>SÃO PAULO</v>
      </c>
      <c r="AE517" s="92" t="s">
        <v>79</v>
      </c>
    </row>
    <row r="518" spans="1:31" ht="30" customHeight="1">
      <c r="A518" s="208" t="s">
        <v>198</v>
      </c>
      <c r="B518" s="258">
        <v>2621302076</v>
      </c>
      <c r="C518" s="209" t="s">
        <v>1923</v>
      </c>
      <c r="D518" s="209" t="s">
        <v>79</v>
      </c>
      <c r="E518" s="209" t="s">
        <v>35</v>
      </c>
      <c r="F518" s="209" t="s">
        <v>659</v>
      </c>
      <c r="G518" s="209">
        <v>11</v>
      </c>
      <c r="H518" s="209" t="s">
        <v>508</v>
      </c>
      <c r="I518" s="209" t="s">
        <v>536</v>
      </c>
      <c r="J518" s="209" t="s">
        <v>1915</v>
      </c>
      <c r="K518" s="209" t="s">
        <v>2458</v>
      </c>
      <c r="L518" s="209" t="s">
        <v>2685</v>
      </c>
      <c r="M518" s="209" t="s">
        <v>2686</v>
      </c>
      <c r="N518" s="209" t="s">
        <v>1919</v>
      </c>
      <c r="O518" s="152" t="s">
        <v>207</v>
      </c>
      <c r="P518" s="90"/>
      <c r="Q518" s="140" t="s">
        <v>214</v>
      </c>
      <c r="R518" s="90"/>
      <c r="S518" s="140" t="s">
        <v>214</v>
      </c>
      <c r="T518" s="90"/>
      <c r="U518" s="140" t="s">
        <v>214</v>
      </c>
      <c r="V518" s="90"/>
      <c r="W518" s="140" t="s">
        <v>207</v>
      </c>
      <c r="X518" s="90"/>
      <c r="Y518" s="140" t="s">
        <v>207</v>
      </c>
      <c r="Z518" s="177" t="str">
        <f t="shared" si="30"/>
        <v>NC</v>
      </c>
      <c r="AA518" s="190" t="str">
        <f t="shared" si="29"/>
        <v>UTILIZOU O PDA CORRETAMENTE. NÃO HÁ FOTOS DE TODAS AS ETAPAS</v>
      </c>
      <c r="AB518" s="90" t="s">
        <v>207</v>
      </c>
      <c r="AC518" s="156" t="s">
        <v>36</v>
      </c>
      <c r="AD518" s="145" t="str">
        <f t="shared" si="28"/>
        <v>SÃO PAULO</v>
      </c>
      <c r="AE518" s="92" t="s">
        <v>79</v>
      </c>
    </row>
    <row r="519" spans="1:31" ht="30" customHeight="1">
      <c r="A519" s="208" t="s">
        <v>198</v>
      </c>
      <c r="B519" s="258">
        <v>2621364606</v>
      </c>
      <c r="C519" s="209" t="s">
        <v>1923</v>
      </c>
      <c r="D519" s="209" t="s">
        <v>79</v>
      </c>
      <c r="E519" s="209" t="s">
        <v>35</v>
      </c>
      <c r="F519" s="209" t="s">
        <v>2687</v>
      </c>
      <c r="G519" s="209">
        <v>350</v>
      </c>
      <c r="H519" s="209" t="s">
        <v>1081</v>
      </c>
      <c r="I519" s="209" t="s">
        <v>1507</v>
      </c>
      <c r="J519" s="209" t="s">
        <v>1915</v>
      </c>
      <c r="K519" s="209" t="s">
        <v>2688</v>
      </c>
      <c r="L519" s="209" t="s">
        <v>2689</v>
      </c>
      <c r="M519" s="209" t="s">
        <v>1316</v>
      </c>
      <c r="N519" s="209" t="s">
        <v>2668</v>
      </c>
      <c r="O519" s="152" t="s">
        <v>207</v>
      </c>
      <c r="P519" s="90"/>
      <c r="Q519" s="140" t="s">
        <v>214</v>
      </c>
      <c r="R519" s="90"/>
      <c r="S519" s="140" t="s">
        <v>207</v>
      </c>
      <c r="T519" s="90"/>
      <c r="U519" s="140" t="s">
        <v>207</v>
      </c>
      <c r="V519" s="90"/>
      <c r="W519" s="140" t="s">
        <v>207</v>
      </c>
      <c r="X519" s="90"/>
      <c r="Y519" s="140" t="s">
        <v>207</v>
      </c>
      <c r="Z519" s="177" t="str">
        <f t="shared" si="30"/>
        <v>NC</v>
      </c>
      <c r="AA519" s="190" t="str">
        <f t="shared" si="29"/>
        <v>UTILIZOU O PDA CORRETAMENTE. NÃO HÁ FOTOS DE TODAS AS ETAPAS</v>
      </c>
      <c r="AB519" s="90"/>
      <c r="AC519" s="156" t="s">
        <v>36</v>
      </c>
      <c r="AD519" s="145" t="str">
        <f t="shared" si="28"/>
        <v>SÃO PAULO</v>
      </c>
      <c r="AE519" s="92" t="s">
        <v>79</v>
      </c>
    </row>
    <row r="520" spans="1:31" ht="30" customHeight="1">
      <c r="A520" s="208" t="s">
        <v>198</v>
      </c>
      <c r="B520" s="258">
        <v>2621358840</v>
      </c>
      <c r="C520" s="209" t="s">
        <v>1923</v>
      </c>
      <c r="D520" s="209" t="s">
        <v>79</v>
      </c>
      <c r="E520" s="209" t="s">
        <v>35</v>
      </c>
      <c r="F520" s="209" t="s">
        <v>2690</v>
      </c>
      <c r="G520" s="209">
        <v>143</v>
      </c>
      <c r="H520" s="209" t="s">
        <v>208</v>
      </c>
      <c r="I520" s="209" t="s">
        <v>271</v>
      </c>
      <c r="J520" s="209" t="s">
        <v>1915</v>
      </c>
      <c r="K520" s="209" t="s">
        <v>2691</v>
      </c>
      <c r="L520" s="209" t="s">
        <v>2692</v>
      </c>
      <c r="M520" s="209" t="s">
        <v>2693</v>
      </c>
      <c r="N520" s="209" t="s">
        <v>2668</v>
      </c>
      <c r="O520" s="152" t="s">
        <v>207</v>
      </c>
      <c r="P520" s="90"/>
      <c r="Q520" s="140" t="s">
        <v>214</v>
      </c>
      <c r="R520" s="90"/>
      <c r="S520" s="140" t="s">
        <v>207</v>
      </c>
      <c r="T520" s="90"/>
      <c r="U520" s="140" t="s">
        <v>207</v>
      </c>
      <c r="V520" s="90"/>
      <c r="W520" s="140" t="s">
        <v>207</v>
      </c>
      <c r="X520" s="90"/>
      <c r="Y520" s="140" t="s">
        <v>207</v>
      </c>
      <c r="Z520" s="177" t="str">
        <f t="shared" si="30"/>
        <v>NC</v>
      </c>
      <c r="AA520" s="190" t="str">
        <f t="shared" si="29"/>
        <v>UTILIZOU O PDA CORRETAMENTE. NÃO HÁ FOTOS DE TODAS AS ETAPAS</v>
      </c>
      <c r="AB520" s="90"/>
      <c r="AC520" s="156" t="s">
        <v>36</v>
      </c>
      <c r="AD520" s="145" t="str">
        <f t="shared" si="28"/>
        <v>SÃO PAULO</v>
      </c>
      <c r="AE520" s="92" t="s">
        <v>79</v>
      </c>
    </row>
    <row r="521" spans="1:31" ht="30" customHeight="1">
      <c r="A521" s="208" t="s">
        <v>198</v>
      </c>
      <c r="B521" s="258">
        <v>2621359992</v>
      </c>
      <c r="C521" s="209" t="s">
        <v>1923</v>
      </c>
      <c r="D521" s="209" t="s">
        <v>79</v>
      </c>
      <c r="E521" s="209" t="s">
        <v>35</v>
      </c>
      <c r="F521" s="209" t="s">
        <v>2694</v>
      </c>
      <c r="G521" s="209">
        <v>9</v>
      </c>
      <c r="H521" s="209" t="s">
        <v>200</v>
      </c>
      <c r="I521" s="209" t="s">
        <v>2020</v>
      </c>
      <c r="J521" s="209" t="s">
        <v>1915</v>
      </c>
      <c r="K521" s="209" t="s">
        <v>2695</v>
      </c>
      <c r="L521" s="209" t="s">
        <v>1833</v>
      </c>
      <c r="M521" s="209" t="s">
        <v>2696</v>
      </c>
      <c r="N521" s="209" t="s">
        <v>1944</v>
      </c>
      <c r="O521" s="152" t="s">
        <v>207</v>
      </c>
      <c r="P521" s="90"/>
      <c r="Q521" s="140" t="s">
        <v>207</v>
      </c>
      <c r="R521" s="90"/>
      <c r="S521" s="140" t="s">
        <v>207</v>
      </c>
      <c r="T521" s="90"/>
      <c r="U521" s="140" t="s">
        <v>214</v>
      </c>
      <c r="V521" s="90"/>
      <c r="W521" s="140" t="s">
        <v>207</v>
      </c>
      <c r="X521" s="90"/>
      <c r="Y521" s="140" t="s">
        <v>207</v>
      </c>
      <c r="Z521" s="177" t="str">
        <f t="shared" si="30"/>
        <v>NC</v>
      </c>
      <c r="AA521" s="190" t="str">
        <f t="shared" si="29"/>
        <v>UTILIZOU O PDA CORRETAMENTE. NÃO HÁ FOTOS DE TODAS AS ETAPAS</v>
      </c>
      <c r="AB521" s="90"/>
      <c r="AC521" s="156" t="s">
        <v>36</v>
      </c>
      <c r="AD521" s="145" t="str">
        <f t="shared" si="28"/>
        <v>SÃO PAULO</v>
      </c>
      <c r="AE521" s="92" t="s">
        <v>79</v>
      </c>
    </row>
    <row r="522" spans="1:31" ht="30" customHeight="1">
      <c r="A522" s="208" t="s">
        <v>198</v>
      </c>
      <c r="B522" s="258">
        <v>2621361649</v>
      </c>
      <c r="C522" s="209" t="s">
        <v>1923</v>
      </c>
      <c r="D522" s="209" t="s">
        <v>79</v>
      </c>
      <c r="E522" s="209" t="s">
        <v>35</v>
      </c>
      <c r="F522" s="209" t="s">
        <v>2697</v>
      </c>
      <c r="G522" s="209">
        <v>217</v>
      </c>
      <c r="H522" s="209" t="s">
        <v>208</v>
      </c>
      <c r="I522" s="209" t="s">
        <v>303</v>
      </c>
      <c r="J522" s="209" t="s">
        <v>1915</v>
      </c>
      <c r="K522" s="209" t="s">
        <v>2319</v>
      </c>
      <c r="L522" s="209" t="s">
        <v>2698</v>
      </c>
      <c r="M522" s="209" t="s">
        <v>2699</v>
      </c>
      <c r="N522" s="209" t="s">
        <v>1944</v>
      </c>
      <c r="O522" s="152" t="s">
        <v>207</v>
      </c>
      <c r="P522" s="90"/>
      <c r="Q522" s="140" t="s">
        <v>207</v>
      </c>
      <c r="R522" s="90"/>
      <c r="S522" s="140" t="s">
        <v>207</v>
      </c>
      <c r="T522" s="90"/>
      <c r="U522" s="140" t="s">
        <v>214</v>
      </c>
      <c r="V522" s="90"/>
      <c r="W522" s="140" t="s">
        <v>207</v>
      </c>
      <c r="X522" s="90"/>
      <c r="Y522" s="140" t="s">
        <v>207</v>
      </c>
      <c r="Z522" s="177" t="str">
        <f t="shared" si="30"/>
        <v>NC</v>
      </c>
      <c r="AA522" s="190" t="str">
        <f t="shared" si="29"/>
        <v>UTILIZOU O PDA CORRETAMENTE. NÃO HÁ FOTOS DE TODAS AS ETAPAS</v>
      </c>
      <c r="AB522" s="90"/>
      <c r="AC522" s="156" t="s">
        <v>36</v>
      </c>
      <c r="AD522" s="145" t="str">
        <f t="shared" si="28"/>
        <v>SÃO PAULO</v>
      </c>
      <c r="AE522" s="92" t="s">
        <v>79</v>
      </c>
    </row>
    <row r="523" spans="1:31" ht="30" customHeight="1">
      <c r="A523" s="208" t="s">
        <v>198</v>
      </c>
      <c r="B523" s="258">
        <v>2621356716</v>
      </c>
      <c r="C523" s="209" t="s">
        <v>1923</v>
      </c>
      <c r="D523" s="209" t="s">
        <v>79</v>
      </c>
      <c r="E523" s="209" t="s">
        <v>35</v>
      </c>
      <c r="F523" s="209" t="s">
        <v>2700</v>
      </c>
      <c r="G523" s="209">
        <v>337</v>
      </c>
      <c r="H523" s="209" t="s">
        <v>200</v>
      </c>
      <c r="I523" s="209" t="s">
        <v>300</v>
      </c>
      <c r="J523" s="209" t="s">
        <v>1915</v>
      </c>
      <c r="K523" s="209" t="s">
        <v>200</v>
      </c>
      <c r="L523" s="209" t="s">
        <v>2701</v>
      </c>
      <c r="M523" s="209" t="s">
        <v>2658</v>
      </c>
      <c r="N523" s="209" t="s">
        <v>390</v>
      </c>
      <c r="O523" s="152" t="s">
        <v>207</v>
      </c>
      <c r="P523" s="90"/>
      <c r="Q523" s="140" t="s">
        <v>214</v>
      </c>
      <c r="R523" s="90"/>
      <c r="S523" s="140" t="s">
        <v>214</v>
      </c>
      <c r="T523" s="90"/>
      <c r="U523" s="140" t="s">
        <v>214</v>
      </c>
      <c r="V523" s="90"/>
      <c r="W523" s="140" t="s">
        <v>207</v>
      </c>
      <c r="X523" s="90"/>
      <c r="Y523" s="140" t="s">
        <v>207</v>
      </c>
      <c r="Z523" s="177" t="str">
        <f t="shared" si="30"/>
        <v>NC</v>
      </c>
      <c r="AA523" s="190" t="str">
        <f t="shared" si="29"/>
        <v>UTILIZOU O PDA CORRETAMENTE. NÃO HÁ FOTOS DE TODAS AS ETAPAS</v>
      </c>
      <c r="AB523" s="90"/>
      <c r="AC523" s="156" t="s">
        <v>36</v>
      </c>
      <c r="AD523" s="145" t="str">
        <f t="shared" si="28"/>
        <v>SÃO PAULO</v>
      </c>
      <c r="AE523" s="92" t="s">
        <v>79</v>
      </c>
    </row>
    <row r="524" spans="1:31" ht="30" customHeight="1">
      <c r="A524" s="208" t="s">
        <v>198</v>
      </c>
      <c r="B524" s="258">
        <v>2621367416</v>
      </c>
      <c r="C524" s="209" t="s">
        <v>151</v>
      </c>
      <c r="D524" s="209" t="s">
        <v>140</v>
      </c>
      <c r="E524" s="209" t="s">
        <v>35</v>
      </c>
      <c r="F524" s="209" t="s">
        <v>2702</v>
      </c>
      <c r="G524" s="209">
        <v>160</v>
      </c>
      <c r="H524" s="209" t="s">
        <v>200</v>
      </c>
      <c r="I524" s="209" t="s">
        <v>256</v>
      </c>
      <c r="J524" s="209" t="s">
        <v>1966</v>
      </c>
      <c r="K524" s="209" t="s">
        <v>2688</v>
      </c>
      <c r="L524" s="209" t="s">
        <v>2703</v>
      </c>
      <c r="M524" s="209" t="s">
        <v>1348</v>
      </c>
      <c r="N524" s="209" t="s">
        <v>2668</v>
      </c>
      <c r="O524" s="152" t="s">
        <v>214</v>
      </c>
      <c r="P524" s="90"/>
      <c r="Q524" s="140" t="s">
        <v>214</v>
      </c>
      <c r="R524" s="90"/>
      <c r="S524" s="140" t="s">
        <v>214</v>
      </c>
      <c r="T524" s="90"/>
      <c r="U524" s="140" t="s">
        <v>214</v>
      </c>
      <c r="V524" s="90"/>
      <c r="W524" s="140" t="s">
        <v>214</v>
      </c>
      <c r="X524" s="90"/>
      <c r="Y524" s="140" t="s">
        <v>207</v>
      </c>
      <c r="Z524" s="177" t="str">
        <f t="shared" si="30"/>
        <v>NC</v>
      </c>
      <c r="AA524" s="190" t="str">
        <f t="shared" si="29"/>
        <v>UTILIZOU O PDA CORRETAMENTE. NÃO HÁ FOTOS DE TODAS AS ETAPAS</v>
      </c>
      <c r="AB524" s="90" t="s">
        <v>207</v>
      </c>
      <c r="AC524" s="156" t="s">
        <v>36</v>
      </c>
      <c r="AD524" s="145" t="str">
        <f t="shared" si="28"/>
        <v>SÃO PAULO</v>
      </c>
      <c r="AE524" s="92" t="s">
        <v>79</v>
      </c>
    </row>
    <row r="525" spans="1:31" ht="30" customHeight="1">
      <c r="A525" s="208" t="s">
        <v>198</v>
      </c>
      <c r="B525" s="258">
        <v>2621370130</v>
      </c>
      <c r="C525" s="209" t="s">
        <v>1923</v>
      </c>
      <c r="D525" s="209" t="s">
        <v>79</v>
      </c>
      <c r="E525" s="209" t="s">
        <v>35</v>
      </c>
      <c r="F525" s="209" t="s">
        <v>2704</v>
      </c>
      <c r="G525" s="209">
        <v>36</v>
      </c>
      <c r="H525" s="209" t="s">
        <v>208</v>
      </c>
      <c r="I525" s="209" t="s">
        <v>917</v>
      </c>
      <c r="J525" s="209" t="s">
        <v>1915</v>
      </c>
      <c r="K525" s="209" t="s">
        <v>200</v>
      </c>
      <c r="L525" s="209" t="s">
        <v>2705</v>
      </c>
      <c r="M525" s="209" t="s">
        <v>2706</v>
      </c>
      <c r="N525" s="209" t="s">
        <v>1916</v>
      </c>
      <c r="O525" s="152" t="s">
        <v>207</v>
      </c>
      <c r="P525" s="90"/>
      <c r="Q525" s="140" t="s">
        <v>207</v>
      </c>
      <c r="R525" s="90"/>
      <c r="S525" s="140" t="s">
        <v>214</v>
      </c>
      <c r="T525" s="90"/>
      <c r="U525" s="140" t="s">
        <v>214</v>
      </c>
      <c r="V525" s="90"/>
      <c r="W525" s="140" t="s">
        <v>214</v>
      </c>
      <c r="X525" s="90"/>
      <c r="Y525" s="140" t="s">
        <v>207</v>
      </c>
      <c r="Z525" s="177" t="str">
        <f t="shared" si="30"/>
        <v>NC</v>
      </c>
      <c r="AA525" s="190" t="str">
        <f t="shared" si="29"/>
        <v>UTILIZOU O PDA CORRETAMENTE. NÃO HÁ FOTOS DE TODAS AS ETAPAS</v>
      </c>
      <c r="AB525" s="90"/>
      <c r="AC525" s="156" t="s">
        <v>36</v>
      </c>
      <c r="AD525" s="145" t="str">
        <f t="shared" si="28"/>
        <v>SÃO PAULO</v>
      </c>
      <c r="AE525" s="92" t="s">
        <v>79</v>
      </c>
    </row>
    <row r="526" spans="1:31" ht="30" customHeight="1">
      <c r="A526" s="208" t="s">
        <v>198</v>
      </c>
      <c r="B526" s="258">
        <v>2621369987</v>
      </c>
      <c r="C526" s="209" t="s">
        <v>1923</v>
      </c>
      <c r="D526" s="209" t="s">
        <v>79</v>
      </c>
      <c r="E526" s="209" t="s">
        <v>35</v>
      </c>
      <c r="F526" s="209" t="s">
        <v>2707</v>
      </c>
      <c r="G526" s="209">
        <v>118</v>
      </c>
      <c r="H526" s="209" t="s">
        <v>380</v>
      </c>
      <c r="I526" s="209" t="s">
        <v>392</v>
      </c>
      <c r="J526" s="209" t="s">
        <v>1915</v>
      </c>
      <c r="K526" s="209" t="s">
        <v>200</v>
      </c>
      <c r="L526" s="209" t="s">
        <v>2708</v>
      </c>
      <c r="M526" s="209" t="s">
        <v>2709</v>
      </c>
      <c r="N526" s="209" t="s">
        <v>1933</v>
      </c>
      <c r="O526" s="152" t="s">
        <v>207</v>
      </c>
      <c r="P526" s="90"/>
      <c r="Q526" s="140" t="s">
        <v>207</v>
      </c>
      <c r="R526" s="90"/>
      <c r="S526" s="140" t="s">
        <v>207</v>
      </c>
      <c r="T526" s="90"/>
      <c r="U526" s="140" t="s">
        <v>207</v>
      </c>
      <c r="V526" s="90"/>
      <c r="W526" s="140" t="s">
        <v>207</v>
      </c>
      <c r="X526" s="90"/>
      <c r="Y526" s="140" t="s">
        <v>207</v>
      </c>
      <c r="Z526" s="177" t="str">
        <f t="shared" si="30"/>
        <v>C</v>
      </c>
      <c r="AA526" s="190" t="str">
        <f t="shared" si="29"/>
        <v>UTILIZOU O PDA CORRETAMENTE</v>
      </c>
      <c r="AB526" s="90" t="s">
        <v>207</v>
      </c>
      <c r="AC526" s="156" t="s">
        <v>36</v>
      </c>
      <c r="AD526" s="145" t="str">
        <f t="shared" si="28"/>
        <v>SÃO PAULO</v>
      </c>
      <c r="AE526" s="92" t="s">
        <v>79</v>
      </c>
    </row>
    <row r="527" spans="1:31" ht="30" customHeight="1">
      <c r="A527" s="208" t="s">
        <v>198</v>
      </c>
      <c r="B527" s="258">
        <v>2621369511</v>
      </c>
      <c r="C527" s="209" t="s">
        <v>1923</v>
      </c>
      <c r="D527" s="209" t="s">
        <v>79</v>
      </c>
      <c r="E527" s="209" t="s">
        <v>35</v>
      </c>
      <c r="F527" s="209" t="s">
        <v>2710</v>
      </c>
      <c r="G527" s="209">
        <v>228</v>
      </c>
      <c r="H527" s="209" t="s">
        <v>200</v>
      </c>
      <c r="I527" s="209" t="s">
        <v>348</v>
      </c>
      <c r="J527" s="209" t="s">
        <v>1915</v>
      </c>
      <c r="K527" s="209" t="s">
        <v>2688</v>
      </c>
      <c r="L527" s="209" t="s">
        <v>2711</v>
      </c>
      <c r="M527" s="209" t="s">
        <v>2712</v>
      </c>
      <c r="N527" s="209" t="s">
        <v>2668</v>
      </c>
      <c r="O527" s="152" t="s">
        <v>207</v>
      </c>
      <c r="P527" s="90"/>
      <c r="Q527" s="140" t="s">
        <v>207</v>
      </c>
      <c r="R527" s="90"/>
      <c r="S527" s="140" t="s">
        <v>207</v>
      </c>
      <c r="T527" s="90"/>
      <c r="U527" s="140" t="s">
        <v>207</v>
      </c>
      <c r="V527" s="90"/>
      <c r="W527" s="140" t="s">
        <v>215</v>
      </c>
      <c r="X527" s="90" t="s">
        <v>269</v>
      </c>
      <c r="Y527" s="140" t="s">
        <v>207</v>
      </c>
      <c r="Z527" s="177" t="str">
        <f t="shared" si="30"/>
        <v>NC</v>
      </c>
      <c r="AA527" s="190" t="str">
        <f t="shared" si="29"/>
        <v>UTILIZOU O PDA CORRETAMENTE. NÃO HÁ FOTOS DE TODAS AS ETAPAS</v>
      </c>
      <c r="AB527" s="90"/>
      <c r="AC527" s="156" t="s">
        <v>36</v>
      </c>
      <c r="AD527" s="145" t="str">
        <f t="shared" si="28"/>
        <v>SÃO PAULO</v>
      </c>
      <c r="AE527" s="92" t="s">
        <v>79</v>
      </c>
    </row>
    <row r="528" spans="1:31" ht="30" customHeight="1">
      <c r="A528" s="208" t="s">
        <v>198</v>
      </c>
      <c r="B528" s="258">
        <v>2621370433</v>
      </c>
      <c r="C528" s="209" t="s">
        <v>1923</v>
      </c>
      <c r="D528" s="209" t="s">
        <v>79</v>
      </c>
      <c r="E528" s="209" t="s">
        <v>35</v>
      </c>
      <c r="F528" s="209" t="s">
        <v>2713</v>
      </c>
      <c r="G528" s="209">
        <v>31</v>
      </c>
      <c r="H528" s="209" t="s">
        <v>208</v>
      </c>
      <c r="I528" s="209" t="s">
        <v>515</v>
      </c>
      <c r="J528" s="209" t="s">
        <v>1915</v>
      </c>
      <c r="K528" s="209" t="s">
        <v>200</v>
      </c>
      <c r="L528" s="209" t="s">
        <v>1319</v>
      </c>
      <c r="M528" s="209" t="s">
        <v>1319</v>
      </c>
      <c r="N528" s="209" t="s">
        <v>1931</v>
      </c>
      <c r="O528" s="152" t="s">
        <v>207</v>
      </c>
      <c r="P528" s="90"/>
      <c r="Q528" s="140" t="s">
        <v>207</v>
      </c>
      <c r="R528" s="90"/>
      <c r="S528" s="140" t="s">
        <v>214</v>
      </c>
      <c r="T528" s="90"/>
      <c r="U528" s="140" t="s">
        <v>214</v>
      </c>
      <c r="V528" s="90"/>
      <c r="W528" s="140" t="s">
        <v>207</v>
      </c>
      <c r="X528" s="90"/>
      <c r="Y528" s="140" t="s">
        <v>207</v>
      </c>
      <c r="Z528" s="177" t="str">
        <f t="shared" si="30"/>
        <v>NC</v>
      </c>
      <c r="AA528" s="190" t="str">
        <f t="shared" si="29"/>
        <v>UTILIZOU O PDA CORRETAMENTE. NÃO HÁ FOTOS DE TODAS AS ETAPAS</v>
      </c>
      <c r="AB528" s="90"/>
      <c r="AC528" s="156" t="s">
        <v>36</v>
      </c>
      <c r="AD528" s="145" t="str">
        <f t="shared" si="28"/>
        <v>SÃO PAULO</v>
      </c>
      <c r="AE528" s="92" t="s">
        <v>79</v>
      </c>
    </row>
    <row r="529" spans="1:31" ht="30" customHeight="1">
      <c r="A529" s="208" t="s">
        <v>198</v>
      </c>
      <c r="B529" s="258">
        <v>2621371463</v>
      </c>
      <c r="C529" s="209" t="s">
        <v>1923</v>
      </c>
      <c r="D529" s="209" t="s">
        <v>79</v>
      </c>
      <c r="E529" s="209" t="s">
        <v>35</v>
      </c>
      <c r="F529" s="209" t="s">
        <v>2714</v>
      </c>
      <c r="G529" s="209">
        <v>528</v>
      </c>
      <c r="H529" s="209" t="s">
        <v>208</v>
      </c>
      <c r="I529" s="209" t="s">
        <v>220</v>
      </c>
      <c r="J529" s="209" t="s">
        <v>1915</v>
      </c>
      <c r="K529" s="209" t="s">
        <v>200</v>
      </c>
      <c r="L529" s="209" t="s">
        <v>2706</v>
      </c>
      <c r="M529" s="209" t="s">
        <v>2715</v>
      </c>
      <c r="N529" s="209" t="s">
        <v>1916</v>
      </c>
      <c r="O529" s="152" t="s">
        <v>207</v>
      </c>
      <c r="P529" s="90"/>
      <c r="Q529" s="140" t="s">
        <v>214</v>
      </c>
      <c r="R529" s="90"/>
      <c r="S529" s="140" t="s">
        <v>207</v>
      </c>
      <c r="T529" s="90"/>
      <c r="U529" s="140" t="s">
        <v>207</v>
      </c>
      <c r="V529" s="90"/>
      <c r="W529" s="140" t="s">
        <v>207</v>
      </c>
      <c r="X529" s="90"/>
      <c r="Y529" s="140" t="s">
        <v>207</v>
      </c>
      <c r="Z529" s="177" t="str">
        <f t="shared" si="30"/>
        <v>NC</v>
      </c>
      <c r="AA529" s="190" t="str">
        <f t="shared" si="29"/>
        <v>UTILIZOU O PDA CORRETAMENTE. NÃO HÁ FOTOS DE TODAS AS ETAPAS</v>
      </c>
      <c r="AB529" s="90"/>
      <c r="AC529" s="156" t="s">
        <v>36</v>
      </c>
      <c r="AD529" s="145" t="str">
        <f t="shared" si="28"/>
        <v>SÃO PAULO</v>
      </c>
      <c r="AE529" s="92" t="s">
        <v>79</v>
      </c>
    </row>
    <row r="530" spans="1:31" ht="30" customHeight="1">
      <c r="A530" s="208" t="s">
        <v>198</v>
      </c>
      <c r="B530" s="258">
        <v>2621374452</v>
      </c>
      <c r="C530" s="209" t="s">
        <v>1923</v>
      </c>
      <c r="D530" s="209" t="s">
        <v>79</v>
      </c>
      <c r="E530" s="209" t="s">
        <v>35</v>
      </c>
      <c r="F530" s="209" t="s">
        <v>1228</v>
      </c>
      <c r="G530" s="209">
        <v>295</v>
      </c>
      <c r="H530" s="209" t="s">
        <v>257</v>
      </c>
      <c r="I530" s="209" t="s">
        <v>314</v>
      </c>
      <c r="J530" s="209" t="s">
        <v>1915</v>
      </c>
      <c r="K530" s="209" t="s">
        <v>200</v>
      </c>
      <c r="L530" s="209" t="s">
        <v>2716</v>
      </c>
      <c r="M530" s="209" t="s">
        <v>2717</v>
      </c>
      <c r="N530" s="209" t="s">
        <v>517</v>
      </c>
      <c r="O530" s="152" t="s">
        <v>207</v>
      </c>
      <c r="P530" s="90"/>
      <c r="Q530" s="140" t="s">
        <v>207</v>
      </c>
      <c r="R530" s="90"/>
      <c r="S530" s="140" t="s">
        <v>214</v>
      </c>
      <c r="T530" s="90"/>
      <c r="U530" s="140" t="s">
        <v>214</v>
      </c>
      <c r="V530" s="90"/>
      <c r="W530" s="140" t="s">
        <v>214</v>
      </c>
      <c r="X530" s="90"/>
      <c r="Y530" s="140" t="s">
        <v>207</v>
      </c>
      <c r="Z530" s="177" t="str">
        <f t="shared" si="30"/>
        <v>NC</v>
      </c>
      <c r="AA530" s="190" t="str">
        <f t="shared" si="29"/>
        <v>UTILIZOU O PDA CORRETAMENTE. NÃO HÁ FOTOS DE TODAS AS ETAPAS</v>
      </c>
      <c r="AB530" s="90"/>
      <c r="AC530" s="156" t="s">
        <v>36</v>
      </c>
      <c r="AD530" s="145" t="str">
        <f t="shared" si="28"/>
        <v>SÃO PAULO</v>
      </c>
      <c r="AE530" s="92" t="s">
        <v>79</v>
      </c>
    </row>
    <row r="531" spans="1:31" ht="30" customHeight="1">
      <c r="A531" s="153" t="s">
        <v>198</v>
      </c>
      <c r="B531" s="257">
        <v>2621381411</v>
      </c>
      <c r="C531" s="207" t="s">
        <v>142</v>
      </c>
      <c r="D531" s="207" t="s">
        <v>79</v>
      </c>
      <c r="E531" s="207" t="s">
        <v>35</v>
      </c>
      <c r="F531" s="207" t="s">
        <v>2718</v>
      </c>
      <c r="G531" s="207">
        <v>935</v>
      </c>
      <c r="H531" s="207" t="s">
        <v>487</v>
      </c>
      <c r="I531" s="207" t="s">
        <v>2072</v>
      </c>
      <c r="J531" s="207" t="s">
        <v>1915</v>
      </c>
      <c r="K531" s="207" t="s">
        <v>200</v>
      </c>
      <c r="L531" s="246">
        <v>46163.42083333333</v>
      </c>
      <c r="M531" s="246">
        <v>46163.422222222223</v>
      </c>
      <c r="N531" s="207" t="s">
        <v>1916</v>
      </c>
      <c r="O531" s="152" t="s">
        <v>207</v>
      </c>
      <c r="P531" s="90"/>
      <c r="Q531" s="140" t="s">
        <v>207</v>
      </c>
      <c r="R531" s="90"/>
      <c r="S531" s="140" t="s">
        <v>207</v>
      </c>
      <c r="T531" s="90"/>
      <c r="U531" s="140" t="s">
        <v>207</v>
      </c>
      <c r="V531" s="90"/>
      <c r="W531" s="140" t="s">
        <v>214</v>
      </c>
      <c r="X531" s="90"/>
      <c r="Y531" s="140" t="s">
        <v>207</v>
      </c>
      <c r="Z531" s="177" t="str">
        <f t="shared" si="30"/>
        <v>NC</v>
      </c>
      <c r="AA531" s="190" t="str">
        <f t="shared" si="29"/>
        <v>UTILIZOU O PDA CORRETAMENTE. NÃO HÁ FOTOS DE TODAS AS ETAPAS</v>
      </c>
      <c r="AB531" s="90" t="s">
        <v>207</v>
      </c>
      <c r="AC531" s="156" t="s">
        <v>36</v>
      </c>
      <c r="AD531" s="145" t="str">
        <f t="shared" si="28"/>
        <v>SÃO PAULO</v>
      </c>
      <c r="AE531" s="92" t="s">
        <v>79</v>
      </c>
    </row>
    <row r="532" spans="1:31" ht="30" customHeight="1">
      <c r="A532" s="208" t="s">
        <v>198</v>
      </c>
      <c r="B532" s="258">
        <v>2693803351</v>
      </c>
      <c r="C532" s="209" t="s">
        <v>143</v>
      </c>
      <c r="D532" s="209" t="s">
        <v>79</v>
      </c>
      <c r="E532" s="209" t="s">
        <v>35</v>
      </c>
      <c r="F532" s="209" t="s">
        <v>2378</v>
      </c>
      <c r="G532" s="209">
        <v>144</v>
      </c>
      <c r="H532" s="209" t="s">
        <v>2719</v>
      </c>
      <c r="I532" s="209" t="s">
        <v>497</v>
      </c>
      <c r="J532" s="209" t="s">
        <v>1915</v>
      </c>
      <c r="K532" s="209" t="s">
        <v>200</v>
      </c>
      <c r="L532" s="247">
        <v>46163.438194444447</v>
      </c>
      <c r="M532" s="247">
        <v>46163.461111111108</v>
      </c>
      <c r="N532" s="209" t="s">
        <v>1933</v>
      </c>
      <c r="O532" s="152" t="s">
        <v>207</v>
      </c>
      <c r="P532" s="90"/>
      <c r="Q532" s="140" t="s">
        <v>207</v>
      </c>
      <c r="R532" s="90"/>
      <c r="S532" s="140" t="s">
        <v>207</v>
      </c>
      <c r="T532" s="90"/>
      <c r="U532" s="140" t="s">
        <v>207</v>
      </c>
      <c r="V532" s="90"/>
      <c r="W532" s="140" t="s">
        <v>207</v>
      </c>
      <c r="X532" s="90"/>
      <c r="Y532" s="140" t="s">
        <v>207</v>
      </c>
      <c r="Z532" s="177" t="str">
        <f t="shared" si="30"/>
        <v>C</v>
      </c>
      <c r="AA532" s="190" t="str">
        <f t="shared" si="29"/>
        <v>UTILIZOU O PDA CORRETAMENTE</v>
      </c>
      <c r="AB532" s="90" t="s">
        <v>207</v>
      </c>
      <c r="AC532" s="156" t="s">
        <v>36</v>
      </c>
      <c r="AD532" s="145" t="str">
        <f t="shared" si="28"/>
        <v>SÃO PAULO</v>
      </c>
      <c r="AE532" s="92" t="s">
        <v>79</v>
      </c>
    </row>
    <row r="533" spans="1:31" ht="30" customHeight="1">
      <c r="A533" s="208" t="s">
        <v>198</v>
      </c>
      <c r="B533" s="258">
        <v>2621369727</v>
      </c>
      <c r="C533" s="209" t="s">
        <v>1923</v>
      </c>
      <c r="D533" s="209" t="s">
        <v>79</v>
      </c>
      <c r="E533" s="209" t="s">
        <v>35</v>
      </c>
      <c r="F533" s="209" t="s">
        <v>2707</v>
      </c>
      <c r="G533" s="209">
        <v>118</v>
      </c>
      <c r="H533" s="209" t="s">
        <v>1421</v>
      </c>
      <c r="I533" s="209" t="s">
        <v>392</v>
      </c>
      <c r="J533" s="209" t="s">
        <v>1915</v>
      </c>
      <c r="K533" s="209" t="s">
        <v>2720</v>
      </c>
      <c r="L533" s="247">
        <v>46163.568749999999</v>
      </c>
      <c r="M533" s="247">
        <v>46163.571527777778</v>
      </c>
      <c r="N533" s="209" t="s">
        <v>1933</v>
      </c>
      <c r="O533" s="152" t="s">
        <v>207</v>
      </c>
      <c r="P533" s="90"/>
      <c r="Q533" s="140" t="s">
        <v>214</v>
      </c>
      <c r="R533" s="90"/>
      <c r="S533" s="140" t="s">
        <v>214</v>
      </c>
      <c r="T533" s="90"/>
      <c r="U533" s="140" t="s">
        <v>214</v>
      </c>
      <c r="V533" s="90"/>
      <c r="W533" s="140" t="s">
        <v>214</v>
      </c>
      <c r="X533" s="90"/>
      <c r="Y533" s="140" t="s">
        <v>207</v>
      </c>
      <c r="Z533" s="177" t="str">
        <f t="shared" si="30"/>
        <v>NC</v>
      </c>
      <c r="AA533" s="190" t="str">
        <f t="shared" si="29"/>
        <v>UTILIZOU O PDA CORRETAMENTE. NÃO HÁ FOTOS DE TODAS AS ETAPAS</v>
      </c>
      <c r="AB533" s="90"/>
      <c r="AC533" s="156" t="s">
        <v>36</v>
      </c>
      <c r="AD533" s="145" t="str">
        <f t="shared" si="28"/>
        <v>SÃO PAULO</v>
      </c>
      <c r="AE533" s="92" t="s">
        <v>79</v>
      </c>
    </row>
    <row r="534" spans="1:31" ht="30" customHeight="1">
      <c r="A534" s="208" t="s">
        <v>198</v>
      </c>
      <c r="B534" s="258">
        <v>2693834951</v>
      </c>
      <c r="C534" s="209" t="s">
        <v>147</v>
      </c>
      <c r="D534" s="209" t="s">
        <v>79</v>
      </c>
      <c r="E534" s="209" t="s">
        <v>35</v>
      </c>
      <c r="F534" s="209" t="s">
        <v>2378</v>
      </c>
      <c r="G534" s="209">
        <v>642</v>
      </c>
      <c r="H534" s="209" t="s">
        <v>1489</v>
      </c>
      <c r="I534" s="209" t="s">
        <v>497</v>
      </c>
      <c r="J534" s="209" t="s">
        <v>1915</v>
      </c>
      <c r="K534" s="209" t="s">
        <v>200</v>
      </c>
      <c r="L534" s="247">
        <v>46163.474999999999</v>
      </c>
      <c r="M534" s="247">
        <v>46163.490277777775</v>
      </c>
      <c r="N534" s="209" t="s">
        <v>1933</v>
      </c>
      <c r="O534" s="152" t="s">
        <v>207</v>
      </c>
      <c r="P534" s="90"/>
      <c r="Q534" s="140" t="s">
        <v>207</v>
      </c>
      <c r="R534" s="90"/>
      <c r="S534" s="140" t="s">
        <v>207</v>
      </c>
      <c r="T534" s="90"/>
      <c r="U534" s="140" t="s">
        <v>207</v>
      </c>
      <c r="V534" s="90"/>
      <c r="W534" s="140" t="s">
        <v>207</v>
      </c>
      <c r="X534" s="90"/>
      <c r="Y534" s="140" t="s">
        <v>207</v>
      </c>
      <c r="Z534" s="177" t="str">
        <f t="shared" si="30"/>
        <v>C</v>
      </c>
      <c r="AA534" s="190" t="str">
        <f t="shared" si="29"/>
        <v>UTILIZOU O PDA CORRETAMENTE</v>
      </c>
      <c r="AB534" s="90" t="s">
        <v>207</v>
      </c>
      <c r="AC534" s="156" t="s">
        <v>36</v>
      </c>
      <c r="AD534" s="145" t="str">
        <f t="shared" si="28"/>
        <v>SÃO PAULO</v>
      </c>
      <c r="AE534" s="92" t="s">
        <v>79</v>
      </c>
    </row>
    <row r="535" spans="1:31" ht="30" customHeight="1">
      <c r="A535" s="208" t="s">
        <v>198</v>
      </c>
      <c r="B535" s="258">
        <v>2621396173</v>
      </c>
      <c r="C535" s="209" t="s">
        <v>142</v>
      </c>
      <c r="D535" s="209" t="s">
        <v>79</v>
      </c>
      <c r="E535" s="209" t="s">
        <v>35</v>
      </c>
      <c r="F535" s="209" t="s">
        <v>2721</v>
      </c>
      <c r="G535" s="209">
        <v>28</v>
      </c>
      <c r="H535" s="209" t="s">
        <v>200</v>
      </c>
      <c r="I535" s="209" t="s">
        <v>467</v>
      </c>
      <c r="J535" s="209" t="s">
        <v>1915</v>
      </c>
      <c r="K535" s="209" t="s">
        <v>200</v>
      </c>
      <c r="L535" s="247">
        <v>46163.405555555553</v>
      </c>
      <c r="M535" s="247">
        <v>46163.418749999997</v>
      </c>
      <c r="N535" s="209" t="s">
        <v>1933</v>
      </c>
      <c r="O535" s="152" t="s">
        <v>207</v>
      </c>
      <c r="P535" s="90"/>
      <c r="Q535" s="140" t="s">
        <v>207</v>
      </c>
      <c r="R535" s="90"/>
      <c r="S535" s="140" t="s">
        <v>214</v>
      </c>
      <c r="T535" s="90"/>
      <c r="U535" s="140" t="s">
        <v>214</v>
      </c>
      <c r="V535" s="90"/>
      <c r="W535" s="140" t="s">
        <v>207</v>
      </c>
      <c r="X535" s="90"/>
      <c r="Y535" s="140" t="s">
        <v>207</v>
      </c>
      <c r="Z535" s="177" t="str">
        <f t="shared" si="30"/>
        <v>NC</v>
      </c>
      <c r="AA535" s="190" t="str">
        <f t="shared" si="29"/>
        <v>UTILIZOU O PDA CORRETAMENTE. NÃO HÁ FOTOS DE TODAS AS ETAPAS</v>
      </c>
      <c r="AB535" s="90" t="s">
        <v>207</v>
      </c>
      <c r="AC535" s="156" t="s">
        <v>36</v>
      </c>
      <c r="AD535" s="145" t="str">
        <f t="shared" si="28"/>
        <v>SÃO PAULO</v>
      </c>
      <c r="AE535" s="92" t="s">
        <v>79</v>
      </c>
    </row>
    <row r="536" spans="1:31" ht="30" customHeight="1">
      <c r="A536" s="208" t="s">
        <v>198</v>
      </c>
      <c r="B536" s="258">
        <v>2621378656</v>
      </c>
      <c r="C536" s="209" t="s">
        <v>1923</v>
      </c>
      <c r="D536" s="209" t="s">
        <v>79</v>
      </c>
      <c r="E536" s="209" t="s">
        <v>35</v>
      </c>
      <c r="F536" s="209" t="s">
        <v>2722</v>
      </c>
      <c r="G536" s="209">
        <v>3</v>
      </c>
      <c r="H536" s="209" t="s">
        <v>257</v>
      </c>
      <c r="I536" s="209" t="s">
        <v>433</v>
      </c>
      <c r="J536" s="209" t="s">
        <v>1915</v>
      </c>
      <c r="K536" s="209" t="s">
        <v>200</v>
      </c>
      <c r="L536" s="247">
        <v>46163.347916666666</v>
      </c>
      <c r="M536" s="247">
        <v>46163.348611111112</v>
      </c>
      <c r="N536" s="209" t="s">
        <v>1925</v>
      </c>
      <c r="O536" s="152" t="s">
        <v>207</v>
      </c>
      <c r="P536" s="90"/>
      <c r="Q536" s="140" t="s">
        <v>207</v>
      </c>
      <c r="R536" s="90"/>
      <c r="S536" s="140" t="s">
        <v>207</v>
      </c>
      <c r="T536" s="90"/>
      <c r="U536" s="140" t="s">
        <v>207</v>
      </c>
      <c r="V536" s="90"/>
      <c r="W536" s="140" t="s">
        <v>214</v>
      </c>
      <c r="X536" s="90"/>
      <c r="Y536" s="140" t="s">
        <v>207</v>
      </c>
      <c r="Z536" s="177" t="str">
        <f t="shared" si="30"/>
        <v>NC</v>
      </c>
      <c r="AA536" s="190" t="str">
        <f t="shared" si="29"/>
        <v>UTILIZOU O PDA CORRETAMENTE. NÃO HÁ FOTOS DE TODAS AS ETAPAS</v>
      </c>
      <c r="AB536" s="90" t="s">
        <v>207</v>
      </c>
      <c r="AC536" s="156" t="s">
        <v>36</v>
      </c>
      <c r="AD536" s="145" t="str">
        <f t="shared" si="28"/>
        <v>SÃO PAULO</v>
      </c>
      <c r="AE536" s="92" t="s">
        <v>79</v>
      </c>
    </row>
    <row r="537" spans="1:31" ht="30" customHeight="1">
      <c r="A537" s="208" t="s">
        <v>198</v>
      </c>
      <c r="B537" s="258">
        <v>2693851646</v>
      </c>
      <c r="C537" s="209" t="s">
        <v>143</v>
      </c>
      <c r="D537" s="209" t="s">
        <v>79</v>
      </c>
      <c r="E537" s="209" t="s">
        <v>35</v>
      </c>
      <c r="F537" s="209" t="s">
        <v>1983</v>
      </c>
      <c r="G537" s="209">
        <v>288</v>
      </c>
      <c r="H537" s="209" t="s">
        <v>487</v>
      </c>
      <c r="I537" s="209" t="s">
        <v>314</v>
      </c>
      <c r="J537" s="209" t="s">
        <v>1918</v>
      </c>
      <c r="K537" s="209" t="s">
        <v>2723</v>
      </c>
      <c r="L537" s="247">
        <v>46163.461111111108</v>
      </c>
      <c r="M537" s="247">
        <v>46163.46597222222</v>
      </c>
      <c r="N537" s="209" t="s">
        <v>1925</v>
      </c>
      <c r="O537" s="152" t="s">
        <v>207</v>
      </c>
      <c r="P537" s="90"/>
      <c r="Q537" s="140" t="s">
        <v>207</v>
      </c>
      <c r="R537" s="90"/>
      <c r="S537" s="140" t="s">
        <v>214</v>
      </c>
      <c r="T537" s="90"/>
      <c r="U537" s="140" t="s">
        <v>207</v>
      </c>
      <c r="V537" s="90"/>
      <c r="W537" s="140" t="s">
        <v>207</v>
      </c>
      <c r="X537" s="90"/>
      <c r="Y537" s="140" t="s">
        <v>207</v>
      </c>
      <c r="Z537" s="177" t="str">
        <f t="shared" si="30"/>
        <v>NC</v>
      </c>
      <c r="AA537" s="190" t="str">
        <f t="shared" si="29"/>
        <v>UTILIZOU O PDA CORRETAMENTE. NÃO HÁ FOTOS DE TODAS AS ETAPAS</v>
      </c>
      <c r="AB537" s="90" t="s">
        <v>207</v>
      </c>
      <c r="AC537" s="156" t="s">
        <v>36</v>
      </c>
      <c r="AD537" s="145" t="str">
        <f t="shared" si="28"/>
        <v>SÃO PAULO</v>
      </c>
      <c r="AE537" s="92" t="s">
        <v>79</v>
      </c>
    </row>
    <row r="538" spans="1:31" ht="30" customHeight="1">
      <c r="A538" s="208" t="s">
        <v>198</v>
      </c>
      <c r="B538" s="258">
        <v>2621370958</v>
      </c>
      <c r="C538" s="209" t="s">
        <v>1923</v>
      </c>
      <c r="D538" s="209" t="s">
        <v>79</v>
      </c>
      <c r="E538" s="209" t="s">
        <v>35</v>
      </c>
      <c r="F538" s="209" t="s">
        <v>2724</v>
      </c>
      <c r="G538" s="209">
        <v>152</v>
      </c>
      <c r="H538" s="209" t="s">
        <v>200</v>
      </c>
      <c r="I538" s="209" t="s">
        <v>1611</v>
      </c>
      <c r="J538" s="209" t="s">
        <v>1915</v>
      </c>
      <c r="K538" s="209" t="s">
        <v>200</v>
      </c>
      <c r="L538" s="247">
        <v>46163.17291666667</v>
      </c>
      <c r="M538" s="247">
        <v>46163.178472222222</v>
      </c>
      <c r="N538" s="209" t="s">
        <v>1931</v>
      </c>
      <c r="O538" s="152" t="s">
        <v>207</v>
      </c>
      <c r="P538" s="90"/>
      <c r="Q538" s="140" t="s">
        <v>207</v>
      </c>
      <c r="R538" s="90"/>
      <c r="S538" s="140" t="s">
        <v>214</v>
      </c>
      <c r="T538" s="90"/>
      <c r="U538" s="140" t="s">
        <v>214</v>
      </c>
      <c r="V538" s="90"/>
      <c r="W538" s="140" t="s">
        <v>214</v>
      </c>
      <c r="X538" s="90"/>
      <c r="Y538" s="140" t="s">
        <v>207</v>
      </c>
      <c r="Z538" s="177" t="str">
        <f t="shared" si="30"/>
        <v>NC</v>
      </c>
      <c r="AA538" s="190" t="str">
        <f t="shared" si="29"/>
        <v>UTILIZOU O PDA CORRETAMENTE. NÃO HÁ FOTOS DE TODAS AS ETAPAS</v>
      </c>
      <c r="AB538" s="90"/>
      <c r="AC538" s="156" t="s">
        <v>36</v>
      </c>
      <c r="AD538" s="145" t="str">
        <f t="shared" si="28"/>
        <v>SÃO PAULO</v>
      </c>
      <c r="AE538" s="92" t="s">
        <v>79</v>
      </c>
    </row>
    <row r="539" spans="1:31" ht="30" customHeight="1">
      <c r="A539" s="208" t="s">
        <v>198</v>
      </c>
      <c r="B539" s="258">
        <v>2621281607</v>
      </c>
      <c r="C539" s="209" t="s">
        <v>1923</v>
      </c>
      <c r="D539" s="209" t="s">
        <v>79</v>
      </c>
      <c r="E539" s="209" t="s">
        <v>35</v>
      </c>
      <c r="F539" s="209" t="s">
        <v>2725</v>
      </c>
      <c r="G539" s="209">
        <v>88</v>
      </c>
      <c r="H539" s="209" t="s">
        <v>205</v>
      </c>
      <c r="I539" s="209" t="s">
        <v>2726</v>
      </c>
      <c r="J539" s="209" t="s">
        <v>1915</v>
      </c>
      <c r="K539" s="209" t="s">
        <v>2458</v>
      </c>
      <c r="L539" s="247">
        <v>46163.326388888891</v>
      </c>
      <c r="M539" s="247">
        <v>46163.327777777777</v>
      </c>
      <c r="N539" s="209" t="s">
        <v>1919</v>
      </c>
      <c r="O539" s="152" t="s">
        <v>207</v>
      </c>
      <c r="P539" s="90"/>
      <c r="Q539" s="140" t="s">
        <v>214</v>
      </c>
      <c r="R539" s="90"/>
      <c r="S539" s="140" t="s">
        <v>214</v>
      </c>
      <c r="T539" s="90"/>
      <c r="U539" s="140" t="s">
        <v>214</v>
      </c>
      <c r="V539" s="90"/>
      <c r="W539" s="140" t="s">
        <v>214</v>
      </c>
      <c r="X539" s="90"/>
      <c r="Y539" s="140" t="s">
        <v>207</v>
      </c>
      <c r="Z539" s="177" t="str">
        <f t="shared" si="30"/>
        <v>NC</v>
      </c>
      <c r="AA539" s="190" t="str">
        <f t="shared" si="29"/>
        <v>UTILIZOU O PDA CORRETAMENTE. NÃO HÁ FOTOS DE TODAS AS ETAPAS</v>
      </c>
      <c r="AB539" s="90"/>
      <c r="AC539" s="156" t="s">
        <v>36</v>
      </c>
      <c r="AD539" s="145" t="str">
        <f t="shared" si="28"/>
        <v>SÃO PAULO</v>
      </c>
      <c r="AE539" s="92" t="s">
        <v>79</v>
      </c>
    </row>
    <row r="540" spans="1:31" ht="30" customHeight="1">
      <c r="A540" s="208" t="s">
        <v>198</v>
      </c>
      <c r="B540" s="258">
        <v>2621364790</v>
      </c>
      <c r="C540" s="209" t="s">
        <v>1923</v>
      </c>
      <c r="D540" s="209" t="s">
        <v>79</v>
      </c>
      <c r="E540" s="209" t="s">
        <v>35</v>
      </c>
      <c r="F540" s="209" t="s">
        <v>577</v>
      </c>
      <c r="G540" s="209">
        <v>827</v>
      </c>
      <c r="H540" s="209" t="s">
        <v>620</v>
      </c>
      <c r="I540" s="209" t="s">
        <v>433</v>
      </c>
      <c r="J540" s="209" t="s">
        <v>1915</v>
      </c>
      <c r="K540" s="209" t="s">
        <v>2060</v>
      </c>
      <c r="L540" s="247">
        <v>46163.430555555555</v>
      </c>
      <c r="M540" s="247">
        <v>46163.431944444441</v>
      </c>
      <c r="N540" s="209" t="s">
        <v>1925</v>
      </c>
      <c r="O540" s="152" t="s">
        <v>214</v>
      </c>
      <c r="P540" s="90"/>
      <c r="Q540" s="140" t="s">
        <v>214</v>
      </c>
      <c r="R540" s="90"/>
      <c r="S540" s="140" t="s">
        <v>214</v>
      </c>
      <c r="T540" s="90"/>
      <c r="U540" s="140" t="s">
        <v>214</v>
      </c>
      <c r="V540" s="90"/>
      <c r="W540" s="140" t="s">
        <v>214</v>
      </c>
      <c r="X540" s="90"/>
      <c r="Y540" s="140" t="s">
        <v>215</v>
      </c>
      <c r="Z540" s="177" t="str">
        <f t="shared" si="30"/>
        <v>NC</v>
      </c>
      <c r="AA540" s="190" t="str">
        <f t="shared" si="29"/>
        <v>NÃO UTILIZOU O PDA</v>
      </c>
      <c r="AB540" s="90" t="s">
        <v>207</v>
      </c>
      <c r="AC540" s="156" t="s">
        <v>36</v>
      </c>
      <c r="AD540" s="145" t="str">
        <f t="shared" si="28"/>
        <v>SÃO PAULO</v>
      </c>
      <c r="AE540" s="92" t="s">
        <v>79</v>
      </c>
    </row>
    <row r="541" spans="1:31" ht="30" customHeight="1">
      <c r="A541" s="208" t="s">
        <v>198</v>
      </c>
      <c r="B541" s="258">
        <v>2621450677</v>
      </c>
      <c r="C541" s="209" t="s">
        <v>1923</v>
      </c>
      <c r="D541" s="209" t="s">
        <v>79</v>
      </c>
      <c r="E541" s="209" t="s">
        <v>35</v>
      </c>
      <c r="F541" s="209" t="s">
        <v>1306</v>
      </c>
      <c r="G541" s="209">
        <v>98</v>
      </c>
      <c r="H541" s="209" t="s">
        <v>257</v>
      </c>
      <c r="I541" s="209" t="s">
        <v>447</v>
      </c>
      <c r="J541" s="209" t="s">
        <v>1915</v>
      </c>
      <c r="K541" s="209" t="s">
        <v>2727</v>
      </c>
      <c r="L541" s="247">
        <v>46163.431944444441</v>
      </c>
      <c r="M541" s="247">
        <v>46163.434027777781</v>
      </c>
      <c r="N541" s="209" t="s">
        <v>232</v>
      </c>
      <c r="O541" s="152" t="s">
        <v>77</v>
      </c>
      <c r="P541" s="90"/>
      <c r="Q541" s="140" t="s">
        <v>77</v>
      </c>
      <c r="R541" s="90"/>
      <c r="S541" s="140" t="s">
        <v>77</v>
      </c>
      <c r="T541" s="90"/>
      <c r="U541" s="140" t="s">
        <v>77</v>
      </c>
      <c r="V541" s="90"/>
      <c r="W541" s="140" t="s">
        <v>77</v>
      </c>
      <c r="X541" s="90"/>
      <c r="Y541" s="140" t="s">
        <v>77</v>
      </c>
      <c r="Z541" s="177" t="str">
        <f t="shared" si="30"/>
        <v>NA</v>
      </c>
      <c r="AA541" s="190" t="str">
        <f t="shared" si="29"/>
        <v>NÃO AVALIADO POR FALHA DE SINCRONISMO</v>
      </c>
      <c r="AB541" s="90" t="s">
        <v>207</v>
      </c>
      <c r="AC541" s="156" t="s">
        <v>36</v>
      </c>
      <c r="AD541" s="145" t="str">
        <f t="shared" si="28"/>
        <v>SÃO PAULO</v>
      </c>
      <c r="AE541" s="92" t="s">
        <v>79</v>
      </c>
    </row>
    <row r="542" spans="1:31" ht="30" customHeight="1">
      <c r="A542" s="208" t="s">
        <v>198</v>
      </c>
      <c r="B542" s="258">
        <v>2621450491</v>
      </c>
      <c r="C542" s="209" t="s">
        <v>1923</v>
      </c>
      <c r="D542" s="209" t="s">
        <v>79</v>
      </c>
      <c r="E542" s="209" t="s">
        <v>35</v>
      </c>
      <c r="F542" s="209" t="s">
        <v>1306</v>
      </c>
      <c r="G542" s="209">
        <v>98</v>
      </c>
      <c r="H542" s="209" t="s">
        <v>205</v>
      </c>
      <c r="I542" s="209" t="s">
        <v>447</v>
      </c>
      <c r="J542" s="209" t="s">
        <v>1915</v>
      </c>
      <c r="K542" s="209" t="s">
        <v>2727</v>
      </c>
      <c r="L542" s="247">
        <v>46163.428472222222</v>
      </c>
      <c r="M542" s="247">
        <v>46163.429166666669</v>
      </c>
      <c r="N542" s="209" t="s">
        <v>232</v>
      </c>
      <c r="O542" s="152" t="s">
        <v>77</v>
      </c>
      <c r="P542" s="90"/>
      <c r="Q542" s="140" t="s">
        <v>77</v>
      </c>
      <c r="R542" s="90"/>
      <c r="S542" s="140" t="s">
        <v>77</v>
      </c>
      <c r="T542" s="90"/>
      <c r="U542" s="140" t="s">
        <v>77</v>
      </c>
      <c r="V542" s="90"/>
      <c r="W542" s="140" t="s">
        <v>77</v>
      </c>
      <c r="X542" s="90"/>
      <c r="Y542" s="140" t="s">
        <v>77</v>
      </c>
      <c r="Z542" s="177" t="str">
        <f t="shared" si="30"/>
        <v>NA</v>
      </c>
      <c r="AA542" s="190" t="str">
        <f t="shared" si="29"/>
        <v>NÃO AVALIADO POR FALHA DE SINCRONISMO</v>
      </c>
      <c r="AB542" s="90" t="s">
        <v>207</v>
      </c>
      <c r="AC542" s="156" t="s">
        <v>36</v>
      </c>
      <c r="AD542" s="145" t="str">
        <f t="shared" si="28"/>
        <v>SÃO PAULO</v>
      </c>
      <c r="AE542" s="92" t="s">
        <v>79</v>
      </c>
    </row>
    <row r="543" spans="1:31" ht="30" customHeight="1">
      <c r="A543" s="208" t="s">
        <v>198</v>
      </c>
      <c r="B543" s="258">
        <v>2621450132</v>
      </c>
      <c r="C543" s="209" t="s">
        <v>1923</v>
      </c>
      <c r="D543" s="209" t="s">
        <v>79</v>
      </c>
      <c r="E543" s="209" t="s">
        <v>35</v>
      </c>
      <c r="F543" s="209" t="s">
        <v>1306</v>
      </c>
      <c r="G543" s="209">
        <v>98</v>
      </c>
      <c r="H543" s="209" t="s">
        <v>208</v>
      </c>
      <c r="I543" s="209" t="s">
        <v>447</v>
      </c>
      <c r="J543" s="209" t="s">
        <v>1915</v>
      </c>
      <c r="K543" s="209" t="s">
        <v>2727</v>
      </c>
      <c r="L543" s="247">
        <v>46163.428472222222</v>
      </c>
      <c r="M543" s="247">
        <v>46163.429166666669</v>
      </c>
      <c r="N543" s="209" t="s">
        <v>232</v>
      </c>
      <c r="O543" s="152" t="s">
        <v>77</v>
      </c>
      <c r="P543" s="90"/>
      <c r="Q543" s="140" t="s">
        <v>77</v>
      </c>
      <c r="R543" s="90"/>
      <c r="S543" s="140" t="s">
        <v>77</v>
      </c>
      <c r="T543" s="90"/>
      <c r="U543" s="140" t="s">
        <v>77</v>
      </c>
      <c r="V543" s="90"/>
      <c r="W543" s="140" t="s">
        <v>77</v>
      </c>
      <c r="X543" s="90"/>
      <c r="Y543" s="140" t="s">
        <v>77</v>
      </c>
      <c r="Z543" s="177" t="str">
        <f t="shared" si="30"/>
        <v>NA</v>
      </c>
      <c r="AA543" s="190" t="str">
        <f t="shared" si="29"/>
        <v>NÃO AVALIADO POR FALHA DE SINCRONISMO</v>
      </c>
      <c r="AB543" s="90" t="s">
        <v>207</v>
      </c>
      <c r="AC543" s="156" t="s">
        <v>36</v>
      </c>
      <c r="AD543" s="145" t="str">
        <f t="shared" si="28"/>
        <v>SÃO PAULO</v>
      </c>
      <c r="AE543" s="92" t="s">
        <v>79</v>
      </c>
    </row>
    <row r="544" spans="1:31" ht="30" customHeight="1">
      <c r="A544" s="208" t="s">
        <v>198</v>
      </c>
      <c r="B544" s="258">
        <v>2621468856</v>
      </c>
      <c r="C544" s="209" t="s">
        <v>1923</v>
      </c>
      <c r="D544" s="209" t="s">
        <v>79</v>
      </c>
      <c r="E544" s="209" t="s">
        <v>35</v>
      </c>
      <c r="F544" s="209" t="s">
        <v>2479</v>
      </c>
      <c r="G544" s="209">
        <v>59</v>
      </c>
      <c r="H544" s="209" t="s">
        <v>208</v>
      </c>
      <c r="I544" s="209" t="s">
        <v>241</v>
      </c>
      <c r="J544" s="209" t="s">
        <v>1915</v>
      </c>
      <c r="K544" s="209" t="s">
        <v>2728</v>
      </c>
      <c r="L544" s="247">
        <v>46163.44027777778</v>
      </c>
      <c r="M544" s="247">
        <v>46163.440972222219</v>
      </c>
      <c r="N544" s="209" t="s">
        <v>232</v>
      </c>
      <c r="O544" s="152" t="s">
        <v>207</v>
      </c>
      <c r="P544" s="90"/>
      <c r="Q544" s="140" t="s">
        <v>207</v>
      </c>
      <c r="R544" s="90"/>
      <c r="S544" s="140" t="s">
        <v>214</v>
      </c>
      <c r="T544" s="90"/>
      <c r="U544" s="140" t="s">
        <v>214</v>
      </c>
      <c r="V544" s="90"/>
      <c r="W544" s="140" t="s">
        <v>207</v>
      </c>
      <c r="X544" s="90"/>
      <c r="Y544" s="140" t="s">
        <v>207</v>
      </c>
      <c r="Z544" s="177" t="str">
        <f t="shared" si="30"/>
        <v>NC</v>
      </c>
      <c r="AA544" s="190" t="str">
        <f t="shared" si="29"/>
        <v>UTILIZOU O PDA CORRETAMENTE. NÃO HÁ FOTOS DE TODAS AS ETAPAS</v>
      </c>
      <c r="AB544" s="90"/>
      <c r="AC544" s="156" t="s">
        <v>36</v>
      </c>
      <c r="AD544" s="145" t="str">
        <f t="shared" si="28"/>
        <v>SÃO PAULO</v>
      </c>
      <c r="AE544" s="92" t="s">
        <v>79</v>
      </c>
    </row>
    <row r="545" spans="1:31" ht="30" customHeight="1">
      <c r="A545" s="208" t="s">
        <v>198</v>
      </c>
      <c r="B545" s="258">
        <v>2621469196</v>
      </c>
      <c r="C545" s="209" t="s">
        <v>1923</v>
      </c>
      <c r="D545" s="209" t="s">
        <v>79</v>
      </c>
      <c r="E545" s="209" t="s">
        <v>35</v>
      </c>
      <c r="F545" s="209" t="s">
        <v>405</v>
      </c>
      <c r="G545" s="209">
        <v>71</v>
      </c>
      <c r="H545" s="209" t="s">
        <v>208</v>
      </c>
      <c r="I545" s="209" t="s">
        <v>211</v>
      </c>
      <c r="J545" s="209" t="s">
        <v>1915</v>
      </c>
      <c r="K545" s="210" t="s">
        <v>2729</v>
      </c>
      <c r="L545" s="247">
        <v>46163.445833333331</v>
      </c>
      <c r="M545" s="247">
        <v>46163.447916666664</v>
      </c>
      <c r="N545" s="209" t="s">
        <v>213</v>
      </c>
      <c r="O545" s="152" t="s">
        <v>207</v>
      </c>
      <c r="P545" s="90"/>
      <c r="Q545" s="140" t="s">
        <v>207</v>
      </c>
      <c r="R545" s="90"/>
      <c r="S545" s="140" t="s">
        <v>214</v>
      </c>
      <c r="T545" s="90"/>
      <c r="U545" s="140" t="s">
        <v>214</v>
      </c>
      <c r="V545" s="90"/>
      <c r="W545" s="140" t="s">
        <v>214</v>
      </c>
      <c r="X545" s="90"/>
      <c r="Y545" s="140" t="s">
        <v>207</v>
      </c>
      <c r="Z545" s="177" t="str">
        <f t="shared" si="30"/>
        <v>NC</v>
      </c>
      <c r="AA545" s="190" t="str">
        <f t="shared" si="29"/>
        <v>UTILIZOU O PDA CORRETAMENTE. NÃO HÁ FOTOS DE TODAS AS ETAPAS</v>
      </c>
      <c r="AB545" s="90"/>
      <c r="AC545" s="156" t="s">
        <v>36</v>
      </c>
      <c r="AD545" s="145" t="str">
        <f t="shared" si="28"/>
        <v>SÃO PAULO</v>
      </c>
      <c r="AE545" s="92" t="s">
        <v>79</v>
      </c>
    </row>
    <row r="546" spans="1:31" ht="30" customHeight="1">
      <c r="A546" s="208" t="s">
        <v>198</v>
      </c>
      <c r="B546" s="258">
        <v>2693855784</v>
      </c>
      <c r="C546" s="209" t="s">
        <v>143</v>
      </c>
      <c r="D546" s="209" t="s">
        <v>79</v>
      </c>
      <c r="E546" s="209" t="s">
        <v>35</v>
      </c>
      <c r="F546" s="209" t="s">
        <v>1448</v>
      </c>
      <c r="G546" s="209">
        <v>499</v>
      </c>
      <c r="H546" s="209" t="s">
        <v>200</v>
      </c>
      <c r="I546" s="209" t="s">
        <v>479</v>
      </c>
      <c r="J546" s="209" t="s">
        <v>1915</v>
      </c>
      <c r="K546" s="209" t="s">
        <v>200</v>
      </c>
      <c r="L546" s="247">
        <v>46163.430555555555</v>
      </c>
      <c r="M546" s="247">
        <v>46163.440972222219</v>
      </c>
      <c r="N546" s="209" t="s">
        <v>1944</v>
      </c>
      <c r="O546" s="152" t="s">
        <v>207</v>
      </c>
      <c r="P546" s="90"/>
      <c r="Q546" s="140" t="s">
        <v>207</v>
      </c>
      <c r="R546" s="90"/>
      <c r="S546" s="140" t="s">
        <v>214</v>
      </c>
      <c r="T546" s="90"/>
      <c r="U546" s="140" t="s">
        <v>214</v>
      </c>
      <c r="V546" s="90"/>
      <c r="W546" s="140" t="s">
        <v>207</v>
      </c>
      <c r="X546" s="90"/>
      <c r="Y546" s="140" t="s">
        <v>207</v>
      </c>
      <c r="Z546" s="177" t="str">
        <f t="shared" si="30"/>
        <v>NC</v>
      </c>
      <c r="AA546" s="190" t="str">
        <f t="shared" si="29"/>
        <v>UTILIZOU O PDA CORRETAMENTE. NÃO HÁ FOTOS DE TODAS AS ETAPAS</v>
      </c>
      <c r="AB546" s="90" t="s">
        <v>207</v>
      </c>
      <c r="AC546" s="156" t="s">
        <v>36</v>
      </c>
      <c r="AD546" s="145" t="str">
        <f t="shared" ref="AD546:AD609" si="31">E546</f>
        <v>SÃO PAULO</v>
      </c>
      <c r="AE546" s="92" t="s">
        <v>79</v>
      </c>
    </row>
    <row r="547" spans="1:31" ht="30" customHeight="1">
      <c r="A547" s="208" t="s">
        <v>198</v>
      </c>
      <c r="B547" s="258">
        <v>2621464682</v>
      </c>
      <c r="C547" s="209" t="s">
        <v>1923</v>
      </c>
      <c r="D547" s="209" t="s">
        <v>79</v>
      </c>
      <c r="E547" s="209" t="s">
        <v>35</v>
      </c>
      <c r="F547" s="209" t="s">
        <v>1034</v>
      </c>
      <c r="G547" s="209">
        <v>30</v>
      </c>
      <c r="H547" s="209" t="s">
        <v>200</v>
      </c>
      <c r="I547" s="209" t="s">
        <v>1035</v>
      </c>
      <c r="J547" s="209" t="s">
        <v>1915</v>
      </c>
      <c r="K547" s="209" t="s">
        <v>2730</v>
      </c>
      <c r="L547" s="247">
        <v>46163.543055555558</v>
      </c>
      <c r="M547" s="247">
        <v>46163.543749999997</v>
      </c>
      <c r="N547" s="209" t="s">
        <v>1916</v>
      </c>
      <c r="O547" s="152" t="s">
        <v>207</v>
      </c>
      <c r="P547" s="90"/>
      <c r="Q547" s="140" t="s">
        <v>207</v>
      </c>
      <c r="R547" s="90"/>
      <c r="S547" s="140" t="s">
        <v>214</v>
      </c>
      <c r="T547" s="90"/>
      <c r="U547" s="140" t="s">
        <v>214</v>
      </c>
      <c r="V547" s="90"/>
      <c r="W547" s="140" t="s">
        <v>214</v>
      </c>
      <c r="X547" s="90"/>
      <c r="Y547" s="140" t="s">
        <v>207</v>
      </c>
      <c r="Z547" s="177" t="str">
        <f t="shared" si="30"/>
        <v>NC</v>
      </c>
      <c r="AA547" s="190" t="str">
        <f t="shared" si="29"/>
        <v>UTILIZOU O PDA CORRETAMENTE. NÃO HÁ FOTOS DE TODAS AS ETAPAS</v>
      </c>
      <c r="AB547" s="90"/>
      <c r="AC547" s="156" t="s">
        <v>36</v>
      </c>
      <c r="AD547" s="145" t="str">
        <f t="shared" si="31"/>
        <v>SÃO PAULO</v>
      </c>
      <c r="AE547" s="92" t="s">
        <v>79</v>
      </c>
    </row>
    <row r="548" spans="1:31" ht="30" customHeight="1">
      <c r="A548" s="208" t="s">
        <v>198</v>
      </c>
      <c r="B548" s="258">
        <v>2621464362</v>
      </c>
      <c r="C548" s="209" t="s">
        <v>1923</v>
      </c>
      <c r="D548" s="209" t="s">
        <v>79</v>
      </c>
      <c r="E548" s="209" t="s">
        <v>35</v>
      </c>
      <c r="F548" s="209" t="s">
        <v>415</v>
      </c>
      <c r="G548" s="209">
        <v>270</v>
      </c>
      <c r="H548" s="209" t="s">
        <v>200</v>
      </c>
      <c r="I548" s="209" t="s">
        <v>569</v>
      </c>
      <c r="J548" s="209" t="s">
        <v>1915</v>
      </c>
      <c r="K548" s="209" t="s">
        <v>200</v>
      </c>
      <c r="L548" s="247">
        <v>46163.359722222223</v>
      </c>
      <c r="M548" s="247">
        <v>46163.362500000003</v>
      </c>
      <c r="N548" s="209" t="s">
        <v>390</v>
      </c>
      <c r="O548" s="152" t="s">
        <v>207</v>
      </c>
      <c r="P548" s="90"/>
      <c r="Q548" s="140" t="s">
        <v>214</v>
      </c>
      <c r="R548" s="90"/>
      <c r="S548" s="140" t="s">
        <v>214</v>
      </c>
      <c r="T548" s="90"/>
      <c r="U548" s="140" t="s">
        <v>214</v>
      </c>
      <c r="V548" s="90"/>
      <c r="W548" s="140" t="s">
        <v>207</v>
      </c>
      <c r="X548" s="90"/>
      <c r="Y548" s="140" t="s">
        <v>207</v>
      </c>
      <c r="Z548" s="177" t="str">
        <f t="shared" si="30"/>
        <v>NC</v>
      </c>
      <c r="AA548" s="190" t="str">
        <f t="shared" si="29"/>
        <v>UTILIZOU O PDA CORRETAMENTE. NÃO HÁ FOTOS DE TODAS AS ETAPAS</v>
      </c>
      <c r="AB548" s="90" t="s">
        <v>207</v>
      </c>
      <c r="AC548" s="156" t="s">
        <v>36</v>
      </c>
      <c r="AD548" s="145" t="str">
        <f t="shared" si="31"/>
        <v>SÃO PAULO</v>
      </c>
      <c r="AE548" s="92" t="s">
        <v>79</v>
      </c>
    </row>
    <row r="549" spans="1:31" ht="30" customHeight="1">
      <c r="A549" s="208" t="s">
        <v>198</v>
      </c>
      <c r="B549" s="258">
        <v>2621449583</v>
      </c>
      <c r="C549" s="209" t="s">
        <v>147</v>
      </c>
      <c r="D549" s="209" t="s">
        <v>79</v>
      </c>
      <c r="E549" s="209" t="s">
        <v>35</v>
      </c>
      <c r="F549" s="209" t="s">
        <v>2731</v>
      </c>
      <c r="G549" s="209">
        <v>220</v>
      </c>
      <c r="H549" s="209" t="s">
        <v>2732</v>
      </c>
      <c r="I549" s="209" t="s">
        <v>218</v>
      </c>
      <c r="J549" s="209" t="s">
        <v>1915</v>
      </c>
      <c r="K549" s="209" t="s">
        <v>200</v>
      </c>
      <c r="L549" s="247">
        <v>46163.531944444447</v>
      </c>
      <c r="M549" s="247">
        <v>46163.552083333336</v>
      </c>
      <c r="N549" s="209" t="s">
        <v>1933</v>
      </c>
      <c r="O549" s="152" t="s">
        <v>207</v>
      </c>
      <c r="P549" s="90"/>
      <c r="Q549" s="140" t="s">
        <v>207</v>
      </c>
      <c r="R549" s="90"/>
      <c r="S549" s="140" t="s">
        <v>207</v>
      </c>
      <c r="T549" s="90"/>
      <c r="U549" s="140" t="s">
        <v>207</v>
      </c>
      <c r="V549" s="90"/>
      <c r="W549" s="140" t="s">
        <v>207</v>
      </c>
      <c r="X549" s="90"/>
      <c r="Y549" s="140" t="s">
        <v>207</v>
      </c>
      <c r="Z549" s="177" t="str">
        <f t="shared" si="30"/>
        <v>C</v>
      </c>
      <c r="AA549" s="190" t="str">
        <f t="shared" si="29"/>
        <v>UTILIZOU O PDA CORRETAMENTE</v>
      </c>
      <c r="AB549" s="90" t="s">
        <v>207</v>
      </c>
      <c r="AC549" s="156" t="s">
        <v>36</v>
      </c>
      <c r="AD549" s="145" t="str">
        <f t="shared" si="31"/>
        <v>SÃO PAULO</v>
      </c>
      <c r="AE549" s="92" t="s">
        <v>79</v>
      </c>
    </row>
    <row r="550" spans="1:31" ht="30" customHeight="1">
      <c r="A550" s="208" t="s">
        <v>198</v>
      </c>
      <c r="B550" s="258">
        <v>2621465679</v>
      </c>
      <c r="C550" s="209" t="s">
        <v>1923</v>
      </c>
      <c r="D550" s="209" t="s">
        <v>79</v>
      </c>
      <c r="E550" s="209" t="s">
        <v>35</v>
      </c>
      <c r="F550" s="209" t="s">
        <v>2148</v>
      </c>
      <c r="G550" s="209">
        <v>52</v>
      </c>
      <c r="H550" s="209" t="s">
        <v>200</v>
      </c>
      <c r="I550" s="209" t="s">
        <v>548</v>
      </c>
      <c r="J550" s="209" t="s">
        <v>1915</v>
      </c>
      <c r="K550" s="209" t="s">
        <v>200</v>
      </c>
      <c r="L550" s="247">
        <v>46163.442361111112</v>
      </c>
      <c r="M550" s="247">
        <v>46163.442361111112</v>
      </c>
      <c r="N550" s="209" t="s">
        <v>1925</v>
      </c>
      <c r="O550" s="152" t="s">
        <v>207</v>
      </c>
      <c r="P550" s="90"/>
      <c r="Q550" s="140" t="s">
        <v>214</v>
      </c>
      <c r="R550" s="90"/>
      <c r="S550" s="140" t="s">
        <v>214</v>
      </c>
      <c r="T550" s="90"/>
      <c r="U550" s="140" t="s">
        <v>214</v>
      </c>
      <c r="V550" s="90"/>
      <c r="W550" s="140" t="s">
        <v>207</v>
      </c>
      <c r="X550" s="90"/>
      <c r="Y550" s="140" t="s">
        <v>207</v>
      </c>
      <c r="Z550" s="177" t="str">
        <f t="shared" si="30"/>
        <v>NC</v>
      </c>
      <c r="AA550" s="190" t="str">
        <f t="shared" si="29"/>
        <v>UTILIZOU O PDA CORRETAMENTE. NÃO HÁ FOTOS DE TODAS AS ETAPAS</v>
      </c>
      <c r="AB550" s="90"/>
      <c r="AC550" s="156" t="s">
        <v>36</v>
      </c>
      <c r="AD550" s="145" t="str">
        <f t="shared" si="31"/>
        <v>SÃO PAULO</v>
      </c>
      <c r="AE550" s="92" t="s">
        <v>79</v>
      </c>
    </row>
    <row r="551" spans="1:31" ht="30" customHeight="1">
      <c r="A551" s="208" t="s">
        <v>198</v>
      </c>
      <c r="B551" s="258">
        <v>2621465900</v>
      </c>
      <c r="C551" s="209" t="s">
        <v>1923</v>
      </c>
      <c r="D551" s="209" t="s">
        <v>79</v>
      </c>
      <c r="E551" s="209" t="s">
        <v>35</v>
      </c>
      <c r="F551" s="209" t="s">
        <v>2733</v>
      </c>
      <c r="G551" s="209">
        <v>144</v>
      </c>
      <c r="H551" s="209" t="s">
        <v>347</v>
      </c>
      <c r="I551" s="209" t="s">
        <v>658</v>
      </c>
      <c r="J551" s="209" t="s">
        <v>1915</v>
      </c>
      <c r="K551" s="209" t="s">
        <v>2060</v>
      </c>
      <c r="L551" s="247">
        <v>46163.440972222219</v>
      </c>
      <c r="M551" s="247">
        <v>46163.441666666666</v>
      </c>
      <c r="N551" s="209" t="s">
        <v>1925</v>
      </c>
      <c r="O551" s="152" t="s">
        <v>214</v>
      </c>
      <c r="P551" s="90"/>
      <c r="Q551" s="140" t="s">
        <v>214</v>
      </c>
      <c r="R551" s="90"/>
      <c r="S551" s="140" t="s">
        <v>214</v>
      </c>
      <c r="T551" s="90"/>
      <c r="U551" s="140" t="s">
        <v>214</v>
      </c>
      <c r="V551" s="90"/>
      <c r="W551" s="140" t="s">
        <v>214</v>
      </c>
      <c r="X551" s="90"/>
      <c r="Y551" s="140" t="s">
        <v>215</v>
      </c>
      <c r="Z551" s="177" t="str">
        <f t="shared" si="30"/>
        <v>NC</v>
      </c>
      <c r="AA551" s="190" t="str">
        <f t="shared" si="29"/>
        <v>NÃO UTILIZOU O PDA</v>
      </c>
      <c r="AB551" s="90" t="s">
        <v>207</v>
      </c>
      <c r="AC551" s="156" t="s">
        <v>36</v>
      </c>
      <c r="AD551" s="145" t="str">
        <f t="shared" si="31"/>
        <v>SÃO PAULO</v>
      </c>
      <c r="AE551" s="92" t="s">
        <v>79</v>
      </c>
    </row>
    <row r="552" spans="1:31" ht="30" customHeight="1">
      <c r="A552" s="208" t="s">
        <v>198</v>
      </c>
      <c r="B552" s="258">
        <v>2621471352</v>
      </c>
      <c r="C552" s="209" t="s">
        <v>1923</v>
      </c>
      <c r="D552" s="209" t="s">
        <v>79</v>
      </c>
      <c r="E552" s="209" t="s">
        <v>35</v>
      </c>
      <c r="F552" s="209" t="s">
        <v>796</v>
      </c>
      <c r="G552" s="209">
        <v>1086</v>
      </c>
      <c r="H552" s="209" t="s">
        <v>200</v>
      </c>
      <c r="I552" s="209" t="s">
        <v>433</v>
      </c>
      <c r="J552" s="209" t="s">
        <v>1915</v>
      </c>
      <c r="K552" s="209" t="s">
        <v>200</v>
      </c>
      <c r="L552" s="247">
        <v>46163.474999999999</v>
      </c>
      <c r="M552" s="247">
        <v>46163.478472222225</v>
      </c>
      <c r="N552" s="209" t="s">
        <v>1925</v>
      </c>
      <c r="O552" s="152" t="s">
        <v>207</v>
      </c>
      <c r="P552" s="90"/>
      <c r="Q552" s="140" t="s">
        <v>207</v>
      </c>
      <c r="R552" s="90"/>
      <c r="S552" s="140" t="s">
        <v>214</v>
      </c>
      <c r="T552" s="90"/>
      <c r="U552" s="140" t="s">
        <v>207</v>
      </c>
      <c r="V552" s="90"/>
      <c r="W552" s="140" t="s">
        <v>207</v>
      </c>
      <c r="X552" s="90"/>
      <c r="Y552" s="140" t="s">
        <v>207</v>
      </c>
      <c r="Z552" s="177" t="str">
        <f t="shared" si="30"/>
        <v>NC</v>
      </c>
      <c r="AA552" s="190" t="str">
        <f t="shared" si="29"/>
        <v>UTILIZOU O PDA CORRETAMENTE. NÃO HÁ FOTOS DE TODAS AS ETAPAS</v>
      </c>
      <c r="AB552" s="90" t="s">
        <v>207</v>
      </c>
      <c r="AC552" s="156" t="s">
        <v>36</v>
      </c>
      <c r="AD552" s="145" t="str">
        <f t="shared" si="31"/>
        <v>SÃO PAULO</v>
      </c>
      <c r="AE552" s="92" t="s">
        <v>79</v>
      </c>
    </row>
    <row r="553" spans="1:31" ht="30" customHeight="1">
      <c r="A553" s="208" t="s">
        <v>198</v>
      </c>
      <c r="B553" s="258">
        <v>2621497822</v>
      </c>
      <c r="C553" s="209" t="s">
        <v>1923</v>
      </c>
      <c r="D553" s="209" t="s">
        <v>79</v>
      </c>
      <c r="E553" s="209" t="s">
        <v>35</v>
      </c>
      <c r="F553" s="209" t="s">
        <v>2714</v>
      </c>
      <c r="G553" s="209">
        <v>478</v>
      </c>
      <c r="H553" s="209" t="s">
        <v>257</v>
      </c>
      <c r="I553" s="209" t="s">
        <v>220</v>
      </c>
      <c r="J553" s="209" t="s">
        <v>1915</v>
      </c>
      <c r="K553" s="209" t="s">
        <v>2734</v>
      </c>
      <c r="L553" s="247">
        <v>46163.640972222223</v>
      </c>
      <c r="M553" s="247">
        <v>46163.64166666667</v>
      </c>
      <c r="N553" s="209" t="s">
        <v>1916</v>
      </c>
      <c r="O553" s="152" t="s">
        <v>207</v>
      </c>
      <c r="P553" s="90"/>
      <c r="Q553" s="140" t="s">
        <v>207</v>
      </c>
      <c r="R553" s="90"/>
      <c r="S553" s="140" t="s">
        <v>207</v>
      </c>
      <c r="T553" s="90"/>
      <c r="U553" s="140" t="s">
        <v>207</v>
      </c>
      <c r="V553" s="90"/>
      <c r="W553" s="140" t="s">
        <v>214</v>
      </c>
      <c r="X553" s="90"/>
      <c r="Y553" s="140" t="s">
        <v>207</v>
      </c>
      <c r="Z553" s="177" t="str">
        <f t="shared" si="30"/>
        <v>NC</v>
      </c>
      <c r="AA553" s="190" t="str">
        <f t="shared" si="29"/>
        <v>UTILIZOU O PDA CORRETAMENTE. NÃO HÁ FOTOS DE TODAS AS ETAPAS</v>
      </c>
      <c r="AB553" s="90"/>
      <c r="AC553" s="156" t="s">
        <v>36</v>
      </c>
      <c r="AD553" s="145" t="str">
        <f t="shared" si="31"/>
        <v>SÃO PAULO</v>
      </c>
      <c r="AE553" s="92" t="s">
        <v>79</v>
      </c>
    </row>
    <row r="554" spans="1:31" ht="30" customHeight="1">
      <c r="A554" s="208" t="s">
        <v>198</v>
      </c>
      <c r="B554" s="258">
        <v>2621497642</v>
      </c>
      <c r="C554" s="209" t="s">
        <v>1923</v>
      </c>
      <c r="D554" s="209" t="s">
        <v>79</v>
      </c>
      <c r="E554" s="209" t="s">
        <v>35</v>
      </c>
      <c r="F554" s="209" t="s">
        <v>2735</v>
      </c>
      <c r="G554" s="209">
        <v>43</v>
      </c>
      <c r="H554" s="209" t="s">
        <v>347</v>
      </c>
      <c r="I554" s="209" t="s">
        <v>2062</v>
      </c>
      <c r="J554" s="209" t="s">
        <v>1915</v>
      </c>
      <c r="K554" s="209" t="s">
        <v>200</v>
      </c>
      <c r="L554" s="247">
        <v>46163.547222222223</v>
      </c>
      <c r="M554" s="247">
        <v>46163.54791666667</v>
      </c>
      <c r="N554" s="209" t="s">
        <v>1925</v>
      </c>
      <c r="O554" s="152" t="s">
        <v>207</v>
      </c>
      <c r="P554" s="90"/>
      <c r="Q554" s="140" t="s">
        <v>207</v>
      </c>
      <c r="R554" s="90"/>
      <c r="S554" s="140" t="s">
        <v>214</v>
      </c>
      <c r="T554" s="90"/>
      <c r="U554" s="140" t="s">
        <v>214</v>
      </c>
      <c r="V554" s="90"/>
      <c r="W554" s="140" t="s">
        <v>214</v>
      </c>
      <c r="X554" s="90"/>
      <c r="Y554" s="140" t="s">
        <v>207</v>
      </c>
      <c r="Z554" s="177" t="str">
        <f t="shared" si="30"/>
        <v>NC</v>
      </c>
      <c r="AA554" s="190" t="str">
        <f t="shared" si="29"/>
        <v>UTILIZOU O PDA CORRETAMENTE. NÃO HÁ FOTOS DE TODAS AS ETAPAS</v>
      </c>
      <c r="AB554" s="90"/>
      <c r="AC554" s="156" t="s">
        <v>36</v>
      </c>
      <c r="AD554" s="145" t="str">
        <f t="shared" si="31"/>
        <v>SÃO PAULO</v>
      </c>
      <c r="AE554" s="92" t="s">
        <v>79</v>
      </c>
    </row>
    <row r="555" spans="1:31" ht="30" customHeight="1">
      <c r="A555" s="208" t="s">
        <v>198</v>
      </c>
      <c r="B555" s="258">
        <v>2621497464</v>
      </c>
      <c r="C555" s="209" t="s">
        <v>1923</v>
      </c>
      <c r="D555" s="209" t="s">
        <v>79</v>
      </c>
      <c r="E555" s="209" t="s">
        <v>35</v>
      </c>
      <c r="F555" s="209" t="s">
        <v>2736</v>
      </c>
      <c r="G555" s="209">
        <v>16</v>
      </c>
      <c r="H555" s="209" t="s">
        <v>200</v>
      </c>
      <c r="I555" s="209" t="s">
        <v>722</v>
      </c>
      <c r="J555" s="209" t="s">
        <v>1915</v>
      </c>
      <c r="K555" s="209" t="s">
        <v>2319</v>
      </c>
      <c r="L555" s="247">
        <v>46163.613194444442</v>
      </c>
      <c r="M555" s="247">
        <v>46163.613888888889</v>
      </c>
      <c r="N555" s="209" t="s">
        <v>1944</v>
      </c>
      <c r="O555" s="152" t="s">
        <v>207</v>
      </c>
      <c r="P555" s="90"/>
      <c r="Q555" s="140" t="s">
        <v>214</v>
      </c>
      <c r="R555" s="90"/>
      <c r="S555" s="140" t="s">
        <v>207</v>
      </c>
      <c r="T555" s="90"/>
      <c r="U555" s="140" t="s">
        <v>207</v>
      </c>
      <c r="V555" s="90"/>
      <c r="W555" s="140" t="s">
        <v>207</v>
      </c>
      <c r="X555" s="90"/>
      <c r="Y555" s="140" t="s">
        <v>207</v>
      </c>
      <c r="Z555" s="177" t="str">
        <f t="shared" si="30"/>
        <v>NC</v>
      </c>
      <c r="AA555" s="190" t="str">
        <f t="shared" si="29"/>
        <v>UTILIZOU O PDA CORRETAMENTE. NÃO HÁ FOTOS DE TODAS AS ETAPAS</v>
      </c>
      <c r="AB555" s="90"/>
      <c r="AC555" s="156" t="s">
        <v>36</v>
      </c>
      <c r="AD555" s="145" t="str">
        <f t="shared" si="31"/>
        <v>SÃO PAULO</v>
      </c>
      <c r="AE555" s="92" t="s">
        <v>79</v>
      </c>
    </row>
    <row r="556" spans="1:31" ht="30" customHeight="1">
      <c r="A556" s="208" t="s">
        <v>198</v>
      </c>
      <c r="B556" s="258">
        <v>2693908248</v>
      </c>
      <c r="C556" s="209" t="s">
        <v>142</v>
      </c>
      <c r="D556" s="209" t="s">
        <v>79</v>
      </c>
      <c r="E556" s="209" t="s">
        <v>35</v>
      </c>
      <c r="F556" s="209" t="s">
        <v>659</v>
      </c>
      <c r="G556" s="209">
        <v>908</v>
      </c>
      <c r="H556" s="209" t="s">
        <v>380</v>
      </c>
      <c r="I556" s="209" t="s">
        <v>536</v>
      </c>
      <c r="J556" s="209" t="s">
        <v>1943</v>
      </c>
      <c r="K556" s="209" t="s">
        <v>200</v>
      </c>
      <c r="L556" s="247">
        <v>46163.637499999997</v>
      </c>
      <c r="M556" s="247">
        <v>46163.643055555556</v>
      </c>
      <c r="N556" s="209" t="s">
        <v>262</v>
      </c>
      <c r="O556" s="152" t="s">
        <v>207</v>
      </c>
      <c r="P556" s="90"/>
      <c r="Q556" s="140" t="s">
        <v>214</v>
      </c>
      <c r="R556" s="90"/>
      <c r="S556" s="140" t="s">
        <v>214</v>
      </c>
      <c r="T556" s="90"/>
      <c r="U556" s="140" t="s">
        <v>214</v>
      </c>
      <c r="V556" s="90"/>
      <c r="W556" s="140" t="s">
        <v>214</v>
      </c>
      <c r="X556" s="90"/>
      <c r="Y556" s="140" t="s">
        <v>207</v>
      </c>
      <c r="Z556" s="177" t="str">
        <f t="shared" si="30"/>
        <v>NC</v>
      </c>
      <c r="AA556" s="190" t="str">
        <f t="shared" si="29"/>
        <v>UTILIZOU O PDA CORRETAMENTE. NÃO HÁ FOTOS DE TODAS AS ETAPAS</v>
      </c>
      <c r="AB556" s="90" t="s">
        <v>207</v>
      </c>
      <c r="AC556" s="156" t="s">
        <v>36</v>
      </c>
      <c r="AD556" s="145" t="str">
        <f t="shared" si="31"/>
        <v>SÃO PAULO</v>
      </c>
      <c r="AE556" s="92" t="s">
        <v>79</v>
      </c>
    </row>
    <row r="557" spans="1:31" ht="30" customHeight="1">
      <c r="A557" s="208" t="s">
        <v>198</v>
      </c>
      <c r="B557" s="258">
        <v>2621519254</v>
      </c>
      <c r="C557" s="209" t="s">
        <v>1923</v>
      </c>
      <c r="D557" s="209" t="s">
        <v>79</v>
      </c>
      <c r="E557" s="209" t="s">
        <v>35</v>
      </c>
      <c r="F557" s="209" t="s">
        <v>2737</v>
      </c>
      <c r="G557" s="209">
        <v>202</v>
      </c>
      <c r="H557" s="209" t="s">
        <v>257</v>
      </c>
      <c r="I557" s="209" t="s">
        <v>314</v>
      </c>
      <c r="J557" s="209" t="s">
        <v>1915</v>
      </c>
      <c r="K557" s="209" t="s">
        <v>200</v>
      </c>
      <c r="L557" s="247">
        <v>46163.549305555556</v>
      </c>
      <c r="M557" s="247">
        <v>46163.55</v>
      </c>
      <c r="N557" s="209" t="s">
        <v>1925</v>
      </c>
      <c r="O557" s="152" t="s">
        <v>214</v>
      </c>
      <c r="P557" s="90"/>
      <c r="Q557" s="140" t="s">
        <v>214</v>
      </c>
      <c r="R557" s="90"/>
      <c r="S557" s="140" t="s">
        <v>214</v>
      </c>
      <c r="T557" s="90"/>
      <c r="U557" s="140" t="s">
        <v>214</v>
      </c>
      <c r="V557" s="90"/>
      <c r="W557" s="140" t="s">
        <v>214</v>
      </c>
      <c r="X557" s="90"/>
      <c r="Y557" s="140" t="s">
        <v>207</v>
      </c>
      <c r="Z557" s="177" t="str">
        <f t="shared" si="30"/>
        <v>NC</v>
      </c>
      <c r="AA557" s="190" t="str">
        <f t="shared" si="29"/>
        <v>UTILIZOU O PDA CORRETAMENTE. NÃO HÁ FOTOS DE TODAS AS ETAPAS</v>
      </c>
      <c r="AB557" s="90" t="s">
        <v>207</v>
      </c>
      <c r="AC557" s="156" t="s">
        <v>36</v>
      </c>
      <c r="AD557" s="145" t="str">
        <f t="shared" si="31"/>
        <v>SÃO PAULO</v>
      </c>
      <c r="AE557" s="92" t="s">
        <v>79</v>
      </c>
    </row>
    <row r="558" spans="1:31" ht="30" customHeight="1">
      <c r="A558" s="208" t="s">
        <v>198</v>
      </c>
      <c r="B558" s="258">
        <v>2621514643</v>
      </c>
      <c r="C558" s="209" t="s">
        <v>1923</v>
      </c>
      <c r="D558" s="209" t="s">
        <v>79</v>
      </c>
      <c r="E558" s="209" t="s">
        <v>35</v>
      </c>
      <c r="F558" s="209" t="s">
        <v>605</v>
      </c>
      <c r="G558" s="209">
        <v>323</v>
      </c>
      <c r="H558" s="209" t="s">
        <v>200</v>
      </c>
      <c r="I558" s="209" t="s">
        <v>277</v>
      </c>
      <c r="J558" s="209" t="s">
        <v>1915</v>
      </c>
      <c r="K558" s="209" t="s">
        <v>200</v>
      </c>
      <c r="L558" s="247">
        <v>46163.548611111109</v>
      </c>
      <c r="M558" s="247">
        <v>46163.549305555556</v>
      </c>
      <c r="N558" s="209" t="s">
        <v>1925</v>
      </c>
      <c r="O558" s="152" t="s">
        <v>214</v>
      </c>
      <c r="P558" s="90"/>
      <c r="Q558" s="140" t="s">
        <v>214</v>
      </c>
      <c r="R558" s="90"/>
      <c r="S558" s="140" t="s">
        <v>214</v>
      </c>
      <c r="T558" s="90"/>
      <c r="U558" s="140" t="s">
        <v>214</v>
      </c>
      <c r="V558" s="90"/>
      <c r="W558" s="140" t="s">
        <v>214</v>
      </c>
      <c r="X558" s="90"/>
      <c r="Y558" s="140" t="s">
        <v>207</v>
      </c>
      <c r="Z558" s="177" t="str">
        <f t="shared" si="30"/>
        <v>NC</v>
      </c>
      <c r="AA558" s="190" t="str">
        <f t="shared" si="29"/>
        <v>UTILIZOU O PDA CORRETAMENTE. NÃO HÁ FOTOS DE TODAS AS ETAPAS</v>
      </c>
      <c r="AB558" s="90" t="s">
        <v>207</v>
      </c>
      <c r="AC558" s="156" t="s">
        <v>36</v>
      </c>
      <c r="AD558" s="145" t="str">
        <f t="shared" si="31"/>
        <v>SÃO PAULO</v>
      </c>
      <c r="AE558" s="92" t="s">
        <v>79</v>
      </c>
    </row>
    <row r="559" spans="1:31" ht="30" customHeight="1">
      <c r="A559" s="208" t="s">
        <v>198</v>
      </c>
      <c r="B559" s="258">
        <v>2621524235</v>
      </c>
      <c r="C559" s="209" t="s">
        <v>1923</v>
      </c>
      <c r="D559" s="209" t="s">
        <v>79</v>
      </c>
      <c r="E559" s="209" t="s">
        <v>35</v>
      </c>
      <c r="F559" s="209" t="s">
        <v>2738</v>
      </c>
      <c r="G559" s="209">
        <v>445</v>
      </c>
      <c r="H559" s="209" t="s">
        <v>1479</v>
      </c>
      <c r="I559" s="209" t="s">
        <v>201</v>
      </c>
      <c r="J559" s="209" t="s">
        <v>1915</v>
      </c>
      <c r="K559" s="209" t="s">
        <v>200</v>
      </c>
      <c r="L559" s="247">
        <v>46163.42083333333</v>
      </c>
      <c r="M559" s="247">
        <v>46163.422222222223</v>
      </c>
      <c r="N559" s="209" t="s">
        <v>390</v>
      </c>
      <c r="O559" s="152" t="s">
        <v>207</v>
      </c>
      <c r="P559" s="90"/>
      <c r="Q559" s="140" t="s">
        <v>207</v>
      </c>
      <c r="R559" s="90"/>
      <c r="S559" s="140" t="s">
        <v>214</v>
      </c>
      <c r="T559" s="90"/>
      <c r="U559" s="140" t="s">
        <v>214</v>
      </c>
      <c r="V559" s="90"/>
      <c r="W559" s="140" t="s">
        <v>214</v>
      </c>
      <c r="X559" s="90"/>
      <c r="Y559" s="140" t="s">
        <v>207</v>
      </c>
      <c r="Z559" s="177" t="str">
        <f t="shared" si="30"/>
        <v>NC</v>
      </c>
      <c r="AA559" s="190" t="str">
        <f t="shared" si="29"/>
        <v>UTILIZOU O PDA CORRETAMENTE. NÃO HÁ FOTOS DE TODAS AS ETAPAS</v>
      </c>
      <c r="AB559" s="90"/>
      <c r="AC559" s="156" t="s">
        <v>36</v>
      </c>
      <c r="AD559" s="145" t="str">
        <f t="shared" si="31"/>
        <v>SÃO PAULO</v>
      </c>
      <c r="AE559" s="92" t="s">
        <v>79</v>
      </c>
    </row>
    <row r="560" spans="1:31" ht="30" customHeight="1">
      <c r="A560" s="208" t="s">
        <v>198</v>
      </c>
      <c r="B560" s="258">
        <v>2621524639</v>
      </c>
      <c r="C560" s="209" t="s">
        <v>1923</v>
      </c>
      <c r="D560" s="209" t="s">
        <v>79</v>
      </c>
      <c r="E560" s="209" t="s">
        <v>35</v>
      </c>
      <c r="F560" s="209" t="s">
        <v>204</v>
      </c>
      <c r="G560" s="209">
        <v>3364</v>
      </c>
      <c r="H560" s="209" t="s">
        <v>200</v>
      </c>
      <c r="I560" s="209" t="s">
        <v>36</v>
      </c>
      <c r="J560" s="209" t="s">
        <v>1915</v>
      </c>
      <c r="K560" s="209" t="s">
        <v>200</v>
      </c>
      <c r="L560" s="247">
        <v>46163.422222222223</v>
      </c>
      <c r="M560" s="247">
        <v>46163.423611111109</v>
      </c>
      <c r="N560" s="209" t="s">
        <v>390</v>
      </c>
      <c r="O560" s="152" t="s">
        <v>207</v>
      </c>
      <c r="P560" s="90"/>
      <c r="Q560" s="140" t="s">
        <v>207</v>
      </c>
      <c r="R560" s="90"/>
      <c r="S560" s="140" t="s">
        <v>214</v>
      </c>
      <c r="T560" s="90"/>
      <c r="U560" s="140" t="s">
        <v>214</v>
      </c>
      <c r="V560" s="90"/>
      <c r="W560" s="140" t="s">
        <v>214</v>
      </c>
      <c r="X560" s="90"/>
      <c r="Y560" s="140" t="s">
        <v>207</v>
      </c>
      <c r="Z560" s="177" t="str">
        <f t="shared" si="30"/>
        <v>NC</v>
      </c>
      <c r="AA560" s="190" t="str">
        <f t="shared" si="29"/>
        <v>UTILIZOU O PDA CORRETAMENTE. NÃO HÁ FOTOS DE TODAS AS ETAPAS</v>
      </c>
      <c r="AB560" s="90"/>
      <c r="AC560" s="156" t="s">
        <v>36</v>
      </c>
      <c r="AD560" s="145" t="str">
        <f t="shared" si="31"/>
        <v>SÃO PAULO</v>
      </c>
      <c r="AE560" s="92" t="s">
        <v>79</v>
      </c>
    </row>
    <row r="561" spans="1:31" ht="30" customHeight="1">
      <c r="A561" s="208" t="s">
        <v>198</v>
      </c>
      <c r="B561" s="258">
        <v>2621524494</v>
      </c>
      <c r="C561" s="209" t="s">
        <v>1923</v>
      </c>
      <c r="D561" s="209" t="s">
        <v>79</v>
      </c>
      <c r="E561" s="209" t="s">
        <v>35</v>
      </c>
      <c r="F561" s="209" t="s">
        <v>659</v>
      </c>
      <c r="G561" s="209">
        <v>11</v>
      </c>
      <c r="H561" s="209" t="s">
        <v>508</v>
      </c>
      <c r="I561" s="209" t="s">
        <v>536</v>
      </c>
      <c r="J561" s="209" t="s">
        <v>1915</v>
      </c>
      <c r="K561" s="209" t="s">
        <v>2458</v>
      </c>
      <c r="L561" s="247">
        <v>46163.54583333333</v>
      </c>
      <c r="M561" s="247">
        <v>46163.546527777777</v>
      </c>
      <c r="N561" s="209" t="s">
        <v>1919</v>
      </c>
      <c r="O561" s="152" t="s">
        <v>207</v>
      </c>
      <c r="P561" s="90"/>
      <c r="Q561" s="140" t="s">
        <v>214</v>
      </c>
      <c r="R561" s="90"/>
      <c r="S561" s="140" t="s">
        <v>214</v>
      </c>
      <c r="T561" s="90"/>
      <c r="U561" s="140" t="s">
        <v>214</v>
      </c>
      <c r="V561" s="90"/>
      <c r="W561" s="140" t="s">
        <v>207</v>
      </c>
      <c r="X561" s="90"/>
      <c r="Y561" s="140" t="s">
        <v>207</v>
      </c>
      <c r="Z561" s="177" t="str">
        <f t="shared" si="30"/>
        <v>NC</v>
      </c>
      <c r="AA561" s="190" t="str">
        <f t="shared" si="29"/>
        <v>UTILIZOU O PDA CORRETAMENTE. NÃO HÁ FOTOS DE TODAS AS ETAPAS</v>
      </c>
      <c r="AB561" s="90"/>
      <c r="AC561" s="156" t="s">
        <v>36</v>
      </c>
      <c r="AD561" s="145" t="str">
        <f t="shared" si="31"/>
        <v>SÃO PAULO</v>
      </c>
      <c r="AE561" s="92" t="s">
        <v>79</v>
      </c>
    </row>
    <row r="562" spans="1:31" ht="30" customHeight="1">
      <c r="A562" s="208" t="s">
        <v>198</v>
      </c>
      <c r="B562" s="258">
        <v>2621524364</v>
      </c>
      <c r="C562" s="209" t="s">
        <v>1923</v>
      </c>
      <c r="D562" s="209" t="s">
        <v>79</v>
      </c>
      <c r="E562" s="209" t="s">
        <v>35</v>
      </c>
      <c r="F562" s="209" t="s">
        <v>2568</v>
      </c>
      <c r="G562" s="209">
        <v>262</v>
      </c>
      <c r="H562" s="209" t="s">
        <v>205</v>
      </c>
      <c r="I562" s="209" t="s">
        <v>536</v>
      </c>
      <c r="J562" s="209" t="s">
        <v>1915</v>
      </c>
      <c r="K562" s="209" t="s">
        <v>200</v>
      </c>
      <c r="L562" s="247">
        <v>46163.527777777781</v>
      </c>
      <c r="M562" s="247">
        <v>46163.529166666667</v>
      </c>
      <c r="N562" s="209" t="s">
        <v>1919</v>
      </c>
      <c r="O562" s="152" t="s">
        <v>207</v>
      </c>
      <c r="P562" s="90"/>
      <c r="Q562" s="140" t="s">
        <v>214</v>
      </c>
      <c r="R562" s="90"/>
      <c r="S562" s="140" t="s">
        <v>214</v>
      </c>
      <c r="T562" s="90"/>
      <c r="U562" s="140" t="s">
        <v>214</v>
      </c>
      <c r="V562" s="90"/>
      <c r="W562" s="140" t="s">
        <v>214</v>
      </c>
      <c r="X562" s="90"/>
      <c r="Y562" s="140" t="s">
        <v>207</v>
      </c>
      <c r="Z562" s="177" t="str">
        <f t="shared" si="30"/>
        <v>NC</v>
      </c>
      <c r="AA562" s="190" t="str">
        <f t="shared" si="29"/>
        <v>UTILIZOU O PDA CORRETAMENTE. NÃO HÁ FOTOS DE TODAS AS ETAPAS</v>
      </c>
      <c r="AB562" s="90"/>
      <c r="AC562" s="156" t="s">
        <v>36</v>
      </c>
      <c r="AD562" s="145" t="str">
        <f t="shared" si="31"/>
        <v>SÃO PAULO</v>
      </c>
      <c r="AE562" s="92" t="s">
        <v>79</v>
      </c>
    </row>
    <row r="563" spans="1:31" ht="30" customHeight="1">
      <c r="A563" s="208" t="s">
        <v>198</v>
      </c>
      <c r="B563" s="258">
        <v>2621524760</v>
      </c>
      <c r="C563" s="209" t="s">
        <v>1923</v>
      </c>
      <c r="D563" s="209" t="s">
        <v>79</v>
      </c>
      <c r="E563" s="209" t="s">
        <v>35</v>
      </c>
      <c r="F563" s="209" t="s">
        <v>2739</v>
      </c>
      <c r="G563" s="209">
        <v>35</v>
      </c>
      <c r="H563" s="209" t="s">
        <v>205</v>
      </c>
      <c r="I563" s="209" t="s">
        <v>259</v>
      </c>
      <c r="J563" s="209" t="s">
        <v>1915</v>
      </c>
      <c r="K563" s="209" t="s">
        <v>2458</v>
      </c>
      <c r="L563" s="247">
        <v>46163.54791666667</v>
      </c>
      <c r="M563" s="247">
        <v>46163.548611111109</v>
      </c>
      <c r="N563" s="209" t="s">
        <v>1919</v>
      </c>
      <c r="O563" s="152" t="s">
        <v>214</v>
      </c>
      <c r="P563" s="90"/>
      <c r="Q563" s="140" t="s">
        <v>214</v>
      </c>
      <c r="R563" s="90"/>
      <c r="S563" s="140" t="s">
        <v>214</v>
      </c>
      <c r="T563" s="90"/>
      <c r="U563" s="140" t="s">
        <v>214</v>
      </c>
      <c r="V563" s="90"/>
      <c r="W563" s="140" t="s">
        <v>214</v>
      </c>
      <c r="X563" s="90"/>
      <c r="Y563" s="140" t="s">
        <v>215</v>
      </c>
      <c r="Z563" s="177" t="str">
        <f t="shared" si="30"/>
        <v>NC</v>
      </c>
      <c r="AA563" s="190" t="str">
        <f t="shared" si="29"/>
        <v>NÃO UTILIZOU O PDA</v>
      </c>
      <c r="AB563" s="90" t="s">
        <v>207</v>
      </c>
      <c r="AC563" s="156" t="s">
        <v>36</v>
      </c>
      <c r="AD563" s="145" t="str">
        <f t="shared" si="31"/>
        <v>SÃO PAULO</v>
      </c>
      <c r="AE563" s="92" t="s">
        <v>79</v>
      </c>
    </row>
    <row r="564" spans="1:31" ht="30" customHeight="1">
      <c r="A564" s="208" t="s">
        <v>198</v>
      </c>
      <c r="B564" s="258">
        <v>2621524946</v>
      </c>
      <c r="C564" s="209" t="s">
        <v>1923</v>
      </c>
      <c r="D564" s="209" t="s">
        <v>79</v>
      </c>
      <c r="E564" s="209" t="s">
        <v>35</v>
      </c>
      <c r="F564" s="209" t="s">
        <v>2739</v>
      </c>
      <c r="G564" s="209">
        <v>35</v>
      </c>
      <c r="H564" s="209" t="s">
        <v>257</v>
      </c>
      <c r="I564" s="209" t="s">
        <v>259</v>
      </c>
      <c r="J564" s="209" t="s">
        <v>1915</v>
      </c>
      <c r="K564" s="209" t="s">
        <v>2458</v>
      </c>
      <c r="L564" s="247">
        <v>46163.549305555556</v>
      </c>
      <c r="M564" s="247">
        <v>46163.550694444442</v>
      </c>
      <c r="N564" s="209" t="s">
        <v>1919</v>
      </c>
      <c r="O564" s="152" t="s">
        <v>214</v>
      </c>
      <c r="P564" s="90"/>
      <c r="Q564" s="140" t="s">
        <v>214</v>
      </c>
      <c r="R564" s="90"/>
      <c r="S564" s="140" t="s">
        <v>214</v>
      </c>
      <c r="T564" s="90"/>
      <c r="U564" s="140" t="s">
        <v>214</v>
      </c>
      <c r="V564" s="90"/>
      <c r="W564" s="140" t="s">
        <v>214</v>
      </c>
      <c r="X564" s="90"/>
      <c r="Y564" s="140" t="s">
        <v>215</v>
      </c>
      <c r="Z564" s="177" t="str">
        <f t="shared" si="30"/>
        <v>NC</v>
      </c>
      <c r="AA564" s="190" t="str">
        <f t="shared" si="29"/>
        <v>NÃO UTILIZOU O PDA</v>
      </c>
      <c r="AB564" s="90" t="s">
        <v>207</v>
      </c>
      <c r="AC564" s="156" t="s">
        <v>36</v>
      </c>
      <c r="AD564" s="145" t="str">
        <f t="shared" si="31"/>
        <v>SÃO PAULO</v>
      </c>
      <c r="AE564" s="92" t="s">
        <v>79</v>
      </c>
    </row>
    <row r="565" spans="1:31" ht="30" customHeight="1">
      <c r="A565" s="208" t="s">
        <v>198</v>
      </c>
      <c r="B565" s="258">
        <v>2621525305</v>
      </c>
      <c r="C565" s="209" t="s">
        <v>1923</v>
      </c>
      <c r="D565" s="209" t="s">
        <v>79</v>
      </c>
      <c r="E565" s="209" t="s">
        <v>35</v>
      </c>
      <c r="F565" s="209" t="s">
        <v>648</v>
      </c>
      <c r="G565" s="209">
        <v>257</v>
      </c>
      <c r="H565" s="209" t="s">
        <v>208</v>
      </c>
      <c r="I565" s="209" t="s">
        <v>649</v>
      </c>
      <c r="J565" s="209" t="s">
        <v>1932</v>
      </c>
      <c r="K565" s="209" t="s">
        <v>588</v>
      </c>
      <c r="L565" s="247">
        <v>46163.679861111108</v>
      </c>
      <c r="M565" s="247">
        <v>46163.717361111114</v>
      </c>
      <c r="N565" s="209" t="s">
        <v>331</v>
      </c>
      <c r="O565" s="152" t="s">
        <v>207</v>
      </c>
      <c r="P565" s="90"/>
      <c r="Q565" s="140" t="s">
        <v>207</v>
      </c>
      <c r="R565" s="90"/>
      <c r="S565" s="140" t="s">
        <v>214</v>
      </c>
      <c r="T565" s="90"/>
      <c r="U565" s="140" t="s">
        <v>214</v>
      </c>
      <c r="V565" s="90"/>
      <c r="W565" s="140" t="s">
        <v>207</v>
      </c>
      <c r="X565" s="90"/>
      <c r="Y565" s="140" t="s">
        <v>207</v>
      </c>
      <c r="Z565" s="177" t="str">
        <f t="shared" si="30"/>
        <v>NC</v>
      </c>
      <c r="AA565" s="190" t="str">
        <f t="shared" si="29"/>
        <v>UTILIZOU O PDA CORRETAMENTE. NÃO HÁ FOTOS DE TODAS AS ETAPAS</v>
      </c>
      <c r="AB565" s="90" t="s">
        <v>207</v>
      </c>
      <c r="AC565" s="156" t="s">
        <v>36</v>
      </c>
      <c r="AD565" s="145" t="str">
        <f t="shared" si="31"/>
        <v>SÃO PAULO</v>
      </c>
      <c r="AE565" s="92" t="s">
        <v>79</v>
      </c>
    </row>
    <row r="566" spans="1:31" ht="30" customHeight="1">
      <c r="A566" s="208" t="s">
        <v>198</v>
      </c>
      <c r="B566" s="258">
        <v>2621525651</v>
      </c>
      <c r="C566" s="209" t="s">
        <v>1923</v>
      </c>
      <c r="D566" s="209" t="s">
        <v>79</v>
      </c>
      <c r="E566" s="209" t="s">
        <v>35</v>
      </c>
      <c r="F566" s="209" t="s">
        <v>648</v>
      </c>
      <c r="G566" s="209">
        <v>257</v>
      </c>
      <c r="H566" s="209" t="s">
        <v>205</v>
      </c>
      <c r="I566" s="209" t="s">
        <v>649</v>
      </c>
      <c r="J566" s="209" t="s">
        <v>1932</v>
      </c>
      <c r="K566" s="209" t="s">
        <v>588</v>
      </c>
      <c r="L566" s="247">
        <v>46163.719444444447</v>
      </c>
      <c r="M566" s="247">
        <v>46163.72152777778</v>
      </c>
      <c r="N566" s="209" t="s">
        <v>331</v>
      </c>
      <c r="O566" s="152" t="s">
        <v>207</v>
      </c>
      <c r="P566" s="90"/>
      <c r="Q566" s="140" t="s">
        <v>207</v>
      </c>
      <c r="R566" s="90"/>
      <c r="S566" s="140" t="s">
        <v>214</v>
      </c>
      <c r="T566" s="90"/>
      <c r="U566" s="140" t="s">
        <v>214</v>
      </c>
      <c r="V566" s="90"/>
      <c r="W566" s="140" t="s">
        <v>207</v>
      </c>
      <c r="X566" s="90"/>
      <c r="Y566" s="140" t="s">
        <v>207</v>
      </c>
      <c r="Z566" s="177" t="str">
        <f t="shared" si="30"/>
        <v>NC</v>
      </c>
      <c r="AA566" s="190" t="str">
        <f t="shared" si="29"/>
        <v>UTILIZOU O PDA CORRETAMENTE. NÃO HÁ FOTOS DE TODAS AS ETAPAS</v>
      </c>
      <c r="AB566" s="90" t="s">
        <v>207</v>
      </c>
      <c r="AC566" s="156" t="s">
        <v>36</v>
      </c>
      <c r="AD566" s="145" t="str">
        <f t="shared" si="31"/>
        <v>SÃO PAULO</v>
      </c>
      <c r="AE566" s="92" t="s">
        <v>79</v>
      </c>
    </row>
    <row r="567" spans="1:31" ht="30" customHeight="1">
      <c r="A567" s="208" t="s">
        <v>198</v>
      </c>
      <c r="B567" s="258">
        <v>2621526516</v>
      </c>
      <c r="C567" s="209" t="s">
        <v>1923</v>
      </c>
      <c r="D567" s="209" t="s">
        <v>79</v>
      </c>
      <c r="E567" s="209" t="s">
        <v>35</v>
      </c>
      <c r="F567" s="209" t="s">
        <v>247</v>
      </c>
      <c r="G567" s="209">
        <v>19</v>
      </c>
      <c r="H567" s="209" t="s">
        <v>200</v>
      </c>
      <c r="I567" s="209" t="s">
        <v>248</v>
      </c>
      <c r="J567" s="209" t="s">
        <v>1915</v>
      </c>
      <c r="K567" s="209" t="s">
        <v>200</v>
      </c>
      <c r="L567" s="247">
        <v>46163.57916666667</v>
      </c>
      <c r="M567" s="247">
        <v>46163.579861111109</v>
      </c>
      <c r="N567" s="209" t="s">
        <v>1933</v>
      </c>
      <c r="O567" s="152" t="s">
        <v>207</v>
      </c>
      <c r="P567" s="90"/>
      <c r="Q567" s="140" t="s">
        <v>214</v>
      </c>
      <c r="R567" s="90"/>
      <c r="S567" s="140" t="s">
        <v>214</v>
      </c>
      <c r="T567" s="90"/>
      <c r="U567" s="140" t="s">
        <v>214</v>
      </c>
      <c r="V567" s="90"/>
      <c r="W567" s="140" t="s">
        <v>214</v>
      </c>
      <c r="X567" s="90"/>
      <c r="Y567" s="140" t="s">
        <v>207</v>
      </c>
      <c r="Z567" s="177" t="str">
        <f>IF(AND(O567="",Q567="",S567="",U567="",W567=""),"",IF(OR(AND(O567&lt;&gt;"NA",O567&lt;&gt;"C",O567&lt;&gt;"NC",O567&lt;&gt;"SF",O567&lt;&gt;""),AND(Q567&lt;&gt;"NA",Q567&lt;&gt;"C",Q567&lt;&gt;"NC",Q567&lt;&gt;"SF",Q567&lt;&gt;""),AND(S567&lt;&gt;"NA",S567&lt;&gt;"C",S567&lt;&gt;"NC",S567&lt;&gt;"SF",S567&lt;&gt;""),AND(U567&lt;&gt;"NA",U567&lt;&gt;"C",U567&lt;&gt;"NC",U567&lt;&gt;"SF",U567&lt;&gt;""),AND(W567&lt;&gt;"NA",W567&lt;&gt;"C",W567&lt;&gt;"NC",W567&lt;&gt;"SF",W567&lt;&gt;"")),"FALSO",IF(AND(O567="NA",Q567="NA",S567="NA",U567="NA",W567="NA"),"NA",IF(OR(O567="NC",Q567="NC",S567="NC",U567="NC",W567="NC",O567="SF",Q567="SF",S567="SF",U567="SF",W567="SF"),"NC",IF(OR(O567="C",Q567="C",S567="C",U567="C",W567="C"),"C","")))))</f>
        <v>NC</v>
      </c>
      <c r="AA567" s="190" t="str">
        <f t="shared" si="29"/>
        <v>UTILIZOU O PDA CORRETAMENTE. NÃO HÁ FOTOS DE TODAS AS ETAPAS</v>
      </c>
      <c r="AB567" s="90"/>
      <c r="AC567" s="156" t="s">
        <v>36</v>
      </c>
      <c r="AD567" s="145" t="str">
        <f t="shared" si="31"/>
        <v>SÃO PAULO</v>
      </c>
      <c r="AE567" s="92" t="s">
        <v>79</v>
      </c>
    </row>
    <row r="568" spans="1:31" ht="30" customHeight="1">
      <c r="A568" s="208" t="s">
        <v>198</v>
      </c>
      <c r="B568" s="258">
        <v>2621527332</v>
      </c>
      <c r="C568" s="209" t="s">
        <v>1923</v>
      </c>
      <c r="D568" s="209" t="s">
        <v>79</v>
      </c>
      <c r="E568" s="209" t="s">
        <v>35</v>
      </c>
      <c r="F568" s="209" t="s">
        <v>2068</v>
      </c>
      <c r="G568" s="209">
        <v>134</v>
      </c>
      <c r="H568" s="209" t="s">
        <v>205</v>
      </c>
      <c r="I568" s="209" t="s">
        <v>322</v>
      </c>
      <c r="J568" s="209" t="s">
        <v>1915</v>
      </c>
      <c r="K568" s="209" t="s">
        <v>200</v>
      </c>
      <c r="L568" s="247">
        <v>46163.526388888888</v>
      </c>
      <c r="M568" s="247">
        <v>46163.527083333334</v>
      </c>
      <c r="N568" s="209" t="s">
        <v>206</v>
      </c>
      <c r="O568" s="152" t="s">
        <v>207</v>
      </c>
      <c r="P568" s="90"/>
      <c r="Q568" s="140" t="s">
        <v>214</v>
      </c>
      <c r="R568" s="90"/>
      <c r="S568" s="140" t="s">
        <v>207</v>
      </c>
      <c r="T568" s="90"/>
      <c r="U568" s="140" t="s">
        <v>207</v>
      </c>
      <c r="V568" s="90"/>
      <c r="W568" s="140" t="s">
        <v>207</v>
      </c>
      <c r="X568" s="90"/>
      <c r="Y568" s="140" t="s">
        <v>207</v>
      </c>
      <c r="Z568" s="177" t="str">
        <f t="shared" si="30"/>
        <v>NC</v>
      </c>
      <c r="AA568" s="190" t="str">
        <f t="shared" si="29"/>
        <v>UTILIZOU O PDA CORRETAMENTE. NÃO HÁ FOTOS DE TODAS AS ETAPAS</v>
      </c>
      <c r="AB568" s="90"/>
      <c r="AC568" s="156" t="s">
        <v>36</v>
      </c>
      <c r="AD568" s="145" t="str">
        <f t="shared" si="31"/>
        <v>SÃO PAULO</v>
      </c>
      <c r="AE568" s="92" t="s">
        <v>79</v>
      </c>
    </row>
    <row r="569" spans="1:31" ht="30" customHeight="1">
      <c r="A569" s="250" t="s">
        <v>198</v>
      </c>
      <c r="B569" s="259">
        <v>2621500389</v>
      </c>
      <c r="C569" s="251" t="s">
        <v>151</v>
      </c>
      <c r="D569" s="251" t="s">
        <v>140</v>
      </c>
      <c r="E569" s="251" t="s">
        <v>35</v>
      </c>
      <c r="F569" s="251" t="s">
        <v>2740</v>
      </c>
      <c r="G569" s="251">
        <v>148</v>
      </c>
      <c r="H569" s="251" t="s">
        <v>208</v>
      </c>
      <c r="I569" s="251" t="s">
        <v>536</v>
      </c>
      <c r="J569" s="251" t="s">
        <v>1966</v>
      </c>
      <c r="K569" s="251" t="s">
        <v>200</v>
      </c>
      <c r="L569" s="252">
        <v>46164.387499999997</v>
      </c>
      <c r="M569" s="252">
        <v>46164.480555555558</v>
      </c>
      <c r="N569" s="251" t="s">
        <v>206</v>
      </c>
      <c r="O569" s="152" t="s">
        <v>207</v>
      </c>
      <c r="P569" s="90"/>
      <c r="Q569" s="140" t="s">
        <v>207</v>
      </c>
      <c r="R569" s="90"/>
      <c r="S569" s="140" t="s">
        <v>207</v>
      </c>
      <c r="T569" s="90"/>
      <c r="U569" s="140" t="s">
        <v>207</v>
      </c>
      <c r="V569" s="90"/>
      <c r="W569" s="140" t="s">
        <v>207</v>
      </c>
      <c r="X569" s="90"/>
      <c r="Y569" s="140" t="s">
        <v>207</v>
      </c>
      <c r="Z569" s="177" t="str">
        <f t="shared" si="30"/>
        <v>C</v>
      </c>
      <c r="AA569" s="190" t="str">
        <f t="shared" si="29"/>
        <v>UTILIZOU O PDA CORRETAMENTE</v>
      </c>
      <c r="AB569" s="90" t="s">
        <v>207</v>
      </c>
      <c r="AC569" s="156" t="s">
        <v>36</v>
      </c>
      <c r="AD569" s="145" t="str">
        <f t="shared" si="31"/>
        <v>SÃO PAULO</v>
      </c>
      <c r="AE569" s="92" t="s">
        <v>79</v>
      </c>
    </row>
    <row r="570" spans="1:31" ht="30" customHeight="1">
      <c r="A570" s="253" t="s">
        <v>198</v>
      </c>
      <c r="B570" s="260">
        <v>2693883623</v>
      </c>
      <c r="C570" s="254" t="s">
        <v>146</v>
      </c>
      <c r="D570" s="254" t="s">
        <v>79</v>
      </c>
      <c r="E570" s="254" t="s">
        <v>35</v>
      </c>
      <c r="F570" s="254" t="s">
        <v>2741</v>
      </c>
      <c r="G570" s="254">
        <v>164</v>
      </c>
      <c r="H570" s="254" t="s">
        <v>200</v>
      </c>
      <c r="I570" s="254" t="s">
        <v>455</v>
      </c>
      <c r="J570" s="254" t="s">
        <v>1915</v>
      </c>
      <c r="K570" s="254" t="s">
        <v>200</v>
      </c>
      <c r="L570" s="255">
        <v>46164.348611111112</v>
      </c>
      <c r="M570" s="255">
        <v>46164.357638888891</v>
      </c>
      <c r="N570" s="254" t="s">
        <v>2668</v>
      </c>
      <c r="O570" s="152" t="s">
        <v>207</v>
      </c>
      <c r="P570" s="90"/>
      <c r="Q570" s="140" t="s">
        <v>207</v>
      </c>
      <c r="R570" s="90"/>
      <c r="S570" s="140" t="s">
        <v>214</v>
      </c>
      <c r="T570" s="90"/>
      <c r="U570" s="140" t="s">
        <v>214</v>
      </c>
      <c r="V570" s="90"/>
      <c r="W570" s="140" t="s">
        <v>207</v>
      </c>
      <c r="X570" s="90"/>
      <c r="Y570" s="140" t="s">
        <v>207</v>
      </c>
      <c r="Z570" s="177" t="str">
        <f t="shared" si="30"/>
        <v>NC</v>
      </c>
      <c r="AA570" s="190" t="str">
        <f t="shared" si="29"/>
        <v>UTILIZOU O PDA CORRETAMENTE. NÃO HÁ FOTOS DE TODAS AS ETAPAS</v>
      </c>
      <c r="AB570" s="90" t="s">
        <v>207</v>
      </c>
      <c r="AC570" s="156" t="s">
        <v>36</v>
      </c>
      <c r="AD570" s="145" t="str">
        <f t="shared" si="31"/>
        <v>SÃO PAULO</v>
      </c>
      <c r="AE570" s="92" t="s">
        <v>79</v>
      </c>
    </row>
    <row r="571" spans="1:31" ht="30" customHeight="1">
      <c r="A571" s="253" t="s">
        <v>198</v>
      </c>
      <c r="B571" s="260">
        <v>2621504592</v>
      </c>
      <c r="C571" s="254" t="s">
        <v>1923</v>
      </c>
      <c r="D571" s="254" t="s">
        <v>79</v>
      </c>
      <c r="E571" s="254" t="s">
        <v>35</v>
      </c>
      <c r="F571" s="254" t="s">
        <v>2742</v>
      </c>
      <c r="G571" s="254">
        <v>139</v>
      </c>
      <c r="H571" s="254" t="s">
        <v>200</v>
      </c>
      <c r="I571" s="254" t="s">
        <v>1731</v>
      </c>
      <c r="J571" s="254" t="s">
        <v>1915</v>
      </c>
      <c r="K571" s="254" t="s">
        <v>200</v>
      </c>
      <c r="L571" s="255">
        <v>46164.325694444444</v>
      </c>
      <c r="M571" s="255">
        <v>46164.333333333336</v>
      </c>
      <c r="N571" s="254" t="s">
        <v>2668</v>
      </c>
      <c r="O571" s="152" t="s">
        <v>214</v>
      </c>
      <c r="P571" s="90"/>
      <c r="Q571" s="140" t="s">
        <v>207</v>
      </c>
      <c r="R571" s="90"/>
      <c r="S571" s="140" t="s">
        <v>207</v>
      </c>
      <c r="T571" s="90"/>
      <c r="U571" s="140" t="s">
        <v>207</v>
      </c>
      <c r="V571" s="90"/>
      <c r="W571" s="140" t="s">
        <v>207</v>
      </c>
      <c r="X571" s="90"/>
      <c r="Y571" s="140" t="s">
        <v>207</v>
      </c>
      <c r="Z571" s="177" t="str">
        <f t="shared" si="30"/>
        <v>NC</v>
      </c>
      <c r="AA571" s="190" t="str">
        <f t="shared" si="29"/>
        <v>UTILIZOU O PDA CORRETAMENTE. NÃO HÁ FOTOS DE TODAS AS ETAPAS</v>
      </c>
      <c r="AB571" s="90" t="s">
        <v>207</v>
      </c>
      <c r="AC571" s="156" t="s">
        <v>36</v>
      </c>
      <c r="AD571" s="145" t="str">
        <f t="shared" si="31"/>
        <v>SÃO PAULO</v>
      </c>
      <c r="AE571" s="92" t="s">
        <v>79</v>
      </c>
    </row>
    <row r="572" spans="1:31" ht="30" customHeight="1">
      <c r="A572" s="253" t="s">
        <v>198</v>
      </c>
      <c r="B572" s="260">
        <v>2621528895</v>
      </c>
      <c r="C572" s="254" t="s">
        <v>1923</v>
      </c>
      <c r="D572" s="254" t="s">
        <v>79</v>
      </c>
      <c r="E572" s="254" t="s">
        <v>35</v>
      </c>
      <c r="F572" s="254" t="s">
        <v>2743</v>
      </c>
      <c r="G572" s="254">
        <v>24</v>
      </c>
      <c r="H572" s="254" t="s">
        <v>200</v>
      </c>
      <c r="I572" s="254" t="s">
        <v>399</v>
      </c>
      <c r="J572" s="254" t="s">
        <v>1915</v>
      </c>
      <c r="K572" s="254" t="s">
        <v>200</v>
      </c>
      <c r="L572" s="255">
        <v>46164.209722222222</v>
      </c>
      <c r="M572" s="255">
        <v>46164.243055555555</v>
      </c>
      <c r="N572" s="254" t="s">
        <v>2668</v>
      </c>
      <c r="O572" s="152" t="s">
        <v>207</v>
      </c>
      <c r="P572" s="90"/>
      <c r="Q572" s="140" t="s">
        <v>214</v>
      </c>
      <c r="R572" s="90"/>
      <c r="S572" s="140" t="s">
        <v>214</v>
      </c>
      <c r="T572" s="90"/>
      <c r="U572" s="140" t="s">
        <v>214</v>
      </c>
      <c r="V572" s="90"/>
      <c r="W572" s="140" t="s">
        <v>207</v>
      </c>
      <c r="X572" s="90"/>
      <c r="Y572" s="140" t="s">
        <v>207</v>
      </c>
      <c r="Z572" s="177" t="str">
        <f t="shared" si="30"/>
        <v>NC</v>
      </c>
      <c r="AA572" s="190" t="str">
        <f t="shared" si="29"/>
        <v>UTILIZOU O PDA CORRETAMENTE. NÃO HÁ FOTOS DE TODAS AS ETAPAS</v>
      </c>
      <c r="AB572" s="90" t="s">
        <v>207</v>
      </c>
      <c r="AC572" s="156" t="s">
        <v>36</v>
      </c>
      <c r="AD572" s="145" t="str">
        <f t="shared" si="31"/>
        <v>SÃO PAULO</v>
      </c>
      <c r="AE572" s="92" t="s">
        <v>79</v>
      </c>
    </row>
    <row r="573" spans="1:31" ht="30" customHeight="1">
      <c r="A573" s="253" t="s">
        <v>198</v>
      </c>
      <c r="B573" s="260">
        <v>2621521677</v>
      </c>
      <c r="C573" s="254" t="s">
        <v>1923</v>
      </c>
      <c r="D573" s="254" t="s">
        <v>79</v>
      </c>
      <c r="E573" s="254" t="s">
        <v>35</v>
      </c>
      <c r="F573" s="254" t="s">
        <v>2006</v>
      </c>
      <c r="G573" s="254">
        <v>273</v>
      </c>
      <c r="H573" s="254" t="s">
        <v>205</v>
      </c>
      <c r="I573" s="254" t="s">
        <v>225</v>
      </c>
      <c r="J573" s="254" t="s">
        <v>1915</v>
      </c>
      <c r="K573" s="254" t="s">
        <v>2734</v>
      </c>
      <c r="L573" s="255">
        <v>46164.392361111109</v>
      </c>
      <c r="M573" s="255">
        <v>46164.393055555556</v>
      </c>
      <c r="N573" s="254" t="s">
        <v>1916</v>
      </c>
      <c r="O573" s="152" t="s">
        <v>207</v>
      </c>
      <c r="P573" s="90"/>
      <c r="Q573" s="140" t="s">
        <v>207</v>
      </c>
      <c r="R573" s="90"/>
      <c r="S573" s="140" t="s">
        <v>214</v>
      </c>
      <c r="T573" s="90"/>
      <c r="U573" s="140" t="s">
        <v>207</v>
      </c>
      <c r="V573" s="90"/>
      <c r="W573" s="140" t="s">
        <v>214</v>
      </c>
      <c r="X573" s="90"/>
      <c r="Y573" s="140" t="s">
        <v>207</v>
      </c>
      <c r="Z573" s="177" t="str">
        <f t="shared" si="30"/>
        <v>NC</v>
      </c>
      <c r="AA573" s="190" t="str">
        <f t="shared" si="29"/>
        <v>UTILIZOU O PDA CORRETAMENTE. NÃO HÁ FOTOS DE TODAS AS ETAPAS</v>
      </c>
      <c r="AB573" s="90"/>
      <c r="AC573" s="156" t="s">
        <v>36</v>
      </c>
      <c r="AD573" s="145" t="str">
        <f t="shared" si="31"/>
        <v>SÃO PAULO</v>
      </c>
      <c r="AE573" s="92" t="s">
        <v>79</v>
      </c>
    </row>
    <row r="574" spans="1:31" ht="30" customHeight="1">
      <c r="A574" s="253" t="s">
        <v>198</v>
      </c>
      <c r="B574" s="260">
        <v>2621521534</v>
      </c>
      <c r="C574" s="254" t="s">
        <v>146</v>
      </c>
      <c r="D574" s="254" t="s">
        <v>79</v>
      </c>
      <c r="E574" s="254" t="s">
        <v>35</v>
      </c>
      <c r="F574" s="254" t="s">
        <v>369</v>
      </c>
      <c r="G574" s="254">
        <v>140</v>
      </c>
      <c r="H574" s="254" t="s">
        <v>208</v>
      </c>
      <c r="I574" s="254" t="s">
        <v>357</v>
      </c>
      <c r="J574" s="254" t="s">
        <v>1915</v>
      </c>
      <c r="K574" s="254" t="s">
        <v>200</v>
      </c>
      <c r="L574" s="255">
        <v>46164.320138888892</v>
      </c>
      <c r="M574" s="255">
        <v>46164.320833333331</v>
      </c>
      <c r="N574" s="254" t="s">
        <v>390</v>
      </c>
      <c r="O574" s="152" t="s">
        <v>207</v>
      </c>
      <c r="P574" s="90"/>
      <c r="Q574" s="140" t="s">
        <v>214</v>
      </c>
      <c r="R574" s="90"/>
      <c r="S574" s="140" t="s">
        <v>214</v>
      </c>
      <c r="T574" s="90"/>
      <c r="U574" s="140" t="s">
        <v>214</v>
      </c>
      <c r="V574" s="90"/>
      <c r="W574" s="140" t="s">
        <v>214</v>
      </c>
      <c r="X574" s="90"/>
      <c r="Y574" s="140" t="s">
        <v>207</v>
      </c>
      <c r="Z574" s="177" t="str">
        <f t="shared" si="30"/>
        <v>NC</v>
      </c>
      <c r="AA574" s="190" t="str">
        <f t="shared" si="29"/>
        <v>UTILIZOU O PDA CORRETAMENTE. NÃO HÁ FOTOS DE TODAS AS ETAPAS</v>
      </c>
      <c r="AB574" s="90" t="s">
        <v>207</v>
      </c>
      <c r="AC574" s="156" t="s">
        <v>36</v>
      </c>
      <c r="AD574" s="145" t="str">
        <f t="shared" si="31"/>
        <v>SÃO PAULO</v>
      </c>
      <c r="AE574" s="92" t="s">
        <v>79</v>
      </c>
    </row>
    <row r="575" spans="1:31" ht="30" customHeight="1">
      <c r="A575" s="253" t="s">
        <v>198</v>
      </c>
      <c r="B575" s="260">
        <v>2693930765</v>
      </c>
      <c r="C575" s="254" t="s">
        <v>146</v>
      </c>
      <c r="D575" s="254" t="s">
        <v>79</v>
      </c>
      <c r="E575" s="254" t="s">
        <v>35</v>
      </c>
      <c r="F575" s="254" t="s">
        <v>1851</v>
      </c>
      <c r="G575" s="254">
        <v>62</v>
      </c>
      <c r="H575" s="254" t="s">
        <v>347</v>
      </c>
      <c r="I575" s="254" t="s">
        <v>1852</v>
      </c>
      <c r="J575" s="254" t="s">
        <v>1915</v>
      </c>
      <c r="K575" s="254" t="s">
        <v>200</v>
      </c>
      <c r="L575" s="255">
        <v>46164.185416666667</v>
      </c>
      <c r="M575" s="255">
        <v>46164.20416666667</v>
      </c>
      <c r="N575" s="254" t="s">
        <v>390</v>
      </c>
      <c r="O575" s="152" t="s">
        <v>207</v>
      </c>
      <c r="P575" s="90"/>
      <c r="Q575" s="140" t="s">
        <v>207</v>
      </c>
      <c r="R575" s="90"/>
      <c r="S575" s="140" t="s">
        <v>207</v>
      </c>
      <c r="T575" s="90"/>
      <c r="U575" s="140" t="s">
        <v>207</v>
      </c>
      <c r="V575" s="90"/>
      <c r="W575" s="140" t="s">
        <v>207</v>
      </c>
      <c r="X575" s="90"/>
      <c r="Y575" s="140" t="s">
        <v>207</v>
      </c>
      <c r="Z575" s="177" t="str">
        <f t="shared" si="30"/>
        <v>C</v>
      </c>
      <c r="AA575" s="190" t="str">
        <f t="shared" si="29"/>
        <v>UTILIZOU O PDA CORRETAMENTE</v>
      </c>
      <c r="AB575" s="90" t="s">
        <v>207</v>
      </c>
      <c r="AC575" s="156" t="s">
        <v>36</v>
      </c>
      <c r="AD575" s="145" t="str">
        <f t="shared" si="31"/>
        <v>SÃO PAULO</v>
      </c>
      <c r="AE575" s="92" t="s">
        <v>79</v>
      </c>
    </row>
    <row r="576" spans="1:31" ht="30" customHeight="1">
      <c r="A576" s="253" t="s">
        <v>198</v>
      </c>
      <c r="B576" s="260">
        <v>2621522869</v>
      </c>
      <c r="C576" s="254" t="s">
        <v>147</v>
      </c>
      <c r="D576" s="254" t="s">
        <v>79</v>
      </c>
      <c r="E576" s="254" t="s">
        <v>35</v>
      </c>
      <c r="F576" s="254" t="s">
        <v>2744</v>
      </c>
      <c r="G576" s="254">
        <v>45</v>
      </c>
      <c r="H576" s="254" t="s">
        <v>200</v>
      </c>
      <c r="I576" s="254" t="s">
        <v>293</v>
      </c>
      <c r="J576" s="254" t="s">
        <v>1915</v>
      </c>
      <c r="K576" s="254" t="s">
        <v>200</v>
      </c>
      <c r="L576" s="255">
        <v>46164.284722222219</v>
      </c>
      <c r="M576" s="255">
        <v>46164.296527777777</v>
      </c>
      <c r="N576" s="254" t="s">
        <v>1933</v>
      </c>
      <c r="O576" s="152" t="s">
        <v>207</v>
      </c>
      <c r="P576" s="90"/>
      <c r="Q576" s="140" t="s">
        <v>207</v>
      </c>
      <c r="R576" s="90"/>
      <c r="S576" s="140" t="s">
        <v>207</v>
      </c>
      <c r="T576" s="90"/>
      <c r="U576" s="140" t="s">
        <v>207</v>
      </c>
      <c r="V576" s="90"/>
      <c r="W576" s="140" t="s">
        <v>207</v>
      </c>
      <c r="X576" s="90"/>
      <c r="Y576" s="140" t="s">
        <v>207</v>
      </c>
      <c r="Z576" s="177" t="str">
        <f t="shared" si="30"/>
        <v>C</v>
      </c>
      <c r="AA576" s="190" t="str">
        <f t="shared" si="29"/>
        <v>UTILIZOU O PDA CORRETAMENTE</v>
      </c>
      <c r="AB576" s="90" t="s">
        <v>207</v>
      </c>
      <c r="AC576" s="156" t="s">
        <v>36</v>
      </c>
      <c r="AD576" s="145" t="str">
        <f t="shared" si="31"/>
        <v>SÃO PAULO</v>
      </c>
      <c r="AE576" s="92" t="s">
        <v>79</v>
      </c>
    </row>
    <row r="577" spans="1:31" ht="30" customHeight="1">
      <c r="A577" s="253" t="s">
        <v>198</v>
      </c>
      <c r="B577" s="260">
        <v>2693896186</v>
      </c>
      <c r="C577" s="254" t="s">
        <v>143</v>
      </c>
      <c r="D577" s="254" t="s">
        <v>79</v>
      </c>
      <c r="E577" s="254" t="s">
        <v>35</v>
      </c>
      <c r="F577" s="254" t="s">
        <v>2745</v>
      </c>
      <c r="G577" s="254">
        <v>253</v>
      </c>
      <c r="H577" s="254" t="s">
        <v>200</v>
      </c>
      <c r="I577" s="254" t="s">
        <v>271</v>
      </c>
      <c r="J577" s="254" t="s">
        <v>1932</v>
      </c>
      <c r="K577" s="254" t="s">
        <v>200</v>
      </c>
      <c r="L577" s="255">
        <v>46164.463194444441</v>
      </c>
      <c r="M577" s="255">
        <v>46164.478472222225</v>
      </c>
      <c r="N577" s="254" t="s">
        <v>1933</v>
      </c>
      <c r="O577" s="152" t="s">
        <v>207</v>
      </c>
      <c r="P577" s="90"/>
      <c r="Q577" s="140" t="s">
        <v>207</v>
      </c>
      <c r="R577" s="90"/>
      <c r="S577" s="140" t="s">
        <v>214</v>
      </c>
      <c r="T577" s="90"/>
      <c r="U577" s="140" t="s">
        <v>214</v>
      </c>
      <c r="V577" s="90"/>
      <c r="W577" s="140" t="s">
        <v>214</v>
      </c>
      <c r="X577" s="90"/>
      <c r="Y577" s="140" t="s">
        <v>207</v>
      </c>
      <c r="Z577" s="177" t="str">
        <f t="shared" si="30"/>
        <v>NC</v>
      </c>
      <c r="AA577" s="190" t="str">
        <f t="shared" si="29"/>
        <v>UTILIZOU O PDA CORRETAMENTE. NÃO HÁ FOTOS DE TODAS AS ETAPAS</v>
      </c>
      <c r="AB577" s="90" t="s">
        <v>207</v>
      </c>
      <c r="AC577" s="156" t="s">
        <v>36</v>
      </c>
      <c r="AD577" s="145" t="str">
        <f t="shared" si="31"/>
        <v>SÃO PAULO</v>
      </c>
      <c r="AE577" s="92" t="s">
        <v>79</v>
      </c>
    </row>
    <row r="578" spans="1:31" ht="30" customHeight="1">
      <c r="A578" s="253" t="s">
        <v>198</v>
      </c>
      <c r="B578" s="260">
        <v>2621496245</v>
      </c>
      <c r="C578" s="254" t="s">
        <v>1923</v>
      </c>
      <c r="D578" s="254" t="s">
        <v>79</v>
      </c>
      <c r="E578" s="254" t="s">
        <v>35</v>
      </c>
      <c r="F578" s="254" t="s">
        <v>2722</v>
      </c>
      <c r="G578" s="254">
        <v>3</v>
      </c>
      <c r="H578" s="254" t="s">
        <v>205</v>
      </c>
      <c r="I578" s="254" t="s">
        <v>433</v>
      </c>
      <c r="J578" s="254" t="s">
        <v>1915</v>
      </c>
      <c r="K578" s="254" t="s">
        <v>2060</v>
      </c>
      <c r="L578" s="255">
        <v>46164.549305555556</v>
      </c>
      <c r="M578" s="255">
        <v>46164.55</v>
      </c>
      <c r="N578" s="254" t="s">
        <v>1925</v>
      </c>
      <c r="O578" s="152" t="s">
        <v>214</v>
      </c>
      <c r="P578" s="90"/>
      <c r="Q578" s="140" t="s">
        <v>214</v>
      </c>
      <c r="R578" s="90"/>
      <c r="S578" s="140" t="s">
        <v>214</v>
      </c>
      <c r="T578" s="90"/>
      <c r="U578" s="140" t="s">
        <v>214</v>
      </c>
      <c r="V578" s="90"/>
      <c r="W578" s="140" t="s">
        <v>214</v>
      </c>
      <c r="X578" s="90"/>
      <c r="Y578" s="140" t="s">
        <v>215</v>
      </c>
      <c r="Z578" s="177" t="str">
        <f t="shared" si="30"/>
        <v>NC</v>
      </c>
      <c r="AA578" s="190" t="str">
        <f t="shared" ref="AA578:AA641" si="32">IF(AND(Y578="C",Z578="C"),"UTILIZOU O PDA CORRETAMENTE",IF(AND(Y578="C",Z578="NC"),"UTILIZOU O PDA CORRETAMENTE. NÃO HÁ FOTOS DE TODAS AS ETAPAS",IF(AND(Y578="NC",Z578="NC"),"NÃO UTILIZOU O PDA",IF(AND(Y578="NA",Z578="NA"),"NÃO AVALIADO POR FALHA DE SINCRONISMO"))))</f>
        <v>NÃO UTILIZOU O PDA</v>
      </c>
      <c r="AB578" s="90" t="s">
        <v>207</v>
      </c>
      <c r="AC578" s="156" t="s">
        <v>36</v>
      </c>
      <c r="AD578" s="145" t="str">
        <f t="shared" si="31"/>
        <v>SÃO PAULO</v>
      </c>
      <c r="AE578" s="92" t="s">
        <v>79</v>
      </c>
    </row>
    <row r="579" spans="1:31" ht="30" customHeight="1">
      <c r="A579" s="253" t="s">
        <v>198</v>
      </c>
      <c r="B579" s="260">
        <v>2621498711</v>
      </c>
      <c r="C579" s="254" t="s">
        <v>1923</v>
      </c>
      <c r="D579" s="254" t="s">
        <v>79</v>
      </c>
      <c r="E579" s="254" t="s">
        <v>35</v>
      </c>
      <c r="F579" s="254" t="s">
        <v>1696</v>
      </c>
      <c r="G579" s="254">
        <v>263</v>
      </c>
      <c r="H579" s="254" t="s">
        <v>325</v>
      </c>
      <c r="I579" s="254" t="s">
        <v>433</v>
      </c>
      <c r="J579" s="254" t="s">
        <v>1915</v>
      </c>
      <c r="K579" s="254" t="s">
        <v>2746</v>
      </c>
      <c r="L579" s="255">
        <v>46164.19027777778</v>
      </c>
      <c r="M579" s="255">
        <v>46164.190972222219</v>
      </c>
      <c r="N579" s="254" t="s">
        <v>1919</v>
      </c>
      <c r="O579" s="152" t="s">
        <v>207</v>
      </c>
      <c r="P579" s="90"/>
      <c r="Q579" s="140" t="s">
        <v>214</v>
      </c>
      <c r="R579" s="90"/>
      <c r="S579" s="140" t="s">
        <v>214</v>
      </c>
      <c r="T579" s="90"/>
      <c r="U579" s="140" t="s">
        <v>214</v>
      </c>
      <c r="V579" s="90"/>
      <c r="W579" s="140" t="s">
        <v>207</v>
      </c>
      <c r="X579" s="90"/>
      <c r="Y579" s="140" t="s">
        <v>207</v>
      </c>
      <c r="Z579" s="177" t="str">
        <f t="shared" ref="Z579:Z596" si="33">IF(AND(O579="",Q579="",S579="",U579="",W579=""),"",IF(OR(AND(O579&lt;&gt;"NA",O579&lt;&gt;"C",O579&lt;&gt;"NC",O579&lt;&gt;"SF",O579&lt;&gt;""),AND(Q579&lt;&gt;"NA",Q579&lt;&gt;"C",Q579&lt;&gt;"NC",Q579&lt;&gt;"SF",Q579&lt;&gt;""),AND(S579&lt;&gt;"NA",S579&lt;&gt;"C",S579&lt;&gt;"NC",S579&lt;&gt;"SF",S579&lt;&gt;""),AND(U579&lt;&gt;"NA",U579&lt;&gt;"C",U579&lt;&gt;"NC",U579&lt;&gt;"SF",U579&lt;&gt;""),AND(W579&lt;&gt;"NA",W579&lt;&gt;"C",W579&lt;&gt;"NC",W579&lt;&gt;"SF",W579&lt;&gt;"")),"FALSO",IF(AND(O579="NA",Q579="NA",S579="NA",U579="NA",W579="NA"),"NA",IF(OR(O579="NC",Q579="NC",S579="NC",U579="NC",W579="NC",O579="SF",Q579="SF",S579="SF",U579="SF",W579="SF"),"NC",IF(OR(O579="C",Q579="C",S579="C",U579="C",W579="C"),"C","")))))</f>
        <v>NC</v>
      </c>
      <c r="AA579" s="190" t="str">
        <f t="shared" si="32"/>
        <v>UTILIZOU O PDA CORRETAMENTE. NÃO HÁ FOTOS DE TODAS AS ETAPAS</v>
      </c>
      <c r="AB579" s="90"/>
      <c r="AC579" s="156" t="s">
        <v>36</v>
      </c>
      <c r="AD579" s="145" t="str">
        <f t="shared" si="31"/>
        <v>SÃO PAULO</v>
      </c>
      <c r="AE579" s="92" t="s">
        <v>79</v>
      </c>
    </row>
    <row r="580" spans="1:31" ht="30" customHeight="1">
      <c r="A580" s="253" t="s">
        <v>198</v>
      </c>
      <c r="B580" s="260">
        <v>2621500727</v>
      </c>
      <c r="C580" s="254" t="s">
        <v>1923</v>
      </c>
      <c r="D580" s="254" t="s">
        <v>79</v>
      </c>
      <c r="E580" s="254" t="s">
        <v>35</v>
      </c>
      <c r="F580" s="254" t="s">
        <v>2747</v>
      </c>
      <c r="G580" s="254">
        <v>85</v>
      </c>
      <c r="H580" s="254" t="s">
        <v>205</v>
      </c>
      <c r="I580" s="254" t="s">
        <v>355</v>
      </c>
      <c r="J580" s="254" t="s">
        <v>1915</v>
      </c>
      <c r="K580" s="254" t="s">
        <v>2458</v>
      </c>
      <c r="L580" s="255">
        <v>46164.192361111112</v>
      </c>
      <c r="M580" s="255">
        <v>46164.193749999999</v>
      </c>
      <c r="N580" s="254" t="s">
        <v>1919</v>
      </c>
      <c r="O580" s="152" t="s">
        <v>214</v>
      </c>
      <c r="P580" s="90"/>
      <c r="Q580" s="140" t="s">
        <v>214</v>
      </c>
      <c r="R580" s="90"/>
      <c r="S580" s="140" t="s">
        <v>214</v>
      </c>
      <c r="T580" s="90"/>
      <c r="U580" s="140" t="s">
        <v>214</v>
      </c>
      <c r="V580" s="90"/>
      <c r="W580" s="140" t="s">
        <v>214</v>
      </c>
      <c r="X580" s="90"/>
      <c r="Y580" s="140" t="s">
        <v>215</v>
      </c>
      <c r="Z580" s="177" t="str">
        <f t="shared" si="33"/>
        <v>NC</v>
      </c>
      <c r="AA580" s="190" t="str">
        <f t="shared" si="32"/>
        <v>NÃO UTILIZOU O PDA</v>
      </c>
      <c r="AB580" s="90" t="s">
        <v>207</v>
      </c>
      <c r="AC580" s="156" t="s">
        <v>36</v>
      </c>
      <c r="AD580" s="145" t="str">
        <f t="shared" si="31"/>
        <v>SÃO PAULO</v>
      </c>
      <c r="AE580" s="92" t="s">
        <v>79</v>
      </c>
    </row>
    <row r="581" spans="1:31" ht="30" customHeight="1">
      <c r="A581" s="253" t="s">
        <v>198</v>
      </c>
      <c r="B581" s="260">
        <v>2693924763</v>
      </c>
      <c r="C581" s="254" t="s">
        <v>147</v>
      </c>
      <c r="D581" s="254" t="s">
        <v>79</v>
      </c>
      <c r="E581" s="254" t="s">
        <v>35</v>
      </c>
      <c r="F581" s="254" t="s">
        <v>2748</v>
      </c>
      <c r="G581" s="254">
        <v>13</v>
      </c>
      <c r="H581" s="254" t="s">
        <v>1450</v>
      </c>
      <c r="I581" s="254" t="s">
        <v>355</v>
      </c>
      <c r="J581" s="254" t="s">
        <v>1915</v>
      </c>
      <c r="K581" s="254" t="s">
        <v>200</v>
      </c>
      <c r="L581" s="255">
        <v>46164.386805555558</v>
      </c>
      <c r="M581" s="255">
        <v>46164.393055555556</v>
      </c>
      <c r="N581" s="254" t="s">
        <v>1919</v>
      </c>
      <c r="O581" s="152" t="s">
        <v>207</v>
      </c>
      <c r="P581" s="90"/>
      <c r="Q581" s="140" t="s">
        <v>207</v>
      </c>
      <c r="R581" s="90"/>
      <c r="S581" s="140" t="s">
        <v>214</v>
      </c>
      <c r="T581" s="90"/>
      <c r="U581" s="140" t="s">
        <v>214</v>
      </c>
      <c r="V581" s="90"/>
      <c r="W581" s="140" t="s">
        <v>207</v>
      </c>
      <c r="X581" s="90"/>
      <c r="Y581" s="140" t="s">
        <v>207</v>
      </c>
      <c r="Z581" s="177" t="str">
        <f t="shared" si="33"/>
        <v>NC</v>
      </c>
      <c r="AA581" s="190" t="str">
        <f t="shared" si="32"/>
        <v>UTILIZOU O PDA CORRETAMENTE. NÃO HÁ FOTOS DE TODAS AS ETAPAS</v>
      </c>
      <c r="AB581" s="90" t="s">
        <v>207</v>
      </c>
      <c r="AC581" s="156" t="s">
        <v>36</v>
      </c>
      <c r="AD581" s="145" t="str">
        <f t="shared" si="31"/>
        <v>SÃO PAULO</v>
      </c>
      <c r="AE581" s="92" t="s">
        <v>79</v>
      </c>
    </row>
    <row r="582" spans="1:31" ht="30" customHeight="1">
      <c r="A582" s="253" t="s">
        <v>198</v>
      </c>
      <c r="B582" s="260">
        <v>2621649229</v>
      </c>
      <c r="C582" s="254" t="s">
        <v>1923</v>
      </c>
      <c r="D582" s="254" t="s">
        <v>79</v>
      </c>
      <c r="E582" s="254" t="s">
        <v>35</v>
      </c>
      <c r="F582" s="254" t="s">
        <v>520</v>
      </c>
      <c r="G582" s="254">
        <v>200</v>
      </c>
      <c r="H582" s="254" t="s">
        <v>2749</v>
      </c>
      <c r="I582" s="254" t="s">
        <v>241</v>
      </c>
      <c r="J582" s="254" t="s">
        <v>1915</v>
      </c>
      <c r="K582" s="254" t="s">
        <v>200</v>
      </c>
      <c r="L582" s="255">
        <v>46164.40902777778</v>
      </c>
      <c r="M582" s="255">
        <v>46164.414583333331</v>
      </c>
      <c r="N582" s="254" t="s">
        <v>1916</v>
      </c>
      <c r="O582" s="152" t="s">
        <v>77</v>
      </c>
      <c r="P582" s="90"/>
      <c r="Q582" s="140" t="s">
        <v>77</v>
      </c>
      <c r="R582" s="90"/>
      <c r="S582" s="140" t="s">
        <v>77</v>
      </c>
      <c r="T582" s="90"/>
      <c r="U582" s="140" t="s">
        <v>77</v>
      </c>
      <c r="V582" s="90"/>
      <c r="W582" s="140" t="s">
        <v>77</v>
      </c>
      <c r="X582" s="90"/>
      <c r="Y582" s="140" t="s">
        <v>77</v>
      </c>
      <c r="Z582" s="177" t="str">
        <f t="shared" si="33"/>
        <v>NA</v>
      </c>
      <c r="AA582" s="190" t="str">
        <f t="shared" si="32"/>
        <v>NÃO AVALIADO POR FALHA DE SINCRONISMO</v>
      </c>
      <c r="AB582" s="90"/>
      <c r="AC582" s="156" t="s">
        <v>36</v>
      </c>
      <c r="AD582" s="145" t="str">
        <f t="shared" si="31"/>
        <v>SÃO PAULO</v>
      </c>
      <c r="AE582" s="92" t="s">
        <v>79</v>
      </c>
    </row>
    <row r="583" spans="1:31" ht="30" customHeight="1">
      <c r="A583" s="253" t="s">
        <v>198</v>
      </c>
      <c r="B583" s="260">
        <v>2621659622</v>
      </c>
      <c r="C583" s="254" t="s">
        <v>1923</v>
      </c>
      <c r="D583" s="254" t="s">
        <v>79</v>
      </c>
      <c r="E583" s="254" t="s">
        <v>35</v>
      </c>
      <c r="F583" s="254" t="s">
        <v>457</v>
      </c>
      <c r="G583" s="254">
        <v>431</v>
      </c>
      <c r="H583" s="254" t="s">
        <v>208</v>
      </c>
      <c r="I583" s="254" t="s">
        <v>417</v>
      </c>
      <c r="J583" s="254" t="s">
        <v>1915</v>
      </c>
      <c r="K583" s="254" t="s">
        <v>200</v>
      </c>
      <c r="L583" s="255">
        <v>46164.349305555559</v>
      </c>
      <c r="M583" s="255">
        <v>46164.35</v>
      </c>
      <c r="N583" s="254" t="s">
        <v>1944</v>
      </c>
      <c r="O583" s="152" t="s">
        <v>207</v>
      </c>
      <c r="P583" s="90"/>
      <c r="Q583" s="140" t="s">
        <v>207</v>
      </c>
      <c r="R583" s="90"/>
      <c r="S583" s="140" t="s">
        <v>214</v>
      </c>
      <c r="T583" s="90"/>
      <c r="U583" s="140" t="s">
        <v>214</v>
      </c>
      <c r="V583" s="90"/>
      <c r="W583" s="140" t="s">
        <v>207</v>
      </c>
      <c r="X583" s="90"/>
      <c r="Y583" s="140" t="s">
        <v>207</v>
      </c>
      <c r="Z583" s="177" t="str">
        <f t="shared" si="33"/>
        <v>NC</v>
      </c>
      <c r="AA583" s="190" t="str">
        <f t="shared" si="32"/>
        <v>UTILIZOU O PDA CORRETAMENTE. NÃO HÁ FOTOS DE TODAS AS ETAPAS</v>
      </c>
      <c r="AB583" s="90"/>
      <c r="AC583" s="156" t="s">
        <v>36</v>
      </c>
      <c r="AD583" s="145" t="str">
        <f t="shared" si="31"/>
        <v>SÃO PAULO</v>
      </c>
      <c r="AE583" s="92" t="s">
        <v>79</v>
      </c>
    </row>
    <row r="584" spans="1:31" ht="30" customHeight="1">
      <c r="A584" s="253" t="s">
        <v>198</v>
      </c>
      <c r="B584" s="260">
        <v>2621661697</v>
      </c>
      <c r="C584" s="254" t="s">
        <v>1923</v>
      </c>
      <c r="D584" s="254" t="s">
        <v>79</v>
      </c>
      <c r="E584" s="254" t="s">
        <v>35</v>
      </c>
      <c r="F584" s="254" t="s">
        <v>2510</v>
      </c>
      <c r="G584" s="254">
        <v>1169</v>
      </c>
      <c r="H584" s="254" t="s">
        <v>208</v>
      </c>
      <c r="I584" s="254" t="s">
        <v>271</v>
      </c>
      <c r="J584" s="254" t="s">
        <v>1915</v>
      </c>
      <c r="K584" s="254" t="s">
        <v>200</v>
      </c>
      <c r="L584" s="255">
        <v>46164.350694444445</v>
      </c>
      <c r="M584" s="255">
        <v>46164.351388888892</v>
      </c>
      <c r="N584" s="254" t="s">
        <v>1944</v>
      </c>
      <c r="O584" s="152" t="s">
        <v>207</v>
      </c>
      <c r="P584" s="90"/>
      <c r="Q584" s="140" t="s">
        <v>207</v>
      </c>
      <c r="R584" s="90"/>
      <c r="S584" s="140" t="s">
        <v>214</v>
      </c>
      <c r="T584" s="90"/>
      <c r="U584" s="140" t="s">
        <v>214</v>
      </c>
      <c r="V584" s="90"/>
      <c r="W584" s="140" t="s">
        <v>207</v>
      </c>
      <c r="X584" s="90"/>
      <c r="Y584" s="140" t="s">
        <v>207</v>
      </c>
      <c r="Z584" s="177" t="str">
        <f t="shared" si="33"/>
        <v>NC</v>
      </c>
      <c r="AA584" s="190" t="str">
        <f t="shared" si="32"/>
        <v>UTILIZOU O PDA CORRETAMENTE. NÃO HÁ FOTOS DE TODAS AS ETAPAS</v>
      </c>
      <c r="AB584" s="90"/>
      <c r="AC584" s="156" t="s">
        <v>36</v>
      </c>
      <c r="AD584" s="145" t="str">
        <f t="shared" si="31"/>
        <v>SÃO PAULO</v>
      </c>
      <c r="AE584" s="92" t="s">
        <v>79</v>
      </c>
    </row>
    <row r="585" spans="1:31" ht="30" customHeight="1">
      <c r="A585" s="253" t="s">
        <v>198</v>
      </c>
      <c r="B585" s="260">
        <v>2621667653</v>
      </c>
      <c r="C585" s="254" t="s">
        <v>1923</v>
      </c>
      <c r="D585" s="254" t="s">
        <v>79</v>
      </c>
      <c r="E585" s="254" t="s">
        <v>35</v>
      </c>
      <c r="F585" s="254" t="s">
        <v>2083</v>
      </c>
      <c r="G585" s="254">
        <v>27</v>
      </c>
      <c r="H585" s="254" t="s">
        <v>255</v>
      </c>
      <c r="I585" s="254" t="s">
        <v>429</v>
      </c>
      <c r="J585" s="254" t="s">
        <v>1915</v>
      </c>
      <c r="K585" s="254" t="s">
        <v>2750</v>
      </c>
      <c r="L585" s="255">
        <v>46164.615972222222</v>
      </c>
      <c r="M585" s="255">
        <v>46164.616666666669</v>
      </c>
      <c r="N585" s="254" t="s">
        <v>1916</v>
      </c>
      <c r="O585" s="152" t="s">
        <v>207</v>
      </c>
      <c r="P585" s="90"/>
      <c r="Q585" s="140" t="s">
        <v>214</v>
      </c>
      <c r="R585" s="90"/>
      <c r="S585" s="140" t="s">
        <v>214</v>
      </c>
      <c r="T585" s="90"/>
      <c r="U585" s="140" t="s">
        <v>214</v>
      </c>
      <c r="V585" s="90"/>
      <c r="W585" s="140" t="s">
        <v>207</v>
      </c>
      <c r="X585" s="90"/>
      <c r="Y585" s="140" t="s">
        <v>207</v>
      </c>
      <c r="Z585" s="177" t="str">
        <f t="shared" si="33"/>
        <v>NC</v>
      </c>
      <c r="AA585" s="190" t="str">
        <f t="shared" si="32"/>
        <v>UTILIZOU O PDA CORRETAMENTE. NÃO HÁ FOTOS DE TODAS AS ETAPAS</v>
      </c>
      <c r="AB585" s="90"/>
      <c r="AC585" s="156" t="s">
        <v>36</v>
      </c>
      <c r="AD585" s="145" t="str">
        <f t="shared" si="31"/>
        <v>SÃO PAULO</v>
      </c>
      <c r="AE585" s="92" t="s">
        <v>79</v>
      </c>
    </row>
    <row r="586" spans="1:31" ht="30" customHeight="1">
      <c r="A586" s="253" t="s">
        <v>198</v>
      </c>
      <c r="B586" s="260">
        <v>2621667221</v>
      </c>
      <c r="C586" s="254" t="s">
        <v>1923</v>
      </c>
      <c r="D586" s="254" t="s">
        <v>79</v>
      </c>
      <c r="E586" s="254" t="s">
        <v>35</v>
      </c>
      <c r="F586" s="254" t="s">
        <v>900</v>
      </c>
      <c r="G586" s="254">
        <v>537</v>
      </c>
      <c r="H586" s="254" t="s">
        <v>208</v>
      </c>
      <c r="I586" s="254" t="s">
        <v>675</v>
      </c>
      <c r="J586" s="254" t="s">
        <v>1915</v>
      </c>
      <c r="K586" s="254" t="s">
        <v>200</v>
      </c>
      <c r="L586" s="255">
        <v>46164.177083333336</v>
      </c>
      <c r="M586" s="255">
        <v>46164.177083333336</v>
      </c>
      <c r="N586" s="254" t="s">
        <v>1931</v>
      </c>
      <c r="O586" s="152" t="s">
        <v>214</v>
      </c>
      <c r="P586" s="90"/>
      <c r="Q586" s="140" t="s">
        <v>207</v>
      </c>
      <c r="R586" s="90"/>
      <c r="S586" s="140" t="s">
        <v>214</v>
      </c>
      <c r="T586" s="90"/>
      <c r="U586" s="140" t="s">
        <v>214</v>
      </c>
      <c r="V586" s="90"/>
      <c r="W586" s="140" t="s">
        <v>207</v>
      </c>
      <c r="X586" s="90"/>
      <c r="Y586" s="140" t="s">
        <v>207</v>
      </c>
      <c r="Z586" s="177" t="str">
        <f t="shared" si="33"/>
        <v>NC</v>
      </c>
      <c r="AA586" s="190" t="str">
        <f t="shared" si="32"/>
        <v>UTILIZOU O PDA CORRETAMENTE. NÃO HÁ FOTOS DE TODAS AS ETAPAS</v>
      </c>
      <c r="AB586" s="90"/>
      <c r="AC586" s="156" t="s">
        <v>36</v>
      </c>
      <c r="AD586" s="145" t="str">
        <f t="shared" si="31"/>
        <v>SÃO PAULO</v>
      </c>
      <c r="AE586" s="92" t="s">
        <v>79</v>
      </c>
    </row>
    <row r="587" spans="1:31" ht="30" customHeight="1">
      <c r="A587" s="253" t="s">
        <v>198</v>
      </c>
      <c r="B587" s="260">
        <v>2621667517</v>
      </c>
      <c r="C587" s="254" t="s">
        <v>1923</v>
      </c>
      <c r="D587" s="254" t="s">
        <v>79</v>
      </c>
      <c r="E587" s="254" t="s">
        <v>35</v>
      </c>
      <c r="F587" s="254" t="s">
        <v>2751</v>
      </c>
      <c r="G587" s="254">
        <v>183</v>
      </c>
      <c r="H587" s="254" t="s">
        <v>208</v>
      </c>
      <c r="I587" s="254" t="s">
        <v>308</v>
      </c>
      <c r="J587" s="254" t="s">
        <v>1915</v>
      </c>
      <c r="K587" s="254" t="s">
        <v>2688</v>
      </c>
      <c r="L587" s="255">
        <v>46164.400694444441</v>
      </c>
      <c r="M587" s="255">
        <v>46164.400694444441</v>
      </c>
      <c r="N587" s="254" t="s">
        <v>2668</v>
      </c>
      <c r="O587" s="152" t="s">
        <v>207</v>
      </c>
      <c r="P587" s="90"/>
      <c r="Q587" s="140" t="s">
        <v>207</v>
      </c>
      <c r="R587" s="90"/>
      <c r="S587" s="140" t="s">
        <v>214</v>
      </c>
      <c r="T587" s="90"/>
      <c r="U587" s="140" t="s">
        <v>214</v>
      </c>
      <c r="V587" s="90"/>
      <c r="W587" s="140" t="s">
        <v>207</v>
      </c>
      <c r="X587" s="90"/>
      <c r="Y587" s="140" t="s">
        <v>207</v>
      </c>
      <c r="Z587" s="177" t="str">
        <f t="shared" si="33"/>
        <v>NC</v>
      </c>
      <c r="AA587" s="190" t="str">
        <f t="shared" si="32"/>
        <v>UTILIZOU O PDA CORRETAMENTE. NÃO HÁ FOTOS DE TODAS AS ETAPAS</v>
      </c>
      <c r="AB587" s="90"/>
      <c r="AC587" s="156" t="s">
        <v>36</v>
      </c>
      <c r="AD587" s="145" t="str">
        <f t="shared" si="31"/>
        <v>SÃO PAULO</v>
      </c>
      <c r="AE587" s="92" t="s">
        <v>79</v>
      </c>
    </row>
    <row r="588" spans="1:31" ht="30" customHeight="1">
      <c r="A588" s="253" t="s">
        <v>198</v>
      </c>
      <c r="B588" s="260">
        <v>2621666679</v>
      </c>
      <c r="C588" s="254" t="s">
        <v>1923</v>
      </c>
      <c r="D588" s="254" t="s">
        <v>79</v>
      </c>
      <c r="E588" s="254" t="s">
        <v>35</v>
      </c>
      <c r="F588" s="254" t="s">
        <v>498</v>
      </c>
      <c r="G588" s="254">
        <v>4818</v>
      </c>
      <c r="H588" s="254" t="s">
        <v>255</v>
      </c>
      <c r="I588" s="254" t="s">
        <v>1331</v>
      </c>
      <c r="J588" s="254" t="s">
        <v>1915</v>
      </c>
      <c r="K588" s="254" t="s">
        <v>200</v>
      </c>
      <c r="L588" s="255">
        <v>46164.54791666667</v>
      </c>
      <c r="M588" s="255">
        <v>46164.548611111109</v>
      </c>
      <c r="N588" s="254" t="s">
        <v>1925</v>
      </c>
      <c r="O588" s="152" t="s">
        <v>207</v>
      </c>
      <c r="P588" s="90"/>
      <c r="Q588" s="140" t="s">
        <v>207</v>
      </c>
      <c r="R588" s="90"/>
      <c r="S588" s="140" t="s">
        <v>214</v>
      </c>
      <c r="T588" s="90"/>
      <c r="U588" s="140" t="s">
        <v>214</v>
      </c>
      <c r="V588" s="90"/>
      <c r="W588" s="140" t="s">
        <v>215</v>
      </c>
      <c r="X588" s="90" t="s">
        <v>269</v>
      </c>
      <c r="Y588" s="140" t="s">
        <v>207</v>
      </c>
      <c r="Z588" s="177" t="str">
        <f t="shared" si="33"/>
        <v>NC</v>
      </c>
      <c r="AA588" s="190" t="str">
        <f t="shared" si="32"/>
        <v>UTILIZOU O PDA CORRETAMENTE. NÃO HÁ FOTOS DE TODAS AS ETAPAS</v>
      </c>
      <c r="AB588" s="90"/>
      <c r="AC588" s="156" t="s">
        <v>36</v>
      </c>
      <c r="AD588" s="145" t="str">
        <f t="shared" si="31"/>
        <v>SÃO PAULO</v>
      </c>
      <c r="AE588" s="92" t="s">
        <v>79</v>
      </c>
    </row>
    <row r="589" spans="1:31" ht="30" customHeight="1">
      <c r="A589" s="253" t="s">
        <v>198</v>
      </c>
      <c r="B589" s="260">
        <v>2621647764</v>
      </c>
      <c r="C589" s="254" t="s">
        <v>1923</v>
      </c>
      <c r="D589" s="254" t="s">
        <v>79</v>
      </c>
      <c r="E589" s="254" t="s">
        <v>35</v>
      </c>
      <c r="F589" s="254" t="s">
        <v>2752</v>
      </c>
      <c r="G589" s="254">
        <v>7</v>
      </c>
      <c r="H589" s="254" t="s">
        <v>208</v>
      </c>
      <c r="I589" s="254" t="s">
        <v>621</v>
      </c>
      <c r="J589" s="254" t="s">
        <v>1915</v>
      </c>
      <c r="K589" s="254" t="s">
        <v>200</v>
      </c>
      <c r="L589" s="255">
        <v>46164.59097222222</v>
      </c>
      <c r="M589" s="255">
        <v>46164.597916666666</v>
      </c>
      <c r="N589" s="254" t="s">
        <v>1916</v>
      </c>
      <c r="O589" s="152" t="s">
        <v>207</v>
      </c>
      <c r="P589" s="90"/>
      <c r="Q589" s="140" t="s">
        <v>207</v>
      </c>
      <c r="R589" s="90"/>
      <c r="S589" s="140" t="s">
        <v>207</v>
      </c>
      <c r="T589" s="90"/>
      <c r="U589" s="140" t="s">
        <v>207</v>
      </c>
      <c r="V589" s="90"/>
      <c r="W589" s="140" t="s">
        <v>207</v>
      </c>
      <c r="X589" s="90"/>
      <c r="Y589" s="140" t="s">
        <v>207</v>
      </c>
      <c r="Z589" s="177" t="str">
        <f t="shared" si="33"/>
        <v>C</v>
      </c>
      <c r="AA589" s="190" t="str">
        <f t="shared" si="32"/>
        <v>UTILIZOU O PDA CORRETAMENTE</v>
      </c>
      <c r="AB589" s="90" t="s">
        <v>207</v>
      </c>
      <c r="AC589" s="156" t="s">
        <v>36</v>
      </c>
      <c r="AD589" s="145" t="str">
        <f t="shared" si="31"/>
        <v>SÃO PAULO</v>
      </c>
      <c r="AE589" s="92" t="s">
        <v>79</v>
      </c>
    </row>
    <row r="590" spans="1:31" ht="30" customHeight="1">
      <c r="A590" s="253" t="s">
        <v>198</v>
      </c>
      <c r="B590" s="260">
        <v>2693950059</v>
      </c>
      <c r="C590" s="254" t="s">
        <v>147</v>
      </c>
      <c r="D590" s="254" t="s">
        <v>79</v>
      </c>
      <c r="E590" s="254" t="s">
        <v>35</v>
      </c>
      <c r="F590" s="254" t="s">
        <v>650</v>
      </c>
      <c r="G590" s="254">
        <v>918</v>
      </c>
      <c r="H590" s="254" t="s">
        <v>200</v>
      </c>
      <c r="I590" s="254" t="s">
        <v>408</v>
      </c>
      <c r="J590" s="254" t="s">
        <v>1915</v>
      </c>
      <c r="K590" s="254" t="s">
        <v>200</v>
      </c>
      <c r="L590" s="255">
        <v>46164.307638888888</v>
      </c>
      <c r="M590" s="255">
        <v>46164.308333333334</v>
      </c>
      <c r="N590" s="254" t="s">
        <v>1931</v>
      </c>
      <c r="O590" s="152" t="s">
        <v>207</v>
      </c>
      <c r="P590" s="90"/>
      <c r="Q590" s="140" t="s">
        <v>207</v>
      </c>
      <c r="R590" s="90"/>
      <c r="S590" s="140" t="s">
        <v>214</v>
      </c>
      <c r="T590" s="90"/>
      <c r="U590" s="140" t="s">
        <v>214</v>
      </c>
      <c r="V590" s="90"/>
      <c r="W590" s="140" t="s">
        <v>207</v>
      </c>
      <c r="X590" s="90"/>
      <c r="Y590" s="140" t="s">
        <v>207</v>
      </c>
      <c r="Z590" s="177" t="str">
        <f t="shared" si="33"/>
        <v>NC</v>
      </c>
      <c r="AA590" s="190" t="str">
        <f t="shared" si="32"/>
        <v>UTILIZOU O PDA CORRETAMENTE. NÃO HÁ FOTOS DE TODAS AS ETAPAS</v>
      </c>
      <c r="AB590" s="90"/>
      <c r="AC590" s="156" t="s">
        <v>36</v>
      </c>
      <c r="AD590" s="145" t="str">
        <f t="shared" si="31"/>
        <v>SÃO PAULO</v>
      </c>
      <c r="AE590" s="92" t="s">
        <v>79</v>
      </c>
    </row>
    <row r="591" spans="1:31" ht="30" customHeight="1">
      <c r="A591" s="253" t="s">
        <v>198</v>
      </c>
      <c r="B591" s="260">
        <v>2621657951</v>
      </c>
      <c r="C591" s="254" t="s">
        <v>144</v>
      </c>
      <c r="D591" s="254" t="s">
        <v>140</v>
      </c>
      <c r="E591" s="254" t="s">
        <v>35</v>
      </c>
      <c r="F591" s="254" t="s">
        <v>2753</v>
      </c>
      <c r="G591" s="254">
        <v>382</v>
      </c>
      <c r="H591" s="254" t="s">
        <v>200</v>
      </c>
      <c r="I591" s="254" t="s">
        <v>284</v>
      </c>
      <c r="J591" s="254" t="s">
        <v>1954</v>
      </c>
      <c r="K591" s="254" t="s">
        <v>200</v>
      </c>
      <c r="L591" s="255">
        <v>46164.331944444442</v>
      </c>
      <c r="M591" s="255">
        <v>46164.331944444442</v>
      </c>
      <c r="N591" s="254" t="s">
        <v>1931</v>
      </c>
      <c r="O591" s="152" t="s">
        <v>207</v>
      </c>
      <c r="P591" s="90"/>
      <c r="Q591" s="140" t="s">
        <v>207</v>
      </c>
      <c r="R591" s="90"/>
      <c r="S591" s="140" t="s">
        <v>214</v>
      </c>
      <c r="T591" s="90"/>
      <c r="U591" s="140" t="s">
        <v>214</v>
      </c>
      <c r="V591" s="90"/>
      <c r="W591" s="140" t="s">
        <v>207</v>
      </c>
      <c r="X591" s="90"/>
      <c r="Y591" s="140" t="s">
        <v>207</v>
      </c>
      <c r="Z591" s="177" t="str">
        <f t="shared" si="33"/>
        <v>NC</v>
      </c>
      <c r="AA591" s="190" t="str">
        <f t="shared" si="32"/>
        <v>UTILIZOU O PDA CORRETAMENTE. NÃO HÁ FOTOS DE TODAS AS ETAPAS</v>
      </c>
      <c r="AB591" s="90" t="s">
        <v>207</v>
      </c>
      <c r="AC591" s="156" t="s">
        <v>36</v>
      </c>
      <c r="AD591" s="145" t="str">
        <f t="shared" si="31"/>
        <v>SÃO PAULO</v>
      </c>
      <c r="AE591" s="92" t="s">
        <v>79</v>
      </c>
    </row>
    <row r="592" spans="1:31" ht="30" customHeight="1">
      <c r="A592" s="253" t="s">
        <v>198</v>
      </c>
      <c r="B592" s="260">
        <v>2621672775</v>
      </c>
      <c r="C592" s="254" t="s">
        <v>151</v>
      </c>
      <c r="D592" s="254" t="s">
        <v>140</v>
      </c>
      <c r="E592" s="254" t="s">
        <v>35</v>
      </c>
      <c r="F592" s="254" t="s">
        <v>2093</v>
      </c>
      <c r="G592" s="254">
        <v>417</v>
      </c>
      <c r="H592" s="254" t="s">
        <v>200</v>
      </c>
      <c r="I592" s="254" t="s">
        <v>675</v>
      </c>
      <c r="J592" s="254" t="s">
        <v>1966</v>
      </c>
      <c r="K592" s="254" t="s">
        <v>2754</v>
      </c>
      <c r="L592" s="255">
        <v>46164.487500000003</v>
      </c>
      <c r="M592" s="255">
        <v>46164.488194444442</v>
      </c>
      <c r="N592" s="254" t="s">
        <v>403</v>
      </c>
      <c r="O592" s="152" t="s">
        <v>77</v>
      </c>
      <c r="P592" s="90"/>
      <c r="Q592" s="140" t="s">
        <v>77</v>
      </c>
      <c r="R592" s="90"/>
      <c r="S592" s="140" t="s">
        <v>77</v>
      </c>
      <c r="T592" s="90"/>
      <c r="U592" s="140" t="s">
        <v>77</v>
      </c>
      <c r="V592" s="90"/>
      <c r="W592" s="140" t="s">
        <v>77</v>
      </c>
      <c r="X592" s="90"/>
      <c r="Y592" s="140" t="s">
        <v>77</v>
      </c>
      <c r="Z592" s="177" t="str">
        <f t="shared" si="33"/>
        <v>NA</v>
      </c>
      <c r="AA592" s="190" t="str">
        <f t="shared" si="32"/>
        <v>NÃO AVALIADO POR FALHA DE SINCRONISMO</v>
      </c>
      <c r="AB592" s="90" t="s">
        <v>207</v>
      </c>
      <c r="AC592" s="156" t="s">
        <v>36</v>
      </c>
      <c r="AD592" s="145" t="str">
        <f t="shared" si="31"/>
        <v>SÃO PAULO</v>
      </c>
      <c r="AE592" s="92" t="s">
        <v>79</v>
      </c>
    </row>
    <row r="593" spans="1:31" ht="30" customHeight="1">
      <c r="A593" s="253" t="s">
        <v>198</v>
      </c>
      <c r="B593" s="260">
        <v>2621676034</v>
      </c>
      <c r="C593" s="254" t="s">
        <v>1923</v>
      </c>
      <c r="D593" s="254" t="s">
        <v>79</v>
      </c>
      <c r="E593" s="254" t="s">
        <v>35</v>
      </c>
      <c r="F593" s="254" t="s">
        <v>448</v>
      </c>
      <c r="G593" s="254">
        <v>1050</v>
      </c>
      <c r="H593" s="254" t="s">
        <v>205</v>
      </c>
      <c r="I593" s="254" t="s">
        <v>314</v>
      </c>
      <c r="J593" s="254" t="s">
        <v>1915</v>
      </c>
      <c r="K593" s="254" t="s">
        <v>200</v>
      </c>
      <c r="L593" s="255">
        <v>46164.462500000001</v>
      </c>
      <c r="M593" s="255">
        <v>46164.463194444441</v>
      </c>
      <c r="N593" s="254" t="s">
        <v>1925</v>
      </c>
      <c r="O593" s="152" t="s">
        <v>214</v>
      </c>
      <c r="P593" s="90"/>
      <c r="Q593" s="140" t="s">
        <v>214</v>
      </c>
      <c r="R593" s="90"/>
      <c r="S593" s="140" t="s">
        <v>214</v>
      </c>
      <c r="T593" s="90"/>
      <c r="U593" s="140" t="s">
        <v>214</v>
      </c>
      <c r="V593" s="90"/>
      <c r="W593" s="140" t="s">
        <v>214</v>
      </c>
      <c r="X593" s="90"/>
      <c r="Y593" s="140" t="s">
        <v>215</v>
      </c>
      <c r="Z593" s="177" t="str">
        <f t="shared" si="33"/>
        <v>NC</v>
      </c>
      <c r="AA593" s="190" t="str">
        <f t="shared" si="32"/>
        <v>NÃO UTILIZOU O PDA</v>
      </c>
      <c r="AB593" s="90" t="s">
        <v>207</v>
      </c>
      <c r="AC593" s="156" t="s">
        <v>36</v>
      </c>
      <c r="AD593" s="145" t="str">
        <f t="shared" si="31"/>
        <v>SÃO PAULO</v>
      </c>
      <c r="AE593" s="92" t="s">
        <v>79</v>
      </c>
    </row>
    <row r="594" spans="1:31" ht="30" customHeight="1">
      <c r="A594" s="253" t="s">
        <v>198</v>
      </c>
      <c r="B594" s="260">
        <v>2621677585</v>
      </c>
      <c r="C594" s="254" t="s">
        <v>1923</v>
      </c>
      <c r="D594" s="254" t="s">
        <v>79</v>
      </c>
      <c r="E594" s="254" t="s">
        <v>35</v>
      </c>
      <c r="F594" s="254" t="s">
        <v>2755</v>
      </c>
      <c r="G594" s="254">
        <v>233</v>
      </c>
      <c r="H594" s="254" t="s">
        <v>208</v>
      </c>
      <c r="I594" s="254" t="s">
        <v>314</v>
      </c>
      <c r="J594" s="254" t="s">
        <v>1915</v>
      </c>
      <c r="K594" s="254" t="s">
        <v>200</v>
      </c>
      <c r="L594" s="255">
        <v>46164.467361111114</v>
      </c>
      <c r="M594" s="255">
        <v>46164.46875</v>
      </c>
      <c r="N594" s="254" t="s">
        <v>1925</v>
      </c>
      <c r="O594" s="152" t="s">
        <v>207</v>
      </c>
      <c r="P594" s="90"/>
      <c r="Q594" s="140" t="s">
        <v>207</v>
      </c>
      <c r="R594" s="90"/>
      <c r="S594" s="140" t="s">
        <v>214</v>
      </c>
      <c r="T594" s="90"/>
      <c r="U594" s="140" t="s">
        <v>214</v>
      </c>
      <c r="V594" s="90"/>
      <c r="W594" s="140" t="s">
        <v>214</v>
      </c>
      <c r="X594" s="90"/>
      <c r="Y594" s="140" t="s">
        <v>207</v>
      </c>
      <c r="Z594" s="177" t="str">
        <f t="shared" si="33"/>
        <v>NC</v>
      </c>
      <c r="AA594" s="190" t="str">
        <f t="shared" si="32"/>
        <v>UTILIZOU O PDA CORRETAMENTE. NÃO HÁ FOTOS DE TODAS AS ETAPAS</v>
      </c>
      <c r="AB594" s="90"/>
      <c r="AC594" s="156" t="s">
        <v>36</v>
      </c>
      <c r="AD594" s="145" t="str">
        <f t="shared" si="31"/>
        <v>SÃO PAULO</v>
      </c>
      <c r="AE594" s="92" t="s">
        <v>79</v>
      </c>
    </row>
    <row r="595" spans="1:31" ht="30" customHeight="1">
      <c r="A595" s="253" t="s">
        <v>198</v>
      </c>
      <c r="B595" s="260">
        <v>2621675774</v>
      </c>
      <c r="C595" s="254" t="s">
        <v>1923</v>
      </c>
      <c r="D595" s="254" t="s">
        <v>79</v>
      </c>
      <c r="E595" s="254" t="s">
        <v>35</v>
      </c>
      <c r="F595" s="254" t="s">
        <v>448</v>
      </c>
      <c r="G595" s="254">
        <v>1052</v>
      </c>
      <c r="H595" s="254" t="s">
        <v>208</v>
      </c>
      <c r="I595" s="254" t="s">
        <v>314</v>
      </c>
      <c r="J595" s="254" t="s">
        <v>1915</v>
      </c>
      <c r="K595" s="254" t="s">
        <v>2060</v>
      </c>
      <c r="L595" s="255">
        <v>46164.463888888888</v>
      </c>
      <c r="M595" s="255">
        <v>46164.465277777781</v>
      </c>
      <c r="N595" s="254" t="s">
        <v>1925</v>
      </c>
      <c r="O595" s="152" t="s">
        <v>207</v>
      </c>
      <c r="P595" s="90"/>
      <c r="Q595" s="140" t="s">
        <v>207</v>
      </c>
      <c r="R595" s="90"/>
      <c r="S595" s="140" t="s">
        <v>214</v>
      </c>
      <c r="T595" s="90"/>
      <c r="U595" s="140" t="s">
        <v>214</v>
      </c>
      <c r="V595" s="90"/>
      <c r="W595" s="140" t="s">
        <v>214</v>
      </c>
      <c r="X595" s="90"/>
      <c r="Y595" s="140" t="s">
        <v>207</v>
      </c>
      <c r="Z595" s="177" t="str">
        <f t="shared" si="33"/>
        <v>NC</v>
      </c>
      <c r="AA595" s="190" t="str">
        <f t="shared" si="32"/>
        <v>UTILIZOU O PDA CORRETAMENTE. NÃO HÁ FOTOS DE TODAS AS ETAPAS</v>
      </c>
      <c r="AB595" s="90"/>
      <c r="AC595" s="156" t="s">
        <v>36</v>
      </c>
      <c r="AD595" s="145" t="str">
        <f t="shared" si="31"/>
        <v>SÃO PAULO</v>
      </c>
      <c r="AE595" s="92" t="s">
        <v>79</v>
      </c>
    </row>
    <row r="596" spans="1:31" ht="30" customHeight="1">
      <c r="A596" s="253" t="s">
        <v>198</v>
      </c>
      <c r="B596" s="260">
        <v>2621680807</v>
      </c>
      <c r="C596" s="254" t="s">
        <v>1923</v>
      </c>
      <c r="D596" s="254" t="s">
        <v>79</v>
      </c>
      <c r="E596" s="254" t="s">
        <v>35</v>
      </c>
      <c r="F596" s="254" t="s">
        <v>2756</v>
      </c>
      <c r="G596" s="254">
        <v>30</v>
      </c>
      <c r="H596" s="254" t="s">
        <v>200</v>
      </c>
      <c r="I596" s="254" t="s">
        <v>1507</v>
      </c>
      <c r="J596" s="254" t="s">
        <v>1915</v>
      </c>
      <c r="K596" s="254" t="s">
        <v>2691</v>
      </c>
      <c r="L596" s="255">
        <v>46164.463194444441</v>
      </c>
      <c r="M596" s="255">
        <v>46164.463888888888</v>
      </c>
      <c r="N596" s="254" t="s">
        <v>2668</v>
      </c>
      <c r="O596" s="152" t="s">
        <v>207</v>
      </c>
      <c r="P596" s="90"/>
      <c r="Q596" s="140" t="s">
        <v>207</v>
      </c>
      <c r="R596" s="90"/>
      <c r="S596" s="140" t="s">
        <v>214</v>
      </c>
      <c r="T596" s="90"/>
      <c r="U596" s="140" t="s">
        <v>214</v>
      </c>
      <c r="V596" s="90"/>
      <c r="W596" s="140" t="s">
        <v>214</v>
      </c>
      <c r="X596" s="90"/>
      <c r="Y596" s="140" t="s">
        <v>207</v>
      </c>
      <c r="Z596" s="177" t="str">
        <f t="shared" si="33"/>
        <v>NC</v>
      </c>
      <c r="AA596" s="190" t="str">
        <f t="shared" si="32"/>
        <v>UTILIZOU O PDA CORRETAMENTE. NÃO HÁ FOTOS DE TODAS AS ETAPAS</v>
      </c>
      <c r="AB596" s="90"/>
      <c r="AC596" s="156" t="s">
        <v>36</v>
      </c>
      <c r="AD596" s="145" t="str">
        <f t="shared" si="31"/>
        <v>SÃO PAULO</v>
      </c>
      <c r="AE596" s="92" t="s">
        <v>79</v>
      </c>
    </row>
    <row r="597" spans="1:31" ht="30" customHeight="1">
      <c r="A597" s="253" t="s">
        <v>198</v>
      </c>
      <c r="B597" s="260">
        <v>2621681003</v>
      </c>
      <c r="C597" s="254" t="s">
        <v>1923</v>
      </c>
      <c r="D597" s="254" t="s">
        <v>79</v>
      </c>
      <c r="E597" s="254" t="s">
        <v>35</v>
      </c>
      <c r="F597" s="254" t="s">
        <v>563</v>
      </c>
      <c r="G597" s="254">
        <v>2877</v>
      </c>
      <c r="H597" s="254" t="s">
        <v>208</v>
      </c>
      <c r="I597" s="254" t="s">
        <v>234</v>
      </c>
      <c r="J597" s="254" t="s">
        <v>1915</v>
      </c>
      <c r="K597" s="254" t="s">
        <v>200</v>
      </c>
      <c r="L597" s="255">
        <v>46164.334027777775</v>
      </c>
      <c r="M597" s="255">
        <v>46164.335416666669</v>
      </c>
      <c r="N597" s="254" t="s">
        <v>390</v>
      </c>
      <c r="O597" s="152" t="s">
        <v>207</v>
      </c>
      <c r="P597" s="90"/>
      <c r="Q597" s="140" t="s">
        <v>207</v>
      </c>
      <c r="R597" s="90"/>
      <c r="S597" s="140" t="s">
        <v>214</v>
      </c>
      <c r="T597" s="90"/>
      <c r="U597" s="140" t="s">
        <v>214</v>
      </c>
      <c r="V597" s="90"/>
      <c r="W597" s="140" t="s">
        <v>214</v>
      </c>
      <c r="X597" s="90"/>
      <c r="Y597" s="140" t="s">
        <v>215</v>
      </c>
      <c r="Z597" s="177" t="str">
        <f t="shared" ref="Z597:Z642" si="34">IF(AND(O597="",Q597="",S597="",U597="",W597=""),"",IF(OR(AND(O597&lt;&gt;"NA",O597&lt;&gt;"C",O597&lt;&gt;"NC",O597&lt;&gt;"SF",O597&lt;&gt;""),AND(Q597&lt;&gt;"NA",Q597&lt;&gt;"C",Q597&lt;&gt;"NC",Q597&lt;&gt;"SF",Q597&lt;&gt;""),AND(S597&lt;&gt;"NA",S597&lt;&gt;"C",S597&lt;&gt;"NC",S597&lt;&gt;"SF",S597&lt;&gt;""),AND(U597&lt;&gt;"NA",U597&lt;&gt;"C",U597&lt;&gt;"NC",U597&lt;&gt;"SF",U597&lt;&gt;""),AND(W597&lt;&gt;"NA",W597&lt;&gt;"C",W597&lt;&gt;"NC",W597&lt;&gt;"SF",W597&lt;&gt;"")),"FALSO",IF(AND(O597="NA",Q597="NA",S597="NA",U597="NA",W597="NA"),"NA",IF(OR(O597="NC",Q597="NC",S597="NC",U597="NC",W597="NC",O597="SF",Q597="SF",S597="SF",U597="SF",W597="SF"),"NC",IF(OR(O597="C",Q597="C",S597="C",U597="C",W597="C"),"C","")))))</f>
        <v>NC</v>
      </c>
      <c r="AA597" s="190" t="str">
        <f t="shared" si="32"/>
        <v>NÃO UTILIZOU O PDA</v>
      </c>
      <c r="AB597" s="90"/>
      <c r="AC597" s="156" t="s">
        <v>36</v>
      </c>
      <c r="AD597" s="145" t="str">
        <f t="shared" si="31"/>
        <v>SÃO PAULO</v>
      </c>
      <c r="AE597" s="92" t="s">
        <v>79</v>
      </c>
    </row>
    <row r="598" spans="1:31" ht="30" customHeight="1">
      <c r="A598" s="253" t="s">
        <v>198</v>
      </c>
      <c r="B598" s="260">
        <v>2621680711</v>
      </c>
      <c r="C598" s="254" t="s">
        <v>1923</v>
      </c>
      <c r="D598" s="254" t="s">
        <v>79</v>
      </c>
      <c r="E598" s="254" t="s">
        <v>35</v>
      </c>
      <c r="F598" s="254" t="s">
        <v>1573</v>
      </c>
      <c r="G598" s="254">
        <v>503</v>
      </c>
      <c r="H598" s="254" t="s">
        <v>208</v>
      </c>
      <c r="I598" s="254" t="s">
        <v>241</v>
      </c>
      <c r="J598" s="254" t="s">
        <v>1915</v>
      </c>
      <c r="K598" s="254" t="s">
        <v>2688</v>
      </c>
      <c r="L598" s="255">
        <v>46164.461805555555</v>
      </c>
      <c r="M598" s="255">
        <v>46164.464583333334</v>
      </c>
      <c r="N598" s="254" t="s">
        <v>2668</v>
      </c>
      <c r="O598" s="152" t="s">
        <v>207</v>
      </c>
      <c r="P598" s="90"/>
      <c r="Q598" s="140" t="s">
        <v>214</v>
      </c>
      <c r="R598" s="90"/>
      <c r="S598" s="140" t="s">
        <v>207</v>
      </c>
      <c r="T598" s="90"/>
      <c r="U598" s="140" t="s">
        <v>207</v>
      </c>
      <c r="V598" s="90"/>
      <c r="W598" s="140" t="s">
        <v>207</v>
      </c>
      <c r="X598" s="90"/>
      <c r="Y598" s="140" t="s">
        <v>207</v>
      </c>
      <c r="Z598" s="177" t="str">
        <f t="shared" si="34"/>
        <v>NC</v>
      </c>
      <c r="AA598" s="190" t="str">
        <f t="shared" si="32"/>
        <v>UTILIZOU O PDA CORRETAMENTE. NÃO HÁ FOTOS DE TODAS AS ETAPAS</v>
      </c>
      <c r="AB598" s="90"/>
      <c r="AC598" s="156" t="s">
        <v>36</v>
      </c>
      <c r="AD598" s="145" t="str">
        <f t="shared" si="31"/>
        <v>SÃO PAULO</v>
      </c>
      <c r="AE598" s="92" t="s">
        <v>79</v>
      </c>
    </row>
    <row r="599" spans="1:31" ht="30" customHeight="1">
      <c r="A599" s="253" t="s">
        <v>198</v>
      </c>
      <c r="B599" s="260">
        <v>2621688217</v>
      </c>
      <c r="C599" s="254" t="s">
        <v>1923</v>
      </c>
      <c r="D599" s="254" t="s">
        <v>79</v>
      </c>
      <c r="E599" s="254" t="s">
        <v>35</v>
      </c>
      <c r="F599" s="254" t="s">
        <v>2447</v>
      </c>
      <c r="G599" s="254">
        <v>102</v>
      </c>
      <c r="H599" s="254" t="s">
        <v>200</v>
      </c>
      <c r="I599" s="254" t="s">
        <v>571</v>
      </c>
      <c r="J599" s="254" t="s">
        <v>1915</v>
      </c>
      <c r="K599" s="254" t="s">
        <v>2688</v>
      </c>
      <c r="L599" s="255">
        <v>46164.477083333331</v>
      </c>
      <c r="M599" s="255">
        <v>46164.477777777778</v>
      </c>
      <c r="N599" s="254" t="s">
        <v>2668</v>
      </c>
      <c r="O599" s="152" t="s">
        <v>207</v>
      </c>
      <c r="P599" s="90"/>
      <c r="Q599" s="140" t="s">
        <v>207</v>
      </c>
      <c r="R599" s="90"/>
      <c r="S599" s="140" t="s">
        <v>207</v>
      </c>
      <c r="T599" s="90"/>
      <c r="U599" s="140" t="s">
        <v>207</v>
      </c>
      <c r="V599" s="90"/>
      <c r="W599" s="140" t="s">
        <v>214</v>
      </c>
      <c r="X599" s="90"/>
      <c r="Y599" s="140" t="s">
        <v>207</v>
      </c>
      <c r="Z599" s="177" t="str">
        <f t="shared" si="34"/>
        <v>NC</v>
      </c>
      <c r="AA599" s="190" t="str">
        <f t="shared" si="32"/>
        <v>UTILIZOU O PDA CORRETAMENTE. NÃO HÁ FOTOS DE TODAS AS ETAPAS</v>
      </c>
      <c r="AB599" s="90"/>
      <c r="AC599" s="156" t="s">
        <v>36</v>
      </c>
      <c r="AD599" s="145" t="str">
        <f t="shared" si="31"/>
        <v>SÃO PAULO</v>
      </c>
      <c r="AE599" s="92" t="s">
        <v>79</v>
      </c>
    </row>
    <row r="600" spans="1:31" ht="30" customHeight="1">
      <c r="A600" s="253" t="s">
        <v>198</v>
      </c>
      <c r="B600" s="260">
        <v>2621688680</v>
      </c>
      <c r="C600" s="254" t="s">
        <v>1923</v>
      </c>
      <c r="D600" s="254" t="s">
        <v>79</v>
      </c>
      <c r="E600" s="254" t="s">
        <v>35</v>
      </c>
      <c r="F600" s="254" t="s">
        <v>2690</v>
      </c>
      <c r="G600" s="254">
        <v>197</v>
      </c>
      <c r="H600" s="254" t="s">
        <v>208</v>
      </c>
      <c r="I600" s="254" t="s">
        <v>271</v>
      </c>
      <c r="J600" s="254" t="s">
        <v>1915</v>
      </c>
      <c r="K600" s="254" t="s">
        <v>2688</v>
      </c>
      <c r="L600" s="255">
        <v>46164.473611111112</v>
      </c>
      <c r="M600" s="255">
        <v>46164.474305555559</v>
      </c>
      <c r="N600" s="254" t="s">
        <v>2668</v>
      </c>
      <c r="O600" s="152" t="s">
        <v>207</v>
      </c>
      <c r="P600" s="90"/>
      <c r="Q600" s="140" t="s">
        <v>214</v>
      </c>
      <c r="R600" s="90"/>
      <c r="S600" s="140" t="s">
        <v>207</v>
      </c>
      <c r="T600" s="90"/>
      <c r="U600" s="140" t="s">
        <v>207</v>
      </c>
      <c r="V600" s="90"/>
      <c r="W600" s="140" t="s">
        <v>207</v>
      </c>
      <c r="X600" s="90"/>
      <c r="Y600" s="140" t="s">
        <v>207</v>
      </c>
      <c r="Z600" s="177" t="str">
        <f t="shared" si="34"/>
        <v>NC</v>
      </c>
      <c r="AA600" s="190" t="str">
        <f t="shared" si="32"/>
        <v>UTILIZOU O PDA CORRETAMENTE. NÃO HÁ FOTOS DE TODAS AS ETAPAS</v>
      </c>
      <c r="AB600" s="90" t="s">
        <v>207</v>
      </c>
      <c r="AC600" s="156" t="s">
        <v>36</v>
      </c>
      <c r="AD600" s="145" t="str">
        <f t="shared" si="31"/>
        <v>SÃO PAULO</v>
      </c>
      <c r="AE600" s="92" t="s">
        <v>79</v>
      </c>
    </row>
    <row r="601" spans="1:31" ht="30" customHeight="1">
      <c r="A601" s="253" t="s">
        <v>198</v>
      </c>
      <c r="B601" s="260">
        <v>2621686925</v>
      </c>
      <c r="C601" s="254" t="s">
        <v>1923</v>
      </c>
      <c r="D601" s="254" t="s">
        <v>79</v>
      </c>
      <c r="E601" s="254" t="s">
        <v>35</v>
      </c>
      <c r="F601" s="254" t="s">
        <v>1045</v>
      </c>
      <c r="G601" s="254">
        <v>169</v>
      </c>
      <c r="H601" s="254" t="s">
        <v>325</v>
      </c>
      <c r="I601" s="254" t="s">
        <v>536</v>
      </c>
      <c r="J601" s="254" t="s">
        <v>1915</v>
      </c>
      <c r="K601" s="254" t="s">
        <v>200</v>
      </c>
      <c r="L601" s="255">
        <v>46164.4375</v>
      </c>
      <c r="M601" s="255">
        <v>46164.439583333333</v>
      </c>
      <c r="N601" s="254" t="s">
        <v>1919</v>
      </c>
      <c r="O601" s="152" t="s">
        <v>207</v>
      </c>
      <c r="P601" s="90"/>
      <c r="Q601" s="140" t="s">
        <v>207</v>
      </c>
      <c r="R601" s="90"/>
      <c r="S601" s="140" t="s">
        <v>214</v>
      </c>
      <c r="T601" s="90"/>
      <c r="U601" s="140" t="s">
        <v>214</v>
      </c>
      <c r="V601" s="90"/>
      <c r="W601" s="140" t="s">
        <v>214</v>
      </c>
      <c r="X601" s="90"/>
      <c r="Y601" s="140" t="s">
        <v>207</v>
      </c>
      <c r="Z601" s="177" t="str">
        <f t="shared" si="34"/>
        <v>NC</v>
      </c>
      <c r="AA601" s="190" t="str">
        <f t="shared" si="32"/>
        <v>UTILIZOU O PDA CORRETAMENTE. NÃO HÁ FOTOS DE TODAS AS ETAPAS</v>
      </c>
      <c r="AB601" s="90" t="s">
        <v>207</v>
      </c>
      <c r="AC601" s="156" t="s">
        <v>36</v>
      </c>
      <c r="AD601" s="145" t="str">
        <f t="shared" si="31"/>
        <v>SÃO PAULO</v>
      </c>
      <c r="AE601" s="92" t="s">
        <v>79</v>
      </c>
    </row>
    <row r="602" spans="1:31" ht="30" customHeight="1">
      <c r="A602" s="253" t="s">
        <v>198</v>
      </c>
      <c r="B602" s="260">
        <v>2621687067</v>
      </c>
      <c r="C602" s="254" t="s">
        <v>1923</v>
      </c>
      <c r="D602" s="254" t="s">
        <v>79</v>
      </c>
      <c r="E602" s="254" t="s">
        <v>35</v>
      </c>
      <c r="F602" s="254" t="s">
        <v>1045</v>
      </c>
      <c r="G602" s="254">
        <v>169</v>
      </c>
      <c r="H602" s="254" t="s">
        <v>620</v>
      </c>
      <c r="I602" s="254" t="s">
        <v>536</v>
      </c>
      <c r="J602" s="254" t="s">
        <v>1915</v>
      </c>
      <c r="K602" s="254" t="s">
        <v>2458</v>
      </c>
      <c r="L602" s="255">
        <v>46164.447222222225</v>
      </c>
      <c r="M602" s="255">
        <v>46164.448611111111</v>
      </c>
      <c r="N602" s="254" t="s">
        <v>1919</v>
      </c>
      <c r="O602" s="152" t="s">
        <v>207</v>
      </c>
      <c r="P602" s="90"/>
      <c r="Q602" s="140" t="s">
        <v>207</v>
      </c>
      <c r="R602" s="90"/>
      <c r="S602" s="140" t="s">
        <v>214</v>
      </c>
      <c r="T602" s="90"/>
      <c r="U602" s="140" t="s">
        <v>214</v>
      </c>
      <c r="V602" s="90"/>
      <c r="W602" s="140" t="s">
        <v>214</v>
      </c>
      <c r="X602" s="90"/>
      <c r="Y602" s="140" t="s">
        <v>207</v>
      </c>
      <c r="Z602" s="177" t="str">
        <f t="shared" si="34"/>
        <v>NC</v>
      </c>
      <c r="AA602" s="190" t="str">
        <f t="shared" si="32"/>
        <v>UTILIZOU O PDA CORRETAMENTE. NÃO HÁ FOTOS DE TODAS AS ETAPAS</v>
      </c>
      <c r="AB602" s="90" t="s">
        <v>207</v>
      </c>
      <c r="AC602" s="156" t="s">
        <v>36</v>
      </c>
      <c r="AD602" s="145" t="str">
        <f t="shared" si="31"/>
        <v>SÃO PAULO</v>
      </c>
      <c r="AE602" s="92" t="s">
        <v>79</v>
      </c>
    </row>
    <row r="603" spans="1:31" ht="30" customHeight="1">
      <c r="A603" s="253" t="s">
        <v>198</v>
      </c>
      <c r="B603" s="260">
        <v>2621687202</v>
      </c>
      <c r="C603" s="254" t="s">
        <v>1923</v>
      </c>
      <c r="D603" s="254" t="s">
        <v>79</v>
      </c>
      <c r="E603" s="254" t="s">
        <v>35</v>
      </c>
      <c r="F603" s="254" t="s">
        <v>379</v>
      </c>
      <c r="G603" s="254">
        <v>772</v>
      </c>
      <c r="H603" s="254" t="s">
        <v>200</v>
      </c>
      <c r="I603" s="254" t="s">
        <v>300</v>
      </c>
      <c r="J603" s="254" t="s">
        <v>1915</v>
      </c>
      <c r="K603" s="254" t="s">
        <v>200</v>
      </c>
      <c r="L603" s="255">
        <v>46164.332638888889</v>
      </c>
      <c r="M603" s="255">
        <v>46164.334027777775</v>
      </c>
      <c r="N603" s="254" t="s">
        <v>390</v>
      </c>
      <c r="O603" s="152" t="s">
        <v>207</v>
      </c>
      <c r="P603" s="90"/>
      <c r="Q603" s="140" t="s">
        <v>207</v>
      </c>
      <c r="R603" s="90"/>
      <c r="S603" s="140" t="s">
        <v>214</v>
      </c>
      <c r="T603" s="90"/>
      <c r="U603" s="140" t="s">
        <v>214</v>
      </c>
      <c r="V603" s="90"/>
      <c r="W603" s="140" t="s">
        <v>214</v>
      </c>
      <c r="X603" s="90"/>
      <c r="Y603" s="140" t="s">
        <v>207</v>
      </c>
      <c r="Z603" s="177" t="str">
        <f t="shared" si="34"/>
        <v>NC</v>
      </c>
      <c r="AA603" s="190" t="str">
        <f t="shared" si="32"/>
        <v>UTILIZOU O PDA CORRETAMENTE. NÃO HÁ FOTOS DE TODAS AS ETAPAS</v>
      </c>
      <c r="AB603" s="90"/>
      <c r="AC603" s="156" t="s">
        <v>36</v>
      </c>
      <c r="AD603" s="145" t="str">
        <f t="shared" si="31"/>
        <v>SÃO PAULO</v>
      </c>
      <c r="AE603" s="92" t="s">
        <v>79</v>
      </c>
    </row>
    <row r="604" spans="1:31" ht="30" customHeight="1">
      <c r="A604" s="253" t="s">
        <v>198</v>
      </c>
      <c r="B604" s="260">
        <v>2621691575</v>
      </c>
      <c r="C604" s="254" t="s">
        <v>151</v>
      </c>
      <c r="D604" s="254" t="s">
        <v>140</v>
      </c>
      <c r="E604" s="254" t="s">
        <v>35</v>
      </c>
      <c r="F604" s="254" t="s">
        <v>2757</v>
      </c>
      <c r="G604" s="254">
        <v>219</v>
      </c>
      <c r="H604" s="254" t="s">
        <v>205</v>
      </c>
      <c r="I604" s="254" t="s">
        <v>234</v>
      </c>
      <c r="J604" s="254" t="s">
        <v>1966</v>
      </c>
      <c r="K604" s="254" t="s">
        <v>538</v>
      </c>
      <c r="L604" s="255">
        <v>46164.614583333336</v>
      </c>
      <c r="M604" s="255">
        <v>46164.619444444441</v>
      </c>
      <c r="N604" s="254" t="s">
        <v>235</v>
      </c>
      <c r="O604" s="152" t="s">
        <v>77</v>
      </c>
      <c r="P604" s="90"/>
      <c r="Q604" s="140" t="s">
        <v>77</v>
      </c>
      <c r="R604" s="90"/>
      <c r="S604" s="140" t="s">
        <v>77</v>
      </c>
      <c r="T604" s="90"/>
      <c r="U604" s="140" t="s">
        <v>77</v>
      </c>
      <c r="V604" s="90"/>
      <c r="W604" s="140" t="s">
        <v>77</v>
      </c>
      <c r="X604" s="90"/>
      <c r="Y604" s="140" t="s">
        <v>77</v>
      </c>
      <c r="Z604" s="177" t="str">
        <f t="shared" si="34"/>
        <v>NA</v>
      </c>
      <c r="AA604" s="190" t="str">
        <f t="shared" si="32"/>
        <v>NÃO AVALIADO POR FALHA DE SINCRONISMO</v>
      </c>
      <c r="AB604" s="90" t="s">
        <v>207</v>
      </c>
      <c r="AC604" s="156" t="s">
        <v>36</v>
      </c>
      <c r="AD604" s="145" t="str">
        <f t="shared" si="31"/>
        <v>SÃO PAULO</v>
      </c>
      <c r="AE604" s="92" t="s">
        <v>79</v>
      </c>
    </row>
    <row r="605" spans="1:31" ht="30" customHeight="1">
      <c r="A605" s="253" t="s">
        <v>198</v>
      </c>
      <c r="B605" s="260">
        <v>2621499057</v>
      </c>
      <c r="C605" s="254" t="s">
        <v>151</v>
      </c>
      <c r="D605" s="254" t="s">
        <v>140</v>
      </c>
      <c r="E605" s="254" t="s">
        <v>35</v>
      </c>
      <c r="F605" s="254" t="s">
        <v>1392</v>
      </c>
      <c r="G605" s="254">
        <v>83</v>
      </c>
      <c r="H605" s="254" t="s">
        <v>200</v>
      </c>
      <c r="I605" s="254" t="s">
        <v>1393</v>
      </c>
      <c r="J605" s="254" t="s">
        <v>1966</v>
      </c>
      <c r="K605" s="254" t="s">
        <v>200</v>
      </c>
      <c r="L605" s="255">
        <v>46164.591666666667</v>
      </c>
      <c r="M605" s="255">
        <v>46164.592361111114</v>
      </c>
      <c r="N605" s="254" t="s">
        <v>251</v>
      </c>
      <c r="O605" s="152" t="s">
        <v>207</v>
      </c>
      <c r="P605" s="90"/>
      <c r="Q605" s="140" t="s">
        <v>77</v>
      </c>
      <c r="R605" s="90"/>
      <c r="S605" s="140" t="s">
        <v>77</v>
      </c>
      <c r="T605" s="90"/>
      <c r="U605" s="140" t="s">
        <v>77</v>
      </c>
      <c r="V605" s="90"/>
      <c r="W605" s="140" t="s">
        <v>77</v>
      </c>
      <c r="X605" s="90"/>
      <c r="Y605" s="140" t="s">
        <v>207</v>
      </c>
      <c r="Z605" s="177" t="str">
        <f t="shared" si="34"/>
        <v>C</v>
      </c>
      <c r="AA605" s="190" t="str">
        <f t="shared" si="32"/>
        <v>UTILIZOU O PDA CORRETAMENTE</v>
      </c>
      <c r="AB605" s="90" t="s">
        <v>207</v>
      </c>
      <c r="AC605" s="156" t="s">
        <v>36</v>
      </c>
      <c r="AD605" s="145" t="str">
        <f t="shared" si="31"/>
        <v>SÃO PAULO</v>
      </c>
      <c r="AE605" s="92" t="s">
        <v>79</v>
      </c>
    </row>
    <row r="606" spans="1:31" ht="30" customHeight="1">
      <c r="A606" s="253" t="s">
        <v>198</v>
      </c>
      <c r="B606" s="260">
        <v>2621692024</v>
      </c>
      <c r="C606" s="254" t="s">
        <v>1923</v>
      </c>
      <c r="D606" s="254" t="s">
        <v>79</v>
      </c>
      <c r="E606" s="254" t="s">
        <v>35</v>
      </c>
      <c r="F606" s="254" t="s">
        <v>2110</v>
      </c>
      <c r="G606" s="254">
        <v>108</v>
      </c>
      <c r="H606" s="254" t="s">
        <v>208</v>
      </c>
      <c r="I606" s="254" t="s">
        <v>615</v>
      </c>
      <c r="J606" s="254" t="s">
        <v>1915</v>
      </c>
      <c r="K606" s="254" t="s">
        <v>2688</v>
      </c>
      <c r="L606" s="255">
        <v>46164.645833333336</v>
      </c>
      <c r="M606" s="255">
        <v>46164.647222222222</v>
      </c>
      <c r="N606" s="254" t="s">
        <v>2668</v>
      </c>
      <c r="O606" s="152" t="s">
        <v>214</v>
      </c>
      <c r="P606" s="90"/>
      <c r="Q606" s="140" t="s">
        <v>214</v>
      </c>
      <c r="R606" s="90"/>
      <c r="S606" s="140" t="s">
        <v>214</v>
      </c>
      <c r="T606" s="90"/>
      <c r="U606" s="140" t="s">
        <v>214</v>
      </c>
      <c r="V606" s="90"/>
      <c r="W606" s="140" t="s">
        <v>214</v>
      </c>
      <c r="X606" s="90"/>
      <c r="Y606" s="140" t="s">
        <v>215</v>
      </c>
      <c r="Z606" s="177" t="str">
        <f t="shared" si="34"/>
        <v>NC</v>
      </c>
      <c r="AA606" s="190" t="str">
        <f t="shared" si="32"/>
        <v>NÃO UTILIZOU O PDA</v>
      </c>
      <c r="AB606" s="90" t="s">
        <v>207</v>
      </c>
      <c r="AC606" s="156" t="s">
        <v>36</v>
      </c>
      <c r="AD606" s="145" t="str">
        <f t="shared" si="31"/>
        <v>SÃO PAULO</v>
      </c>
      <c r="AE606" s="92" t="s">
        <v>79</v>
      </c>
    </row>
    <row r="607" spans="1:31" ht="30" customHeight="1">
      <c r="A607" s="253" t="s">
        <v>198</v>
      </c>
      <c r="B607" s="260">
        <v>2621693712</v>
      </c>
      <c r="C607" s="254" t="s">
        <v>1923</v>
      </c>
      <c r="D607" s="254" t="s">
        <v>79</v>
      </c>
      <c r="E607" s="254" t="s">
        <v>35</v>
      </c>
      <c r="F607" s="254" t="s">
        <v>718</v>
      </c>
      <c r="G607" s="254">
        <v>259</v>
      </c>
      <c r="H607" s="254" t="s">
        <v>208</v>
      </c>
      <c r="I607" s="254" t="s">
        <v>357</v>
      </c>
      <c r="J607" s="254" t="s">
        <v>1915</v>
      </c>
      <c r="K607" s="254" t="s">
        <v>200</v>
      </c>
      <c r="L607" s="255">
        <v>46164.345138888886</v>
      </c>
      <c r="M607" s="255">
        <v>46164.345833333333</v>
      </c>
      <c r="N607" s="254" t="s">
        <v>390</v>
      </c>
      <c r="O607" s="152" t="s">
        <v>207</v>
      </c>
      <c r="P607" s="90"/>
      <c r="Q607" s="140" t="s">
        <v>207</v>
      </c>
      <c r="R607" s="90"/>
      <c r="S607" s="140" t="s">
        <v>214</v>
      </c>
      <c r="T607" s="90"/>
      <c r="U607" s="140" t="s">
        <v>214</v>
      </c>
      <c r="V607" s="90"/>
      <c r="W607" s="140" t="s">
        <v>214</v>
      </c>
      <c r="X607" s="90"/>
      <c r="Y607" s="140" t="s">
        <v>207</v>
      </c>
      <c r="Z607" s="177" t="str">
        <f t="shared" si="34"/>
        <v>NC</v>
      </c>
      <c r="AA607" s="190" t="str">
        <f t="shared" si="32"/>
        <v>UTILIZOU O PDA CORRETAMENTE. NÃO HÁ FOTOS DE TODAS AS ETAPAS</v>
      </c>
      <c r="AB607" s="90"/>
      <c r="AC607" s="156" t="s">
        <v>36</v>
      </c>
      <c r="AD607" s="145" t="str">
        <f t="shared" si="31"/>
        <v>SÃO PAULO</v>
      </c>
      <c r="AE607" s="92" t="s">
        <v>79</v>
      </c>
    </row>
    <row r="608" spans="1:31" ht="30" customHeight="1">
      <c r="A608" s="253" t="s">
        <v>198</v>
      </c>
      <c r="B608" s="260">
        <v>2621693870</v>
      </c>
      <c r="C608" s="254" t="s">
        <v>1923</v>
      </c>
      <c r="D608" s="254" t="s">
        <v>79</v>
      </c>
      <c r="E608" s="254" t="s">
        <v>35</v>
      </c>
      <c r="F608" s="254" t="s">
        <v>394</v>
      </c>
      <c r="G608" s="254">
        <v>134</v>
      </c>
      <c r="H608" s="254" t="s">
        <v>401</v>
      </c>
      <c r="I608" s="254" t="s">
        <v>395</v>
      </c>
      <c r="J608" s="254" t="s">
        <v>1915</v>
      </c>
      <c r="K608" s="254" t="s">
        <v>2458</v>
      </c>
      <c r="L608" s="255">
        <v>46164.461805555555</v>
      </c>
      <c r="M608" s="255">
        <v>46164.463194444441</v>
      </c>
      <c r="N608" s="254" t="s">
        <v>1919</v>
      </c>
      <c r="O608" s="152" t="s">
        <v>207</v>
      </c>
      <c r="P608" s="90"/>
      <c r="Q608" s="140" t="s">
        <v>207</v>
      </c>
      <c r="R608" s="90"/>
      <c r="S608" s="140" t="s">
        <v>214</v>
      </c>
      <c r="T608" s="90"/>
      <c r="U608" s="140" t="s">
        <v>214</v>
      </c>
      <c r="V608" s="90"/>
      <c r="W608" s="140" t="s">
        <v>214</v>
      </c>
      <c r="X608" s="90"/>
      <c r="Y608" s="140" t="s">
        <v>207</v>
      </c>
      <c r="Z608" s="177" t="str">
        <f t="shared" si="34"/>
        <v>NC</v>
      </c>
      <c r="AA608" s="190" t="str">
        <f t="shared" si="32"/>
        <v>UTILIZOU O PDA CORRETAMENTE. NÃO HÁ FOTOS DE TODAS AS ETAPAS</v>
      </c>
      <c r="AB608" s="90"/>
      <c r="AC608" s="156" t="s">
        <v>36</v>
      </c>
      <c r="AD608" s="145" t="str">
        <f t="shared" si="31"/>
        <v>SÃO PAULO</v>
      </c>
      <c r="AE608" s="92" t="s">
        <v>79</v>
      </c>
    </row>
    <row r="609" spans="1:31" ht="30" customHeight="1">
      <c r="A609" s="253" t="s">
        <v>198</v>
      </c>
      <c r="B609" s="260">
        <v>2693982569</v>
      </c>
      <c r="C609" s="254" t="s">
        <v>143</v>
      </c>
      <c r="D609" s="254" t="s">
        <v>79</v>
      </c>
      <c r="E609" s="254" t="s">
        <v>35</v>
      </c>
      <c r="F609" s="254" t="s">
        <v>1203</v>
      </c>
      <c r="G609" s="254">
        <v>583</v>
      </c>
      <c r="H609" s="254" t="s">
        <v>200</v>
      </c>
      <c r="I609" s="254" t="s">
        <v>297</v>
      </c>
      <c r="J609" s="254" t="s">
        <v>1915</v>
      </c>
      <c r="K609" s="254" t="s">
        <v>200</v>
      </c>
      <c r="L609" s="255">
        <v>46164.634027777778</v>
      </c>
      <c r="M609" s="255">
        <v>46164.634722222225</v>
      </c>
      <c r="N609" s="254" t="s">
        <v>288</v>
      </c>
      <c r="O609" s="152" t="s">
        <v>77</v>
      </c>
      <c r="P609" s="90"/>
      <c r="Q609" s="140" t="s">
        <v>77</v>
      </c>
      <c r="R609" s="90"/>
      <c r="S609" s="140" t="s">
        <v>77</v>
      </c>
      <c r="T609" s="90"/>
      <c r="U609" s="140" t="s">
        <v>77</v>
      </c>
      <c r="V609" s="90"/>
      <c r="W609" s="140" t="s">
        <v>77</v>
      </c>
      <c r="X609" s="90"/>
      <c r="Y609" s="140" t="s">
        <v>77</v>
      </c>
      <c r="Z609" s="177" t="str">
        <f t="shared" si="34"/>
        <v>NA</v>
      </c>
      <c r="AA609" s="190" t="str">
        <f t="shared" si="32"/>
        <v>NÃO AVALIADO POR FALHA DE SINCRONISMO</v>
      </c>
      <c r="AB609" s="90" t="s">
        <v>207</v>
      </c>
      <c r="AC609" s="156" t="s">
        <v>36</v>
      </c>
      <c r="AD609" s="145" t="str">
        <f t="shared" si="31"/>
        <v>SÃO PAULO</v>
      </c>
      <c r="AE609" s="92" t="s">
        <v>79</v>
      </c>
    </row>
    <row r="610" spans="1:31" ht="30" customHeight="1">
      <c r="A610" s="253" t="s">
        <v>198</v>
      </c>
      <c r="B610" s="260">
        <v>2621672632</v>
      </c>
      <c r="C610" s="254" t="s">
        <v>145</v>
      </c>
      <c r="D610" s="254" t="s">
        <v>140</v>
      </c>
      <c r="E610" s="254" t="s">
        <v>35</v>
      </c>
      <c r="F610" s="254" t="s">
        <v>1430</v>
      </c>
      <c r="G610" s="254">
        <v>1116</v>
      </c>
      <c r="H610" s="254" t="s">
        <v>200</v>
      </c>
      <c r="I610" s="254" t="s">
        <v>408</v>
      </c>
      <c r="J610" s="254" t="s">
        <v>2758</v>
      </c>
      <c r="K610" s="254" t="s">
        <v>200</v>
      </c>
      <c r="L610" s="255">
        <v>46164.451388888891</v>
      </c>
      <c r="M610" s="255">
        <v>46164.453472222223</v>
      </c>
      <c r="N610" s="254" t="s">
        <v>327</v>
      </c>
      <c r="O610" s="152" t="s">
        <v>77</v>
      </c>
      <c r="P610" s="90"/>
      <c r="Q610" s="140" t="s">
        <v>77</v>
      </c>
      <c r="R610" s="90"/>
      <c r="S610" s="140" t="s">
        <v>77</v>
      </c>
      <c r="T610" s="90"/>
      <c r="U610" s="140" t="s">
        <v>77</v>
      </c>
      <c r="V610" s="90"/>
      <c r="W610" s="140" t="s">
        <v>77</v>
      </c>
      <c r="X610" s="90"/>
      <c r="Y610" s="140" t="s">
        <v>77</v>
      </c>
      <c r="Z610" s="177" t="s">
        <v>77</v>
      </c>
      <c r="AA610" s="190" t="str">
        <f>IF(AND(Y610="C",Z610="C"),"UTILIZOU O PDA CORRETAMENTE",IF(AND(Y610="C",Z610="NC"),"UTILIZOU O PDA CORRETAMENTE. NÃO HÁ FOTOS DE TODAS AS ETAPAS",IF(AND(Y610="NC",Z610="NC"),"NÃO UTILIZOU O PDA",IF(AND(Y610="NA",Z610="NA"),"NÃO AVALIADO POR FALHA DE SINCRONISMO"))))</f>
        <v>NÃO AVALIADO POR FALHA DE SINCRONISMO</v>
      </c>
      <c r="AB610" s="90" t="s">
        <v>207</v>
      </c>
      <c r="AC610" s="156" t="s">
        <v>36</v>
      </c>
      <c r="AD610" s="145" t="str">
        <f t="shared" ref="AD610:AD673" si="35">E610</f>
        <v>SÃO PAULO</v>
      </c>
      <c r="AE610" s="92" t="s">
        <v>79</v>
      </c>
    </row>
    <row r="611" spans="1:31" ht="30" customHeight="1">
      <c r="A611" s="253" t="s">
        <v>198</v>
      </c>
      <c r="B611" s="260">
        <v>2693969905</v>
      </c>
      <c r="C611" s="254" t="s">
        <v>146</v>
      </c>
      <c r="D611" s="254" t="s">
        <v>79</v>
      </c>
      <c r="E611" s="254" t="s">
        <v>35</v>
      </c>
      <c r="F611" s="254" t="s">
        <v>2759</v>
      </c>
      <c r="G611" s="254">
        <v>72</v>
      </c>
      <c r="H611" s="254" t="s">
        <v>200</v>
      </c>
      <c r="I611" s="254" t="s">
        <v>689</v>
      </c>
      <c r="J611" s="254" t="s">
        <v>1915</v>
      </c>
      <c r="K611" s="254" t="s">
        <v>200</v>
      </c>
      <c r="L611" s="255">
        <v>46165.354166666664</v>
      </c>
      <c r="M611" s="255">
        <v>46165.355555555558</v>
      </c>
      <c r="N611" s="254" t="s">
        <v>2668</v>
      </c>
      <c r="O611" s="152" t="s">
        <v>207</v>
      </c>
      <c r="P611" s="90"/>
      <c r="Q611" s="140" t="s">
        <v>207</v>
      </c>
      <c r="R611" s="90"/>
      <c r="S611" s="140" t="s">
        <v>214</v>
      </c>
      <c r="T611" s="90"/>
      <c r="U611" s="140" t="s">
        <v>214</v>
      </c>
      <c r="V611" s="90"/>
      <c r="W611" s="140" t="s">
        <v>214</v>
      </c>
      <c r="X611" s="90"/>
      <c r="Y611" s="140" t="s">
        <v>207</v>
      </c>
      <c r="Z611" s="177" t="str">
        <f t="shared" si="34"/>
        <v>NC</v>
      </c>
      <c r="AA611" s="190" t="str">
        <f t="shared" si="32"/>
        <v>UTILIZOU O PDA CORRETAMENTE. NÃO HÁ FOTOS DE TODAS AS ETAPAS</v>
      </c>
      <c r="AB611" s="90" t="s">
        <v>207</v>
      </c>
      <c r="AC611" s="156" t="s">
        <v>36</v>
      </c>
      <c r="AD611" s="145" t="str">
        <f t="shared" si="35"/>
        <v>SÃO PAULO</v>
      </c>
      <c r="AE611" s="92" t="s">
        <v>79</v>
      </c>
    </row>
    <row r="612" spans="1:31" ht="30" customHeight="1">
      <c r="A612" s="253" t="s">
        <v>198</v>
      </c>
      <c r="B612" s="260">
        <v>2693980817</v>
      </c>
      <c r="C612" s="254" t="s">
        <v>146</v>
      </c>
      <c r="D612" s="254" t="s">
        <v>79</v>
      </c>
      <c r="E612" s="254" t="s">
        <v>35</v>
      </c>
      <c r="F612" s="254" t="s">
        <v>2760</v>
      </c>
      <c r="G612" s="254">
        <v>70</v>
      </c>
      <c r="H612" s="254" t="s">
        <v>200</v>
      </c>
      <c r="I612" s="254" t="s">
        <v>287</v>
      </c>
      <c r="J612" s="254" t="s">
        <v>1915</v>
      </c>
      <c r="K612" s="254" t="s">
        <v>200</v>
      </c>
      <c r="L612" s="255">
        <v>46165.354861111111</v>
      </c>
      <c r="M612" s="255">
        <v>46165.355555555558</v>
      </c>
      <c r="N612" s="254" t="s">
        <v>1931</v>
      </c>
      <c r="O612" s="152" t="s">
        <v>207</v>
      </c>
      <c r="P612" s="90"/>
      <c r="Q612" s="140" t="s">
        <v>207</v>
      </c>
      <c r="R612" s="90"/>
      <c r="S612" s="140" t="s">
        <v>214</v>
      </c>
      <c r="T612" s="90"/>
      <c r="U612" s="140" t="s">
        <v>214</v>
      </c>
      <c r="V612" s="90"/>
      <c r="W612" s="140" t="s">
        <v>207</v>
      </c>
      <c r="X612" s="90"/>
      <c r="Y612" s="140" t="s">
        <v>207</v>
      </c>
      <c r="Z612" s="177" t="str">
        <f t="shared" si="34"/>
        <v>NC</v>
      </c>
      <c r="AA612" s="190" t="str">
        <f t="shared" si="32"/>
        <v>UTILIZOU O PDA CORRETAMENTE. NÃO HÁ FOTOS DE TODAS AS ETAPAS</v>
      </c>
      <c r="AB612" s="90" t="s">
        <v>207</v>
      </c>
      <c r="AC612" s="156" t="s">
        <v>36</v>
      </c>
      <c r="AD612" s="145" t="str">
        <f t="shared" si="35"/>
        <v>SÃO PAULO</v>
      </c>
      <c r="AE612" s="92" t="s">
        <v>79</v>
      </c>
    </row>
    <row r="613" spans="1:31" ht="30" customHeight="1">
      <c r="A613" s="253" t="s">
        <v>198</v>
      </c>
      <c r="B613" s="260">
        <v>2621650799</v>
      </c>
      <c r="C613" s="254" t="s">
        <v>143</v>
      </c>
      <c r="D613" s="254" t="s">
        <v>79</v>
      </c>
      <c r="E613" s="254" t="s">
        <v>35</v>
      </c>
      <c r="F613" s="254" t="s">
        <v>2761</v>
      </c>
      <c r="G613" s="254">
        <v>148</v>
      </c>
      <c r="H613" s="254" t="s">
        <v>208</v>
      </c>
      <c r="I613" s="254" t="s">
        <v>603</v>
      </c>
      <c r="J613" s="254" t="s">
        <v>1915</v>
      </c>
      <c r="K613" s="254" t="s">
        <v>200</v>
      </c>
      <c r="L613" s="255">
        <v>46165.119444444441</v>
      </c>
      <c r="M613" s="255">
        <v>46165.123611111114</v>
      </c>
      <c r="N613" s="254" t="s">
        <v>1931</v>
      </c>
      <c r="O613" s="152" t="s">
        <v>207</v>
      </c>
      <c r="P613" s="90"/>
      <c r="Q613" s="140" t="s">
        <v>207</v>
      </c>
      <c r="R613" s="90"/>
      <c r="S613" s="140" t="s">
        <v>214</v>
      </c>
      <c r="T613" s="90"/>
      <c r="U613" s="140" t="s">
        <v>214</v>
      </c>
      <c r="V613" s="90"/>
      <c r="W613" s="140" t="s">
        <v>207</v>
      </c>
      <c r="X613" s="90"/>
      <c r="Y613" s="140" t="s">
        <v>207</v>
      </c>
      <c r="Z613" s="177" t="str">
        <f t="shared" si="34"/>
        <v>NC</v>
      </c>
      <c r="AA613" s="190" t="str">
        <f t="shared" si="32"/>
        <v>UTILIZOU O PDA CORRETAMENTE. NÃO HÁ FOTOS DE TODAS AS ETAPAS</v>
      </c>
      <c r="AB613" s="90" t="s">
        <v>207</v>
      </c>
      <c r="AC613" s="156" t="s">
        <v>36</v>
      </c>
      <c r="AD613" s="145" t="str">
        <f t="shared" si="35"/>
        <v>SÃO PAULO</v>
      </c>
      <c r="AE613" s="92" t="s">
        <v>79</v>
      </c>
    </row>
    <row r="614" spans="1:31" ht="30" customHeight="1">
      <c r="A614" s="253" t="s">
        <v>198</v>
      </c>
      <c r="B614" s="260">
        <v>2693984156</v>
      </c>
      <c r="C614" s="254" t="s">
        <v>143</v>
      </c>
      <c r="D614" s="254" t="s">
        <v>79</v>
      </c>
      <c r="E614" s="254" t="s">
        <v>35</v>
      </c>
      <c r="F614" s="254" t="s">
        <v>2762</v>
      </c>
      <c r="G614" s="254">
        <v>173</v>
      </c>
      <c r="H614" s="254" t="s">
        <v>200</v>
      </c>
      <c r="I614" s="254" t="s">
        <v>402</v>
      </c>
      <c r="J614" s="254" t="s">
        <v>1915</v>
      </c>
      <c r="K614" s="254" t="s">
        <v>200</v>
      </c>
      <c r="L614" s="255">
        <v>46165.162499999999</v>
      </c>
      <c r="M614" s="255">
        <v>46165.163888888892</v>
      </c>
      <c r="N614" s="254" t="s">
        <v>1931</v>
      </c>
      <c r="O614" s="152" t="s">
        <v>207</v>
      </c>
      <c r="P614" s="90"/>
      <c r="Q614" s="140" t="s">
        <v>207</v>
      </c>
      <c r="R614" s="90"/>
      <c r="S614" s="140" t="s">
        <v>214</v>
      </c>
      <c r="T614" s="90"/>
      <c r="U614" s="140" t="s">
        <v>214</v>
      </c>
      <c r="V614" s="90"/>
      <c r="W614" s="140" t="s">
        <v>207</v>
      </c>
      <c r="X614" s="90"/>
      <c r="Y614" s="140" t="s">
        <v>207</v>
      </c>
      <c r="Z614" s="177" t="str">
        <f t="shared" si="34"/>
        <v>NC</v>
      </c>
      <c r="AA614" s="190" t="str">
        <f t="shared" si="32"/>
        <v>UTILIZOU O PDA CORRETAMENTE. NÃO HÁ FOTOS DE TODAS AS ETAPAS</v>
      </c>
      <c r="AB614" s="90" t="s">
        <v>207</v>
      </c>
      <c r="AC614" s="156" t="s">
        <v>36</v>
      </c>
      <c r="AD614" s="145" t="str">
        <f t="shared" si="35"/>
        <v>SÃO PAULO</v>
      </c>
      <c r="AE614" s="92" t="s">
        <v>79</v>
      </c>
    </row>
    <row r="615" spans="1:31" ht="30" customHeight="1">
      <c r="A615" s="253" t="s">
        <v>198</v>
      </c>
      <c r="B615" s="261">
        <v>2621695345</v>
      </c>
      <c r="C615" s="254" t="s">
        <v>151</v>
      </c>
      <c r="D615" s="254" t="s">
        <v>140</v>
      </c>
      <c r="E615" s="254" t="s">
        <v>35</v>
      </c>
      <c r="F615" s="254" t="s">
        <v>1881</v>
      </c>
      <c r="G615" s="254">
        <v>846</v>
      </c>
      <c r="H615" s="254" t="s">
        <v>200</v>
      </c>
      <c r="I615" s="254" t="s">
        <v>300</v>
      </c>
      <c r="J615" s="254" t="s">
        <v>1966</v>
      </c>
      <c r="K615" s="254" t="s">
        <v>586</v>
      </c>
      <c r="L615" s="255">
        <v>46165.582638888889</v>
      </c>
      <c r="M615" s="255">
        <v>46165.585416666669</v>
      </c>
      <c r="N615" s="254" t="s">
        <v>331</v>
      </c>
      <c r="O615" s="152" t="s">
        <v>207</v>
      </c>
      <c r="P615" s="90"/>
      <c r="Q615" s="140" t="s">
        <v>214</v>
      </c>
      <c r="R615" s="90"/>
      <c r="S615" s="140" t="s">
        <v>214</v>
      </c>
      <c r="T615" s="90"/>
      <c r="U615" s="140" t="s">
        <v>214</v>
      </c>
      <c r="V615" s="90"/>
      <c r="W615" s="140" t="s">
        <v>214</v>
      </c>
      <c r="X615" s="90"/>
      <c r="Y615" s="140" t="s">
        <v>207</v>
      </c>
      <c r="Z615" s="177" t="str">
        <f t="shared" si="34"/>
        <v>NC</v>
      </c>
      <c r="AA615" s="190" t="str">
        <f t="shared" si="32"/>
        <v>UTILIZOU O PDA CORRETAMENTE. NÃO HÁ FOTOS DE TODAS AS ETAPAS</v>
      </c>
      <c r="AB615" s="90" t="s">
        <v>207</v>
      </c>
      <c r="AC615" s="156" t="s">
        <v>36</v>
      </c>
      <c r="AD615" s="145" t="str">
        <f t="shared" si="35"/>
        <v>SÃO PAULO</v>
      </c>
      <c r="AE615" s="92" t="s">
        <v>79</v>
      </c>
    </row>
    <row r="616" spans="1:31" ht="30" customHeight="1">
      <c r="A616" s="253" t="s">
        <v>198</v>
      </c>
      <c r="B616" s="261">
        <v>2621779546</v>
      </c>
      <c r="C616" s="254" t="s">
        <v>1923</v>
      </c>
      <c r="D616" s="254" t="s">
        <v>79</v>
      </c>
      <c r="E616" s="254" t="s">
        <v>35</v>
      </c>
      <c r="F616" s="254" t="s">
        <v>1017</v>
      </c>
      <c r="G616" s="254">
        <v>329</v>
      </c>
      <c r="H616" s="254" t="s">
        <v>200</v>
      </c>
      <c r="I616" s="254" t="s">
        <v>525</v>
      </c>
      <c r="J616" s="254" t="s">
        <v>1915</v>
      </c>
      <c r="K616" s="254" t="s">
        <v>2688</v>
      </c>
      <c r="L616" s="255">
        <v>46165.46597222222</v>
      </c>
      <c r="M616" s="255">
        <v>46165.466666666667</v>
      </c>
      <c r="N616" s="254" t="s">
        <v>2668</v>
      </c>
      <c r="O616" s="152" t="s">
        <v>214</v>
      </c>
      <c r="P616" s="90"/>
      <c r="Q616" s="140" t="s">
        <v>214</v>
      </c>
      <c r="R616" s="90"/>
      <c r="S616" s="140" t="s">
        <v>214</v>
      </c>
      <c r="T616" s="90"/>
      <c r="U616" s="140" t="s">
        <v>214</v>
      </c>
      <c r="V616" s="90"/>
      <c r="W616" s="140" t="s">
        <v>214</v>
      </c>
      <c r="X616" s="90"/>
      <c r="Y616" s="140" t="s">
        <v>215</v>
      </c>
      <c r="Z616" s="177" t="str">
        <f t="shared" si="34"/>
        <v>NC</v>
      </c>
      <c r="AA616" s="190" t="str">
        <f t="shared" si="32"/>
        <v>NÃO UTILIZOU O PDA</v>
      </c>
      <c r="AB616" s="90" t="s">
        <v>207</v>
      </c>
      <c r="AC616" s="156" t="s">
        <v>36</v>
      </c>
      <c r="AD616" s="145" t="str">
        <f t="shared" si="35"/>
        <v>SÃO PAULO</v>
      </c>
      <c r="AE616" s="92" t="s">
        <v>79</v>
      </c>
    </row>
    <row r="617" spans="1:31" ht="30" customHeight="1">
      <c r="A617" s="253" t="s">
        <v>198</v>
      </c>
      <c r="B617" s="261">
        <v>2621779581</v>
      </c>
      <c r="C617" s="254" t="s">
        <v>1923</v>
      </c>
      <c r="D617" s="254" t="s">
        <v>79</v>
      </c>
      <c r="E617" s="254" t="s">
        <v>35</v>
      </c>
      <c r="F617" s="254" t="s">
        <v>752</v>
      </c>
      <c r="G617" s="254">
        <v>1281</v>
      </c>
      <c r="H617" s="254" t="s">
        <v>208</v>
      </c>
      <c r="I617" s="254" t="s">
        <v>411</v>
      </c>
      <c r="J617" s="254" t="s">
        <v>1915</v>
      </c>
      <c r="K617" s="254" t="s">
        <v>2688</v>
      </c>
      <c r="L617" s="255">
        <v>46165.470138888886</v>
      </c>
      <c r="M617" s="255">
        <v>46165.470833333333</v>
      </c>
      <c r="N617" s="254" t="s">
        <v>2668</v>
      </c>
      <c r="O617" s="152" t="s">
        <v>214</v>
      </c>
      <c r="P617" s="90"/>
      <c r="Q617" s="140" t="s">
        <v>214</v>
      </c>
      <c r="R617" s="90"/>
      <c r="S617" s="140" t="s">
        <v>214</v>
      </c>
      <c r="T617" s="90"/>
      <c r="U617" s="140" t="s">
        <v>214</v>
      </c>
      <c r="V617" s="90"/>
      <c r="W617" s="140" t="s">
        <v>214</v>
      </c>
      <c r="X617" s="90"/>
      <c r="Y617" s="140" t="s">
        <v>215</v>
      </c>
      <c r="Z617" s="177" t="str">
        <f t="shared" si="34"/>
        <v>NC</v>
      </c>
      <c r="AA617" s="190" t="str">
        <f t="shared" si="32"/>
        <v>NÃO UTILIZOU O PDA</v>
      </c>
      <c r="AB617" s="90" t="s">
        <v>207</v>
      </c>
      <c r="AC617" s="156" t="s">
        <v>36</v>
      </c>
      <c r="AD617" s="145" t="str">
        <f t="shared" si="35"/>
        <v>SÃO PAULO</v>
      </c>
      <c r="AE617" s="92" t="s">
        <v>79</v>
      </c>
    </row>
    <row r="618" spans="1:31" ht="30" customHeight="1">
      <c r="A618" s="253" t="s">
        <v>198</v>
      </c>
      <c r="B618" s="261">
        <v>2621779595</v>
      </c>
      <c r="C618" s="254" t="s">
        <v>1923</v>
      </c>
      <c r="D618" s="254" t="s">
        <v>79</v>
      </c>
      <c r="E618" s="254" t="s">
        <v>35</v>
      </c>
      <c r="F618" s="254" t="s">
        <v>1949</v>
      </c>
      <c r="G618" s="254">
        <v>475</v>
      </c>
      <c r="H618" s="254" t="s">
        <v>200</v>
      </c>
      <c r="I618" s="254" t="s">
        <v>652</v>
      </c>
      <c r="J618" s="254" t="s">
        <v>1915</v>
      </c>
      <c r="K618" s="254" t="s">
        <v>2688</v>
      </c>
      <c r="L618" s="255">
        <v>46165.46875</v>
      </c>
      <c r="M618" s="255">
        <v>46165.469444444447</v>
      </c>
      <c r="N618" s="254" t="s">
        <v>2668</v>
      </c>
      <c r="O618" s="152" t="s">
        <v>214</v>
      </c>
      <c r="P618" s="90"/>
      <c r="Q618" s="140" t="s">
        <v>214</v>
      </c>
      <c r="R618" s="90"/>
      <c r="S618" s="140" t="s">
        <v>214</v>
      </c>
      <c r="T618" s="90"/>
      <c r="U618" s="140" t="s">
        <v>214</v>
      </c>
      <c r="V618" s="90"/>
      <c r="W618" s="140" t="s">
        <v>214</v>
      </c>
      <c r="X618" s="90"/>
      <c r="Y618" s="140" t="s">
        <v>215</v>
      </c>
      <c r="Z618" s="177" t="s">
        <v>215</v>
      </c>
      <c r="AA618" s="190" t="str">
        <f t="shared" si="32"/>
        <v>NÃO UTILIZOU O PDA</v>
      </c>
      <c r="AB618" s="90" t="s">
        <v>207</v>
      </c>
      <c r="AC618" s="156" t="s">
        <v>36</v>
      </c>
      <c r="AD618" s="145" t="str">
        <f t="shared" si="35"/>
        <v>SÃO PAULO</v>
      </c>
      <c r="AE618" s="92" t="s">
        <v>79</v>
      </c>
    </row>
    <row r="619" spans="1:31" ht="30" customHeight="1">
      <c r="A619" s="253" t="s">
        <v>198</v>
      </c>
      <c r="B619" s="261">
        <v>2621779648</v>
      </c>
      <c r="C619" s="254" t="s">
        <v>1923</v>
      </c>
      <c r="D619" s="254" t="s">
        <v>79</v>
      </c>
      <c r="E619" s="254" t="s">
        <v>35</v>
      </c>
      <c r="F619" s="254" t="s">
        <v>2582</v>
      </c>
      <c r="G619" s="254">
        <v>55</v>
      </c>
      <c r="H619" s="254" t="s">
        <v>208</v>
      </c>
      <c r="I619" s="254" t="s">
        <v>455</v>
      </c>
      <c r="J619" s="254" t="s">
        <v>1915</v>
      </c>
      <c r="K619" s="254" t="s">
        <v>2688</v>
      </c>
      <c r="L619" s="255">
        <v>46165.468055555553</v>
      </c>
      <c r="M619" s="255">
        <v>46165.46875</v>
      </c>
      <c r="N619" s="254" t="s">
        <v>2668</v>
      </c>
      <c r="O619" s="152" t="s">
        <v>214</v>
      </c>
      <c r="P619" s="90"/>
      <c r="Q619" s="140" t="s">
        <v>214</v>
      </c>
      <c r="R619" s="90"/>
      <c r="S619" s="140" t="s">
        <v>214</v>
      </c>
      <c r="T619" s="90"/>
      <c r="U619" s="140" t="s">
        <v>214</v>
      </c>
      <c r="V619" s="90"/>
      <c r="W619" s="140" t="s">
        <v>214</v>
      </c>
      <c r="X619" s="90"/>
      <c r="Y619" s="140" t="s">
        <v>215</v>
      </c>
      <c r="Z619" s="177" t="str">
        <f t="shared" si="34"/>
        <v>NC</v>
      </c>
      <c r="AA619" s="190" t="str">
        <f t="shared" si="32"/>
        <v>NÃO UTILIZOU O PDA</v>
      </c>
      <c r="AB619" s="90" t="s">
        <v>207</v>
      </c>
      <c r="AC619" s="156" t="s">
        <v>36</v>
      </c>
      <c r="AD619" s="145" t="str">
        <f t="shared" si="35"/>
        <v>SÃO PAULO</v>
      </c>
      <c r="AE619" s="92" t="s">
        <v>79</v>
      </c>
    </row>
    <row r="620" spans="1:31" ht="30" customHeight="1">
      <c r="A620" s="253" t="s">
        <v>198</v>
      </c>
      <c r="B620" s="261">
        <v>2621779691</v>
      </c>
      <c r="C620" s="254" t="s">
        <v>1923</v>
      </c>
      <c r="D620" s="254" t="s">
        <v>79</v>
      </c>
      <c r="E620" s="254" t="s">
        <v>35</v>
      </c>
      <c r="F620" s="254" t="s">
        <v>1390</v>
      </c>
      <c r="G620" s="254">
        <v>467</v>
      </c>
      <c r="H620" s="254" t="s">
        <v>200</v>
      </c>
      <c r="I620" s="254" t="s">
        <v>598</v>
      </c>
      <c r="J620" s="254" t="s">
        <v>1915</v>
      </c>
      <c r="K620" s="254" t="s">
        <v>2688</v>
      </c>
      <c r="L620" s="255">
        <v>46165.467361111114</v>
      </c>
      <c r="M620" s="255">
        <v>46165.468055555553</v>
      </c>
      <c r="N620" s="254" t="s">
        <v>2668</v>
      </c>
      <c r="O620" s="152" t="s">
        <v>214</v>
      </c>
      <c r="P620" s="90"/>
      <c r="Q620" s="140" t="s">
        <v>214</v>
      </c>
      <c r="R620" s="90"/>
      <c r="S620" s="140" t="s">
        <v>214</v>
      </c>
      <c r="T620" s="90"/>
      <c r="U620" s="140" t="s">
        <v>214</v>
      </c>
      <c r="V620" s="90"/>
      <c r="W620" s="140" t="s">
        <v>214</v>
      </c>
      <c r="X620" s="90"/>
      <c r="Y620" s="140" t="s">
        <v>215</v>
      </c>
      <c r="Z620" s="177" t="str">
        <f t="shared" si="34"/>
        <v>NC</v>
      </c>
      <c r="AA620" s="190" t="str">
        <f t="shared" si="32"/>
        <v>NÃO UTILIZOU O PDA</v>
      </c>
      <c r="AB620" s="90" t="s">
        <v>207</v>
      </c>
      <c r="AC620" s="156" t="s">
        <v>36</v>
      </c>
      <c r="AD620" s="145" t="str">
        <f t="shared" si="35"/>
        <v>SÃO PAULO</v>
      </c>
      <c r="AE620" s="92" t="s">
        <v>79</v>
      </c>
    </row>
    <row r="621" spans="1:31" ht="30" customHeight="1">
      <c r="A621" s="253" t="s">
        <v>198</v>
      </c>
      <c r="B621" s="261">
        <v>2621780444</v>
      </c>
      <c r="C621" s="254" t="s">
        <v>1923</v>
      </c>
      <c r="D621" s="254" t="s">
        <v>79</v>
      </c>
      <c r="E621" s="254" t="s">
        <v>35</v>
      </c>
      <c r="F621" s="254" t="s">
        <v>2404</v>
      </c>
      <c r="G621" s="254">
        <v>67</v>
      </c>
      <c r="H621" s="254" t="s">
        <v>208</v>
      </c>
      <c r="I621" s="254" t="s">
        <v>580</v>
      </c>
      <c r="J621" s="254" t="s">
        <v>1915</v>
      </c>
      <c r="K621" s="254" t="s">
        <v>2750</v>
      </c>
      <c r="L621" s="255">
        <v>46165.720138888886</v>
      </c>
      <c r="M621" s="255">
        <v>46165.720833333333</v>
      </c>
      <c r="N621" s="254" t="s">
        <v>1916</v>
      </c>
      <c r="O621" s="152" t="s">
        <v>214</v>
      </c>
      <c r="P621" s="90"/>
      <c r="Q621" s="140" t="s">
        <v>214</v>
      </c>
      <c r="R621" s="90"/>
      <c r="S621" s="140" t="s">
        <v>214</v>
      </c>
      <c r="T621" s="90"/>
      <c r="U621" s="140" t="s">
        <v>214</v>
      </c>
      <c r="V621" s="90"/>
      <c r="W621" s="140" t="s">
        <v>214</v>
      </c>
      <c r="X621" s="90"/>
      <c r="Y621" s="140" t="s">
        <v>215</v>
      </c>
      <c r="Z621" s="177" t="str">
        <f t="shared" si="34"/>
        <v>NC</v>
      </c>
      <c r="AA621" s="190" t="str">
        <f t="shared" si="32"/>
        <v>NÃO UTILIZOU O PDA</v>
      </c>
      <c r="AB621" s="90" t="s">
        <v>207</v>
      </c>
      <c r="AC621" s="156" t="s">
        <v>36</v>
      </c>
      <c r="AD621" s="145" t="str">
        <f t="shared" si="35"/>
        <v>SÃO PAULO</v>
      </c>
      <c r="AE621" s="92" t="s">
        <v>79</v>
      </c>
    </row>
    <row r="622" spans="1:31" ht="30" customHeight="1">
      <c r="A622" s="253" t="s">
        <v>198</v>
      </c>
      <c r="B622" s="261">
        <v>2621780471</v>
      </c>
      <c r="C622" s="254" t="s">
        <v>1923</v>
      </c>
      <c r="D622" s="254" t="s">
        <v>79</v>
      </c>
      <c r="E622" s="254" t="s">
        <v>35</v>
      </c>
      <c r="F622" s="254" t="s">
        <v>916</v>
      </c>
      <c r="G622" s="254">
        <v>69</v>
      </c>
      <c r="H622" s="254" t="s">
        <v>208</v>
      </c>
      <c r="I622" s="254" t="s">
        <v>917</v>
      </c>
      <c r="J622" s="254" t="s">
        <v>1915</v>
      </c>
      <c r="K622" s="254" t="s">
        <v>2750</v>
      </c>
      <c r="L622" s="255">
        <v>46165.719444444447</v>
      </c>
      <c r="M622" s="255">
        <v>46165.720138888886</v>
      </c>
      <c r="N622" s="254" t="s">
        <v>1916</v>
      </c>
      <c r="O622" s="152" t="s">
        <v>214</v>
      </c>
      <c r="P622" s="90"/>
      <c r="Q622" s="140" t="s">
        <v>214</v>
      </c>
      <c r="R622" s="90"/>
      <c r="S622" s="140" t="s">
        <v>214</v>
      </c>
      <c r="T622" s="90"/>
      <c r="U622" s="140" t="s">
        <v>214</v>
      </c>
      <c r="V622" s="90"/>
      <c r="W622" s="140" t="s">
        <v>214</v>
      </c>
      <c r="X622" s="90"/>
      <c r="Y622" s="140" t="s">
        <v>215</v>
      </c>
      <c r="Z622" s="177" t="str">
        <f t="shared" si="34"/>
        <v>NC</v>
      </c>
      <c r="AA622" s="190" t="str">
        <f t="shared" si="32"/>
        <v>NÃO UTILIZOU O PDA</v>
      </c>
      <c r="AB622" s="90" t="s">
        <v>207</v>
      </c>
      <c r="AC622" s="156" t="s">
        <v>36</v>
      </c>
      <c r="AD622" s="145" t="str">
        <f t="shared" si="35"/>
        <v>SÃO PAULO</v>
      </c>
      <c r="AE622" s="92" t="s">
        <v>79</v>
      </c>
    </row>
    <row r="623" spans="1:31" ht="30" customHeight="1">
      <c r="A623" s="253" t="s">
        <v>198</v>
      </c>
      <c r="B623" s="261">
        <v>2694037796</v>
      </c>
      <c r="C623" s="254" t="s">
        <v>146</v>
      </c>
      <c r="D623" s="254" t="s">
        <v>79</v>
      </c>
      <c r="E623" s="254" t="s">
        <v>35</v>
      </c>
      <c r="F623" s="254" t="s">
        <v>2763</v>
      </c>
      <c r="G623" s="254">
        <v>110</v>
      </c>
      <c r="H623" s="254" t="s">
        <v>200</v>
      </c>
      <c r="I623" s="254" t="s">
        <v>689</v>
      </c>
      <c r="J623" s="254" t="s">
        <v>1915</v>
      </c>
      <c r="K623" s="254" t="s">
        <v>200</v>
      </c>
      <c r="L623" s="255">
        <v>46166.313888888886</v>
      </c>
      <c r="M623" s="255">
        <v>46166.317361111112</v>
      </c>
      <c r="N623" s="254" t="s">
        <v>390</v>
      </c>
      <c r="O623" s="152" t="s">
        <v>207</v>
      </c>
      <c r="P623" s="90"/>
      <c r="Q623" s="140" t="s">
        <v>207</v>
      </c>
      <c r="R623" s="90"/>
      <c r="S623" s="140" t="s">
        <v>207</v>
      </c>
      <c r="T623" s="90"/>
      <c r="U623" s="140" t="s">
        <v>207</v>
      </c>
      <c r="V623" s="90"/>
      <c r="W623" s="140" t="s">
        <v>207</v>
      </c>
      <c r="X623" s="90"/>
      <c r="Y623" s="140" t="s">
        <v>207</v>
      </c>
      <c r="Z623" s="177" t="str">
        <f t="shared" si="34"/>
        <v>C</v>
      </c>
      <c r="AA623" s="190" t="str">
        <f t="shared" si="32"/>
        <v>UTILIZOU O PDA CORRETAMENTE</v>
      </c>
      <c r="AB623" s="90" t="s">
        <v>207</v>
      </c>
      <c r="AC623" s="156" t="s">
        <v>36</v>
      </c>
      <c r="AD623" s="145" t="str">
        <f t="shared" si="35"/>
        <v>SÃO PAULO</v>
      </c>
      <c r="AE623" s="92" t="s">
        <v>79</v>
      </c>
    </row>
    <row r="624" spans="1:31" ht="30" customHeight="1">
      <c r="A624" s="253" t="s">
        <v>198</v>
      </c>
      <c r="B624" s="261">
        <v>2621774559</v>
      </c>
      <c r="C624" s="254" t="s">
        <v>144</v>
      </c>
      <c r="D624" s="254" t="s">
        <v>140</v>
      </c>
      <c r="E624" s="254" t="s">
        <v>35</v>
      </c>
      <c r="F624" s="254" t="s">
        <v>1086</v>
      </c>
      <c r="G624" s="254">
        <v>119</v>
      </c>
      <c r="H624" s="254" t="s">
        <v>200</v>
      </c>
      <c r="I624" s="254" t="s">
        <v>256</v>
      </c>
      <c r="J624" s="254" t="s">
        <v>1954</v>
      </c>
      <c r="K624" s="254" t="s">
        <v>200</v>
      </c>
      <c r="L624" s="255">
        <v>46166.206944444442</v>
      </c>
      <c r="M624" s="255">
        <v>46166.206944444442</v>
      </c>
      <c r="N624" s="254" t="s">
        <v>390</v>
      </c>
      <c r="O624" s="152" t="s">
        <v>207</v>
      </c>
      <c r="P624" s="90"/>
      <c r="Q624" s="140" t="s">
        <v>214</v>
      </c>
      <c r="R624" s="90"/>
      <c r="S624" s="140" t="s">
        <v>214</v>
      </c>
      <c r="T624" s="90"/>
      <c r="U624" s="140" t="s">
        <v>214</v>
      </c>
      <c r="V624" s="90"/>
      <c r="W624" s="140" t="s">
        <v>207</v>
      </c>
      <c r="X624" s="90"/>
      <c r="Y624" s="140" t="s">
        <v>207</v>
      </c>
      <c r="Z624" s="177" t="str">
        <f t="shared" si="34"/>
        <v>NC</v>
      </c>
      <c r="AA624" s="190" t="str">
        <f t="shared" si="32"/>
        <v>UTILIZOU O PDA CORRETAMENTE. NÃO HÁ FOTOS DE TODAS AS ETAPAS</v>
      </c>
      <c r="AB624" s="90" t="s">
        <v>207</v>
      </c>
      <c r="AC624" s="156" t="s">
        <v>36</v>
      </c>
      <c r="AD624" s="145" t="str">
        <f t="shared" si="35"/>
        <v>SÃO PAULO</v>
      </c>
      <c r="AE624" s="92" t="s">
        <v>79</v>
      </c>
    </row>
    <row r="625" spans="1:31" ht="30" customHeight="1">
      <c r="A625" s="253" t="s">
        <v>198</v>
      </c>
      <c r="B625" s="261">
        <v>2694037189</v>
      </c>
      <c r="C625" s="254" t="s">
        <v>1923</v>
      </c>
      <c r="D625" s="254" t="s">
        <v>79</v>
      </c>
      <c r="E625" s="254" t="s">
        <v>35</v>
      </c>
      <c r="F625" s="254" t="s">
        <v>2764</v>
      </c>
      <c r="G625" s="254">
        <v>298</v>
      </c>
      <c r="H625" s="254" t="s">
        <v>208</v>
      </c>
      <c r="I625" s="254" t="s">
        <v>567</v>
      </c>
      <c r="J625" s="254" t="s">
        <v>1915</v>
      </c>
      <c r="K625" s="254" t="s">
        <v>200</v>
      </c>
      <c r="L625" s="255">
        <v>46166.322916666664</v>
      </c>
      <c r="M625" s="255">
        <v>46166.32916666667</v>
      </c>
      <c r="N625" s="254" t="s">
        <v>1944</v>
      </c>
      <c r="O625" s="152" t="s">
        <v>207</v>
      </c>
      <c r="P625" s="90"/>
      <c r="Q625" s="140" t="s">
        <v>207</v>
      </c>
      <c r="R625" s="90"/>
      <c r="S625" s="140" t="s">
        <v>207</v>
      </c>
      <c r="T625" s="90"/>
      <c r="U625" s="140" t="s">
        <v>207</v>
      </c>
      <c r="V625" s="90"/>
      <c r="W625" s="140" t="s">
        <v>207</v>
      </c>
      <c r="X625" s="90"/>
      <c r="Y625" s="140" t="s">
        <v>207</v>
      </c>
      <c r="Z625" s="177" t="str">
        <f t="shared" si="34"/>
        <v>C</v>
      </c>
      <c r="AA625" s="190" t="str">
        <f t="shared" si="32"/>
        <v>UTILIZOU O PDA CORRETAMENTE</v>
      </c>
      <c r="AB625" s="90" t="s">
        <v>207</v>
      </c>
      <c r="AC625" s="156" t="s">
        <v>36</v>
      </c>
      <c r="AD625" s="145" t="str">
        <f t="shared" si="35"/>
        <v>SÃO PAULO</v>
      </c>
      <c r="AE625" s="92" t="s">
        <v>79</v>
      </c>
    </row>
    <row r="626" spans="1:31" ht="30" customHeight="1">
      <c r="A626" s="253" t="s">
        <v>198</v>
      </c>
      <c r="B626" s="261">
        <v>2694053212</v>
      </c>
      <c r="C626" s="254" t="s">
        <v>146</v>
      </c>
      <c r="D626" s="254" t="s">
        <v>79</v>
      </c>
      <c r="E626" s="254" t="s">
        <v>35</v>
      </c>
      <c r="F626" s="254" t="s">
        <v>2765</v>
      </c>
      <c r="G626" s="254">
        <v>9</v>
      </c>
      <c r="H626" s="254" t="s">
        <v>208</v>
      </c>
      <c r="I626" s="254" t="s">
        <v>621</v>
      </c>
      <c r="J626" s="254" t="s">
        <v>1915</v>
      </c>
      <c r="K626" s="254" t="s">
        <v>2766</v>
      </c>
      <c r="L626" s="255">
        <v>46166.379166666666</v>
      </c>
      <c r="M626" s="255">
        <v>46166.398611111108</v>
      </c>
      <c r="N626" s="254" t="s">
        <v>1944</v>
      </c>
      <c r="O626" s="152" t="s">
        <v>207</v>
      </c>
      <c r="P626" s="90"/>
      <c r="Q626" s="140" t="s">
        <v>207</v>
      </c>
      <c r="R626" s="90"/>
      <c r="S626" s="140" t="s">
        <v>214</v>
      </c>
      <c r="T626" s="90"/>
      <c r="U626" s="140" t="s">
        <v>214</v>
      </c>
      <c r="V626" s="90"/>
      <c r="W626" s="140" t="s">
        <v>207</v>
      </c>
      <c r="X626" s="90"/>
      <c r="Y626" s="140" t="s">
        <v>207</v>
      </c>
      <c r="Z626" s="177" t="str">
        <f t="shared" si="34"/>
        <v>NC</v>
      </c>
      <c r="AA626" s="190" t="str">
        <f t="shared" si="32"/>
        <v>UTILIZOU O PDA CORRETAMENTE. NÃO HÁ FOTOS DE TODAS AS ETAPAS</v>
      </c>
      <c r="AB626" s="90" t="s">
        <v>207</v>
      </c>
      <c r="AC626" s="156" t="s">
        <v>36</v>
      </c>
      <c r="AD626" s="145" t="str">
        <f t="shared" si="35"/>
        <v>SÃO PAULO</v>
      </c>
      <c r="AE626" s="92" t="s">
        <v>79</v>
      </c>
    </row>
    <row r="627" spans="1:31" ht="30" customHeight="1">
      <c r="A627" s="253" t="s">
        <v>198</v>
      </c>
      <c r="B627" s="261">
        <v>2621772723</v>
      </c>
      <c r="C627" s="254" t="s">
        <v>143</v>
      </c>
      <c r="D627" s="267" t="s">
        <v>79</v>
      </c>
      <c r="E627" s="254" t="s">
        <v>35</v>
      </c>
      <c r="F627" s="254" t="s">
        <v>2767</v>
      </c>
      <c r="G627" s="254">
        <v>2</v>
      </c>
      <c r="H627" s="254" t="s">
        <v>200</v>
      </c>
      <c r="I627" s="254" t="s">
        <v>536</v>
      </c>
      <c r="J627" s="254" t="s">
        <v>1915</v>
      </c>
      <c r="K627" s="254" t="s">
        <v>200</v>
      </c>
      <c r="L627" s="255">
        <v>46166.243055555555</v>
      </c>
      <c r="M627" s="255">
        <v>46166.251388888886</v>
      </c>
      <c r="N627" s="254" t="s">
        <v>1933</v>
      </c>
      <c r="O627" s="152" t="s">
        <v>207</v>
      </c>
      <c r="P627" s="90"/>
      <c r="Q627" s="140" t="s">
        <v>207</v>
      </c>
      <c r="R627" s="90"/>
      <c r="S627" s="140" t="s">
        <v>207</v>
      </c>
      <c r="T627" s="90"/>
      <c r="U627" s="140" t="s">
        <v>207</v>
      </c>
      <c r="V627" s="90"/>
      <c r="W627" s="140" t="s">
        <v>207</v>
      </c>
      <c r="X627" s="90"/>
      <c r="Y627" s="140" t="s">
        <v>207</v>
      </c>
      <c r="Z627" s="177" t="str">
        <f t="shared" si="34"/>
        <v>C</v>
      </c>
      <c r="AA627" s="190" t="str">
        <f t="shared" si="32"/>
        <v>UTILIZOU O PDA CORRETAMENTE</v>
      </c>
      <c r="AB627" s="90" t="s">
        <v>207</v>
      </c>
      <c r="AC627" s="156" t="s">
        <v>36</v>
      </c>
      <c r="AD627" s="145" t="str">
        <f t="shared" si="35"/>
        <v>SÃO PAULO</v>
      </c>
      <c r="AE627" s="92" t="s">
        <v>79</v>
      </c>
    </row>
    <row r="628" spans="1:31" ht="30" customHeight="1">
      <c r="A628" s="253" t="s">
        <v>198</v>
      </c>
      <c r="B628" s="261">
        <v>2694025167</v>
      </c>
      <c r="C628" s="266" t="s">
        <v>143</v>
      </c>
      <c r="D628" s="268" t="s">
        <v>79</v>
      </c>
      <c r="E628" s="254" t="s">
        <v>35</v>
      </c>
      <c r="F628" s="254" t="s">
        <v>2768</v>
      </c>
      <c r="G628" s="254">
        <v>23</v>
      </c>
      <c r="H628" s="254" t="s">
        <v>200</v>
      </c>
      <c r="I628" s="254" t="s">
        <v>433</v>
      </c>
      <c r="J628" s="254" t="s">
        <v>1918</v>
      </c>
      <c r="K628" s="254" t="s">
        <v>200</v>
      </c>
      <c r="L628" s="255">
        <v>46166.35833333333</v>
      </c>
      <c r="M628" s="255">
        <v>46166.371527777781</v>
      </c>
      <c r="N628" s="254" t="s">
        <v>1933</v>
      </c>
      <c r="O628" s="152" t="s">
        <v>207</v>
      </c>
      <c r="P628" s="90"/>
      <c r="Q628" s="140" t="s">
        <v>207</v>
      </c>
      <c r="R628" s="90"/>
      <c r="S628" s="140" t="s">
        <v>207</v>
      </c>
      <c r="T628" s="90"/>
      <c r="U628" s="140" t="s">
        <v>207</v>
      </c>
      <c r="V628" s="90"/>
      <c r="W628" s="140" t="s">
        <v>207</v>
      </c>
      <c r="X628" s="90"/>
      <c r="Y628" s="140" t="s">
        <v>207</v>
      </c>
      <c r="Z628" s="177" t="str">
        <f t="shared" si="34"/>
        <v>C</v>
      </c>
      <c r="AA628" s="190" t="str">
        <f t="shared" si="32"/>
        <v>UTILIZOU O PDA CORRETAMENTE</v>
      </c>
      <c r="AB628" s="90" t="s">
        <v>207</v>
      </c>
      <c r="AC628" s="156" t="s">
        <v>36</v>
      </c>
      <c r="AD628" s="145" t="str">
        <f t="shared" si="35"/>
        <v>SÃO PAULO</v>
      </c>
      <c r="AE628" s="92" t="s">
        <v>79</v>
      </c>
    </row>
    <row r="629" spans="1:31" ht="30" customHeight="1">
      <c r="A629" s="253" t="s">
        <v>198</v>
      </c>
      <c r="B629" s="261">
        <v>2621777849</v>
      </c>
      <c r="C629" s="254" t="s">
        <v>143</v>
      </c>
      <c r="D629" s="254" t="s">
        <v>79</v>
      </c>
      <c r="E629" s="254" t="s">
        <v>35</v>
      </c>
      <c r="F629" s="254" t="s">
        <v>2769</v>
      </c>
      <c r="G629" s="254">
        <v>60</v>
      </c>
      <c r="H629" s="254" t="s">
        <v>347</v>
      </c>
      <c r="I629" s="254" t="s">
        <v>536</v>
      </c>
      <c r="J629" s="254" t="s">
        <v>1915</v>
      </c>
      <c r="K629" s="254" t="s">
        <v>200</v>
      </c>
      <c r="L629" s="255">
        <v>46166.214583333334</v>
      </c>
      <c r="M629" s="255">
        <v>46166.236111111109</v>
      </c>
      <c r="N629" s="254" t="s">
        <v>1933</v>
      </c>
      <c r="O629" s="265" t="s">
        <v>207</v>
      </c>
      <c r="P629" s="264"/>
      <c r="Q629" s="140" t="s">
        <v>207</v>
      </c>
      <c r="R629" s="90"/>
      <c r="S629" s="140" t="s">
        <v>207</v>
      </c>
      <c r="T629" s="90"/>
      <c r="U629" s="140" t="s">
        <v>207</v>
      </c>
      <c r="V629" s="90"/>
      <c r="W629" s="140" t="s">
        <v>207</v>
      </c>
      <c r="X629" s="90"/>
      <c r="Y629" s="140" t="s">
        <v>207</v>
      </c>
      <c r="Z629" s="177" t="s">
        <v>207</v>
      </c>
      <c r="AA629" s="190" t="str">
        <f t="shared" si="32"/>
        <v>UTILIZOU O PDA CORRETAMENTE</v>
      </c>
      <c r="AB629" s="90" t="s">
        <v>207</v>
      </c>
      <c r="AC629" s="156" t="s">
        <v>36</v>
      </c>
      <c r="AD629" s="145" t="str">
        <f t="shared" si="35"/>
        <v>SÃO PAULO</v>
      </c>
      <c r="AE629" s="92" t="s">
        <v>79</v>
      </c>
    </row>
    <row r="630" spans="1:31" ht="30" customHeight="1">
      <c r="A630" s="253" t="s">
        <v>198</v>
      </c>
      <c r="B630" s="261">
        <v>2694036003</v>
      </c>
      <c r="C630" s="254" t="s">
        <v>147</v>
      </c>
      <c r="D630" s="254" t="s">
        <v>79</v>
      </c>
      <c r="E630" s="254" t="s">
        <v>35</v>
      </c>
      <c r="F630" s="254" t="s">
        <v>659</v>
      </c>
      <c r="G630" s="254">
        <v>392</v>
      </c>
      <c r="H630" s="254" t="s">
        <v>200</v>
      </c>
      <c r="I630" s="254" t="s">
        <v>536</v>
      </c>
      <c r="J630" s="254" t="s">
        <v>1915</v>
      </c>
      <c r="K630" s="254" t="s">
        <v>200</v>
      </c>
      <c r="L630" s="255">
        <v>46166.173611111109</v>
      </c>
      <c r="M630" s="255">
        <v>46166.195833333331</v>
      </c>
      <c r="N630" s="254" t="s">
        <v>1933</v>
      </c>
      <c r="O630" s="152" t="s">
        <v>207</v>
      </c>
      <c r="P630" s="90"/>
      <c r="Q630" s="140" t="s">
        <v>207</v>
      </c>
      <c r="R630" s="90"/>
      <c r="S630" s="140" t="s">
        <v>207</v>
      </c>
      <c r="T630" s="90"/>
      <c r="U630" s="140" t="s">
        <v>207</v>
      </c>
      <c r="V630" s="90"/>
      <c r="W630" s="140" t="s">
        <v>207</v>
      </c>
      <c r="X630" s="90"/>
      <c r="Y630" s="140" t="s">
        <v>207</v>
      </c>
      <c r="Z630" s="177" t="str">
        <f t="shared" si="34"/>
        <v>C</v>
      </c>
      <c r="AA630" s="190" t="str">
        <f t="shared" si="32"/>
        <v>UTILIZOU O PDA CORRETAMENTE</v>
      </c>
      <c r="AB630" s="90" t="s">
        <v>207</v>
      </c>
      <c r="AC630" s="156" t="s">
        <v>36</v>
      </c>
      <c r="AD630" s="145" t="str">
        <f t="shared" si="35"/>
        <v>SÃO PAULO</v>
      </c>
      <c r="AE630" s="92" t="s">
        <v>79</v>
      </c>
    </row>
    <row r="631" spans="1:31" ht="30" customHeight="1">
      <c r="A631" s="253" t="s">
        <v>198</v>
      </c>
      <c r="B631" s="261">
        <v>2694055543</v>
      </c>
      <c r="C631" s="254" t="s">
        <v>147</v>
      </c>
      <c r="D631" s="254" t="s">
        <v>79</v>
      </c>
      <c r="E631" s="254" t="s">
        <v>35</v>
      </c>
      <c r="F631" s="254" t="s">
        <v>2022</v>
      </c>
      <c r="G631" s="254">
        <v>663</v>
      </c>
      <c r="H631" s="254" t="s">
        <v>200</v>
      </c>
      <c r="I631" s="254" t="s">
        <v>614</v>
      </c>
      <c r="J631" s="254" t="s">
        <v>1915</v>
      </c>
      <c r="K631" s="254" t="s">
        <v>200</v>
      </c>
      <c r="L631" s="255">
        <v>46166.427083333336</v>
      </c>
      <c r="M631" s="255">
        <v>46166.434027777781</v>
      </c>
      <c r="N631" s="254" t="s">
        <v>1944</v>
      </c>
      <c r="O631" s="152" t="s">
        <v>207</v>
      </c>
      <c r="P631" s="90"/>
      <c r="Q631" s="140" t="s">
        <v>207</v>
      </c>
      <c r="R631" s="90"/>
      <c r="S631" s="140" t="s">
        <v>207</v>
      </c>
      <c r="T631" s="90"/>
      <c r="U631" s="140" t="s">
        <v>207</v>
      </c>
      <c r="V631" s="90"/>
      <c r="W631" s="140" t="s">
        <v>207</v>
      </c>
      <c r="X631" s="90"/>
      <c r="Y631" s="140" t="s">
        <v>207</v>
      </c>
      <c r="Z631" s="177" t="str">
        <f t="shared" si="34"/>
        <v>C</v>
      </c>
      <c r="AA631" s="190" t="str">
        <f t="shared" si="32"/>
        <v>UTILIZOU O PDA CORRETAMENTE</v>
      </c>
      <c r="AB631" s="90" t="s">
        <v>207</v>
      </c>
      <c r="AC631" s="156" t="s">
        <v>36</v>
      </c>
      <c r="AD631" s="145" t="str">
        <f t="shared" si="35"/>
        <v>SÃO PAULO</v>
      </c>
      <c r="AE631" s="92" t="s">
        <v>79</v>
      </c>
    </row>
    <row r="632" spans="1:31" ht="30" customHeight="1">
      <c r="A632" s="253" t="s">
        <v>198</v>
      </c>
      <c r="B632" s="261">
        <v>2621834500</v>
      </c>
      <c r="C632" s="254" t="s">
        <v>1923</v>
      </c>
      <c r="D632" s="254" t="s">
        <v>79</v>
      </c>
      <c r="E632" s="254" t="s">
        <v>35</v>
      </c>
      <c r="F632" s="254" t="s">
        <v>428</v>
      </c>
      <c r="G632" s="254">
        <v>3</v>
      </c>
      <c r="H632" s="254" t="s">
        <v>208</v>
      </c>
      <c r="I632" s="254" t="s">
        <v>429</v>
      </c>
      <c r="J632" s="254" t="s">
        <v>1915</v>
      </c>
      <c r="K632" s="254" t="s">
        <v>2319</v>
      </c>
      <c r="L632" s="255">
        <v>46166.544444444444</v>
      </c>
      <c r="M632" s="255">
        <v>46166.545138888891</v>
      </c>
      <c r="N632" s="254" t="s">
        <v>1944</v>
      </c>
      <c r="O632" s="152" t="s">
        <v>214</v>
      </c>
      <c r="P632" s="90"/>
      <c r="Q632" s="140" t="s">
        <v>214</v>
      </c>
      <c r="R632" s="90"/>
      <c r="S632" s="140" t="s">
        <v>214</v>
      </c>
      <c r="T632" s="90"/>
      <c r="U632" s="140" t="s">
        <v>214</v>
      </c>
      <c r="V632" s="90"/>
      <c r="W632" s="140" t="s">
        <v>214</v>
      </c>
      <c r="X632" s="90"/>
      <c r="Y632" s="140" t="s">
        <v>215</v>
      </c>
      <c r="Z632" s="177" t="str">
        <f t="shared" si="34"/>
        <v>NC</v>
      </c>
      <c r="AA632" s="190" t="str">
        <f t="shared" si="32"/>
        <v>NÃO UTILIZOU O PDA</v>
      </c>
      <c r="AB632" s="90" t="s">
        <v>207</v>
      </c>
      <c r="AC632" s="156" t="s">
        <v>36</v>
      </c>
      <c r="AD632" s="145" t="str">
        <f t="shared" si="35"/>
        <v>SÃO PAULO</v>
      </c>
      <c r="AE632" s="92" t="s">
        <v>79</v>
      </c>
    </row>
    <row r="633" spans="1:31" ht="30" customHeight="1">
      <c r="A633" s="253" t="s">
        <v>198</v>
      </c>
      <c r="B633" s="261">
        <v>2621834565</v>
      </c>
      <c r="C633" s="254" t="s">
        <v>1923</v>
      </c>
      <c r="D633" s="254" t="s">
        <v>79</v>
      </c>
      <c r="E633" s="254" t="s">
        <v>35</v>
      </c>
      <c r="F633" s="254" t="s">
        <v>2770</v>
      </c>
      <c r="G633" s="254">
        <v>40</v>
      </c>
      <c r="H633" s="254" t="s">
        <v>208</v>
      </c>
      <c r="I633" s="254" t="s">
        <v>675</v>
      </c>
      <c r="J633" s="254" t="s">
        <v>1915</v>
      </c>
      <c r="K633" s="254" t="s">
        <v>2319</v>
      </c>
      <c r="L633" s="255">
        <v>46166.543055555558</v>
      </c>
      <c r="M633" s="255">
        <v>46166.543749999997</v>
      </c>
      <c r="N633" s="254" t="s">
        <v>1944</v>
      </c>
      <c r="O633" s="152" t="s">
        <v>214</v>
      </c>
      <c r="P633" s="90"/>
      <c r="Q633" s="140" t="s">
        <v>214</v>
      </c>
      <c r="R633" s="90"/>
      <c r="S633" s="140" t="s">
        <v>214</v>
      </c>
      <c r="T633" s="90"/>
      <c r="U633" s="140" t="s">
        <v>214</v>
      </c>
      <c r="V633" s="90"/>
      <c r="W633" s="140" t="s">
        <v>214</v>
      </c>
      <c r="X633" s="90"/>
      <c r="Y633" s="140" t="s">
        <v>215</v>
      </c>
      <c r="Z633" s="177" t="str">
        <f t="shared" si="34"/>
        <v>NC</v>
      </c>
      <c r="AA633" s="190" t="str">
        <f t="shared" si="32"/>
        <v>NÃO UTILIZOU O PDA</v>
      </c>
      <c r="AB633" s="90" t="s">
        <v>207</v>
      </c>
      <c r="AC633" s="156" t="s">
        <v>36</v>
      </c>
      <c r="AD633" s="145" t="str">
        <f t="shared" si="35"/>
        <v>SÃO PAULO</v>
      </c>
      <c r="AE633" s="92" t="s">
        <v>79</v>
      </c>
    </row>
    <row r="634" spans="1:31" ht="30" customHeight="1">
      <c r="A634" s="253" t="s">
        <v>198</v>
      </c>
      <c r="B634" s="261">
        <v>2621835407</v>
      </c>
      <c r="C634" s="254" t="s">
        <v>151</v>
      </c>
      <c r="D634" s="254" t="s">
        <v>140</v>
      </c>
      <c r="E634" s="254" t="s">
        <v>35</v>
      </c>
      <c r="F634" s="254" t="s">
        <v>2771</v>
      </c>
      <c r="G634" s="254">
        <v>1630</v>
      </c>
      <c r="H634" s="254" t="s">
        <v>200</v>
      </c>
      <c r="I634" s="254" t="s">
        <v>259</v>
      </c>
      <c r="J634" s="254" t="s">
        <v>1966</v>
      </c>
      <c r="K634" s="254" t="s">
        <v>200</v>
      </c>
      <c r="L634" s="255">
        <v>46166.350694444445</v>
      </c>
      <c r="M634" s="255">
        <v>46166.352083333331</v>
      </c>
      <c r="N634" s="254" t="s">
        <v>1933</v>
      </c>
      <c r="O634" s="152" t="s">
        <v>207</v>
      </c>
      <c r="P634" s="90"/>
      <c r="Q634" s="140" t="s">
        <v>207</v>
      </c>
      <c r="R634" s="90"/>
      <c r="S634" s="140" t="s">
        <v>214</v>
      </c>
      <c r="T634" s="90"/>
      <c r="U634" s="140" t="s">
        <v>214</v>
      </c>
      <c r="V634" s="90"/>
      <c r="W634" s="140" t="s">
        <v>207</v>
      </c>
      <c r="X634" s="90"/>
      <c r="Y634" s="140" t="s">
        <v>207</v>
      </c>
      <c r="Z634" s="177" t="str">
        <f t="shared" si="34"/>
        <v>NC</v>
      </c>
      <c r="AA634" s="190" t="str">
        <f t="shared" si="32"/>
        <v>UTILIZOU O PDA CORRETAMENTE. NÃO HÁ FOTOS DE TODAS AS ETAPAS</v>
      </c>
      <c r="AB634" s="90" t="s">
        <v>207</v>
      </c>
      <c r="AC634" s="156" t="s">
        <v>36</v>
      </c>
      <c r="AD634" s="145" t="str">
        <f t="shared" si="35"/>
        <v>SÃO PAULO</v>
      </c>
      <c r="AE634" s="92" t="s">
        <v>79</v>
      </c>
    </row>
    <row r="635" spans="1:31" ht="30" customHeight="1">
      <c r="A635" s="176" t="s">
        <v>198</v>
      </c>
      <c r="B635" s="262">
        <v>2621525818</v>
      </c>
      <c r="C635" s="154" t="s">
        <v>151</v>
      </c>
      <c r="D635" s="154" t="s">
        <v>140</v>
      </c>
      <c r="E635" s="154" t="s">
        <v>35</v>
      </c>
      <c r="F635" s="154" t="s">
        <v>2648</v>
      </c>
      <c r="G635" s="154">
        <v>19</v>
      </c>
      <c r="H635" s="154" t="s">
        <v>347</v>
      </c>
      <c r="I635" s="154" t="s">
        <v>811</v>
      </c>
      <c r="J635" s="154" t="s">
        <v>1966</v>
      </c>
      <c r="K635" s="154" t="s">
        <v>200</v>
      </c>
      <c r="L635" s="248">
        <v>46167.54791666667</v>
      </c>
      <c r="M635" s="248">
        <v>46167.563194444447</v>
      </c>
      <c r="N635" s="154" t="s">
        <v>251</v>
      </c>
      <c r="O635" s="152" t="s">
        <v>207</v>
      </c>
      <c r="P635" s="90"/>
      <c r="Q635" s="140" t="s">
        <v>207</v>
      </c>
      <c r="R635" s="90"/>
      <c r="S635" s="140" t="s">
        <v>214</v>
      </c>
      <c r="T635" s="90"/>
      <c r="U635" s="140" t="s">
        <v>214</v>
      </c>
      <c r="V635" s="90"/>
      <c r="W635" s="140" t="s">
        <v>207</v>
      </c>
      <c r="X635" s="90"/>
      <c r="Y635" s="140" t="s">
        <v>207</v>
      </c>
      <c r="Z635" s="177" t="str">
        <f t="shared" si="34"/>
        <v>NC</v>
      </c>
      <c r="AA635" s="190" t="str">
        <f t="shared" si="32"/>
        <v>UTILIZOU O PDA CORRETAMENTE. NÃO HÁ FOTOS DE TODAS AS ETAPAS</v>
      </c>
      <c r="AB635" s="90" t="s">
        <v>207</v>
      </c>
      <c r="AC635" s="156" t="s">
        <v>36</v>
      </c>
      <c r="AD635" s="145" t="str">
        <f t="shared" si="35"/>
        <v>SÃO PAULO</v>
      </c>
      <c r="AE635" s="92" t="s">
        <v>79</v>
      </c>
    </row>
    <row r="636" spans="1:31" ht="30" customHeight="1">
      <c r="A636" s="161" t="s">
        <v>198</v>
      </c>
      <c r="B636" s="263">
        <v>2621675937</v>
      </c>
      <c r="C636" s="155" t="s">
        <v>151</v>
      </c>
      <c r="D636" s="155" t="s">
        <v>140</v>
      </c>
      <c r="E636" s="155" t="s">
        <v>35</v>
      </c>
      <c r="F636" s="155" t="s">
        <v>2772</v>
      </c>
      <c r="G636" s="155">
        <v>260</v>
      </c>
      <c r="H636" s="155" t="s">
        <v>208</v>
      </c>
      <c r="I636" s="155" t="s">
        <v>1407</v>
      </c>
      <c r="J636" s="155" t="s">
        <v>1966</v>
      </c>
      <c r="K636" s="155" t="s">
        <v>200</v>
      </c>
      <c r="L636" s="249">
        <v>46167.417361111111</v>
      </c>
      <c r="M636" s="249">
        <v>46167.469444444447</v>
      </c>
      <c r="N636" s="155" t="s">
        <v>206</v>
      </c>
      <c r="O636" s="152" t="s">
        <v>207</v>
      </c>
      <c r="P636" s="90"/>
      <c r="Q636" s="140" t="s">
        <v>207</v>
      </c>
      <c r="R636" s="90"/>
      <c r="S636" s="140" t="s">
        <v>207</v>
      </c>
      <c r="T636" s="90"/>
      <c r="U636" s="140" t="s">
        <v>207</v>
      </c>
      <c r="V636" s="90"/>
      <c r="W636" s="140" t="s">
        <v>207</v>
      </c>
      <c r="X636" s="90"/>
      <c r="Y636" s="140" t="s">
        <v>207</v>
      </c>
      <c r="Z636" s="177" t="str">
        <f t="shared" si="34"/>
        <v>C</v>
      </c>
      <c r="AA636" s="190" t="str">
        <f t="shared" si="32"/>
        <v>UTILIZOU O PDA CORRETAMENTE</v>
      </c>
      <c r="AB636" s="90" t="s">
        <v>207</v>
      </c>
      <c r="AC636" s="156" t="s">
        <v>36</v>
      </c>
      <c r="AD636" s="145" t="str">
        <f t="shared" si="35"/>
        <v>SÃO PAULO</v>
      </c>
      <c r="AE636" s="92" t="s">
        <v>79</v>
      </c>
    </row>
    <row r="637" spans="1:31" ht="30" customHeight="1">
      <c r="A637" s="161" t="s">
        <v>198</v>
      </c>
      <c r="B637" s="263">
        <v>2621680870</v>
      </c>
      <c r="C637" s="155" t="s">
        <v>151</v>
      </c>
      <c r="D637" s="155" t="s">
        <v>140</v>
      </c>
      <c r="E637" s="155" t="s">
        <v>35</v>
      </c>
      <c r="F637" s="155" t="s">
        <v>2773</v>
      </c>
      <c r="G637" s="155">
        <v>13</v>
      </c>
      <c r="H637" s="155" t="s">
        <v>205</v>
      </c>
      <c r="I637" s="155" t="s">
        <v>348</v>
      </c>
      <c r="J637" s="155" t="s">
        <v>1966</v>
      </c>
      <c r="K637" s="155" t="s">
        <v>200</v>
      </c>
      <c r="L637" s="249">
        <v>46167.638888888891</v>
      </c>
      <c r="M637" s="249">
        <v>46167.668055555558</v>
      </c>
      <c r="N637" s="155" t="s">
        <v>206</v>
      </c>
      <c r="O637" s="152" t="s">
        <v>207</v>
      </c>
      <c r="P637" s="90"/>
      <c r="Q637" s="140" t="s">
        <v>207</v>
      </c>
      <c r="R637" s="90"/>
      <c r="S637" s="140" t="s">
        <v>207</v>
      </c>
      <c r="T637" s="90"/>
      <c r="U637" s="140" t="s">
        <v>207</v>
      </c>
      <c r="V637" s="90"/>
      <c r="W637" s="140" t="s">
        <v>207</v>
      </c>
      <c r="X637" s="90"/>
      <c r="Y637" s="140" t="s">
        <v>207</v>
      </c>
      <c r="Z637" s="177" t="str">
        <f t="shared" si="34"/>
        <v>C</v>
      </c>
      <c r="AA637" s="190" t="str">
        <f t="shared" si="32"/>
        <v>UTILIZOU O PDA CORRETAMENTE</v>
      </c>
      <c r="AB637" s="90" t="s">
        <v>207</v>
      </c>
      <c r="AC637" s="156" t="s">
        <v>36</v>
      </c>
      <c r="AD637" s="145" t="str">
        <f t="shared" si="35"/>
        <v>SÃO PAULO</v>
      </c>
      <c r="AE637" s="92" t="s">
        <v>79</v>
      </c>
    </row>
    <row r="638" spans="1:31" ht="30" customHeight="1">
      <c r="A638" s="161" t="s">
        <v>198</v>
      </c>
      <c r="B638" s="263">
        <v>2621834542</v>
      </c>
      <c r="C638" s="155" t="s">
        <v>151</v>
      </c>
      <c r="D638" s="155" t="s">
        <v>140</v>
      </c>
      <c r="E638" s="155" t="s">
        <v>35</v>
      </c>
      <c r="F638" s="155" t="s">
        <v>369</v>
      </c>
      <c r="G638" s="155">
        <v>140</v>
      </c>
      <c r="H638" s="155" t="s">
        <v>208</v>
      </c>
      <c r="I638" s="155" t="s">
        <v>357</v>
      </c>
      <c r="J638" s="155" t="s">
        <v>1966</v>
      </c>
      <c r="K638" s="155" t="s">
        <v>200</v>
      </c>
      <c r="L638" s="249">
        <v>46167.397222222222</v>
      </c>
      <c r="M638" s="249">
        <v>46167.399305555555</v>
      </c>
      <c r="N638" s="155" t="s">
        <v>349</v>
      </c>
      <c r="O638" s="152" t="s">
        <v>77</v>
      </c>
      <c r="P638" s="90"/>
      <c r="Q638" s="140" t="s">
        <v>77</v>
      </c>
      <c r="R638" s="90"/>
      <c r="S638" s="140" t="s">
        <v>77</v>
      </c>
      <c r="T638" s="90"/>
      <c r="U638" s="140" t="s">
        <v>77</v>
      </c>
      <c r="V638" s="90"/>
      <c r="W638" s="140" t="s">
        <v>77</v>
      </c>
      <c r="X638" s="90"/>
      <c r="Y638" s="140" t="s">
        <v>77</v>
      </c>
      <c r="Z638" s="177" t="str">
        <f t="shared" si="34"/>
        <v>NA</v>
      </c>
      <c r="AA638" s="190" t="str">
        <f t="shared" si="32"/>
        <v>NÃO AVALIADO POR FALHA DE SINCRONISMO</v>
      </c>
      <c r="AB638" s="90" t="s">
        <v>207</v>
      </c>
      <c r="AC638" s="156" t="s">
        <v>36</v>
      </c>
      <c r="AD638" s="145" t="str">
        <f t="shared" si="35"/>
        <v>SÃO PAULO</v>
      </c>
      <c r="AE638" s="92" t="s">
        <v>79</v>
      </c>
    </row>
    <row r="639" spans="1:31" ht="30" customHeight="1">
      <c r="A639" s="161" t="s">
        <v>198</v>
      </c>
      <c r="B639" s="263">
        <v>2621862568</v>
      </c>
      <c r="C639" s="155" t="s">
        <v>1923</v>
      </c>
      <c r="D639" s="155" t="s">
        <v>79</v>
      </c>
      <c r="E639" s="155" t="s">
        <v>35</v>
      </c>
      <c r="F639" s="155" t="s">
        <v>969</v>
      </c>
      <c r="G639" s="155">
        <v>525</v>
      </c>
      <c r="H639" s="155" t="s">
        <v>208</v>
      </c>
      <c r="I639" s="155" t="s">
        <v>970</v>
      </c>
      <c r="J639" s="155" t="s">
        <v>1915</v>
      </c>
      <c r="K639" s="155" t="s">
        <v>200</v>
      </c>
      <c r="L639" s="249">
        <v>46167.355555555558</v>
      </c>
      <c r="M639" s="249">
        <v>46167.356944444444</v>
      </c>
      <c r="N639" s="155" t="s">
        <v>390</v>
      </c>
      <c r="O639" s="152" t="s">
        <v>207</v>
      </c>
      <c r="P639" s="90"/>
      <c r="Q639" s="140" t="s">
        <v>207</v>
      </c>
      <c r="R639" s="90"/>
      <c r="S639" s="140" t="s">
        <v>207</v>
      </c>
      <c r="T639" s="90"/>
      <c r="U639" s="140" t="s">
        <v>207</v>
      </c>
      <c r="V639" s="90"/>
      <c r="W639" s="140" t="s">
        <v>207</v>
      </c>
      <c r="X639" s="90"/>
      <c r="Y639" s="140" t="s">
        <v>207</v>
      </c>
      <c r="Z639" s="177" t="str">
        <f t="shared" si="34"/>
        <v>C</v>
      </c>
      <c r="AA639" s="190" t="str">
        <f t="shared" si="32"/>
        <v>UTILIZOU O PDA CORRETAMENTE</v>
      </c>
      <c r="AB639" s="90" t="s">
        <v>207</v>
      </c>
      <c r="AC639" s="156" t="s">
        <v>36</v>
      </c>
      <c r="AD639" s="145" t="str">
        <f t="shared" si="35"/>
        <v>SÃO PAULO</v>
      </c>
      <c r="AE639" s="92" t="s">
        <v>79</v>
      </c>
    </row>
    <row r="640" spans="1:31" ht="30" customHeight="1">
      <c r="A640" s="161" t="s">
        <v>198</v>
      </c>
      <c r="B640" s="263">
        <v>2621862302</v>
      </c>
      <c r="C640" s="155" t="s">
        <v>1923</v>
      </c>
      <c r="D640" s="155" t="s">
        <v>79</v>
      </c>
      <c r="E640" s="155" t="s">
        <v>35</v>
      </c>
      <c r="F640" s="155" t="s">
        <v>1424</v>
      </c>
      <c r="G640" s="155">
        <v>488</v>
      </c>
      <c r="H640" s="155" t="s">
        <v>205</v>
      </c>
      <c r="I640" s="155" t="s">
        <v>225</v>
      </c>
      <c r="J640" s="155" t="s">
        <v>1915</v>
      </c>
      <c r="K640" s="155" t="s">
        <v>2750</v>
      </c>
      <c r="L640" s="249">
        <v>46167.595833333333</v>
      </c>
      <c r="M640" s="249">
        <v>46167.59652777778</v>
      </c>
      <c r="N640" s="155" t="s">
        <v>1916</v>
      </c>
      <c r="O640" s="152" t="s">
        <v>214</v>
      </c>
      <c r="P640" s="90"/>
      <c r="Q640" s="140" t="s">
        <v>214</v>
      </c>
      <c r="R640" s="90"/>
      <c r="S640" s="140" t="s">
        <v>214</v>
      </c>
      <c r="T640" s="90"/>
      <c r="U640" s="140" t="s">
        <v>214</v>
      </c>
      <c r="V640" s="90"/>
      <c r="W640" s="140" t="s">
        <v>214</v>
      </c>
      <c r="X640" s="90"/>
      <c r="Y640" s="140" t="s">
        <v>215</v>
      </c>
      <c r="Z640" s="177" t="str">
        <f t="shared" si="34"/>
        <v>NC</v>
      </c>
      <c r="AA640" s="190" t="str">
        <f t="shared" si="32"/>
        <v>NÃO UTILIZOU O PDA</v>
      </c>
      <c r="AB640" s="90" t="s">
        <v>207</v>
      </c>
      <c r="AC640" s="156" t="s">
        <v>36</v>
      </c>
      <c r="AD640" s="145" t="str">
        <f t="shared" si="35"/>
        <v>SÃO PAULO</v>
      </c>
      <c r="AE640" s="92" t="s">
        <v>79</v>
      </c>
    </row>
    <row r="641" spans="1:31" ht="30" customHeight="1">
      <c r="A641" s="161" t="s">
        <v>198</v>
      </c>
      <c r="B641" s="263">
        <v>2621862113</v>
      </c>
      <c r="C641" s="155" t="s">
        <v>1923</v>
      </c>
      <c r="D641" s="155" t="s">
        <v>79</v>
      </c>
      <c r="E641" s="155" t="s">
        <v>35</v>
      </c>
      <c r="F641" s="155" t="s">
        <v>2774</v>
      </c>
      <c r="G641" s="155">
        <v>5</v>
      </c>
      <c r="H641" s="155" t="s">
        <v>200</v>
      </c>
      <c r="I641" s="155" t="s">
        <v>708</v>
      </c>
      <c r="J641" s="155" t="s">
        <v>1915</v>
      </c>
      <c r="K641" s="155" t="s">
        <v>2750</v>
      </c>
      <c r="L641" s="249">
        <v>46167.595138888886</v>
      </c>
      <c r="M641" s="249">
        <v>46167.595833333333</v>
      </c>
      <c r="N641" s="155" t="s">
        <v>1916</v>
      </c>
      <c r="O641" s="152" t="s">
        <v>214</v>
      </c>
      <c r="P641" s="90"/>
      <c r="Q641" s="140" t="s">
        <v>214</v>
      </c>
      <c r="R641" s="90"/>
      <c r="S641" s="140" t="s">
        <v>214</v>
      </c>
      <c r="T641" s="90"/>
      <c r="U641" s="140" t="s">
        <v>214</v>
      </c>
      <c r="V641" s="90"/>
      <c r="W641" s="140" t="s">
        <v>214</v>
      </c>
      <c r="X641" s="90"/>
      <c r="Y641" s="140" t="s">
        <v>215</v>
      </c>
      <c r="Z641" s="177" t="str">
        <f t="shared" si="34"/>
        <v>NC</v>
      </c>
      <c r="AA641" s="190" t="str">
        <f t="shared" si="32"/>
        <v>NÃO UTILIZOU O PDA</v>
      </c>
      <c r="AB641" s="90" t="s">
        <v>207</v>
      </c>
      <c r="AC641" s="156" t="s">
        <v>36</v>
      </c>
      <c r="AD641" s="145" t="str">
        <f t="shared" si="35"/>
        <v>SÃO PAULO</v>
      </c>
      <c r="AE641" s="92" t="s">
        <v>79</v>
      </c>
    </row>
    <row r="642" spans="1:31" ht="30" customHeight="1">
      <c r="A642" s="161" t="s">
        <v>198</v>
      </c>
      <c r="B642" s="263">
        <v>2694082014</v>
      </c>
      <c r="C642" s="155" t="s">
        <v>146</v>
      </c>
      <c r="D642" s="155" t="s">
        <v>79</v>
      </c>
      <c r="E642" s="155" t="s">
        <v>35</v>
      </c>
      <c r="F642" s="155" t="s">
        <v>2775</v>
      </c>
      <c r="G642" s="155">
        <v>126</v>
      </c>
      <c r="H642" s="155" t="s">
        <v>205</v>
      </c>
      <c r="I642" s="155" t="s">
        <v>2776</v>
      </c>
      <c r="J642" s="155" t="s">
        <v>1915</v>
      </c>
      <c r="K642" s="155" t="s">
        <v>200</v>
      </c>
      <c r="L642" s="249">
        <v>46167.532638888886</v>
      </c>
      <c r="M642" s="249">
        <v>46167.538888888892</v>
      </c>
      <c r="N642" s="155" t="s">
        <v>1944</v>
      </c>
      <c r="O642" s="152" t="s">
        <v>207</v>
      </c>
      <c r="P642" s="90"/>
      <c r="Q642" s="140" t="s">
        <v>207</v>
      </c>
      <c r="R642" s="90"/>
      <c r="S642" s="140" t="s">
        <v>207</v>
      </c>
      <c r="T642" s="90"/>
      <c r="U642" s="140" t="s">
        <v>207</v>
      </c>
      <c r="V642" s="90"/>
      <c r="W642" s="140" t="s">
        <v>207</v>
      </c>
      <c r="X642" s="90"/>
      <c r="Y642" s="140" t="s">
        <v>207</v>
      </c>
      <c r="Z642" s="177" t="str">
        <f t="shared" si="34"/>
        <v>C</v>
      </c>
      <c r="AA642" s="190" t="str">
        <f t="shared" ref="AA642:AA705" si="36">IF(AND(Y642="C",Z642="C"),"UTILIZOU O PDA CORRETAMENTE",IF(AND(Y642="C",Z642="NC"),"UTILIZOU O PDA CORRETAMENTE. NÃO HÁ FOTOS DE TODAS AS ETAPAS",IF(AND(Y642="NC",Z642="NC"),"NÃO UTILIZOU O PDA",IF(AND(Y642="NA",Z642="NA"),"NÃO AVALIADO POR FALHA DE SINCRONISMO"))))</f>
        <v>UTILIZOU O PDA CORRETAMENTE</v>
      </c>
      <c r="AB642" s="90" t="s">
        <v>207</v>
      </c>
      <c r="AC642" s="156" t="s">
        <v>36</v>
      </c>
      <c r="AD642" s="145" t="str">
        <f t="shared" si="35"/>
        <v>SÃO PAULO</v>
      </c>
      <c r="AE642" s="92" t="s">
        <v>79</v>
      </c>
    </row>
    <row r="643" spans="1:31" ht="30" customHeight="1">
      <c r="A643" s="161" t="s">
        <v>198</v>
      </c>
      <c r="B643" s="263">
        <v>2694092022</v>
      </c>
      <c r="C643" s="155" t="s">
        <v>146</v>
      </c>
      <c r="D643" s="155" t="s">
        <v>79</v>
      </c>
      <c r="E643" s="155" t="s">
        <v>35</v>
      </c>
      <c r="F643" s="155" t="s">
        <v>923</v>
      </c>
      <c r="G643" s="155">
        <v>46</v>
      </c>
      <c r="H643" s="155" t="s">
        <v>208</v>
      </c>
      <c r="I643" s="155" t="s">
        <v>319</v>
      </c>
      <c r="J643" s="155" t="s">
        <v>1915</v>
      </c>
      <c r="K643" s="155" t="s">
        <v>200</v>
      </c>
      <c r="L643" s="249">
        <v>46167.586111111108</v>
      </c>
      <c r="M643" s="249">
        <v>46167.594444444447</v>
      </c>
      <c r="N643" s="155" t="s">
        <v>1916</v>
      </c>
      <c r="O643" s="152" t="s">
        <v>207</v>
      </c>
      <c r="P643" s="90"/>
      <c r="Q643" s="140" t="s">
        <v>207</v>
      </c>
      <c r="R643" s="90"/>
      <c r="S643" s="140" t="s">
        <v>207</v>
      </c>
      <c r="T643" s="90"/>
      <c r="U643" s="140" t="s">
        <v>207</v>
      </c>
      <c r="V643" s="90"/>
      <c r="W643" s="140" t="s">
        <v>207</v>
      </c>
      <c r="X643" s="90"/>
      <c r="Y643" s="140" t="s">
        <v>207</v>
      </c>
      <c r="Z643" s="177" t="str">
        <f t="shared" ref="Z643:Z706" si="37">IF(AND(O643="",Q643="",S643="",U643="",W643=""),"",IF(OR(AND(O643&lt;&gt;"NA",O643&lt;&gt;"C",O643&lt;&gt;"NC",O643&lt;&gt;"SF",O643&lt;&gt;""),AND(Q643&lt;&gt;"NA",Q643&lt;&gt;"C",Q643&lt;&gt;"NC",Q643&lt;&gt;"SF",Q643&lt;&gt;""),AND(S643&lt;&gt;"NA",S643&lt;&gt;"C",S643&lt;&gt;"NC",S643&lt;&gt;"SF",S643&lt;&gt;""),AND(U643&lt;&gt;"NA",U643&lt;&gt;"C",U643&lt;&gt;"NC",U643&lt;&gt;"SF",U643&lt;&gt;""),AND(W643&lt;&gt;"NA",W643&lt;&gt;"C",W643&lt;&gt;"NC",W643&lt;&gt;"SF",W643&lt;&gt;"")),"FALSO",IF(AND(O643="NA",Q643="NA",S643="NA",U643="NA",W643="NA"),"NA",IF(OR(O643="NC",Q643="NC",S643="NC",U643="NC",W643="NC",O643="SF",Q643="SF",S643="SF",U643="SF",W643="SF"),"NC",IF(OR(O643="C",Q643="C",S643="C",U643="C",W643="C"),"C","")))))</f>
        <v>C</v>
      </c>
      <c r="AA643" s="190" t="str">
        <f t="shared" si="36"/>
        <v>UTILIZOU O PDA CORRETAMENTE</v>
      </c>
      <c r="AB643" s="90" t="s">
        <v>207</v>
      </c>
      <c r="AC643" s="156" t="s">
        <v>36</v>
      </c>
      <c r="AD643" s="145" t="str">
        <f t="shared" si="35"/>
        <v>SÃO PAULO</v>
      </c>
      <c r="AE643" s="92" t="s">
        <v>79</v>
      </c>
    </row>
    <row r="644" spans="1:31" ht="30" customHeight="1">
      <c r="A644" s="161" t="s">
        <v>198</v>
      </c>
      <c r="B644" s="263">
        <v>2694085822</v>
      </c>
      <c r="C644" s="155" t="s">
        <v>147</v>
      </c>
      <c r="D644" s="155" t="s">
        <v>79</v>
      </c>
      <c r="E644" s="155" t="s">
        <v>35</v>
      </c>
      <c r="F644" s="155" t="s">
        <v>2777</v>
      </c>
      <c r="G644" s="155">
        <v>48</v>
      </c>
      <c r="H644" s="155" t="s">
        <v>2778</v>
      </c>
      <c r="I644" s="155" t="s">
        <v>293</v>
      </c>
      <c r="J644" s="155" t="s">
        <v>1915</v>
      </c>
      <c r="K644" s="155"/>
      <c r="L644" s="249">
        <v>46167.586805555555</v>
      </c>
      <c r="M644" s="249">
        <v>46167.594444444447</v>
      </c>
      <c r="N644" s="155" t="s">
        <v>1933</v>
      </c>
      <c r="O644" s="152" t="s">
        <v>207</v>
      </c>
      <c r="P644" s="90"/>
      <c r="Q644" s="140" t="s">
        <v>207</v>
      </c>
      <c r="R644" s="90"/>
      <c r="S644" s="140" t="s">
        <v>207</v>
      </c>
      <c r="T644" s="90"/>
      <c r="U644" s="140" t="s">
        <v>207</v>
      </c>
      <c r="V644" s="90"/>
      <c r="W644" s="140" t="s">
        <v>207</v>
      </c>
      <c r="X644" s="90"/>
      <c r="Y644" s="140" t="s">
        <v>207</v>
      </c>
      <c r="Z644" s="177" t="str">
        <f t="shared" si="37"/>
        <v>C</v>
      </c>
      <c r="AA644" s="190" t="str">
        <f t="shared" si="36"/>
        <v>UTILIZOU O PDA CORRETAMENTE</v>
      </c>
      <c r="AB644" s="90" t="s">
        <v>207</v>
      </c>
      <c r="AC644" s="156" t="s">
        <v>36</v>
      </c>
      <c r="AD644" s="145" t="str">
        <f t="shared" si="35"/>
        <v>SÃO PAULO</v>
      </c>
      <c r="AE644" s="92" t="s">
        <v>79</v>
      </c>
    </row>
    <row r="645" spans="1:31" ht="30" customHeight="1">
      <c r="A645" s="161" t="s">
        <v>198</v>
      </c>
      <c r="B645" s="263">
        <v>2694102336</v>
      </c>
      <c r="C645" s="155" t="s">
        <v>143</v>
      </c>
      <c r="D645" s="155" t="s">
        <v>79</v>
      </c>
      <c r="E645" s="155" t="s">
        <v>35</v>
      </c>
      <c r="F645" s="155" t="s">
        <v>683</v>
      </c>
      <c r="G645" s="155">
        <v>284</v>
      </c>
      <c r="H645" s="155" t="s">
        <v>205</v>
      </c>
      <c r="I645" s="155" t="s">
        <v>293</v>
      </c>
      <c r="J645" s="155" t="s">
        <v>1915</v>
      </c>
      <c r="K645" s="155" t="s">
        <v>200</v>
      </c>
      <c r="L645" s="249">
        <v>46167.541666666664</v>
      </c>
      <c r="M645" s="249">
        <v>46167.557638888888</v>
      </c>
      <c r="N645" s="155" t="s">
        <v>1933</v>
      </c>
      <c r="O645" s="152" t="s">
        <v>207</v>
      </c>
      <c r="P645" s="90"/>
      <c r="Q645" s="140" t="s">
        <v>207</v>
      </c>
      <c r="R645" s="90"/>
      <c r="S645" s="140" t="s">
        <v>214</v>
      </c>
      <c r="T645" s="90"/>
      <c r="U645" s="140" t="s">
        <v>214</v>
      </c>
      <c r="V645" s="90"/>
      <c r="W645" s="140" t="s">
        <v>207</v>
      </c>
      <c r="X645" s="90"/>
      <c r="Y645" s="140" t="s">
        <v>207</v>
      </c>
      <c r="Z645" s="177" t="str">
        <f t="shared" si="37"/>
        <v>NC</v>
      </c>
      <c r="AA645" s="190" t="str">
        <f t="shared" si="36"/>
        <v>UTILIZOU O PDA CORRETAMENTE. NÃO HÁ FOTOS DE TODAS AS ETAPAS</v>
      </c>
      <c r="AB645" s="90" t="s">
        <v>207</v>
      </c>
      <c r="AC645" s="156" t="s">
        <v>36</v>
      </c>
      <c r="AD645" s="145" t="str">
        <f t="shared" si="35"/>
        <v>SÃO PAULO</v>
      </c>
      <c r="AE645" s="92" t="s">
        <v>79</v>
      </c>
    </row>
    <row r="646" spans="1:31" ht="30" customHeight="1">
      <c r="A646" s="161" t="s">
        <v>198</v>
      </c>
      <c r="B646" s="263">
        <v>2621869446</v>
      </c>
      <c r="C646" s="155" t="s">
        <v>1923</v>
      </c>
      <c r="D646" s="155" t="s">
        <v>79</v>
      </c>
      <c r="E646" s="155" t="s">
        <v>35</v>
      </c>
      <c r="F646" s="155" t="s">
        <v>2779</v>
      </c>
      <c r="G646" s="155">
        <v>8</v>
      </c>
      <c r="H646" s="155" t="s">
        <v>200</v>
      </c>
      <c r="I646" s="155" t="s">
        <v>596</v>
      </c>
      <c r="J646" s="155" t="s">
        <v>1915</v>
      </c>
      <c r="K646" s="155" t="s">
        <v>2688</v>
      </c>
      <c r="L646" s="249">
        <v>46167.272916666669</v>
      </c>
      <c r="M646" s="249">
        <v>46167.277083333334</v>
      </c>
      <c r="N646" s="155" t="s">
        <v>2668</v>
      </c>
      <c r="O646" s="152" t="s">
        <v>214</v>
      </c>
      <c r="P646" s="90"/>
      <c r="Q646" s="140" t="s">
        <v>214</v>
      </c>
      <c r="R646" s="90"/>
      <c r="S646" s="140" t="s">
        <v>214</v>
      </c>
      <c r="T646" s="90"/>
      <c r="U646" s="140" t="s">
        <v>214</v>
      </c>
      <c r="V646" s="90"/>
      <c r="W646" s="140" t="s">
        <v>214</v>
      </c>
      <c r="X646" s="90"/>
      <c r="Y646" s="140" t="s">
        <v>215</v>
      </c>
      <c r="Z646" s="177" t="str">
        <f t="shared" si="37"/>
        <v>NC</v>
      </c>
      <c r="AA646" s="190" t="str">
        <f t="shared" si="36"/>
        <v>NÃO UTILIZOU O PDA</v>
      </c>
      <c r="AB646" s="90" t="s">
        <v>207</v>
      </c>
      <c r="AC646" s="156" t="s">
        <v>36</v>
      </c>
      <c r="AD646" s="145" t="str">
        <f t="shared" si="35"/>
        <v>SÃO PAULO</v>
      </c>
      <c r="AE646" s="92" t="s">
        <v>79</v>
      </c>
    </row>
    <row r="647" spans="1:31" ht="30" customHeight="1">
      <c r="A647" s="161" t="s">
        <v>198</v>
      </c>
      <c r="B647" s="263">
        <v>2694126138</v>
      </c>
      <c r="C647" s="155" t="s">
        <v>146</v>
      </c>
      <c r="D647" s="155" t="s">
        <v>79</v>
      </c>
      <c r="E647" s="155" t="s">
        <v>35</v>
      </c>
      <c r="F647" s="155" t="s">
        <v>2780</v>
      </c>
      <c r="G647" s="155">
        <v>126</v>
      </c>
      <c r="H647" s="155" t="s">
        <v>208</v>
      </c>
      <c r="I647" s="155" t="s">
        <v>284</v>
      </c>
      <c r="J647" s="155" t="s">
        <v>1915</v>
      </c>
      <c r="K647" s="155" t="s">
        <v>200</v>
      </c>
      <c r="L647" s="249">
        <v>46167.316666666666</v>
      </c>
      <c r="M647" s="249">
        <v>46167.316666666666</v>
      </c>
      <c r="N647" s="155" t="s">
        <v>1931</v>
      </c>
      <c r="O647" s="152" t="s">
        <v>214</v>
      </c>
      <c r="P647" s="90"/>
      <c r="Q647" s="140" t="s">
        <v>214</v>
      </c>
      <c r="R647" s="90"/>
      <c r="S647" s="140" t="s">
        <v>214</v>
      </c>
      <c r="T647" s="90"/>
      <c r="U647" s="140" t="s">
        <v>214</v>
      </c>
      <c r="V647" s="90"/>
      <c r="W647" s="140" t="s">
        <v>214</v>
      </c>
      <c r="X647" s="90"/>
      <c r="Y647" s="140" t="s">
        <v>215</v>
      </c>
      <c r="Z647" s="177" t="str">
        <f t="shared" si="37"/>
        <v>NC</v>
      </c>
      <c r="AA647" s="190" t="str">
        <f t="shared" si="36"/>
        <v>NÃO UTILIZOU O PDA</v>
      </c>
      <c r="AB647" s="90" t="s">
        <v>207</v>
      </c>
      <c r="AC647" s="156" t="s">
        <v>36</v>
      </c>
      <c r="AD647" s="145" t="str">
        <f t="shared" si="35"/>
        <v>SÃO PAULO</v>
      </c>
      <c r="AE647" s="92" t="s">
        <v>79</v>
      </c>
    </row>
    <row r="648" spans="1:31" ht="30" customHeight="1">
      <c r="A648" s="161" t="s">
        <v>198</v>
      </c>
      <c r="B648" s="263">
        <v>2621838552</v>
      </c>
      <c r="C648" s="155" t="s">
        <v>1923</v>
      </c>
      <c r="D648" s="155" t="s">
        <v>79</v>
      </c>
      <c r="E648" s="155" t="s">
        <v>35</v>
      </c>
      <c r="F648" s="155" t="s">
        <v>2781</v>
      </c>
      <c r="G648" s="155">
        <v>88</v>
      </c>
      <c r="H648" s="155" t="s">
        <v>200</v>
      </c>
      <c r="I648" s="155" t="s">
        <v>218</v>
      </c>
      <c r="J648" s="155" t="s">
        <v>1915</v>
      </c>
      <c r="K648" s="155" t="s">
        <v>200</v>
      </c>
      <c r="L648" s="249">
        <v>46167.543055555558</v>
      </c>
      <c r="M648" s="249">
        <v>46167.545138888891</v>
      </c>
      <c r="N648" s="155" t="s">
        <v>1933</v>
      </c>
      <c r="O648" s="152" t="s">
        <v>77</v>
      </c>
      <c r="P648" s="90"/>
      <c r="Q648" s="140" t="s">
        <v>77</v>
      </c>
      <c r="R648" s="90"/>
      <c r="S648" s="140" t="s">
        <v>77</v>
      </c>
      <c r="T648" s="90"/>
      <c r="U648" s="140" t="s">
        <v>77</v>
      </c>
      <c r="V648" s="90"/>
      <c r="W648" s="140" t="s">
        <v>77</v>
      </c>
      <c r="X648" s="90"/>
      <c r="Y648" s="140" t="s">
        <v>77</v>
      </c>
      <c r="Z648" s="177" t="str">
        <f t="shared" si="37"/>
        <v>NA</v>
      </c>
      <c r="AA648" s="190" t="str">
        <f t="shared" si="36"/>
        <v>NÃO AVALIADO POR FALHA DE SINCRONISMO</v>
      </c>
      <c r="AB648" s="90" t="s">
        <v>207</v>
      </c>
      <c r="AC648" s="156" t="s">
        <v>36</v>
      </c>
      <c r="AD648" s="145" t="str">
        <f t="shared" si="35"/>
        <v>SÃO PAULO</v>
      </c>
      <c r="AE648" s="92" t="s">
        <v>79</v>
      </c>
    </row>
    <row r="649" spans="1:31" ht="30" customHeight="1">
      <c r="A649" s="161" t="s">
        <v>198</v>
      </c>
      <c r="B649" s="263">
        <v>2621914446</v>
      </c>
      <c r="C649" s="155" t="s">
        <v>1923</v>
      </c>
      <c r="D649" s="155" t="s">
        <v>79</v>
      </c>
      <c r="E649" s="155" t="s">
        <v>35</v>
      </c>
      <c r="F649" s="155" t="s">
        <v>2782</v>
      </c>
      <c r="G649" s="155">
        <v>752</v>
      </c>
      <c r="H649" s="155" t="s">
        <v>205</v>
      </c>
      <c r="I649" s="155" t="s">
        <v>225</v>
      </c>
      <c r="J649" s="155" t="s">
        <v>1915</v>
      </c>
      <c r="K649" s="155" t="s">
        <v>2750</v>
      </c>
      <c r="L649" s="249">
        <v>46167.701388888891</v>
      </c>
      <c r="M649" s="249">
        <v>46167.702777777777</v>
      </c>
      <c r="N649" s="155" t="s">
        <v>1916</v>
      </c>
      <c r="O649" s="152" t="s">
        <v>214</v>
      </c>
      <c r="P649" s="90"/>
      <c r="Q649" s="140" t="s">
        <v>214</v>
      </c>
      <c r="R649" s="90"/>
      <c r="S649" s="140" t="s">
        <v>214</v>
      </c>
      <c r="T649" s="90"/>
      <c r="U649" s="140" t="s">
        <v>214</v>
      </c>
      <c r="V649" s="90"/>
      <c r="W649" s="140" t="s">
        <v>214</v>
      </c>
      <c r="X649" s="90"/>
      <c r="Y649" s="140" t="s">
        <v>215</v>
      </c>
      <c r="Z649" s="177" t="str">
        <f t="shared" si="37"/>
        <v>NC</v>
      </c>
      <c r="AA649" s="190" t="str">
        <f t="shared" si="36"/>
        <v>NÃO UTILIZOU O PDA</v>
      </c>
      <c r="AB649" s="90" t="s">
        <v>207</v>
      </c>
      <c r="AC649" s="156" t="s">
        <v>36</v>
      </c>
      <c r="AD649" s="145" t="str">
        <f t="shared" si="35"/>
        <v>SÃO PAULO</v>
      </c>
      <c r="AE649" s="92" t="s">
        <v>79</v>
      </c>
    </row>
    <row r="650" spans="1:31" ht="30" customHeight="1">
      <c r="A650" s="161" t="s">
        <v>198</v>
      </c>
      <c r="B650" s="263">
        <v>2621918116</v>
      </c>
      <c r="C650" s="155" t="s">
        <v>1923</v>
      </c>
      <c r="D650" s="155" t="s">
        <v>79</v>
      </c>
      <c r="E650" s="155" t="s">
        <v>35</v>
      </c>
      <c r="F650" s="155" t="s">
        <v>2783</v>
      </c>
      <c r="G650" s="155">
        <v>509</v>
      </c>
      <c r="H650" s="155" t="s">
        <v>200</v>
      </c>
      <c r="I650" s="155" t="s">
        <v>266</v>
      </c>
      <c r="J650" s="155" t="s">
        <v>1915</v>
      </c>
      <c r="K650" s="155" t="s">
        <v>200</v>
      </c>
      <c r="L650" s="249">
        <v>46167.44027777778</v>
      </c>
      <c r="M650" s="249">
        <v>46167.440972222219</v>
      </c>
      <c r="N650" s="155" t="s">
        <v>390</v>
      </c>
      <c r="O650" s="152" t="s">
        <v>214</v>
      </c>
      <c r="P650" s="90"/>
      <c r="Q650" s="140" t="s">
        <v>214</v>
      </c>
      <c r="R650" s="90"/>
      <c r="S650" s="140" t="s">
        <v>214</v>
      </c>
      <c r="T650" s="90"/>
      <c r="U650" s="140" t="s">
        <v>214</v>
      </c>
      <c r="V650" s="90"/>
      <c r="W650" s="140" t="s">
        <v>214</v>
      </c>
      <c r="X650" s="90"/>
      <c r="Y650" s="140" t="s">
        <v>215</v>
      </c>
      <c r="Z650" s="177" t="str">
        <f t="shared" si="37"/>
        <v>NC</v>
      </c>
      <c r="AA650" s="190" t="str">
        <f t="shared" si="36"/>
        <v>NÃO UTILIZOU O PDA</v>
      </c>
      <c r="AB650" s="90" t="s">
        <v>207</v>
      </c>
      <c r="AC650" s="156" t="s">
        <v>36</v>
      </c>
      <c r="AD650" s="145" t="str">
        <f t="shared" si="35"/>
        <v>SÃO PAULO</v>
      </c>
      <c r="AE650" s="92" t="s">
        <v>79</v>
      </c>
    </row>
    <row r="651" spans="1:31" ht="30" customHeight="1">
      <c r="A651" s="161" t="s">
        <v>198</v>
      </c>
      <c r="B651" s="263">
        <v>2621924773</v>
      </c>
      <c r="C651" s="155" t="s">
        <v>1923</v>
      </c>
      <c r="D651" s="155" t="s">
        <v>79</v>
      </c>
      <c r="E651" s="155" t="s">
        <v>35</v>
      </c>
      <c r="F651" s="155" t="s">
        <v>422</v>
      </c>
      <c r="G651" s="155">
        <v>701</v>
      </c>
      <c r="H651" s="155" t="s">
        <v>208</v>
      </c>
      <c r="I651" s="155" t="s">
        <v>201</v>
      </c>
      <c r="J651" s="155" t="s">
        <v>1915</v>
      </c>
      <c r="K651" s="155" t="s">
        <v>200</v>
      </c>
      <c r="L651" s="249">
        <v>46167.440972222219</v>
      </c>
      <c r="M651" s="249">
        <v>46167.441666666666</v>
      </c>
      <c r="N651" s="155" t="s">
        <v>390</v>
      </c>
      <c r="O651" s="152" t="s">
        <v>214</v>
      </c>
      <c r="P651" s="90"/>
      <c r="Q651" s="140" t="s">
        <v>214</v>
      </c>
      <c r="R651" s="90"/>
      <c r="S651" s="140" t="s">
        <v>214</v>
      </c>
      <c r="T651" s="90"/>
      <c r="U651" s="140" t="s">
        <v>214</v>
      </c>
      <c r="V651" s="90"/>
      <c r="W651" s="140" t="s">
        <v>214</v>
      </c>
      <c r="X651" s="90"/>
      <c r="Y651" s="140" t="s">
        <v>215</v>
      </c>
      <c r="Z651" s="177" t="str">
        <f t="shared" si="37"/>
        <v>NC</v>
      </c>
      <c r="AA651" s="190" t="str">
        <f t="shared" si="36"/>
        <v>NÃO UTILIZOU O PDA</v>
      </c>
      <c r="AB651" s="90" t="s">
        <v>207</v>
      </c>
      <c r="AC651" s="156" t="s">
        <v>36</v>
      </c>
      <c r="AD651" s="145" t="str">
        <f t="shared" si="35"/>
        <v>SÃO PAULO</v>
      </c>
      <c r="AE651" s="92" t="s">
        <v>79</v>
      </c>
    </row>
    <row r="652" spans="1:31" ht="30" customHeight="1">
      <c r="A652" s="161" t="s">
        <v>198</v>
      </c>
      <c r="B652" s="263">
        <v>2621940222</v>
      </c>
      <c r="C652" s="155" t="s">
        <v>1923</v>
      </c>
      <c r="D652" s="155" t="s">
        <v>79</v>
      </c>
      <c r="E652" s="155" t="s">
        <v>35</v>
      </c>
      <c r="F652" s="155" t="s">
        <v>2784</v>
      </c>
      <c r="G652" s="155">
        <v>119</v>
      </c>
      <c r="H652" s="155" t="s">
        <v>208</v>
      </c>
      <c r="I652" s="155" t="s">
        <v>475</v>
      </c>
      <c r="J652" s="155" t="s">
        <v>1915</v>
      </c>
      <c r="K652" s="155" t="s">
        <v>2458</v>
      </c>
      <c r="L652" s="249">
        <v>46167.490277777775</v>
      </c>
      <c r="M652" s="249">
        <v>46167.491666666669</v>
      </c>
      <c r="N652" s="155" t="s">
        <v>1919</v>
      </c>
      <c r="O652" s="152" t="s">
        <v>214</v>
      </c>
      <c r="P652" s="90"/>
      <c r="Q652" s="140" t="s">
        <v>214</v>
      </c>
      <c r="R652" s="90"/>
      <c r="S652" s="140" t="s">
        <v>214</v>
      </c>
      <c r="T652" s="90"/>
      <c r="U652" s="140" t="s">
        <v>214</v>
      </c>
      <c r="V652" s="90"/>
      <c r="W652" s="140" t="s">
        <v>214</v>
      </c>
      <c r="X652" s="90"/>
      <c r="Y652" s="140" t="s">
        <v>215</v>
      </c>
      <c r="Z652" s="177" t="str">
        <f t="shared" si="37"/>
        <v>NC</v>
      </c>
      <c r="AA652" s="190" t="str">
        <f t="shared" si="36"/>
        <v>NÃO UTILIZOU O PDA</v>
      </c>
      <c r="AB652" s="90" t="s">
        <v>207</v>
      </c>
      <c r="AC652" s="156" t="s">
        <v>36</v>
      </c>
      <c r="AD652" s="145" t="str">
        <f t="shared" si="35"/>
        <v>SÃO PAULO</v>
      </c>
      <c r="AE652" s="92" t="s">
        <v>79</v>
      </c>
    </row>
    <row r="653" spans="1:31" ht="30" customHeight="1">
      <c r="A653" s="161" t="s">
        <v>198</v>
      </c>
      <c r="B653" s="263">
        <v>2621941683</v>
      </c>
      <c r="C653" s="155" t="s">
        <v>1923</v>
      </c>
      <c r="D653" s="155" t="s">
        <v>79</v>
      </c>
      <c r="E653" s="155" t="s">
        <v>35</v>
      </c>
      <c r="F653" s="155" t="s">
        <v>448</v>
      </c>
      <c r="G653" s="155">
        <v>97</v>
      </c>
      <c r="H653" s="155" t="s">
        <v>208</v>
      </c>
      <c r="I653" s="155" t="s">
        <v>314</v>
      </c>
      <c r="J653" s="155" t="s">
        <v>1915</v>
      </c>
      <c r="K653" s="155" t="s">
        <v>2458</v>
      </c>
      <c r="L653" s="249">
        <v>46167.487500000003</v>
      </c>
      <c r="M653" s="249">
        <v>46167.488194444442</v>
      </c>
      <c r="N653" s="155" t="s">
        <v>1919</v>
      </c>
      <c r="O653" s="152" t="s">
        <v>214</v>
      </c>
      <c r="P653" s="90"/>
      <c r="Q653" s="140" t="s">
        <v>214</v>
      </c>
      <c r="R653" s="90"/>
      <c r="S653" s="140" t="s">
        <v>214</v>
      </c>
      <c r="T653" s="90"/>
      <c r="U653" s="140" t="s">
        <v>214</v>
      </c>
      <c r="V653" s="90"/>
      <c r="W653" s="140" t="s">
        <v>214</v>
      </c>
      <c r="X653" s="90"/>
      <c r="Y653" s="140" t="s">
        <v>215</v>
      </c>
      <c r="Z653" s="177" t="str">
        <f t="shared" si="37"/>
        <v>NC</v>
      </c>
      <c r="AA653" s="190" t="str">
        <f t="shared" si="36"/>
        <v>NÃO UTILIZOU O PDA</v>
      </c>
      <c r="AB653" s="90" t="s">
        <v>207</v>
      </c>
      <c r="AC653" s="156" t="s">
        <v>36</v>
      </c>
      <c r="AD653" s="145" t="str">
        <f t="shared" si="35"/>
        <v>SÃO PAULO</v>
      </c>
      <c r="AE653" s="92" t="s">
        <v>79</v>
      </c>
    </row>
    <row r="654" spans="1:31" ht="30" customHeight="1">
      <c r="A654" s="161" t="s">
        <v>198</v>
      </c>
      <c r="B654" s="263">
        <v>2621985291</v>
      </c>
      <c r="C654" s="155" t="s">
        <v>1923</v>
      </c>
      <c r="D654" s="155" t="s">
        <v>79</v>
      </c>
      <c r="E654" s="155" t="s">
        <v>35</v>
      </c>
      <c r="F654" s="155" t="s">
        <v>1538</v>
      </c>
      <c r="G654" s="155">
        <v>264</v>
      </c>
      <c r="H654" s="155" t="s">
        <v>257</v>
      </c>
      <c r="I654" s="155" t="s">
        <v>701</v>
      </c>
      <c r="J654" s="155" t="s">
        <v>1915</v>
      </c>
      <c r="K654" s="155" t="s">
        <v>2458</v>
      </c>
      <c r="L654" s="249">
        <v>46167.488888888889</v>
      </c>
      <c r="M654" s="249">
        <v>46167.490277777775</v>
      </c>
      <c r="N654" s="155" t="s">
        <v>1919</v>
      </c>
      <c r="O654" s="152" t="s">
        <v>214</v>
      </c>
      <c r="P654" s="90"/>
      <c r="Q654" s="140" t="s">
        <v>214</v>
      </c>
      <c r="R654" s="90"/>
      <c r="S654" s="140" t="s">
        <v>214</v>
      </c>
      <c r="T654" s="90"/>
      <c r="U654" s="140" t="s">
        <v>214</v>
      </c>
      <c r="V654" s="90"/>
      <c r="W654" s="140" t="s">
        <v>214</v>
      </c>
      <c r="X654" s="90"/>
      <c r="Y654" s="140" t="s">
        <v>215</v>
      </c>
      <c r="Z654" s="177" t="str">
        <f t="shared" si="37"/>
        <v>NC</v>
      </c>
      <c r="AA654" s="190" t="str">
        <f t="shared" si="36"/>
        <v>NÃO UTILIZOU O PDA</v>
      </c>
      <c r="AB654" s="90" t="s">
        <v>207</v>
      </c>
      <c r="AC654" s="156" t="s">
        <v>36</v>
      </c>
      <c r="AD654" s="145" t="str">
        <f t="shared" si="35"/>
        <v>SÃO PAULO</v>
      </c>
      <c r="AE654" s="92" t="s">
        <v>79</v>
      </c>
    </row>
    <row r="655" spans="1:31" ht="30" customHeight="1">
      <c r="A655" s="161" t="s">
        <v>198</v>
      </c>
      <c r="B655" s="263">
        <v>2621964928</v>
      </c>
      <c r="C655" s="155" t="s">
        <v>1923</v>
      </c>
      <c r="D655" s="155" t="s">
        <v>79</v>
      </c>
      <c r="E655" s="155" t="s">
        <v>35</v>
      </c>
      <c r="F655" s="155" t="s">
        <v>1442</v>
      </c>
      <c r="G655" s="155">
        <v>59</v>
      </c>
      <c r="H655" s="155" t="s">
        <v>200</v>
      </c>
      <c r="I655" s="155" t="s">
        <v>652</v>
      </c>
      <c r="J655" s="155" t="s">
        <v>1915</v>
      </c>
      <c r="K655" s="155" t="s">
        <v>2688</v>
      </c>
      <c r="L655" s="249">
        <v>46167.488888888889</v>
      </c>
      <c r="M655" s="249">
        <v>46167.489583333336</v>
      </c>
      <c r="N655" s="155" t="s">
        <v>2668</v>
      </c>
      <c r="O655" s="152" t="s">
        <v>214</v>
      </c>
      <c r="P655" s="90"/>
      <c r="Q655" s="140" t="s">
        <v>214</v>
      </c>
      <c r="R655" s="90"/>
      <c r="S655" s="140" t="s">
        <v>214</v>
      </c>
      <c r="T655" s="90"/>
      <c r="U655" s="140" t="s">
        <v>214</v>
      </c>
      <c r="V655" s="90"/>
      <c r="W655" s="140" t="s">
        <v>214</v>
      </c>
      <c r="X655" s="90"/>
      <c r="Y655" s="140" t="s">
        <v>215</v>
      </c>
      <c r="Z655" s="177" t="str">
        <f t="shared" si="37"/>
        <v>NC</v>
      </c>
      <c r="AA655" s="190" t="str">
        <f t="shared" si="36"/>
        <v>NÃO UTILIZOU O PDA</v>
      </c>
      <c r="AB655" s="90" t="s">
        <v>207</v>
      </c>
      <c r="AC655" s="156" t="s">
        <v>36</v>
      </c>
      <c r="AD655" s="145" t="str">
        <f t="shared" si="35"/>
        <v>SÃO PAULO</v>
      </c>
      <c r="AE655" s="92" t="s">
        <v>79</v>
      </c>
    </row>
    <row r="656" spans="1:31" ht="30" customHeight="1">
      <c r="A656" s="269" t="s">
        <v>198</v>
      </c>
      <c r="B656" s="270">
        <v>2621958964</v>
      </c>
      <c r="C656" s="271" t="s">
        <v>1923</v>
      </c>
      <c r="D656" s="271" t="s">
        <v>79</v>
      </c>
      <c r="E656" s="271" t="s">
        <v>35</v>
      </c>
      <c r="F656" s="271" t="s">
        <v>651</v>
      </c>
      <c r="G656" s="271">
        <v>77</v>
      </c>
      <c r="H656" s="271" t="s">
        <v>200</v>
      </c>
      <c r="I656" s="271" t="s">
        <v>652</v>
      </c>
      <c r="J656" s="271" t="s">
        <v>1915</v>
      </c>
      <c r="K656" s="271" t="s">
        <v>2688</v>
      </c>
      <c r="L656" s="272">
        <v>46167.490277777775</v>
      </c>
      <c r="M656" s="272">
        <v>46167.490972222222</v>
      </c>
      <c r="N656" s="271" t="s">
        <v>2668</v>
      </c>
      <c r="O656" s="152" t="s">
        <v>214</v>
      </c>
      <c r="P656" s="90"/>
      <c r="Q656" s="140" t="s">
        <v>214</v>
      </c>
      <c r="R656" s="90"/>
      <c r="S656" s="140" t="s">
        <v>214</v>
      </c>
      <c r="T656" s="90"/>
      <c r="U656" s="140" t="s">
        <v>214</v>
      </c>
      <c r="V656" s="90"/>
      <c r="W656" s="140" t="s">
        <v>214</v>
      </c>
      <c r="X656" s="90"/>
      <c r="Y656" s="140" t="s">
        <v>215</v>
      </c>
      <c r="Z656" s="177" t="str">
        <f t="shared" si="37"/>
        <v>NC</v>
      </c>
      <c r="AA656" s="190" t="str">
        <f t="shared" si="36"/>
        <v>NÃO UTILIZOU O PDA</v>
      </c>
      <c r="AB656" s="90" t="s">
        <v>207</v>
      </c>
      <c r="AC656" s="156" t="s">
        <v>36</v>
      </c>
      <c r="AD656" s="145" t="str">
        <f t="shared" si="35"/>
        <v>SÃO PAULO</v>
      </c>
      <c r="AE656" s="92" t="s">
        <v>79</v>
      </c>
    </row>
    <row r="657" spans="1:31" ht="30" customHeight="1">
      <c r="A657" s="197" t="s">
        <v>198</v>
      </c>
      <c r="B657" s="274">
        <v>2621469546</v>
      </c>
      <c r="C657" s="197" t="s">
        <v>151</v>
      </c>
      <c r="D657" s="197" t="s">
        <v>140</v>
      </c>
      <c r="E657" s="197" t="s">
        <v>35</v>
      </c>
      <c r="F657" s="197" t="s">
        <v>448</v>
      </c>
      <c r="G657" s="197">
        <v>782</v>
      </c>
      <c r="H657" s="197" t="s">
        <v>200</v>
      </c>
      <c r="I657" s="197" t="s">
        <v>314</v>
      </c>
      <c r="J657" s="197" t="s">
        <v>1966</v>
      </c>
      <c r="K657" s="197" t="s">
        <v>200</v>
      </c>
      <c r="L657" s="203">
        <v>46168.518055555556</v>
      </c>
      <c r="M657" s="203">
        <v>46168.572916666664</v>
      </c>
      <c r="N657" s="197" t="s">
        <v>206</v>
      </c>
      <c r="O657" s="152" t="s">
        <v>207</v>
      </c>
      <c r="P657" s="90"/>
      <c r="Q657" s="140" t="s">
        <v>207</v>
      </c>
      <c r="R657" s="90"/>
      <c r="S657" s="140" t="s">
        <v>207</v>
      </c>
      <c r="T657" s="90"/>
      <c r="U657" s="140" t="s">
        <v>207</v>
      </c>
      <c r="V657" s="90"/>
      <c r="W657" s="140" t="s">
        <v>207</v>
      </c>
      <c r="X657" s="90"/>
      <c r="Y657" s="140" t="s">
        <v>207</v>
      </c>
      <c r="Z657" s="177" t="s">
        <v>207</v>
      </c>
      <c r="AA657" s="190" t="str">
        <f t="shared" si="36"/>
        <v>UTILIZOU O PDA CORRETAMENTE</v>
      </c>
      <c r="AB657" s="90" t="s">
        <v>207</v>
      </c>
      <c r="AC657" s="156" t="s">
        <v>36</v>
      </c>
      <c r="AD657" s="145" t="str">
        <f t="shared" si="35"/>
        <v>SÃO PAULO</v>
      </c>
      <c r="AE657" s="92" t="s">
        <v>79</v>
      </c>
    </row>
    <row r="658" spans="1:31" ht="30" customHeight="1">
      <c r="A658" s="197" t="s">
        <v>198</v>
      </c>
      <c r="B658" s="274">
        <v>2621499865</v>
      </c>
      <c r="C658" s="197" t="s">
        <v>150</v>
      </c>
      <c r="D658" s="197" t="s">
        <v>140</v>
      </c>
      <c r="E658" s="197" t="s">
        <v>35</v>
      </c>
      <c r="F658" s="197" t="s">
        <v>1449</v>
      </c>
      <c r="G658" s="197">
        <v>555</v>
      </c>
      <c r="H658" s="197" t="s">
        <v>208</v>
      </c>
      <c r="I658" s="197" t="s">
        <v>277</v>
      </c>
      <c r="J658" s="197" t="s">
        <v>2051</v>
      </c>
      <c r="K658" s="197"/>
      <c r="L658" s="203">
        <v>46168.26458333333</v>
      </c>
      <c r="M658" s="203">
        <v>46168.265972222223</v>
      </c>
      <c r="N658" s="197" t="s">
        <v>213</v>
      </c>
      <c r="O658" s="152" t="s">
        <v>207</v>
      </c>
      <c r="P658" s="90"/>
      <c r="Q658" s="140" t="s">
        <v>207</v>
      </c>
      <c r="R658" s="90"/>
      <c r="S658" s="140" t="s">
        <v>214</v>
      </c>
      <c r="T658" s="90"/>
      <c r="U658" s="140" t="s">
        <v>214</v>
      </c>
      <c r="V658" s="90"/>
      <c r="W658" s="140" t="s">
        <v>214</v>
      </c>
      <c r="X658" s="90"/>
      <c r="Y658" s="140" t="s">
        <v>207</v>
      </c>
      <c r="Z658" s="177" t="str">
        <f t="shared" si="37"/>
        <v>NC</v>
      </c>
      <c r="AA658" s="190" t="str">
        <f t="shared" si="36"/>
        <v>UTILIZOU O PDA CORRETAMENTE. NÃO HÁ FOTOS DE TODAS AS ETAPAS</v>
      </c>
      <c r="AB658" s="90"/>
      <c r="AC658" s="156" t="s">
        <v>36</v>
      </c>
      <c r="AD658" s="145" t="str">
        <f t="shared" si="35"/>
        <v>SÃO PAULO</v>
      </c>
      <c r="AE658" s="92" t="s">
        <v>79</v>
      </c>
    </row>
    <row r="659" spans="1:31" ht="30" customHeight="1">
      <c r="A659" s="197" t="s">
        <v>198</v>
      </c>
      <c r="B659" s="274">
        <v>2621500458</v>
      </c>
      <c r="C659" s="197" t="s">
        <v>150</v>
      </c>
      <c r="D659" s="197" t="s">
        <v>140</v>
      </c>
      <c r="E659" s="197" t="s">
        <v>35</v>
      </c>
      <c r="F659" s="197" t="s">
        <v>1449</v>
      </c>
      <c r="G659" s="197">
        <v>555</v>
      </c>
      <c r="H659" s="197" t="s">
        <v>205</v>
      </c>
      <c r="I659" s="197" t="s">
        <v>277</v>
      </c>
      <c r="J659" s="197" t="s">
        <v>2051</v>
      </c>
      <c r="K659" s="197" t="s">
        <v>200</v>
      </c>
      <c r="L659" s="203">
        <v>46168.265972222223</v>
      </c>
      <c r="M659" s="203">
        <v>46168.26666666667</v>
      </c>
      <c r="N659" s="197" t="s">
        <v>213</v>
      </c>
      <c r="O659" s="152" t="s">
        <v>207</v>
      </c>
      <c r="P659" s="90"/>
      <c r="Q659" s="140" t="s">
        <v>207</v>
      </c>
      <c r="R659" s="90"/>
      <c r="S659" s="140" t="s">
        <v>214</v>
      </c>
      <c r="T659" s="90"/>
      <c r="U659" s="140" t="s">
        <v>214</v>
      </c>
      <c r="V659" s="90"/>
      <c r="W659" s="140" t="s">
        <v>214</v>
      </c>
      <c r="X659" s="90"/>
      <c r="Y659" s="140" t="s">
        <v>207</v>
      </c>
      <c r="Z659" s="177" t="str">
        <f t="shared" si="37"/>
        <v>NC</v>
      </c>
      <c r="AA659" s="190" t="str">
        <f t="shared" si="36"/>
        <v>UTILIZOU O PDA CORRETAMENTE. NÃO HÁ FOTOS DE TODAS AS ETAPAS</v>
      </c>
      <c r="AB659" s="90"/>
      <c r="AC659" s="156" t="s">
        <v>36</v>
      </c>
      <c r="AD659" s="145" t="str">
        <f t="shared" si="35"/>
        <v>SÃO PAULO</v>
      </c>
      <c r="AE659" s="92" t="s">
        <v>79</v>
      </c>
    </row>
    <row r="660" spans="1:31" ht="30" customHeight="1">
      <c r="A660" s="197" t="s">
        <v>198</v>
      </c>
      <c r="B660" s="274">
        <v>2621501032</v>
      </c>
      <c r="C660" s="197" t="s">
        <v>150</v>
      </c>
      <c r="D660" s="197" t="s">
        <v>140</v>
      </c>
      <c r="E660" s="197" t="s">
        <v>35</v>
      </c>
      <c r="F660" s="197" t="s">
        <v>1449</v>
      </c>
      <c r="G660" s="197">
        <v>555</v>
      </c>
      <c r="H660" s="197" t="s">
        <v>257</v>
      </c>
      <c r="I660" s="197" t="s">
        <v>277</v>
      </c>
      <c r="J660" s="197" t="s">
        <v>2051</v>
      </c>
      <c r="K660" s="197"/>
      <c r="L660" s="203">
        <v>46168.267361111109</v>
      </c>
      <c r="M660" s="203">
        <v>46168.267361111109</v>
      </c>
      <c r="N660" s="197" t="s">
        <v>213</v>
      </c>
      <c r="O660" s="152" t="s">
        <v>207</v>
      </c>
      <c r="P660" s="90"/>
      <c r="Q660" s="140" t="s">
        <v>207</v>
      </c>
      <c r="R660" s="90"/>
      <c r="S660" s="140" t="s">
        <v>214</v>
      </c>
      <c r="T660" s="90"/>
      <c r="U660" s="140" t="s">
        <v>214</v>
      </c>
      <c r="V660" s="90"/>
      <c r="W660" s="140" t="s">
        <v>214</v>
      </c>
      <c r="X660" s="90"/>
      <c r="Y660" s="140" t="s">
        <v>207</v>
      </c>
      <c r="Z660" s="177" t="str">
        <f t="shared" si="37"/>
        <v>NC</v>
      </c>
      <c r="AA660" s="190" t="str">
        <f t="shared" si="36"/>
        <v>UTILIZOU O PDA CORRETAMENTE. NÃO HÁ FOTOS DE TODAS AS ETAPAS</v>
      </c>
      <c r="AB660" s="90"/>
      <c r="AC660" s="156" t="s">
        <v>36</v>
      </c>
      <c r="AD660" s="145" t="str">
        <f t="shared" si="35"/>
        <v>SÃO PAULO</v>
      </c>
      <c r="AE660" s="92" t="s">
        <v>79</v>
      </c>
    </row>
    <row r="661" spans="1:31" ht="30" customHeight="1">
      <c r="A661" s="197" t="s">
        <v>198</v>
      </c>
      <c r="B661" s="274">
        <v>2694110773</v>
      </c>
      <c r="C661" s="197" t="s">
        <v>146</v>
      </c>
      <c r="D661" s="197" t="s">
        <v>79</v>
      </c>
      <c r="E661" s="197" t="s">
        <v>35</v>
      </c>
      <c r="F661" s="197" t="s">
        <v>2785</v>
      </c>
      <c r="G661" s="197">
        <v>19</v>
      </c>
      <c r="H661" s="197" t="s">
        <v>200</v>
      </c>
      <c r="I661" s="197" t="s">
        <v>256</v>
      </c>
      <c r="J661" s="197" t="s">
        <v>1915</v>
      </c>
      <c r="K661" s="197" t="s">
        <v>200</v>
      </c>
      <c r="L661" s="203">
        <v>46168.240277777775</v>
      </c>
      <c r="M661" s="203">
        <v>46168.243750000001</v>
      </c>
      <c r="N661" s="197" t="s">
        <v>2668</v>
      </c>
      <c r="O661" s="152" t="s">
        <v>207</v>
      </c>
      <c r="P661" s="90"/>
      <c r="Q661" s="140" t="s">
        <v>207</v>
      </c>
      <c r="R661" s="90"/>
      <c r="S661" s="140" t="s">
        <v>207</v>
      </c>
      <c r="T661" s="90"/>
      <c r="U661" s="140" t="s">
        <v>207</v>
      </c>
      <c r="V661" s="90"/>
      <c r="W661" s="140" t="s">
        <v>215</v>
      </c>
      <c r="X661" s="90" t="s">
        <v>2786</v>
      </c>
      <c r="Y661" s="140" t="s">
        <v>207</v>
      </c>
      <c r="Z661" s="177" t="str">
        <f t="shared" si="37"/>
        <v>NC</v>
      </c>
      <c r="AA661" s="190" t="str">
        <f t="shared" si="36"/>
        <v>UTILIZOU O PDA CORRETAMENTE. NÃO HÁ FOTOS DE TODAS AS ETAPAS</v>
      </c>
      <c r="AB661" s="90" t="s">
        <v>207</v>
      </c>
      <c r="AC661" s="156" t="s">
        <v>36</v>
      </c>
      <c r="AD661" s="145" t="str">
        <f t="shared" si="35"/>
        <v>SÃO PAULO</v>
      </c>
      <c r="AE661" s="92" t="s">
        <v>79</v>
      </c>
    </row>
    <row r="662" spans="1:31" ht="30" customHeight="1">
      <c r="A662" s="197" t="s">
        <v>198</v>
      </c>
      <c r="B662" s="274">
        <v>2621995553</v>
      </c>
      <c r="C662" s="197" t="s">
        <v>144</v>
      </c>
      <c r="D662" s="197" t="s">
        <v>140</v>
      </c>
      <c r="E662" s="197" t="s">
        <v>35</v>
      </c>
      <c r="F662" s="197" t="s">
        <v>2787</v>
      </c>
      <c r="G662" s="197">
        <v>715</v>
      </c>
      <c r="H662" s="197" t="s">
        <v>208</v>
      </c>
      <c r="I662" s="197" t="s">
        <v>536</v>
      </c>
      <c r="J662" s="197" t="s">
        <v>1954</v>
      </c>
      <c r="K662" s="197"/>
      <c r="L662" s="203">
        <v>46168.234722222223</v>
      </c>
      <c r="M662" s="203">
        <v>46168.236111111109</v>
      </c>
      <c r="N662" s="197" t="s">
        <v>1919</v>
      </c>
      <c r="O662" s="152" t="s">
        <v>214</v>
      </c>
      <c r="P662" s="90"/>
      <c r="Q662" s="140" t="s">
        <v>207</v>
      </c>
      <c r="R662" s="90"/>
      <c r="S662" s="140" t="s">
        <v>214</v>
      </c>
      <c r="T662" s="90"/>
      <c r="U662" s="140" t="s">
        <v>214</v>
      </c>
      <c r="V662" s="90"/>
      <c r="W662" s="140" t="s">
        <v>207</v>
      </c>
      <c r="X662" s="90"/>
      <c r="Y662" s="140" t="s">
        <v>207</v>
      </c>
      <c r="Z662" s="177" t="str">
        <f t="shared" si="37"/>
        <v>NC</v>
      </c>
      <c r="AA662" s="190" t="str">
        <f t="shared" si="36"/>
        <v>UTILIZOU O PDA CORRETAMENTE. NÃO HÁ FOTOS DE TODAS AS ETAPAS</v>
      </c>
      <c r="AB662" s="90" t="s">
        <v>207</v>
      </c>
      <c r="AC662" s="156" t="s">
        <v>36</v>
      </c>
      <c r="AD662" s="145" t="str">
        <f t="shared" si="35"/>
        <v>SÃO PAULO</v>
      </c>
      <c r="AE662" s="92" t="s">
        <v>79</v>
      </c>
    </row>
    <row r="663" spans="1:31" ht="30" customHeight="1">
      <c r="A663" s="197" t="s">
        <v>198</v>
      </c>
      <c r="B663" s="274">
        <v>2694165931</v>
      </c>
      <c r="C663" s="197" t="s">
        <v>146</v>
      </c>
      <c r="D663" s="197" t="s">
        <v>79</v>
      </c>
      <c r="E663" s="197" t="s">
        <v>35</v>
      </c>
      <c r="F663" s="197" t="s">
        <v>1045</v>
      </c>
      <c r="G663" s="197">
        <v>169</v>
      </c>
      <c r="H663" s="197" t="s">
        <v>325</v>
      </c>
      <c r="I663" s="197" t="s">
        <v>536</v>
      </c>
      <c r="J663" s="197" t="s">
        <v>1915</v>
      </c>
      <c r="K663" s="197" t="s">
        <v>200</v>
      </c>
      <c r="L663" s="203">
        <v>46168.240277777775</v>
      </c>
      <c r="M663" s="203">
        <v>46168.25</v>
      </c>
      <c r="N663" s="197" t="s">
        <v>1919</v>
      </c>
      <c r="O663" s="152" t="s">
        <v>207</v>
      </c>
      <c r="P663" s="90"/>
      <c r="Q663" s="140" t="s">
        <v>207</v>
      </c>
      <c r="R663" s="90"/>
      <c r="S663" s="140" t="s">
        <v>214</v>
      </c>
      <c r="T663" s="90"/>
      <c r="U663" s="140" t="s">
        <v>214</v>
      </c>
      <c r="V663" s="90"/>
      <c r="W663" s="140" t="s">
        <v>207</v>
      </c>
      <c r="X663" s="90"/>
      <c r="Y663" s="140" t="s">
        <v>207</v>
      </c>
      <c r="Z663" s="177" t="str">
        <f>IF(AND(O663="",Q663="",S663="",U663="",W663=""),"",IF(OR(AND(O663&lt;&gt;"NA",O663&lt;&gt;"C",O663&lt;&gt;"NC",O663&lt;&gt;"SF",O663&lt;&gt;""),AND(Q663&lt;&gt;"NA",Q663&lt;&gt;"C",Q663&lt;&gt;"NC",Q663&lt;&gt;"SF",Q663&lt;&gt;""),AND(S663&lt;&gt;"NA",S663&lt;&gt;"C",S663&lt;&gt;"NC",S663&lt;&gt;"SF",S663&lt;&gt;""),AND(U663&lt;&gt;"NA",U663&lt;&gt;"C",U663&lt;&gt;"NC",U663&lt;&gt;"SF",U663&lt;&gt;""),AND(W663&lt;&gt;"NA",W663&lt;&gt;"C",W663&lt;&gt;"NC",W663&lt;&gt;"SF",W663&lt;&gt;"")),"FALSO",IF(AND(O663="NA",Q663="NA",S663="NA",U663="NA",W663="NA"),"NA",IF(OR(O663="NC",Q663="NC",S663="NC",U663="NC",W663="NC",O663="SF",Q663="SF",S663="SF",U663="SF",W663="SF"),"NC",IF(OR(O663="C",Q663="C",S663="C",U663="C",W663="C"),"C","")))))</f>
        <v>NC</v>
      </c>
      <c r="AA663" s="190" t="str">
        <f t="shared" si="36"/>
        <v>UTILIZOU O PDA CORRETAMENTE. NÃO HÁ FOTOS DE TODAS AS ETAPAS</v>
      </c>
      <c r="AB663" s="90" t="s">
        <v>207</v>
      </c>
      <c r="AC663" s="156" t="s">
        <v>36</v>
      </c>
      <c r="AD663" s="145" t="str">
        <f t="shared" si="35"/>
        <v>SÃO PAULO</v>
      </c>
      <c r="AE663" s="92" t="s">
        <v>79</v>
      </c>
    </row>
    <row r="664" spans="1:31" ht="30" customHeight="1">
      <c r="A664" s="197" t="s">
        <v>198</v>
      </c>
      <c r="B664" s="274">
        <v>2621875535</v>
      </c>
      <c r="C664" s="197" t="s">
        <v>146</v>
      </c>
      <c r="D664" s="197" t="s">
        <v>79</v>
      </c>
      <c r="E664" s="197" t="s">
        <v>35</v>
      </c>
      <c r="F664" s="197" t="s">
        <v>673</v>
      </c>
      <c r="G664" s="197">
        <v>350</v>
      </c>
      <c r="H664" s="197"/>
      <c r="I664" s="197" t="s">
        <v>308</v>
      </c>
      <c r="J664" s="197" t="s">
        <v>1915</v>
      </c>
      <c r="K664" s="197"/>
      <c r="L664" s="203">
        <v>46168.165277777778</v>
      </c>
      <c r="M664" s="203">
        <v>46168.181250000001</v>
      </c>
      <c r="N664" s="197" t="s">
        <v>2668</v>
      </c>
      <c r="O664" s="152" t="s">
        <v>214</v>
      </c>
      <c r="P664" s="90"/>
      <c r="Q664" s="140" t="s">
        <v>207</v>
      </c>
      <c r="R664" s="90"/>
      <c r="S664" s="140" t="s">
        <v>207</v>
      </c>
      <c r="T664" s="90"/>
      <c r="U664" s="140" t="s">
        <v>207</v>
      </c>
      <c r="V664" s="90"/>
      <c r="W664" s="140" t="s">
        <v>207</v>
      </c>
      <c r="X664" s="90"/>
      <c r="Y664" s="140" t="s">
        <v>207</v>
      </c>
      <c r="Z664" s="177" t="str">
        <f t="shared" si="37"/>
        <v>NC</v>
      </c>
      <c r="AA664" s="190" t="str">
        <f t="shared" si="36"/>
        <v>UTILIZOU O PDA CORRETAMENTE. NÃO HÁ FOTOS DE TODAS AS ETAPAS</v>
      </c>
      <c r="AB664" s="90" t="s">
        <v>207</v>
      </c>
      <c r="AC664" s="156" t="s">
        <v>36</v>
      </c>
      <c r="AD664" s="145" t="str">
        <f t="shared" si="35"/>
        <v>SÃO PAULO</v>
      </c>
      <c r="AE664" s="92" t="s">
        <v>79</v>
      </c>
    </row>
    <row r="665" spans="1:31" ht="30" customHeight="1">
      <c r="A665" s="197" t="s">
        <v>198</v>
      </c>
      <c r="B665" s="274">
        <v>2622012657</v>
      </c>
      <c r="C665" s="197" t="s">
        <v>1923</v>
      </c>
      <c r="D665" s="197" t="s">
        <v>79</v>
      </c>
      <c r="E665" s="197" t="s">
        <v>35</v>
      </c>
      <c r="F665" s="197" t="s">
        <v>307</v>
      </c>
      <c r="G665" s="197">
        <v>99</v>
      </c>
      <c r="H665" s="197" t="s">
        <v>491</v>
      </c>
      <c r="I665" s="197" t="s">
        <v>308</v>
      </c>
      <c r="J665" s="197" t="s">
        <v>1915</v>
      </c>
      <c r="K665" s="197" t="s">
        <v>2688</v>
      </c>
      <c r="L665" s="203">
        <v>46168.12777777778</v>
      </c>
      <c r="M665" s="203">
        <v>46168.128472222219</v>
      </c>
      <c r="N665" s="197" t="s">
        <v>2668</v>
      </c>
      <c r="O665" s="152" t="s">
        <v>214</v>
      </c>
      <c r="P665" s="90"/>
      <c r="Q665" s="140" t="s">
        <v>214</v>
      </c>
      <c r="R665" s="90"/>
      <c r="S665" s="140" t="s">
        <v>214</v>
      </c>
      <c r="T665" s="90"/>
      <c r="U665" s="140" t="s">
        <v>214</v>
      </c>
      <c r="V665" s="90"/>
      <c r="W665" s="140" t="s">
        <v>214</v>
      </c>
      <c r="X665" s="90"/>
      <c r="Y665" s="140" t="s">
        <v>215</v>
      </c>
      <c r="Z665" s="177" t="str">
        <f t="shared" si="37"/>
        <v>NC</v>
      </c>
      <c r="AA665" s="190" t="str">
        <f t="shared" si="36"/>
        <v>NÃO UTILIZOU O PDA</v>
      </c>
      <c r="AB665" s="90" t="s">
        <v>207</v>
      </c>
      <c r="AC665" s="156" t="s">
        <v>36</v>
      </c>
      <c r="AD665" s="145" t="str">
        <f t="shared" si="35"/>
        <v>SÃO PAULO</v>
      </c>
      <c r="AE665" s="92" t="s">
        <v>79</v>
      </c>
    </row>
    <row r="666" spans="1:31" ht="30" customHeight="1">
      <c r="A666" s="197" t="s">
        <v>198</v>
      </c>
      <c r="B666" s="274">
        <v>2621866267</v>
      </c>
      <c r="C666" s="197" t="s">
        <v>1923</v>
      </c>
      <c r="D666" s="197" t="s">
        <v>79</v>
      </c>
      <c r="E666" s="197" t="s">
        <v>35</v>
      </c>
      <c r="F666" s="197" t="s">
        <v>2788</v>
      </c>
      <c r="G666" s="197">
        <v>7</v>
      </c>
      <c r="H666" s="197"/>
      <c r="I666" s="197" t="s">
        <v>636</v>
      </c>
      <c r="J666" s="197" t="s">
        <v>1915</v>
      </c>
      <c r="K666" s="197"/>
      <c r="L666" s="203">
        <v>46168.132638888892</v>
      </c>
      <c r="M666" s="203">
        <v>46168.132638888892</v>
      </c>
      <c r="N666" s="197" t="s">
        <v>1931</v>
      </c>
      <c r="O666" s="152" t="s">
        <v>207</v>
      </c>
      <c r="P666" s="90"/>
      <c r="Q666" s="140" t="s">
        <v>214</v>
      </c>
      <c r="R666" s="90"/>
      <c r="S666" s="140" t="s">
        <v>214</v>
      </c>
      <c r="T666" s="90"/>
      <c r="U666" s="140" t="s">
        <v>214</v>
      </c>
      <c r="V666" s="90"/>
      <c r="W666" s="140" t="s">
        <v>207</v>
      </c>
      <c r="X666" s="90"/>
      <c r="Y666" s="140" t="s">
        <v>207</v>
      </c>
      <c r="Z666" s="177" t="str">
        <f t="shared" si="37"/>
        <v>NC</v>
      </c>
      <c r="AA666" s="190" t="str">
        <f t="shared" si="36"/>
        <v>UTILIZOU O PDA CORRETAMENTE. NÃO HÁ FOTOS DE TODAS AS ETAPAS</v>
      </c>
      <c r="AB666" s="90" t="s">
        <v>207</v>
      </c>
      <c r="AC666" s="156" t="s">
        <v>36</v>
      </c>
      <c r="AD666" s="145" t="str">
        <f t="shared" si="35"/>
        <v>SÃO PAULO</v>
      </c>
      <c r="AE666" s="92" t="s">
        <v>79</v>
      </c>
    </row>
    <row r="667" spans="1:31" ht="30" customHeight="1">
      <c r="A667" s="197" t="s">
        <v>198</v>
      </c>
      <c r="B667" s="274">
        <v>2694112518</v>
      </c>
      <c r="C667" s="197" t="s">
        <v>143</v>
      </c>
      <c r="D667" s="197" t="s">
        <v>79</v>
      </c>
      <c r="E667" s="197" t="s">
        <v>35</v>
      </c>
      <c r="F667" s="197" t="s">
        <v>1379</v>
      </c>
      <c r="G667" s="197">
        <v>47</v>
      </c>
      <c r="H667" s="197" t="s">
        <v>200</v>
      </c>
      <c r="I667" s="197" t="s">
        <v>359</v>
      </c>
      <c r="J667" s="197" t="s">
        <v>1915</v>
      </c>
      <c r="K667" s="197" t="s">
        <v>200</v>
      </c>
      <c r="L667" s="203">
        <v>46168.31527777778</v>
      </c>
      <c r="M667" s="203">
        <v>46168.315972222219</v>
      </c>
      <c r="N667" s="197" t="s">
        <v>1931</v>
      </c>
      <c r="O667" s="152" t="s">
        <v>207</v>
      </c>
      <c r="P667" s="90"/>
      <c r="Q667" s="140" t="s">
        <v>207</v>
      </c>
      <c r="R667" s="90"/>
      <c r="S667" s="140" t="s">
        <v>214</v>
      </c>
      <c r="T667" s="90"/>
      <c r="U667" s="140" t="s">
        <v>214</v>
      </c>
      <c r="V667" s="90"/>
      <c r="W667" s="140" t="s">
        <v>207</v>
      </c>
      <c r="X667" s="90"/>
      <c r="Y667" s="140" t="s">
        <v>207</v>
      </c>
      <c r="Z667" s="177" t="str">
        <f t="shared" si="37"/>
        <v>NC</v>
      </c>
      <c r="AA667" s="190" t="str">
        <f t="shared" si="36"/>
        <v>UTILIZOU O PDA CORRETAMENTE. NÃO HÁ FOTOS DE TODAS AS ETAPAS</v>
      </c>
      <c r="AB667" s="90" t="s">
        <v>207</v>
      </c>
      <c r="AC667" s="156" t="s">
        <v>36</v>
      </c>
      <c r="AD667" s="145" t="str">
        <f t="shared" si="35"/>
        <v>SÃO PAULO</v>
      </c>
      <c r="AE667" s="92" t="s">
        <v>79</v>
      </c>
    </row>
    <row r="668" spans="1:31" ht="30" customHeight="1">
      <c r="A668" s="197" t="s">
        <v>198</v>
      </c>
      <c r="B668" s="274">
        <v>2694171820</v>
      </c>
      <c r="C668" s="197" t="s">
        <v>143</v>
      </c>
      <c r="D668" s="197" t="s">
        <v>79</v>
      </c>
      <c r="E668" s="197" t="s">
        <v>35</v>
      </c>
      <c r="F668" s="197" t="s">
        <v>2789</v>
      </c>
      <c r="G668" s="197">
        <v>7</v>
      </c>
      <c r="H668" s="197"/>
      <c r="I668" s="197" t="s">
        <v>567</v>
      </c>
      <c r="J668" s="197" t="s">
        <v>1918</v>
      </c>
      <c r="K668" s="197"/>
      <c r="L668" s="203">
        <v>46168.386805555558</v>
      </c>
      <c r="M668" s="203">
        <v>46168.388194444444</v>
      </c>
      <c r="N668" s="197" t="s">
        <v>1931</v>
      </c>
      <c r="O668" s="152" t="s">
        <v>207</v>
      </c>
      <c r="P668" s="90"/>
      <c r="Q668" s="140" t="s">
        <v>207</v>
      </c>
      <c r="R668" s="90"/>
      <c r="S668" s="140" t="s">
        <v>207</v>
      </c>
      <c r="T668" s="90"/>
      <c r="U668" s="140" t="s">
        <v>207</v>
      </c>
      <c r="V668" s="90"/>
      <c r="W668" s="140" t="s">
        <v>207</v>
      </c>
      <c r="X668" s="90"/>
      <c r="Y668" s="140" t="s">
        <v>207</v>
      </c>
      <c r="Z668" s="177" t="str">
        <f t="shared" si="37"/>
        <v>C</v>
      </c>
      <c r="AA668" s="190" t="str">
        <f t="shared" si="36"/>
        <v>UTILIZOU O PDA CORRETAMENTE</v>
      </c>
      <c r="AB668" s="90" t="s">
        <v>207</v>
      </c>
      <c r="AC668" s="156" t="s">
        <v>36</v>
      </c>
      <c r="AD668" s="145" t="str">
        <f t="shared" si="35"/>
        <v>SÃO PAULO</v>
      </c>
      <c r="AE668" s="92" t="s">
        <v>79</v>
      </c>
    </row>
    <row r="669" spans="1:31" ht="30" customHeight="1">
      <c r="A669" s="197" t="s">
        <v>198</v>
      </c>
      <c r="B669" s="274">
        <v>2694162825</v>
      </c>
      <c r="C669" s="197" t="s">
        <v>147</v>
      </c>
      <c r="D669" s="197" t="s">
        <v>79</v>
      </c>
      <c r="E669" s="197" t="s">
        <v>35</v>
      </c>
      <c r="F669" s="197" t="s">
        <v>2790</v>
      </c>
      <c r="G669" s="197">
        <v>43</v>
      </c>
      <c r="H669" s="197"/>
      <c r="I669" s="197" t="s">
        <v>277</v>
      </c>
      <c r="J669" s="197" t="s">
        <v>1915</v>
      </c>
      <c r="K669" s="197"/>
      <c r="L669" s="203">
        <v>46168.275000000001</v>
      </c>
      <c r="M669" s="203">
        <v>46168.28125</v>
      </c>
      <c r="N669" s="197" t="s">
        <v>1925</v>
      </c>
      <c r="O669" s="152" t="s">
        <v>207</v>
      </c>
      <c r="P669" s="90"/>
      <c r="Q669" s="140" t="s">
        <v>207</v>
      </c>
      <c r="R669" s="90"/>
      <c r="S669" s="140" t="s">
        <v>207</v>
      </c>
      <c r="T669" s="90"/>
      <c r="U669" s="140" t="s">
        <v>207</v>
      </c>
      <c r="V669" s="90"/>
      <c r="W669" s="140" t="s">
        <v>207</v>
      </c>
      <c r="X669" s="90"/>
      <c r="Y669" s="140" t="s">
        <v>207</v>
      </c>
      <c r="Z669" s="177" t="str">
        <f t="shared" si="37"/>
        <v>C</v>
      </c>
      <c r="AA669" s="190" t="str">
        <f t="shared" si="36"/>
        <v>UTILIZOU O PDA CORRETAMENTE</v>
      </c>
      <c r="AB669" s="90" t="s">
        <v>207</v>
      </c>
      <c r="AC669" s="156" t="s">
        <v>36</v>
      </c>
      <c r="AD669" s="145" t="str">
        <f t="shared" si="35"/>
        <v>SÃO PAULO</v>
      </c>
      <c r="AE669" s="92" t="s">
        <v>79</v>
      </c>
    </row>
    <row r="670" spans="1:31" ht="30" customHeight="1">
      <c r="A670" s="197" t="s">
        <v>198</v>
      </c>
      <c r="B670" s="274">
        <v>2621981853</v>
      </c>
      <c r="C670" s="197" t="s">
        <v>1923</v>
      </c>
      <c r="D670" s="197" t="s">
        <v>79</v>
      </c>
      <c r="E670" s="197" t="s">
        <v>35</v>
      </c>
      <c r="F670" s="197" t="s">
        <v>379</v>
      </c>
      <c r="G670" s="197">
        <v>325</v>
      </c>
      <c r="H670" s="197" t="s">
        <v>205</v>
      </c>
      <c r="I670" s="197" t="s">
        <v>300</v>
      </c>
      <c r="J670" s="197" t="s">
        <v>1915</v>
      </c>
      <c r="K670" s="197"/>
      <c r="L670" s="203">
        <v>46168.168055555558</v>
      </c>
      <c r="M670" s="203">
        <v>46168.168749999997</v>
      </c>
      <c r="N670" s="197" t="s">
        <v>390</v>
      </c>
      <c r="O670" s="152" t="s">
        <v>214</v>
      </c>
      <c r="P670" s="90"/>
      <c r="Q670" s="140" t="s">
        <v>214</v>
      </c>
      <c r="R670" s="90"/>
      <c r="S670" s="140" t="s">
        <v>214</v>
      </c>
      <c r="T670" s="90"/>
      <c r="U670" s="140" t="s">
        <v>214</v>
      </c>
      <c r="V670" s="90"/>
      <c r="W670" s="140" t="s">
        <v>214</v>
      </c>
      <c r="X670" s="90"/>
      <c r="Y670" s="140" t="s">
        <v>215</v>
      </c>
      <c r="Z670" s="177" t="str">
        <f t="shared" si="37"/>
        <v>NC</v>
      </c>
      <c r="AA670" s="190" t="str">
        <f t="shared" si="36"/>
        <v>NÃO UTILIZOU O PDA</v>
      </c>
      <c r="AB670" s="90" t="s">
        <v>207</v>
      </c>
      <c r="AC670" s="156" t="s">
        <v>36</v>
      </c>
      <c r="AD670" s="145" t="str">
        <f t="shared" si="35"/>
        <v>SÃO PAULO</v>
      </c>
      <c r="AE670" s="92" t="s">
        <v>79</v>
      </c>
    </row>
    <row r="671" spans="1:31" ht="30" customHeight="1">
      <c r="A671" s="197" t="s">
        <v>198</v>
      </c>
      <c r="B671" s="274">
        <v>2622113389</v>
      </c>
      <c r="C671" s="197" t="s">
        <v>1923</v>
      </c>
      <c r="D671" s="197" t="s">
        <v>79</v>
      </c>
      <c r="E671" s="197" t="s">
        <v>35</v>
      </c>
      <c r="F671" s="197" t="s">
        <v>1983</v>
      </c>
      <c r="G671" s="197">
        <v>33</v>
      </c>
      <c r="H671" s="197" t="s">
        <v>208</v>
      </c>
      <c r="I671" s="197" t="s">
        <v>314</v>
      </c>
      <c r="J671" s="197" t="s">
        <v>1915</v>
      </c>
      <c r="K671" s="197"/>
      <c r="L671" s="203">
        <v>46168.256249999999</v>
      </c>
      <c r="M671" s="203">
        <v>46168.262499999997</v>
      </c>
      <c r="N671" s="197" t="s">
        <v>1925</v>
      </c>
      <c r="O671" s="152" t="s">
        <v>207</v>
      </c>
      <c r="P671" s="90"/>
      <c r="Q671" s="140" t="s">
        <v>207</v>
      </c>
      <c r="R671" s="90"/>
      <c r="S671" s="140" t="s">
        <v>214</v>
      </c>
      <c r="T671" s="90"/>
      <c r="U671" s="140" t="s">
        <v>214</v>
      </c>
      <c r="V671" s="90"/>
      <c r="W671" s="140" t="s">
        <v>214</v>
      </c>
      <c r="X671" s="90"/>
      <c r="Y671" s="140" t="s">
        <v>207</v>
      </c>
      <c r="Z671" s="177" t="str">
        <f t="shared" si="37"/>
        <v>NC</v>
      </c>
      <c r="AA671" s="190" t="str">
        <f t="shared" si="36"/>
        <v>UTILIZOU O PDA CORRETAMENTE. NÃO HÁ FOTOS DE TODAS AS ETAPAS</v>
      </c>
      <c r="AB671" s="90" t="s">
        <v>207</v>
      </c>
      <c r="AC671" s="156" t="s">
        <v>36</v>
      </c>
      <c r="AD671" s="145" t="str">
        <f t="shared" si="35"/>
        <v>SÃO PAULO</v>
      </c>
      <c r="AE671" s="92" t="s">
        <v>79</v>
      </c>
    </row>
    <row r="672" spans="1:31" ht="30" customHeight="1">
      <c r="A672" s="197" t="s">
        <v>198</v>
      </c>
      <c r="B672" s="274">
        <v>2622113212</v>
      </c>
      <c r="C672" s="197" t="s">
        <v>1923</v>
      </c>
      <c r="D672" s="197" t="s">
        <v>79</v>
      </c>
      <c r="E672" s="197" t="s">
        <v>35</v>
      </c>
      <c r="F672" s="197" t="s">
        <v>1983</v>
      </c>
      <c r="G672" s="197">
        <v>187</v>
      </c>
      <c r="H672" s="197" t="s">
        <v>200</v>
      </c>
      <c r="I672" s="197" t="s">
        <v>314</v>
      </c>
      <c r="J672" s="197" t="s">
        <v>1915</v>
      </c>
      <c r="K672" s="197" t="s">
        <v>200</v>
      </c>
      <c r="L672" s="203">
        <v>46168.211111111108</v>
      </c>
      <c r="M672" s="203">
        <v>46168.223611111112</v>
      </c>
      <c r="N672" s="197" t="s">
        <v>1925</v>
      </c>
      <c r="O672" s="152" t="s">
        <v>207</v>
      </c>
      <c r="P672" s="90"/>
      <c r="Q672" s="140" t="s">
        <v>207</v>
      </c>
      <c r="R672" s="90"/>
      <c r="S672" s="140" t="s">
        <v>214</v>
      </c>
      <c r="T672" s="90"/>
      <c r="U672" s="140" t="s">
        <v>214</v>
      </c>
      <c r="V672" s="90"/>
      <c r="W672" s="140" t="s">
        <v>214</v>
      </c>
      <c r="X672" s="90"/>
      <c r="Y672" s="140" t="s">
        <v>207</v>
      </c>
      <c r="Z672" s="177" t="str">
        <f t="shared" si="37"/>
        <v>NC</v>
      </c>
      <c r="AA672" s="190" t="str">
        <f t="shared" si="36"/>
        <v>UTILIZOU O PDA CORRETAMENTE. NÃO HÁ FOTOS DE TODAS AS ETAPAS</v>
      </c>
      <c r="AB672" s="90" t="s">
        <v>207</v>
      </c>
      <c r="AC672" s="156" t="s">
        <v>36</v>
      </c>
      <c r="AD672" s="145" t="str">
        <f t="shared" si="35"/>
        <v>SÃO PAULO</v>
      </c>
      <c r="AE672" s="92" t="s">
        <v>79</v>
      </c>
    </row>
    <row r="673" spans="1:31" ht="30" customHeight="1">
      <c r="A673" s="197" t="s">
        <v>198</v>
      </c>
      <c r="B673" s="274">
        <v>2622126935</v>
      </c>
      <c r="C673" s="197" t="s">
        <v>146</v>
      </c>
      <c r="D673" s="197" t="s">
        <v>79</v>
      </c>
      <c r="E673" s="197" t="s">
        <v>35</v>
      </c>
      <c r="F673" s="197" t="s">
        <v>2791</v>
      </c>
      <c r="G673" s="197">
        <v>119</v>
      </c>
      <c r="H673" s="197" t="s">
        <v>329</v>
      </c>
      <c r="I673" s="197" t="s">
        <v>1260</v>
      </c>
      <c r="J673" s="197" t="s">
        <v>1915</v>
      </c>
      <c r="K673" s="197"/>
      <c r="L673" s="203">
        <v>46168.34652777778</v>
      </c>
      <c r="M673" s="203">
        <v>46168.36041666667</v>
      </c>
      <c r="N673" s="197" t="s">
        <v>2668</v>
      </c>
      <c r="O673" s="152" t="s">
        <v>214</v>
      </c>
      <c r="P673" s="90"/>
      <c r="Q673" s="140" t="s">
        <v>207</v>
      </c>
      <c r="R673" s="90"/>
      <c r="S673" s="140" t="s">
        <v>207</v>
      </c>
      <c r="T673" s="90"/>
      <c r="U673" s="140" t="s">
        <v>207</v>
      </c>
      <c r="V673" s="90"/>
      <c r="W673" s="140" t="s">
        <v>207</v>
      </c>
      <c r="X673" s="90"/>
      <c r="Y673" s="140" t="s">
        <v>207</v>
      </c>
      <c r="Z673" s="177" t="str">
        <f t="shared" si="37"/>
        <v>NC</v>
      </c>
      <c r="AA673" s="190" t="str">
        <f t="shared" si="36"/>
        <v>UTILIZOU O PDA CORRETAMENTE. NÃO HÁ FOTOS DE TODAS AS ETAPAS</v>
      </c>
      <c r="AB673" s="90" t="s">
        <v>207</v>
      </c>
      <c r="AC673" s="156" t="s">
        <v>36</v>
      </c>
      <c r="AD673" s="145" t="str">
        <f t="shared" si="35"/>
        <v>SÃO PAULO</v>
      </c>
      <c r="AE673" s="92" t="s">
        <v>79</v>
      </c>
    </row>
    <row r="674" spans="1:31" ht="30" customHeight="1">
      <c r="A674" s="197" t="s">
        <v>198</v>
      </c>
      <c r="B674" s="274">
        <v>2622112302</v>
      </c>
      <c r="C674" s="197" t="s">
        <v>1923</v>
      </c>
      <c r="D674" s="197" t="s">
        <v>79</v>
      </c>
      <c r="E674" s="197" t="s">
        <v>35</v>
      </c>
      <c r="F674" s="197" t="s">
        <v>2792</v>
      </c>
      <c r="G674" s="197">
        <v>2</v>
      </c>
      <c r="H674" s="197"/>
      <c r="I674" s="197" t="s">
        <v>433</v>
      </c>
      <c r="J674" s="197" t="s">
        <v>1915</v>
      </c>
      <c r="K674" s="197" t="s">
        <v>2060</v>
      </c>
      <c r="L674" s="203">
        <v>46168.359027777777</v>
      </c>
      <c r="M674" s="203">
        <v>46168.359027777777</v>
      </c>
      <c r="N674" s="197" t="s">
        <v>1925</v>
      </c>
      <c r="O674" s="152" t="s">
        <v>214</v>
      </c>
      <c r="P674" s="90"/>
      <c r="Q674" s="140" t="s">
        <v>214</v>
      </c>
      <c r="R674" s="90"/>
      <c r="S674" s="140" t="s">
        <v>214</v>
      </c>
      <c r="T674" s="90"/>
      <c r="U674" s="140" t="s">
        <v>214</v>
      </c>
      <c r="V674" s="90"/>
      <c r="W674" s="140" t="s">
        <v>214</v>
      </c>
      <c r="X674" s="90"/>
      <c r="Y674" s="140" t="s">
        <v>215</v>
      </c>
      <c r="Z674" s="177" t="str">
        <f t="shared" si="37"/>
        <v>NC</v>
      </c>
      <c r="AA674" s="190" t="str">
        <f t="shared" si="36"/>
        <v>NÃO UTILIZOU O PDA</v>
      </c>
      <c r="AB674" s="90" t="s">
        <v>207</v>
      </c>
      <c r="AC674" s="156" t="s">
        <v>36</v>
      </c>
      <c r="AD674" s="145" t="str">
        <f t="shared" ref="AD674:AD737" si="38">E674</f>
        <v>SÃO PAULO</v>
      </c>
      <c r="AE674" s="92" t="s">
        <v>79</v>
      </c>
    </row>
    <row r="675" spans="1:31" ht="30" customHeight="1">
      <c r="A675" s="197" t="s">
        <v>198</v>
      </c>
      <c r="B675" s="274">
        <v>2694188248</v>
      </c>
      <c r="C675" s="197" t="s">
        <v>143</v>
      </c>
      <c r="D675" s="197" t="s">
        <v>79</v>
      </c>
      <c r="E675" s="197" t="s">
        <v>35</v>
      </c>
      <c r="F675" s="197" t="s">
        <v>2780</v>
      </c>
      <c r="G675" s="197">
        <v>126</v>
      </c>
      <c r="H675" s="197" t="s">
        <v>208</v>
      </c>
      <c r="I675" s="197" t="s">
        <v>284</v>
      </c>
      <c r="J675" s="197" t="s">
        <v>1918</v>
      </c>
      <c r="K675" s="197" t="s">
        <v>200</v>
      </c>
      <c r="L675" s="203">
        <v>46168.408333333333</v>
      </c>
      <c r="M675" s="203">
        <v>46168.40902777778</v>
      </c>
      <c r="N675" s="197" t="s">
        <v>1931</v>
      </c>
      <c r="O675" s="152" t="s">
        <v>214</v>
      </c>
      <c r="P675" s="90"/>
      <c r="Q675" s="140" t="s">
        <v>207</v>
      </c>
      <c r="R675" s="90"/>
      <c r="S675" s="140" t="s">
        <v>214</v>
      </c>
      <c r="T675" s="90"/>
      <c r="U675" s="140" t="s">
        <v>214</v>
      </c>
      <c r="V675" s="90"/>
      <c r="W675" s="140" t="s">
        <v>207</v>
      </c>
      <c r="X675" s="90"/>
      <c r="Y675" s="140" t="s">
        <v>207</v>
      </c>
      <c r="Z675" s="177" t="str">
        <f t="shared" si="37"/>
        <v>NC</v>
      </c>
      <c r="AA675" s="190" t="str">
        <f t="shared" si="36"/>
        <v>UTILIZOU O PDA CORRETAMENTE. NÃO HÁ FOTOS DE TODAS AS ETAPAS</v>
      </c>
      <c r="AB675" s="90" t="s">
        <v>207</v>
      </c>
      <c r="AC675" s="156" t="s">
        <v>36</v>
      </c>
      <c r="AD675" s="145" t="str">
        <f t="shared" si="38"/>
        <v>SÃO PAULO</v>
      </c>
      <c r="AE675" s="92" t="s">
        <v>79</v>
      </c>
    </row>
    <row r="676" spans="1:31" ht="30" customHeight="1">
      <c r="A676" s="197" t="s">
        <v>198</v>
      </c>
      <c r="B676" s="274">
        <v>2622148540</v>
      </c>
      <c r="C676" s="197" t="s">
        <v>1923</v>
      </c>
      <c r="D676" s="197" t="s">
        <v>79</v>
      </c>
      <c r="E676" s="197" t="s">
        <v>35</v>
      </c>
      <c r="F676" s="197" t="s">
        <v>2793</v>
      </c>
      <c r="G676" s="197">
        <v>177</v>
      </c>
      <c r="H676" s="197"/>
      <c r="I676" s="197" t="s">
        <v>525</v>
      </c>
      <c r="J676" s="197" t="s">
        <v>1915</v>
      </c>
      <c r="K676" s="197" t="s">
        <v>2688</v>
      </c>
      <c r="L676" s="203">
        <v>46168.292361111111</v>
      </c>
      <c r="M676" s="203">
        <v>46168.293055555558</v>
      </c>
      <c r="N676" s="197" t="s">
        <v>2668</v>
      </c>
      <c r="O676" s="152" t="s">
        <v>214</v>
      </c>
      <c r="P676" s="90"/>
      <c r="Q676" s="140" t="s">
        <v>214</v>
      </c>
      <c r="R676" s="90"/>
      <c r="S676" s="140" t="s">
        <v>214</v>
      </c>
      <c r="T676" s="90"/>
      <c r="U676" s="140" t="s">
        <v>214</v>
      </c>
      <c r="V676" s="90"/>
      <c r="W676" s="140" t="s">
        <v>214</v>
      </c>
      <c r="X676" s="90"/>
      <c r="Y676" s="140" t="s">
        <v>215</v>
      </c>
      <c r="Z676" s="177" t="str">
        <f t="shared" si="37"/>
        <v>NC</v>
      </c>
      <c r="AA676" s="190" t="str">
        <f t="shared" si="36"/>
        <v>NÃO UTILIZOU O PDA</v>
      </c>
      <c r="AB676" s="90" t="s">
        <v>207</v>
      </c>
      <c r="AC676" s="156" t="s">
        <v>36</v>
      </c>
      <c r="AD676" s="145" t="str">
        <f t="shared" si="38"/>
        <v>SÃO PAULO</v>
      </c>
      <c r="AE676" s="92" t="s">
        <v>79</v>
      </c>
    </row>
    <row r="677" spans="1:31" ht="30" customHeight="1">
      <c r="A677" s="197" t="s">
        <v>198</v>
      </c>
      <c r="B677" s="274">
        <v>2622148726</v>
      </c>
      <c r="C677" s="197" t="s">
        <v>1923</v>
      </c>
      <c r="D677" s="197" t="s">
        <v>79</v>
      </c>
      <c r="E677" s="197" t="s">
        <v>35</v>
      </c>
      <c r="F677" s="197" t="s">
        <v>1949</v>
      </c>
      <c r="G677" s="197">
        <v>201</v>
      </c>
      <c r="H677" s="197" t="s">
        <v>200</v>
      </c>
      <c r="I677" s="197" t="s">
        <v>652</v>
      </c>
      <c r="J677" s="197" t="s">
        <v>1915</v>
      </c>
      <c r="K677" s="197" t="s">
        <v>2688</v>
      </c>
      <c r="L677" s="203">
        <v>46168.293749999997</v>
      </c>
      <c r="M677" s="203">
        <v>46168.294444444444</v>
      </c>
      <c r="N677" s="197" t="s">
        <v>2668</v>
      </c>
      <c r="O677" s="152" t="s">
        <v>214</v>
      </c>
      <c r="P677" s="90"/>
      <c r="Q677" s="140" t="s">
        <v>214</v>
      </c>
      <c r="R677" s="90"/>
      <c r="S677" s="140" t="s">
        <v>214</v>
      </c>
      <c r="T677" s="90"/>
      <c r="U677" s="140" t="s">
        <v>214</v>
      </c>
      <c r="V677" s="90"/>
      <c r="W677" s="140" t="s">
        <v>214</v>
      </c>
      <c r="X677" s="90"/>
      <c r="Y677" s="140" t="s">
        <v>215</v>
      </c>
      <c r="Z677" s="177" t="str">
        <f t="shared" si="37"/>
        <v>NC</v>
      </c>
      <c r="AA677" s="190" t="str">
        <f t="shared" si="36"/>
        <v>NÃO UTILIZOU O PDA</v>
      </c>
      <c r="AB677" s="90" t="s">
        <v>207</v>
      </c>
      <c r="AC677" s="156" t="s">
        <v>36</v>
      </c>
      <c r="AD677" s="145" t="str">
        <f t="shared" si="38"/>
        <v>SÃO PAULO</v>
      </c>
      <c r="AE677" s="92" t="s">
        <v>79</v>
      </c>
    </row>
    <row r="678" spans="1:31" ht="30" customHeight="1">
      <c r="A678" s="197" t="s">
        <v>198</v>
      </c>
      <c r="B678" s="274">
        <v>2622149171</v>
      </c>
      <c r="C678" s="197" t="s">
        <v>1923</v>
      </c>
      <c r="D678" s="197" t="s">
        <v>79</v>
      </c>
      <c r="E678" s="197" t="s">
        <v>35</v>
      </c>
      <c r="F678" s="197" t="s">
        <v>1942</v>
      </c>
      <c r="G678" s="197">
        <v>204</v>
      </c>
      <c r="H678" s="197" t="s">
        <v>205</v>
      </c>
      <c r="I678" s="197" t="s">
        <v>1480</v>
      </c>
      <c r="J678" s="197" t="s">
        <v>1915</v>
      </c>
      <c r="K678" s="197"/>
      <c r="L678" s="203">
        <v>46168.335416666669</v>
      </c>
      <c r="M678" s="203">
        <v>46168.336111111108</v>
      </c>
      <c r="N678" s="197" t="s">
        <v>390</v>
      </c>
      <c r="O678" s="152" t="s">
        <v>214</v>
      </c>
      <c r="P678" s="90"/>
      <c r="Q678" s="140" t="s">
        <v>214</v>
      </c>
      <c r="R678" s="90"/>
      <c r="S678" s="140" t="s">
        <v>214</v>
      </c>
      <c r="T678" s="90"/>
      <c r="U678" s="140" t="s">
        <v>214</v>
      </c>
      <c r="V678" s="90"/>
      <c r="W678" s="140" t="s">
        <v>214</v>
      </c>
      <c r="X678" s="90"/>
      <c r="Y678" s="140" t="s">
        <v>215</v>
      </c>
      <c r="Z678" s="177" t="str">
        <f t="shared" si="37"/>
        <v>NC</v>
      </c>
      <c r="AA678" s="190" t="str">
        <f t="shared" si="36"/>
        <v>NÃO UTILIZOU O PDA</v>
      </c>
      <c r="AB678" s="90" t="s">
        <v>207</v>
      </c>
      <c r="AC678" s="156" t="s">
        <v>36</v>
      </c>
      <c r="AD678" s="145" t="str">
        <f t="shared" si="38"/>
        <v>SÃO PAULO</v>
      </c>
      <c r="AE678" s="92" t="s">
        <v>79</v>
      </c>
    </row>
    <row r="679" spans="1:31" ht="30" customHeight="1">
      <c r="A679" s="197" t="s">
        <v>198</v>
      </c>
      <c r="B679" s="274">
        <v>2622149820</v>
      </c>
      <c r="C679" s="197" t="s">
        <v>1923</v>
      </c>
      <c r="D679" s="197" t="s">
        <v>79</v>
      </c>
      <c r="E679" s="197" t="s">
        <v>35</v>
      </c>
      <c r="F679" s="197" t="s">
        <v>2788</v>
      </c>
      <c r="G679" s="197">
        <v>5</v>
      </c>
      <c r="H679" s="197" t="s">
        <v>200</v>
      </c>
      <c r="I679" s="197" t="s">
        <v>636</v>
      </c>
      <c r="J679" s="197" t="s">
        <v>1915</v>
      </c>
      <c r="K679" s="197" t="s">
        <v>200</v>
      </c>
      <c r="L679" s="203">
        <v>46168.256944444445</v>
      </c>
      <c r="M679" s="203">
        <v>46168.257638888892</v>
      </c>
      <c r="N679" s="197" t="s">
        <v>1931</v>
      </c>
      <c r="O679" s="152" t="s">
        <v>214</v>
      </c>
      <c r="P679" s="90"/>
      <c r="Q679" s="140" t="s">
        <v>214</v>
      </c>
      <c r="R679" s="90"/>
      <c r="S679" s="140" t="s">
        <v>214</v>
      </c>
      <c r="T679" s="90"/>
      <c r="U679" s="140" t="s">
        <v>214</v>
      </c>
      <c r="V679" s="90"/>
      <c r="W679" s="140" t="s">
        <v>214</v>
      </c>
      <c r="X679" s="90"/>
      <c r="Y679" s="140" t="s">
        <v>215</v>
      </c>
      <c r="Z679" s="177" t="str">
        <f t="shared" si="37"/>
        <v>NC</v>
      </c>
      <c r="AA679" s="190" t="str">
        <f t="shared" si="36"/>
        <v>NÃO UTILIZOU O PDA</v>
      </c>
      <c r="AB679" s="90" t="s">
        <v>207</v>
      </c>
      <c r="AC679" s="156" t="s">
        <v>36</v>
      </c>
      <c r="AD679" s="145" t="str">
        <f t="shared" si="38"/>
        <v>SÃO PAULO</v>
      </c>
      <c r="AE679" s="92" t="s">
        <v>79</v>
      </c>
    </row>
    <row r="680" spans="1:31" ht="30" customHeight="1">
      <c r="A680" s="197" t="s">
        <v>198</v>
      </c>
      <c r="B680" s="274">
        <v>2622150036</v>
      </c>
      <c r="C680" s="197" t="s">
        <v>1923</v>
      </c>
      <c r="D680" s="197" t="s">
        <v>79</v>
      </c>
      <c r="E680" s="197" t="s">
        <v>35</v>
      </c>
      <c r="F680" s="197" t="s">
        <v>2261</v>
      </c>
      <c r="G680" s="197">
        <v>31</v>
      </c>
      <c r="H680" s="197"/>
      <c r="I680" s="197" t="s">
        <v>515</v>
      </c>
      <c r="J680" s="197" t="s">
        <v>1915</v>
      </c>
      <c r="K680" s="197"/>
      <c r="L680" s="203">
        <v>46168.257638888892</v>
      </c>
      <c r="M680" s="203">
        <v>46168.258333333331</v>
      </c>
      <c r="N680" s="197" t="s">
        <v>1931</v>
      </c>
      <c r="O680" s="152" t="s">
        <v>214</v>
      </c>
      <c r="P680" s="90"/>
      <c r="Q680" s="140" t="s">
        <v>214</v>
      </c>
      <c r="R680" s="90"/>
      <c r="S680" s="140" t="s">
        <v>214</v>
      </c>
      <c r="T680" s="90"/>
      <c r="U680" s="140" t="s">
        <v>214</v>
      </c>
      <c r="V680" s="90"/>
      <c r="W680" s="140" t="s">
        <v>214</v>
      </c>
      <c r="X680" s="90"/>
      <c r="Y680" s="140" t="s">
        <v>215</v>
      </c>
      <c r="Z680" s="177" t="str">
        <f t="shared" si="37"/>
        <v>NC</v>
      </c>
      <c r="AA680" s="190" t="str">
        <f t="shared" si="36"/>
        <v>NÃO UTILIZOU O PDA</v>
      </c>
      <c r="AB680" s="90" t="s">
        <v>207</v>
      </c>
      <c r="AC680" s="156" t="s">
        <v>36</v>
      </c>
      <c r="AD680" s="145" t="str">
        <f t="shared" si="38"/>
        <v>SÃO PAULO</v>
      </c>
      <c r="AE680" s="92" t="s">
        <v>79</v>
      </c>
    </row>
    <row r="681" spans="1:31" ht="30" customHeight="1">
      <c r="A681" s="197" t="s">
        <v>198</v>
      </c>
      <c r="B681" s="274">
        <v>2622149447</v>
      </c>
      <c r="C681" s="197" t="s">
        <v>1923</v>
      </c>
      <c r="D681" s="197" t="s">
        <v>79</v>
      </c>
      <c r="E681" s="197" t="s">
        <v>35</v>
      </c>
      <c r="F681" s="197" t="s">
        <v>2794</v>
      </c>
      <c r="G681" s="197">
        <v>42</v>
      </c>
      <c r="H681" s="197" t="s">
        <v>200</v>
      </c>
      <c r="I681" s="197" t="s">
        <v>300</v>
      </c>
      <c r="J681" s="197" t="s">
        <v>1915</v>
      </c>
      <c r="K681" s="197" t="s">
        <v>200</v>
      </c>
      <c r="L681" s="203">
        <v>46168.334722222222</v>
      </c>
      <c r="M681" s="203">
        <v>46168.335416666669</v>
      </c>
      <c r="N681" s="197" t="s">
        <v>390</v>
      </c>
      <c r="O681" s="152" t="s">
        <v>214</v>
      </c>
      <c r="P681" s="90"/>
      <c r="Q681" s="140" t="s">
        <v>214</v>
      </c>
      <c r="R681" s="90"/>
      <c r="S681" s="140" t="s">
        <v>214</v>
      </c>
      <c r="T681" s="90"/>
      <c r="U681" s="140" t="s">
        <v>214</v>
      </c>
      <c r="V681" s="90"/>
      <c r="W681" s="140" t="s">
        <v>214</v>
      </c>
      <c r="X681" s="90"/>
      <c r="Y681" s="140" t="s">
        <v>215</v>
      </c>
      <c r="Z681" s="177" t="str">
        <f t="shared" si="37"/>
        <v>NC</v>
      </c>
      <c r="AA681" s="190" t="str">
        <f t="shared" si="36"/>
        <v>NÃO UTILIZOU O PDA</v>
      </c>
      <c r="AB681" s="90" t="s">
        <v>207</v>
      </c>
      <c r="AC681" s="156" t="s">
        <v>36</v>
      </c>
      <c r="AD681" s="145" t="str">
        <f t="shared" si="38"/>
        <v>SÃO PAULO</v>
      </c>
      <c r="AE681" s="92" t="s">
        <v>79</v>
      </c>
    </row>
    <row r="682" spans="1:31" ht="30" customHeight="1">
      <c r="A682" s="197" t="s">
        <v>198</v>
      </c>
      <c r="B682" s="274">
        <v>2622148990</v>
      </c>
      <c r="C682" s="197" t="s">
        <v>1923</v>
      </c>
      <c r="D682" s="197" t="s">
        <v>79</v>
      </c>
      <c r="E682" s="197" t="s">
        <v>35</v>
      </c>
      <c r="F682" s="197" t="s">
        <v>2795</v>
      </c>
      <c r="G682" s="197">
        <v>30</v>
      </c>
      <c r="H682" s="197" t="s">
        <v>257</v>
      </c>
      <c r="I682" s="197" t="s">
        <v>2796</v>
      </c>
      <c r="J682" s="197" t="s">
        <v>1915</v>
      </c>
      <c r="K682" s="197" t="s">
        <v>2797</v>
      </c>
      <c r="L682" s="203">
        <v>46168.551388888889</v>
      </c>
      <c r="M682" s="203">
        <v>46168.552083333336</v>
      </c>
      <c r="N682" s="197" t="s">
        <v>1916</v>
      </c>
      <c r="O682" s="152" t="s">
        <v>214</v>
      </c>
      <c r="P682" s="90"/>
      <c r="Q682" s="140" t="s">
        <v>214</v>
      </c>
      <c r="R682" s="90"/>
      <c r="S682" s="140" t="s">
        <v>214</v>
      </c>
      <c r="T682" s="90"/>
      <c r="U682" s="140" t="s">
        <v>214</v>
      </c>
      <c r="V682" s="90"/>
      <c r="W682" s="140" t="s">
        <v>214</v>
      </c>
      <c r="X682" s="90"/>
      <c r="Y682" s="140" t="s">
        <v>215</v>
      </c>
      <c r="Z682" s="177" t="str">
        <f t="shared" si="37"/>
        <v>NC</v>
      </c>
      <c r="AA682" s="190" t="str">
        <f t="shared" si="36"/>
        <v>NÃO UTILIZOU O PDA</v>
      </c>
      <c r="AB682" s="90" t="s">
        <v>207</v>
      </c>
      <c r="AC682" s="156" t="s">
        <v>36</v>
      </c>
      <c r="AD682" s="145" t="str">
        <f t="shared" si="38"/>
        <v>SÃO PAULO</v>
      </c>
      <c r="AE682" s="92" t="s">
        <v>79</v>
      </c>
    </row>
    <row r="683" spans="1:31" ht="30" customHeight="1">
      <c r="A683" s="197" t="s">
        <v>198</v>
      </c>
      <c r="B683" s="274">
        <v>2694107899</v>
      </c>
      <c r="C683" s="197" t="s">
        <v>143</v>
      </c>
      <c r="D683" s="197" t="s">
        <v>79</v>
      </c>
      <c r="E683" s="197" t="s">
        <v>35</v>
      </c>
      <c r="F683" s="197" t="s">
        <v>2747</v>
      </c>
      <c r="G683" s="197">
        <v>85</v>
      </c>
      <c r="H683" s="197" t="s">
        <v>205</v>
      </c>
      <c r="I683" s="197" t="s">
        <v>355</v>
      </c>
      <c r="J683" s="197" t="s">
        <v>1943</v>
      </c>
      <c r="K683" s="197" t="s">
        <v>2798</v>
      </c>
      <c r="L683" s="203">
        <v>46168.167361111111</v>
      </c>
      <c r="M683" s="203">
        <v>46168.176388888889</v>
      </c>
      <c r="N683" s="197" t="s">
        <v>274</v>
      </c>
      <c r="O683" s="152" t="s">
        <v>207</v>
      </c>
      <c r="P683" s="90"/>
      <c r="Q683" s="140" t="s">
        <v>207</v>
      </c>
      <c r="R683" s="90"/>
      <c r="S683" s="140" t="s">
        <v>214</v>
      </c>
      <c r="T683" s="90"/>
      <c r="U683" s="140" t="s">
        <v>214</v>
      </c>
      <c r="V683" s="90"/>
      <c r="W683" s="140" t="s">
        <v>207</v>
      </c>
      <c r="X683" s="90"/>
      <c r="Y683" s="140" t="s">
        <v>207</v>
      </c>
      <c r="Z683" s="177" t="str">
        <f t="shared" si="37"/>
        <v>NC</v>
      </c>
      <c r="AA683" s="190" t="str">
        <f t="shared" si="36"/>
        <v>UTILIZOU O PDA CORRETAMENTE. NÃO HÁ FOTOS DE TODAS AS ETAPAS</v>
      </c>
      <c r="AB683" s="90" t="s">
        <v>207</v>
      </c>
      <c r="AC683" s="156" t="s">
        <v>36</v>
      </c>
      <c r="AD683" s="145" t="str">
        <f t="shared" si="38"/>
        <v>SÃO PAULO</v>
      </c>
      <c r="AE683" s="92" t="s">
        <v>79</v>
      </c>
    </row>
    <row r="684" spans="1:31" ht="30" customHeight="1">
      <c r="A684" s="197" t="s">
        <v>198</v>
      </c>
      <c r="B684" s="274">
        <v>2622151997</v>
      </c>
      <c r="C684" s="197" t="s">
        <v>1923</v>
      </c>
      <c r="D684" s="197" t="s">
        <v>79</v>
      </c>
      <c r="E684" s="197" t="s">
        <v>35</v>
      </c>
      <c r="F684" s="197" t="s">
        <v>2799</v>
      </c>
      <c r="G684" s="197">
        <v>99</v>
      </c>
      <c r="H684" s="197"/>
      <c r="I684" s="197" t="s">
        <v>580</v>
      </c>
      <c r="J684" s="197" t="s">
        <v>1915</v>
      </c>
      <c r="K684" s="197" t="s">
        <v>2800</v>
      </c>
      <c r="L684" s="203">
        <v>46168.550694444442</v>
      </c>
      <c r="M684" s="203">
        <v>46168.551388888889</v>
      </c>
      <c r="N684" s="197" t="s">
        <v>1916</v>
      </c>
      <c r="O684" s="152" t="s">
        <v>214</v>
      </c>
      <c r="P684" s="90"/>
      <c r="Q684" s="140" t="s">
        <v>214</v>
      </c>
      <c r="R684" s="90"/>
      <c r="S684" s="140" t="s">
        <v>214</v>
      </c>
      <c r="T684" s="90"/>
      <c r="U684" s="140" t="s">
        <v>214</v>
      </c>
      <c r="V684" s="90"/>
      <c r="W684" s="140" t="s">
        <v>214</v>
      </c>
      <c r="X684" s="90"/>
      <c r="Y684" s="140" t="s">
        <v>215</v>
      </c>
      <c r="Z684" s="177" t="str">
        <f t="shared" si="37"/>
        <v>NC</v>
      </c>
      <c r="AA684" s="190" t="str">
        <f t="shared" si="36"/>
        <v>NÃO UTILIZOU O PDA</v>
      </c>
      <c r="AB684" s="90" t="s">
        <v>207</v>
      </c>
      <c r="AC684" s="156" t="s">
        <v>36</v>
      </c>
      <c r="AD684" s="145" t="str">
        <f t="shared" si="38"/>
        <v>SÃO PAULO</v>
      </c>
      <c r="AE684" s="92" t="s">
        <v>79</v>
      </c>
    </row>
    <row r="685" spans="1:31" ht="30" customHeight="1">
      <c r="A685" s="197" t="s">
        <v>198</v>
      </c>
      <c r="B685" s="274">
        <v>2622151869</v>
      </c>
      <c r="C685" s="197" t="s">
        <v>1923</v>
      </c>
      <c r="D685" s="197" t="s">
        <v>79</v>
      </c>
      <c r="E685" s="197" t="s">
        <v>35</v>
      </c>
      <c r="F685" s="197" t="s">
        <v>2801</v>
      </c>
      <c r="G685" s="197">
        <v>319</v>
      </c>
      <c r="H685" s="197" t="s">
        <v>200</v>
      </c>
      <c r="I685" s="197" t="s">
        <v>652</v>
      </c>
      <c r="J685" s="197" t="s">
        <v>1915</v>
      </c>
      <c r="K685" s="197" t="s">
        <v>2688</v>
      </c>
      <c r="L685" s="203">
        <v>46168.293055555558</v>
      </c>
      <c r="M685" s="203">
        <v>46168.293749999997</v>
      </c>
      <c r="N685" s="197" t="s">
        <v>2668</v>
      </c>
      <c r="O685" s="152" t="s">
        <v>214</v>
      </c>
      <c r="P685" s="90"/>
      <c r="Q685" s="140" t="s">
        <v>214</v>
      </c>
      <c r="R685" s="90"/>
      <c r="S685" s="140" t="s">
        <v>214</v>
      </c>
      <c r="T685" s="90"/>
      <c r="U685" s="140" t="s">
        <v>214</v>
      </c>
      <c r="V685" s="90"/>
      <c r="W685" s="140" t="s">
        <v>214</v>
      </c>
      <c r="X685" s="90"/>
      <c r="Y685" s="140" t="s">
        <v>215</v>
      </c>
      <c r="Z685" s="177" t="str">
        <f t="shared" si="37"/>
        <v>NC</v>
      </c>
      <c r="AA685" s="190" t="str">
        <f t="shared" si="36"/>
        <v>NÃO UTILIZOU O PDA</v>
      </c>
      <c r="AB685" s="90" t="s">
        <v>207</v>
      </c>
      <c r="AC685" s="156" t="s">
        <v>36</v>
      </c>
      <c r="AD685" s="145" t="str">
        <f t="shared" si="38"/>
        <v>SÃO PAULO</v>
      </c>
      <c r="AE685" s="92" t="s">
        <v>79</v>
      </c>
    </row>
    <row r="686" spans="1:31" ht="30" customHeight="1">
      <c r="A686" s="197" t="s">
        <v>198</v>
      </c>
      <c r="B686" s="274">
        <v>2622150866</v>
      </c>
      <c r="C686" s="197" t="s">
        <v>143</v>
      </c>
      <c r="D686" s="197" t="s">
        <v>79</v>
      </c>
      <c r="E686" s="197" t="s">
        <v>35</v>
      </c>
      <c r="F686" s="197" t="s">
        <v>2802</v>
      </c>
      <c r="G686" s="197">
        <v>249</v>
      </c>
      <c r="H686" s="197" t="s">
        <v>347</v>
      </c>
      <c r="I686" s="197" t="s">
        <v>300</v>
      </c>
      <c r="J686" s="197" t="s">
        <v>1943</v>
      </c>
      <c r="K686" s="197"/>
      <c r="L686" s="203">
        <v>46168.611111111109</v>
      </c>
      <c r="M686" s="203">
        <v>46168.611805555556</v>
      </c>
      <c r="N686" s="197" t="s">
        <v>320</v>
      </c>
      <c r="O686" s="152" t="s">
        <v>207</v>
      </c>
      <c r="P686" s="90"/>
      <c r="Q686" s="140" t="s">
        <v>207</v>
      </c>
      <c r="R686" s="90"/>
      <c r="S686" s="140" t="s">
        <v>214</v>
      </c>
      <c r="T686" s="90"/>
      <c r="U686" s="140" t="s">
        <v>214</v>
      </c>
      <c r="V686" s="90"/>
      <c r="W686" s="140" t="s">
        <v>214</v>
      </c>
      <c r="X686" s="90"/>
      <c r="Y686" s="140" t="s">
        <v>207</v>
      </c>
      <c r="Z686" s="177" t="str">
        <f t="shared" si="37"/>
        <v>NC</v>
      </c>
      <c r="AA686" s="190" t="str">
        <f t="shared" si="36"/>
        <v>UTILIZOU O PDA CORRETAMENTE. NÃO HÁ FOTOS DE TODAS AS ETAPAS</v>
      </c>
      <c r="AB686" s="90" t="s">
        <v>207</v>
      </c>
      <c r="AC686" s="156" t="s">
        <v>36</v>
      </c>
      <c r="AD686" s="145" t="str">
        <f t="shared" si="38"/>
        <v>SÃO PAULO</v>
      </c>
      <c r="AE686" s="92" t="s">
        <v>79</v>
      </c>
    </row>
    <row r="687" spans="1:31" ht="30" customHeight="1">
      <c r="A687" s="197" t="s">
        <v>198</v>
      </c>
      <c r="B687" s="274">
        <v>2622170877</v>
      </c>
      <c r="C687" s="197" t="s">
        <v>1923</v>
      </c>
      <c r="D687" s="197" t="s">
        <v>79</v>
      </c>
      <c r="E687" s="197" t="s">
        <v>35</v>
      </c>
      <c r="F687" s="197" t="s">
        <v>1417</v>
      </c>
      <c r="G687" s="197">
        <v>350</v>
      </c>
      <c r="H687" s="197" t="s">
        <v>200</v>
      </c>
      <c r="I687" s="197" t="s">
        <v>218</v>
      </c>
      <c r="J687" s="197" t="s">
        <v>1915</v>
      </c>
      <c r="K687" s="197" t="s">
        <v>2319</v>
      </c>
      <c r="L687" s="203">
        <v>46168.536805555559</v>
      </c>
      <c r="M687" s="203">
        <v>46168.537499999999</v>
      </c>
      <c r="N687" s="197" t="s">
        <v>1944</v>
      </c>
      <c r="O687" s="152" t="s">
        <v>214</v>
      </c>
      <c r="P687" s="90"/>
      <c r="Q687" s="140" t="s">
        <v>214</v>
      </c>
      <c r="R687" s="90"/>
      <c r="S687" s="140" t="s">
        <v>214</v>
      </c>
      <c r="T687" s="90"/>
      <c r="U687" s="140" t="s">
        <v>214</v>
      </c>
      <c r="V687" s="90"/>
      <c r="W687" s="140" t="s">
        <v>214</v>
      </c>
      <c r="X687" s="90"/>
      <c r="Y687" s="140" t="s">
        <v>207</v>
      </c>
      <c r="Z687" s="177" t="str">
        <f t="shared" si="37"/>
        <v>NC</v>
      </c>
      <c r="AA687" s="190" t="str">
        <f t="shared" si="36"/>
        <v>UTILIZOU O PDA CORRETAMENTE. NÃO HÁ FOTOS DE TODAS AS ETAPAS</v>
      </c>
      <c r="AB687" s="90" t="s">
        <v>207</v>
      </c>
      <c r="AC687" s="156" t="s">
        <v>36</v>
      </c>
      <c r="AD687" s="145" t="str">
        <f t="shared" si="38"/>
        <v>SÃO PAULO</v>
      </c>
      <c r="AE687" s="92" t="s">
        <v>79</v>
      </c>
    </row>
    <row r="688" spans="1:31" ht="30" customHeight="1">
      <c r="A688" s="197" t="s">
        <v>198</v>
      </c>
      <c r="B688" s="274">
        <v>2622175172</v>
      </c>
      <c r="C688" s="197" t="s">
        <v>1923</v>
      </c>
      <c r="D688" s="197" t="s">
        <v>79</v>
      </c>
      <c r="E688" s="197" t="s">
        <v>35</v>
      </c>
      <c r="F688" s="197" t="s">
        <v>578</v>
      </c>
      <c r="G688" s="197">
        <v>195</v>
      </c>
      <c r="H688" s="197" t="s">
        <v>205</v>
      </c>
      <c r="I688" s="197" t="s">
        <v>271</v>
      </c>
      <c r="J688" s="197" t="s">
        <v>1915</v>
      </c>
      <c r="K688" s="197"/>
      <c r="L688" s="203">
        <v>46168.549305555556</v>
      </c>
      <c r="M688" s="203">
        <v>46168.55</v>
      </c>
      <c r="N688" s="197" t="s">
        <v>1944</v>
      </c>
      <c r="O688" s="152" t="s">
        <v>214</v>
      </c>
      <c r="P688" s="90"/>
      <c r="Q688" s="140" t="s">
        <v>214</v>
      </c>
      <c r="R688" s="90"/>
      <c r="S688" s="140" t="s">
        <v>214</v>
      </c>
      <c r="T688" s="90"/>
      <c r="U688" s="140" t="s">
        <v>214</v>
      </c>
      <c r="V688" s="90"/>
      <c r="W688" s="140" t="s">
        <v>214</v>
      </c>
      <c r="X688" s="90"/>
      <c r="Y688" s="140" t="s">
        <v>215</v>
      </c>
      <c r="Z688" s="177" t="str">
        <f t="shared" si="37"/>
        <v>NC</v>
      </c>
      <c r="AA688" s="190" t="str">
        <f t="shared" si="36"/>
        <v>NÃO UTILIZOU O PDA</v>
      </c>
      <c r="AB688" s="90" t="s">
        <v>207</v>
      </c>
      <c r="AC688" s="156" t="s">
        <v>36</v>
      </c>
      <c r="AD688" s="145" t="str">
        <f t="shared" si="38"/>
        <v>SÃO PAULO</v>
      </c>
      <c r="AE688" s="92" t="s">
        <v>79</v>
      </c>
    </row>
    <row r="689" spans="1:31" ht="30" customHeight="1">
      <c r="A689" s="197" t="s">
        <v>198</v>
      </c>
      <c r="B689" s="274">
        <v>2622173942</v>
      </c>
      <c r="C689" s="197" t="s">
        <v>1923</v>
      </c>
      <c r="D689" s="197" t="s">
        <v>79</v>
      </c>
      <c r="E689" s="197" t="s">
        <v>35</v>
      </c>
      <c r="F689" s="197" t="s">
        <v>2378</v>
      </c>
      <c r="G689" s="197">
        <v>144</v>
      </c>
      <c r="H689" s="197" t="s">
        <v>2803</v>
      </c>
      <c r="I689" s="197" t="s">
        <v>497</v>
      </c>
      <c r="J689" s="197" t="s">
        <v>1915</v>
      </c>
      <c r="K689" s="197" t="s">
        <v>200</v>
      </c>
      <c r="L689" s="203">
        <v>46168.643750000003</v>
      </c>
      <c r="M689" s="203">
        <v>46168.645138888889</v>
      </c>
      <c r="N689" s="197" t="s">
        <v>1933</v>
      </c>
      <c r="O689" s="152" t="s">
        <v>215</v>
      </c>
      <c r="P689" s="90"/>
      <c r="Q689" s="140" t="s">
        <v>215</v>
      </c>
      <c r="R689" s="90"/>
      <c r="S689" s="140" t="s">
        <v>215</v>
      </c>
      <c r="T689" s="90"/>
      <c r="U689" s="140" t="s">
        <v>215</v>
      </c>
      <c r="V689" s="90"/>
      <c r="W689" s="140" t="s">
        <v>215</v>
      </c>
      <c r="X689" s="90" t="s">
        <v>227</v>
      </c>
      <c r="Y689" s="140" t="s">
        <v>215</v>
      </c>
      <c r="Z689" s="177" t="s">
        <v>215</v>
      </c>
      <c r="AA689" s="190" t="str">
        <f>IF(AND(Y689="C",Z689="C"),"UTILIZOU O PDA CORRETAMENTE",IF(AND(Y689="C",Z689="NC"),"UTILIZOU O PDA CORRETAMENTE. NÃO HÁ FOTOS DE TODAS AS ETAPAS",IF(AND(Y689="NC",Z689="NC"),"NÃO UTILIZOU O PDA",IF(AND(Y689="NA",Z689="NA"),"NÃO AVALIADO POR FALHA DE SINCRONISMO"))))</f>
        <v>NÃO UTILIZOU O PDA</v>
      </c>
      <c r="AB689" s="90" t="s">
        <v>207</v>
      </c>
      <c r="AC689" s="156" t="s">
        <v>36</v>
      </c>
      <c r="AD689" s="145" t="str">
        <f t="shared" si="38"/>
        <v>SÃO PAULO</v>
      </c>
      <c r="AE689" s="92" t="s">
        <v>79</v>
      </c>
    </row>
    <row r="690" spans="1:31" ht="30" customHeight="1">
      <c r="A690" s="197" t="s">
        <v>198</v>
      </c>
      <c r="B690" s="274">
        <v>2622174123</v>
      </c>
      <c r="C690" s="197" t="s">
        <v>1923</v>
      </c>
      <c r="D690" s="197" t="s">
        <v>79</v>
      </c>
      <c r="E690" s="197" t="s">
        <v>35</v>
      </c>
      <c r="F690" s="197" t="s">
        <v>2804</v>
      </c>
      <c r="G690" s="197">
        <v>201</v>
      </c>
      <c r="H690" s="197"/>
      <c r="I690" s="197" t="s">
        <v>497</v>
      </c>
      <c r="J690" s="197" t="s">
        <v>1915</v>
      </c>
      <c r="K690" s="197"/>
      <c r="L690" s="203">
        <v>46168.646527777775</v>
      </c>
      <c r="M690" s="203">
        <v>46168.647916666669</v>
      </c>
      <c r="N690" s="197" t="s">
        <v>1933</v>
      </c>
      <c r="O690" s="152" t="s">
        <v>215</v>
      </c>
      <c r="P690" s="90"/>
      <c r="Q690" s="140" t="s">
        <v>215</v>
      </c>
      <c r="R690" s="90"/>
      <c r="S690" s="140" t="s">
        <v>215</v>
      </c>
      <c r="T690" s="90"/>
      <c r="U690" s="140" t="s">
        <v>215</v>
      </c>
      <c r="V690" s="90"/>
      <c r="W690" s="140" t="s">
        <v>215</v>
      </c>
      <c r="X690" s="90" t="s">
        <v>227</v>
      </c>
      <c r="Y690" s="140" t="s">
        <v>215</v>
      </c>
      <c r="Z690" s="177" t="str">
        <f t="shared" si="37"/>
        <v>NC</v>
      </c>
      <c r="AA690" s="190" t="str">
        <f t="shared" si="36"/>
        <v>NÃO UTILIZOU O PDA</v>
      </c>
      <c r="AB690" s="90" t="s">
        <v>207</v>
      </c>
      <c r="AC690" s="156" t="s">
        <v>36</v>
      </c>
      <c r="AD690" s="145" t="str">
        <f t="shared" si="38"/>
        <v>SÃO PAULO</v>
      </c>
      <c r="AE690" s="92" t="s">
        <v>79</v>
      </c>
    </row>
    <row r="691" spans="1:31" ht="30" customHeight="1">
      <c r="A691" s="275" t="s">
        <v>198</v>
      </c>
      <c r="B691" s="274">
        <v>2622169244</v>
      </c>
      <c r="C691" s="197" t="s">
        <v>1923</v>
      </c>
      <c r="D691" s="197" t="s">
        <v>79</v>
      </c>
      <c r="E691" s="197" t="s">
        <v>35</v>
      </c>
      <c r="F691" s="197" t="s">
        <v>1111</v>
      </c>
      <c r="G691" s="197">
        <v>1136</v>
      </c>
      <c r="H691" s="197" t="s">
        <v>208</v>
      </c>
      <c r="I691" s="197" t="s">
        <v>679</v>
      </c>
      <c r="J691" s="197" t="s">
        <v>1915</v>
      </c>
      <c r="K691" s="197" t="s">
        <v>2688</v>
      </c>
      <c r="L691" s="203">
        <v>46168.416666666664</v>
      </c>
      <c r="M691" s="203">
        <v>46168.422222222223</v>
      </c>
      <c r="N691" s="197" t="s">
        <v>2668</v>
      </c>
      <c r="O691" s="152" t="s">
        <v>214</v>
      </c>
      <c r="P691" s="90"/>
      <c r="Q691" s="140" t="s">
        <v>214</v>
      </c>
      <c r="R691" s="90"/>
      <c r="S691" s="140" t="s">
        <v>214</v>
      </c>
      <c r="T691" s="90"/>
      <c r="U691" s="140" t="s">
        <v>214</v>
      </c>
      <c r="V691" s="90"/>
      <c r="W691" s="140" t="s">
        <v>214</v>
      </c>
      <c r="X691" s="90"/>
      <c r="Y691" s="140" t="s">
        <v>215</v>
      </c>
      <c r="Z691" s="177" t="str">
        <f t="shared" si="37"/>
        <v>NC</v>
      </c>
      <c r="AA691" s="190" t="str">
        <f t="shared" si="36"/>
        <v>NÃO UTILIZOU O PDA</v>
      </c>
      <c r="AB691" s="90" t="s">
        <v>207</v>
      </c>
      <c r="AC691" s="156" t="s">
        <v>36</v>
      </c>
      <c r="AD691" s="145" t="str">
        <f t="shared" si="38"/>
        <v>SÃO PAULO</v>
      </c>
      <c r="AE691" s="92" t="s">
        <v>79</v>
      </c>
    </row>
    <row r="692" spans="1:31" ht="30" customHeight="1">
      <c r="A692" s="197" t="s">
        <v>198</v>
      </c>
      <c r="B692" s="274">
        <v>2622169901</v>
      </c>
      <c r="C692" s="197" t="s">
        <v>1923</v>
      </c>
      <c r="D692" s="197" t="s">
        <v>79</v>
      </c>
      <c r="E692" s="197" t="s">
        <v>35</v>
      </c>
      <c r="F692" s="197" t="s">
        <v>1940</v>
      </c>
      <c r="G692" s="197">
        <v>759</v>
      </c>
      <c r="H692" s="197"/>
      <c r="I692" s="197" t="s">
        <v>1407</v>
      </c>
      <c r="J692" s="197" t="s">
        <v>1915</v>
      </c>
      <c r="K692" s="197" t="s">
        <v>2688</v>
      </c>
      <c r="L692" s="203">
        <v>46168.423611111109</v>
      </c>
      <c r="M692" s="203">
        <v>46168.424305555556</v>
      </c>
      <c r="N692" s="197" t="s">
        <v>2668</v>
      </c>
      <c r="O692" s="152" t="s">
        <v>214</v>
      </c>
      <c r="P692" s="90"/>
      <c r="Q692" s="140" t="s">
        <v>214</v>
      </c>
      <c r="R692" s="90"/>
      <c r="S692" s="140" t="s">
        <v>214</v>
      </c>
      <c r="T692" s="90"/>
      <c r="U692" s="140" t="s">
        <v>214</v>
      </c>
      <c r="V692" s="90"/>
      <c r="W692" s="140" t="s">
        <v>214</v>
      </c>
      <c r="X692" s="90"/>
      <c r="Y692" s="140" t="s">
        <v>215</v>
      </c>
      <c r="Z692" s="177" t="str">
        <f t="shared" si="37"/>
        <v>NC</v>
      </c>
      <c r="AA692" s="190" t="str">
        <f t="shared" si="36"/>
        <v>NÃO UTILIZOU O PDA</v>
      </c>
      <c r="AB692" s="90" t="s">
        <v>207</v>
      </c>
      <c r="AC692" s="156" t="s">
        <v>36</v>
      </c>
      <c r="AD692" s="145" t="str">
        <f t="shared" si="38"/>
        <v>SÃO PAULO</v>
      </c>
      <c r="AE692" s="92" t="s">
        <v>79</v>
      </c>
    </row>
    <row r="693" spans="1:31" ht="30" customHeight="1">
      <c r="A693" s="197" t="s">
        <v>198</v>
      </c>
      <c r="B693" s="274">
        <v>2622173794</v>
      </c>
      <c r="C693" s="197" t="s">
        <v>1923</v>
      </c>
      <c r="D693" s="197" t="s">
        <v>79</v>
      </c>
      <c r="E693" s="197" t="s">
        <v>35</v>
      </c>
      <c r="F693" s="197" t="s">
        <v>2805</v>
      </c>
      <c r="G693" s="197">
        <v>307</v>
      </c>
      <c r="H693" s="197" t="s">
        <v>257</v>
      </c>
      <c r="I693" s="197" t="s">
        <v>536</v>
      </c>
      <c r="J693" s="197" t="s">
        <v>1915</v>
      </c>
      <c r="K693" s="197" t="s">
        <v>2458</v>
      </c>
      <c r="L693" s="203">
        <v>46168.42083333333</v>
      </c>
      <c r="M693" s="203">
        <v>46168.422222222223</v>
      </c>
      <c r="N693" s="197" t="s">
        <v>1919</v>
      </c>
      <c r="O693" s="152" t="s">
        <v>214</v>
      </c>
      <c r="P693" s="90"/>
      <c r="Q693" s="140" t="s">
        <v>214</v>
      </c>
      <c r="R693" s="90"/>
      <c r="S693" s="140" t="s">
        <v>214</v>
      </c>
      <c r="T693" s="90"/>
      <c r="U693" s="140" t="s">
        <v>214</v>
      </c>
      <c r="V693" s="90"/>
      <c r="W693" s="140" t="s">
        <v>214</v>
      </c>
      <c r="X693" s="90"/>
      <c r="Y693" s="140" t="s">
        <v>215</v>
      </c>
      <c r="Z693" s="177" t="str">
        <f t="shared" si="37"/>
        <v>NC</v>
      </c>
      <c r="AA693" s="190" t="str">
        <f t="shared" si="36"/>
        <v>NÃO UTILIZOU O PDA</v>
      </c>
      <c r="AB693" s="90" t="s">
        <v>207</v>
      </c>
      <c r="AC693" s="156" t="s">
        <v>36</v>
      </c>
      <c r="AD693" s="145" t="str">
        <f t="shared" si="38"/>
        <v>SÃO PAULO</v>
      </c>
      <c r="AE693" s="92" t="s">
        <v>79</v>
      </c>
    </row>
    <row r="694" spans="1:31" ht="30" customHeight="1">
      <c r="A694" s="197" t="s">
        <v>198</v>
      </c>
      <c r="B694" s="274">
        <v>2622170416</v>
      </c>
      <c r="C694" s="197" t="s">
        <v>1923</v>
      </c>
      <c r="D694" s="197" t="s">
        <v>79</v>
      </c>
      <c r="E694" s="197" t="s">
        <v>35</v>
      </c>
      <c r="F694" s="197" t="s">
        <v>2244</v>
      </c>
      <c r="G694" s="197">
        <v>36</v>
      </c>
      <c r="H694" s="197" t="s">
        <v>255</v>
      </c>
      <c r="I694" s="197" t="s">
        <v>571</v>
      </c>
      <c r="J694" s="197" t="s">
        <v>1915</v>
      </c>
      <c r="K694" s="197" t="s">
        <v>2688</v>
      </c>
      <c r="L694" s="203">
        <v>46168.42291666667</v>
      </c>
      <c r="M694" s="203">
        <v>46168.42291666667</v>
      </c>
      <c r="N694" s="197" t="s">
        <v>2668</v>
      </c>
      <c r="O694" s="152" t="s">
        <v>207</v>
      </c>
      <c r="P694" s="90"/>
      <c r="Q694" s="140" t="s">
        <v>214</v>
      </c>
      <c r="R694" s="90"/>
      <c r="S694" s="140" t="s">
        <v>214</v>
      </c>
      <c r="T694" s="90"/>
      <c r="U694" s="140" t="s">
        <v>214</v>
      </c>
      <c r="V694" s="90"/>
      <c r="W694" s="140" t="s">
        <v>214</v>
      </c>
      <c r="X694" s="90"/>
      <c r="Y694" s="140" t="s">
        <v>215</v>
      </c>
      <c r="Z694" s="177" t="str">
        <f t="shared" si="37"/>
        <v>NC</v>
      </c>
      <c r="AA694" s="190" t="str">
        <f t="shared" si="36"/>
        <v>NÃO UTILIZOU O PDA</v>
      </c>
      <c r="AB694" s="90" t="s">
        <v>207</v>
      </c>
      <c r="AC694" s="156" t="s">
        <v>36</v>
      </c>
      <c r="AD694" s="145" t="str">
        <f t="shared" si="38"/>
        <v>SÃO PAULO</v>
      </c>
      <c r="AE694" s="92" t="s">
        <v>79</v>
      </c>
    </row>
    <row r="695" spans="1:31" ht="30" customHeight="1">
      <c r="A695" s="197" t="s">
        <v>198</v>
      </c>
      <c r="B695" s="274">
        <v>2622169956</v>
      </c>
      <c r="C695" s="197" t="s">
        <v>1923</v>
      </c>
      <c r="D695" s="197" t="s">
        <v>79</v>
      </c>
      <c r="E695" s="197" t="s">
        <v>35</v>
      </c>
      <c r="F695" s="197" t="s">
        <v>1027</v>
      </c>
      <c r="G695" s="197">
        <v>575</v>
      </c>
      <c r="H695" s="197" t="s">
        <v>208</v>
      </c>
      <c r="I695" s="197" t="s">
        <v>355</v>
      </c>
      <c r="J695" s="197" t="s">
        <v>1915</v>
      </c>
      <c r="K695" s="197" t="s">
        <v>2060</v>
      </c>
      <c r="L695" s="203">
        <v>46168.655555555553</v>
      </c>
      <c r="M695" s="203">
        <v>46168.65625</v>
      </c>
      <c r="N695" s="197" t="s">
        <v>1925</v>
      </c>
      <c r="O695" s="152" t="s">
        <v>214</v>
      </c>
      <c r="P695" s="90"/>
      <c r="Q695" s="140" t="s">
        <v>214</v>
      </c>
      <c r="R695" s="90"/>
      <c r="S695" s="140" t="s">
        <v>214</v>
      </c>
      <c r="T695" s="90"/>
      <c r="U695" s="140" t="s">
        <v>214</v>
      </c>
      <c r="V695" s="90"/>
      <c r="W695" s="140" t="s">
        <v>214</v>
      </c>
      <c r="X695" s="90"/>
      <c r="Y695" s="140" t="s">
        <v>215</v>
      </c>
      <c r="Z695" s="177" t="str">
        <f t="shared" si="37"/>
        <v>NC</v>
      </c>
      <c r="AA695" s="190" t="str">
        <f t="shared" si="36"/>
        <v>NÃO UTILIZOU O PDA</v>
      </c>
      <c r="AB695" s="90" t="s">
        <v>207</v>
      </c>
      <c r="AC695" s="156" t="s">
        <v>36</v>
      </c>
      <c r="AD695" s="145" t="str">
        <f t="shared" si="38"/>
        <v>SÃO PAULO</v>
      </c>
      <c r="AE695" s="92" t="s">
        <v>79</v>
      </c>
    </row>
    <row r="696" spans="1:31" ht="30" customHeight="1">
      <c r="A696" s="197" t="s">
        <v>198</v>
      </c>
      <c r="B696" s="274">
        <v>2622169308</v>
      </c>
      <c r="C696" s="197" t="s">
        <v>1923</v>
      </c>
      <c r="D696" s="197" t="s">
        <v>79</v>
      </c>
      <c r="E696" s="197" t="s">
        <v>35</v>
      </c>
      <c r="F696" s="197" t="s">
        <v>668</v>
      </c>
      <c r="G696" s="197">
        <v>203</v>
      </c>
      <c r="H696" s="197" t="s">
        <v>347</v>
      </c>
      <c r="I696" s="197" t="s">
        <v>355</v>
      </c>
      <c r="J696" s="197" t="s">
        <v>1915</v>
      </c>
      <c r="K696" s="197" t="s">
        <v>2060</v>
      </c>
      <c r="L696" s="203">
        <v>46168.654166666667</v>
      </c>
      <c r="M696" s="203">
        <v>46168.654861111114</v>
      </c>
      <c r="N696" s="197" t="s">
        <v>1925</v>
      </c>
      <c r="O696" s="152" t="s">
        <v>214</v>
      </c>
      <c r="P696" s="90"/>
      <c r="Q696" s="140" t="s">
        <v>214</v>
      </c>
      <c r="R696" s="90"/>
      <c r="S696" s="140" t="s">
        <v>214</v>
      </c>
      <c r="T696" s="90"/>
      <c r="U696" s="140" t="s">
        <v>214</v>
      </c>
      <c r="V696" s="90"/>
      <c r="W696" s="140" t="s">
        <v>214</v>
      </c>
      <c r="X696" s="90"/>
      <c r="Y696" s="140" t="s">
        <v>215</v>
      </c>
      <c r="Z696" s="177" t="str">
        <f t="shared" si="37"/>
        <v>NC</v>
      </c>
      <c r="AA696" s="190" t="str">
        <f t="shared" si="36"/>
        <v>NÃO UTILIZOU O PDA</v>
      </c>
      <c r="AB696" s="90" t="s">
        <v>207</v>
      </c>
      <c r="AC696" s="156" t="s">
        <v>36</v>
      </c>
      <c r="AD696" s="145" t="str">
        <f t="shared" si="38"/>
        <v>SÃO PAULO</v>
      </c>
      <c r="AE696" s="92" t="s">
        <v>79</v>
      </c>
    </row>
    <row r="697" spans="1:31" ht="30" customHeight="1">
      <c r="A697" s="197" t="s">
        <v>198</v>
      </c>
      <c r="B697" s="274">
        <v>2622170702</v>
      </c>
      <c r="C697" s="197" t="s">
        <v>1923</v>
      </c>
      <c r="D697" s="197" t="s">
        <v>79</v>
      </c>
      <c r="E697" s="197" t="s">
        <v>35</v>
      </c>
      <c r="F697" s="197" t="s">
        <v>1027</v>
      </c>
      <c r="G697" s="197">
        <v>579</v>
      </c>
      <c r="H697" s="197" t="s">
        <v>205</v>
      </c>
      <c r="I697" s="197" t="s">
        <v>355</v>
      </c>
      <c r="J697" s="197" t="s">
        <v>1915</v>
      </c>
      <c r="K697" s="197" t="s">
        <v>2060</v>
      </c>
      <c r="L697" s="203">
        <v>46168.666666666664</v>
      </c>
      <c r="M697" s="203">
        <v>46168.667361111111</v>
      </c>
      <c r="N697" s="197" t="s">
        <v>1925</v>
      </c>
      <c r="O697" s="152" t="s">
        <v>214</v>
      </c>
      <c r="P697" s="90"/>
      <c r="Q697" s="140" t="s">
        <v>214</v>
      </c>
      <c r="R697" s="90"/>
      <c r="S697" s="140" t="s">
        <v>214</v>
      </c>
      <c r="T697" s="90"/>
      <c r="U697" s="140" t="s">
        <v>214</v>
      </c>
      <c r="V697" s="90"/>
      <c r="W697" s="140" t="s">
        <v>214</v>
      </c>
      <c r="X697" s="90"/>
      <c r="Y697" s="140" t="s">
        <v>215</v>
      </c>
      <c r="Z697" s="177" t="str">
        <f t="shared" si="37"/>
        <v>NC</v>
      </c>
      <c r="AA697" s="190" t="str">
        <f t="shared" si="36"/>
        <v>NÃO UTILIZOU O PDA</v>
      </c>
      <c r="AB697" s="90" t="s">
        <v>207</v>
      </c>
      <c r="AC697" s="156" t="s">
        <v>36</v>
      </c>
      <c r="AD697" s="145" t="str">
        <f t="shared" si="38"/>
        <v>SÃO PAULO</v>
      </c>
      <c r="AE697" s="92" t="s">
        <v>79</v>
      </c>
    </row>
    <row r="698" spans="1:31" ht="30" customHeight="1">
      <c r="A698" s="197" t="s">
        <v>198</v>
      </c>
      <c r="B698" s="274">
        <v>2622169129</v>
      </c>
      <c r="C698" s="197" t="s">
        <v>1923</v>
      </c>
      <c r="D698" s="197" t="s">
        <v>79</v>
      </c>
      <c r="E698" s="197" t="s">
        <v>35</v>
      </c>
      <c r="F698" s="197" t="s">
        <v>387</v>
      </c>
      <c r="G698" s="197">
        <v>266</v>
      </c>
      <c r="H698" s="197" t="s">
        <v>205</v>
      </c>
      <c r="I698" s="197" t="s">
        <v>277</v>
      </c>
      <c r="J698" s="197" t="s">
        <v>1915</v>
      </c>
      <c r="K698" s="197" t="s">
        <v>2060</v>
      </c>
      <c r="L698" s="203">
        <v>46168.652083333334</v>
      </c>
      <c r="M698" s="203">
        <v>46168.652777777781</v>
      </c>
      <c r="N698" s="197" t="s">
        <v>1925</v>
      </c>
      <c r="O698" s="152" t="s">
        <v>214</v>
      </c>
      <c r="P698" s="90"/>
      <c r="Q698" s="140" t="s">
        <v>214</v>
      </c>
      <c r="R698" s="90"/>
      <c r="S698" s="140" t="s">
        <v>214</v>
      </c>
      <c r="T698" s="90"/>
      <c r="U698" s="140" t="s">
        <v>214</v>
      </c>
      <c r="V698" s="90"/>
      <c r="W698" s="140" t="s">
        <v>214</v>
      </c>
      <c r="X698" s="90"/>
      <c r="Y698" s="140" t="s">
        <v>215</v>
      </c>
      <c r="Z698" s="177" t="str">
        <f t="shared" si="37"/>
        <v>NC</v>
      </c>
      <c r="AA698" s="190" t="str">
        <f t="shared" si="36"/>
        <v>NÃO UTILIZOU O PDA</v>
      </c>
      <c r="AB698" s="90" t="s">
        <v>207</v>
      </c>
      <c r="AC698" s="156" t="s">
        <v>36</v>
      </c>
      <c r="AD698" s="145" t="str">
        <f t="shared" si="38"/>
        <v>SÃO PAULO</v>
      </c>
      <c r="AE698" s="92" t="s">
        <v>79</v>
      </c>
    </row>
    <row r="699" spans="1:31" ht="30" customHeight="1">
      <c r="A699" s="197" t="s">
        <v>198</v>
      </c>
      <c r="B699" s="274">
        <v>2622170896</v>
      </c>
      <c r="C699" s="197" t="s">
        <v>1923</v>
      </c>
      <c r="D699" s="197" t="s">
        <v>79</v>
      </c>
      <c r="E699" s="197" t="s">
        <v>35</v>
      </c>
      <c r="F699" s="197" t="s">
        <v>2672</v>
      </c>
      <c r="G699" s="197">
        <v>1311</v>
      </c>
      <c r="H699" s="197" t="s">
        <v>200</v>
      </c>
      <c r="I699" s="197" t="s">
        <v>287</v>
      </c>
      <c r="J699" s="197" t="s">
        <v>1915</v>
      </c>
      <c r="K699" s="197" t="s">
        <v>2060</v>
      </c>
      <c r="L699" s="203">
        <v>46168.667361111111</v>
      </c>
      <c r="M699" s="203">
        <v>46168.668055555558</v>
      </c>
      <c r="N699" s="197" t="s">
        <v>1925</v>
      </c>
      <c r="O699" s="152" t="s">
        <v>214</v>
      </c>
      <c r="P699" s="90"/>
      <c r="Q699" s="140" t="s">
        <v>214</v>
      </c>
      <c r="R699" s="90"/>
      <c r="S699" s="140" t="s">
        <v>214</v>
      </c>
      <c r="T699" s="90"/>
      <c r="U699" s="140" t="s">
        <v>214</v>
      </c>
      <c r="V699" s="90"/>
      <c r="W699" s="140" t="s">
        <v>214</v>
      </c>
      <c r="X699" s="90"/>
      <c r="Y699" s="140" t="s">
        <v>215</v>
      </c>
      <c r="Z699" s="177" t="str">
        <f t="shared" si="37"/>
        <v>NC</v>
      </c>
      <c r="AA699" s="190" t="str">
        <f t="shared" si="36"/>
        <v>NÃO UTILIZOU O PDA</v>
      </c>
      <c r="AB699" s="90" t="s">
        <v>207</v>
      </c>
      <c r="AC699" s="156" t="s">
        <v>36</v>
      </c>
      <c r="AD699" s="145" t="str">
        <f t="shared" si="38"/>
        <v>SÃO PAULO</v>
      </c>
      <c r="AE699" s="92" t="s">
        <v>79</v>
      </c>
    </row>
    <row r="700" spans="1:31" ht="30" customHeight="1">
      <c r="A700" s="197" t="s">
        <v>198</v>
      </c>
      <c r="B700" s="274">
        <v>2622179623</v>
      </c>
      <c r="C700" s="197" t="s">
        <v>1923</v>
      </c>
      <c r="D700" s="197" t="s">
        <v>79</v>
      </c>
      <c r="E700" s="197" t="s">
        <v>35</v>
      </c>
      <c r="F700" s="197" t="s">
        <v>204</v>
      </c>
      <c r="G700" s="197">
        <v>2340</v>
      </c>
      <c r="H700" s="197"/>
      <c r="I700" s="197" t="s">
        <v>209</v>
      </c>
      <c r="J700" s="197" t="s">
        <v>1915</v>
      </c>
      <c r="K700" s="197"/>
      <c r="L700" s="203">
        <v>46168.714583333334</v>
      </c>
      <c r="M700" s="203">
        <v>46168.71597222222</v>
      </c>
      <c r="N700" s="197" t="s">
        <v>295</v>
      </c>
      <c r="O700" s="152" t="s">
        <v>214</v>
      </c>
      <c r="P700" s="90"/>
      <c r="Q700" s="140" t="s">
        <v>214</v>
      </c>
      <c r="R700" s="90"/>
      <c r="S700" s="140" t="s">
        <v>214</v>
      </c>
      <c r="T700" s="90"/>
      <c r="U700" s="140" t="s">
        <v>214</v>
      </c>
      <c r="V700" s="90"/>
      <c r="W700" s="140" t="s">
        <v>214</v>
      </c>
      <c r="X700" s="90"/>
      <c r="Y700" s="140" t="s">
        <v>215</v>
      </c>
      <c r="Z700" s="177" t="str">
        <f t="shared" si="37"/>
        <v>NC</v>
      </c>
      <c r="AA700" s="190" t="str">
        <f t="shared" si="36"/>
        <v>NÃO UTILIZOU O PDA</v>
      </c>
      <c r="AB700" s="90" t="s">
        <v>207</v>
      </c>
      <c r="AC700" s="156" t="s">
        <v>36</v>
      </c>
      <c r="AD700" s="145" t="str">
        <f t="shared" si="38"/>
        <v>SÃO PAULO</v>
      </c>
      <c r="AE700" s="92" t="s">
        <v>79</v>
      </c>
    </row>
    <row r="701" spans="1:31" ht="30" customHeight="1">
      <c r="A701" s="197" t="s">
        <v>198</v>
      </c>
      <c r="B701" s="274">
        <v>2622182108</v>
      </c>
      <c r="C701" s="197" t="s">
        <v>1923</v>
      </c>
      <c r="D701" s="197" t="s">
        <v>79</v>
      </c>
      <c r="E701" s="197" t="s">
        <v>35</v>
      </c>
      <c r="F701" s="197" t="s">
        <v>204</v>
      </c>
      <c r="G701" s="197">
        <v>3460</v>
      </c>
      <c r="H701" s="197" t="s">
        <v>205</v>
      </c>
      <c r="I701" s="197" t="s">
        <v>36</v>
      </c>
      <c r="J701" s="197" t="s">
        <v>1915</v>
      </c>
      <c r="K701" s="197" t="s">
        <v>200</v>
      </c>
      <c r="L701" s="203">
        <v>46168.44027777778</v>
      </c>
      <c r="M701" s="203">
        <v>46168.442361111112</v>
      </c>
      <c r="N701" s="197" t="s">
        <v>390</v>
      </c>
      <c r="O701" s="152" t="s">
        <v>214</v>
      </c>
      <c r="P701" s="90"/>
      <c r="Q701" s="140" t="s">
        <v>214</v>
      </c>
      <c r="R701" s="90"/>
      <c r="S701" s="140" t="s">
        <v>214</v>
      </c>
      <c r="T701" s="90"/>
      <c r="U701" s="140" t="s">
        <v>214</v>
      </c>
      <c r="V701" s="90"/>
      <c r="W701" s="140" t="s">
        <v>214</v>
      </c>
      <c r="X701" s="90"/>
      <c r="Y701" s="140" t="s">
        <v>215</v>
      </c>
      <c r="Z701" s="177" t="str">
        <f t="shared" si="37"/>
        <v>NC</v>
      </c>
      <c r="AA701" s="190" t="str">
        <f t="shared" si="36"/>
        <v>NÃO UTILIZOU O PDA</v>
      </c>
      <c r="AB701" s="90" t="s">
        <v>207</v>
      </c>
      <c r="AC701" s="156" t="s">
        <v>36</v>
      </c>
      <c r="AD701" s="145" t="str">
        <f t="shared" si="38"/>
        <v>SÃO PAULO</v>
      </c>
      <c r="AE701" s="92" t="s">
        <v>79</v>
      </c>
    </row>
    <row r="702" spans="1:31" ht="30" customHeight="1">
      <c r="A702" s="197" t="s">
        <v>198</v>
      </c>
      <c r="B702" s="274">
        <v>2622182516</v>
      </c>
      <c r="C702" s="197" t="s">
        <v>1923</v>
      </c>
      <c r="D702" s="197" t="s">
        <v>79</v>
      </c>
      <c r="E702" s="197" t="s">
        <v>35</v>
      </c>
      <c r="F702" s="197" t="s">
        <v>2806</v>
      </c>
      <c r="G702" s="197">
        <v>131</v>
      </c>
      <c r="H702" s="197"/>
      <c r="I702" s="197" t="s">
        <v>348</v>
      </c>
      <c r="J702" s="197" t="s">
        <v>1915</v>
      </c>
      <c r="K702" s="197" t="s">
        <v>2688</v>
      </c>
      <c r="L702" s="203">
        <v>46168.472222222219</v>
      </c>
      <c r="M702" s="203">
        <v>46168.472916666666</v>
      </c>
      <c r="N702" s="197" t="s">
        <v>2668</v>
      </c>
      <c r="O702" s="152" t="s">
        <v>214</v>
      </c>
      <c r="P702" s="90"/>
      <c r="Q702" s="140" t="s">
        <v>214</v>
      </c>
      <c r="R702" s="90"/>
      <c r="S702" s="140" t="s">
        <v>214</v>
      </c>
      <c r="T702" s="90"/>
      <c r="U702" s="140" t="s">
        <v>214</v>
      </c>
      <c r="V702" s="90"/>
      <c r="W702" s="140" t="s">
        <v>214</v>
      </c>
      <c r="X702" s="90"/>
      <c r="Y702" s="140" t="s">
        <v>215</v>
      </c>
      <c r="Z702" s="177" t="str">
        <f t="shared" si="37"/>
        <v>NC</v>
      </c>
      <c r="AA702" s="190" t="str">
        <f t="shared" si="36"/>
        <v>NÃO UTILIZOU O PDA</v>
      </c>
      <c r="AB702" s="90" t="s">
        <v>207</v>
      </c>
      <c r="AC702" s="156" t="s">
        <v>36</v>
      </c>
      <c r="AD702" s="145" t="str">
        <f t="shared" si="38"/>
        <v>SÃO PAULO</v>
      </c>
      <c r="AE702" s="92" t="s">
        <v>79</v>
      </c>
    </row>
    <row r="703" spans="1:31" ht="30" customHeight="1">
      <c r="A703" s="285" t="s">
        <v>198</v>
      </c>
      <c r="B703" s="307">
        <v>2622183365</v>
      </c>
      <c r="C703" s="285" t="s">
        <v>1923</v>
      </c>
      <c r="D703" s="285" t="s">
        <v>79</v>
      </c>
      <c r="E703" s="285" t="s">
        <v>35</v>
      </c>
      <c r="F703" s="285" t="s">
        <v>2247</v>
      </c>
      <c r="G703" s="285">
        <v>94</v>
      </c>
      <c r="H703" s="285" t="s">
        <v>208</v>
      </c>
      <c r="I703" s="285" t="s">
        <v>241</v>
      </c>
      <c r="J703" s="285" t="s">
        <v>1915</v>
      </c>
      <c r="K703" s="285" t="s">
        <v>2688</v>
      </c>
      <c r="L703" s="286">
        <v>46168.470138888886</v>
      </c>
      <c r="M703" s="286">
        <v>46168.47152777778</v>
      </c>
      <c r="N703" s="285" t="s">
        <v>2668</v>
      </c>
      <c r="O703" s="152" t="s">
        <v>214</v>
      </c>
      <c r="P703" s="90"/>
      <c r="Q703" s="140" t="s">
        <v>214</v>
      </c>
      <c r="R703" s="90"/>
      <c r="S703" s="140" t="s">
        <v>214</v>
      </c>
      <c r="T703" s="90"/>
      <c r="U703" s="140" t="s">
        <v>214</v>
      </c>
      <c r="V703" s="90"/>
      <c r="W703" s="140" t="s">
        <v>214</v>
      </c>
      <c r="X703" s="90"/>
      <c r="Y703" s="140" t="s">
        <v>215</v>
      </c>
      <c r="Z703" s="177" t="str">
        <f t="shared" si="37"/>
        <v>NC</v>
      </c>
      <c r="AA703" s="190" t="str">
        <f t="shared" si="36"/>
        <v>NÃO UTILIZOU O PDA</v>
      </c>
      <c r="AB703" s="90" t="s">
        <v>207</v>
      </c>
      <c r="AC703" s="156" t="s">
        <v>36</v>
      </c>
      <c r="AD703" s="145" t="str">
        <f t="shared" si="38"/>
        <v>SÃO PAULO</v>
      </c>
      <c r="AE703" s="92" t="s">
        <v>79</v>
      </c>
    </row>
    <row r="704" spans="1:31" ht="30" customHeight="1">
      <c r="A704" s="197" t="s">
        <v>198</v>
      </c>
      <c r="B704" s="308">
        <v>2622185062</v>
      </c>
      <c r="C704" s="197" t="s">
        <v>1923</v>
      </c>
      <c r="D704" s="197" t="s">
        <v>79</v>
      </c>
      <c r="E704" s="197" t="s">
        <v>35</v>
      </c>
      <c r="F704" s="197" t="s">
        <v>2733</v>
      </c>
      <c r="G704" s="197">
        <v>199</v>
      </c>
      <c r="H704" s="197" t="s">
        <v>200</v>
      </c>
      <c r="I704" s="197" t="s">
        <v>658</v>
      </c>
      <c r="J704" s="197" t="s">
        <v>1915</v>
      </c>
      <c r="K704" s="197" t="s">
        <v>200</v>
      </c>
      <c r="L704" s="203">
        <v>46169.293055555558</v>
      </c>
      <c r="M704" s="203">
        <v>46169.295138888891</v>
      </c>
      <c r="N704" s="197" t="s">
        <v>1925</v>
      </c>
      <c r="O704" s="152" t="s">
        <v>77</v>
      </c>
      <c r="P704" s="90"/>
      <c r="Q704" s="140" t="s">
        <v>77</v>
      </c>
      <c r="R704" s="90"/>
      <c r="S704" s="140" t="s">
        <v>77</v>
      </c>
      <c r="T704" s="90"/>
      <c r="U704" s="140" t="s">
        <v>77</v>
      </c>
      <c r="V704" s="90"/>
      <c r="W704" s="140" t="s">
        <v>77</v>
      </c>
      <c r="X704" s="90"/>
      <c r="Y704" s="140" t="s">
        <v>77</v>
      </c>
      <c r="Z704" s="177" t="str">
        <f t="shared" si="37"/>
        <v>NA</v>
      </c>
      <c r="AA704" s="190" t="str">
        <f t="shared" si="36"/>
        <v>NÃO AVALIADO POR FALHA DE SINCRONISMO</v>
      </c>
      <c r="AB704" s="90" t="s">
        <v>207</v>
      </c>
      <c r="AC704" s="156" t="s">
        <v>36</v>
      </c>
      <c r="AD704" s="145" t="str">
        <f t="shared" si="38"/>
        <v>SÃO PAULO</v>
      </c>
      <c r="AE704" s="92" t="s">
        <v>79</v>
      </c>
    </row>
    <row r="705" spans="1:31" ht="30" customHeight="1">
      <c r="A705" s="197" t="s">
        <v>198</v>
      </c>
      <c r="B705" s="308">
        <v>2622130723</v>
      </c>
      <c r="C705" s="197" t="s">
        <v>150</v>
      </c>
      <c r="D705" s="197" t="s">
        <v>140</v>
      </c>
      <c r="E705" s="197" t="s">
        <v>35</v>
      </c>
      <c r="F705" s="197" t="s">
        <v>1478</v>
      </c>
      <c r="G705" s="197">
        <v>385</v>
      </c>
      <c r="H705" s="197" t="s">
        <v>257</v>
      </c>
      <c r="I705" s="197" t="s">
        <v>1480</v>
      </c>
      <c r="J705" s="197" t="s">
        <v>2051</v>
      </c>
      <c r="K705" s="197"/>
      <c r="L705" s="203">
        <v>46169.243750000001</v>
      </c>
      <c r="M705" s="203">
        <v>46169.245833333334</v>
      </c>
      <c r="N705" s="197" t="s">
        <v>251</v>
      </c>
      <c r="O705" s="152" t="s">
        <v>207</v>
      </c>
      <c r="P705" s="90"/>
      <c r="Q705" s="140" t="s">
        <v>207</v>
      </c>
      <c r="R705" s="90"/>
      <c r="S705" s="140" t="s">
        <v>207</v>
      </c>
      <c r="T705" s="90"/>
      <c r="U705" s="140" t="s">
        <v>207</v>
      </c>
      <c r="V705" s="90"/>
      <c r="W705" s="140" t="s">
        <v>214</v>
      </c>
      <c r="X705" s="90"/>
      <c r="Y705" s="140" t="s">
        <v>207</v>
      </c>
      <c r="Z705" s="177" t="str">
        <f t="shared" si="37"/>
        <v>NC</v>
      </c>
      <c r="AA705" s="190" t="str">
        <f t="shared" si="36"/>
        <v>UTILIZOU O PDA CORRETAMENTE. NÃO HÁ FOTOS DE TODAS AS ETAPAS</v>
      </c>
      <c r="AB705" s="90" t="s">
        <v>207</v>
      </c>
      <c r="AC705" s="156" t="s">
        <v>36</v>
      </c>
      <c r="AD705" s="145" t="str">
        <f t="shared" si="38"/>
        <v>SÃO PAULO</v>
      </c>
      <c r="AE705" s="92" t="s">
        <v>79</v>
      </c>
    </row>
    <row r="706" spans="1:31" ht="30" customHeight="1">
      <c r="A706" s="197" t="s">
        <v>198</v>
      </c>
      <c r="B706" s="308">
        <v>2622122440</v>
      </c>
      <c r="C706" s="197" t="s">
        <v>150</v>
      </c>
      <c r="D706" s="197" t="s">
        <v>140</v>
      </c>
      <c r="E706" s="197" t="s">
        <v>35</v>
      </c>
      <c r="F706" s="197" t="s">
        <v>1478</v>
      </c>
      <c r="G706" s="197">
        <v>385</v>
      </c>
      <c r="H706" s="197" t="s">
        <v>205</v>
      </c>
      <c r="I706" s="197" t="s">
        <v>1480</v>
      </c>
      <c r="J706" s="197" t="s">
        <v>2051</v>
      </c>
      <c r="K706" s="197" t="s">
        <v>200</v>
      </c>
      <c r="L706" s="203">
        <v>46169.239583333336</v>
      </c>
      <c r="M706" s="203">
        <v>46169.240972222222</v>
      </c>
      <c r="N706" s="197" t="s">
        <v>251</v>
      </c>
      <c r="O706" s="152" t="s">
        <v>207</v>
      </c>
      <c r="P706" s="90"/>
      <c r="Q706" s="140" t="s">
        <v>207</v>
      </c>
      <c r="R706" s="90"/>
      <c r="S706" s="140" t="s">
        <v>207</v>
      </c>
      <c r="T706" s="90"/>
      <c r="U706" s="140" t="s">
        <v>207</v>
      </c>
      <c r="V706" s="90"/>
      <c r="W706" s="140" t="s">
        <v>214</v>
      </c>
      <c r="X706" s="90"/>
      <c r="Y706" s="140" t="s">
        <v>207</v>
      </c>
      <c r="Z706" s="177" t="str">
        <f t="shared" si="37"/>
        <v>NC</v>
      </c>
      <c r="AA706" s="190" t="str">
        <f t="shared" ref="AA706:AA769" si="39">IF(AND(Y706="C",Z706="C"),"UTILIZOU O PDA CORRETAMENTE",IF(AND(Y706="C",Z706="NC"),"UTILIZOU O PDA CORRETAMENTE. NÃO HÁ FOTOS DE TODAS AS ETAPAS",IF(AND(Y706="NC",Z706="NC"),"NÃO UTILIZOU O PDA",IF(AND(Y706="NA",Z706="NA"),"NÃO AVALIADO POR FALHA DE SINCRONISMO"))))</f>
        <v>UTILIZOU O PDA CORRETAMENTE. NÃO HÁ FOTOS DE TODAS AS ETAPAS</v>
      </c>
      <c r="AB706" s="90" t="s">
        <v>207</v>
      </c>
      <c r="AC706" s="156" t="s">
        <v>36</v>
      </c>
      <c r="AD706" s="145" t="str">
        <f t="shared" si="38"/>
        <v>SÃO PAULO</v>
      </c>
      <c r="AE706" s="92" t="s">
        <v>79</v>
      </c>
    </row>
    <row r="707" spans="1:31" ht="30" customHeight="1">
      <c r="A707" s="197" t="s">
        <v>198</v>
      </c>
      <c r="B707" s="308">
        <v>2622130716</v>
      </c>
      <c r="C707" s="197" t="s">
        <v>150</v>
      </c>
      <c r="D707" s="197" t="s">
        <v>140</v>
      </c>
      <c r="E707" s="197" t="s">
        <v>35</v>
      </c>
      <c r="F707" s="197" t="s">
        <v>1478</v>
      </c>
      <c r="G707" s="197">
        <v>385</v>
      </c>
      <c r="H707" s="197" t="s">
        <v>208</v>
      </c>
      <c r="I707" s="197" t="s">
        <v>1480</v>
      </c>
      <c r="J707" s="197" t="s">
        <v>2051</v>
      </c>
      <c r="K707" s="197"/>
      <c r="L707" s="203">
        <v>46169.177777777775</v>
      </c>
      <c r="M707" s="203">
        <v>46169.238888888889</v>
      </c>
      <c r="N707" s="197" t="s">
        <v>251</v>
      </c>
      <c r="O707" s="152" t="s">
        <v>207</v>
      </c>
      <c r="P707" s="90"/>
      <c r="Q707" s="140" t="s">
        <v>207</v>
      </c>
      <c r="R707" s="90"/>
      <c r="S707" s="140" t="s">
        <v>207</v>
      </c>
      <c r="T707" s="90"/>
      <c r="U707" s="140" t="s">
        <v>207</v>
      </c>
      <c r="V707" s="90"/>
      <c r="W707" s="140" t="s">
        <v>214</v>
      </c>
      <c r="X707" s="90"/>
      <c r="Y707" s="140" t="s">
        <v>207</v>
      </c>
      <c r="Z707" s="177" t="str">
        <f t="shared" ref="Z707:Z770" si="40">IF(AND(O707="",Q707="",S707="",U707="",W707=""),"",IF(OR(AND(O707&lt;&gt;"NA",O707&lt;&gt;"C",O707&lt;&gt;"NC",O707&lt;&gt;"SF",O707&lt;&gt;""),AND(Q707&lt;&gt;"NA",Q707&lt;&gt;"C",Q707&lt;&gt;"NC",Q707&lt;&gt;"SF",Q707&lt;&gt;""),AND(S707&lt;&gt;"NA",S707&lt;&gt;"C",S707&lt;&gt;"NC",S707&lt;&gt;"SF",S707&lt;&gt;""),AND(U707&lt;&gt;"NA",U707&lt;&gt;"C",U707&lt;&gt;"NC",U707&lt;&gt;"SF",U707&lt;&gt;""),AND(W707&lt;&gt;"NA",W707&lt;&gt;"C",W707&lt;&gt;"NC",W707&lt;&gt;"SF",W707&lt;&gt;"")),"FALSO",IF(AND(O707="NA",Q707="NA",S707="NA",U707="NA",W707="NA"),"NA",IF(OR(O707="NC",Q707="NC",S707="NC",U707="NC",W707="NC",O707="SF",Q707="SF",S707="SF",U707="SF",W707="SF"),"NC",IF(OR(O707="C",Q707="C",S707="C",U707="C",W707="C"),"C","")))))</f>
        <v>NC</v>
      </c>
      <c r="AA707" s="190" t="str">
        <f t="shared" si="39"/>
        <v>UTILIZOU O PDA CORRETAMENTE. NÃO HÁ FOTOS DE TODAS AS ETAPAS</v>
      </c>
      <c r="AB707" s="90" t="s">
        <v>207</v>
      </c>
      <c r="AC707" s="156" t="s">
        <v>36</v>
      </c>
      <c r="AD707" s="145" t="str">
        <f t="shared" si="38"/>
        <v>SÃO PAULO</v>
      </c>
      <c r="AE707" s="92" t="s">
        <v>79</v>
      </c>
    </row>
    <row r="708" spans="1:31" ht="30" customHeight="1">
      <c r="A708" s="197" t="s">
        <v>198</v>
      </c>
      <c r="B708" s="308">
        <v>2622176422</v>
      </c>
      <c r="C708" s="197" t="s">
        <v>1923</v>
      </c>
      <c r="D708" s="197" t="s">
        <v>79</v>
      </c>
      <c r="E708" s="197" t="s">
        <v>35</v>
      </c>
      <c r="F708" s="197" t="s">
        <v>2807</v>
      </c>
      <c r="G708" s="197">
        <v>79</v>
      </c>
      <c r="H708" s="197" t="s">
        <v>257</v>
      </c>
      <c r="I708" s="197" t="s">
        <v>806</v>
      </c>
      <c r="J708" s="197" t="s">
        <v>1915</v>
      </c>
      <c r="K708" s="197" t="s">
        <v>200</v>
      </c>
      <c r="L708" s="203">
        <v>46169.35833333333</v>
      </c>
      <c r="M708" s="203">
        <v>46169.359027777777</v>
      </c>
      <c r="N708" s="197" t="s">
        <v>2668</v>
      </c>
      <c r="O708" s="152" t="s">
        <v>207</v>
      </c>
      <c r="P708" s="90"/>
      <c r="Q708" s="140" t="s">
        <v>214</v>
      </c>
      <c r="R708" s="90"/>
      <c r="S708" s="140" t="s">
        <v>207</v>
      </c>
      <c r="T708" s="90"/>
      <c r="U708" s="140" t="s">
        <v>207</v>
      </c>
      <c r="V708" s="90"/>
      <c r="W708" s="140" t="s">
        <v>207</v>
      </c>
      <c r="X708" s="90"/>
      <c r="Y708" s="140" t="s">
        <v>207</v>
      </c>
      <c r="Z708" s="177" t="str">
        <f t="shared" si="40"/>
        <v>NC</v>
      </c>
      <c r="AA708" s="190" t="str">
        <f t="shared" si="39"/>
        <v>UTILIZOU O PDA CORRETAMENTE. NÃO HÁ FOTOS DE TODAS AS ETAPAS</v>
      </c>
      <c r="AB708" s="90" t="s">
        <v>207</v>
      </c>
      <c r="AC708" s="156" t="s">
        <v>36</v>
      </c>
      <c r="AD708" s="145" t="str">
        <f t="shared" si="38"/>
        <v>SÃO PAULO</v>
      </c>
      <c r="AE708" s="92" t="s">
        <v>79</v>
      </c>
    </row>
    <row r="709" spans="1:31" ht="30" customHeight="1">
      <c r="A709" s="197" t="s">
        <v>198</v>
      </c>
      <c r="B709" s="308">
        <v>2622176939</v>
      </c>
      <c r="C709" s="197" t="s">
        <v>1923</v>
      </c>
      <c r="D709" s="197" t="s">
        <v>79</v>
      </c>
      <c r="E709" s="197" t="s">
        <v>35</v>
      </c>
      <c r="F709" s="197" t="s">
        <v>1475</v>
      </c>
      <c r="G709" s="197">
        <v>1</v>
      </c>
      <c r="H709" s="197"/>
      <c r="I709" s="197" t="s">
        <v>308</v>
      </c>
      <c r="J709" s="197" t="s">
        <v>1915</v>
      </c>
      <c r="K709" s="197"/>
      <c r="L709" s="203">
        <v>46169.176388888889</v>
      </c>
      <c r="M709" s="203">
        <v>46169.192361111112</v>
      </c>
      <c r="N709" s="197" t="s">
        <v>2668</v>
      </c>
      <c r="O709" s="152" t="s">
        <v>207</v>
      </c>
      <c r="P709" s="90"/>
      <c r="Q709" s="140" t="s">
        <v>214</v>
      </c>
      <c r="R709" s="90"/>
      <c r="S709" s="140" t="s">
        <v>207</v>
      </c>
      <c r="T709" s="90"/>
      <c r="U709" s="140" t="s">
        <v>207</v>
      </c>
      <c r="V709" s="90"/>
      <c r="W709" s="140" t="s">
        <v>214</v>
      </c>
      <c r="X709" s="90"/>
      <c r="Y709" s="140" t="s">
        <v>207</v>
      </c>
      <c r="Z709" s="177" t="str">
        <f t="shared" si="40"/>
        <v>NC</v>
      </c>
      <c r="AA709" s="190" t="str">
        <f t="shared" si="39"/>
        <v>UTILIZOU O PDA CORRETAMENTE. NÃO HÁ FOTOS DE TODAS AS ETAPAS</v>
      </c>
      <c r="AB709" s="90" t="s">
        <v>207</v>
      </c>
      <c r="AC709" s="156" t="s">
        <v>36</v>
      </c>
      <c r="AD709" s="145" t="str">
        <f t="shared" si="38"/>
        <v>SÃO PAULO</v>
      </c>
      <c r="AE709" s="92" t="s">
        <v>79</v>
      </c>
    </row>
    <row r="710" spans="1:31" ht="30" customHeight="1">
      <c r="A710" s="197" t="s">
        <v>198</v>
      </c>
      <c r="B710" s="308">
        <v>2622142008</v>
      </c>
      <c r="C710" s="197" t="s">
        <v>144</v>
      </c>
      <c r="D710" s="197" t="s">
        <v>140</v>
      </c>
      <c r="E710" s="197" t="s">
        <v>35</v>
      </c>
      <c r="F710" s="197" t="s">
        <v>2808</v>
      </c>
      <c r="G710" s="197">
        <v>374</v>
      </c>
      <c r="H710" s="197" t="s">
        <v>205</v>
      </c>
      <c r="I710" s="197" t="s">
        <v>536</v>
      </c>
      <c r="J710" s="197" t="s">
        <v>1954</v>
      </c>
      <c r="K710" s="197" t="s">
        <v>200</v>
      </c>
      <c r="L710" s="203">
        <v>46169.191666666666</v>
      </c>
      <c r="M710" s="203">
        <v>46169.191666666666</v>
      </c>
      <c r="N710" s="197" t="s">
        <v>1919</v>
      </c>
      <c r="O710" s="152" t="s">
        <v>207</v>
      </c>
      <c r="P710" s="90"/>
      <c r="Q710" s="140" t="s">
        <v>207</v>
      </c>
      <c r="R710" s="90"/>
      <c r="S710" s="140" t="s">
        <v>214</v>
      </c>
      <c r="T710" s="90"/>
      <c r="U710" s="140" t="s">
        <v>214</v>
      </c>
      <c r="V710" s="90"/>
      <c r="W710" s="140" t="s">
        <v>214</v>
      </c>
      <c r="X710" s="90"/>
      <c r="Y710" s="140" t="s">
        <v>207</v>
      </c>
      <c r="Z710" s="177" t="str">
        <f t="shared" si="40"/>
        <v>NC</v>
      </c>
      <c r="AA710" s="190" t="str">
        <f t="shared" si="39"/>
        <v>UTILIZOU O PDA CORRETAMENTE. NÃO HÁ FOTOS DE TODAS AS ETAPAS</v>
      </c>
      <c r="AB710" s="90" t="s">
        <v>207</v>
      </c>
      <c r="AC710" s="156" t="s">
        <v>36</v>
      </c>
      <c r="AD710" s="145" t="str">
        <f t="shared" si="38"/>
        <v>SÃO PAULO</v>
      </c>
      <c r="AE710" s="92" t="s">
        <v>79</v>
      </c>
    </row>
    <row r="711" spans="1:31" ht="30" customHeight="1">
      <c r="A711" s="197" t="s">
        <v>198</v>
      </c>
      <c r="B711" s="308">
        <v>2622170392</v>
      </c>
      <c r="C711" s="197" t="s">
        <v>1923</v>
      </c>
      <c r="D711" s="197" t="s">
        <v>79</v>
      </c>
      <c r="E711" s="197" t="s">
        <v>35</v>
      </c>
      <c r="F711" s="197" t="s">
        <v>2809</v>
      </c>
      <c r="G711" s="197">
        <v>142</v>
      </c>
      <c r="H711" s="197" t="s">
        <v>257</v>
      </c>
      <c r="I711" s="197" t="s">
        <v>460</v>
      </c>
      <c r="J711" s="197" t="s">
        <v>1915</v>
      </c>
      <c r="K711" s="197"/>
      <c r="L711" s="203">
        <v>46169.188194444447</v>
      </c>
      <c r="M711" s="203">
        <v>46169.188888888886</v>
      </c>
      <c r="N711" s="197" t="s">
        <v>1919</v>
      </c>
      <c r="O711" s="152" t="s">
        <v>207</v>
      </c>
      <c r="P711" s="90"/>
      <c r="Q711" s="140" t="s">
        <v>214</v>
      </c>
      <c r="R711" s="90"/>
      <c r="S711" s="140" t="s">
        <v>214</v>
      </c>
      <c r="T711" s="90"/>
      <c r="U711" s="140" t="s">
        <v>214</v>
      </c>
      <c r="V711" s="90"/>
      <c r="W711" s="140" t="s">
        <v>207</v>
      </c>
      <c r="X711" s="90"/>
      <c r="Y711" s="140" t="s">
        <v>207</v>
      </c>
      <c r="Z711" s="177" t="str">
        <f t="shared" si="40"/>
        <v>NC</v>
      </c>
      <c r="AA711" s="190" t="str">
        <f t="shared" si="39"/>
        <v>UTILIZOU O PDA CORRETAMENTE. NÃO HÁ FOTOS DE TODAS AS ETAPAS</v>
      </c>
      <c r="AB711" s="90" t="s">
        <v>207</v>
      </c>
      <c r="AC711" s="156" t="s">
        <v>36</v>
      </c>
      <c r="AD711" s="145" t="str">
        <f t="shared" si="38"/>
        <v>SÃO PAULO</v>
      </c>
      <c r="AE711" s="92" t="s">
        <v>79</v>
      </c>
    </row>
    <row r="712" spans="1:31" ht="30" customHeight="1">
      <c r="A712" s="197" t="s">
        <v>198</v>
      </c>
      <c r="B712" s="308">
        <v>2622183057</v>
      </c>
      <c r="C712" s="197" t="s">
        <v>1923</v>
      </c>
      <c r="D712" s="197" t="s">
        <v>79</v>
      </c>
      <c r="E712" s="197" t="s">
        <v>35</v>
      </c>
      <c r="F712" s="197" t="s">
        <v>2810</v>
      </c>
      <c r="G712" s="197">
        <v>18</v>
      </c>
      <c r="H712" s="197" t="s">
        <v>208</v>
      </c>
      <c r="I712" s="197" t="s">
        <v>917</v>
      </c>
      <c r="J712" s="197" t="s">
        <v>1915</v>
      </c>
      <c r="K712" s="197"/>
      <c r="L712" s="203">
        <v>46169.443749999999</v>
      </c>
      <c r="M712" s="203">
        <v>46169.454861111109</v>
      </c>
      <c r="N712" s="197" t="s">
        <v>1916</v>
      </c>
      <c r="O712" s="152" t="s">
        <v>207</v>
      </c>
      <c r="P712" s="90"/>
      <c r="Q712" s="140" t="s">
        <v>207</v>
      </c>
      <c r="R712" s="90"/>
      <c r="S712" s="140" t="s">
        <v>214</v>
      </c>
      <c r="T712" s="90"/>
      <c r="U712" s="140" t="s">
        <v>207</v>
      </c>
      <c r="V712" s="90"/>
      <c r="W712" s="140" t="s">
        <v>207</v>
      </c>
      <c r="X712" s="90"/>
      <c r="Y712" s="140" t="s">
        <v>207</v>
      </c>
      <c r="Z712" s="177" t="str">
        <f t="shared" si="40"/>
        <v>NC</v>
      </c>
      <c r="AA712" s="190" t="str">
        <f t="shared" si="39"/>
        <v>UTILIZOU O PDA CORRETAMENTE. NÃO HÁ FOTOS DE TODAS AS ETAPAS</v>
      </c>
      <c r="AB712" s="90" t="s">
        <v>207</v>
      </c>
      <c r="AC712" s="156" t="s">
        <v>36</v>
      </c>
      <c r="AD712" s="145" t="str">
        <f t="shared" si="38"/>
        <v>SÃO PAULO</v>
      </c>
      <c r="AE712" s="92" t="s">
        <v>79</v>
      </c>
    </row>
    <row r="713" spans="1:31" ht="30" customHeight="1">
      <c r="A713" s="197" t="s">
        <v>198</v>
      </c>
      <c r="B713" s="308">
        <v>2694228421</v>
      </c>
      <c r="C713" s="197" t="s">
        <v>146</v>
      </c>
      <c r="D713" s="197" t="s">
        <v>79</v>
      </c>
      <c r="E713" s="197" t="s">
        <v>35</v>
      </c>
      <c r="F713" s="197" t="s">
        <v>217</v>
      </c>
      <c r="G713" s="197">
        <v>38</v>
      </c>
      <c r="H713" s="197"/>
      <c r="I713" s="197" t="s">
        <v>218</v>
      </c>
      <c r="J713" s="197" t="s">
        <v>1915</v>
      </c>
      <c r="K713" s="197"/>
      <c r="L713" s="203">
        <v>46169.4</v>
      </c>
      <c r="M713" s="203">
        <v>46169.4375</v>
      </c>
      <c r="N713" s="197" t="s">
        <v>1933</v>
      </c>
      <c r="O713" s="152" t="s">
        <v>207</v>
      </c>
      <c r="P713" s="90"/>
      <c r="Q713" s="140" t="s">
        <v>207</v>
      </c>
      <c r="R713" s="90"/>
      <c r="S713" s="140" t="s">
        <v>207</v>
      </c>
      <c r="T713" s="90"/>
      <c r="U713" s="140" t="s">
        <v>207</v>
      </c>
      <c r="V713" s="90"/>
      <c r="W713" s="140" t="s">
        <v>207</v>
      </c>
      <c r="X713" s="90"/>
      <c r="Y713" s="140" t="s">
        <v>207</v>
      </c>
      <c r="Z713" s="177" t="str">
        <f t="shared" si="40"/>
        <v>C</v>
      </c>
      <c r="AA713" s="190" t="str">
        <f t="shared" si="39"/>
        <v>UTILIZOU O PDA CORRETAMENTE</v>
      </c>
      <c r="AB713" s="90" t="s">
        <v>207</v>
      </c>
      <c r="AC713" s="156" t="s">
        <v>36</v>
      </c>
      <c r="AD713" s="145" t="str">
        <f t="shared" si="38"/>
        <v>SÃO PAULO</v>
      </c>
      <c r="AE713" s="92" t="s">
        <v>79</v>
      </c>
    </row>
    <row r="714" spans="1:31" ht="30" customHeight="1">
      <c r="A714" s="197" t="s">
        <v>198</v>
      </c>
      <c r="B714" s="308">
        <v>2694230102</v>
      </c>
      <c r="C714" s="197" t="s">
        <v>146</v>
      </c>
      <c r="D714" s="197" t="s">
        <v>79</v>
      </c>
      <c r="E714" s="197" t="s">
        <v>35</v>
      </c>
      <c r="F714" s="197" t="s">
        <v>2811</v>
      </c>
      <c r="G714" s="197">
        <v>2</v>
      </c>
      <c r="H714" s="197" t="s">
        <v>205</v>
      </c>
      <c r="I714" s="197" t="s">
        <v>293</v>
      </c>
      <c r="J714" s="197" t="s">
        <v>1915</v>
      </c>
      <c r="K714" s="197" t="s">
        <v>200</v>
      </c>
      <c r="L714" s="203">
        <v>46169.438888888886</v>
      </c>
      <c r="M714" s="203">
        <v>46169.459722222222</v>
      </c>
      <c r="N714" s="197" t="s">
        <v>1933</v>
      </c>
      <c r="O714" s="152" t="s">
        <v>207</v>
      </c>
      <c r="P714" s="90"/>
      <c r="Q714" s="140" t="s">
        <v>207</v>
      </c>
      <c r="R714" s="90"/>
      <c r="S714" s="140" t="s">
        <v>207</v>
      </c>
      <c r="T714" s="90"/>
      <c r="U714" s="140" t="s">
        <v>207</v>
      </c>
      <c r="V714" s="90"/>
      <c r="W714" s="140" t="s">
        <v>207</v>
      </c>
      <c r="X714" s="90"/>
      <c r="Y714" s="140" t="s">
        <v>207</v>
      </c>
      <c r="Z714" s="177" t="str">
        <f t="shared" si="40"/>
        <v>C</v>
      </c>
      <c r="AA714" s="190" t="str">
        <f t="shared" si="39"/>
        <v>UTILIZOU O PDA CORRETAMENTE</v>
      </c>
      <c r="AB714" s="90" t="s">
        <v>207</v>
      </c>
      <c r="AC714" s="156" t="s">
        <v>36</v>
      </c>
      <c r="AD714" s="145" t="str">
        <f t="shared" si="38"/>
        <v>SÃO PAULO</v>
      </c>
      <c r="AE714" s="92" t="s">
        <v>79</v>
      </c>
    </row>
    <row r="715" spans="1:31" ht="30" customHeight="1">
      <c r="A715" s="197" t="s">
        <v>198</v>
      </c>
      <c r="B715" s="308">
        <v>2694243460</v>
      </c>
      <c r="C715" s="197" t="s">
        <v>147</v>
      </c>
      <c r="D715" s="197" t="s">
        <v>79</v>
      </c>
      <c r="E715" s="197" t="s">
        <v>35</v>
      </c>
      <c r="F715" s="197" t="s">
        <v>2812</v>
      </c>
      <c r="G715" s="197">
        <v>21</v>
      </c>
      <c r="H715" s="197" t="s">
        <v>426</v>
      </c>
      <c r="I715" s="197" t="s">
        <v>293</v>
      </c>
      <c r="J715" s="197" t="s">
        <v>1915</v>
      </c>
      <c r="K715" s="197"/>
      <c r="L715" s="203">
        <v>46169.521527777775</v>
      </c>
      <c r="M715" s="203">
        <v>46169.533333333333</v>
      </c>
      <c r="N715" s="197" t="s">
        <v>1933</v>
      </c>
      <c r="O715" s="152" t="s">
        <v>207</v>
      </c>
      <c r="P715" s="90"/>
      <c r="Q715" s="140" t="s">
        <v>207</v>
      </c>
      <c r="R715" s="90"/>
      <c r="S715" s="140" t="s">
        <v>207</v>
      </c>
      <c r="T715" s="90"/>
      <c r="U715" s="140" t="s">
        <v>207</v>
      </c>
      <c r="V715" s="90"/>
      <c r="W715" s="140" t="s">
        <v>207</v>
      </c>
      <c r="X715" s="90"/>
      <c r="Y715" s="140" t="s">
        <v>207</v>
      </c>
      <c r="Z715" s="177" t="str">
        <f t="shared" si="40"/>
        <v>C</v>
      </c>
      <c r="AA715" s="190" t="str">
        <f t="shared" si="39"/>
        <v>UTILIZOU O PDA CORRETAMENTE</v>
      </c>
      <c r="AB715" s="90" t="s">
        <v>207</v>
      </c>
      <c r="AC715" s="156" t="s">
        <v>36</v>
      </c>
      <c r="AD715" s="145" t="str">
        <f t="shared" si="38"/>
        <v>SÃO PAULO</v>
      </c>
      <c r="AE715" s="92" t="s">
        <v>79</v>
      </c>
    </row>
    <row r="716" spans="1:31" ht="30" customHeight="1">
      <c r="A716" s="197" t="s">
        <v>198</v>
      </c>
      <c r="B716" s="308">
        <v>2622168905</v>
      </c>
      <c r="C716" s="197" t="s">
        <v>1923</v>
      </c>
      <c r="D716" s="197" t="s">
        <v>79</v>
      </c>
      <c r="E716" s="197" t="s">
        <v>35</v>
      </c>
      <c r="F716" s="197" t="s">
        <v>1589</v>
      </c>
      <c r="G716" s="197">
        <v>214</v>
      </c>
      <c r="H716" s="197" t="s">
        <v>200</v>
      </c>
      <c r="I716" s="197" t="s">
        <v>1480</v>
      </c>
      <c r="J716" s="197" t="s">
        <v>1915</v>
      </c>
      <c r="K716" s="197" t="s">
        <v>200</v>
      </c>
      <c r="L716" s="203">
        <v>46169.230555555558</v>
      </c>
      <c r="M716" s="203">
        <v>46169.236805555556</v>
      </c>
      <c r="N716" s="197" t="s">
        <v>390</v>
      </c>
      <c r="O716" s="152" t="s">
        <v>207</v>
      </c>
      <c r="P716" s="90"/>
      <c r="Q716" s="140" t="s">
        <v>207</v>
      </c>
      <c r="R716" s="90"/>
      <c r="S716" s="140" t="s">
        <v>214</v>
      </c>
      <c r="T716" s="90"/>
      <c r="U716" s="140" t="s">
        <v>214</v>
      </c>
      <c r="V716" s="90"/>
      <c r="W716" s="140" t="s">
        <v>207</v>
      </c>
      <c r="X716" s="90"/>
      <c r="Y716" s="140" t="s">
        <v>207</v>
      </c>
      <c r="Z716" s="177" t="str">
        <f t="shared" si="40"/>
        <v>NC</v>
      </c>
      <c r="AA716" s="190" t="str">
        <f t="shared" si="39"/>
        <v>UTILIZOU O PDA CORRETAMENTE. NÃO HÁ FOTOS DE TODAS AS ETAPAS</v>
      </c>
      <c r="AB716" s="90" t="s">
        <v>207</v>
      </c>
      <c r="AC716" s="156" t="s">
        <v>36</v>
      </c>
      <c r="AD716" s="145" t="str">
        <f t="shared" si="38"/>
        <v>SÃO PAULO</v>
      </c>
      <c r="AE716" s="92" t="s">
        <v>79</v>
      </c>
    </row>
    <row r="717" spans="1:31" ht="30" customHeight="1">
      <c r="A717" s="197" t="s">
        <v>198</v>
      </c>
      <c r="B717" s="308">
        <v>2622196742</v>
      </c>
      <c r="C717" s="197" t="s">
        <v>147</v>
      </c>
      <c r="D717" s="197" t="s">
        <v>79</v>
      </c>
      <c r="E717" s="197" t="s">
        <v>35</v>
      </c>
      <c r="F717" s="197" t="s">
        <v>204</v>
      </c>
      <c r="G717" s="197">
        <v>16472</v>
      </c>
      <c r="H717" s="197" t="s">
        <v>205</v>
      </c>
      <c r="I717" s="197" t="s">
        <v>704</v>
      </c>
      <c r="J717" s="197" t="s">
        <v>1915</v>
      </c>
      <c r="K717" s="197"/>
      <c r="L717" s="203">
        <v>46169.136805555558</v>
      </c>
      <c r="M717" s="203">
        <v>46169.136805555558</v>
      </c>
      <c r="N717" s="197" t="s">
        <v>1931</v>
      </c>
      <c r="O717" s="152" t="s">
        <v>207</v>
      </c>
      <c r="P717" s="90"/>
      <c r="Q717" s="140" t="s">
        <v>207</v>
      </c>
      <c r="R717" s="90"/>
      <c r="S717" s="140" t="s">
        <v>214</v>
      </c>
      <c r="T717" s="90"/>
      <c r="U717" s="140" t="s">
        <v>214</v>
      </c>
      <c r="V717" s="90"/>
      <c r="W717" s="140" t="s">
        <v>207</v>
      </c>
      <c r="X717" s="90"/>
      <c r="Y717" s="140" t="s">
        <v>207</v>
      </c>
      <c r="Z717" s="177" t="str">
        <f t="shared" si="40"/>
        <v>NC</v>
      </c>
      <c r="AA717" s="190" t="str">
        <f t="shared" si="39"/>
        <v>UTILIZOU O PDA CORRETAMENTE. NÃO HÁ FOTOS DE TODAS AS ETAPAS</v>
      </c>
      <c r="AB717" s="90" t="s">
        <v>207</v>
      </c>
      <c r="AC717" s="156" t="s">
        <v>36</v>
      </c>
      <c r="AD717" s="145" t="str">
        <f t="shared" si="38"/>
        <v>SÃO PAULO</v>
      </c>
      <c r="AE717" s="92" t="s">
        <v>79</v>
      </c>
    </row>
    <row r="718" spans="1:31" ht="30" customHeight="1">
      <c r="A718" s="197" t="s">
        <v>198</v>
      </c>
      <c r="B718" s="308">
        <v>2622270560</v>
      </c>
      <c r="C718" s="197" t="s">
        <v>1923</v>
      </c>
      <c r="D718" s="197" t="s">
        <v>79</v>
      </c>
      <c r="E718" s="197" t="s">
        <v>35</v>
      </c>
      <c r="F718" s="197" t="s">
        <v>1677</v>
      </c>
      <c r="G718" s="197">
        <v>139</v>
      </c>
      <c r="H718" s="197" t="s">
        <v>200</v>
      </c>
      <c r="I718" s="197" t="s">
        <v>290</v>
      </c>
      <c r="J718" s="197" t="s">
        <v>1915</v>
      </c>
      <c r="K718" s="197" t="s">
        <v>200</v>
      </c>
      <c r="L718" s="203">
        <v>46169.359722222223</v>
      </c>
      <c r="M718" s="203">
        <v>46169.36041666667</v>
      </c>
      <c r="N718" s="197" t="s">
        <v>390</v>
      </c>
      <c r="O718" s="152" t="s">
        <v>207</v>
      </c>
      <c r="P718" s="90"/>
      <c r="Q718" s="140" t="s">
        <v>214</v>
      </c>
      <c r="R718" s="90"/>
      <c r="S718" s="140" t="s">
        <v>214</v>
      </c>
      <c r="T718" s="90"/>
      <c r="U718" s="140" t="s">
        <v>214</v>
      </c>
      <c r="V718" s="90"/>
      <c r="W718" s="140" t="s">
        <v>207</v>
      </c>
      <c r="X718" s="90"/>
      <c r="Y718" s="140" t="s">
        <v>207</v>
      </c>
      <c r="Z718" s="177" t="str">
        <f t="shared" si="40"/>
        <v>NC</v>
      </c>
      <c r="AA718" s="190" t="str">
        <f t="shared" si="39"/>
        <v>UTILIZOU O PDA CORRETAMENTE. NÃO HÁ FOTOS DE TODAS AS ETAPAS</v>
      </c>
      <c r="AB718" s="90" t="s">
        <v>207</v>
      </c>
      <c r="AC718" s="156" t="s">
        <v>36</v>
      </c>
      <c r="AD718" s="145" t="str">
        <f t="shared" si="38"/>
        <v>SÃO PAULO</v>
      </c>
      <c r="AE718" s="92" t="s">
        <v>79</v>
      </c>
    </row>
    <row r="719" spans="1:31" ht="30" customHeight="1">
      <c r="A719" s="197" t="s">
        <v>198</v>
      </c>
      <c r="B719" s="308">
        <v>2622265984</v>
      </c>
      <c r="C719" s="197" t="s">
        <v>1923</v>
      </c>
      <c r="D719" s="197" t="s">
        <v>79</v>
      </c>
      <c r="E719" s="197" t="s">
        <v>35</v>
      </c>
      <c r="F719" s="197" t="s">
        <v>2813</v>
      </c>
      <c r="G719" s="197">
        <v>301</v>
      </c>
      <c r="H719" s="197"/>
      <c r="I719" s="197" t="s">
        <v>300</v>
      </c>
      <c r="J719" s="197" t="s">
        <v>1915</v>
      </c>
      <c r="K719" s="197"/>
      <c r="L719" s="203">
        <v>46169.306944444441</v>
      </c>
      <c r="M719" s="203">
        <v>46169.314583333333</v>
      </c>
      <c r="N719" s="197" t="s">
        <v>390</v>
      </c>
      <c r="O719" s="152" t="s">
        <v>207</v>
      </c>
      <c r="P719" s="90"/>
      <c r="Q719" s="140" t="s">
        <v>207</v>
      </c>
      <c r="R719" s="90"/>
      <c r="S719" s="140" t="s">
        <v>214</v>
      </c>
      <c r="T719" s="90"/>
      <c r="U719" s="140" t="s">
        <v>214</v>
      </c>
      <c r="V719" s="90"/>
      <c r="W719" s="140" t="s">
        <v>207</v>
      </c>
      <c r="X719" s="90"/>
      <c r="Y719" s="140" t="s">
        <v>207</v>
      </c>
      <c r="Z719" s="177" t="str">
        <f t="shared" si="40"/>
        <v>NC</v>
      </c>
      <c r="AA719" s="190" t="str">
        <f t="shared" si="39"/>
        <v>UTILIZOU O PDA CORRETAMENTE. NÃO HÁ FOTOS DE TODAS AS ETAPAS</v>
      </c>
      <c r="AB719" s="90" t="s">
        <v>207</v>
      </c>
      <c r="AC719" s="156" t="s">
        <v>36</v>
      </c>
      <c r="AD719" s="145" t="str">
        <f t="shared" si="38"/>
        <v>SÃO PAULO</v>
      </c>
      <c r="AE719" s="92" t="s">
        <v>79</v>
      </c>
    </row>
    <row r="720" spans="1:31" ht="30" customHeight="1">
      <c r="A720" s="197" t="s">
        <v>198</v>
      </c>
      <c r="B720" s="308">
        <v>2622310379</v>
      </c>
      <c r="C720" s="197" t="s">
        <v>1923</v>
      </c>
      <c r="D720" s="197" t="s">
        <v>79</v>
      </c>
      <c r="E720" s="197" t="s">
        <v>35</v>
      </c>
      <c r="F720" s="197" t="s">
        <v>2814</v>
      </c>
      <c r="G720" s="197">
        <v>45</v>
      </c>
      <c r="H720" s="197" t="s">
        <v>200</v>
      </c>
      <c r="I720" s="197" t="s">
        <v>2815</v>
      </c>
      <c r="J720" s="197" t="s">
        <v>1915</v>
      </c>
      <c r="K720" s="197" t="s">
        <v>2688</v>
      </c>
      <c r="L720" s="203">
        <v>46169.436111111114</v>
      </c>
      <c r="M720" s="203">
        <v>46169.436805555553</v>
      </c>
      <c r="N720" s="197" t="s">
        <v>2668</v>
      </c>
      <c r="O720" s="152" t="s">
        <v>214</v>
      </c>
      <c r="P720" s="90"/>
      <c r="Q720" s="140" t="s">
        <v>214</v>
      </c>
      <c r="R720" s="90"/>
      <c r="S720" s="140" t="s">
        <v>214</v>
      </c>
      <c r="T720" s="90"/>
      <c r="U720" s="140" t="s">
        <v>214</v>
      </c>
      <c r="V720" s="90"/>
      <c r="W720" s="140" t="s">
        <v>214</v>
      </c>
      <c r="X720" s="90"/>
      <c r="Y720" s="140" t="s">
        <v>215</v>
      </c>
      <c r="Z720" s="177" t="str">
        <f t="shared" si="40"/>
        <v>NC</v>
      </c>
      <c r="AA720" s="190" t="str">
        <f t="shared" si="39"/>
        <v>NÃO UTILIZOU O PDA</v>
      </c>
      <c r="AB720" s="90" t="s">
        <v>207</v>
      </c>
      <c r="AC720" s="156" t="s">
        <v>36</v>
      </c>
      <c r="AD720" s="145" t="str">
        <f t="shared" si="38"/>
        <v>SÃO PAULO</v>
      </c>
      <c r="AE720" s="92" t="s">
        <v>79</v>
      </c>
    </row>
    <row r="721" spans="1:31" ht="30" customHeight="1">
      <c r="A721" s="197" t="s">
        <v>198</v>
      </c>
      <c r="B721" s="308">
        <v>2622309830</v>
      </c>
      <c r="C721" s="197" t="s">
        <v>1923</v>
      </c>
      <c r="D721" s="197" t="s">
        <v>79</v>
      </c>
      <c r="E721" s="197" t="s">
        <v>35</v>
      </c>
      <c r="F721" s="197" t="s">
        <v>2041</v>
      </c>
      <c r="G721" s="197">
        <v>129</v>
      </c>
      <c r="H721" s="197" t="s">
        <v>208</v>
      </c>
      <c r="I721" s="197" t="s">
        <v>917</v>
      </c>
      <c r="J721" s="197" t="s">
        <v>1915</v>
      </c>
      <c r="K721" s="197" t="s">
        <v>2750</v>
      </c>
      <c r="L721" s="203">
        <v>46169.675000000003</v>
      </c>
      <c r="M721" s="203">
        <v>46169.676388888889</v>
      </c>
      <c r="N721" s="197" t="s">
        <v>1916</v>
      </c>
      <c r="O721" s="152" t="s">
        <v>207</v>
      </c>
      <c r="P721" s="90"/>
      <c r="Q721" s="140" t="s">
        <v>207</v>
      </c>
      <c r="R721" s="90"/>
      <c r="S721" s="140" t="s">
        <v>214</v>
      </c>
      <c r="T721" s="90"/>
      <c r="U721" s="140" t="s">
        <v>214</v>
      </c>
      <c r="V721" s="90"/>
      <c r="W721" s="140" t="s">
        <v>214</v>
      </c>
      <c r="X721" s="90"/>
      <c r="Y721" s="140" t="s">
        <v>207</v>
      </c>
      <c r="Z721" s="177" t="str">
        <f t="shared" si="40"/>
        <v>NC</v>
      </c>
      <c r="AA721" s="190" t="str">
        <f t="shared" si="39"/>
        <v>UTILIZOU O PDA CORRETAMENTE. NÃO HÁ FOTOS DE TODAS AS ETAPAS</v>
      </c>
      <c r="AB721" s="90" t="s">
        <v>207</v>
      </c>
      <c r="AC721" s="156" t="s">
        <v>36</v>
      </c>
      <c r="AD721" s="145" t="str">
        <f t="shared" si="38"/>
        <v>SÃO PAULO</v>
      </c>
      <c r="AE721" s="92" t="s">
        <v>79</v>
      </c>
    </row>
    <row r="722" spans="1:31" ht="30" customHeight="1">
      <c r="A722" s="197" t="s">
        <v>198</v>
      </c>
      <c r="B722" s="308">
        <v>2622310222</v>
      </c>
      <c r="C722" s="197" t="s">
        <v>1923</v>
      </c>
      <c r="D722" s="197" t="s">
        <v>79</v>
      </c>
      <c r="E722" s="197" t="s">
        <v>35</v>
      </c>
      <c r="F722" s="197" t="s">
        <v>2404</v>
      </c>
      <c r="G722" s="197">
        <v>50</v>
      </c>
      <c r="H722" s="197" t="s">
        <v>200</v>
      </c>
      <c r="I722" s="197" t="s">
        <v>917</v>
      </c>
      <c r="J722" s="197" t="s">
        <v>1915</v>
      </c>
      <c r="K722" s="197" t="s">
        <v>2750</v>
      </c>
      <c r="L722" s="203">
        <v>46169.67291666667</v>
      </c>
      <c r="M722" s="203">
        <v>46169.673611111109</v>
      </c>
      <c r="N722" s="197" t="s">
        <v>1916</v>
      </c>
      <c r="O722" s="152" t="s">
        <v>207</v>
      </c>
      <c r="P722" s="90"/>
      <c r="Q722" s="140" t="s">
        <v>214</v>
      </c>
      <c r="R722" s="90"/>
      <c r="S722" s="140" t="s">
        <v>214</v>
      </c>
      <c r="T722" s="90"/>
      <c r="U722" s="140" t="s">
        <v>214</v>
      </c>
      <c r="V722" s="90"/>
      <c r="W722" s="140" t="s">
        <v>207</v>
      </c>
      <c r="X722" s="90"/>
      <c r="Y722" s="140" t="s">
        <v>207</v>
      </c>
      <c r="Z722" s="177" t="str">
        <f t="shared" si="40"/>
        <v>NC</v>
      </c>
      <c r="AA722" s="190" t="str">
        <f t="shared" si="39"/>
        <v>UTILIZOU O PDA CORRETAMENTE. NÃO HÁ FOTOS DE TODAS AS ETAPAS</v>
      </c>
      <c r="AB722" s="90" t="s">
        <v>207</v>
      </c>
      <c r="AC722" s="156" t="s">
        <v>36</v>
      </c>
      <c r="AD722" s="145" t="str">
        <f t="shared" si="38"/>
        <v>SÃO PAULO</v>
      </c>
      <c r="AE722" s="92" t="s">
        <v>79</v>
      </c>
    </row>
    <row r="723" spans="1:31" ht="30" customHeight="1">
      <c r="A723" s="197" t="s">
        <v>198</v>
      </c>
      <c r="B723" s="308">
        <v>2622300981</v>
      </c>
      <c r="C723" s="197" t="s">
        <v>1923</v>
      </c>
      <c r="D723" s="197" t="s">
        <v>79</v>
      </c>
      <c r="E723" s="197" t="s">
        <v>35</v>
      </c>
      <c r="F723" s="197" t="s">
        <v>1423</v>
      </c>
      <c r="G723" s="197">
        <v>400</v>
      </c>
      <c r="H723" s="197" t="s">
        <v>208</v>
      </c>
      <c r="I723" s="197" t="s">
        <v>2816</v>
      </c>
      <c r="J723" s="197" t="s">
        <v>1915</v>
      </c>
      <c r="K723" s="197" t="s">
        <v>200</v>
      </c>
      <c r="L723" s="203">
        <v>46169.595138888886</v>
      </c>
      <c r="M723" s="203">
        <v>46169.59652777778</v>
      </c>
      <c r="N723" s="197" t="s">
        <v>1925</v>
      </c>
      <c r="O723" s="152" t="s">
        <v>207</v>
      </c>
      <c r="P723" s="90"/>
      <c r="Q723" s="140" t="s">
        <v>214</v>
      </c>
      <c r="R723" s="90"/>
      <c r="S723" s="140" t="s">
        <v>214</v>
      </c>
      <c r="T723" s="90"/>
      <c r="U723" s="140" t="s">
        <v>207</v>
      </c>
      <c r="V723" s="90"/>
      <c r="W723" s="140" t="s">
        <v>207</v>
      </c>
      <c r="X723" s="90"/>
      <c r="Y723" s="140" t="s">
        <v>207</v>
      </c>
      <c r="Z723" s="177" t="str">
        <f t="shared" si="40"/>
        <v>NC</v>
      </c>
      <c r="AA723" s="190" t="str">
        <f t="shared" si="39"/>
        <v>UTILIZOU O PDA CORRETAMENTE. NÃO HÁ FOTOS DE TODAS AS ETAPAS</v>
      </c>
      <c r="AB723" s="90" t="s">
        <v>207</v>
      </c>
      <c r="AC723" s="156" t="s">
        <v>36</v>
      </c>
      <c r="AD723" s="145" t="str">
        <f t="shared" si="38"/>
        <v>SÃO PAULO</v>
      </c>
      <c r="AE723" s="92" t="s">
        <v>79</v>
      </c>
    </row>
    <row r="724" spans="1:31" ht="30" customHeight="1">
      <c r="A724" s="197" t="s">
        <v>198</v>
      </c>
      <c r="B724" s="308">
        <v>2694284732</v>
      </c>
      <c r="C724" s="197" t="s">
        <v>146</v>
      </c>
      <c r="D724" s="197" t="s">
        <v>79</v>
      </c>
      <c r="E724" s="197" t="s">
        <v>35</v>
      </c>
      <c r="F724" s="197" t="s">
        <v>2067</v>
      </c>
      <c r="G724" s="197">
        <v>9</v>
      </c>
      <c r="H724" s="197"/>
      <c r="I724" s="197" t="s">
        <v>293</v>
      </c>
      <c r="J724" s="197" t="s">
        <v>1915</v>
      </c>
      <c r="K724" s="197"/>
      <c r="L724" s="203">
        <v>46169.488194444442</v>
      </c>
      <c r="M724" s="203">
        <v>46169.499305555553</v>
      </c>
      <c r="N724" s="197" t="s">
        <v>1933</v>
      </c>
      <c r="O724" s="152" t="s">
        <v>207</v>
      </c>
      <c r="P724" s="90"/>
      <c r="Q724" s="140" t="s">
        <v>207</v>
      </c>
      <c r="R724" s="90"/>
      <c r="S724" s="140" t="s">
        <v>207</v>
      </c>
      <c r="T724" s="90"/>
      <c r="U724" s="140" t="s">
        <v>207</v>
      </c>
      <c r="V724" s="90"/>
      <c r="W724" s="140" t="s">
        <v>207</v>
      </c>
      <c r="X724" s="90"/>
      <c r="Y724" s="140" t="s">
        <v>207</v>
      </c>
      <c r="Z724" s="177" t="str">
        <f t="shared" si="40"/>
        <v>C</v>
      </c>
      <c r="AA724" s="190" t="str">
        <f t="shared" si="39"/>
        <v>UTILIZOU O PDA CORRETAMENTE</v>
      </c>
      <c r="AB724" s="90" t="s">
        <v>207</v>
      </c>
      <c r="AC724" s="156" t="s">
        <v>36</v>
      </c>
      <c r="AD724" s="145" t="str">
        <f t="shared" si="38"/>
        <v>SÃO PAULO</v>
      </c>
      <c r="AE724" s="92" t="s">
        <v>79</v>
      </c>
    </row>
    <row r="725" spans="1:31" ht="30" customHeight="1">
      <c r="A725" s="197" t="s">
        <v>198</v>
      </c>
      <c r="B725" s="308">
        <v>2694274468</v>
      </c>
      <c r="C725" s="197" t="s">
        <v>147</v>
      </c>
      <c r="D725" s="197" t="s">
        <v>79</v>
      </c>
      <c r="E725" s="197" t="s">
        <v>35</v>
      </c>
      <c r="F725" s="197" t="s">
        <v>1438</v>
      </c>
      <c r="G725" s="197">
        <v>9</v>
      </c>
      <c r="H725" s="197" t="s">
        <v>200</v>
      </c>
      <c r="I725" s="197" t="s">
        <v>293</v>
      </c>
      <c r="J725" s="197" t="s">
        <v>1915</v>
      </c>
      <c r="K725" s="197" t="s">
        <v>200</v>
      </c>
      <c r="L725" s="203">
        <v>46169.546527777777</v>
      </c>
      <c r="M725" s="203">
        <v>46169.561805555553</v>
      </c>
      <c r="N725" s="197" t="s">
        <v>1933</v>
      </c>
      <c r="O725" s="152" t="s">
        <v>207</v>
      </c>
      <c r="P725" s="90"/>
      <c r="Q725" s="140" t="s">
        <v>207</v>
      </c>
      <c r="R725" s="90"/>
      <c r="S725" s="140" t="s">
        <v>207</v>
      </c>
      <c r="T725" s="90"/>
      <c r="U725" s="140" t="s">
        <v>207</v>
      </c>
      <c r="V725" s="90"/>
      <c r="W725" s="140" t="s">
        <v>207</v>
      </c>
      <c r="X725" s="90"/>
      <c r="Y725" s="140" t="s">
        <v>207</v>
      </c>
      <c r="Z725" s="177" t="str">
        <f t="shared" si="40"/>
        <v>C</v>
      </c>
      <c r="AA725" s="190" t="str">
        <f t="shared" si="39"/>
        <v>UTILIZOU O PDA CORRETAMENTE</v>
      </c>
      <c r="AB725" s="90" t="s">
        <v>207</v>
      </c>
      <c r="AC725" s="156" t="s">
        <v>36</v>
      </c>
      <c r="AD725" s="145" t="str">
        <f t="shared" si="38"/>
        <v>SÃO PAULO</v>
      </c>
      <c r="AE725" s="92" t="s">
        <v>79</v>
      </c>
    </row>
    <row r="726" spans="1:31" ht="30" customHeight="1">
      <c r="A726" s="197" t="s">
        <v>198</v>
      </c>
      <c r="B726" s="308">
        <v>2622316828</v>
      </c>
      <c r="C726" s="197" t="s">
        <v>146</v>
      </c>
      <c r="D726" s="197" t="s">
        <v>79</v>
      </c>
      <c r="E726" s="197" t="s">
        <v>35</v>
      </c>
      <c r="F726" s="197" t="s">
        <v>2040</v>
      </c>
      <c r="G726" s="197">
        <v>72</v>
      </c>
      <c r="H726" s="197"/>
      <c r="I726" s="197" t="s">
        <v>455</v>
      </c>
      <c r="J726" s="197" t="s">
        <v>1915</v>
      </c>
      <c r="K726" s="197"/>
      <c r="L726" s="203">
        <v>46169.344444444447</v>
      </c>
      <c r="M726" s="203">
        <v>46169.347916666666</v>
      </c>
      <c r="N726" s="197" t="s">
        <v>2668</v>
      </c>
      <c r="O726" s="152" t="s">
        <v>207</v>
      </c>
      <c r="P726" s="90"/>
      <c r="Q726" s="140" t="s">
        <v>207</v>
      </c>
      <c r="R726" s="90"/>
      <c r="S726" s="140" t="s">
        <v>207</v>
      </c>
      <c r="T726" s="90"/>
      <c r="U726" s="140" t="s">
        <v>207</v>
      </c>
      <c r="V726" s="90"/>
      <c r="W726" s="140" t="s">
        <v>207</v>
      </c>
      <c r="X726" s="90"/>
      <c r="Y726" s="140" t="s">
        <v>207</v>
      </c>
      <c r="Z726" s="177" t="str">
        <f t="shared" si="40"/>
        <v>C</v>
      </c>
      <c r="AA726" s="190" t="str">
        <f t="shared" si="39"/>
        <v>UTILIZOU O PDA CORRETAMENTE</v>
      </c>
      <c r="AB726" s="90" t="s">
        <v>207</v>
      </c>
      <c r="AC726" s="156" t="s">
        <v>36</v>
      </c>
      <c r="AD726" s="145" t="str">
        <f t="shared" si="38"/>
        <v>SÃO PAULO</v>
      </c>
      <c r="AE726" s="92" t="s">
        <v>79</v>
      </c>
    </row>
    <row r="727" spans="1:31" ht="30" customHeight="1">
      <c r="A727" s="197" t="s">
        <v>198</v>
      </c>
      <c r="B727" s="308">
        <v>2622308961</v>
      </c>
      <c r="C727" s="197" t="s">
        <v>1923</v>
      </c>
      <c r="D727" s="197" t="s">
        <v>79</v>
      </c>
      <c r="E727" s="197" t="s">
        <v>35</v>
      </c>
      <c r="F727" s="197" t="s">
        <v>2817</v>
      </c>
      <c r="G727" s="197">
        <v>165</v>
      </c>
      <c r="H727" s="197" t="s">
        <v>205</v>
      </c>
      <c r="I727" s="197" t="s">
        <v>271</v>
      </c>
      <c r="J727" s="197" t="s">
        <v>1915</v>
      </c>
      <c r="K727" s="197" t="s">
        <v>200</v>
      </c>
      <c r="L727" s="203">
        <v>46169.49722222222</v>
      </c>
      <c r="M727" s="203">
        <v>46169.504166666666</v>
      </c>
      <c r="N727" s="197" t="s">
        <v>1944</v>
      </c>
      <c r="O727" s="152" t="s">
        <v>207</v>
      </c>
      <c r="P727" s="90"/>
      <c r="Q727" s="140" t="s">
        <v>207</v>
      </c>
      <c r="R727" s="90"/>
      <c r="S727" s="140" t="s">
        <v>207</v>
      </c>
      <c r="T727" s="90"/>
      <c r="U727" s="140" t="s">
        <v>207</v>
      </c>
      <c r="V727" s="90"/>
      <c r="W727" s="140" t="s">
        <v>207</v>
      </c>
      <c r="X727" s="90"/>
      <c r="Y727" s="140" t="s">
        <v>207</v>
      </c>
      <c r="Z727" s="177" t="str">
        <f t="shared" si="40"/>
        <v>C</v>
      </c>
      <c r="AA727" s="190" t="str">
        <f t="shared" si="39"/>
        <v>UTILIZOU O PDA CORRETAMENTE</v>
      </c>
      <c r="AB727" s="90" t="s">
        <v>207</v>
      </c>
      <c r="AC727" s="156" t="s">
        <v>36</v>
      </c>
      <c r="AD727" s="145" t="str">
        <f t="shared" si="38"/>
        <v>SÃO PAULO</v>
      </c>
      <c r="AE727" s="92" t="s">
        <v>79</v>
      </c>
    </row>
    <row r="728" spans="1:31" ht="30" customHeight="1">
      <c r="A728" s="197" t="s">
        <v>198</v>
      </c>
      <c r="B728" s="308">
        <v>2694284389</v>
      </c>
      <c r="C728" s="197" t="s">
        <v>143</v>
      </c>
      <c r="D728" s="197" t="s">
        <v>79</v>
      </c>
      <c r="E728" s="197" t="s">
        <v>35</v>
      </c>
      <c r="F728" s="197" t="s">
        <v>1946</v>
      </c>
      <c r="G728" s="197">
        <v>380</v>
      </c>
      <c r="H728" s="197" t="s">
        <v>208</v>
      </c>
      <c r="I728" s="197" t="s">
        <v>479</v>
      </c>
      <c r="J728" s="197" t="s">
        <v>1915</v>
      </c>
      <c r="K728" s="197"/>
      <c r="L728" s="203">
        <v>46169.387499999997</v>
      </c>
      <c r="M728" s="203">
        <v>46169.394444444442</v>
      </c>
      <c r="N728" s="197" t="s">
        <v>1944</v>
      </c>
      <c r="O728" s="152" t="s">
        <v>207</v>
      </c>
      <c r="P728" s="90"/>
      <c r="Q728" s="140" t="s">
        <v>207</v>
      </c>
      <c r="R728" s="90"/>
      <c r="S728" s="140" t="s">
        <v>207</v>
      </c>
      <c r="T728" s="90"/>
      <c r="U728" s="140" t="s">
        <v>207</v>
      </c>
      <c r="V728" s="90"/>
      <c r="W728" s="140" t="s">
        <v>207</v>
      </c>
      <c r="X728" s="90"/>
      <c r="Y728" s="140" t="s">
        <v>207</v>
      </c>
      <c r="Z728" s="177" t="str">
        <f t="shared" si="40"/>
        <v>C</v>
      </c>
      <c r="AA728" s="190" t="str">
        <f t="shared" si="39"/>
        <v>UTILIZOU O PDA CORRETAMENTE</v>
      </c>
      <c r="AB728" s="90" t="s">
        <v>207</v>
      </c>
      <c r="AC728" s="156" t="s">
        <v>36</v>
      </c>
      <c r="AD728" s="145" t="str">
        <f t="shared" si="38"/>
        <v>SÃO PAULO</v>
      </c>
      <c r="AE728" s="92" t="s">
        <v>79</v>
      </c>
    </row>
    <row r="729" spans="1:31" ht="30" customHeight="1">
      <c r="A729" s="197" t="s">
        <v>198</v>
      </c>
      <c r="B729" s="308">
        <v>2621916124</v>
      </c>
      <c r="C729" s="197" t="s">
        <v>151</v>
      </c>
      <c r="D729" s="197" t="s">
        <v>140</v>
      </c>
      <c r="E729" s="197" t="s">
        <v>35</v>
      </c>
      <c r="F729" s="197" t="s">
        <v>1473</v>
      </c>
      <c r="G729" s="197">
        <v>237</v>
      </c>
      <c r="H729" s="197" t="s">
        <v>200</v>
      </c>
      <c r="I729" s="197" t="s">
        <v>571</v>
      </c>
      <c r="J729" s="197" t="s">
        <v>1966</v>
      </c>
      <c r="K729" s="197" t="s">
        <v>200</v>
      </c>
      <c r="L729" s="203">
        <v>46169.591666666667</v>
      </c>
      <c r="M729" s="203">
        <v>46169.592361111114</v>
      </c>
      <c r="N729" s="197" t="s">
        <v>288</v>
      </c>
      <c r="O729" s="152" t="s">
        <v>77</v>
      </c>
      <c r="P729" s="90"/>
      <c r="Q729" s="140" t="s">
        <v>77</v>
      </c>
      <c r="R729" s="90"/>
      <c r="S729" s="140" t="s">
        <v>77</v>
      </c>
      <c r="T729" s="90"/>
      <c r="U729" s="140" t="s">
        <v>77</v>
      </c>
      <c r="V729" s="90"/>
      <c r="W729" s="140" t="s">
        <v>77</v>
      </c>
      <c r="X729" s="90"/>
      <c r="Y729" s="140" t="s">
        <v>77</v>
      </c>
      <c r="Z729" s="177" t="str">
        <f t="shared" si="40"/>
        <v>NA</v>
      </c>
      <c r="AA729" s="190" t="str">
        <f>IF(AND(Y729="C",Z729="C"),"UTILIZOU O PDA CORRETAMENTE",IF(AND(Y729="C",Z729="NC"),"UTILIZOU O PDA CORRETAMENTE. NÃO HÁ FOTOS DE TODAS AS ETAPAS",IF(AND(Y729="NC",Z729="NC"),"NÃO UTILIZOU O PDA",IF(AND(Y729="NA",Z729="NA"),"NÃO AVALIADO POR FALHA DE SINCRONISMO"))))</f>
        <v>NÃO AVALIADO POR FALHA DE SINCRONISMO</v>
      </c>
      <c r="AB729" s="90" t="s">
        <v>207</v>
      </c>
      <c r="AC729" s="156" t="s">
        <v>36</v>
      </c>
      <c r="AD729" s="145" t="str">
        <f t="shared" si="38"/>
        <v>SÃO PAULO</v>
      </c>
      <c r="AE729" s="92" t="s">
        <v>79</v>
      </c>
    </row>
    <row r="730" spans="1:31" ht="30" customHeight="1">
      <c r="A730" s="197" t="s">
        <v>198</v>
      </c>
      <c r="B730" s="308">
        <v>2622338152</v>
      </c>
      <c r="C730" s="197" t="s">
        <v>151</v>
      </c>
      <c r="D730" s="197" t="s">
        <v>140</v>
      </c>
      <c r="E730" s="197" t="s">
        <v>35</v>
      </c>
      <c r="F730" s="197" t="s">
        <v>2818</v>
      </c>
      <c r="G730" s="197">
        <v>18</v>
      </c>
      <c r="H730" s="197" t="s">
        <v>208</v>
      </c>
      <c r="I730" s="197" t="s">
        <v>211</v>
      </c>
      <c r="J730" s="197" t="s">
        <v>1966</v>
      </c>
      <c r="K730" s="197"/>
      <c r="L730" s="203">
        <v>46169.345833333333</v>
      </c>
      <c r="M730" s="203">
        <v>46169.376388888886</v>
      </c>
      <c r="N730" s="197" t="s">
        <v>235</v>
      </c>
      <c r="O730" s="152" t="s">
        <v>207</v>
      </c>
      <c r="P730" s="90"/>
      <c r="Q730" s="140" t="s">
        <v>207</v>
      </c>
      <c r="R730" s="90"/>
      <c r="S730" s="140" t="s">
        <v>214</v>
      </c>
      <c r="T730" s="90"/>
      <c r="U730" s="140" t="s">
        <v>214</v>
      </c>
      <c r="V730" s="90"/>
      <c r="W730" s="140" t="s">
        <v>207</v>
      </c>
      <c r="X730" s="90"/>
      <c r="Y730" s="140" t="s">
        <v>207</v>
      </c>
      <c r="Z730" s="177" t="str">
        <f t="shared" si="40"/>
        <v>NC</v>
      </c>
      <c r="AA730" s="190" t="str">
        <f t="shared" si="39"/>
        <v>UTILIZOU O PDA CORRETAMENTE. NÃO HÁ FOTOS DE TODAS AS ETAPAS</v>
      </c>
      <c r="AB730" s="90" t="s">
        <v>207</v>
      </c>
      <c r="AC730" s="156" t="s">
        <v>36</v>
      </c>
      <c r="AD730" s="145" t="str">
        <f t="shared" si="38"/>
        <v>SÃO PAULO</v>
      </c>
      <c r="AE730" s="92" t="s">
        <v>79</v>
      </c>
    </row>
    <row r="731" spans="1:31" ht="30" customHeight="1">
      <c r="A731" s="197" t="s">
        <v>198</v>
      </c>
      <c r="B731" s="308">
        <v>2622340890</v>
      </c>
      <c r="C731" s="197" t="s">
        <v>1923</v>
      </c>
      <c r="D731" s="197" t="s">
        <v>79</v>
      </c>
      <c r="E731" s="197" t="s">
        <v>35</v>
      </c>
      <c r="F731" s="197" t="s">
        <v>1456</v>
      </c>
      <c r="G731" s="197">
        <v>39</v>
      </c>
      <c r="H731" s="197" t="s">
        <v>200</v>
      </c>
      <c r="I731" s="197" t="s">
        <v>300</v>
      </c>
      <c r="J731" s="197" t="s">
        <v>1915</v>
      </c>
      <c r="K731" s="197" t="s">
        <v>200</v>
      </c>
      <c r="L731" s="203">
        <v>46169.397222222222</v>
      </c>
      <c r="M731" s="203">
        <v>46169.397916666669</v>
      </c>
      <c r="N731" s="197" t="s">
        <v>390</v>
      </c>
      <c r="O731" s="152" t="s">
        <v>214</v>
      </c>
      <c r="P731" s="90"/>
      <c r="Q731" s="140" t="s">
        <v>214</v>
      </c>
      <c r="R731" s="90"/>
      <c r="S731" s="140" t="s">
        <v>214</v>
      </c>
      <c r="T731" s="90"/>
      <c r="U731" s="140" t="s">
        <v>214</v>
      </c>
      <c r="V731" s="90"/>
      <c r="W731" s="140" t="s">
        <v>214</v>
      </c>
      <c r="X731" s="90"/>
      <c r="Y731" s="140" t="s">
        <v>215</v>
      </c>
      <c r="Z731" s="177" t="str">
        <f t="shared" si="40"/>
        <v>NC</v>
      </c>
      <c r="AA731" s="190" t="str">
        <f t="shared" si="39"/>
        <v>NÃO UTILIZOU O PDA</v>
      </c>
      <c r="AB731" s="90" t="s">
        <v>207</v>
      </c>
      <c r="AC731" s="156" t="s">
        <v>36</v>
      </c>
      <c r="AD731" s="145" t="str">
        <f t="shared" si="38"/>
        <v>SÃO PAULO</v>
      </c>
      <c r="AE731" s="92" t="s">
        <v>79</v>
      </c>
    </row>
    <row r="732" spans="1:31" ht="30" customHeight="1">
      <c r="A732" s="197" t="s">
        <v>198</v>
      </c>
      <c r="B732" s="308">
        <v>2622338915</v>
      </c>
      <c r="C732" s="197" t="s">
        <v>1923</v>
      </c>
      <c r="D732" s="197" t="s">
        <v>79</v>
      </c>
      <c r="E732" s="197" t="s">
        <v>35</v>
      </c>
      <c r="F732" s="197" t="s">
        <v>2819</v>
      </c>
      <c r="G732" s="197">
        <v>29</v>
      </c>
      <c r="H732" s="197" t="s">
        <v>208</v>
      </c>
      <c r="I732" s="197" t="s">
        <v>2820</v>
      </c>
      <c r="J732" s="197" t="s">
        <v>1915</v>
      </c>
      <c r="K732" s="197" t="s">
        <v>2750</v>
      </c>
      <c r="L732" s="203">
        <v>46169.67083333333</v>
      </c>
      <c r="M732" s="203">
        <v>46169.671527777777</v>
      </c>
      <c r="N732" s="197" t="s">
        <v>1916</v>
      </c>
      <c r="O732" s="152" t="s">
        <v>214</v>
      </c>
      <c r="P732" s="90"/>
      <c r="Q732" s="140" t="s">
        <v>214</v>
      </c>
      <c r="R732" s="90"/>
      <c r="S732" s="140" t="s">
        <v>214</v>
      </c>
      <c r="T732" s="90"/>
      <c r="U732" s="140" t="s">
        <v>214</v>
      </c>
      <c r="V732" s="90"/>
      <c r="W732" s="140" t="s">
        <v>214</v>
      </c>
      <c r="X732" s="90"/>
      <c r="Y732" s="140" t="s">
        <v>215</v>
      </c>
      <c r="Z732" s="177" t="str">
        <f t="shared" si="40"/>
        <v>NC</v>
      </c>
      <c r="AA732" s="190" t="str">
        <f t="shared" si="39"/>
        <v>NÃO UTILIZOU O PDA</v>
      </c>
      <c r="AB732" s="90" t="s">
        <v>207</v>
      </c>
      <c r="AC732" s="156" t="s">
        <v>36</v>
      </c>
      <c r="AD732" s="145" t="str">
        <f t="shared" si="38"/>
        <v>SÃO PAULO</v>
      </c>
      <c r="AE732" s="92" t="s">
        <v>79</v>
      </c>
    </row>
    <row r="733" spans="1:31" ht="30" customHeight="1">
      <c r="A733" s="197" t="s">
        <v>198</v>
      </c>
      <c r="B733" s="308">
        <v>2622337746</v>
      </c>
      <c r="C733" s="197" t="s">
        <v>1923</v>
      </c>
      <c r="D733" s="197" t="s">
        <v>79</v>
      </c>
      <c r="E733" s="197" t="s">
        <v>35</v>
      </c>
      <c r="F733" s="197" t="s">
        <v>405</v>
      </c>
      <c r="G733" s="197">
        <v>71</v>
      </c>
      <c r="H733" s="197" t="s">
        <v>329</v>
      </c>
      <c r="I733" s="197" t="s">
        <v>211</v>
      </c>
      <c r="J733" s="197" t="s">
        <v>1915</v>
      </c>
      <c r="K733" s="197" t="s">
        <v>2688</v>
      </c>
      <c r="L733" s="203">
        <v>46169.435416666667</v>
      </c>
      <c r="M733" s="203">
        <v>46169.436111111114</v>
      </c>
      <c r="N733" s="197" t="s">
        <v>2668</v>
      </c>
      <c r="O733" s="152" t="s">
        <v>207</v>
      </c>
      <c r="P733" s="90"/>
      <c r="Q733" s="140" t="s">
        <v>207</v>
      </c>
      <c r="R733" s="90"/>
      <c r="S733" s="140" t="s">
        <v>207</v>
      </c>
      <c r="T733" s="90"/>
      <c r="U733" s="140" t="s">
        <v>207</v>
      </c>
      <c r="V733" s="90"/>
      <c r="W733" s="140" t="s">
        <v>207</v>
      </c>
      <c r="X733" s="90"/>
      <c r="Y733" s="140" t="s">
        <v>207</v>
      </c>
      <c r="Z733" s="177" t="str">
        <f t="shared" si="40"/>
        <v>C</v>
      </c>
      <c r="AA733" s="190" t="str">
        <f t="shared" si="39"/>
        <v>UTILIZOU O PDA CORRETAMENTE</v>
      </c>
      <c r="AB733" s="90" t="s">
        <v>207</v>
      </c>
      <c r="AC733" s="156" t="s">
        <v>36</v>
      </c>
      <c r="AD733" s="145" t="str">
        <f t="shared" si="38"/>
        <v>SÃO PAULO</v>
      </c>
      <c r="AE733" s="92" t="s">
        <v>79</v>
      </c>
    </row>
    <row r="734" spans="1:31" ht="30" customHeight="1">
      <c r="A734" s="197" t="s">
        <v>198</v>
      </c>
      <c r="B734" s="308">
        <v>2622337986</v>
      </c>
      <c r="C734" s="197" t="s">
        <v>1923</v>
      </c>
      <c r="D734" s="197" t="s">
        <v>79</v>
      </c>
      <c r="E734" s="197" t="s">
        <v>35</v>
      </c>
      <c r="F734" s="197" t="s">
        <v>2818</v>
      </c>
      <c r="G734" s="197">
        <v>18</v>
      </c>
      <c r="H734" s="197" t="s">
        <v>205</v>
      </c>
      <c r="I734" s="197" t="s">
        <v>211</v>
      </c>
      <c r="J734" s="197" t="s">
        <v>1915</v>
      </c>
      <c r="K734" s="197" t="s">
        <v>2688</v>
      </c>
      <c r="L734" s="203">
        <v>46169.43472222222</v>
      </c>
      <c r="M734" s="203">
        <v>46169.435416666667</v>
      </c>
      <c r="N734" s="197" t="s">
        <v>2668</v>
      </c>
      <c r="O734" s="152" t="s">
        <v>207</v>
      </c>
      <c r="P734" s="90"/>
      <c r="Q734" s="140" t="s">
        <v>207</v>
      </c>
      <c r="R734" s="90"/>
      <c r="S734" s="140" t="s">
        <v>207</v>
      </c>
      <c r="T734" s="90"/>
      <c r="U734" s="140" t="s">
        <v>207</v>
      </c>
      <c r="V734" s="90"/>
      <c r="W734" s="140" t="s">
        <v>214</v>
      </c>
      <c r="X734" s="90"/>
      <c r="Y734" s="140" t="s">
        <v>207</v>
      </c>
      <c r="Z734" s="177" t="str">
        <f t="shared" si="40"/>
        <v>NC</v>
      </c>
      <c r="AA734" s="190" t="str">
        <f t="shared" si="39"/>
        <v>UTILIZOU O PDA CORRETAMENTE. NÃO HÁ FOTOS DE TODAS AS ETAPAS</v>
      </c>
      <c r="AB734" s="90"/>
      <c r="AC734" s="156" t="s">
        <v>36</v>
      </c>
      <c r="AD734" s="145" t="str">
        <f t="shared" si="38"/>
        <v>SÃO PAULO</v>
      </c>
      <c r="AE734" s="92" t="s">
        <v>79</v>
      </c>
    </row>
    <row r="735" spans="1:31" ht="30" customHeight="1">
      <c r="A735" s="197" t="s">
        <v>198</v>
      </c>
      <c r="B735" s="308">
        <v>2622335865</v>
      </c>
      <c r="C735" s="197" t="s">
        <v>1923</v>
      </c>
      <c r="D735" s="197" t="s">
        <v>79</v>
      </c>
      <c r="E735" s="197" t="s">
        <v>35</v>
      </c>
      <c r="F735" s="197" t="s">
        <v>659</v>
      </c>
      <c r="G735" s="197">
        <v>97</v>
      </c>
      <c r="H735" s="197" t="s">
        <v>205</v>
      </c>
      <c r="I735" s="197" t="s">
        <v>536</v>
      </c>
      <c r="J735" s="197" t="s">
        <v>1915</v>
      </c>
      <c r="K735" s="197" t="s">
        <v>2458</v>
      </c>
      <c r="L735" s="203">
        <v>46169.428472222222</v>
      </c>
      <c r="M735" s="203">
        <v>46169.429166666669</v>
      </c>
      <c r="N735" s="197" t="s">
        <v>1919</v>
      </c>
      <c r="O735" s="152" t="s">
        <v>214</v>
      </c>
      <c r="P735" s="90"/>
      <c r="Q735" s="140" t="s">
        <v>214</v>
      </c>
      <c r="R735" s="90"/>
      <c r="S735" s="140" t="s">
        <v>214</v>
      </c>
      <c r="T735" s="90"/>
      <c r="U735" s="140" t="s">
        <v>214</v>
      </c>
      <c r="V735" s="90"/>
      <c r="W735" s="140" t="s">
        <v>214</v>
      </c>
      <c r="X735" s="90"/>
      <c r="Y735" s="140" t="s">
        <v>215</v>
      </c>
      <c r="Z735" s="177" t="str">
        <f t="shared" si="40"/>
        <v>NC</v>
      </c>
      <c r="AA735" s="190" t="str">
        <f t="shared" si="39"/>
        <v>NÃO UTILIZOU O PDA</v>
      </c>
      <c r="AB735" s="90" t="s">
        <v>207</v>
      </c>
      <c r="AC735" s="156" t="s">
        <v>36</v>
      </c>
      <c r="AD735" s="145" t="str">
        <f t="shared" si="38"/>
        <v>SÃO PAULO</v>
      </c>
      <c r="AE735" s="92" t="s">
        <v>79</v>
      </c>
    </row>
    <row r="736" spans="1:31" ht="30" customHeight="1">
      <c r="A736" s="197" t="s">
        <v>198</v>
      </c>
      <c r="B736" s="308">
        <v>2622336024</v>
      </c>
      <c r="C736" s="197" t="s">
        <v>1923</v>
      </c>
      <c r="D736" s="197" t="s">
        <v>79</v>
      </c>
      <c r="E736" s="197" t="s">
        <v>35</v>
      </c>
      <c r="F736" s="197" t="s">
        <v>659</v>
      </c>
      <c r="G736" s="197">
        <v>97</v>
      </c>
      <c r="H736" s="197" t="s">
        <v>257</v>
      </c>
      <c r="I736" s="197" t="s">
        <v>536</v>
      </c>
      <c r="J736" s="197" t="s">
        <v>1915</v>
      </c>
      <c r="K736" s="197" t="s">
        <v>2458</v>
      </c>
      <c r="L736" s="203">
        <v>46169.431250000001</v>
      </c>
      <c r="M736" s="203">
        <v>46169.431944444441</v>
      </c>
      <c r="N736" s="197" t="s">
        <v>1919</v>
      </c>
      <c r="O736" s="152" t="s">
        <v>214</v>
      </c>
      <c r="P736" s="90"/>
      <c r="Q736" s="140" t="s">
        <v>214</v>
      </c>
      <c r="R736" s="90"/>
      <c r="S736" s="140" t="s">
        <v>214</v>
      </c>
      <c r="T736" s="90"/>
      <c r="U736" s="140" t="s">
        <v>214</v>
      </c>
      <c r="V736" s="90"/>
      <c r="W736" s="140" t="s">
        <v>214</v>
      </c>
      <c r="X736" s="90"/>
      <c r="Y736" s="140" t="s">
        <v>215</v>
      </c>
      <c r="Z736" s="177" t="str">
        <f t="shared" si="40"/>
        <v>NC</v>
      </c>
      <c r="AA736" s="190" t="str">
        <f t="shared" si="39"/>
        <v>NÃO UTILIZOU O PDA</v>
      </c>
      <c r="AB736" s="90" t="s">
        <v>207</v>
      </c>
      <c r="AC736" s="156" t="s">
        <v>36</v>
      </c>
      <c r="AD736" s="145" t="str">
        <f t="shared" si="38"/>
        <v>SÃO PAULO</v>
      </c>
      <c r="AE736" s="92" t="s">
        <v>79</v>
      </c>
    </row>
    <row r="737" spans="1:31" ht="30" customHeight="1">
      <c r="A737" s="197" t="s">
        <v>198</v>
      </c>
      <c r="B737" s="308">
        <v>2622339955</v>
      </c>
      <c r="C737" s="197" t="s">
        <v>1923</v>
      </c>
      <c r="D737" s="197" t="s">
        <v>79</v>
      </c>
      <c r="E737" s="197" t="s">
        <v>35</v>
      </c>
      <c r="F737" s="197" t="s">
        <v>2821</v>
      </c>
      <c r="G737" s="197">
        <v>338</v>
      </c>
      <c r="H737" s="197" t="s">
        <v>208</v>
      </c>
      <c r="I737" s="197" t="s">
        <v>287</v>
      </c>
      <c r="J737" s="197" t="s">
        <v>1915</v>
      </c>
      <c r="K737" s="197" t="s">
        <v>2458</v>
      </c>
      <c r="L737" s="203">
        <v>46169.43472222222</v>
      </c>
      <c r="M737" s="203">
        <v>46169.435416666667</v>
      </c>
      <c r="N737" s="197" t="s">
        <v>1919</v>
      </c>
      <c r="O737" s="152" t="s">
        <v>207</v>
      </c>
      <c r="P737" s="90"/>
      <c r="Q737" s="140" t="s">
        <v>214</v>
      </c>
      <c r="R737" s="90"/>
      <c r="S737" s="140" t="s">
        <v>214</v>
      </c>
      <c r="T737" s="90"/>
      <c r="U737" s="140" t="s">
        <v>214</v>
      </c>
      <c r="V737" s="90"/>
      <c r="W737" s="140" t="s">
        <v>207</v>
      </c>
      <c r="X737" s="90"/>
      <c r="Y737" s="140" t="s">
        <v>207</v>
      </c>
      <c r="Z737" s="177" t="str">
        <f t="shared" si="40"/>
        <v>NC</v>
      </c>
      <c r="AA737" s="190" t="str">
        <f t="shared" si="39"/>
        <v>UTILIZOU O PDA CORRETAMENTE. NÃO HÁ FOTOS DE TODAS AS ETAPAS</v>
      </c>
      <c r="AB737" s="90" t="s">
        <v>207</v>
      </c>
      <c r="AC737" s="156" t="s">
        <v>36</v>
      </c>
      <c r="AD737" s="145" t="str">
        <f t="shared" si="38"/>
        <v>SÃO PAULO</v>
      </c>
      <c r="AE737" s="92" t="s">
        <v>79</v>
      </c>
    </row>
    <row r="738" spans="1:31" ht="30" customHeight="1">
      <c r="A738" s="197" t="s">
        <v>198</v>
      </c>
      <c r="B738" s="308">
        <v>2622340372</v>
      </c>
      <c r="C738" s="197" t="s">
        <v>1923</v>
      </c>
      <c r="D738" s="197" t="s">
        <v>79</v>
      </c>
      <c r="E738" s="197" t="s">
        <v>35</v>
      </c>
      <c r="F738" s="197" t="s">
        <v>2822</v>
      </c>
      <c r="G738" s="197">
        <v>57</v>
      </c>
      <c r="H738" s="197" t="s">
        <v>205</v>
      </c>
      <c r="I738" s="197" t="s">
        <v>277</v>
      </c>
      <c r="J738" s="197" t="s">
        <v>1915</v>
      </c>
      <c r="K738" s="197" t="s">
        <v>2458</v>
      </c>
      <c r="L738" s="203">
        <v>46169.435416666667</v>
      </c>
      <c r="M738" s="203">
        <v>46169.436111111114</v>
      </c>
      <c r="N738" s="197" t="s">
        <v>1919</v>
      </c>
      <c r="O738" s="152" t="s">
        <v>207</v>
      </c>
      <c r="P738" s="90"/>
      <c r="Q738" s="140" t="s">
        <v>207</v>
      </c>
      <c r="R738" s="90"/>
      <c r="S738" s="140" t="s">
        <v>214</v>
      </c>
      <c r="T738" s="90"/>
      <c r="U738" s="140" t="s">
        <v>214</v>
      </c>
      <c r="V738" s="90"/>
      <c r="W738" s="140" t="s">
        <v>214</v>
      </c>
      <c r="X738" s="90"/>
      <c r="Y738" s="140" t="s">
        <v>207</v>
      </c>
      <c r="Z738" s="177" t="str">
        <f t="shared" si="40"/>
        <v>NC</v>
      </c>
      <c r="AA738" s="190" t="str">
        <f t="shared" si="39"/>
        <v>UTILIZOU O PDA CORRETAMENTE. NÃO HÁ FOTOS DE TODAS AS ETAPAS</v>
      </c>
      <c r="AB738" s="90" t="s">
        <v>207</v>
      </c>
      <c r="AC738" s="156" t="s">
        <v>36</v>
      </c>
      <c r="AD738" s="145" t="str">
        <f t="shared" ref="AD738:AD801" si="41">E738</f>
        <v>SÃO PAULO</v>
      </c>
      <c r="AE738" s="92" t="s">
        <v>79</v>
      </c>
    </row>
    <row r="739" spans="1:31" ht="30" customHeight="1">
      <c r="A739" s="197" t="s">
        <v>198</v>
      </c>
      <c r="B739" s="308">
        <v>2622340590</v>
      </c>
      <c r="C739" s="197" t="s">
        <v>1923</v>
      </c>
      <c r="D739" s="197" t="s">
        <v>79</v>
      </c>
      <c r="E739" s="197" t="s">
        <v>35</v>
      </c>
      <c r="F739" s="197" t="s">
        <v>1027</v>
      </c>
      <c r="G739" s="197">
        <v>415</v>
      </c>
      <c r="H739" s="197" t="s">
        <v>200</v>
      </c>
      <c r="I739" s="197" t="s">
        <v>355</v>
      </c>
      <c r="J739" s="197" t="s">
        <v>1915</v>
      </c>
      <c r="K739" s="197" t="s">
        <v>2458</v>
      </c>
      <c r="L739" s="203">
        <v>46169.436805555553</v>
      </c>
      <c r="M739" s="203">
        <v>46169.4375</v>
      </c>
      <c r="N739" s="197" t="s">
        <v>1919</v>
      </c>
      <c r="O739" s="152" t="s">
        <v>207</v>
      </c>
      <c r="P739" s="90"/>
      <c r="Q739" s="140" t="s">
        <v>214</v>
      </c>
      <c r="R739" s="90"/>
      <c r="S739" s="140" t="s">
        <v>214</v>
      </c>
      <c r="T739" s="90"/>
      <c r="U739" s="140" t="s">
        <v>214</v>
      </c>
      <c r="V739" s="90"/>
      <c r="W739" s="140" t="s">
        <v>207</v>
      </c>
      <c r="X739" s="90"/>
      <c r="Y739" s="140" t="s">
        <v>207</v>
      </c>
      <c r="Z739" s="177" t="str">
        <f t="shared" si="40"/>
        <v>NC</v>
      </c>
      <c r="AA739" s="190" t="str">
        <f t="shared" si="39"/>
        <v>UTILIZOU O PDA CORRETAMENTE. NÃO HÁ FOTOS DE TODAS AS ETAPAS</v>
      </c>
      <c r="AB739" s="90" t="s">
        <v>207</v>
      </c>
      <c r="AC739" s="156" t="s">
        <v>36</v>
      </c>
      <c r="AD739" s="145" t="str">
        <f t="shared" si="41"/>
        <v>SÃO PAULO</v>
      </c>
      <c r="AE739" s="92" t="s">
        <v>79</v>
      </c>
    </row>
    <row r="740" spans="1:31" ht="30" customHeight="1">
      <c r="A740" s="197" t="s">
        <v>198</v>
      </c>
      <c r="B740" s="308">
        <v>2622338672</v>
      </c>
      <c r="C740" s="197" t="s">
        <v>1923</v>
      </c>
      <c r="D740" s="197" t="s">
        <v>79</v>
      </c>
      <c r="E740" s="197" t="s">
        <v>35</v>
      </c>
      <c r="F740" s="197" t="s">
        <v>2823</v>
      </c>
      <c r="G740" s="197">
        <v>82</v>
      </c>
      <c r="H740" s="197" t="s">
        <v>208</v>
      </c>
      <c r="I740" s="197" t="s">
        <v>917</v>
      </c>
      <c r="J740" s="197" t="s">
        <v>1915</v>
      </c>
      <c r="K740" s="197" t="s">
        <v>2750</v>
      </c>
      <c r="L740" s="203">
        <v>46169.672222222223</v>
      </c>
      <c r="M740" s="203">
        <v>46169.672222222223</v>
      </c>
      <c r="N740" s="197" t="s">
        <v>1916</v>
      </c>
      <c r="O740" s="152" t="s">
        <v>207</v>
      </c>
      <c r="P740" s="90"/>
      <c r="Q740" s="140" t="s">
        <v>207</v>
      </c>
      <c r="R740" s="90"/>
      <c r="S740" s="140" t="s">
        <v>214</v>
      </c>
      <c r="T740" s="90"/>
      <c r="U740" s="140" t="s">
        <v>214</v>
      </c>
      <c r="V740" s="90"/>
      <c r="W740" s="140" t="s">
        <v>214</v>
      </c>
      <c r="X740" s="90"/>
      <c r="Y740" s="140" t="s">
        <v>207</v>
      </c>
      <c r="Z740" s="177" t="str">
        <f t="shared" si="40"/>
        <v>NC</v>
      </c>
      <c r="AA740" s="190" t="str">
        <f t="shared" si="39"/>
        <v>UTILIZOU O PDA CORRETAMENTE. NÃO HÁ FOTOS DE TODAS AS ETAPAS</v>
      </c>
      <c r="AB740" s="90" t="s">
        <v>207</v>
      </c>
      <c r="AC740" s="156" t="s">
        <v>36</v>
      </c>
      <c r="AD740" s="145" t="str">
        <f t="shared" si="41"/>
        <v>SÃO PAULO</v>
      </c>
      <c r="AE740" s="92" t="s">
        <v>79</v>
      </c>
    </row>
    <row r="741" spans="1:31" ht="30" customHeight="1">
      <c r="A741" s="197" t="s">
        <v>198</v>
      </c>
      <c r="B741" s="308">
        <v>2622338326</v>
      </c>
      <c r="C741" s="197" t="s">
        <v>1923</v>
      </c>
      <c r="D741" s="197" t="s">
        <v>79</v>
      </c>
      <c r="E741" s="197" t="s">
        <v>35</v>
      </c>
      <c r="F741" s="197" t="s">
        <v>651</v>
      </c>
      <c r="G741" s="197">
        <v>77</v>
      </c>
      <c r="H741" s="197" t="s">
        <v>200</v>
      </c>
      <c r="I741" s="197" t="s">
        <v>652</v>
      </c>
      <c r="J741" s="197" t="s">
        <v>1915</v>
      </c>
      <c r="K741" s="197" t="s">
        <v>2688</v>
      </c>
      <c r="L741" s="203">
        <v>46169.434027777781</v>
      </c>
      <c r="M741" s="203">
        <v>46169.43472222222</v>
      </c>
      <c r="N741" s="197" t="s">
        <v>2668</v>
      </c>
      <c r="O741" s="152" t="s">
        <v>207</v>
      </c>
      <c r="P741" s="90"/>
      <c r="Q741" s="140" t="s">
        <v>207</v>
      </c>
      <c r="R741" s="90"/>
      <c r="S741" s="140" t="s">
        <v>214</v>
      </c>
      <c r="T741" s="90"/>
      <c r="U741" s="140" t="s">
        <v>214</v>
      </c>
      <c r="V741" s="90"/>
      <c r="W741" s="140" t="s">
        <v>214</v>
      </c>
      <c r="X741" s="90"/>
      <c r="Y741" s="140" t="s">
        <v>207</v>
      </c>
      <c r="Z741" s="177" t="str">
        <f t="shared" si="40"/>
        <v>NC</v>
      </c>
      <c r="AA741" s="190" t="str">
        <f t="shared" si="39"/>
        <v>UTILIZOU O PDA CORRETAMENTE. NÃO HÁ FOTOS DE TODAS AS ETAPAS</v>
      </c>
      <c r="AB741" s="90" t="s">
        <v>207</v>
      </c>
      <c r="AC741" s="156" t="s">
        <v>36</v>
      </c>
      <c r="AD741" s="145" t="str">
        <f t="shared" si="41"/>
        <v>SÃO PAULO</v>
      </c>
      <c r="AE741" s="92" t="s">
        <v>79</v>
      </c>
    </row>
    <row r="742" spans="1:31" ht="30" customHeight="1">
      <c r="A742" s="197" t="s">
        <v>198</v>
      </c>
      <c r="B742" s="308">
        <v>2622338486</v>
      </c>
      <c r="C742" s="197" t="s">
        <v>1923</v>
      </c>
      <c r="D742" s="197" t="s">
        <v>79</v>
      </c>
      <c r="E742" s="197" t="s">
        <v>35</v>
      </c>
      <c r="F742" s="197" t="s">
        <v>2824</v>
      </c>
      <c r="G742" s="197">
        <v>52</v>
      </c>
      <c r="H742" s="197"/>
      <c r="I742" s="197" t="s">
        <v>652</v>
      </c>
      <c r="J742" s="197" t="s">
        <v>1915</v>
      </c>
      <c r="K742" s="197" t="s">
        <v>2688</v>
      </c>
      <c r="L742" s="203">
        <v>46169.432638888888</v>
      </c>
      <c r="M742" s="203">
        <v>46169.434027777781</v>
      </c>
      <c r="N742" s="197" t="s">
        <v>2668</v>
      </c>
      <c r="O742" s="152" t="s">
        <v>214</v>
      </c>
      <c r="P742" s="90"/>
      <c r="Q742" s="140" t="s">
        <v>207</v>
      </c>
      <c r="R742" s="90"/>
      <c r="S742" s="140" t="s">
        <v>207</v>
      </c>
      <c r="T742" s="90"/>
      <c r="U742" s="140" t="s">
        <v>207</v>
      </c>
      <c r="V742" s="90"/>
      <c r="W742" s="140" t="s">
        <v>214</v>
      </c>
      <c r="X742" s="90"/>
      <c r="Y742" s="140" t="s">
        <v>207</v>
      </c>
      <c r="Z742" s="177" t="str">
        <f t="shared" si="40"/>
        <v>NC</v>
      </c>
      <c r="AA742" s="190" t="str">
        <f t="shared" si="39"/>
        <v>UTILIZOU O PDA CORRETAMENTE. NÃO HÁ FOTOS DE TODAS AS ETAPAS</v>
      </c>
      <c r="AB742" s="90" t="s">
        <v>207</v>
      </c>
      <c r="AC742" s="156" t="s">
        <v>36</v>
      </c>
      <c r="AD742" s="145" t="str">
        <f t="shared" si="41"/>
        <v>SÃO PAULO</v>
      </c>
      <c r="AE742" s="92" t="s">
        <v>79</v>
      </c>
    </row>
    <row r="743" spans="1:31" ht="30" customHeight="1">
      <c r="A743" s="197" t="s">
        <v>198</v>
      </c>
      <c r="B743" s="308">
        <v>2622340161</v>
      </c>
      <c r="C743" s="197" t="s">
        <v>1923</v>
      </c>
      <c r="D743" s="197" t="s">
        <v>79</v>
      </c>
      <c r="E743" s="197" t="s">
        <v>35</v>
      </c>
      <c r="F743" s="197" t="s">
        <v>659</v>
      </c>
      <c r="G743" s="197">
        <v>97</v>
      </c>
      <c r="H743" s="197" t="s">
        <v>208</v>
      </c>
      <c r="I743" s="197" t="s">
        <v>536</v>
      </c>
      <c r="J743" s="197" t="s">
        <v>1915</v>
      </c>
      <c r="K743" s="197" t="s">
        <v>2458</v>
      </c>
      <c r="L743" s="203">
        <v>46169.429861111108</v>
      </c>
      <c r="M743" s="203">
        <v>46169.430555555555</v>
      </c>
      <c r="N743" s="197" t="s">
        <v>1919</v>
      </c>
      <c r="O743" s="152" t="s">
        <v>207</v>
      </c>
      <c r="P743" s="90"/>
      <c r="Q743" s="140" t="s">
        <v>207</v>
      </c>
      <c r="R743" s="90"/>
      <c r="S743" s="140" t="s">
        <v>214</v>
      </c>
      <c r="T743" s="90"/>
      <c r="U743" s="140" t="s">
        <v>214</v>
      </c>
      <c r="V743" s="90"/>
      <c r="W743" s="140" t="s">
        <v>214</v>
      </c>
      <c r="X743" s="90"/>
      <c r="Y743" s="140" t="s">
        <v>207</v>
      </c>
      <c r="Z743" s="177" t="str">
        <f t="shared" si="40"/>
        <v>NC</v>
      </c>
      <c r="AA743" s="190" t="str">
        <f t="shared" si="39"/>
        <v>UTILIZOU O PDA CORRETAMENTE. NÃO HÁ FOTOS DE TODAS AS ETAPAS</v>
      </c>
      <c r="AB743" s="90" t="s">
        <v>207</v>
      </c>
      <c r="AC743" s="156" t="s">
        <v>36</v>
      </c>
      <c r="AD743" s="145" t="str">
        <f t="shared" si="41"/>
        <v>SÃO PAULO</v>
      </c>
      <c r="AE743" s="92" t="s">
        <v>79</v>
      </c>
    </row>
    <row r="744" spans="1:31" ht="30" customHeight="1">
      <c r="A744" s="197" t="s">
        <v>198</v>
      </c>
      <c r="B744" s="308">
        <v>2622333083</v>
      </c>
      <c r="C744" s="197" t="s">
        <v>1923</v>
      </c>
      <c r="D744" s="197" t="s">
        <v>79</v>
      </c>
      <c r="E744" s="197" t="s">
        <v>35</v>
      </c>
      <c r="F744" s="197" t="s">
        <v>2825</v>
      </c>
      <c r="G744" s="197">
        <v>241</v>
      </c>
      <c r="H744" s="197" t="s">
        <v>205</v>
      </c>
      <c r="I744" s="197" t="s">
        <v>408</v>
      </c>
      <c r="J744" s="197" t="s">
        <v>1915</v>
      </c>
      <c r="K744" s="197" t="s">
        <v>2826</v>
      </c>
      <c r="L744" s="203">
        <v>46169.367361111108</v>
      </c>
      <c r="M744" s="203">
        <v>46169.368055555555</v>
      </c>
      <c r="N744" s="197" t="s">
        <v>1931</v>
      </c>
      <c r="O744" s="152" t="s">
        <v>207</v>
      </c>
      <c r="P744" s="90"/>
      <c r="Q744" s="140" t="s">
        <v>207</v>
      </c>
      <c r="R744" s="90"/>
      <c r="S744" s="140" t="s">
        <v>214</v>
      </c>
      <c r="T744" s="90"/>
      <c r="U744" s="140" t="s">
        <v>207</v>
      </c>
      <c r="V744" s="90"/>
      <c r="W744" s="140" t="s">
        <v>207</v>
      </c>
      <c r="X744" s="90"/>
      <c r="Y744" s="140" t="s">
        <v>207</v>
      </c>
      <c r="Z744" s="177" t="str">
        <f t="shared" si="40"/>
        <v>NC</v>
      </c>
      <c r="AA744" s="190" t="str">
        <f t="shared" si="39"/>
        <v>UTILIZOU O PDA CORRETAMENTE. NÃO HÁ FOTOS DE TODAS AS ETAPAS</v>
      </c>
      <c r="AB744" s="90" t="s">
        <v>207</v>
      </c>
      <c r="AC744" s="156" t="s">
        <v>36</v>
      </c>
      <c r="AD744" s="145" t="str">
        <f t="shared" si="41"/>
        <v>SÃO PAULO</v>
      </c>
      <c r="AE744" s="92" t="s">
        <v>79</v>
      </c>
    </row>
    <row r="745" spans="1:31" ht="30" customHeight="1">
      <c r="A745" s="197" t="s">
        <v>198</v>
      </c>
      <c r="B745" s="308">
        <v>2622343180</v>
      </c>
      <c r="C745" s="197" t="s">
        <v>1923</v>
      </c>
      <c r="D745" s="197" t="s">
        <v>79</v>
      </c>
      <c r="E745" s="197" t="s">
        <v>35</v>
      </c>
      <c r="F745" s="197" t="s">
        <v>2618</v>
      </c>
      <c r="G745" s="197">
        <v>424</v>
      </c>
      <c r="H745" s="197" t="s">
        <v>200</v>
      </c>
      <c r="I745" s="197" t="s">
        <v>455</v>
      </c>
      <c r="J745" s="197" t="s">
        <v>1915</v>
      </c>
      <c r="K745" s="197" t="s">
        <v>2688</v>
      </c>
      <c r="L745" s="203">
        <v>46169.431250000001</v>
      </c>
      <c r="M745" s="203">
        <v>46169.431944444441</v>
      </c>
      <c r="N745" s="197" t="s">
        <v>2668</v>
      </c>
      <c r="O745" s="152" t="s">
        <v>207</v>
      </c>
      <c r="P745" s="90"/>
      <c r="Q745" s="140" t="s">
        <v>207</v>
      </c>
      <c r="R745" s="90"/>
      <c r="S745" s="140" t="s">
        <v>214</v>
      </c>
      <c r="T745" s="90"/>
      <c r="U745" s="140" t="s">
        <v>207</v>
      </c>
      <c r="V745" s="90"/>
      <c r="W745" s="140" t="s">
        <v>214</v>
      </c>
      <c r="X745" s="90"/>
      <c r="Y745" s="140" t="s">
        <v>207</v>
      </c>
      <c r="Z745" s="177" t="str">
        <f t="shared" si="40"/>
        <v>NC</v>
      </c>
      <c r="AA745" s="190" t="str">
        <f t="shared" si="39"/>
        <v>UTILIZOU O PDA CORRETAMENTE. NÃO HÁ FOTOS DE TODAS AS ETAPAS</v>
      </c>
      <c r="AB745" s="90" t="s">
        <v>207</v>
      </c>
      <c r="AC745" s="156" t="s">
        <v>36</v>
      </c>
      <c r="AD745" s="145" t="str">
        <f t="shared" si="41"/>
        <v>SÃO PAULO</v>
      </c>
      <c r="AE745" s="92" t="s">
        <v>79</v>
      </c>
    </row>
    <row r="746" spans="1:31" ht="30" customHeight="1">
      <c r="A746" s="197" t="s">
        <v>198</v>
      </c>
      <c r="B746" s="308">
        <v>2622343607</v>
      </c>
      <c r="C746" s="197" t="s">
        <v>1923</v>
      </c>
      <c r="D746" s="197" t="s">
        <v>79</v>
      </c>
      <c r="E746" s="197" t="s">
        <v>35</v>
      </c>
      <c r="F746" s="197" t="s">
        <v>2827</v>
      </c>
      <c r="G746" s="197">
        <v>312</v>
      </c>
      <c r="H746" s="197" t="s">
        <v>347</v>
      </c>
      <c r="I746" s="197" t="s">
        <v>675</v>
      </c>
      <c r="J746" s="197" t="s">
        <v>1915</v>
      </c>
      <c r="K746" s="197" t="s">
        <v>2828</v>
      </c>
      <c r="L746" s="203">
        <v>46169.362500000003</v>
      </c>
      <c r="M746" s="203">
        <v>46169.364583333336</v>
      </c>
      <c r="N746" s="197" t="s">
        <v>1931</v>
      </c>
      <c r="O746" s="152" t="s">
        <v>207</v>
      </c>
      <c r="P746" s="90"/>
      <c r="Q746" s="140" t="s">
        <v>207</v>
      </c>
      <c r="R746" s="90"/>
      <c r="S746" s="140" t="s">
        <v>214</v>
      </c>
      <c r="T746" s="90"/>
      <c r="U746" s="140" t="s">
        <v>214</v>
      </c>
      <c r="V746" s="90"/>
      <c r="W746" s="140" t="s">
        <v>207</v>
      </c>
      <c r="X746" s="90"/>
      <c r="Y746" s="140" t="s">
        <v>207</v>
      </c>
      <c r="Z746" s="177" t="str">
        <f t="shared" si="40"/>
        <v>NC</v>
      </c>
      <c r="AA746" s="190" t="str">
        <f t="shared" si="39"/>
        <v>UTILIZOU O PDA CORRETAMENTE. NÃO HÁ FOTOS DE TODAS AS ETAPAS</v>
      </c>
      <c r="AB746" s="90" t="s">
        <v>207</v>
      </c>
      <c r="AC746" s="156" t="s">
        <v>36</v>
      </c>
      <c r="AD746" s="145" t="str">
        <f t="shared" si="41"/>
        <v>SÃO PAULO</v>
      </c>
      <c r="AE746" s="92" t="s">
        <v>79</v>
      </c>
    </row>
    <row r="747" spans="1:31" ht="30" customHeight="1">
      <c r="A747" s="197" t="s">
        <v>198</v>
      </c>
      <c r="B747" s="308">
        <v>2622342647</v>
      </c>
      <c r="C747" s="197" t="s">
        <v>1923</v>
      </c>
      <c r="D747" s="197" t="s">
        <v>79</v>
      </c>
      <c r="E747" s="197" t="s">
        <v>35</v>
      </c>
      <c r="F747" s="197" t="s">
        <v>505</v>
      </c>
      <c r="G747" s="197">
        <v>34</v>
      </c>
      <c r="H747" s="197" t="s">
        <v>200</v>
      </c>
      <c r="I747" s="197" t="s">
        <v>455</v>
      </c>
      <c r="J747" s="197" t="s">
        <v>1915</v>
      </c>
      <c r="K747" s="197" t="s">
        <v>2688</v>
      </c>
      <c r="L747" s="203">
        <v>46169.431944444441</v>
      </c>
      <c r="M747" s="203">
        <v>46169.432638888888</v>
      </c>
      <c r="N747" s="197" t="s">
        <v>2668</v>
      </c>
      <c r="O747" s="152" t="s">
        <v>207</v>
      </c>
      <c r="P747" s="90"/>
      <c r="Q747" s="140" t="s">
        <v>207</v>
      </c>
      <c r="R747" s="90"/>
      <c r="S747" s="140" t="s">
        <v>207</v>
      </c>
      <c r="T747" s="90"/>
      <c r="U747" s="140" t="s">
        <v>207</v>
      </c>
      <c r="V747" s="90"/>
      <c r="W747" s="140" t="s">
        <v>207</v>
      </c>
      <c r="X747" s="90"/>
      <c r="Y747" s="140" t="s">
        <v>207</v>
      </c>
      <c r="Z747" s="177" t="str">
        <f t="shared" si="40"/>
        <v>C</v>
      </c>
      <c r="AA747" s="190" t="str">
        <f t="shared" si="39"/>
        <v>UTILIZOU O PDA CORRETAMENTE</v>
      </c>
      <c r="AB747" s="90" t="s">
        <v>207</v>
      </c>
      <c r="AC747" s="156" t="s">
        <v>36</v>
      </c>
      <c r="AD747" s="145" t="str">
        <f t="shared" si="41"/>
        <v>SÃO PAULO</v>
      </c>
      <c r="AE747" s="92" t="s">
        <v>79</v>
      </c>
    </row>
    <row r="748" spans="1:31" ht="30" customHeight="1">
      <c r="A748" s="197" t="s">
        <v>198</v>
      </c>
      <c r="B748" s="308">
        <v>2622343233</v>
      </c>
      <c r="C748" s="197" t="s">
        <v>1923</v>
      </c>
      <c r="D748" s="197" t="s">
        <v>79</v>
      </c>
      <c r="E748" s="197" t="s">
        <v>35</v>
      </c>
      <c r="F748" s="197" t="s">
        <v>2829</v>
      </c>
      <c r="G748" s="197">
        <v>124</v>
      </c>
      <c r="H748" s="197"/>
      <c r="I748" s="197" t="s">
        <v>300</v>
      </c>
      <c r="J748" s="197" t="s">
        <v>1915</v>
      </c>
      <c r="K748" s="197"/>
      <c r="L748" s="203">
        <v>46169.396527777775</v>
      </c>
      <c r="M748" s="203">
        <v>46169.397916666669</v>
      </c>
      <c r="N748" s="197" t="s">
        <v>390</v>
      </c>
      <c r="O748" s="152" t="s">
        <v>207</v>
      </c>
      <c r="P748" s="90"/>
      <c r="Q748" s="140" t="s">
        <v>214</v>
      </c>
      <c r="R748" s="90"/>
      <c r="S748" s="140" t="s">
        <v>214</v>
      </c>
      <c r="T748" s="90"/>
      <c r="U748" s="140" t="s">
        <v>214</v>
      </c>
      <c r="V748" s="90"/>
      <c r="W748" s="140" t="s">
        <v>207</v>
      </c>
      <c r="X748" s="90"/>
      <c r="Y748" s="140" t="s">
        <v>207</v>
      </c>
      <c r="Z748" s="177" t="str">
        <f t="shared" si="40"/>
        <v>NC</v>
      </c>
      <c r="AA748" s="190" t="str">
        <f t="shared" si="39"/>
        <v>UTILIZOU O PDA CORRETAMENTE. NÃO HÁ FOTOS DE TODAS AS ETAPAS</v>
      </c>
      <c r="AB748" s="90" t="s">
        <v>207</v>
      </c>
      <c r="AC748" s="156" t="s">
        <v>36</v>
      </c>
      <c r="AD748" s="145" t="str">
        <f t="shared" si="41"/>
        <v>SÃO PAULO</v>
      </c>
      <c r="AE748" s="92" t="s">
        <v>79</v>
      </c>
    </row>
    <row r="749" spans="1:31" ht="30" customHeight="1">
      <c r="A749" s="273"/>
      <c r="B749" s="273"/>
      <c r="C749" s="273"/>
      <c r="D749" s="273"/>
      <c r="E749" s="273"/>
      <c r="F749" s="273"/>
      <c r="G749" s="273"/>
      <c r="H749" s="273"/>
      <c r="I749" s="273"/>
      <c r="J749" s="273"/>
      <c r="K749" s="273"/>
      <c r="L749" s="273"/>
      <c r="M749" s="273"/>
      <c r="N749" s="273"/>
      <c r="O749" s="152"/>
      <c r="P749" s="90"/>
      <c r="Q749" s="140"/>
      <c r="R749" s="90"/>
      <c r="S749" s="140"/>
      <c r="T749" s="90"/>
      <c r="U749" s="140"/>
      <c r="V749" s="90"/>
      <c r="W749" s="140"/>
      <c r="X749" s="90"/>
      <c r="Y749" s="140"/>
      <c r="Z749" s="177" t="str">
        <f t="shared" si="40"/>
        <v/>
      </c>
      <c r="AA749" s="190" t="b">
        <f t="shared" si="39"/>
        <v>0</v>
      </c>
      <c r="AB749" s="90"/>
      <c r="AC749" s="156" t="s">
        <v>36</v>
      </c>
      <c r="AD749" s="145">
        <f t="shared" si="41"/>
        <v>0</v>
      </c>
      <c r="AE749" s="92" t="s">
        <v>79</v>
      </c>
    </row>
    <row r="750" spans="1:31" ht="30" customHeight="1">
      <c r="A750" s="150"/>
      <c r="B750" s="150"/>
      <c r="C750" s="150"/>
      <c r="D750" s="150"/>
      <c r="E750" s="150"/>
      <c r="F750" s="150"/>
      <c r="G750" s="150"/>
      <c r="H750" s="150"/>
      <c r="I750" s="150"/>
      <c r="J750" s="150"/>
      <c r="K750" s="150"/>
      <c r="L750" s="150"/>
      <c r="M750" s="150"/>
      <c r="N750" s="150"/>
      <c r="O750" s="152"/>
      <c r="P750" s="90"/>
      <c r="Q750" s="140"/>
      <c r="R750" s="90"/>
      <c r="S750" s="140"/>
      <c r="T750" s="90"/>
      <c r="U750" s="140"/>
      <c r="V750" s="90"/>
      <c r="W750" s="140"/>
      <c r="X750" s="90"/>
      <c r="Y750" s="140"/>
      <c r="Z750" s="177" t="str">
        <f t="shared" si="40"/>
        <v/>
      </c>
      <c r="AA750" s="190" t="b">
        <f t="shared" si="39"/>
        <v>0</v>
      </c>
      <c r="AB750" s="90"/>
      <c r="AC750" s="156" t="s">
        <v>36</v>
      </c>
      <c r="AD750" s="145">
        <f t="shared" si="41"/>
        <v>0</v>
      </c>
      <c r="AE750" s="92" t="s">
        <v>79</v>
      </c>
    </row>
    <row r="751" spans="1:31" ht="30" customHeight="1">
      <c r="A751" s="150"/>
      <c r="B751" s="150"/>
      <c r="C751" s="150"/>
      <c r="D751" s="150"/>
      <c r="E751" s="150"/>
      <c r="F751" s="150"/>
      <c r="G751" s="150"/>
      <c r="H751" s="150"/>
      <c r="I751" s="150"/>
      <c r="J751" s="150"/>
      <c r="K751" s="150"/>
      <c r="L751" s="150"/>
      <c r="M751" s="150"/>
      <c r="N751" s="150"/>
      <c r="O751" s="152"/>
      <c r="P751" s="90"/>
      <c r="Q751" s="140"/>
      <c r="R751" s="90"/>
      <c r="S751" s="140"/>
      <c r="T751" s="90"/>
      <c r="U751" s="140"/>
      <c r="V751" s="90"/>
      <c r="W751" s="140"/>
      <c r="X751" s="90"/>
      <c r="Y751" s="140"/>
      <c r="Z751" s="177" t="str">
        <f t="shared" si="40"/>
        <v/>
      </c>
      <c r="AA751" s="190" t="b">
        <f t="shared" si="39"/>
        <v>0</v>
      </c>
      <c r="AB751" s="90"/>
      <c r="AC751" s="156" t="s">
        <v>36</v>
      </c>
      <c r="AD751" s="145">
        <f t="shared" si="41"/>
        <v>0</v>
      </c>
      <c r="AE751" s="92" t="s">
        <v>79</v>
      </c>
    </row>
    <row r="752" spans="1:31" ht="30" customHeight="1">
      <c r="A752" s="150"/>
      <c r="B752" s="150"/>
      <c r="C752" s="150"/>
      <c r="D752" s="150"/>
      <c r="E752" s="150"/>
      <c r="F752" s="150"/>
      <c r="G752" s="150"/>
      <c r="H752" s="150"/>
      <c r="I752" s="150"/>
      <c r="J752" s="150"/>
      <c r="K752" s="150"/>
      <c r="L752" s="150"/>
      <c r="M752" s="150"/>
      <c r="N752" s="150"/>
      <c r="O752" s="152"/>
      <c r="P752" s="90"/>
      <c r="Q752" s="140"/>
      <c r="R752" s="90"/>
      <c r="S752" s="140"/>
      <c r="T752" s="90"/>
      <c r="U752" s="140"/>
      <c r="V752" s="90"/>
      <c r="W752" s="140"/>
      <c r="X752" s="90"/>
      <c r="Y752" s="140"/>
      <c r="Z752" s="177" t="str">
        <f t="shared" si="40"/>
        <v/>
      </c>
      <c r="AA752" s="190" t="b">
        <f t="shared" si="39"/>
        <v>0</v>
      </c>
      <c r="AB752" s="90"/>
      <c r="AC752" s="156" t="s">
        <v>36</v>
      </c>
      <c r="AD752" s="145">
        <f t="shared" si="41"/>
        <v>0</v>
      </c>
      <c r="AE752" s="92" t="s">
        <v>79</v>
      </c>
    </row>
    <row r="753" spans="1:31" ht="30" customHeight="1">
      <c r="A753" s="150"/>
      <c r="B753" s="150"/>
      <c r="C753" s="150"/>
      <c r="D753" s="150"/>
      <c r="E753" s="150"/>
      <c r="F753" s="150"/>
      <c r="G753" s="150"/>
      <c r="H753" s="150"/>
      <c r="I753" s="150"/>
      <c r="J753" s="150"/>
      <c r="K753" s="150"/>
      <c r="L753" s="150"/>
      <c r="M753" s="150"/>
      <c r="N753" s="150"/>
      <c r="O753" s="152"/>
      <c r="P753" s="90"/>
      <c r="Q753" s="140"/>
      <c r="R753" s="90"/>
      <c r="S753" s="140"/>
      <c r="T753" s="90"/>
      <c r="U753" s="140"/>
      <c r="V753" s="90"/>
      <c r="W753" s="140"/>
      <c r="X753" s="90"/>
      <c r="Y753" s="140"/>
      <c r="Z753" s="177" t="str">
        <f t="shared" si="40"/>
        <v/>
      </c>
      <c r="AA753" s="190" t="b">
        <f t="shared" si="39"/>
        <v>0</v>
      </c>
      <c r="AB753" s="90"/>
      <c r="AC753" s="156" t="s">
        <v>36</v>
      </c>
      <c r="AD753" s="145">
        <f t="shared" si="41"/>
        <v>0</v>
      </c>
      <c r="AE753" s="92" t="s">
        <v>79</v>
      </c>
    </row>
    <row r="754" spans="1:31" ht="30" customHeight="1">
      <c r="A754" s="150"/>
      <c r="B754" s="150"/>
      <c r="C754" s="150"/>
      <c r="D754" s="150"/>
      <c r="E754" s="150"/>
      <c r="F754" s="150"/>
      <c r="G754" s="150"/>
      <c r="H754" s="150"/>
      <c r="I754" s="150"/>
      <c r="J754" s="150"/>
      <c r="K754" s="150"/>
      <c r="L754" s="150"/>
      <c r="M754" s="150"/>
      <c r="N754" s="150"/>
      <c r="O754" s="152"/>
      <c r="P754" s="90"/>
      <c r="Q754" s="140"/>
      <c r="R754" s="90"/>
      <c r="S754" s="140"/>
      <c r="T754" s="90"/>
      <c r="U754" s="140"/>
      <c r="V754" s="90"/>
      <c r="W754" s="140"/>
      <c r="X754" s="90"/>
      <c r="Y754" s="140"/>
      <c r="Z754" s="177" t="str">
        <f t="shared" si="40"/>
        <v/>
      </c>
      <c r="AA754" s="190" t="b">
        <f t="shared" si="39"/>
        <v>0</v>
      </c>
      <c r="AB754" s="90"/>
      <c r="AC754" s="156" t="s">
        <v>36</v>
      </c>
      <c r="AD754" s="145">
        <f t="shared" si="41"/>
        <v>0</v>
      </c>
      <c r="AE754" s="92" t="s">
        <v>79</v>
      </c>
    </row>
    <row r="755" spans="1:31" ht="30" customHeight="1">
      <c r="A755" s="150"/>
      <c r="B755" s="150"/>
      <c r="C755" s="150"/>
      <c r="D755" s="150"/>
      <c r="E755" s="150"/>
      <c r="F755" s="150"/>
      <c r="G755" s="150"/>
      <c r="H755" s="150"/>
      <c r="I755" s="150"/>
      <c r="J755" s="150"/>
      <c r="K755" s="150"/>
      <c r="L755" s="150"/>
      <c r="M755" s="150"/>
      <c r="N755" s="150"/>
      <c r="O755" s="152"/>
      <c r="P755" s="90"/>
      <c r="Q755" s="140"/>
      <c r="R755" s="90"/>
      <c r="S755" s="140"/>
      <c r="T755" s="90"/>
      <c r="U755" s="140"/>
      <c r="V755" s="90"/>
      <c r="W755" s="140"/>
      <c r="X755" s="90"/>
      <c r="Y755" s="140"/>
      <c r="Z755" s="177" t="str">
        <f t="shared" si="40"/>
        <v/>
      </c>
      <c r="AA755" s="190" t="b">
        <f t="shared" si="39"/>
        <v>0</v>
      </c>
      <c r="AB755" s="90"/>
      <c r="AC755" s="156" t="s">
        <v>36</v>
      </c>
      <c r="AD755" s="145">
        <f t="shared" si="41"/>
        <v>0</v>
      </c>
      <c r="AE755" s="92" t="s">
        <v>79</v>
      </c>
    </row>
    <row r="756" spans="1:31" ht="30" customHeight="1">
      <c r="A756" s="150"/>
      <c r="B756" s="150"/>
      <c r="C756" s="150"/>
      <c r="D756" s="150"/>
      <c r="E756" s="150"/>
      <c r="F756" s="150"/>
      <c r="G756" s="150"/>
      <c r="H756" s="150"/>
      <c r="I756" s="150"/>
      <c r="J756" s="150"/>
      <c r="K756" s="150"/>
      <c r="L756" s="150"/>
      <c r="M756" s="150"/>
      <c r="N756" s="150"/>
      <c r="O756" s="152"/>
      <c r="P756" s="90"/>
      <c r="Q756" s="140"/>
      <c r="R756" s="90"/>
      <c r="S756" s="140"/>
      <c r="T756" s="90"/>
      <c r="U756" s="140"/>
      <c r="V756" s="90"/>
      <c r="W756" s="140"/>
      <c r="X756" s="90"/>
      <c r="Y756" s="140"/>
      <c r="Z756" s="177" t="str">
        <f t="shared" si="40"/>
        <v/>
      </c>
      <c r="AA756" s="190" t="b">
        <f t="shared" si="39"/>
        <v>0</v>
      </c>
      <c r="AB756" s="90"/>
      <c r="AC756" s="156" t="s">
        <v>36</v>
      </c>
      <c r="AD756" s="145">
        <f t="shared" si="41"/>
        <v>0</v>
      </c>
      <c r="AE756" s="92" t="s">
        <v>79</v>
      </c>
    </row>
    <row r="757" spans="1:31" ht="30" customHeight="1">
      <c r="A757" s="150"/>
      <c r="B757" s="150"/>
      <c r="C757" s="150"/>
      <c r="D757" s="150"/>
      <c r="E757" s="150"/>
      <c r="F757" s="150"/>
      <c r="G757" s="150"/>
      <c r="H757" s="150"/>
      <c r="I757" s="150"/>
      <c r="J757" s="150"/>
      <c r="K757" s="150"/>
      <c r="L757" s="150"/>
      <c r="M757" s="150"/>
      <c r="N757" s="150"/>
      <c r="O757" s="152"/>
      <c r="P757" s="90"/>
      <c r="Q757" s="140"/>
      <c r="R757" s="90"/>
      <c r="S757" s="140"/>
      <c r="T757" s="90"/>
      <c r="U757" s="140"/>
      <c r="V757" s="90"/>
      <c r="W757" s="140"/>
      <c r="X757" s="90"/>
      <c r="Y757" s="140"/>
      <c r="Z757" s="177" t="str">
        <f t="shared" si="40"/>
        <v/>
      </c>
      <c r="AA757" s="190" t="b">
        <f t="shared" si="39"/>
        <v>0</v>
      </c>
      <c r="AB757" s="90"/>
      <c r="AC757" s="156" t="s">
        <v>36</v>
      </c>
      <c r="AD757" s="145">
        <f t="shared" si="41"/>
        <v>0</v>
      </c>
      <c r="AE757" s="92" t="s">
        <v>79</v>
      </c>
    </row>
    <row r="758" spans="1:31" ht="30" customHeight="1">
      <c r="A758" s="150"/>
      <c r="B758" s="150"/>
      <c r="C758" s="150"/>
      <c r="D758" s="150"/>
      <c r="E758" s="150"/>
      <c r="F758" s="150"/>
      <c r="G758" s="150"/>
      <c r="H758" s="150"/>
      <c r="I758" s="150"/>
      <c r="J758" s="150"/>
      <c r="K758" s="150"/>
      <c r="L758" s="150"/>
      <c r="M758" s="150"/>
      <c r="N758" s="150"/>
      <c r="O758" s="152"/>
      <c r="P758" s="90"/>
      <c r="Q758" s="140"/>
      <c r="R758" s="90"/>
      <c r="S758" s="140"/>
      <c r="T758" s="90"/>
      <c r="U758" s="140"/>
      <c r="V758" s="90"/>
      <c r="W758" s="140"/>
      <c r="X758" s="90"/>
      <c r="Y758" s="140"/>
      <c r="Z758" s="177" t="str">
        <f t="shared" si="40"/>
        <v/>
      </c>
      <c r="AA758" s="190" t="b">
        <f t="shared" si="39"/>
        <v>0</v>
      </c>
      <c r="AB758" s="90"/>
      <c r="AC758" s="156" t="s">
        <v>36</v>
      </c>
      <c r="AD758" s="145">
        <f t="shared" si="41"/>
        <v>0</v>
      </c>
      <c r="AE758" s="92" t="s">
        <v>79</v>
      </c>
    </row>
    <row r="759" spans="1:31" ht="30" customHeight="1">
      <c r="A759" s="150"/>
      <c r="B759" s="150"/>
      <c r="C759" s="150"/>
      <c r="D759" s="150"/>
      <c r="E759" s="150"/>
      <c r="F759" s="150"/>
      <c r="G759" s="150"/>
      <c r="H759" s="150"/>
      <c r="I759" s="150"/>
      <c r="J759" s="150"/>
      <c r="K759" s="150"/>
      <c r="L759" s="150"/>
      <c r="M759" s="150"/>
      <c r="N759" s="150"/>
      <c r="O759" s="152"/>
      <c r="P759" s="90"/>
      <c r="Q759" s="140"/>
      <c r="R759" s="90"/>
      <c r="S759" s="140"/>
      <c r="T759" s="90"/>
      <c r="U759" s="140"/>
      <c r="V759" s="90"/>
      <c r="W759" s="140"/>
      <c r="X759" s="90"/>
      <c r="Y759" s="140"/>
      <c r="Z759" s="177" t="str">
        <f t="shared" si="40"/>
        <v/>
      </c>
      <c r="AA759" s="190" t="b">
        <f t="shared" si="39"/>
        <v>0</v>
      </c>
      <c r="AB759" s="90"/>
      <c r="AC759" s="156" t="s">
        <v>36</v>
      </c>
      <c r="AD759" s="145">
        <f t="shared" si="41"/>
        <v>0</v>
      </c>
      <c r="AE759" s="92" t="s">
        <v>79</v>
      </c>
    </row>
    <row r="760" spans="1:31" ht="30" customHeight="1">
      <c r="A760" s="150"/>
      <c r="B760" s="150"/>
      <c r="C760" s="150"/>
      <c r="D760" s="150"/>
      <c r="E760" s="150"/>
      <c r="F760" s="150"/>
      <c r="G760" s="150"/>
      <c r="H760" s="150"/>
      <c r="I760" s="150"/>
      <c r="J760" s="150"/>
      <c r="K760" s="150"/>
      <c r="L760" s="150"/>
      <c r="M760" s="150"/>
      <c r="N760" s="150"/>
      <c r="O760" s="152"/>
      <c r="P760" s="90"/>
      <c r="Q760" s="140"/>
      <c r="R760" s="90"/>
      <c r="S760" s="140"/>
      <c r="T760" s="90"/>
      <c r="U760" s="140"/>
      <c r="V760" s="90"/>
      <c r="W760" s="140"/>
      <c r="X760" s="90"/>
      <c r="Y760" s="140"/>
      <c r="Z760" s="177" t="str">
        <f t="shared" si="40"/>
        <v/>
      </c>
      <c r="AA760" s="190" t="b">
        <f t="shared" si="39"/>
        <v>0</v>
      </c>
      <c r="AB760" s="90"/>
      <c r="AC760" s="156" t="s">
        <v>36</v>
      </c>
      <c r="AD760" s="145">
        <f t="shared" si="41"/>
        <v>0</v>
      </c>
      <c r="AE760" s="92" t="s">
        <v>79</v>
      </c>
    </row>
    <row r="761" spans="1:31" ht="30" customHeight="1">
      <c r="A761" s="150"/>
      <c r="B761" s="150"/>
      <c r="C761" s="150"/>
      <c r="D761" s="150"/>
      <c r="E761" s="150"/>
      <c r="F761" s="150"/>
      <c r="G761" s="150"/>
      <c r="H761" s="150"/>
      <c r="I761" s="150"/>
      <c r="J761" s="150"/>
      <c r="K761" s="150"/>
      <c r="L761" s="150"/>
      <c r="M761" s="150"/>
      <c r="N761" s="150"/>
      <c r="O761" s="152"/>
      <c r="P761" s="90"/>
      <c r="Q761" s="140"/>
      <c r="R761" s="90"/>
      <c r="S761" s="140"/>
      <c r="T761" s="90"/>
      <c r="U761" s="140"/>
      <c r="V761" s="90"/>
      <c r="W761" s="140"/>
      <c r="X761" s="90"/>
      <c r="Y761" s="140"/>
      <c r="Z761" s="177" t="str">
        <f t="shared" si="40"/>
        <v/>
      </c>
      <c r="AA761" s="190" t="b">
        <f t="shared" si="39"/>
        <v>0</v>
      </c>
      <c r="AB761" s="90"/>
      <c r="AC761" s="156" t="s">
        <v>36</v>
      </c>
      <c r="AD761" s="145">
        <f t="shared" si="41"/>
        <v>0</v>
      </c>
      <c r="AE761" s="92" t="s">
        <v>79</v>
      </c>
    </row>
    <row r="762" spans="1:31" ht="30" customHeight="1">
      <c r="A762" s="150"/>
      <c r="B762" s="150"/>
      <c r="C762" s="150"/>
      <c r="D762" s="150"/>
      <c r="E762" s="150"/>
      <c r="F762" s="150"/>
      <c r="G762" s="150"/>
      <c r="H762" s="150"/>
      <c r="I762" s="150"/>
      <c r="J762" s="150"/>
      <c r="K762" s="150"/>
      <c r="L762" s="150"/>
      <c r="M762" s="150"/>
      <c r="N762" s="150"/>
      <c r="O762" s="152"/>
      <c r="P762" s="90"/>
      <c r="Q762" s="140"/>
      <c r="R762" s="90"/>
      <c r="S762" s="140"/>
      <c r="T762" s="90"/>
      <c r="U762" s="140"/>
      <c r="V762" s="90"/>
      <c r="W762" s="140"/>
      <c r="X762" s="90"/>
      <c r="Y762" s="140"/>
      <c r="Z762" s="177" t="str">
        <f t="shared" si="40"/>
        <v/>
      </c>
      <c r="AA762" s="190" t="b">
        <f t="shared" si="39"/>
        <v>0</v>
      </c>
      <c r="AB762" s="90"/>
      <c r="AC762" s="156" t="s">
        <v>36</v>
      </c>
      <c r="AD762" s="145">
        <f t="shared" si="41"/>
        <v>0</v>
      </c>
      <c r="AE762" s="92" t="s">
        <v>79</v>
      </c>
    </row>
    <row r="763" spans="1:31" ht="30" customHeight="1">
      <c r="A763" s="150"/>
      <c r="B763" s="150"/>
      <c r="C763" s="150"/>
      <c r="D763" s="150"/>
      <c r="E763" s="150"/>
      <c r="F763" s="150"/>
      <c r="G763" s="150"/>
      <c r="H763" s="150"/>
      <c r="I763" s="150"/>
      <c r="J763" s="150"/>
      <c r="K763" s="150"/>
      <c r="L763" s="150"/>
      <c r="M763" s="150"/>
      <c r="N763" s="150"/>
      <c r="O763" s="152"/>
      <c r="P763" s="90"/>
      <c r="Q763" s="140"/>
      <c r="R763" s="90"/>
      <c r="S763" s="140"/>
      <c r="T763" s="90"/>
      <c r="U763" s="140"/>
      <c r="V763" s="90"/>
      <c r="W763" s="140"/>
      <c r="X763" s="90"/>
      <c r="Y763" s="140"/>
      <c r="Z763" s="177" t="str">
        <f t="shared" si="40"/>
        <v/>
      </c>
      <c r="AA763" s="190" t="b">
        <f t="shared" si="39"/>
        <v>0</v>
      </c>
      <c r="AB763" s="90"/>
      <c r="AC763" s="156" t="s">
        <v>36</v>
      </c>
      <c r="AD763" s="145">
        <f t="shared" si="41"/>
        <v>0</v>
      </c>
      <c r="AE763" s="92" t="s">
        <v>79</v>
      </c>
    </row>
    <row r="764" spans="1:31" ht="30" customHeight="1">
      <c r="A764" s="150"/>
      <c r="B764" s="150"/>
      <c r="C764" s="150"/>
      <c r="D764" s="150"/>
      <c r="E764" s="150"/>
      <c r="F764" s="150"/>
      <c r="G764" s="150"/>
      <c r="H764" s="150"/>
      <c r="I764" s="150"/>
      <c r="J764" s="150"/>
      <c r="K764" s="150"/>
      <c r="L764" s="150"/>
      <c r="M764" s="150"/>
      <c r="N764" s="150"/>
      <c r="O764" s="152"/>
      <c r="P764" s="90"/>
      <c r="Q764" s="140"/>
      <c r="R764" s="90"/>
      <c r="S764" s="140"/>
      <c r="T764" s="90"/>
      <c r="U764" s="140"/>
      <c r="V764" s="90"/>
      <c r="W764" s="140"/>
      <c r="X764" s="90"/>
      <c r="Y764" s="140"/>
      <c r="Z764" s="177" t="str">
        <f t="shared" si="40"/>
        <v/>
      </c>
      <c r="AA764" s="190" t="b">
        <f t="shared" si="39"/>
        <v>0</v>
      </c>
      <c r="AB764" s="90"/>
      <c r="AC764" s="156" t="s">
        <v>36</v>
      </c>
      <c r="AD764" s="145">
        <f t="shared" si="41"/>
        <v>0</v>
      </c>
      <c r="AE764" s="92" t="s">
        <v>79</v>
      </c>
    </row>
    <row r="765" spans="1:31" ht="30" customHeight="1">
      <c r="A765" s="150"/>
      <c r="B765" s="150"/>
      <c r="C765" s="150"/>
      <c r="D765" s="150"/>
      <c r="E765" s="150"/>
      <c r="F765" s="150"/>
      <c r="G765" s="150"/>
      <c r="H765" s="150"/>
      <c r="I765" s="150"/>
      <c r="J765" s="150"/>
      <c r="K765" s="150"/>
      <c r="L765" s="150"/>
      <c r="M765" s="150"/>
      <c r="N765" s="150"/>
      <c r="O765" s="152"/>
      <c r="P765" s="90"/>
      <c r="Q765" s="140"/>
      <c r="R765" s="90"/>
      <c r="S765" s="140"/>
      <c r="T765" s="90"/>
      <c r="U765" s="140"/>
      <c r="V765" s="90"/>
      <c r="W765" s="140"/>
      <c r="X765" s="90"/>
      <c r="Y765" s="140"/>
      <c r="Z765" s="177" t="str">
        <f t="shared" si="40"/>
        <v/>
      </c>
      <c r="AA765" s="190" t="b">
        <f t="shared" si="39"/>
        <v>0</v>
      </c>
      <c r="AB765" s="90"/>
      <c r="AC765" s="156" t="s">
        <v>36</v>
      </c>
      <c r="AD765" s="145">
        <f t="shared" si="41"/>
        <v>0</v>
      </c>
      <c r="AE765" s="92" t="s">
        <v>79</v>
      </c>
    </row>
    <row r="766" spans="1:31" ht="30" customHeight="1">
      <c r="A766" s="150"/>
      <c r="B766" s="150"/>
      <c r="C766" s="150"/>
      <c r="D766" s="150"/>
      <c r="E766" s="150"/>
      <c r="F766" s="150"/>
      <c r="G766" s="150"/>
      <c r="H766" s="150"/>
      <c r="I766" s="150"/>
      <c r="J766" s="150"/>
      <c r="K766" s="150"/>
      <c r="L766" s="150"/>
      <c r="M766" s="150"/>
      <c r="N766" s="150"/>
      <c r="O766" s="152"/>
      <c r="P766" s="90"/>
      <c r="Q766" s="140"/>
      <c r="R766" s="90"/>
      <c r="S766" s="140"/>
      <c r="T766" s="90"/>
      <c r="U766" s="140"/>
      <c r="V766" s="90"/>
      <c r="W766" s="140"/>
      <c r="X766" s="90"/>
      <c r="Y766" s="140"/>
      <c r="Z766" s="177" t="str">
        <f t="shared" si="40"/>
        <v/>
      </c>
      <c r="AA766" s="190" t="b">
        <f t="shared" si="39"/>
        <v>0</v>
      </c>
      <c r="AB766" s="90"/>
      <c r="AC766" s="156" t="s">
        <v>36</v>
      </c>
      <c r="AD766" s="145">
        <f t="shared" si="41"/>
        <v>0</v>
      </c>
      <c r="AE766" s="92" t="s">
        <v>79</v>
      </c>
    </row>
    <row r="767" spans="1:31" ht="30" customHeight="1">
      <c r="A767" s="150"/>
      <c r="B767" s="150"/>
      <c r="C767" s="150"/>
      <c r="D767" s="150"/>
      <c r="E767" s="150"/>
      <c r="F767" s="150"/>
      <c r="G767" s="150"/>
      <c r="H767" s="150"/>
      <c r="I767" s="150"/>
      <c r="J767" s="150"/>
      <c r="K767" s="150"/>
      <c r="L767" s="150"/>
      <c r="M767" s="150"/>
      <c r="N767" s="150"/>
      <c r="O767" s="152"/>
      <c r="P767" s="90"/>
      <c r="Q767" s="140"/>
      <c r="R767" s="90"/>
      <c r="S767" s="140"/>
      <c r="T767" s="90"/>
      <c r="U767" s="140"/>
      <c r="V767" s="90"/>
      <c r="W767" s="140"/>
      <c r="X767" s="90"/>
      <c r="Y767" s="140"/>
      <c r="Z767" s="177" t="str">
        <f t="shared" si="40"/>
        <v/>
      </c>
      <c r="AA767" s="190" t="b">
        <f t="shared" si="39"/>
        <v>0</v>
      </c>
      <c r="AB767" s="90"/>
      <c r="AC767" s="156" t="s">
        <v>36</v>
      </c>
      <c r="AD767" s="145">
        <f t="shared" si="41"/>
        <v>0</v>
      </c>
      <c r="AE767" s="92" t="s">
        <v>79</v>
      </c>
    </row>
    <row r="768" spans="1:31" ht="30" customHeight="1">
      <c r="A768" s="150"/>
      <c r="B768" s="150"/>
      <c r="C768" s="150"/>
      <c r="D768" s="150"/>
      <c r="E768" s="150"/>
      <c r="F768" s="150"/>
      <c r="G768" s="150"/>
      <c r="H768" s="150"/>
      <c r="I768" s="150"/>
      <c r="J768" s="150"/>
      <c r="K768" s="150"/>
      <c r="L768" s="150"/>
      <c r="M768" s="150"/>
      <c r="N768" s="150"/>
      <c r="O768" s="152"/>
      <c r="P768" s="90"/>
      <c r="Q768" s="140"/>
      <c r="R768" s="90"/>
      <c r="S768" s="140"/>
      <c r="T768" s="90"/>
      <c r="U768" s="140"/>
      <c r="V768" s="90"/>
      <c r="W768" s="140"/>
      <c r="X768" s="90"/>
      <c r="Y768" s="140"/>
      <c r="Z768" s="177" t="str">
        <f t="shared" si="40"/>
        <v/>
      </c>
      <c r="AA768" s="190" t="b">
        <f t="shared" si="39"/>
        <v>0</v>
      </c>
      <c r="AB768" s="90"/>
      <c r="AC768" s="156" t="s">
        <v>36</v>
      </c>
      <c r="AD768" s="145">
        <f t="shared" si="41"/>
        <v>0</v>
      </c>
      <c r="AE768" s="92" t="s">
        <v>79</v>
      </c>
    </row>
    <row r="769" spans="1:31" ht="30" customHeight="1">
      <c r="A769" s="150"/>
      <c r="B769" s="150"/>
      <c r="C769" s="150"/>
      <c r="D769" s="150"/>
      <c r="E769" s="150"/>
      <c r="F769" s="150"/>
      <c r="G769" s="150"/>
      <c r="H769" s="150"/>
      <c r="I769" s="150"/>
      <c r="J769" s="150"/>
      <c r="K769" s="150"/>
      <c r="L769" s="150"/>
      <c r="M769" s="150"/>
      <c r="N769" s="150"/>
      <c r="O769" s="152"/>
      <c r="P769" s="90"/>
      <c r="Q769" s="140"/>
      <c r="R769" s="90"/>
      <c r="S769" s="140"/>
      <c r="T769" s="90"/>
      <c r="U769" s="140"/>
      <c r="V769" s="90"/>
      <c r="W769" s="140"/>
      <c r="X769" s="90"/>
      <c r="Y769" s="140"/>
      <c r="Z769" s="177" t="str">
        <f t="shared" si="40"/>
        <v/>
      </c>
      <c r="AA769" s="190" t="b">
        <f t="shared" si="39"/>
        <v>0</v>
      </c>
      <c r="AB769" s="90"/>
      <c r="AC769" s="156" t="s">
        <v>36</v>
      </c>
      <c r="AD769" s="145">
        <f t="shared" si="41"/>
        <v>0</v>
      </c>
      <c r="AE769" s="92" t="s">
        <v>79</v>
      </c>
    </row>
    <row r="770" spans="1:31" ht="30" customHeight="1">
      <c r="A770" s="150"/>
      <c r="B770" s="150"/>
      <c r="C770" s="150"/>
      <c r="D770" s="150"/>
      <c r="E770" s="150"/>
      <c r="F770" s="150"/>
      <c r="G770" s="150"/>
      <c r="H770" s="150"/>
      <c r="I770" s="150"/>
      <c r="J770" s="150"/>
      <c r="K770" s="150"/>
      <c r="L770" s="150"/>
      <c r="M770" s="150"/>
      <c r="N770" s="150"/>
      <c r="O770" s="152"/>
      <c r="P770" s="90"/>
      <c r="Q770" s="140"/>
      <c r="R770" s="90"/>
      <c r="S770" s="140"/>
      <c r="T770" s="90"/>
      <c r="U770" s="140"/>
      <c r="V770" s="90"/>
      <c r="W770" s="140"/>
      <c r="X770" s="90"/>
      <c r="Y770" s="140"/>
      <c r="Z770" s="177" t="str">
        <f t="shared" si="40"/>
        <v/>
      </c>
      <c r="AA770" s="190" t="b">
        <f t="shared" ref="AA770:AA833" si="42">IF(AND(Y770="C",Z770="C"),"UTILIZOU O PDA CORRETAMENTE",IF(AND(Y770="C",Z770="NC"),"UTILIZOU O PDA CORRETAMENTE. NÃO HÁ FOTOS DE TODAS AS ETAPAS",IF(AND(Y770="NC",Z770="NC"),"NÃO UTILIZOU O PDA",IF(AND(Y770="NA",Z770="NA"),"NÃO AVALIADO POR FALHA DE SINCRONISMO"))))</f>
        <v>0</v>
      </c>
      <c r="AB770" s="90"/>
      <c r="AC770" s="156" t="s">
        <v>36</v>
      </c>
      <c r="AD770" s="145">
        <f t="shared" si="41"/>
        <v>0</v>
      </c>
      <c r="AE770" s="92" t="s">
        <v>79</v>
      </c>
    </row>
    <row r="771" spans="1:31" ht="30" customHeight="1">
      <c r="A771" s="150"/>
      <c r="B771" s="150"/>
      <c r="C771" s="150"/>
      <c r="D771" s="150"/>
      <c r="E771" s="150"/>
      <c r="F771" s="150"/>
      <c r="G771" s="150"/>
      <c r="H771" s="150"/>
      <c r="I771" s="150"/>
      <c r="J771" s="150"/>
      <c r="K771" s="150"/>
      <c r="L771" s="150"/>
      <c r="M771" s="150"/>
      <c r="N771" s="150"/>
      <c r="O771" s="152"/>
      <c r="P771" s="90"/>
      <c r="Q771" s="140"/>
      <c r="R771" s="90"/>
      <c r="S771" s="140"/>
      <c r="T771" s="90"/>
      <c r="U771" s="140"/>
      <c r="V771" s="90"/>
      <c r="W771" s="140"/>
      <c r="X771" s="90"/>
      <c r="Y771" s="140"/>
      <c r="Z771" s="177" t="str">
        <f t="shared" ref="Z771:Z834" si="43">IF(AND(O771="",Q771="",S771="",U771="",W771=""),"",IF(OR(AND(O771&lt;&gt;"NA",O771&lt;&gt;"C",O771&lt;&gt;"NC",O771&lt;&gt;"SF",O771&lt;&gt;""),AND(Q771&lt;&gt;"NA",Q771&lt;&gt;"C",Q771&lt;&gt;"NC",Q771&lt;&gt;"SF",Q771&lt;&gt;""),AND(S771&lt;&gt;"NA",S771&lt;&gt;"C",S771&lt;&gt;"NC",S771&lt;&gt;"SF",S771&lt;&gt;""),AND(U771&lt;&gt;"NA",U771&lt;&gt;"C",U771&lt;&gt;"NC",U771&lt;&gt;"SF",U771&lt;&gt;""),AND(W771&lt;&gt;"NA",W771&lt;&gt;"C",W771&lt;&gt;"NC",W771&lt;&gt;"SF",W771&lt;&gt;"")),"FALSO",IF(AND(O771="NA",Q771="NA",S771="NA",U771="NA",W771="NA"),"NA",IF(OR(O771="NC",Q771="NC",S771="NC",U771="NC",W771="NC",O771="SF",Q771="SF",S771="SF",U771="SF",W771="SF"),"NC",IF(OR(O771="C",Q771="C",S771="C",U771="C",W771="C"),"C","")))))</f>
        <v/>
      </c>
      <c r="AA771" s="190" t="b">
        <f t="shared" si="42"/>
        <v>0</v>
      </c>
      <c r="AB771" s="90"/>
      <c r="AC771" s="156" t="s">
        <v>36</v>
      </c>
      <c r="AD771" s="145">
        <f t="shared" si="41"/>
        <v>0</v>
      </c>
      <c r="AE771" s="92" t="s">
        <v>79</v>
      </c>
    </row>
    <row r="772" spans="1:31" ht="30" customHeight="1">
      <c r="A772" s="150"/>
      <c r="B772" s="150"/>
      <c r="C772" s="150"/>
      <c r="D772" s="150"/>
      <c r="E772" s="150"/>
      <c r="F772" s="150"/>
      <c r="G772" s="150"/>
      <c r="H772" s="150"/>
      <c r="I772" s="150"/>
      <c r="J772" s="150"/>
      <c r="K772" s="150"/>
      <c r="L772" s="150"/>
      <c r="M772" s="150"/>
      <c r="N772" s="150"/>
      <c r="O772" s="152"/>
      <c r="P772" s="90"/>
      <c r="Q772" s="140"/>
      <c r="R772" s="90"/>
      <c r="S772" s="140"/>
      <c r="T772" s="90"/>
      <c r="U772" s="140"/>
      <c r="V772" s="90"/>
      <c r="W772" s="140"/>
      <c r="X772" s="90"/>
      <c r="Y772" s="140"/>
      <c r="Z772" s="177" t="str">
        <f t="shared" si="43"/>
        <v/>
      </c>
      <c r="AA772" s="190" t="b">
        <f t="shared" si="42"/>
        <v>0</v>
      </c>
      <c r="AB772" s="90"/>
      <c r="AC772" s="156" t="s">
        <v>36</v>
      </c>
      <c r="AD772" s="145">
        <f t="shared" si="41"/>
        <v>0</v>
      </c>
      <c r="AE772" s="92" t="s">
        <v>79</v>
      </c>
    </row>
    <row r="773" spans="1:31" ht="30" customHeight="1">
      <c r="A773" s="150"/>
      <c r="B773" s="150"/>
      <c r="C773" s="150"/>
      <c r="D773" s="150"/>
      <c r="E773" s="150"/>
      <c r="F773" s="150"/>
      <c r="G773" s="150"/>
      <c r="H773" s="150"/>
      <c r="I773" s="150"/>
      <c r="J773" s="150"/>
      <c r="K773" s="150"/>
      <c r="L773" s="150"/>
      <c r="M773" s="150"/>
      <c r="N773" s="150"/>
      <c r="O773" s="152"/>
      <c r="P773" s="90"/>
      <c r="Q773" s="140"/>
      <c r="R773" s="90"/>
      <c r="S773" s="140"/>
      <c r="T773" s="90"/>
      <c r="U773" s="140"/>
      <c r="V773" s="90"/>
      <c r="W773" s="140"/>
      <c r="X773" s="90"/>
      <c r="Y773" s="140"/>
      <c r="Z773" s="177" t="str">
        <f t="shared" si="43"/>
        <v/>
      </c>
      <c r="AA773" s="190" t="b">
        <f t="shared" si="42"/>
        <v>0</v>
      </c>
      <c r="AB773" s="90"/>
      <c r="AC773" s="156" t="s">
        <v>36</v>
      </c>
      <c r="AD773" s="145">
        <f t="shared" si="41"/>
        <v>0</v>
      </c>
      <c r="AE773" s="92" t="s">
        <v>79</v>
      </c>
    </row>
    <row r="774" spans="1:31" ht="30" customHeight="1">
      <c r="A774" s="150"/>
      <c r="B774" s="150"/>
      <c r="C774" s="150"/>
      <c r="D774" s="150"/>
      <c r="E774" s="150"/>
      <c r="F774" s="150"/>
      <c r="G774" s="150"/>
      <c r="H774" s="150"/>
      <c r="I774" s="150"/>
      <c r="J774" s="150"/>
      <c r="K774" s="150"/>
      <c r="L774" s="150"/>
      <c r="M774" s="150"/>
      <c r="N774" s="150"/>
      <c r="O774" s="152"/>
      <c r="P774" s="90"/>
      <c r="Q774" s="140"/>
      <c r="R774" s="90"/>
      <c r="S774" s="140"/>
      <c r="T774" s="90"/>
      <c r="U774" s="140"/>
      <c r="V774" s="90"/>
      <c r="W774" s="140"/>
      <c r="X774" s="90"/>
      <c r="Y774" s="140"/>
      <c r="Z774" s="177" t="str">
        <f t="shared" si="43"/>
        <v/>
      </c>
      <c r="AA774" s="190" t="b">
        <f t="shared" si="42"/>
        <v>0</v>
      </c>
      <c r="AB774" s="90"/>
      <c r="AC774" s="156" t="s">
        <v>36</v>
      </c>
      <c r="AD774" s="145">
        <f t="shared" si="41"/>
        <v>0</v>
      </c>
      <c r="AE774" s="92" t="s">
        <v>79</v>
      </c>
    </row>
    <row r="775" spans="1:31" ht="30" customHeight="1">
      <c r="A775" s="150"/>
      <c r="B775" s="150"/>
      <c r="C775" s="150"/>
      <c r="D775" s="150"/>
      <c r="E775" s="150"/>
      <c r="F775" s="150"/>
      <c r="G775" s="150"/>
      <c r="H775" s="150"/>
      <c r="I775" s="150"/>
      <c r="J775" s="150"/>
      <c r="K775" s="150"/>
      <c r="L775" s="150"/>
      <c r="M775" s="150"/>
      <c r="N775" s="150"/>
      <c r="O775" s="152"/>
      <c r="P775" s="90"/>
      <c r="Q775" s="140"/>
      <c r="R775" s="90"/>
      <c r="S775" s="140"/>
      <c r="T775" s="90"/>
      <c r="U775" s="140"/>
      <c r="V775" s="90"/>
      <c r="W775" s="140"/>
      <c r="X775" s="90"/>
      <c r="Y775" s="140"/>
      <c r="Z775" s="177" t="str">
        <f t="shared" si="43"/>
        <v/>
      </c>
      <c r="AA775" s="190" t="b">
        <f t="shared" si="42"/>
        <v>0</v>
      </c>
      <c r="AB775" s="90"/>
      <c r="AC775" s="156" t="s">
        <v>36</v>
      </c>
      <c r="AD775" s="145">
        <f t="shared" si="41"/>
        <v>0</v>
      </c>
      <c r="AE775" s="92" t="s">
        <v>79</v>
      </c>
    </row>
    <row r="776" spans="1:31" ht="30" customHeight="1">
      <c r="A776" s="150"/>
      <c r="B776" s="150"/>
      <c r="C776" s="150"/>
      <c r="D776" s="150"/>
      <c r="E776" s="150"/>
      <c r="F776" s="150"/>
      <c r="G776" s="150"/>
      <c r="H776" s="150"/>
      <c r="I776" s="150"/>
      <c r="J776" s="150"/>
      <c r="K776" s="150"/>
      <c r="L776" s="150"/>
      <c r="M776" s="150"/>
      <c r="N776" s="150"/>
      <c r="O776" s="152"/>
      <c r="P776" s="90"/>
      <c r="Q776" s="140"/>
      <c r="R776" s="90"/>
      <c r="S776" s="140"/>
      <c r="T776" s="90"/>
      <c r="U776" s="140"/>
      <c r="V776" s="90"/>
      <c r="W776" s="140"/>
      <c r="X776" s="90"/>
      <c r="Y776" s="140"/>
      <c r="Z776" s="177" t="str">
        <f t="shared" si="43"/>
        <v/>
      </c>
      <c r="AA776" s="190" t="b">
        <f t="shared" si="42"/>
        <v>0</v>
      </c>
      <c r="AB776" s="90"/>
      <c r="AC776" s="156" t="s">
        <v>36</v>
      </c>
      <c r="AD776" s="145">
        <f t="shared" si="41"/>
        <v>0</v>
      </c>
      <c r="AE776" s="92" t="s">
        <v>79</v>
      </c>
    </row>
    <row r="777" spans="1:31" ht="30" customHeight="1">
      <c r="A777" s="150"/>
      <c r="B777" s="150"/>
      <c r="C777" s="150"/>
      <c r="D777" s="150"/>
      <c r="E777" s="150"/>
      <c r="F777" s="150"/>
      <c r="G777" s="150"/>
      <c r="H777" s="150"/>
      <c r="I777" s="150"/>
      <c r="J777" s="150"/>
      <c r="K777" s="150"/>
      <c r="L777" s="150"/>
      <c r="M777" s="150"/>
      <c r="N777" s="150"/>
      <c r="O777" s="152"/>
      <c r="P777" s="90"/>
      <c r="Q777" s="140"/>
      <c r="R777" s="90"/>
      <c r="S777" s="140"/>
      <c r="T777" s="90"/>
      <c r="U777" s="140"/>
      <c r="V777" s="90"/>
      <c r="W777" s="140"/>
      <c r="X777" s="90"/>
      <c r="Y777" s="140"/>
      <c r="Z777" s="177" t="str">
        <f t="shared" si="43"/>
        <v/>
      </c>
      <c r="AA777" s="190" t="b">
        <f t="shared" si="42"/>
        <v>0</v>
      </c>
      <c r="AB777" s="90"/>
      <c r="AC777" s="156" t="s">
        <v>36</v>
      </c>
      <c r="AD777" s="145">
        <f t="shared" si="41"/>
        <v>0</v>
      </c>
      <c r="AE777" s="92" t="s">
        <v>79</v>
      </c>
    </row>
    <row r="778" spans="1:31" ht="30" customHeight="1">
      <c r="A778" s="150"/>
      <c r="B778" s="150"/>
      <c r="C778" s="150"/>
      <c r="D778" s="150"/>
      <c r="E778" s="150"/>
      <c r="F778" s="150"/>
      <c r="G778" s="150"/>
      <c r="H778" s="150"/>
      <c r="I778" s="150"/>
      <c r="J778" s="150"/>
      <c r="K778" s="150"/>
      <c r="L778" s="150"/>
      <c r="M778" s="150"/>
      <c r="N778" s="150"/>
      <c r="O778" s="152"/>
      <c r="P778" s="90"/>
      <c r="Q778" s="140"/>
      <c r="R778" s="90"/>
      <c r="S778" s="140"/>
      <c r="T778" s="90"/>
      <c r="U778" s="140"/>
      <c r="V778" s="90"/>
      <c r="W778" s="140"/>
      <c r="X778" s="90"/>
      <c r="Y778" s="140"/>
      <c r="Z778" s="177" t="str">
        <f t="shared" si="43"/>
        <v/>
      </c>
      <c r="AA778" s="190" t="b">
        <f t="shared" si="42"/>
        <v>0</v>
      </c>
      <c r="AB778" s="90"/>
      <c r="AC778" s="156" t="s">
        <v>36</v>
      </c>
      <c r="AD778" s="145">
        <f t="shared" si="41"/>
        <v>0</v>
      </c>
      <c r="AE778" s="92" t="s">
        <v>79</v>
      </c>
    </row>
    <row r="779" spans="1:31" ht="30" customHeight="1">
      <c r="A779" s="150"/>
      <c r="B779" s="150"/>
      <c r="C779" s="150"/>
      <c r="D779" s="150"/>
      <c r="E779" s="150"/>
      <c r="F779" s="150"/>
      <c r="G779" s="150"/>
      <c r="H779" s="150"/>
      <c r="I779" s="150"/>
      <c r="J779" s="150"/>
      <c r="K779" s="150"/>
      <c r="L779" s="150"/>
      <c r="M779" s="150"/>
      <c r="N779" s="150"/>
      <c r="O779" s="152"/>
      <c r="P779" s="90"/>
      <c r="Q779" s="140"/>
      <c r="R779" s="90"/>
      <c r="S779" s="140"/>
      <c r="T779" s="90"/>
      <c r="U779" s="140"/>
      <c r="V779" s="90"/>
      <c r="W779" s="140"/>
      <c r="X779" s="90"/>
      <c r="Y779" s="140"/>
      <c r="Z779" s="177" t="str">
        <f t="shared" si="43"/>
        <v/>
      </c>
      <c r="AA779" s="190" t="b">
        <f t="shared" si="42"/>
        <v>0</v>
      </c>
      <c r="AB779" s="90"/>
      <c r="AC779" s="156" t="s">
        <v>36</v>
      </c>
      <c r="AD779" s="145">
        <f t="shared" si="41"/>
        <v>0</v>
      </c>
      <c r="AE779" s="92" t="s">
        <v>79</v>
      </c>
    </row>
    <row r="780" spans="1:31" ht="30" customHeight="1">
      <c r="A780" s="150"/>
      <c r="B780" s="150"/>
      <c r="C780" s="150"/>
      <c r="D780" s="150"/>
      <c r="E780" s="150"/>
      <c r="F780" s="150"/>
      <c r="G780" s="150"/>
      <c r="H780" s="150"/>
      <c r="I780" s="150"/>
      <c r="J780" s="150"/>
      <c r="K780" s="150"/>
      <c r="L780" s="150"/>
      <c r="M780" s="150"/>
      <c r="N780" s="150"/>
      <c r="O780" s="152"/>
      <c r="P780" s="90"/>
      <c r="Q780" s="140"/>
      <c r="R780" s="90"/>
      <c r="S780" s="140"/>
      <c r="T780" s="90"/>
      <c r="U780" s="140"/>
      <c r="V780" s="90"/>
      <c r="W780" s="140"/>
      <c r="X780" s="90"/>
      <c r="Y780" s="140"/>
      <c r="Z780" s="177" t="str">
        <f t="shared" si="43"/>
        <v/>
      </c>
      <c r="AA780" s="190" t="b">
        <f t="shared" si="42"/>
        <v>0</v>
      </c>
      <c r="AB780" s="90"/>
      <c r="AC780" s="156" t="s">
        <v>36</v>
      </c>
      <c r="AD780" s="145">
        <f t="shared" si="41"/>
        <v>0</v>
      </c>
      <c r="AE780" s="92" t="s">
        <v>79</v>
      </c>
    </row>
    <row r="781" spans="1:31" ht="30" customHeight="1">
      <c r="A781" s="150"/>
      <c r="B781" s="150"/>
      <c r="C781" s="150"/>
      <c r="D781" s="150"/>
      <c r="E781" s="150"/>
      <c r="F781" s="150"/>
      <c r="G781" s="150"/>
      <c r="H781" s="150"/>
      <c r="I781" s="150"/>
      <c r="J781" s="150"/>
      <c r="K781" s="150"/>
      <c r="L781" s="150"/>
      <c r="M781" s="150"/>
      <c r="N781" s="150"/>
      <c r="O781" s="152"/>
      <c r="P781" s="90"/>
      <c r="Q781" s="140"/>
      <c r="R781" s="90"/>
      <c r="S781" s="140"/>
      <c r="T781" s="90"/>
      <c r="U781" s="140"/>
      <c r="V781" s="90"/>
      <c r="W781" s="140"/>
      <c r="X781" s="90"/>
      <c r="Y781" s="140"/>
      <c r="Z781" s="177" t="str">
        <f t="shared" si="43"/>
        <v/>
      </c>
      <c r="AA781" s="190" t="b">
        <f t="shared" si="42"/>
        <v>0</v>
      </c>
      <c r="AB781" s="90"/>
      <c r="AC781" s="156" t="s">
        <v>36</v>
      </c>
      <c r="AD781" s="145">
        <f t="shared" si="41"/>
        <v>0</v>
      </c>
      <c r="AE781" s="92" t="s">
        <v>79</v>
      </c>
    </row>
    <row r="782" spans="1:31" ht="30" customHeight="1">
      <c r="A782" s="150"/>
      <c r="B782" s="150"/>
      <c r="C782" s="150"/>
      <c r="D782" s="150"/>
      <c r="E782" s="150"/>
      <c r="F782" s="150"/>
      <c r="G782" s="150"/>
      <c r="H782" s="150"/>
      <c r="I782" s="150"/>
      <c r="J782" s="150"/>
      <c r="K782" s="150"/>
      <c r="L782" s="150"/>
      <c r="M782" s="150"/>
      <c r="N782" s="150"/>
      <c r="O782" s="152"/>
      <c r="P782" s="90"/>
      <c r="Q782" s="140"/>
      <c r="R782" s="90"/>
      <c r="S782" s="140"/>
      <c r="T782" s="90"/>
      <c r="U782" s="140"/>
      <c r="V782" s="90"/>
      <c r="W782" s="140"/>
      <c r="X782" s="90"/>
      <c r="Y782" s="140"/>
      <c r="Z782" s="177" t="str">
        <f t="shared" si="43"/>
        <v/>
      </c>
      <c r="AA782" s="190" t="b">
        <f t="shared" si="42"/>
        <v>0</v>
      </c>
      <c r="AB782" s="90"/>
      <c r="AC782" s="156" t="s">
        <v>36</v>
      </c>
      <c r="AD782" s="145">
        <f t="shared" si="41"/>
        <v>0</v>
      </c>
      <c r="AE782" s="92" t="s">
        <v>79</v>
      </c>
    </row>
    <row r="783" spans="1:31" ht="30" customHeight="1">
      <c r="A783" s="150"/>
      <c r="B783" s="150"/>
      <c r="C783" s="150"/>
      <c r="D783" s="150"/>
      <c r="E783" s="150"/>
      <c r="F783" s="150"/>
      <c r="G783" s="150"/>
      <c r="H783" s="150"/>
      <c r="I783" s="150"/>
      <c r="J783" s="150"/>
      <c r="K783" s="150"/>
      <c r="L783" s="150"/>
      <c r="M783" s="150"/>
      <c r="N783" s="150"/>
      <c r="O783" s="152"/>
      <c r="P783" s="90"/>
      <c r="Q783" s="140"/>
      <c r="R783" s="90"/>
      <c r="S783" s="140"/>
      <c r="T783" s="90"/>
      <c r="U783" s="140"/>
      <c r="V783" s="90"/>
      <c r="W783" s="140"/>
      <c r="X783" s="90"/>
      <c r="Y783" s="140"/>
      <c r="Z783" s="177" t="str">
        <f t="shared" si="43"/>
        <v/>
      </c>
      <c r="AA783" s="190" t="b">
        <f t="shared" si="42"/>
        <v>0</v>
      </c>
      <c r="AB783" s="90"/>
      <c r="AC783" s="156" t="s">
        <v>36</v>
      </c>
      <c r="AD783" s="145">
        <f t="shared" si="41"/>
        <v>0</v>
      </c>
      <c r="AE783" s="92" t="s">
        <v>79</v>
      </c>
    </row>
    <row r="784" spans="1:31" ht="30" customHeight="1">
      <c r="A784" s="150"/>
      <c r="B784" s="150"/>
      <c r="C784" s="150"/>
      <c r="D784" s="150"/>
      <c r="E784" s="150"/>
      <c r="F784" s="150"/>
      <c r="G784" s="150"/>
      <c r="H784" s="150"/>
      <c r="I784" s="150"/>
      <c r="J784" s="150"/>
      <c r="K784" s="150"/>
      <c r="L784" s="150"/>
      <c r="M784" s="150"/>
      <c r="N784" s="150"/>
      <c r="O784" s="152"/>
      <c r="P784" s="90"/>
      <c r="Q784" s="140"/>
      <c r="R784" s="90"/>
      <c r="S784" s="140"/>
      <c r="T784" s="90"/>
      <c r="U784" s="140"/>
      <c r="V784" s="90"/>
      <c r="W784" s="140"/>
      <c r="X784" s="90"/>
      <c r="Y784" s="140"/>
      <c r="Z784" s="177" t="str">
        <f t="shared" si="43"/>
        <v/>
      </c>
      <c r="AA784" s="190" t="b">
        <f t="shared" si="42"/>
        <v>0</v>
      </c>
      <c r="AB784" s="90"/>
      <c r="AC784" s="156" t="s">
        <v>36</v>
      </c>
      <c r="AD784" s="145">
        <f t="shared" si="41"/>
        <v>0</v>
      </c>
      <c r="AE784" s="92" t="s">
        <v>79</v>
      </c>
    </row>
    <row r="785" spans="1:31" ht="30" customHeight="1">
      <c r="A785" s="150"/>
      <c r="B785" s="150"/>
      <c r="C785" s="150"/>
      <c r="D785" s="150"/>
      <c r="E785" s="150"/>
      <c r="F785" s="150"/>
      <c r="G785" s="150"/>
      <c r="H785" s="150"/>
      <c r="I785" s="150"/>
      <c r="J785" s="150"/>
      <c r="K785" s="150"/>
      <c r="L785" s="150"/>
      <c r="M785" s="150"/>
      <c r="N785" s="150"/>
      <c r="O785" s="152"/>
      <c r="P785" s="90"/>
      <c r="Q785" s="140"/>
      <c r="R785" s="90"/>
      <c r="S785" s="140"/>
      <c r="T785" s="90"/>
      <c r="U785" s="140"/>
      <c r="V785" s="90"/>
      <c r="W785" s="140"/>
      <c r="X785" s="90"/>
      <c r="Y785" s="140"/>
      <c r="Z785" s="177" t="str">
        <f t="shared" si="43"/>
        <v/>
      </c>
      <c r="AA785" s="190" t="b">
        <f t="shared" si="42"/>
        <v>0</v>
      </c>
      <c r="AB785" s="90"/>
      <c r="AC785" s="156" t="s">
        <v>36</v>
      </c>
      <c r="AD785" s="145">
        <f t="shared" si="41"/>
        <v>0</v>
      </c>
      <c r="AE785" s="92" t="s">
        <v>79</v>
      </c>
    </row>
    <row r="786" spans="1:31" ht="30" customHeight="1">
      <c r="A786" s="150"/>
      <c r="B786" s="150"/>
      <c r="C786" s="150"/>
      <c r="D786" s="150"/>
      <c r="E786" s="150"/>
      <c r="F786" s="150"/>
      <c r="G786" s="150"/>
      <c r="H786" s="150"/>
      <c r="I786" s="150"/>
      <c r="J786" s="150"/>
      <c r="K786" s="150"/>
      <c r="L786" s="150"/>
      <c r="M786" s="150"/>
      <c r="N786" s="150"/>
      <c r="O786" s="152"/>
      <c r="P786" s="90"/>
      <c r="Q786" s="140"/>
      <c r="R786" s="90"/>
      <c r="S786" s="140"/>
      <c r="T786" s="90"/>
      <c r="U786" s="140"/>
      <c r="V786" s="90"/>
      <c r="W786" s="140"/>
      <c r="X786" s="90"/>
      <c r="Y786" s="140"/>
      <c r="Z786" s="177" t="str">
        <f t="shared" si="43"/>
        <v/>
      </c>
      <c r="AA786" s="190" t="b">
        <f t="shared" si="42"/>
        <v>0</v>
      </c>
      <c r="AB786" s="90"/>
      <c r="AC786" s="156" t="s">
        <v>36</v>
      </c>
      <c r="AD786" s="145">
        <f t="shared" si="41"/>
        <v>0</v>
      </c>
      <c r="AE786" s="92" t="s">
        <v>79</v>
      </c>
    </row>
    <row r="787" spans="1:31" ht="30" customHeight="1">
      <c r="A787" s="150"/>
      <c r="B787" s="150"/>
      <c r="C787" s="150"/>
      <c r="D787" s="150"/>
      <c r="E787" s="150"/>
      <c r="F787" s="150"/>
      <c r="G787" s="150"/>
      <c r="H787" s="150"/>
      <c r="I787" s="150"/>
      <c r="J787" s="150"/>
      <c r="K787" s="150"/>
      <c r="L787" s="150"/>
      <c r="M787" s="150"/>
      <c r="N787" s="150"/>
      <c r="O787" s="152"/>
      <c r="P787" s="90"/>
      <c r="Q787" s="140"/>
      <c r="R787" s="90"/>
      <c r="S787" s="140"/>
      <c r="T787" s="90"/>
      <c r="U787" s="140"/>
      <c r="V787" s="90"/>
      <c r="W787" s="140"/>
      <c r="X787" s="90"/>
      <c r="Y787" s="140"/>
      <c r="Z787" s="177" t="str">
        <f t="shared" si="43"/>
        <v/>
      </c>
      <c r="AA787" s="190" t="b">
        <f t="shared" si="42"/>
        <v>0</v>
      </c>
      <c r="AB787" s="90"/>
      <c r="AC787" s="156" t="s">
        <v>36</v>
      </c>
      <c r="AD787" s="145">
        <f t="shared" si="41"/>
        <v>0</v>
      </c>
      <c r="AE787" s="92" t="s">
        <v>79</v>
      </c>
    </row>
    <row r="788" spans="1:31" ht="30" customHeight="1">
      <c r="A788" s="150"/>
      <c r="B788" s="150"/>
      <c r="C788" s="150"/>
      <c r="D788" s="150"/>
      <c r="E788" s="150"/>
      <c r="F788" s="150"/>
      <c r="G788" s="150"/>
      <c r="H788" s="150"/>
      <c r="I788" s="150"/>
      <c r="J788" s="150"/>
      <c r="K788" s="150"/>
      <c r="L788" s="150"/>
      <c r="M788" s="150"/>
      <c r="N788" s="150"/>
      <c r="O788" s="152"/>
      <c r="P788" s="90"/>
      <c r="Q788" s="140"/>
      <c r="R788" s="90"/>
      <c r="S788" s="140"/>
      <c r="T788" s="90"/>
      <c r="U788" s="140"/>
      <c r="V788" s="90"/>
      <c r="W788" s="140"/>
      <c r="X788" s="90"/>
      <c r="Y788" s="140"/>
      <c r="Z788" s="177" t="str">
        <f t="shared" si="43"/>
        <v/>
      </c>
      <c r="AA788" s="190" t="b">
        <f t="shared" si="42"/>
        <v>0</v>
      </c>
      <c r="AB788" s="90"/>
      <c r="AC788" s="156" t="s">
        <v>36</v>
      </c>
      <c r="AD788" s="145">
        <f t="shared" si="41"/>
        <v>0</v>
      </c>
      <c r="AE788" s="92" t="s">
        <v>79</v>
      </c>
    </row>
    <row r="789" spans="1:31" ht="30" customHeight="1">
      <c r="A789" s="150"/>
      <c r="B789" s="150"/>
      <c r="C789" s="150"/>
      <c r="D789" s="150"/>
      <c r="E789" s="150"/>
      <c r="F789" s="150"/>
      <c r="G789" s="150"/>
      <c r="H789" s="150"/>
      <c r="I789" s="150"/>
      <c r="J789" s="150"/>
      <c r="K789" s="150"/>
      <c r="L789" s="150"/>
      <c r="M789" s="150"/>
      <c r="N789" s="150"/>
      <c r="O789" s="152"/>
      <c r="P789" s="90"/>
      <c r="Q789" s="140"/>
      <c r="R789" s="90"/>
      <c r="S789" s="140"/>
      <c r="T789" s="90"/>
      <c r="U789" s="140"/>
      <c r="V789" s="90"/>
      <c r="W789" s="140"/>
      <c r="X789" s="90"/>
      <c r="Y789" s="140"/>
      <c r="Z789" s="177" t="str">
        <f t="shared" si="43"/>
        <v/>
      </c>
      <c r="AA789" s="190" t="b">
        <f t="shared" si="42"/>
        <v>0</v>
      </c>
      <c r="AB789" s="90"/>
      <c r="AC789" s="156" t="s">
        <v>36</v>
      </c>
      <c r="AD789" s="145">
        <f t="shared" si="41"/>
        <v>0</v>
      </c>
      <c r="AE789" s="92" t="s">
        <v>79</v>
      </c>
    </row>
    <row r="790" spans="1:31" ht="30" customHeight="1">
      <c r="A790" s="150"/>
      <c r="B790" s="150"/>
      <c r="C790" s="150"/>
      <c r="D790" s="150"/>
      <c r="E790" s="150"/>
      <c r="F790" s="150"/>
      <c r="G790" s="150"/>
      <c r="H790" s="150"/>
      <c r="I790" s="150"/>
      <c r="J790" s="150"/>
      <c r="K790" s="150"/>
      <c r="L790" s="150"/>
      <c r="M790" s="150"/>
      <c r="N790" s="150"/>
      <c r="O790" s="152"/>
      <c r="P790" s="90"/>
      <c r="Q790" s="140"/>
      <c r="R790" s="90"/>
      <c r="S790" s="140"/>
      <c r="T790" s="90"/>
      <c r="U790" s="140"/>
      <c r="V790" s="90"/>
      <c r="W790" s="140"/>
      <c r="X790" s="90"/>
      <c r="Y790" s="140"/>
      <c r="Z790" s="177" t="str">
        <f t="shared" si="43"/>
        <v/>
      </c>
      <c r="AA790" s="190" t="b">
        <f t="shared" si="42"/>
        <v>0</v>
      </c>
      <c r="AB790" s="90"/>
      <c r="AC790" s="156" t="s">
        <v>36</v>
      </c>
      <c r="AD790" s="145">
        <f t="shared" si="41"/>
        <v>0</v>
      </c>
      <c r="AE790" s="92" t="s">
        <v>79</v>
      </c>
    </row>
    <row r="791" spans="1:31" ht="30" customHeight="1">
      <c r="A791" s="150"/>
      <c r="B791" s="150"/>
      <c r="C791" s="150"/>
      <c r="D791" s="150"/>
      <c r="E791" s="150"/>
      <c r="F791" s="150"/>
      <c r="G791" s="150"/>
      <c r="H791" s="150"/>
      <c r="I791" s="150"/>
      <c r="J791" s="150"/>
      <c r="K791" s="150"/>
      <c r="L791" s="150"/>
      <c r="M791" s="150"/>
      <c r="N791" s="150"/>
      <c r="O791" s="152"/>
      <c r="P791" s="90"/>
      <c r="Q791" s="140"/>
      <c r="R791" s="90"/>
      <c r="S791" s="140"/>
      <c r="T791" s="90"/>
      <c r="U791" s="140"/>
      <c r="V791" s="90"/>
      <c r="W791" s="140"/>
      <c r="X791" s="90"/>
      <c r="Y791" s="140"/>
      <c r="Z791" s="177" t="str">
        <f t="shared" si="43"/>
        <v/>
      </c>
      <c r="AA791" s="190" t="b">
        <f t="shared" si="42"/>
        <v>0</v>
      </c>
      <c r="AB791" s="90"/>
      <c r="AC791" s="156" t="s">
        <v>36</v>
      </c>
      <c r="AD791" s="145">
        <f t="shared" si="41"/>
        <v>0</v>
      </c>
      <c r="AE791" s="92" t="s">
        <v>79</v>
      </c>
    </row>
    <row r="792" spans="1:31" ht="30" customHeight="1">
      <c r="A792" s="150"/>
      <c r="B792" s="150"/>
      <c r="C792" s="150"/>
      <c r="D792" s="150"/>
      <c r="E792" s="150"/>
      <c r="F792" s="150"/>
      <c r="G792" s="150"/>
      <c r="H792" s="150"/>
      <c r="I792" s="150"/>
      <c r="J792" s="150"/>
      <c r="K792" s="150"/>
      <c r="L792" s="150"/>
      <c r="M792" s="150"/>
      <c r="N792" s="150"/>
      <c r="O792" s="152"/>
      <c r="P792" s="90"/>
      <c r="Q792" s="140"/>
      <c r="R792" s="90"/>
      <c r="S792" s="140"/>
      <c r="T792" s="90"/>
      <c r="U792" s="140"/>
      <c r="V792" s="90"/>
      <c r="W792" s="140"/>
      <c r="X792" s="90"/>
      <c r="Y792" s="140"/>
      <c r="Z792" s="177" t="str">
        <f t="shared" si="43"/>
        <v/>
      </c>
      <c r="AA792" s="190" t="b">
        <f t="shared" si="42"/>
        <v>0</v>
      </c>
      <c r="AB792" s="90"/>
      <c r="AC792" s="156" t="s">
        <v>36</v>
      </c>
      <c r="AD792" s="145">
        <f t="shared" si="41"/>
        <v>0</v>
      </c>
      <c r="AE792" s="92" t="s">
        <v>79</v>
      </c>
    </row>
    <row r="793" spans="1:31" ht="30" customHeight="1">
      <c r="A793" s="150"/>
      <c r="B793" s="150"/>
      <c r="C793" s="150"/>
      <c r="D793" s="150"/>
      <c r="E793" s="150"/>
      <c r="F793" s="150"/>
      <c r="G793" s="150"/>
      <c r="H793" s="150"/>
      <c r="I793" s="150"/>
      <c r="J793" s="150"/>
      <c r="K793" s="150"/>
      <c r="L793" s="150"/>
      <c r="M793" s="150"/>
      <c r="N793" s="150"/>
      <c r="O793" s="152"/>
      <c r="P793" s="90"/>
      <c r="Q793" s="140"/>
      <c r="R793" s="90"/>
      <c r="S793" s="140"/>
      <c r="T793" s="90"/>
      <c r="U793" s="140"/>
      <c r="V793" s="90"/>
      <c r="W793" s="140"/>
      <c r="X793" s="90"/>
      <c r="Y793" s="140"/>
      <c r="Z793" s="177" t="str">
        <f t="shared" si="43"/>
        <v/>
      </c>
      <c r="AA793" s="190" t="b">
        <f t="shared" si="42"/>
        <v>0</v>
      </c>
      <c r="AB793" s="90"/>
      <c r="AC793" s="156" t="s">
        <v>36</v>
      </c>
      <c r="AD793" s="145">
        <f t="shared" si="41"/>
        <v>0</v>
      </c>
      <c r="AE793" s="92" t="s">
        <v>79</v>
      </c>
    </row>
    <row r="794" spans="1:31" ht="30" customHeight="1">
      <c r="A794" s="150"/>
      <c r="B794" s="150"/>
      <c r="C794" s="150"/>
      <c r="D794" s="150"/>
      <c r="E794" s="150"/>
      <c r="F794" s="150"/>
      <c r="G794" s="150"/>
      <c r="H794" s="150"/>
      <c r="I794" s="150"/>
      <c r="J794" s="150"/>
      <c r="K794" s="150"/>
      <c r="L794" s="150"/>
      <c r="M794" s="150"/>
      <c r="N794" s="150"/>
      <c r="O794" s="152"/>
      <c r="P794" s="90"/>
      <c r="Q794" s="140"/>
      <c r="R794" s="90"/>
      <c r="S794" s="140"/>
      <c r="T794" s="90"/>
      <c r="U794" s="140"/>
      <c r="V794" s="90"/>
      <c r="W794" s="140"/>
      <c r="X794" s="90"/>
      <c r="Y794" s="140"/>
      <c r="Z794" s="177" t="str">
        <f t="shared" si="43"/>
        <v/>
      </c>
      <c r="AA794" s="190" t="b">
        <f t="shared" si="42"/>
        <v>0</v>
      </c>
      <c r="AB794" s="90"/>
      <c r="AC794" s="156" t="s">
        <v>36</v>
      </c>
      <c r="AD794" s="145">
        <f t="shared" si="41"/>
        <v>0</v>
      </c>
      <c r="AE794" s="92" t="s">
        <v>79</v>
      </c>
    </row>
    <row r="795" spans="1:31" ht="30" customHeight="1">
      <c r="A795" s="150"/>
      <c r="B795" s="150"/>
      <c r="C795" s="150"/>
      <c r="D795" s="150"/>
      <c r="E795" s="150"/>
      <c r="F795" s="150"/>
      <c r="G795" s="150"/>
      <c r="H795" s="150"/>
      <c r="I795" s="150"/>
      <c r="J795" s="150"/>
      <c r="K795" s="150"/>
      <c r="L795" s="150"/>
      <c r="M795" s="150"/>
      <c r="N795" s="150"/>
      <c r="O795" s="152"/>
      <c r="P795" s="90"/>
      <c r="Q795" s="140"/>
      <c r="R795" s="90"/>
      <c r="S795" s="140"/>
      <c r="T795" s="90"/>
      <c r="U795" s="140"/>
      <c r="V795" s="90"/>
      <c r="W795" s="140"/>
      <c r="X795" s="90"/>
      <c r="Y795" s="140"/>
      <c r="Z795" s="177" t="str">
        <f t="shared" si="43"/>
        <v/>
      </c>
      <c r="AA795" s="190" t="b">
        <f t="shared" si="42"/>
        <v>0</v>
      </c>
      <c r="AB795" s="90"/>
      <c r="AC795" s="156" t="s">
        <v>36</v>
      </c>
      <c r="AD795" s="145">
        <f t="shared" si="41"/>
        <v>0</v>
      </c>
      <c r="AE795" s="92" t="s">
        <v>79</v>
      </c>
    </row>
    <row r="796" spans="1:31" ht="30" customHeight="1">
      <c r="A796" s="150"/>
      <c r="B796" s="150"/>
      <c r="C796" s="150"/>
      <c r="D796" s="150"/>
      <c r="E796" s="150"/>
      <c r="F796" s="150"/>
      <c r="G796" s="150"/>
      <c r="H796" s="150"/>
      <c r="I796" s="150"/>
      <c r="J796" s="150"/>
      <c r="K796" s="150"/>
      <c r="L796" s="150"/>
      <c r="M796" s="150"/>
      <c r="N796" s="150"/>
      <c r="O796" s="152"/>
      <c r="P796" s="90"/>
      <c r="Q796" s="140"/>
      <c r="R796" s="90"/>
      <c r="S796" s="140"/>
      <c r="T796" s="90"/>
      <c r="U796" s="140"/>
      <c r="V796" s="90"/>
      <c r="W796" s="140"/>
      <c r="X796" s="90"/>
      <c r="Y796" s="140"/>
      <c r="Z796" s="177" t="str">
        <f t="shared" si="43"/>
        <v/>
      </c>
      <c r="AA796" s="190" t="b">
        <f t="shared" si="42"/>
        <v>0</v>
      </c>
      <c r="AB796" s="90"/>
      <c r="AC796" s="156" t="s">
        <v>36</v>
      </c>
      <c r="AD796" s="145">
        <f t="shared" si="41"/>
        <v>0</v>
      </c>
      <c r="AE796" s="92" t="s">
        <v>79</v>
      </c>
    </row>
    <row r="797" spans="1:31" ht="30" customHeight="1">
      <c r="A797" s="150"/>
      <c r="B797" s="150"/>
      <c r="C797" s="150"/>
      <c r="D797" s="150"/>
      <c r="E797" s="150"/>
      <c r="F797" s="150"/>
      <c r="G797" s="150"/>
      <c r="H797" s="150"/>
      <c r="I797" s="150"/>
      <c r="J797" s="150"/>
      <c r="K797" s="150"/>
      <c r="L797" s="150"/>
      <c r="M797" s="150"/>
      <c r="N797" s="150"/>
      <c r="O797" s="152"/>
      <c r="P797" s="90"/>
      <c r="Q797" s="140"/>
      <c r="R797" s="90"/>
      <c r="S797" s="140"/>
      <c r="T797" s="90"/>
      <c r="U797" s="140"/>
      <c r="V797" s="90"/>
      <c r="W797" s="140"/>
      <c r="X797" s="90"/>
      <c r="Y797" s="140"/>
      <c r="Z797" s="177" t="str">
        <f t="shared" si="43"/>
        <v/>
      </c>
      <c r="AA797" s="190" t="b">
        <f t="shared" si="42"/>
        <v>0</v>
      </c>
      <c r="AB797" s="90"/>
      <c r="AC797" s="156" t="s">
        <v>36</v>
      </c>
      <c r="AD797" s="145">
        <f t="shared" si="41"/>
        <v>0</v>
      </c>
      <c r="AE797" s="92" t="s">
        <v>79</v>
      </c>
    </row>
    <row r="798" spans="1:31" ht="30" customHeight="1">
      <c r="A798" s="150"/>
      <c r="B798" s="150"/>
      <c r="C798" s="150"/>
      <c r="D798" s="150"/>
      <c r="E798" s="150"/>
      <c r="F798" s="150"/>
      <c r="G798" s="150"/>
      <c r="H798" s="150"/>
      <c r="I798" s="150"/>
      <c r="J798" s="150"/>
      <c r="K798" s="150"/>
      <c r="L798" s="150"/>
      <c r="M798" s="150"/>
      <c r="N798" s="150"/>
      <c r="O798" s="152"/>
      <c r="P798" s="90"/>
      <c r="Q798" s="140"/>
      <c r="R798" s="90"/>
      <c r="S798" s="140"/>
      <c r="T798" s="90"/>
      <c r="U798" s="140"/>
      <c r="V798" s="90"/>
      <c r="W798" s="140"/>
      <c r="X798" s="90"/>
      <c r="Y798" s="140"/>
      <c r="Z798" s="177" t="str">
        <f t="shared" si="43"/>
        <v/>
      </c>
      <c r="AA798" s="190" t="b">
        <f t="shared" si="42"/>
        <v>0</v>
      </c>
      <c r="AB798" s="90"/>
      <c r="AC798" s="156" t="s">
        <v>36</v>
      </c>
      <c r="AD798" s="145">
        <f t="shared" si="41"/>
        <v>0</v>
      </c>
      <c r="AE798" s="92" t="s">
        <v>79</v>
      </c>
    </row>
    <row r="799" spans="1:31" ht="30" customHeight="1">
      <c r="A799" s="150"/>
      <c r="B799" s="150"/>
      <c r="C799" s="150"/>
      <c r="D799" s="150"/>
      <c r="E799" s="150"/>
      <c r="F799" s="150"/>
      <c r="G799" s="150"/>
      <c r="H799" s="150"/>
      <c r="I799" s="150"/>
      <c r="J799" s="150"/>
      <c r="K799" s="150"/>
      <c r="L799" s="150"/>
      <c r="M799" s="150"/>
      <c r="N799" s="150"/>
      <c r="O799" s="152"/>
      <c r="P799" s="90"/>
      <c r="Q799" s="140"/>
      <c r="R799" s="90"/>
      <c r="S799" s="140"/>
      <c r="T799" s="90"/>
      <c r="U799" s="140"/>
      <c r="V799" s="90"/>
      <c r="W799" s="140"/>
      <c r="X799" s="90"/>
      <c r="Y799" s="140"/>
      <c r="Z799" s="177" t="str">
        <f t="shared" si="43"/>
        <v/>
      </c>
      <c r="AA799" s="190" t="b">
        <f t="shared" si="42"/>
        <v>0</v>
      </c>
      <c r="AB799" s="90"/>
      <c r="AC799" s="156" t="s">
        <v>36</v>
      </c>
      <c r="AD799" s="145">
        <f t="shared" si="41"/>
        <v>0</v>
      </c>
      <c r="AE799" s="92" t="s">
        <v>79</v>
      </c>
    </row>
    <row r="800" spans="1:31" ht="30" customHeight="1">
      <c r="A800" s="150"/>
      <c r="B800" s="150"/>
      <c r="C800" s="150"/>
      <c r="D800" s="150"/>
      <c r="E800" s="150"/>
      <c r="F800" s="150"/>
      <c r="G800" s="150"/>
      <c r="H800" s="150"/>
      <c r="I800" s="150"/>
      <c r="J800" s="150"/>
      <c r="K800" s="150"/>
      <c r="L800" s="150"/>
      <c r="M800" s="150"/>
      <c r="N800" s="150"/>
      <c r="O800" s="152"/>
      <c r="P800" s="90"/>
      <c r="Q800" s="140"/>
      <c r="R800" s="90"/>
      <c r="S800" s="140"/>
      <c r="T800" s="90"/>
      <c r="U800" s="140"/>
      <c r="V800" s="90"/>
      <c r="W800" s="140"/>
      <c r="X800" s="90"/>
      <c r="Y800" s="140"/>
      <c r="Z800" s="177" t="str">
        <f t="shared" si="43"/>
        <v/>
      </c>
      <c r="AA800" s="190" t="b">
        <f t="shared" si="42"/>
        <v>0</v>
      </c>
      <c r="AB800" s="90"/>
      <c r="AC800" s="156" t="s">
        <v>36</v>
      </c>
      <c r="AD800" s="145">
        <f t="shared" si="41"/>
        <v>0</v>
      </c>
      <c r="AE800" s="92" t="s">
        <v>79</v>
      </c>
    </row>
    <row r="801" spans="1:31" ht="30" customHeight="1">
      <c r="A801" s="150"/>
      <c r="B801" s="150"/>
      <c r="C801" s="150"/>
      <c r="D801" s="150"/>
      <c r="E801" s="150"/>
      <c r="F801" s="150"/>
      <c r="G801" s="150"/>
      <c r="H801" s="150"/>
      <c r="I801" s="150"/>
      <c r="J801" s="150"/>
      <c r="K801" s="150"/>
      <c r="L801" s="150"/>
      <c r="M801" s="150"/>
      <c r="N801" s="150"/>
      <c r="O801" s="152"/>
      <c r="P801" s="90"/>
      <c r="Q801" s="140"/>
      <c r="R801" s="90"/>
      <c r="S801" s="140"/>
      <c r="T801" s="90"/>
      <c r="U801" s="140"/>
      <c r="V801" s="90"/>
      <c r="W801" s="140"/>
      <c r="X801" s="90"/>
      <c r="Y801" s="140"/>
      <c r="Z801" s="177" t="str">
        <f t="shared" si="43"/>
        <v/>
      </c>
      <c r="AA801" s="190" t="b">
        <f t="shared" si="42"/>
        <v>0</v>
      </c>
      <c r="AB801" s="90"/>
      <c r="AC801" s="156" t="s">
        <v>36</v>
      </c>
      <c r="AD801" s="145">
        <f t="shared" si="41"/>
        <v>0</v>
      </c>
      <c r="AE801" s="92" t="s">
        <v>79</v>
      </c>
    </row>
    <row r="802" spans="1:31" ht="30" customHeight="1">
      <c r="A802" s="150"/>
      <c r="B802" s="150"/>
      <c r="C802" s="150"/>
      <c r="D802" s="150"/>
      <c r="E802" s="150"/>
      <c r="F802" s="150"/>
      <c r="G802" s="150"/>
      <c r="H802" s="150"/>
      <c r="I802" s="150"/>
      <c r="J802" s="150"/>
      <c r="K802" s="150"/>
      <c r="L802" s="150"/>
      <c r="M802" s="150"/>
      <c r="N802" s="150"/>
      <c r="O802" s="152"/>
      <c r="P802" s="90"/>
      <c r="Q802" s="140"/>
      <c r="R802" s="90"/>
      <c r="S802" s="140"/>
      <c r="T802" s="90"/>
      <c r="U802" s="140"/>
      <c r="V802" s="90"/>
      <c r="W802" s="140"/>
      <c r="X802" s="90"/>
      <c r="Y802" s="140"/>
      <c r="Z802" s="177" t="str">
        <f t="shared" si="43"/>
        <v/>
      </c>
      <c r="AA802" s="190" t="b">
        <f t="shared" si="42"/>
        <v>0</v>
      </c>
      <c r="AB802" s="90"/>
      <c r="AC802" s="156" t="s">
        <v>36</v>
      </c>
      <c r="AD802" s="145">
        <f t="shared" ref="AD802:AD839" si="44">E802</f>
        <v>0</v>
      </c>
      <c r="AE802" s="92" t="s">
        <v>79</v>
      </c>
    </row>
    <row r="803" spans="1:31" ht="30" customHeight="1">
      <c r="A803" s="150"/>
      <c r="B803" s="150"/>
      <c r="C803" s="150"/>
      <c r="D803" s="150"/>
      <c r="E803" s="150"/>
      <c r="F803" s="150"/>
      <c r="G803" s="150"/>
      <c r="H803" s="150"/>
      <c r="I803" s="150"/>
      <c r="J803" s="150"/>
      <c r="K803" s="150"/>
      <c r="L803" s="150"/>
      <c r="M803" s="150"/>
      <c r="N803" s="150"/>
      <c r="O803" s="152"/>
      <c r="P803" s="90"/>
      <c r="Q803" s="140"/>
      <c r="R803" s="90"/>
      <c r="S803" s="140"/>
      <c r="T803" s="90"/>
      <c r="U803" s="140"/>
      <c r="V803" s="90"/>
      <c r="W803" s="140"/>
      <c r="X803" s="90"/>
      <c r="Y803" s="140"/>
      <c r="Z803" s="177" t="str">
        <f t="shared" si="43"/>
        <v/>
      </c>
      <c r="AA803" s="190" t="b">
        <f t="shared" si="42"/>
        <v>0</v>
      </c>
      <c r="AB803" s="90"/>
      <c r="AC803" s="156" t="s">
        <v>36</v>
      </c>
      <c r="AD803" s="145">
        <f t="shared" si="44"/>
        <v>0</v>
      </c>
      <c r="AE803" s="92" t="s">
        <v>79</v>
      </c>
    </row>
    <row r="804" spans="1:31" ht="30" customHeight="1">
      <c r="A804" s="150"/>
      <c r="B804" s="150"/>
      <c r="C804" s="150"/>
      <c r="D804" s="150"/>
      <c r="E804" s="150"/>
      <c r="F804" s="150"/>
      <c r="G804" s="150"/>
      <c r="H804" s="150"/>
      <c r="I804" s="150"/>
      <c r="J804" s="150"/>
      <c r="K804" s="150"/>
      <c r="L804" s="150"/>
      <c r="M804" s="150"/>
      <c r="N804" s="150"/>
      <c r="O804" s="152"/>
      <c r="P804" s="90"/>
      <c r="Q804" s="140"/>
      <c r="R804" s="90"/>
      <c r="S804" s="140"/>
      <c r="T804" s="90"/>
      <c r="U804" s="140"/>
      <c r="V804" s="90"/>
      <c r="W804" s="140"/>
      <c r="X804" s="90"/>
      <c r="Y804" s="140"/>
      <c r="Z804" s="177" t="str">
        <f t="shared" si="43"/>
        <v/>
      </c>
      <c r="AA804" s="190" t="b">
        <f t="shared" si="42"/>
        <v>0</v>
      </c>
      <c r="AB804" s="90"/>
      <c r="AC804" s="156" t="s">
        <v>36</v>
      </c>
      <c r="AD804" s="145">
        <f t="shared" si="44"/>
        <v>0</v>
      </c>
      <c r="AE804" s="92" t="s">
        <v>79</v>
      </c>
    </row>
    <row r="805" spans="1:31" ht="30" customHeight="1">
      <c r="A805" s="150"/>
      <c r="B805" s="150"/>
      <c r="C805" s="150"/>
      <c r="D805" s="150"/>
      <c r="E805" s="150"/>
      <c r="F805" s="150"/>
      <c r="G805" s="150"/>
      <c r="H805" s="150"/>
      <c r="I805" s="150"/>
      <c r="J805" s="150"/>
      <c r="K805" s="150"/>
      <c r="L805" s="150"/>
      <c r="M805" s="150"/>
      <c r="N805" s="150"/>
      <c r="O805" s="152"/>
      <c r="P805" s="90"/>
      <c r="Q805" s="140"/>
      <c r="R805" s="90"/>
      <c r="S805" s="140"/>
      <c r="T805" s="90"/>
      <c r="U805" s="140"/>
      <c r="V805" s="90"/>
      <c r="W805" s="140"/>
      <c r="X805" s="90"/>
      <c r="Y805" s="140"/>
      <c r="Z805" s="177" t="str">
        <f t="shared" si="43"/>
        <v/>
      </c>
      <c r="AA805" s="190" t="b">
        <f t="shared" si="42"/>
        <v>0</v>
      </c>
      <c r="AB805" s="90"/>
      <c r="AC805" s="156" t="s">
        <v>36</v>
      </c>
      <c r="AD805" s="145">
        <f t="shared" si="44"/>
        <v>0</v>
      </c>
      <c r="AE805" s="92" t="s">
        <v>79</v>
      </c>
    </row>
    <row r="806" spans="1:31" ht="30" customHeight="1">
      <c r="A806" s="150"/>
      <c r="B806" s="150"/>
      <c r="C806" s="150"/>
      <c r="D806" s="150"/>
      <c r="E806" s="150"/>
      <c r="F806" s="150"/>
      <c r="G806" s="150"/>
      <c r="H806" s="150"/>
      <c r="I806" s="150"/>
      <c r="J806" s="150"/>
      <c r="K806" s="150"/>
      <c r="L806" s="150"/>
      <c r="M806" s="150"/>
      <c r="N806" s="150"/>
      <c r="O806" s="152"/>
      <c r="P806" s="90"/>
      <c r="Q806" s="140"/>
      <c r="R806" s="90"/>
      <c r="S806" s="140"/>
      <c r="T806" s="90"/>
      <c r="U806" s="140"/>
      <c r="V806" s="90"/>
      <c r="W806" s="140"/>
      <c r="X806" s="90"/>
      <c r="Y806" s="140"/>
      <c r="Z806" s="177" t="str">
        <f t="shared" si="43"/>
        <v/>
      </c>
      <c r="AA806" s="190" t="b">
        <f t="shared" si="42"/>
        <v>0</v>
      </c>
      <c r="AB806" s="90"/>
      <c r="AC806" s="156" t="s">
        <v>36</v>
      </c>
      <c r="AD806" s="145">
        <f t="shared" si="44"/>
        <v>0</v>
      </c>
      <c r="AE806" s="92" t="s">
        <v>79</v>
      </c>
    </row>
    <row r="807" spans="1:31" ht="30" customHeight="1">
      <c r="A807" s="150"/>
      <c r="B807" s="150"/>
      <c r="C807" s="150"/>
      <c r="D807" s="150"/>
      <c r="E807" s="150"/>
      <c r="F807" s="150"/>
      <c r="G807" s="150"/>
      <c r="H807" s="150"/>
      <c r="I807" s="150"/>
      <c r="J807" s="150"/>
      <c r="K807" s="150"/>
      <c r="L807" s="150"/>
      <c r="M807" s="150"/>
      <c r="N807" s="150"/>
      <c r="O807" s="152"/>
      <c r="P807" s="90"/>
      <c r="Q807" s="140"/>
      <c r="R807" s="90"/>
      <c r="S807" s="140"/>
      <c r="T807" s="90"/>
      <c r="U807" s="140"/>
      <c r="V807" s="90"/>
      <c r="W807" s="140"/>
      <c r="X807" s="90"/>
      <c r="Y807" s="140"/>
      <c r="Z807" s="177" t="str">
        <f t="shared" si="43"/>
        <v/>
      </c>
      <c r="AA807" s="190" t="b">
        <f t="shared" si="42"/>
        <v>0</v>
      </c>
      <c r="AB807" s="90"/>
      <c r="AC807" s="156" t="s">
        <v>36</v>
      </c>
      <c r="AD807" s="145">
        <f t="shared" si="44"/>
        <v>0</v>
      </c>
      <c r="AE807" s="92" t="s">
        <v>79</v>
      </c>
    </row>
    <row r="808" spans="1:31" ht="30" customHeight="1">
      <c r="A808" s="150"/>
      <c r="B808" s="150"/>
      <c r="C808" s="150"/>
      <c r="D808" s="150"/>
      <c r="E808" s="150"/>
      <c r="F808" s="150"/>
      <c r="G808" s="150"/>
      <c r="H808" s="150"/>
      <c r="I808" s="150"/>
      <c r="J808" s="150"/>
      <c r="K808" s="150"/>
      <c r="L808" s="150"/>
      <c r="M808" s="150"/>
      <c r="N808" s="150"/>
      <c r="O808" s="152"/>
      <c r="P808" s="90"/>
      <c r="Q808" s="140"/>
      <c r="R808" s="90"/>
      <c r="S808" s="140"/>
      <c r="T808" s="90"/>
      <c r="U808" s="140"/>
      <c r="V808" s="90"/>
      <c r="W808" s="140"/>
      <c r="X808" s="90"/>
      <c r="Y808" s="140"/>
      <c r="Z808" s="177" t="str">
        <f t="shared" si="43"/>
        <v/>
      </c>
      <c r="AA808" s="190" t="b">
        <f t="shared" si="42"/>
        <v>0</v>
      </c>
      <c r="AB808" s="90"/>
      <c r="AC808" s="156" t="s">
        <v>36</v>
      </c>
      <c r="AD808" s="145">
        <f t="shared" si="44"/>
        <v>0</v>
      </c>
      <c r="AE808" s="92" t="s">
        <v>79</v>
      </c>
    </row>
    <row r="809" spans="1:31" ht="30" customHeight="1">
      <c r="A809" s="150"/>
      <c r="B809" s="150"/>
      <c r="C809" s="150"/>
      <c r="D809" s="150"/>
      <c r="E809" s="150"/>
      <c r="F809" s="150"/>
      <c r="G809" s="150"/>
      <c r="H809" s="150"/>
      <c r="I809" s="150"/>
      <c r="J809" s="150"/>
      <c r="K809" s="150"/>
      <c r="L809" s="150"/>
      <c r="M809" s="150"/>
      <c r="N809" s="150"/>
      <c r="O809" s="152"/>
      <c r="P809" s="90"/>
      <c r="Q809" s="140"/>
      <c r="R809" s="90"/>
      <c r="S809" s="140"/>
      <c r="T809" s="90"/>
      <c r="U809" s="140"/>
      <c r="V809" s="90"/>
      <c r="W809" s="140"/>
      <c r="X809" s="90"/>
      <c r="Y809" s="140"/>
      <c r="Z809" s="177" t="str">
        <f t="shared" si="43"/>
        <v/>
      </c>
      <c r="AA809" s="190" t="b">
        <f t="shared" si="42"/>
        <v>0</v>
      </c>
      <c r="AB809" s="90"/>
      <c r="AC809" s="156" t="s">
        <v>36</v>
      </c>
      <c r="AD809" s="145">
        <f t="shared" si="44"/>
        <v>0</v>
      </c>
      <c r="AE809" s="92" t="s">
        <v>79</v>
      </c>
    </row>
    <row r="810" spans="1:31" ht="30" customHeight="1">
      <c r="A810" s="150"/>
      <c r="B810" s="150"/>
      <c r="C810" s="150"/>
      <c r="D810" s="150"/>
      <c r="E810" s="150"/>
      <c r="F810" s="150"/>
      <c r="G810" s="150"/>
      <c r="H810" s="150"/>
      <c r="I810" s="150"/>
      <c r="J810" s="150"/>
      <c r="K810" s="150"/>
      <c r="L810" s="150"/>
      <c r="M810" s="150"/>
      <c r="N810" s="150"/>
      <c r="O810" s="152"/>
      <c r="P810" s="90"/>
      <c r="Q810" s="140"/>
      <c r="R810" s="90"/>
      <c r="S810" s="140"/>
      <c r="T810" s="90"/>
      <c r="U810" s="140"/>
      <c r="V810" s="90"/>
      <c r="W810" s="140"/>
      <c r="X810" s="90"/>
      <c r="Y810" s="140"/>
      <c r="Z810" s="177" t="str">
        <f t="shared" si="43"/>
        <v/>
      </c>
      <c r="AA810" s="190" t="b">
        <f t="shared" si="42"/>
        <v>0</v>
      </c>
      <c r="AB810" s="90"/>
      <c r="AC810" s="156" t="s">
        <v>36</v>
      </c>
      <c r="AD810" s="145">
        <f t="shared" si="44"/>
        <v>0</v>
      </c>
      <c r="AE810" s="92" t="s">
        <v>79</v>
      </c>
    </row>
    <row r="811" spans="1:31" ht="30" customHeight="1">
      <c r="A811" s="150"/>
      <c r="B811" s="150"/>
      <c r="C811" s="150"/>
      <c r="D811" s="150"/>
      <c r="E811" s="150"/>
      <c r="F811" s="150"/>
      <c r="G811" s="150"/>
      <c r="H811" s="150"/>
      <c r="I811" s="150"/>
      <c r="J811" s="150"/>
      <c r="K811" s="150"/>
      <c r="L811" s="150"/>
      <c r="M811" s="150"/>
      <c r="N811" s="150"/>
      <c r="O811" s="152"/>
      <c r="P811" s="90"/>
      <c r="Q811" s="140"/>
      <c r="R811" s="90"/>
      <c r="S811" s="140"/>
      <c r="T811" s="90"/>
      <c r="U811" s="140"/>
      <c r="V811" s="90"/>
      <c r="W811" s="140"/>
      <c r="X811" s="90"/>
      <c r="Y811" s="140"/>
      <c r="Z811" s="177" t="str">
        <f t="shared" si="43"/>
        <v/>
      </c>
      <c r="AA811" s="190" t="b">
        <f t="shared" si="42"/>
        <v>0</v>
      </c>
      <c r="AB811" s="90"/>
      <c r="AC811" s="156" t="s">
        <v>36</v>
      </c>
      <c r="AD811" s="145">
        <f t="shared" si="44"/>
        <v>0</v>
      </c>
      <c r="AE811" s="92" t="s">
        <v>79</v>
      </c>
    </row>
    <row r="812" spans="1:31" ht="30" customHeight="1">
      <c r="A812" s="150"/>
      <c r="B812" s="150"/>
      <c r="C812" s="150"/>
      <c r="D812" s="150"/>
      <c r="E812" s="150"/>
      <c r="F812" s="150"/>
      <c r="G812" s="150"/>
      <c r="H812" s="150"/>
      <c r="I812" s="150"/>
      <c r="J812" s="150"/>
      <c r="K812" s="150"/>
      <c r="L812" s="150"/>
      <c r="M812" s="150"/>
      <c r="N812" s="150"/>
      <c r="O812" s="152"/>
      <c r="P812" s="90"/>
      <c r="Q812" s="140"/>
      <c r="R812" s="90"/>
      <c r="S812" s="140"/>
      <c r="T812" s="90"/>
      <c r="U812" s="140"/>
      <c r="V812" s="90"/>
      <c r="W812" s="140"/>
      <c r="X812" s="90"/>
      <c r="Y812" s="140"/>
      <c r="Z812" s="177" t="str">
        <f t="shared" si="43"/>
        <v/>
      </c>
      <c r="AA812" s="190" t="b">
        <f t="shared" si="42"/>
        <v>0</v>
      </c>
      <c r="AB812" s="90"/>
      <c r="AC812" s="156" t="s">
        <v>36</v>
      </c>
      <c r="AD812" s="145">
        <f t="shared" si="44"/>
        <v>0</v>
      </c>
      <c r="AE812" s="92" t="s">
        <v>79</v>
      </c>
    </row>
    <row r="813" spans="1:31" ht="30" customHeight="1">
      <c r="A813" s="150"/>
      <c r="B813" s="150"/>
      <c r="C813" s="150"/>
      <c r="D813" s="150"/>
      <c r="E813" s="150"/>
      <c r="F813" s="150"/>
      <c r="G813" s="150"/>
      <c r="H813" s="150"/>
      <c r="I813" s="150"/>
      <c r="J813" s="150"/>
      <c r="K813" s="150"/>
      <c r="L813" s="150"/>
      <c r="M813" s="150"/>
      <c r="N813" s="150"/>
      <c r="O813" s="152"/>
      <c r="P813" s="90"/>
      <c r="Q813" s="140"/>
      <c r="R813" s="90"/>
      <c r="S813" s="140"/>
      <c r="T813" s="90"/>
      <c r="U813" s="140"/>
      <c r="V813" s="90"/>
      <c r="W813" s="140"/>
      <c r="X813" s="90"/>
      <c r="Y813" s="140"/>
      <c r="Z813" s="177" t="str">
        <f t="shared" si="43"/>
        <v/>
      </c>
      <c r="AA813" s="190" t="b">
        <f t="shared" si="42"/>
        <v>0</v>
      </c>
      <c r="AB813" s="90"/>
      <c r="AC813" s="156" t="s">
        <v>36</v>
      </c>
      <c r="AD813" s="145">
        <f t="shared" si="44"/>
        <v>0</v>
      </c>
      <c r="AE813" s="92" t="s">
        <v>79</v>
      </c>
    </row>
    <row r="814" spans="1:31" ht="30" customHeight="1">
      <c r="A814" s="150"/>
      <c r="B814" s="150"/>
      <c r="C814" s="150"/>
      <c r="D814" s="150"/>
      <c r="E814" s="150"/>
      <c r="F814" s="150"/>
      <c r="G814" s="150"/>
      <c r="H814" s="150"/>
      <c r="I814" s="150"/>
      <c r="J814" s="150"/>
      <c r="K814" s="150"/>
      <c r="L814" s="150"/>
      <c r="M814" s="150"/>
      <c r="N814" s="150"/>
      <c r="O814" s="152"/>
      <c r="P814" s="90"/>
      <c r="Q814" s="140"/>
      <c r="R814" s="90"/>
      <c r="S814" s="140"/>
      <c r="T814" s="90"/>
      <c r="U814" s="140"/>
      <c r="V814" s="90"/>
      <c r="W814" s="140"/>
      <c r="X814" s="90"/>
      <c r="Y814" s="140"/>
      <c r="Z814" s="177" t="str">
        <f t="shared" si="43"/>
        <v/>
      </c>
      <c r="AA814" s="190" t="b">
        <f t="shared" si="42"/>
        <v>0</v>
      </c>
      <c r="AB814" s="90"/>
      <c r="AC814" s="156" t="s">
        <v>36</v>
      </c>
      <c r="AD814" s="145">
        <f t="shared" si="44"/>
        <v>0</v>
      </c>
      <c r="AE814" s="92" t="s">
        <v>79</v>
      </c>
    </row>
    <row r="815" spans="1:31" ht="30" customHeight="1">
      <c r="A815" s="150"/>
      <c r="B815" s="150"/>
      <c r="C815" s="150"/>
      <c r="D815" s="150"/>
      <c r="E815" s="150"/>
      <c r="F815" s="150"/>
      <c r="G815" s="150"/>
      <c r="H815" s="150"/>
      <c r="I815" s="150"/>
      <c r="J815" s="150"/>
      <c r="K815" s="150"/>
      <c r="L815" s="150"/>
      <c r="M815" s="150"/>
      <c r="N815" s="150"/>
      <c r="O815" s="152"/>
      <c r="P815" s="90"/>
      <c r="Q815" s="140"/>
      <c r="R815" s="90"/>
      <c r="S815" s="140"/>
      <c r="T815" s="90"/>
      <c r="U815" s="140"/>
      <c r="V815" s="90"/>
      <c r="W815" s="140"/>
      <c r="X815" s="90"/>
      <c r="Y815" s="140"/>
      <c r="Z815" s="177" t="str">
        <f t="shared" si="43"/>
        <v/>
      </c>
      <c r="AA815" s="190" t="b">
        <f t="shared" si="42"/>
        <v>0</v>
      </c>
      <c r="AB815" s="90"/>
      <c r="AC815" s="156" t="s">
        <v>36</v>
      </c>
      <c r="AD815" s="145">
        <f t="shared" si="44"/>
        <v>0</v>
      </c>
      <c r="AE815" s="92" t="s">
        <v>79</v>
      </c>
    </row>
    <row r="816" spans="1:31" ht="30" customHeight="1">
      <c r="A816" s="150"/>
      <c r="B816" s="150"/>
      <c r="C816" s="150"/>
      <c r="D816" s="150"/>
      <c r="E816" s="150"/>
      <c r="F816" s="150"/>
      <c r="G816" s="150"/>
      <c r="H816" s="150"/>
      <c r="I816" s="150"/>
      <c r="J816" s="150"/>
      <c r="K816" s="150"/>
      <c r="L816" s="150"/>
      <c r="M816" s="150"/>
      <c r="N816" s="150"/>
      <c r="O816" s="152"/>
      <c r="P816" s="90"/>
      <c r="Q816" s="140"/>
      <c r="R816" s="90"/>
      <c r="S816" s="140"/>
      <c r="T816" s="90"/>
      <c r="U816" s="140"/>
      <c r="V816" s="90"/>
      <c r="W816" s="140"/>
      <c r="X816" s="90"/>
      <c r="Y816" s="140"/>
      <c r="Z816" s="177" t="str">
        <f t="shared" si="43"/>
        <v/>
      </c>
      <c r="AA816" s="190" t="b">
        <f t="shared" si="42"/>
        <v>0</v>
      </c>
      <c r="AB816" s="90"/>
      <c r="AC816" s="156" t="s">
        <v>36</v>
      </c>
      <c r="AD816" s="145">
        <f t="shared" si="44"/>
        <v>0</v>
      </c>
      <c r="AE816" s="92" t="s">
        <v>79</v>
      </c>
    </row>
    <row r="817" spans="1:31" ht="30" customHeight="1">
      <c r="A817" s="150"/>
      <c r="B817" s="150"/>
      <c r="C817" s="150"/>
      <c r="D817" s="150"/>
      <c r="E817" s="150"/>
      <c r="F817" s="150"/>
      <c r="G817" s="150"/>
      <c r="H817" s="150"/>
      <c r="I817" s="150"/>
      <c r="J817" s="150"/>
      <c r="K817" s="150"/>
      <c r="L817" s="150"/>
      <c r="M817" s="150"/>
      <c r="N817" s="150"/>
      <c r="O817" s="152"/>
      <c r="P817" s="90"/>
      <c r="Q817" s="140"/>
      <c r="R817" s="90"/>
      <c r="S817" s="140"/>
      <c r="T817" s="90"/>
      <c r="U817" s="140"/>
      <c r="V817" s="90"/>
      <c r="W817" s="140"/>
      <c r="X817" s="90"/>
      <c r="Y817" s="140"/>
      <c r="Z817" s="177" t="str">
        <f t="shared" si="43"/>
        <v/>
      </c>
      <c r="AA817" s="190" t="b">
        <f t="shared" si="42"/>
        <v>0</v>
      </c>
      <c r="AB817" s="90"/>
      <c r="AC817" s="156" t="s">
        <v>36</v>
      </c>
      <c r="AD817" s="145">
        <f t="shared" si="44"/>
        <v>0</v>
      </c>
      <c r="AE817" s="92" t="s">
        <v>79</v>
      </c>
    </row>
    <row r="818" spans="1:31" ht="30" customHeight="1">
      <c r="A818" s="150"/>
      <c r="B818" s="150"/>
      <c r="C818" s="150"/>
      <c r="D818" s="150"/>
      <c r="E818" s="150"/>
      <c r="F818" s="150"/>
      <c r="G818" s="150"/>
      <c r="H818" s="150"/>
      <c r="I818" s="150"/>
      <c r="J818" s="150"/>
      <c r="K818" s="150"/>
      <c r="L818" s="150"/>
      <c r="M818" s="150"/>
      <c r="N818" s="150"/>
      <c r="O818" s="152"/>
      <c r="P818" s="90"/>
      <c r="Q818" s="140"/>
      <c r="R818" s="90"/>
      <c r="S818" s="140"/>
      <c r="T818" s="90"/>
      <c r="U818" s="140"/>
      <c r="V818" s="90"/>
      <c r="W818" s="140"/>
      <c r="X818" s="90"/>
      <c r="Y818" s="140"/>
      <c r="Z818" s="177" t="str">
        <f t="shared" si="43"/>
        <v/>
      </c>
      <c r="AA818" s="190" t="b">
        <f t="shared" si="42"/>
        <v>0</v>
      </c>
      <c r="AB818" s="90"/>
      <c r="AC818" s="156" t="s">
        <v>36</v>
      </c>
      <c r="AD818" s="145">
        <f t="shared" si="44"/>
        <v>0</v>
      </c>
      <c r="AE818" s="92" t="s">
        <v>79</v>
      </c>
    </row>
    <row r="819" spans="1:31" ht="30" customHeight="1">
      <c r="A819" s="150"/>
      <c r="B819" s="150"/>
      <c r="C819" s="150"/>
      <c r="D819" s="150"/>
      <c r="E819" s="150"/>
      <c r="F819" s="150"/>
      <c r="G819" s="150"/>
      <c r="H819" s="150"/>
      <c r="I819" s="150"/>
      <c r="J819" s="150"/>
      <c r="K819" s="150"/>
      <c r="L819" s="150"/>
      <c r="M819" s="150"/>
      <c r="N819" s="150"/>
      <c r="O819" s="152"/>
      <c r="P819" s="90"/>
      <c r="Q819" s="140"/>
      <c r="R819" s="90"/>
      <c r="S819" s="140"/>
      <c r="T819" s="90"/>
      <c r="U819" s="140"/>
      <c r="V819" s="90"/>
      <c r="W819" s="140"/>
      <c r="X819" s="90"/>
      <c r="Y819" s="140"/>
      <c r="Z819" s="177" t="str">
        <f t="shared" si="43"/>
        <v/>
      </c>
      <c r="AA819" s="190" t="b">
        <f t="shared" si="42"/>
        <v>0</v>
      </c>
      <c r="AB819" s="90"/>
      <c r="AC819" s="156" t="s">
        <v>36</v>
      </c>
      <c r="AD819" s="145">
        <f t="shared" si="44"/>
        <v>0</v>
      </c>
      <c r="AE819" s="92" t="s">
        <v>79</v>
      </c>
    </row>
    <row r="820" spans="1:31" ht="30" customHeight="1">
      <c r="A820" s="150"/>
      <c r="B820" s="150"/>
      <c r="C820" s="150"/>
      <c r="D820" s="150"/>
      <c r="E820" s="150"/>
      <c r="F820" s="150"/>
      <c r="G820" s="150"/>
      <c r="H820" s="150"/>
      <c r="I820" s="150"/>
      <c r="J820" s="150"/>
      <c r="K820" s="150"/>
      <c r="L820" s="150"/>
      <c r="M820" s="150"/>
      <c r="N820" s="150"/>
      <c r="O820" s="152"/>
      <c r="P820" s="90"/>
      <c r="Q820" s="140"/>
      <c r="R820" s="90"/>
      <c r="S820" s="140"/>
      <c r="T820" s="90"/>
      <c r="U820" s="140"/>
      <c r="V820" s="90"/>
      <c r="W820" s="140"/>
      <c r="X820" s="90"/>
      <c r="Y820" s="140"/>
      <c r="Z820" s="177" t="str">
        <f t="shared" si="43"/>
        <v/>
      </c>
      <c r="AA820" s="190" t="b">
        <f t="shared" si="42"/>
        <v>0</v>
      </c>
      <c r="AB820" s="90"/>
      <c r="AC820" s="156" t="s">
        <v>36</v>
      </c>
      <c r="AD820" s="145">
        <f t="shared" si="44"/>
        <v>0</v>
      </c>
      <c r="AE820" s="92" t="s">
        <v>79</v>
      </c>
    </row>
    <row r="821" spans="1:31" ht="30" customHeight="1">
      <c r="A821" s="150"/>
      <c r="B821" s="150"/>
      <c r="C821" s="150"/>
      <c r="D821" s="150"/>
      <c r="E821" s="150"/>
      <c r="F821" s="150"/>
      <c r="G821" s="150"/>
      <c r="H821" s="150"/>
      <c r="I821" s="150"/>
      <c r="J821" s="150"/>
      <c r="K821" s="150"/>
      <c r="L821" s="150"/>
      <c r="M821" s="150"/>
      <c r="N821" s="150"/>
      <c r="O821" s="152"/>
      <c r="P821" s="90"/>
      <c r="Q821" s="140"/>
      <c r="R821" s="90"/>
      <c r="S821" s="140"/>
      <c r="T821" s="90"/>
      <c r="U821" s="140"/>
      <c r="V821" s="90"/>
      <c r="W821" s="140"/>
      <c r="X821" s="90"/>
      <c r="Y821" s="140"/>
      <c r="Z821" s="177" t="str">
        <f t="shared" si="43"/>
        <v/>
      </c>
      <c r="AA821" s="190" t="b">
        <f t="shared" si="42"/>
        <v>0</v>
      </c>
      <c r="AB821" s="90"/>
      <c r="AC821" s="156" t="s">
        <v>36</v>
      </c>
      <c r="AD821" s="145">
        <f t="shared" si="44"/>
        <v>0</v>
      </c>
      <c r="AE821" s="92" t="s">
        <v>79</v>
      </c>
    </row>
    <row r="822" spans="1:31" ht="30" customHeight="1">
      <c r="A822" s="150"/>
      <c r="B822" s="150"/>
      <c r="C822" s="150"/>
      <c r="D822" s="150"/>
      <c r="E822" s="150"/>
      <c r="F822" s="150"/>
      <c r="G822" s="150"/>
      <c r="H822" s="150"/>
      <c r="I822" s="150"/>
      <c r="J822" s="150"/>
      <c r="K822" s="150"/>
      <c r="L822" s="150"/>
      <c r="M822" s="150"/>
      <c r="N822" s="150"/>
      <c r="O822" s="152"/>
      <c r="P822" s="90"/>
      <c r="Q822" s="140"/>
      <c r="R822" s="90"/>
      <c r="S822" s="140"/>
      <c r="T822" s="90"/>
      <c r="U822" s="140"/>
      <c r="V822" s="90"/>
      <c r="W822" s="140"/>
      <c r="X822" s="90"/>
      <c r="Y822" s="140"/>
      <c r="Z822" s="177" t="str">
        <f t="shared" si="43"/>
        <v/>
      </c>
      <c r="AA822" s="190" t="b">
        <f t="shared" si="42"/>
        <v>0</v>
      </c>
      <c r="AB822" s="90"/>
      <c r="AC822" s="156" t="s">
        <v>36</v>
      </c>
      <c r="AD822" s="145">
        <f t="shared" si="44"/>
        <v>0</v>
      </c>
      <c r="AE822" s="92" t="s">
        <v>79</v>
      </c>
    </row>
    <row r="823" spans="1:31" ht="30" customHeight="1">
      <c r="A823" s="150"/>
      <c r="B823" s="150"/>
      <c r="C823" s="150"/>
      <c r="D823" s="150"/>
      <c r="E823" s="150"/>
      <c r="F823" s="150"/>
      <c r="G823" s="150"/>
      <c r="H823" s="150"/>
      <c r="I823" s="150"/>
      <c r="J823" s="150"/>
      <c r="K823" s="150"/>
      <c r="L823" s="150"/>
      <c r="M823" s="150"/>
      <c r="N823" s="150"/>
      <c r="O823" s="152"/>
      <c r="P823" s="90"/>
      <c r="Q823" s="140"/>
      <c r="R823" s="90"/>
      <c r="S823" s="140"/>
      <c r="T823" s="90"/>
      <c r="U823" s="140"/>
      <c r="V823" s="90"/>
      <c r="W823" s="140"/>
      <c r="X823" s="90"/>
      <c r="Y823" s="140"/>
      <c r="Z823" s="177" t="str">
        <f t="shared" si="43"/>
        <v/>
      </c>
      <c r="AA823" s="190" t="b">
        <f t="shared" si="42"/>
        <v>0</v>
      </c>
      <c r="AB823" s="90"/>
      <c r="AC823" s="156" t="s">
        <v>36</v>
      </c>
      <c r="AD823" s="145">
        <f t="shared" si="44"/>
        <v>0</v>
      </c>
      <c r="AE823" s="92" t="s">
        <v>79</v>
      </c>
    </row>
    <row r="824" spans="1:31" ht="30" customHeight="1">
      <c r="A824" s="150"/>
      <c r="B824" s="150"/>
      <c r="C824" s="150"/>
      <c r="D824" s="150"/>
      <c r="E824" s="150"/>
      <c r="F824" s="150"/>
      <c r="G824" s="150"/>
      <c r="H824" s="150"/>
      <c r="I824" s="150"/>
      <c r="J824" s="150"/>
      <c r="K824" s="150"/>
      <c r="L824" s="150"/>
      <c r="M824" s="150"/>
      <c r="N824" s="150"/>
      <c r="O824" s="152"/>
      <c r="P824" s="90"/>
      <c r="Q824" s="140"/>
      <c r="R824" s="90"/>
      <c r="S824" s="140"/>
      <c r="T824" s="90"/>
      <c r="U824" s="140"/>
      <c r="V824" s="90"/>
      <c r="W824" s="140"/>
      <c r="X824" s="90"/>
      <c r="Y824" s="140"/>
      <c r="Z824" s="177" t="str">
        <f t="shared" si="43"/>
        <v/>
      </c>
      <c r="AA824" s="190" t="b">
        <f t="shared" si="42"/>
        <v>0</v>
      </c>
      <c r="AB824" s="90"/>
      <c r="AC824" s="156" t="s">
        <v>36</v>
      </c>
      <c r="AD824" s="145">
        <f t="shared" si="44"/>
        <v>0</v>
      </c>
      <c r="AE824" s="92" t="s">
        <v>79</v>
      </c>
    </row>
    <row r="825" spans="1:31" ht="30" customHeight="1">
      <c r="A825" s="150"/>
      <c r="B825" s="150"/>
      <c r="C825" s="150"/>
      <c r="D825" s="150"/>
      <c r="E825" s="150"/>
      <c r="F825" s="150"/>
      <c r="G825" s="150"/>
      <c r="H825" s="150"/>
      <c r="I825" s="150"/>
      <c r="J825" s="150"/>
      <c r="K825" s="150"/>
      <c r="L825" s="150"/>
      <c r="M825" s="150"/>
      <c r="N825" s="150"/>
      <c r="O825" s="152"/>
      <c r="P825" s="90"/>
      <c r="Q825" s="140"/>
      <c r="R825" s="90"/>
      <c r="S825" s="140"/>
      <c r="T825" s="90"/>
      <c r="U825" s="140"/>
      <c r="V825" s="90"/>
      <c r="W825" s="140"/>
      <c r="X825" s="90"/>
      <c r="Y825" s="140"/>
      <c r="Z825" s="177" t="str">
        <f t="shared" si="43"/>
        <v/>
      </c>
      <c r="AA825" s="190" t="b">
        <f t="shared" si="42"/>
        <v>0</v>
      </c>
      <c r="AB825" s="90"/>
      <c r="AC825" s="156" t="s">
        <v>36</v>
      </c>
      <c r="AD825" s="145">
        <f t="shared" si="44"/>
        <v>0</v>
      </c>
      <c r="AE825" s="92" t="s">
        <v>79</v>
      </c>
    </row>
    <row r="826" spans="1:31" ht="30" customHeight="1">
      <c r="A826" s="150"/>
      <c r="B826" s="150"/>
      <c r="C826" s="150"/>
      <c r="D826" s="150"/>
      <c r="E826" s="150"/>
      <c r="F826" s="150"/>
      <c r="G826" s="150"/>
      <c r="H826" s="150"/>
      <c r="I826" s="150"/>
      <c r="J826" s="150"/>
      <c r="K826" s="150"/>
      <c r="L826" s="150"/>
      <c r="M826" s="150"/>
      <c r="N826" s="150"/>
      <c r="O826" s="152"/>
      <c r="P826" s="90"/>
      <c r="Q826" s="140"/>
      <c r="R826" s="90"/>
      <c r="S826" s="140"/>
      <c r="T826" s="90"/>
      <c r="U826" s="140"/>
      <c r="V826" s="90"/>
      <c r="W826" s="140"/>
      <c r="X826" s="90"/>
      <c r="Y826" s="140"/>
      <c r="Z826" s="177" t="str">
        <f t="shared" si="43"/>
        <v/>
      </c>
      <c r="AA826" s="190" t="b">
        <f t="shared" si="42"/>
        <v>0</v>
      </c>
      <c r="AB826" s="90"/>
      <c r="AC826" s="156" t="s">
        <v>36</v>
      </c>
      <c r="AD826" s="145">
        <f t="shared" si="44"/>
        <v>0</v>
      </c>
      <c r="AE826" s="92" t="s">
        <v>79</v>
      </c>
    </row>
    <row r="827" spans="1:31" ht="30" customHeight="1">
      <c r="A827" s="150"/>
      <c r="B827" s="150"/>
      <c r="C827" s="150"/>
      <c r="D827" s="150"/>
      <c r="E827" s="150"/>
      <c r="F827" s="150"/>
      <c r="G827" s="150"/>
      <c r="H827" s="150"/>
      <c r="I827" s="150"/>
      <c r="J827" s="150"/>
      <c r="K827" s="150"/>
      <c r="L827" s="150"/>
      <c r="M827" s="150"/>
      <c r="N827" s="150"/>
      <c r="O827" s="152"/>
      <c r="P827" s="90"/>
      <c r="Q827" s="140"/>
      <c r="R827" s="90"/>
      <c r="S827" s="140"/>
      <c r="T827" s="90"/>
      <c r="U827" s="140"/>
      <c r="V827" s="90"/>
      <c r="W827" s="140"/>
      <c r="X827" s="90"/>
      <c r="Y827" s="140"/>
      <c r="Z827" s="177" t="str">
        <f t="shared" si="43"/>
        <v/>
      </c>
      <c r="AA827" s="190" t="b">
        <f t="shared" si="42"/>
        <v>0</v>
      </c>
      <c r="AB827" s="90"/>
      <c r="AC827" s="156" t="s">
        <v>36</v>
      </c>
      <c r="AD827" s="145">
        <f t="shared" si="44"/>
        <v>0</v>
      </c>
      <c r="AE827" s="92" t="s">
        <v>79</v>
      </c>
    </row>
    <row r="828" spans="1:31" ht="30" customHeight="1">
      <c r="A828" s="150"/>
      <c r="B828" s="150"/>
      <c r="C828" s="150"/>
      <c r="D828" s="150"/>
      <c r="E828" s="150"/>
      <c r="F828" s="150"/>
      <c r="G828" s="150"/>
      <c r="H828" s="150"/>
      <c r="I828" s="150"/>
      <c r="J828" s="150"/>
      <c r="K828" s="150"/>
      <c r="L828" s="150"/>
      <c r="M828" s="150"/>
      <c r="N828" s="150"/>
      <c r="O828" s="152"/>
      <c r="P828" s="90"/>
      <c r="Q828" s="140"/>
      <c r="R828" s="90"/>
      <c r="S828" s="140"/>
      <c r="T828" s="90"/>
      <c r="U828" s="140"/>
      <c r="V828" s="90"/>
      <c r="W828" s="140"/>
      <c r="X828" s="90"/>
      <c r="Y828" s="140"/>
      <c r="Z828" s="177" t="str">
        <f t="shared" si="43"/>
        <v/>
      </c>
      <c r="AA828" s="190" t="b">
        <f t="shared" si="42"/>
        <v>0</v>
      </c>
      <c r="AB828" s="90"/>
      <c r="AC828" s="156" t="s">
        <v>36</v>
      </c>
      <c r="AD828" s="145">
        <f t="shared" si="44"/>
        <v>0</v>
      </c>
      <c r="AE828" s="92" t="s">
        <v>79</v>
      </c>
    </row>
    <row r="829" spans="1:31" ht="30" customHeight="1">
      <c r="A829" s="150"/>
      <c r="B829" s="150"/>
      <c r="C829" s="150"/>
      <c r="D829" s="150"/>
      <c r="E829" s="150"/>
      <c r="F829" s="150"/>
      <c r="G829" s="150"/>
      <c r="H829" s="150"/>
      <c r="I829" s="150"/>
      <c r="J829" s="150"/>
      <c r="K829" s="150"/>
      <c r="L829" s="150"/>
      <c r="M829" s="150"/>
      <c r="N829" s="150"/>
      <c r="O829" s="152"/>
      <c r="P829" s="90"/>
      <c r="Q829" s="140"/>
      <c r="R829" s="90"/>
      <c r="S829" s="140"/>
      <c r="T829" s="90"/>
      <c r="U829" s="140"/>
      <c r="V829" s="90"/>
      <c r="W829" s="140"/>
      <c r="X829" s="90"/>
      <c r="Y829" s="140"/>
      <c r="Z829" s="177" t="str">
        <f t="shared" si="43"/>
        <v/>
      </c>
      <c r="AA829" s="190" t="b">
        <f t="shared" si="42"/>
        <v>0</v>
      </c>
      <c r="AB829" s="90"/>
      <c r="AC829" s="156" t="s">
        <v>36</v>
      </c>
      <c r="AD829" s="145">
        <f t="shared" si="44"/>
        <v>0</v>
      </c>
      <c r="AE829" s="92" t="s">
        <v>79</v>
      </c>
    </row>
    <row r="830" spans="1:31" ht="30" customHeight="1">
      <c r="A830" s="150"/>
      <c r="B830" s="150"/>
      <c r="C830" s="150"/>
      <c r="D830" s="150"/>
      <c r="E830" s="150"/>
      <c r="F830" s="150"/>
      <c r="G830" s="150"/>
      <c r="H830" s="150"/>
      <c r="I830" s="150"/>
      <c r="J830" s="150"/>
      <c r="K830" s="150"/>
      <c r="L830" s="150"/>
      <c r="M830" s="150"/>
      <c r="N830" s="150"/>
      <c r="O830" s="152"/>
      <c r="P830" s="90"/>
      <c r="Q830" s="140"/>
      <c r="R830" s="90"/>
      <c r="S830" s="140"/>
      <c r="T830" s="90"/>
      <c r="U830" s="140"/>
      <c r="V830" s="90"/>
      <c r="W830" s="140"/>
      <c r="X830" s="90"/>
      <c r="Y830" s="140"/>
      <c r="Z830" s="177" t="str">
        <f t="shared" si="43"/>
        <v/>
      </c>
      <c r="AA830" s="190" t="b">
        <f t="shared" si="42"/>
        <v>0</v>
      </c>
      <c r="AB830" s="90"/>
      <c r="AC830" s="156" t="s">
        <v>36</v>
      </c>
      <c r="AD830" s="145">
        <f t="shared" si="44"/>
        <v>0</v>
      </c>
      <c r="AE830" s="92" t="s">
        <v>79</v>
      </c>
    </row>
    <row r="831" spans="1:31" ht="30" customHeight="1">
      <c r="A831" s="150"/>
      <c r="B831" s="150"/>
      <c r="C831" s="150"/>
      <c r="D831" s="150"/>
      <c r="E831" s="150"/>
      <c r="F831" s="150"/>
      <c r="G831" s="150"/>
      <c r="H831" s="150"/>
      <c r="I831" s="150"/>
      <c r="J831" s="150"/>
      <c r="K831" s="150"/>
      <c r="L831" s="150"/>
      <c r="M831" s="150"/>
      <c r="N831" s="150"/>
      <c r="O831" s="152"/>
      <c r="P831" s="90"/>
      <c r="Q831" s="140"/>
      <c r="R831" s="90"/>
      <c r="S831" s="140"/>
      <c r="T831" s="90"/>
      <c r="U831" s="140"/>
      <c r="V831" s="90"/>
      <c r="W831" s="140"/>
      <c r="X831" s="90"/>
      <c r="Y831" s="140"/>
      <c r="Z831" s="177" t="str">
        <f t="shared" si="43"/>
        <v/>
      </c>
      <c r="AA831" s="190" t="b">
        <f t="shared" si="42"/>
        <v>0</v>
      </c>
      <c r="AB831" s="90"/>
      <c r="AC831" s="156" t="s">
        <v>36</v>
      </c>
      <c r="AD831" s="145">
        <f t="shared" si="44"/>
        <v>0</v>
      </c>
      <c r="AE831" s="92" t="s">
        <v>79</v>
      </c>
    </row>
    <row r="832" spans="1:31" ht="30" customHeight="1">
      <c r="A832" s="150"/>
      <c r="B832" s="150"/>
      <c r="C832" s="150"/>
      <c r="D832" s="150"/>
      <c r="E832" s="150"/>
      <c r="F832" s="150"/>
      <c r="G832" s="150"/>
      <c r="H832" s="150"/>
      <c r="I832" s="150"/>
      <c r="J832" s="150"/>
      <c r="K832" s="150"/>
      <c r="L832" s="150"/>
      <c r="M832" s="150"/>
      <c r="N832" s="150"/>
      <c r="O832" s="152"/>
      <c r="P832" s="90"/>
      <c r="Q832" s="140"/>
      <c r="R832" s="90"/>
      <c r="S832" s="140"/>
      <c r="T832" s="90"/>
      <c r="U832" s="140"/>
      <c r="V832" s="90"/>
      <c r="W832" s="140"/>
      <c r="X832" s="90"/>
      <c r="Y832" s="140"/>
      <c r="Z832" s="177" t="str">
        <f t="shared" si="43"/>
        <v/>
      </c>
      <c r="AA832" s="190" t="b">
        <f t="shared" si="42"/>
        <v>0</v>
      </c>
      <c r="AB832" s="90"/>
      <c r="AC832" s="156" t="s">
        <v>36</v>
      </c>
      <c r="AD832" s="145">
        <f t="shared" si="44"/>
        <v>0</v>
      </c>
      <c r="AE832" s="92" t="s">
        <v>79</v>
      </c>
    </row>
    <row r="833" spans="1:31" ht="30" customHeight="1">
      <c r="A833" s="150"/>
      <c r="B833" s="150"/>
      <c r="C833" s="150"/>
      <c r="D833" s="150"/>
      <c r="E833" s="150"/>
      <c r="F833" s="150"/>
      <c r="G833" s="150"/>
      <c r="H833" s="150"/>
      <c r="I833" s="150"/>
      <c r="J833" s="150"/>
      <c r="K833" s="150"/>
      <c r="L833" s="150"/>
      <c r="M833" s="150"/>
      <c r="N833" s="150"/>
      <c r="O833" s="152"/>
      <c r="P833" s="90"/>
      <c r="Q833" s="140"/>
      <c r="R833" s="90"/>
      <c r="S833" s="140"/>
      <c r="T833" s="90"/>
      <c r="U833" s="140"/>
      <c r="V833" s="90"/>
      <c r="W833" s="140"/>
      <c r="X833" s="90"/>
      <c r="Y833" s="140"/>
      <c r="Z833" s="177" t="str">
        <f t="shared" si="43"/>
        <v/>
      </c>
      <c r="AA833" s="190" t="b">
        <f t="shared" si="42"/>
        <v>0</v>
      </c>
      <c r="AB833" s="90"/>
      <c r="AC833" s="156" t="s">
        <v>36</v>
      </c>
      <c r="AD833" s="145">
        <f t="shared" si="44"/>
        <v>0</v>
      </c>
      <c r="AE833" s="92" t="s">
        <v>79</v>
      </c>
    </row>
    <row r="834" spans="1:31" ht="30" customHeight="1">
      <c r="A834" s="150"/>
      <c r="B834" s="150"/>
      <c r="C834" s="150"/>
      <c r="D834" s="150"/>
      <c r="E834" s="150"/>
      <c r="F834" s="150"/>
      <c r="G834" s="150"/>
      <c r="H834" s="150"/>
      <c r="I834" s="150"/>
      <c r="J834" s="150"/>
      <c r="K834" s="150"/>
      <c r="L834" s="150"/>
      <c r="M834" s="150"/>
      <c r="N834" s="150"/>
      <c r="O834" s="152"/>
      <c r="P834" s="90"/>
      <c r="Q834" s="140"/>
      <c r="R834" s="90"/>
      <c r="S834" s="140"/>
      <c r="T834" s="90"/>
      <c r="U834" s="140"/>
      <c r="V834" s="90"/>
      <c r="W834" s="140"/>
      <c r="X834" s="90"/>
      <c r="Y834" s="140"/>
      <c r="Z834" s="177" t="str">
        <f t="shared" si="43"/>
        <v/>
      </c>
      <c r="AA834" s="190" t="b">
        <f t="shared" ref="AA834:AA897" si="45">IF(AND(Y834="C",Z834="C"),"UTILIZOU O PDA CORRETAMENTE",IF(AND(Y834="C",Z834="NC"),"UTILIZOU O PDA CORRETAMENTE. NÃO HÁ FOTOS DE TODAS AS ETAPAS",IF(AND(Y834="NC",Z834="NC"),"NÃO UTILIZOU O PDA",IF(AND(Y834="NA",Z834="NA"),"NÃO AVALIADO POR FALHA DE SINCRONISMO"))))</f>
        <v>0</v>
      </c>
      <c r="AB834" s="90"/>
      <c r="AC834" s="156" t="s">
        <v>36</v>
      </c>
      <c r="AD834" s="145">
        <f t="shared" si="44"/>
        <v>0</v>
      </c>
      <c r="AE834" s="92" t="s">
        <v>79</v>
      </c>
    </row>
    <row r="835" spans="1:31" ht="30" customHeight="1">
      <c r="A835" s="150"/>
      <c r="B835" s="150"/>
      <c r="C835" s="150"/>
      <c r="D835" s="150"/>
      <c r="E835" s="150"/>
      <c r="F835" s="150"/>
      <c r="G835" s="150"/>
      <c r="H835" s="150"/>
      <c r="I835" s="150"/>
      <c r="J835" s="150"/>
      <c r="K835" s="150"/>
      <c r="L835" s="150"/>
      <c r="M835" s="150"/>
      <c r="N835" s="150"/>
      <c r="O835" s="152"/>
      <c r="P835" s="90"/>
      <c r="Q835" s="140"/>
      <c r="R835" s="90"/>
      <c r="S835" s="140"/>
      <c r="T835" s="90"/>
      <c r="U835" s="140"/>
      <c r="V835" s="90"/>
      <c r="W835" s="140"/>
      <c r="X835" s="90"/>
      <c r="Y835" s="140"/>
      <c r="Z835" s="177" t="str">
        <f t="shared" ref="Z835:Z898" si="46">IF(AND(O835="",Q835="",S835="",U835="",W835=""),"",IF(OR(AND(O835&lt;&gt;"NA",O835&lt;&gt;"C",O835&lt;&gt;"NC",O835&lt;&gt;"SF",O835&lt;&gt;""),AND(Q835&lt;&gt;"NA",Q835&lt;&gt;"C",Q835&lt;&gt;"NC",Q835&lt;&gt;"SF",Q835&lt;&gt;""),AND(S835&lt;&gt;"NA",S835&lt;&gt;"C",S835&lt;&gt;"NC",S835&lt;&gt;"SF",S835&lt;&gt;""),AND(U835&lt;&gt;"NA",U835&lt;&gt;"C",U835&lt;&gt;"NC",U835&lt;&gt;"SF",U835&lt;&gt;""),AND(W835&lt;&gt;"NA",W835&lt;&gt;"C",W835&lt;&gt;"NC",W835&lt;&gt;"SF",W835&lt;&gt;"")),"FALSO",IF(AND(O835="NA",Q835="NA",S835="NA",U835="NA",W835="NA"),"NA",IF(OR(O835="NC",Q835="NC",S835="NC",U835="NC",W835="NC",O835="SF",Q835="SF",S835="SF",U835="SF",W835="SF"),"NC",IF(OR(O835="C",Q835="C",S835="C",U835="C",W835="C"),"C","")))))</f>
        <v/>
      </c>
      <c r="AA835" s="190" t="b">
        <f t="shared" si="45"/>
        <v>0</v>
      </c>
      <c r="AB835" s="90"/>
      <c r="AC835" s="156" t="s">
        <v>36</v>
      </c>
      <c r="AD835" s="145">
        <f t="shared" si="44"/>
        <v>0</v>
      </c>
      <c r="AE835" s="92" t="s">
        <v>79</v>
      </c>
    </row>
    <row r="836" spans="1:31" ht="30" customHeight="1">
      <c r="A836" s="150"/>
      <c r="B836" s="150"/>
      <c r="C836" s="150"/>
      <c r="D836" s="150"/>
      <c r="E836" s="150"/>
      <c r="F836" s="150"/>
      <c r="G836" s="150"/>
      <c r="H836" s="150"/>
      <c r="I836" s="150"/>
      <c r="J836" s="150"/>
      <c r="K836" s="150"/>
      <c r="L836" s="150"/>
      <c r="M836" s="150"/>
      <c r="N836" s="150"/>
      <c r="O836" s="152"/>
      <c r="P836" s="90"/>
      <c r="Q836" s="140"/>
      <c r="R836" s="90"/>
      <c r="S836" s="140"/>
      <c r="T836" s="90"/>
      <c r="U836" s="140"/>
      <c r="V836" s="90"/>
      <c r="W836" s="140"/>
      <c r="X836" s="90"/>
      <c r="Y836" s="140"/>
      <c r="Z836" s="177" t="str">
        <f t="shared" si="46"/>
        <v/>
      </c>
      <c r="AA836" s="190" t="b">
        <f t="shared" si="45"/>
        <v>0</v>
      </c>
      <c r="AB836" s="90"/>
      <c r="AC836" s="156" t="s">
        <v>36</v>
      </c>
      <c r="AD836" s="145">
        <f t="shared" si="44"/>
        <v>0</v>
      </c>
      <c r="AE836" s="92" t="s">
        <v>79</v>
      </c>
    </row>
    <row r="837" spans="1:31" ht="30" customHeight="1">
      <c r="A837" s="150"/>
      <c r="B837" s="150"/>
      <c r="C837" s="150"/>
      <c r="D837" s="150"/>
      <c r="E837" s="150"/>
      <c r="F837" s="150"/>
      <c r="G837" s="150"/>
      <c r="H837" s="150"/>
      <c r="I837" s="150"/>
      <c r="J837" s="150"/>
      <c r="K837" s="150"/>
      <c r="L837" s="150"/>
      <c r="M837" s="150"/>
      <c r="N837" s="150"/>
      <c r="O837" s="152"/>
      <c r="P837" s="90"/>
      <c r="Q837" s="140"/>
      <c r="R837" s="90"/>
      <c r="S837" s="140"/>
      <c r="T837" s="90"/>
      <c r="U837" s="140"/>
      <c r="V837" s="90"/>
      <c r="W837" s="140"/>
      <c r="X837" s="90"/>
      <c r="Y837" s="140"/>
      <c r="Z837" s="177" t="str">
        <f t="shared" si="46"/>
        <v/>
      </c>
      <c r="AA837" s="190" t="b">
        <f t="shared" si="45"/>
        <v>0</v>
      </c>
      <c r="AB837" s="90"/>
      <c r="AC837" s="156" t="s">
        <v>36</v>
      </c>
      <c r="AD837" s="145">
        <f t="shared" si="44"/>
        <v>0</v>
      </c>
      <c r="AE837" s="92" t="s">
        <v>79</v>
      </c>
    </row>
    <row r="838" spans="1:31" ht="30" customHeight="1">
      <c r="A838" s="150"/>
      <c r="B838" s="150"/>
      <c r="C838" s="150"/>
      <c r="D838" s="150"/>
      <c r="E838" s="150"/>
      <c r="F838" s="150"/>
      <c r="G838" s="150"/>
      <c r="H838" s="150"/>
      <c r="I838" s="150"/>
      <c r="J838" s="150"/>
      <c r="K838" s="150"/>
      <c r="L838" s="150"/>
      <c r="M838" s="150"/>
      <c r="N838" s="150"/>
      <c r="O838" s="152"/>
      <c r="P838" s="90"/>
      <c r="Q838" s="140"/>
      <c r="R838" s="90"/>
      <c r="S838" s="140"/>
      <c r="T838" s="90"/>
      <c r="U838" s="140"/>
      <c r="V838" s="90"/>
      <c r="W838" s="140"/>
      <c r="X838" s="90"/>
      <c r="Y838" s="140"/>
      <c r="Z838" s="177" t="str">
        <f t="shared" si="46"/>
        <v/>
      </c>
      <c r="AA838" s="190" t="b">
        <f t="shared" si="45"/>
        <v>0</v>
      </c>
      <c r="AB838" s="90"/>
      <c r="AC838" s="193" t="s">
        <v>36</v>
      </c>
      <c r="AD838" s="145">
        <f t="shared" si="44"/>
        <v>0</v>
      </c>
      <c r="AE838" s="175" t="s">
        <v>79</v>
      </c>
    </row>
    <row r="839" spans="1:31" ht="30" customHeight="1">
      <c r="A839" s="150"/>
      <c r="B839" s="150"/>
      <c r="C839" s="150"/>
      <c r="D839" s="150"/>
      <c r="E839" s="150"/>
      <c r="F839" s="150"/>
      <c r="G839" s="150"/>
      <c r="H839" s="150"/>
      <c r="I839" s="150"/>
      <c r="J839" s="150"/>
      <c r="K839" s="150"/>
      <c r="L839" s="150"/>
      <c r="M839" s="150"/>
      <c r="N839" s="150"/>
      <c r="O839" s="152"/>
      <c r="P839" s="90"/>
      <c r="Q839" s="140"/>
      <c r="R839" s="90"/>
      <c r="S839" s="140"/>
      <c r="T839" s="90"/>
      <c r="U839" s="140"/>
      <c r="V839" s="90"/>
      <c r="W839" s="140"/>
      <c r="X839" s="90"/>
      <c r="Y839" s="140"/>
      <c r="Z839" s="177" t="str">
        <f t="shared" si="46"/>
        <v/>
      </c>
      <c r="AA839" s="190" t="b">
        <f t="shared" si="45"/>
        <v>0</v>
      </c>
      <c r="AB839" s="90"/>
      <c r="AC839" s="156" t="s">
        <v>36</v>
      </c>
      <c r="AD839" s="147">
        <f t="shared" si="44"/>
        <v>0</v>
      </c>
      <c r="AE839" s="92" t="s">
        <v>79</v>
      </c>
    </row>
    <row r="840" spans="1:31" ht="30" customHeight="1">
      <c r="A840" s="150"/>
      <c r="B840" s="150"/>
      <c r="C840" s="150"/>
      <c r="D840" s="150"/>
      <c r="E840" s="150"/>
      <c r="F840" s="150"/>
      <c r="G840" s="150"/>
      <c r="H840" s="150"/>
      <c r="I840" s="150"/>
      <c r="J840" s="150"/>
      <c r="K840" s="150"/>
      <c r="L840" s="150"/>
      <c r="M840" s="150"/>
      <c r="N840" s="150"/>
      <c r="O840" s="152"/>
      <c r="P840" s="90"/>
      <c r="Q840" s="140"/>
      <c r="R840" s="90"/>
      <c r="S840" s="140"/>
      <c r="T840" s="90"/>
      <c r="U840" s="140"/>
      <c r="V840" s="90"/>
      <c r="W840" s="140"/>
      <c r="X840" s="90"/>
      <c r="Y840" s="140"/>
      <c r="Z840" s="177" t="str">
        <f t="shared" si="46"/>
        <v/>
      </c>
      <c r="AA840" s="190" t="b">
        <f t="shared" si="45"/>
        <v>0</v>
      </c>
      <c r="AB840" s="90"/>
      <c r="AC840" s="156" t="s">
        <v>36</v>
      </c>
      <c r="AD840" s="147">
        <f t="shared" ref="AD840:AD903" si="47">E840</f>
        <v>0</v>
      </c>
      <c r="AE840" s="92" t="s">
        <v>79</v>
      </c>
    </row>
    <row r="841" spans="1:31" ht="30" customHeight="1">
      <c r="A841" s="150"/>
      <c r="B841" s="150"/>
      <c r="C841" s="150"/>
      <c r="D841" s="150"/>
      <c r="E841" s="150"/>
      <c r="F841" s="150"/>
      <c r="G841" s="150"/>
      <c r="H841" s="150"/>
      <c r="I841" s="150"/>
      <c r="J841" s="150"/>
      <c r="K841" s="150"/>
      <c r="L841" s="150"/>
      <c r="M841" s="150"/>
      <c r="N841" s="150"/>
      <c r="O841" s="152"/>
      <c r="P841" s="90"/>
      <c r="Q841" s="140"/>
      <c r="R841" s="90"/>
      <c r="S841" s="140"/>
      <c r="T841" s="90"/>
      <c r="U841" s="140"/>
      <c r="V841" s="90"/>
      <c r="W841" s="140"/>
      <c r="X841" s="90"/>
      <c r="Y841" s="140"/>
      <c r="Z841" s="177" t="str">
        <f t="shared" si="46"/>
        <v/>
      </c>
      <c r="AA841" s="190" t="b">
        <f t="shared" si="45"/>
        <v>0</v>
      </c>
      <c r="AB841" s="90"/>
      <c r="AC841" s="156" t="s">
        <v>36</v>
      </c>
      <c r="AD841" s="147">
        <f t="shared" si="47"/>
        <v>0</v>
      </c>
      <c r="AE841" s="92" t="s">
        <v>79</v>
      </c>
    </row>
    <row r="842" spans="1:31" ht="30" customHeight="1">
      <c r="A842" s="150"/>
      <c r="B842" s="150"/>
      <c r="C842" s="150"/>
      <c r="D842" s="150"/>
      <c r="E842" s="150"/>
      <c r="F842" s="150"/>
      <c r="G842" s="150"/>
      <c r="H842" s="150"/>
      <c r="I842" s="150"/>
      <c r="J842" s="150"/>
      <c r="K842" s="150"/>
      <c r="L842" s="150"/>
      <c r="M842" s="150"/>
      <c r="N842" s="150"/>
      <c r="O842" s="152"/>
      <c r="P842" s="90"/>
      <c r="Q842" s="140"/>
      <c r="R842" s="90"/>
      <c r="S842" s="140"/>
      <c r="T842" s="90"/>
      <c r="U842" s="140"/>
      <c r="V842" s="90"/>
      <c r="W842" s="140"/>
      <c r="X842" s="90"/>
      <c r="Y842" s="140"/>
      <c r="Z842" s="177" t="str">
        <f t="shared" si="46"/>
        <v/>
      </c>
      <c r="AA842" s="190" t="b">
        <f t="shared" si="45"/>
        <v>0</v>
      </c>
      <c r="AB842" s="90"/>
      <c r="AC842" s="156" t="s">
        <v>36</v>
      </c>
      <c r="AD842" s="147">
        <f t="shared" si="47"/>
        <v>0</v>
      </c>
      <c r="AE842" s="92" t="s">
        <v>79</v>
      </c>
    </row>
    <row r="843" spans="1:31" ht="30" customHeight="1">
      <c r="A843" s="150"/>
      <c r="B843" s="150"/>
      <c r="C843" s="150"/>
      <c r="D843" s="150"/>
      <c r="E843" s="150"/>
      <c r="F843" s="150"/>
      <c r="G843" s="150"/>
      <c r="H843" s="150"/>
      <c r="I843" s="150"/>
      <c r="J843" s="150"/>
      <c r="K843" s="150"/>
      <c r="L843" s="150"/>
      <c r="M843" s="150"/>
      <c r="N843" s="150"/>
      <c r="O843" s="152"/>
      <c r="P843" s="90"/>
      <c r="Q843" s="140"/>
      <c r="R843" s="90"/>
      <c r="S843" s="140"/>
      <c r="T843" s="90"/>
      <c r="U843" s="140"/>
      <c r="V843" s="90"/>
      <c r="W843" s="140"/>
      <c r="X843" s="90"/>
      <c r="Y843" s="140"/>
      <c r="Z843" s="177" t="str">
        <f t="shared" si="46"/>
        <v/>
      </c>
      <c r="AA843" s="190" t="b">
        <f t="shared" si="45"/>
        <v>0</v>
      </c>
      <c r="AB843" s="90"/>
      <c r="AC843" s="156" t="s">
        <v>36</v>
      </c>
      <c r="AD843" s="147">
        <f t="shared" si="47"/>
        <v>0</v>
      </c>
      <c r="AE843" s="92" t="s">
        <v>79</v>
      </c>
    </row>
    <row r="844" spans="1:31" ht="30" customHeight="1">
      <c r="A844" s="150"/>
      <c r="B844" s="150"/>
      <c r="C844" s="150"/>
      <c r="D844" s="150"/>
      <c r="E844" s="150"/>
      <c r="F844" s="150"/>
      <c r="G844" s="150"/>
      <c r="H844" s="150"/>
      <c r="I844" s="150"/>
      <c r="J844" s="150"/>
      <c r="K844" s="150"/>
      <c r="L844" s="150"/>
      <c r="M844" s="150"/>
      <c r="N844" s="150"/>
      <c r="O844" s="152"/>
      <c r="P844" s="90"/>
      <c r="Q844" s="140"/>
      <c r="R844" s="90"/>
      <c r="S844" s="140"/>
      <c r="T844" s="90"/>
      <c r="U844" s="140"/>
      <c r="V844" s="90"/>
      <c r="W844" s="140"/>
      <c r="X844" s="90"/>
      <c r="Y844" s="140"/>
      <c r="Z844" s="177" t="str">
        <f t="shared" si="46"/>
        <v/>
      </c>
      <c r="AA844" s="190" t="b">
        <f t="shared" si="45"/>
        <v>0</v>
      </c>
      <c r="AB844" s="90"/>
      <c r="AC844" s="156" t="s">
        <v>36</v>
      </c>
      <c r="AD844" s="147">
        <f t="shared" si="47"/>
        <v>0</v>
      </c>
      <c r="AE844" s="92" t="s">
        <v>79</v>
      </c>
    </row>
    <row r="845" spans="1:31" ht="30" customHeight="1">
      <c r="A845" s="150"/>
      <c r="B845" s="150"/>
      <c r="C845" s="150"/>
      <c r="D845" s="150"/>
      <c r="E845" s="150"/>
      <c r="F845" s="150"/>
      <c r="G845" s="150"/>
      <c r="H845" s="150"/>
      <c r="I845" s="150"/>
      <c r="J845" s="150"/>
      <c r="K845" s="150"/>
      <c r="L845" s="150"/>
      <c r="M845" s="150"/>
      <c r="N845" s="150"/>
      <c r="O845" s="152"/>
      <c r="P845" s="90"/>
      <c r="Q845" s="140"/>
      <c r="R845" s="90"/>
      <c r="S845" s="140"/>
      <c r="T845" s="90"/>
      <c r="U845" s="140"/>
      <c r="V845" s="90"/>
      <c r="W845" s="140"/>
      <c r="X845" s="90"/>
      <c r="Y845" s="140"/>
      <c r="Z845" s="177" t="str">
        <f t="shared" si="46"/>
        <v/>
      </c>
      <c r="AA845" s="190" t="b">
        <f t="shared" si="45"/>
        <v>0</v>
      </c>
      <c r="AB845" s="90"/>
      <c r="AC845" s="156" t="s">
        <v>36</v>
      </c>
      <c r="AD845" s="147">
        <f t="shared" si="47"/>
        <v>0</v>
      </c>
      <c r="AE845" s="92" t="s">
        <v>79</v>
      </c>
    </row>
    <row r="846" spans="1:31" ht="30" customHeight="1">
      <c r="A846" s="150"/>
      <c r="B846" s="150"/>
      <c r="C846" s="150"/>
      <c r="D846" s="150"/>
      <c r="E846" s="150"/>
      <c r="F846" s="150"/>
      <c r="G846" s="150"/>
      <c r="H846" s="150"/>
      <c r="I846" s="150"/>
      <c r="J846" s="150"/>
      <c r="K846" s="150"/>
      <c r="L846" s="150"/>
      <c r="M846" s="150"/>
      <c r="N846" s="150"/>
      <c r="O846" s="152"/>
      <c r="P846" s="90"/>
      <c r="Q846" s="140"/>
      <c r="R846" s="90"/>
      <c r="S846" s="140"/>
      <c r="T846" s="90"/>
      <c r="U846" s="140"/>
      <c r="V846" s="90"/>
      <c r="W846" s="140"/>
      <c r="X846" s="90"/>
      <c r="Y846" s="140"/>
      <c r="Z846" s="177" t="str">
        <f t="shared" si="46"/>
        <v/>
      </c>
      <c r="AA846" s="190" t="b">
        <f t="shared" si="45"/>
        <v>0</v>
      </c>
      <c r="AB846" s="90"/>
      <c r="AC846" s="156" t="s">
        <v>36</v>
      </c>
      <c r="AD846" s="147">
        <f t="shared" si="47"/>
        <v>0</v>
      </c>
      <c r="AE846" s="92" t="s">
        <v>79</v>
      </c>
    </row>
    <row r="847" spans="1:31" ht="30" customHeight="1">
      <c r="A847" s="150"/>
      <c r="B847" s="150"/>
      <c r="C847" s="150"/>
      <c r="D847" s="150"/>
      <c r="E847" s="150"/>
      <c r="F847" s="150"/>
      <c r="G847" s="150"/>
      <c r="H847" s="150"/>
      <c r="I847" s="150"/>
      <c r="J847" s="150"/>
      <c r="K847" s="150"/>
      <c r="L847" s="150"/>
      <c r="M847" s="150"/>
      <c r="N847" s="150"/>
      <c r="O847" s="152"/>
      <c r="P847" s="90"/>
      <c r="Q847" s="140"/>
      <c r="R847" s="90"/>
      <c r="S847" s="140"/>
      <c r="T847" s="90"/>
      <c r="U847" s="140"/>
      <c r="V847" s="90"/>
      <c r="W847" s="140"/>
      <c r="X847" s="90"/>
      <c r="Y847" s="140"/>
      <c r="Z847" s="177" t="str">
        <f t="shared" si="46"/>
        <v/>
      </c>
      <c r="AA847" s="190" t="b">
        <f t="shared" si="45"/>
        <v>0</v>
      </c>
      <c r="AB847" s="90"/>
      <c r="AC847" s="156" t="s">
        <v>36</v>
      </c>
      <c r="AD847" s="147">
        <f t="shared" si="47"/>
        <v>0</v>
      </c>
      <c r="AE847" s="92" t="s">
        <v>79</v>
      </c>
    </row>
    <row r="848" spans="1:31" ht="30" customHeight="1">
      <c r="A848" s="150"/>
      <c r="B848" s="150"/>
      <c r="C848" s="150"/>
      <c r="D848" s="150"/>
      <c r="E848" s="150"/>
      <c r="F848" s="150"/>
      <c r="G848" s="150"/>
      <c r="H848" s="150"/>
      <c r="I848" s="150"/>
      <c r="J848" s="150"/>
      <c r="K848" s="150"/>
      <c r="L848" s="150"/>
      <c r="M848" s="150"/>
      <c r="N848" s="150"/>
      <c r="O848" s="152"/>
      <c r="P848" s="90"/>
      <c r="Q848" s="140"/>
      <c r="R848" s="90"/>
      <c r="S848" s="140"/>
      <c r="T848" s="90"/>
      <c r="U848" s="140"/>
      <c r="V848" s="90"/>
      <c r="W848" s="140"/>
      <c r="X848" s="90"/>
      <c r="Y848" s="140"/>
      <c r="Z848" s="177" t="str">
        <f t="shared" si="46"/>
        <v/>
      </c>
      <c r="AA848" s="190" t="b">
        <f t="shared" si="45"/>
        <v>0</v>
      </c>
      <c r="AB848" s="90"/>
      <c r="AC848" s="156" t="s">
        <v>36</v>
      </c>
      <c r="AD848" s="147">
        <f t="shared" si="47"/>
        <v>0</v>
      </c>
      <c r="AE848" s="92" t="s">
        <v>79</v>
      </c>
    </row>
    <row r="849" spans="1:31" ht="30" customHeight="1">
      <c r="A849" s="150"/>
      <c r="B849" s="150"/>
      <c r="C849" s="150"/>
      <c r="D849" s="150"/>
      <c r="E849" s="150"/>
      <c r="F849" s="150"/>
      <c r="G849" s="150"/>
      <c r="H849" s="150"/>
      <c r="I849" s="150"/>
      <c r="J849" s="150"/>
      <c r="K849" s="150"/>
      <c r="L849" s="150"/>
      <c r="M849" s="150"/>
      <c r="N849" s="150"/>
      <c r="O849" s="152"/>
      <c r="P849" s="90"/>
      <c r="Q849" s="140"/>
      <c r="R849" s="90"/>
      <c r="S849" s="140"/>
      <c r="T849" s="90"/>
      <c r="U849" s="140"/>
      <c r="V849" s="90"/>
      <c r="W849" s="140"/>
      <c r="X849" s="90"/>
      <c r="Y849" s="140"/>
      <c r="Z849" s="177" t="str">
        <f t="shared" si="46"/>
        <v/>
      </c>
      <c r="AA849" s="190" t="b">
        <f t="shared" si="45"/>
        <v>0</v>
      </c>
      <c r="AB849" s="90"/>
      <c r="AC849" s="156" t="s">
        <v>36</v>
      </c>
      <c r="AD849" s="147">
        <f t="shared" si="47"/>
        <v>0</v>
      </c>
      <c r="AE849" s="92" t="s">
        <v>79</v>
      </c>
    </row>
    <row r="850" spans="1:31" ht="30" customHeight="1">
      <c r="A850" s="150"/>
      <c r="B850" s="150"/>
      <c r="C850" s="150"/>
      <c r="D850" s="150"/>
      <c r="E850" s="150"/>
      <c r="F850" s="150"/>
      <c r="G850" s="150"/>
      <c r="H850" s="150"/>
      <c r="I850" s="150"/>
      <c r="J850" s="150"/>
      <c r="K850" s="150"/>
      <c r="L850" s="150"/>
      <c r="M850" s="150"/>
      <c r="N850" s="150"/>
      <c r="O850" s="152"/>
      <c r="P850" s="90"/>
      <c r="Q850" s="140"/>
      <c r="R850" s="90"/>
      <c r="S850" s="140"/>
      <c r="T850" s="90"/>
      <c r="U850" s="140"/>
      <c r="V850" s="90"/>
      <c r="W850" s="140"/>
      <c r="X850" s="90"/>
      <c r="Y850" s="140"/>
      <c r="Z850" s="177" t="str">
        <f t="shared" si="46"/>
        <v/>
      </c>
      <c r="AA850" s="190" t="b">
        <f t="shared" si="45"/>
        <v>0</v>
      </c>
      <c r="AB850" s="90"/>
      <c r="AC850" s="156" t="s">
        <v>36</v>
      </c>
      <c r="AD850" s="147">
        <f t="shared" si="47"/>
        <v>0</v>
      </c>
      <c r="AE850" s="92" t="s">
        <v>79</v>
      </c>
    </row>
    <row r="851" spans="1:31" ht="30" customHeight="1">
      <c r="A851" s="150"/>
      <c r="B851" s="150"/>
      <c r="C851" s="150"/>
      <c r="D851" s="150"/>
      <c r="E851" s="150"/>
      <c r="F851" s="150"/>
      <c r="G851" s="150"/>
      <c r="H851" s="150"/>
      <c r="I851" s="150"/>
      <c r="J851" s="150"/>
      <c r="K851" s="150"/>
      <c r="L851" s="150"/>
      <c r="M851" s="150"/>
      <c r="N851" s="150"/>
      <c r="O851" s="152"/>
      <c r="P851" s="90"/>
      <c r="Q851" s="140"/>
      <c r="R851" s="90"/>
      <c r="S851" s="140"/>
      <c r="T851" s="90"/>
      <c r="U851" s="140"/>
      <c r="V851" s="90"/>
      <c r="W851" s="140"/>
      <c r="X851" s="90"/>
      <c r="Y851" s="140"/>
      <c r="Z851" s="177" t="str">
        <f t="shared" si="46"/>
        <v/>
      </c>
      <c r="AA851" s="190" t="b">
        <f t="shared" si="45"/>
        <v>0</v>
      </c>
      <c r="AB851" s="90"/>
      <c r="AC851" s="156" t="s">
        <v>36</v>
      </c>
      <c r="AD851" s="147">
        <f t="shared" si="47"/>
        <v>0</v>
      </c>
      <c r="AE851" s="92" t="s">
        <v>79</v>
      </c>
    </row>
    <row r="852" spans="1:31" ht="30" customHeight="1">
      <c r="A852" s="150"/>
      <c r="B852" s="150"/>
      <c r="C852" s="150"/>
      <c r="D852" s="150"/>
      <c r="E852" s="150"/>
      <c r="F852" s="150"/>
      <c r="G852" s="150"/>
      <c r="H852" s="150"/>
      <c r="I852" s="150"/>
      <c r="J852" s="150"/>
      <c r="K852" s="150"/>
      <c r="L852" s="150"/>
      <c r="M852" s="150"/>
      <c r="N852" s="150"/>
      <c r="O852" s="152"/>
      <c r="P852" s="90"/>
      <c r="Q852" s="140"/>
      <c r="R852" s="90"/>
      <c r="S852" s="140"/>
      <c r="T852" s="90"/>
      <c r="U852" s="140"/>
      <c r="V852" s="90"/>
      <c r="W852" s="140"/>
      <c r="X852" s="90"/>
      <c r="Y852" s="140"/>
      <c r="Z852" s="177" t="str">
        <f t="shared" si="46"/>
        <v/>
      </c>
      <c r="AA852" s="190" t="b">
        <f t="shared" si="45"/>
        <v>0</v>
      </c>
      <c r="AB852" s="90"/>
      <c r="AC852" s="156" t="s">
        <v>36</v>
      </c>
      <c r="AD852" s="147">
        <f t="shared" si="47"/>
        <v>0</v>
      </c>
      <c r="AE852" s="92" t="s">
        <v>79</v>
      </c>
    </row>
    <row r="853" spans="1:31" ht="30" customHeight="1">
      <c r="A853" s="150"/>
      <c r="B853" s="150"/>
      <c r="C853" s="150"/>
      <c r="D853" s="150"/>
      <c r="E853" s="150"/>
      <c r="F853" s="150"/>
      <c r="G853" s="150"/>
      <c r="H853" s="150"/>
      <c r="I853" s="150"/>
      <c r="J853" s="150"/>
      <c r="K853" s="150"/>
      <c r="L853" s="150"/>
      <c r="M853" s="150"/>
      <c r="N853" s="150"/>
      <c r="O853" s="152"/>
      <c r="P853" s="90"/>
      <c r="Q853" s="140"/>
      <c r="R853" s="90"/>
      <c r="S853" s="140"/>
      <c r="T853" s="90"/>
      <c r="U853" s="140"/>
      <c r="V853" s="90"/>
      <c r="W853" s="140"/>
      <c r="X853" s="90"/>
      <c r="Y853" s="140"/>
      <c r="Z853" s="177" t="str">
        <f t="shared" si="46"/>
        <v/>
      </c>
      <c r="AA853" s="190" t="b">
        <f t="shared" si="45"/>
        <v>0</v>
      </c>
      <c r="AB853" s="90"/>
      <c r="AC853" s="156" t="s">
        <v>36</v>
      </c>
      <c r="AD853" s="147">
        <f t="shared" si="47"/>
        <v>0</v>
      </c>
      <c r="AE853" s="92" t="s">
        <v>79</v>
      </c>
    </row>
    <row r="854" spans="1:31" ht="30" customHeight="1">
      <c r="A854" s="150"/>
      <c r="B854" s="150"/>
      <c r="C854" s="150"/>
      <c r="D854" s="150"/>
      <c r="E854" s="150"/>
      <c r="F854" s="150"/>
      <c r="G854" s="150"/>
      <c r="H854" s="150"/>
      <c r="I854" s="150"/>
      <c r="J854" s="150"/>
      <c r="K854" s="150"/>
      <c r="L854" s="150"/>
      <c r="M854" s="150"/>
      <c r="N854" s="150"/>
      <c r="O854" s="152"/>
      <c r="P854" s="90"/>
      <c r="Q854" s="140"/>
      <c r="R854" s="90"/>
      <c r="S854" s="140"/>
      <c r="T854" s="90"/>
      <c r="U854" s="140"/>
      <c r="V854" s="90"/>
      <c r="W854" s="140"/>
      <c r="X854" s="90"/>
      <c r="Y854" s="140"/>
      <c r="Z854" s="177" t="str">
        <f t="shared" si="46"/>
        <v/>
      </c>
      <c r="AA854" s="190" t="b">
        <f t="shared" si="45"/>
        <v>0</v>
      </c>
      <c r="AB854" s="90"/>
      <c r="AC854" s="156" t="s">
        <v>36</v>
      </c>
      <c r="AD854" s="147">
        <f t="shared" si="47"/>
        <v>0</v>
      </c>
      <c r="AE854" s="92" t="s">
        <v>79</v>
      </c>
    </row>
    <row r="855" spans="1:31" ht="30" customHeight="1">
      <c r="A855" s="150"/>
      <c r="B855" s="150"/>
      <c r="C855" s="150"/>
      <c r="D855" s="150"/>
      <c r="E855" s="150"/>
      <c r="F855" s="150"/>
      <c r="G855" s="150"/>
      <c r="H855" s="150"/>
      <c r="I855" s="150"/>
      <c r="J855" s="150"/>
      <c r="K855" s="150"/>
      <c r="L855" s="150"/>
      <c r="M855" s="150"/>
      <c r="N855" s="150"/>
      <c r="O855" s="152"/>
      <c r="P855" s="90"/>
      <c r="Q855" s="140"/>
      <c r="R855" s="90"/>
      <c r="S855" s="140"/>
      <c r="T855" s="90"/>
      <c r="U855" s="140"/>
      <c r="V855" s="90"/>
      <c r="W855" s="140"/>
      <c r="X855" s="90"/>
      <c r="Y855" s="140"/>
      <c r="Z855" s="177" t="str">
        <f t="shared" si="46"/>
        <v/>
      </c>
      <c r="AA855" s="190" t="b">
        <f t="shared" si="45"/>
        <v>0</v>
      </c>
      <c r="AB855" s="90"/>
      <c r="AC855" s="156" t="s">
        <v>36</v>
      </c>
      <c r="AD855" s="147">
        <f t="shared" si="47"/>
        <v>0</v>
      </c>
      <c r="AE855" s="92" t="s">
        <v>79</v>
      </c>
    </row>
    <row r="856" spans="1:31" ht="30" customHeight="1">
      <c r="A856" s="150"/>
      <c r="B856" s="150"/>
      <c r="C856" s="150"/>
      <c r="D856" s="150"/>
      <c r="E856" s="150"/>
      <c r="F856" s="150"/>
      <c r="G856" s="150"/>
      <c r="H856" s="150"/>
      <c r="I856" s="150"/>
      <c r="J856" s="150"/>
      <c r="K856" s="150"/>
      <c r="L856" s="150"/>
      <c r="M856" s="150"/>
      <c r="N856" s="150"/>
      <c r="O856" s="152"/>
      <c r="P856" s="90"/>
      <c r="Q856" s="140"/>
      <c r="R856" s="90"/>
      <c r="S856" s="140"/>
      <c r="T856" s="90"/>
      <c r="U856" s="140"/>
      <c r="V856" s="90"/>
      <c r="W856" s="140"/>
      <c r="X856" s="90"/>
      <c r="Y856" s="140"/>
      <c r="Z856" s="177" t="str">
        <f t="shared" si="46"/>
        <v/>
      </c>
      <c r="AA856" s="190" t="b">
        <f t="shared" si="45"/>
        <v>0</v>
      </c>
      <c r="AB856" s="90"/>
      <c r="AC856" s="156" t="s">
        <v>36</v>
      </c>
      <c r="AD856" s="147">
        <f t="shared" si="47"/>
        <v>0</v>
      </c>
      <c r="AE856" s="92" t="s">
        <v>79</v>
      </c>
    </row>
    <row r="857" spans="1:31" ht="30" customHeight="1">
      <c r="A857" s="150"/>
      <c r="B857" s="150"/>
      <c r="C857" s="150"/>
      <c r="D857" s="150"/>
      <c r="E857" s="150"/>
      <c r="F857" s="150"/>
      <c r="G857" s="150"/>
      <c r="H857" s="150"/>
      <c r="I857" s="150"/>
      <c r="J857" s="150"/>
      <c r="K857" s="150"/>
      <c r="L857" s="150"/>
      <c r="M857" s="150"/>
      <c r="N857" s="150"/>
      <c r="O857" s="152"/>
      <c r="P857" s="90"/>
      <c r="Q857" s="140"/>
      <c r="R857" s="90"/>
      <c r="S857" s="140"/>
      <c r="T857" s="90"/>
      <c r="U857" s="140"/>
      <c r="V857" s="90"/>
      <c r="W857" s="140"/>
      <c r="X857" s="90"/>
      <c r="Y857" s="140"/>
      <c r="Z857" s="177" t="str">
        <f t="shared" si="46"/>
        <v/>
      </c>
      <c r="AA857" s="190" t="b">
        <f t="shared" si="45"/>
        <v>0</v>
      </c>
      <c r="AB857" s="90"/>
      <c r="AC857" s="156" t="s">
        <v>36</v>
      </c>
      <c r="AD857" s="147">
        <f t="shared" si="47"/>
        <v>0</v>
      </c>
      <c r="AE857" s="92" t="s">
        <v>79</v>
      </c>
    </row>
    <row r="858" spans="1:31" ht="30" customHeight="1">
      <c r="A858" s="150"/>
      <c r="B858" s="150"/>
      <c r="C858" s="150"/>
      <c r="D858" s="150"/>
      <c r="E858" s="150"/>
      <c r="F858" s="150"/>
      <c r="G858" s="150"/>
      <c r="H858" s="150"/>
      <c r="I858" s="150"/>
      <c r="J858" s="150"/>
      <c r="K858" s="150"/>
      <c r="L858" s="150"/>
      <c r="M858" s="150"/>
      <c r="N858" s="150"/>
      <c r="O858" s="152"/>
      <c r="P858" s="90"/>
      <c r="Q858" s="140"/>
      <c r="R858" s="90"/>
      <c r="S858" s="140"/>
      <c r="T858" s="90"/>
      <c r="U858" s="140"/>
      <c r="V858" s="90"/>
      <c r="W858" s="140"/>
      <c r="X858" s="90"/>
      <c r="Y858" s="140"/>
      <c r="Z858" s="177" t="str">
        <f t="shared" si="46"/>
        <v/>
      </c>
      <c r="AA858" s="190" t="b">
        <f t="shared" si="45"/>
        <v>0</v>
      </c>
      <c r="AB858" s="90"/>
      <c r="AC858" s="156" t="s">
        <v>36</v>
      </c>
      <c r="AD858" s="147">
        <f t="shared" si="47"/>
        <v>0</v>
      </c>
      <c r="AE858" s="92" t="s">
        <v>79</v>
      </c>
    </row>
    <row r="859" spans="1:31" ht="30" customHeight="1">
      <c r="A859" s="150"/>
      <c r="B859" s="150"/>
      <c r="C859" s="150"/>
      <c r="D859" s="150"/>
      <c r="E859" s="150"/>
      <c r="F859" s="150"/>
      <c r="G859" s="150"/>
      <c r="H859" s="150"/>
      <c r="I859" s="150"/>
      <c r="J859" s="150"/>
      <c r="K859" s="150"/>
      <c r="L859" s="150"/>
      <c r="M859" s="150"/>
      <c r="N859" s="150"/>
      <c r="O859" s="152"/>
      <c r="P859" s="90"/>
      <c r="Q859" s="140"/>
      <c r="R859" s="90"/>
      <c r="S859" s="140"/>
      <c r="T859" s="90"/>
      <c r="U859" s="140"/>
      <c r="V859" s="90"/>
      <c r="W859" s="140"/>
      <c r="X859" s="90"/>
      <c r="Y859" s="140"/>
      <c r="Z859" s="177" t="str">
        <f t="shared" si="46"/>
        <v/>
      </c>
      <c r="AA859" s="190" t="b">
        <f t="shared" si="45"/>
        <v>0</v>
      </c>
      <c r="AB859" s="90"/>
      <c r="AC859" s="156" t="s">
        <v>36</v>
      </c>
      <c r="AD859" s="147">
        <f t="shared" si="47"/>
        <v>0</v>
      </c>
      <c r="AE859" s="92" t="s">
        <v>79</v>
      </c>
    </row>
    <row r="860" spans="1:31" ht="30" customHeight="1">
      <c r="A860" s="150"/>
      <c r="B860" s="150"/>
      <c r="C860" s="150"/>
      <c r="D860" s="150"/>
      <c r="E860" s="150"/>
      <c r="F860" s="150"/>
      <c r="G860" s="150"/>
      <c r="H860" s="150"/>
      <c r="I860" s="150"/>
      <c r="J860" s="150"/>
      <c r="K860" s="150"/>
      <c r="L860" s="150"/>
      <c r="M860" s="150"/>
      <c r="N860" s="150"/>
      <c r="O860" s="152"/>
      <c r="P860" s="90"/>
      <c r="Q860" s="140"/>
      <c r="R860" s="90"/>
      <c r="S860" s="140"/>
      <c r="T860" s="90"/>
      <c r="U860" s="140"/>
      <c r="V860" s="90"/>
      <c r="W860" s="140"/>
      <c r="X860" s="90"/>
      <c r="Y860" s="140"/>
      <c r="Z860" s="177" t="str">
        <f t="shared" si="46"/>
        <v/>
      </c>
      <c r="AA860" s="190" t="b">
        <f t="shared" si="45"/>
        <v>0</v>
      </c>
      <c r="AB860" s="90"/>
      <c r="AC860" s="156" t="s">
        <v>36</v>
      </c>
      <c r="AD860" s="147">
        <f t="shared" si="47"/>
        <v>0</v>
      </c>
      <c r="AE860" s="92" t="s">
        <v>79</v>
      </c>
    </row>
    <row r="861" spans="1:31" ht="30" customHeight="1">
      <c r="A861" s="150"/>
      <c r="B861" s="150"/>
      <c r="C861" s="150"/>
      <c r="D861" s="150"/>
      <c r="E861" s="150"/>
      <c r="F861" s="150"/>
      <c r="G861" s="150"/>
      <c r="H861" s="150"/>
      <c r="I861" s="150"/>
      <c r="J861" s="150"/>
      <c r="K861" s="150"/>
      <c r="L861" s="150"/>
      <c r="M861" s="150"/>
      <c r="N861" s="150"/>
      <c r="O861" s="152"/>
      <c r="P861" s="90"/>
      <c r="Q861" s="140"/>
      <c r="R861" s="90"/>
      <c r="S861" s="140"/>
      <c r="T861" s="90"/>
      <c r="U861" s="140"/>
      <c r="V861" s="90"/>
      <c r="W861" s="140"/>
      <c r="X861" s="90"/>
      <c r="Y861" s="140"/>
      <c r="Z861" s="177" t="str">
        <f t="shared" si="46"/>
        <v/>
      </c>
      <c r="AA861" s="190" t="b">
        <f t="shared" si="45"/>
        <v>0</v>
      </c>
      <c r="AB861" s="90"/>
      <c r="AC861" s="156" t="s">
        <v>36</v>
      </c>
      <c r="AD861" s="147">
        <f t="shared" si="47"/>
        <v>0</v>
      </c>
      <c r="AE861" s="92" t="s">
        <v>79</v>
      </c>
    </row>
    <row r="862" spans="1:31" ht="30" customHeight="1">
      <c r="A862" s="150"/>
      <c r="B862" s="150"/>
      <c r="C862" s="150"/>
      <c r="D862" s="150"/>
      <c r="E862" s="150"/>
      <c r="F862" s="150"/>
      <c r="G862" s="150"/>
      <c r="H862" s="150"/>
      <c r="I862" s="150"/>
      <c r="J862" s="150"/>
      <c r="K862" s="150"/>
      <c r="L862" s="150"/>
      <c r="M862" s="150"/>
      <c r="N862" s="150"/>
      <c r="O862" s="152"/>
      <c r="P862" s="90"/>
      <c r="Q862" s="140"/>
      <c r="R862" s="90"/>
      <c r="S862" s="140"/>
      <c r="T862" s="90"/>
      <c r="U862" s="140"/>
      <c r="V862" s="90"/>
      <c r="W862" s="140"/>
      <c r="X862" s="90"/>
      <c r="Y862" s="140"/>
      <c r="Z862" s="177" t="str">
        <f t="shared" si="46"/>
        <v/>
      </c>
      <c r="AA862" s="190" t="b">
        <f t="shared" si="45"/>
        <v>0</v>
      </c>
      <c r="AB862" s="90"/>
      <c r="AC862" s="156" t="s">
        <v>36</v>
      </c>
      <c r="AD862" s="147">
        <f t="shared" si="47"/>
        <v>0</v>
      </c>
      <c r="AE862" s="92" t="s">
        <v>79</v>
      </c>
    </row>
    <row r="863" spans="1:31" ht="30" customHeight="1">
      <c r="A863" s="150"/>
      <c r="B863" s="150"/>
      <c r="C863" s="150"/>
      <c r="D863" s="150"/>
      <c r="E863" s="150"/>
      <c r="F863" s="150"/>
      <c r="G863" s="150"/>
      <c r="H863" s="150"/>
      <c r="I863" s="150"/>
      <c r="J863" s="150"/>
      <c r="K863" s="150"/>
      <c r="L863" s="150"/>
      <c r="M863" s="150"/>
      <c r="N863" s="150"/>
      <c r="O863" s="152"/>
      <c r="P863" s="90"/>
      <c r="Q863" s="140"/>
      <c r="R863" s="90"/>
      <c r="S863" s="140"/>
      <c r="T863" s="90"/>
      <c r="U863" s="140"/>
      <c r="V863" s="90"/>
      <c r="W863" s="140"/>
      <c r="X863" s="90"/>
      <c r="Y863" s="140"/>
      <c r="Z863" s="177" t="str">
        <f t="shared" si="46"/>
        <v/>
      </c>
      <c r="AA863" s="190" t="b">
        <f t="shared" si="45"/>
        <v>0</v>
      </c>
      <c r="AB863" s="90"/>
      <c r="AC863" s="156" t="s">
        <v>36</v>
      </c>
      <c r="AD863" s="147">
        <f t="shared" si="47"/>
        <v>0</v>
      </c>
      <c r="AE863" s="92" t="s">
        <v>79</v>
      </c>
    </row>
    <row r="864" spans="1:31" ht="30" customHeight="1">
      <c r="A864" s="150"/>
      <c r="B864" s="150"/>
      <c r="C864" s="150"/>
      <c r="D864" s="150"/>
      <c r="E864" s="150"/>
      <c r="F864" s="150"/>
      <c r="G864" s="150"/>
      <c r="H864" s="150"/>
      <c r="I864" s="150"/>
      <c r="J864" s="150"/>
      <c r="K864" s="150"/>
      <c r="L864" s="150"/>
      <c r="M864" s="150"/>
      <c r="N864" s="150"/>
      <c r="O864" s="152"/>
      <c r="P864" s="90"/>
      <c r="Q864" s="140"/>
      <c r="R864" s="90"/>
      <c r="S864" s="140"/>
      <c r="T864" s="90"/>
      <c r="U864" s="140"/>
      <c r="V864" s="90"/>
      <c r="W864" s="140"/>
      <c r="X864" s="90"/>
      <c r="Y864" s="140"/>
      <c r="Z864" s="177" t="str">
        <f t="shared" si="46"/>
        <v/>
      </c>
      <c r="AA864" s="190" t="b">
        <f t="shared" si="45"/>
        <v>0</v>
      </c>
      <c r="AB864" s="90"/>
      <c r="AC864" s="156" t="s">
        <v>36</v>
      </c>
      <c r="AD864" s="147">
        <f t="shared" si="47"/>
        <v>0</v>
      </c>
      <c r="AE864" s="92" t="s">
        <v>79</v>
      </c>
    </row>
    <row r="865" spans="1:31" ht="30" customHeight="1">
      <c r="A865" s="150"/>
      <c r="B865" s="150"/>
      <c r="C865" s="150"/>
      <c r="D865" s="150"/>
      <c r="E865" s="150"/>
      <c r="F865" s="150"/>
      <c r="G865" s="150"/>
      <c r="H865" s="150"/>
      <c r="I865" s="150"/>
      <c r="J865" s="150"/>
      <c r="K865" s="150"/>
      <c r="L865" s="150"/>
      <c r="M865" s="150"/>
      <c r="N865" s="150"/>
      <c r="O865" s="152"/>
      <c r="P865" s="90"/>
      <c r="Q865" s="140"/>
      <c r="R865" s="90"/>
      <c r="S865" s="140"/>
      <c r="T865" s="90"/>
      <c r="U865" s="140"/>
      <c r="V865" s="90"/>
      <c r="W865" s="140"/>
      <c r="X865" s="90"/>
      <c r="Y865" s="140"/>
      <c r="Z865" s="177" t="str">
        <f t="shared" si="46"/>
        <v/>
      </c>
      <c r="AA865" s="190" t="b">
        <f t="shared" si="45"/>
        <v>0</v>
      </c>
      <c r="AB865" s="90"/>
      <c r="AC865" s="156" t="s">
        <v>36</v>
      </c>
      <c r="AD865" s="147">
        <f t="shared" si="47"/>
        <v>0</v>
      </c>
      <c r="AE865" s="92" t="s">
        <v>79</v>
      </c>
    </row>
    <row r="866" spans="1:31" ht="30" customHeight="1">
      <c r="A866" s="150"/>
      <c r="B866" s="150"/>
      <c r="C866" s="150"/>
      <c r="D866" s="150"/>
      <c r="E866" s="150"/>
      <c r="F866" s="150"/>
      <c r="G866" s="150"/>
      <c r="H866" s="150"/>
      <c r="I866" s="150"/>
      <c r="J866" s="150"/>
      <c r="K866" s="150"/>
      <c r="L866" s="150"/>
      <c r="M866" s="150"/>
      <c r="N866" s="150"/>
      <c r="O866" s="152"/>
      <c r="P866" s="90"/>
      <c r="Q866" s="140"/>
      <c r="R866" s="90"/>
      <c r="S866" s="140"/>
      <c r="T866" s="90"/>
      <c r="U866" s="140"/>
      <c r="V866" s="90"/>
      <c r="W866" s="140"/>
      <c r="X866" s="90"/>
      <c r="Y866" s="140"/>
      <c r="Z866" s="177" t="str">
        <f t="shared" si="46"/>
        <v/>
      </c>
      <c r="AA866" s="190" t="b">
        <f t="shared" si="45"/>
        <v>0</v>
      </c>
      <c r="AB866" s="90"/>
      <c r="AC866" s="156" t="s">
        <v>36</v>
      </c>
      <c r="AD866" s="147">
        <f t="shared" si="47"/>
        <v>0</v>
      </c>
      <c r="AE866" s="92" t="s">
        <v>79</v>
      </c>
    </row>
    <row r="867" spans="1:31" ht="30" customHeight="1">
      <c r="A867" s="150"/>
      <c r="B867" s="150"/>
      <c r="C867" s="150"/>
      <c r="D867" s="150"/>
      <c r="E867" s="150"/>
      <c r="F867" s="150"/>
      <c r="G867" s="150"/>
      <c r="H867" s="150"/>
      <c r="I867" s="150"/>
      <c r="J867" s="150"/>
      <c r="K867" s="150"/>
      <c r="L867" s="150"/>
      <c r="M867" s="150"/>
      <c r="N867" s="150"/>
      <c r="O867" s="152"/>
      <c r="P867" s="90"/>
      <c r="Q867" s="140"/>
      <c r="R867" s="90"/>
      <c r="S867" s="140"/>
      <c r="T867" s="90"/>
      <c r="U867" s="140"/>
      <c r="V867" s="90"/>
      <c r="W867" s="140"/>
      <c r="X867" s="90"/>
      <c r="Y867" s="140"/>
      <c r="Z867" s="177" t="str">
        <f t="shared" si="46"/>
        <v/>
      </c>
      <c r="AA867" s="190" t="b">
        <f t="shared" si="45"/>
        <v>0</v>
      </c>
      <c r="AB867" s="90"/>
      <c r="AC867" s="156" t="s">
        <v>36</v>
      </c>
      <c r="AD867" s="147">
        <f t="shared" si="47"/>
        <v>0</v>
      </c>
      <c r="AE867" s="92" t="s">
        <v>79</v>
      </c>
    </row>
    <row r="868" spans="1:31" ht="30" customHeight="1">
      <c r="A868" s="150"/>
      <c r="B868" s="150"/>
      <c r="C868" s="150"/>
      <c r="D868" s="150"/>
      <c r="E868" s="150"/>
      <c r="F868" s="150"/>
      <c r="G868" s="150"/>
      <c r="H868" s="150"/>
      <c r="I868" s="150"/>
      <c r="J868" s="150"/>
      <c r="K868" s="150"/>
      <c r="L868" s="150"/>
      <c r="M868" s="150"/>
      <c r="N868" s="150"/>
      <c r="O868" s="152"/>
      <c r="P868" s="90"/>
      <c r="Q868" s="140"/>
      <c r="R868" s="90"/>
      <c r="S868" s="140"/>
      <c r="T868" s="90"/>
      <c r="U868" s="140"/>
      <c r="V868" s="90"/>
      <c r="W868" s="140"/>
      <c r="X868" s="90"/>
      <c r="Y868" s="140"/>
      <c r="Z868" s="177" t="str">
        <f t="shared" si="46"/>
        <v/>
      </c>
      <c r="AA868" s="190" t="b">
        <f t="shared" si="45"/>
        <v>0</v>
      </c>
      <c r="AB868" s="90"/>
      <c r="AC868" s="156" t="s">
        <v>36</v>
      </c>
      <c r="AD868" s="147">
        <f t="shared" si="47"/>
        <v>0</v>
      </c>
      <c r="AE868" s="92" t="s">
        <v>79</v>
      </c>
    </row>
    <row r="869" spans="1:31" ht="30" customHeight="1">
      <c r="A869" s="150"/>
      <c r="B869" s="150"/>
      <c r="C869" s="150"/>
      <c r="D869" s="150"/>
      <c r="E869" s="150"/>
      <c r="F869" s="150"/>
      <c r="G869" s="150"/>
      <c r="H869" s="150"/>
      <c r="I869" s="150"/>
      <c r="J869" s="150"/>
      <c r="K869" s="150"/>
      <c r="L869" s="150"/>
      <c r="M869" s="150"/>
      <c r="N869" s="150"/>
      <c r="O869" s="152"/>
      <c r="P869" s="90"/>
      <c r="Q869" s="140"/>
      <c r="R869" s="90"/>
      <c r="S869" s="140"/>
      <c r="T869" s="90"/>
      <c r="U869" s="140"/>
      <c r="V869" s="90"/>
      <c r="W869" s="140"/>
      <c r="X869" s="90"/>
      <c r="Y869" s="140"/>
      <c r="Z869" s="177" t="str">
        <f t="shared" si="46"/>
        <v/>
      </c>
      <c r="AA869" s="190" t="b">
        <f t="shared" si="45"/>
        <v>0</v>
      </c>
      <c r="AB869" s="90"/>
      <c r="AC869" s="156" t="s">
        <v>36</v>
      </c>
      <c r="AD869" s="147">
        <f t="shared" si="47"/>
        <v>0</v>
      </c>
      <c r="AE869" s="92" t="s">
        <v>79</v>
      </c>
    </row>
    <row r="870" spans="1:31" ht="30" customHeight="1">
      <c r="A870" s="150"/>
      <c r="B870" s="150"/>
      <c r="C870" s="150"/>
      <c r="D870" s="150"/>
      <c r="E870" s="150"/>
      <c r="F870" s="150"/>
      <c r="G870" s="150"/>
      <c r="H870" s="150"/>
      <c r="I870" s="150"/>
      <c r="J870" s="150"/>
      <c r="K870" s="150"/>
      <c r="L870" s="150"/>
      <c r="M870" s="150"/>
      <c r="N870" s="150"/>
      <c r="O870" s="152"/>
      <c r="P870" s="90"/>
      <c r="Q870" s="140"/>
      <c r="R870" s="90"/>
      <c r="S870" s="140"/>
      <c r="T870" s="90"/>
      <c r="U870" s="140"/>
      <c r="V870" s="90"/>
      <c r="W870" s="140"/>
      <c r="X870" s="90"/>
      <c r="Y870" s="140"/>
      <c r="Z870" s="177" t="str">
        <f t="shared" si="46"/>
        <v/>
      </c>
      <c r="AA870" s="190" t="b">
        <f t="shared" si="45"/>
        <v>0</v>
      </c>
      <c r="AB870" s="90"/>
      <c r="AC870" s="156" t="s">
        <v>36</v>
      </c>
      <c r="AD870" s="147">
        <f t="shared" si="47"/>
        <v>0</v>
      </c>
      <c r="AE870" s="92" t="s">
        <v>79</v>
      </c>
    </row>
    <row r="871" spans="1:31" ht="30" customHeight="1">
      <c r="A871" s="150"/>
      <c r="B871" s="150"/>
      <c r="C871" s="150"/>
      <c r="D871" s="150"/>
      <c r="E871" s="150"/>
      <c r="F871" s="150"/>
      <c r="G871" s="150"/>
      <c r="H871" s="150"/>
      <c r="I871" s="150"/>
      <c r="J871" s="150"/>
      <c r="K871" s="150"/>
      <c r="L871" s="150"/>
      <c r="M871" s="150"/>
      <c r="N871" s="150"/>
      <c r="O871" s="152"/>
      <c r="P871" s="90"/>
      <c r="Q871" s="140"/>
      <c r="R871" s="90"/>
      <c r="S871" s="140"/>
      <c r="T871" s="90"/>
      <c r="U871" s="140"/>
      <c r="V871" s="90"/>
      <c r="W871" s="140"/>
      <c r="X871" s="90"/>
      <c r="Y871" s="140"/>
      <c r="Z871" s="177" t="str">
        <f t="shared" si="46"/>
        <v/>
      </c>
      <c r="AA871" s="190" t="b">
        <f t="shared" si="45"/>
        <v>0</v>
      </c>
      <c r="AB871" s="90"/>
      <c r="AC871" s="156" t="s">
        <v>36</v>
      </c>
      <c r="AD871" s="147">
        <f t="shared" si="47"/>
        <v>0</v>
      </c>
      <c r="AE871" s="92" t="s">
        <v>79</v>
      </c>
    </row>
    <row r="872" spans="1:31" ht="30" customHeight="1">
      <c r="A872" s="150"/>
      <c r="B872" s="150"/>
      <c r="C872" s="150"/>
      <c r="D872" s="150"/>
      <c r="E872" s="150"/>
      <c r="F872" s="150"/>
      <c r="G872" s="150"/>
      <c r="H872" s="150"/>
      <c r="I872" s="150"/>
      <c r="J872" s="150"/>
      <c r="K872" s="150"/>
      <c r="L872" s="150"/>
      <c r="M872" s="150"/>
      <c r="N872" s="150"/>
      <c r="O872" s="152"/>
      <c r="P872" s="90"/>
      <c r="Q872" s="140"/>
      <c r="R872" s="90"/>
      <c r="S872" s="140"/>
      <c r="T872" s="90"/>
      <c r="U872" s="140"/>
      <c r="V872" s="90"/>
      <c r="W872" s="140"/>
      <c r="X872" s="90"/>
      <c r="Y872" s="140"/>
      <c r="Z872" s="177" t="str">
        <f t="shared" si="46"/>
        <v/>
      </c>
      <c r="AA872" s="190" t="b">
        <f t="shared" si="45"/>
        <v>0</v>
      </c>
      <c r="AB872" s="90"/>
      <c r="AC872" s="156" t="s">
        <v>36</v>
      </c>
      <c r="AD872" s="147">
        <f t="shared" si="47"/>
        <v>0</v>
      </c>
      <c r="AE872" s="92" t="s">
        <v>79</v>
      </c>
    </row>
    <row r="873" spans="1:31" ht="30" customHeight="1">
      <c r="A873" s="150"/>
      <c r="B873" s="150"/>
      <c r="C873" s="150"/>
      <c r="D873" s="150"/>
      <c r="E873" s="150"/>
      <c r="F873" s="150"/>
      <c r="G873" s="150"/>
      <c r="H873" s="150"/>
      <c r="I873" s="150"/>
      <c r="J873" s="150"/>
      <c r="K873" s="150"/>
      <c r="L873" s="150"/>
      <c r="M873" s="150"/>
      <c r="N873" s="150"/>
      <c r="O873" s="152"/>
      <c r="P873" s="90"/>
      <c r="Q873" s="140"/>
      <c r="R873" s="90"/>
      <c r="S873" s="140"/>
      <c r="T873" s="90"/>
      <c r="U873" s="140"/>
      <c r="V873" s="90"/>
      <c r="W873" s="140"/>
      <c r="X873" s="90"/>
      <c r="Y873" s="140"/>
      <c r="Z873" s="177" t="str">
        <f t="shared" si="46"/>
        <v/>
      </c>
      <c r="AA873" s="190" t="b">
        <f t="shared" si="45"/>
        <v>0</v>
      </c>
      <c r="AB873" s="90"/>
      <c r="AC873" s="156" t="s">
        <v>36</v>
      </c>
      <c r="AD873" s="147">
        <f t="shared" si="47"/>
        <v>0</v>
      </c>
      <c r="AE873" s="92" t="s">
        <v>79</v>
      </c>
    </row>
    <row r="874" spans="1:31" ht="30" customHeight="1">
      <c r="A874" s="150"/>
      <c r="B874" s="150"/>
      <c r="C874" s="150"/>
      <c r="D874" s="150"/>
      <c r="E874" s="150"/>
      <c r="F874" s="150"/>
      <c r="G874" s="150"/>
      <c r="H874" s="150"/>
      <c r="I874" s="150"/>
      <c r="J874" s="150"/>
      <c r="K874" s="150"/>
      <c r="L874" s="150"/>
      <c r="M874" s="150"/>
      <c r="N874" s="150"/>
      <c r="O874" s="152"/>
      <c r="P874" s="90"/>
      <c r="Q874" s="140"/>
      <c r="R874" s="90"/>
      <c r="S874" s="140"/>
      <c r="T874" s="90"/>
      <c r="U874" s="140"/>
      <c r="V874" s="90"/>
      <c r="W874" s="140"/>
      <c r="X874" s="90"/>
      <c r="Y874" s="140"/>
      <c r="Z874" s="177" t="str">
        <f t="shared" si="46"/>
        <v/>
      </c>
      <c r="AA874" s="190" t="b">
        <f t="shared" si="45"/>
        <v>0</v>
      </c>
      <c r="AB874" s="90"/>
      <c r="AC874" s="156" t="s">
        <v>36</v>
      </c>
      <c r="AD874" s="147">
        <f t="shared" si="47"/>
        <v>0</v>
      </c>
      <c r="AE874" s="92" t="s">
        <v>79</v>
      </c>
    </row>
    <row r="875" spans="1:31" ht="30" customHeight="1">
      <c r="A875" s="150"/>
      <c r="B875" s="150"/>
      <c r="C875" s="150"/>
      <c r="D875" s="150"/>
      <c r="E875" s="150"/>
      <c r="F875" s="150"/>
      <c r="G875" s="150"/>
      <c r="H875" s="150"/>
      <c r="I875" s="150"/>
      <c r="J875" s="150"/>
      <c r="K875" s="150"/>
      <c r="L875" s="150"/>
      <c r="M875" s="150"/>
      <c r="N875" s="150"/>
      <c r="O875" s="152"/>
      <c r="P875" s="90"/>
      <c r="Q875" s="140"/>
      <c r="R875" s="90"/>
      <c r="S875" s="140"/>
      <c r="T875" s="90"/>
      <c r="U875" s="140"/>
      <c r="V875" s="90"/>
      <c r="W875" s="140"/>
      <c r="X875" s="90"/>
      <c r="Y875" s="140"/>
      <c r="Z875" s="177" t="str">
        <f t="shared" si="46"/>
        <v/>
      </c>
      <c r="AA875" s="190" t="b">
        <f t="shared" si="45"/>
        <v>0</v>
      </c>
      <c r="AB875" s="90"/>
      <c r="AC875" s="156" t="s">
        <v>36</v>
      </c>
      <c r="AD875" s="147">
        <f t="shared" si="47"/>
        <v>0</v>
      </c>
      <c r="AE875" s="92" t="s">
        <v>79</v>
      </c>
    </row>
    <row r="876" spans="1:31" ht="30" customHeight="1">
      <c r="A876" s="150"/>
      <c r="B876" s="150"/>
      <c r="C876" s="150"/>
      <c r="D876" s="150"/>
      <c r="E876" s="150"/>
      <c r="F876" s="150"/>
      <c r="G876" s="150"/>
      <c r="H876" s="150"/>
      <c r="I876" s="150"/>
      <c r="J876" s="150"/>
      <c r="K876" s="150"/>
      <c r="L876" s="150"/>
      <c r="M876" s="150"/>
      <c r="N876" s="150"/>
      <c r="O876" s="152"/>
      <c r="P876" s="90"/>
      <c r="Q876" s="140"/>
      <c r="R876" s="90"/>
      <c r="S876" s="140"/>
      <c r="T876" s="90"/>
      <c r="U876" s="140"/>
      <c r="V876" s="90"/>
      <c r="W876" s="140"/>
      <c r="X876" s="90"/>
      <c r="Y876" s="140"/>
      <c r="Z876" s="177" t="str">
        <f t="shared" si="46"/>
        <v/>
      </c>
      <c r="AA876" s="190" t="b">
        <f t="shared" si="45"/>
        <v>0</v>
      </c>
      <c r="AB876" s="90"/>
      <c r="AC876" s="156" t="s">
        <v>36</v>
      </c>
      <c r="AD876" s="147">
        <f t="shared" si="47"/>
        <v>0</v>
      </c>
      <c r="AE876" s="92" t="s">
        <v>79</v>
      </c>
    </row>
    <row r="877" spans="1:31" ht="30" customHeight="1">
      <c r="A877" s="150"/>
      <c r="B877" s="150"/>
      <c r="C877" s="150"/>
      <c r="D877" s="150"/>
      <c r="E877" s="150"/>
      <c r="F877" s="150"/>
      <c r="G877" s="150"/>
      <c r="H877" s="150"/>
      <c r="I877" s="150"/>
      <c r="J877" s="150"/>
      <c r="K877" s="150"/>
      <c r="L877" s="150"/>
      <c r="M877" s="150"/>
      <c r="N877" s="150"/>
      <c r="O877" s="152"/>
      <c r="P877" s="90"/>
      <c r="Q877" s="140"/>
      <c r="R877" s="90"/>
      <c r="S877" s="140"/>
      <c r="T877" s="90"/>
      <c r="U877" s="140"/>
      <c r="V877" s="90"/>
      <c r="W877" s="140"/>
      <c r="X877" s="90"/>
      <c r="Y877" s="140"/>
      <c r="Z877" s="177" t="str">
        <f t="shared" si="46"/>
        <v/>
      </c>
      <c r="AA877" s="190" t="b">
        <f t="shared" si="45"/>
        <v>0</v>
      </c>
      <c r="AB877" s="90"/>
      <c r="AC877" s="156" t="s">
        <v>36</v>
      </c>
      <c r="AD877" s="147">
        <f t="shared" si="47"/>
        <v>0</v>
      </c>
      <c r="AE877" s="92" t="s">
        <v>79</v>
      </c>
    </row>
    <row r="878" spans="1:31" ht="30" customHeight="1">
      <c r="A878" s="150"/>
      <c r="B878" s="150"/>
      <c r="C878" s="150"/>
      <c r="D878" s="150"/>
      <c r="E878" s="150"/>
      <c r="F878" s="150"/>
      <c r="G878" s="150"/>
      <c r="H878" s="150"/>
      <c r="I878" s="150"/>
      <c r="J878" s="150"/>
      <c r="K878" s="150"/>
      <c r="L878" s="150"/>
      <c r="M878" s="150"/>
      <c r="N878" s="150"/>
      <c r="O878" s="152"/>
      <c r="P878" s="90"/>
      <c r="Q878" s="140"/>
      <c r="R878" s="90"/>
      <c r="S878" s="140"/>
      <c r="T878" s="90"/>
      <c r="U878" s="140"/>
      <c r="V878" s="90"/>
      <c r="W878" s="140"/>
      <c r="X878" s="90"/>
      <c r="Y878" s="140"/>
      <c r="Z878" s="177" t="str">
        <f t="shared" si="46"/>
        <v/>
      </c>
      <c r="AA878" s="190" t="b">
        <f t="shared" si="45"/>
        <v>0</v>
      </c>
      <c r="AB878" s="90"/>
      <c r="AC878" s="156" t="s">
        <v>36</v>
      </c>
      <c r="AD878" s="147">
        <f t="shared" si="47"/>
        <v>0</v>
      </c>
      <c r="AE878" s="92" t="s">
        <v>79</v>
      </c>
    </row>
    <row r="879" spans="1:31" ht="30" customHeight="1">
      <c r="A879" s="150"/>
      <c r="B879" s="150"/>
      <c r="C879" s="150"/>
      <c r="D879" s="150"/>
      <c r="E879" s="150"/>
      <c r="F879" s="150"/>
      <c r="G879" s="150"/>
      <c r="H879" s="150"/>
      <c r="I879" s="150"/>
      <c r="J879" s="150"/>
      <c r="K879" s="150"/>
      <c r="L879" s="150"/>
      <c r="M879" s="150"/>
      <c r="N879" s="150"/>
      <c r="O879" s="152"/>
      <c r="P879" s="90"/>
      <c r="Q879" s="140"/>
      <c r="R879" s="90"/>
      <c r="S879" s="140"/>
      <c r="T879" s="90"/>
      <c r="U879" s="140"/>
      <c r="V879" s="90"/>
      <c r="W879" s="140"/>
      <c r="X879" s="90"/>
      <c r="Y879" s="140"/>
      <c r="Z879" s="177" t="str">
        <f t="shared" si="46"/>
        <v/>
      </c>
      <c r="AA879" s="190" t="b">
        <f t="shared" si="45"/>
        <v>0</v>
      </c>
      <c r="AB879" s="90"/>
      <c r="AC879" s="156" t="s">
        <v>36</v>
      </c>
      <c r="AD879" s="147">
        <f t="shared" si="47"/>
        <v>0</v>
      </c>
      <c r="AE879" s="92" t="s">
        <v>79</v>
      </c>
    </row>
    <row r="880" spans="1:31" ht="30" customHeight="1">
      <c r="A880" s="150"/>
      <c r="B880" s="150"/>
      <c r="C880" s="150"/>
      <c r="D880" s="150"/>
      <c r="E880" s="150"/>
      <c r="F880" s="150"/>
      <c r="G880" s="150"/>
      <c r="H880" s="150"/>
      <c r="I880" s="150"/>
      <c r="J880" s="150"/>
      <c r="K880" s="150"/>
      <c r="L880" s="150"/>
      <c r="M880" s="150"/>
      <c r="N880" s="150"/>
      <c r="O880" s="152"/>
      <c r="P880" s="90"/>
      <c r="Q880" s="140"/>
      <c r="R880" s="90"/>
      <c r="S880" s="140"/>
      <c r="T880" s="90"/>
      <c r="U880" s="140"/>
      <c r="V880" s="90"/>
      <c r="W880" s="140"/>
      <c r="X880" s="90"/>
      <c r="Y880" s="140"/>
      <c r="Z880" s="177" t="str">
        <f t="shared" si="46"/>
        <v/>
      </c>
      <c r="AA880" s="190" t="b">
        <f t="shared" si="45"/>
        <v>0</v>
      </c>
      <c r="AB880" s="90"/>
      <c r="AC880" s="156" t="s">
        <v>36</v>
      </c>
      <c r="AD880" s="147">
        <f t="shared" si="47"/>
        <v>0</v>
      </c>
      <c r="AE880" s="92" t="s">
        <v>79</v>
      </c>
    </row>
    <row r="881" spans="1:31" ht="30" customHeight="1">
      <c r="A881" s="150"/>
      <c r="B881" s="150"/>
      <c r="C881" s="150"/>
      <c r="D881" s="150"/>
      <c r="E881" s="150"/>
      <c r="F881" s="150"/>
      <c r="G881" s="150"/>
      <c r="H881" s="150"/>
      <c r="I881" s="150"/>
      <c r="J881" s="150"/>
      <c r="K881" s="150"/>
      <c r="L881" s="150"/>
      <c r="M881" s="150"/>
      <c r="N881" s="150"/>
      <c r="O881" s="152"/>
      <c r="P881" s="90"/>
      <c r="Q881" s="140"/>
      <c r="R881" s="90"/>
      <c r="S881" s="140"/>
      <c r="T881" s="90"/>
      <c r="U881" s="140"/>
      <c r="V881" s="90"/>
      <c r="W881" s="140"/>
      <c r="X881" s="90"/>
      <c r="Y881" s="140"/>
      <c r="Z881" s="177" t="str">
        <f t="shared" si="46"/>
        <v/>
      </c>
      <c r="AA881" s="190" t="b">
        <f t="shared" si="45"/>
        <v>0</v>
      </c>
      <c r="AB881" s="90"/>
      <c r="AC881" s="156" t="s">
        <v>36</v>
      </c>
      <c r="AD881" s="147">
        <f t="shared" si="47"/>
        <v>0</v>
      </c>
      <c r="AE881" s="92" t="s">
        <v>79</v>
      </c>
    </row>
    <row r="882" spans="1:31" ht="30" customHeight="1">
      <c r="A882" s="150"/>
      <c r="B882" s="150"/>
      <c r="C882" s="150"/>
      <c r="D882" s="150"/>
      <c r="E882" s="150"/>
      <c r="F882" s="150"/>
      <c r="G882" s="150"/>
      <c r="H882" s="150"/>
      <c r="I882" s="150"/>
      <c r="J882" s="150"/>
      <c r="K882" s="150"/>
      <c r="L882" s="150"/>
      <c r="M882" s="150"/>
      <c r="N882" s="150"/>
      <c r="O882" s="152"/>
      <c r="P882" s="90"/>
      <c r="Q882" s="140"/>
      <c r="R882" s="90"/>
      <c r="S882" s="140"/>
      <c r="T882" s="90"/>
      <c r="U882" s="140"/>
      <c r="V882" s="90"/>
      <c r="W882" s="140"/>
      <c r="X882" s="90"/>
      <c r="Y882" s="140"/>
      <c r="Z882" s="177" t="str">
        <f t="shared" si="46"/>
        <v/>
      </c>
      <c r="AA882" s="190" t="b">
        <f t="shared" si="45"/>
        <v>0</v>
      </c>
      <c r="AB882" s="90"/>
      <c r="AC882" s="156" t="s">
        <v>36</v>
      </c>
      <c r="AD882" s="147">
        <f t="shared" si="47"/>
        <v>0</v>
      </c>
      <c r="AE882" s="92" t="s">
        <v>79</v>
      </c>
    </row>
    <row r="883" spans="1:31" ht="30" customHeight="1">
      <c r="A883" s="150"/>
      <c r="B883" s="150"/>
      <c r="C883" s="150"/>
      <c r="D883" s="150"/>
      <c r="E883" s="150"/>
      <c r="F883" s="150"/>
      <c r="G883" s="150"/>
      <c r="H883" s="150"/>
      <c r="I883" s="150"/>
      <c r="J883" s="150"/>
      <c r="K883" s="150"/>
      <c r="L883" s="150"/>
      <c r="M883" s="150"/>
      <c r="N883" s="150"/>
      <c r="O883" s="152"/>
      <c r="P883" s="90"/>
      <c r="Q883" s="140"/>
      <c r="R883" s="90"/>
      <c r="S883" s="140"/>
      <c r="T883" s="90"/>
      <c r="U883" s="140"/>
      <c r="V883" s="90"/>
      <c r="W883" s="140"/>
      <c r="X883" s="90"/>
      <c r="Y883" s="140"/>
      <c r="Z883" s="177" t="str">
        <f t="shared" si="46"/>
        <v/>
      </c>
      <c r="AA883" s="190" t="b">
        <f t="shared" si="45"/>
        <v>0</v>
      </c>
      <c r="AB883" s="90"/>
      <c r="AC883" s="156" t="s">
        <v>36</v>
      </c>
      <c r="AD883" s="147">
        <f t="shared" si="47"/>
        <v>0</v>
      </c>
      <c r="AE883" s="92" t="s">
        <v>79</v>
      </c>
    </row>
    <row r="884" spans="1:31" ht="30" customHeight="1">
      <c r="A884" s="150"/>
      <c r="B884" s="150"/>
      <c r="C884" s="150"/>
      <c r="D884" s="150"/>
      <c r="E884" s="150"/>
      <c r="F884" s="150"/>
      <c r="G884" s="150"/>
      <c r="H884" s="150"/>
      <c r="I884" s="150"/>
      <c r="J884" s="150"/>
      <c r="K884" s="150"/>
      <c r="L884" s="150"/>
      <c r="M884" s="150"/>
      <c r="N884" s="150"/>
      <c r="O884" s="152"/>
      <c r="P884" s="90"/>
      <c r="Q884" s="140"/>
      <c r="R884" s="90"/>
      <c r="S884" s="140"/>
      <c r="T884" s="90"/>
      <c r="U884" s="140"/>
      <c r="V884" s="90"/>
      <c r="W884" s="140"/>
      <c r="X884" s="90"/>
      <c r="Y884" s="140"/>
      <c r="Z884" s="177" t="str">
        <f t="shared" si="46"/>
        <v/>
      </c>
      <c r="AA884" s="190" t="b">
        <f t="shared" si="45"/>
        <v>0</v>
      </c>
      <c r="AB884" s="90"/>
      <c r="AC884" s="156" t="s">
        <v>36</v>
      </c>
      <c r="AD884" s="147">
        <f t="shared" si="47"/>
        <v>0</v>
      </c>
      <c r="AE884" s="92" t="s">
        <v>79</v>
      </c>
    </row>
    <row r="885" spans="1:31" ht="30" customHeight="1">
      <c r="A885" s="150"/>
      <c r="B885" s="150"/>
      <c r="C885" s="150"/>
      <c r="D885" s="150"/>
      <c r="E885" s="150"/>
      <c r="F885" s="150"/>
      <c r="G885" s="150"/>
      <c r="H885" s="150"/>
      <c r="I885" s="150"/>
      <c r="J885" s="150"/>
      <c r="K885" s="150"/>
      <c r="L885" s="150"/>
      <c r="M885" s="150"/>
      <c r="N885" s="150"/>
      <c r="O885" s="152"/>
      <c r="P885" s="90"/>
      <c r="Q885" s="140"/>
      <c r="R885" s="90"/>
      <c r="S885" s="140"/>
      <c r="T885" s="90"/>
      <c r="U885" s="140"/>
      <c r="V885" s="90"/>
      <c r="W885" s="140"/>
      <c r="X885" s="90"/>
      <c r="Y885" s="140"/>
      <c r="Z885" s="177" t="str">
        <f t="shared" si="46"/>
        <v/>
      </c>
      <c r="AA885" s="190" t="b">
        <f t="shared" si="45"/>
        <v>0</v>
      </c>
      <c r="AB885" s="90"/>
      <c r="AC885" s="156" t="s">
        <v>36</v>
      </c>
      <c r="AD885" s="147">
        <f t="shared" si="47"/>
        <v>0</v>
      </c>
      <c r="AE885" s="92" t="s">
        <v>79</v>
      </c>
    </row>
    <row r="886" spans="1:31" ht="30" customHeight="1">
      <c r="A886" s="150"/>
      <c r="B886" s="150"/>
      <c r="C886" s="150"/>
      <c r="D886" s="150"/>
      <c r="E886" s="150"/>
      <c r="F886" s="150"/>
      <c r="G886" s="150"/>
      <c r="H886" s="150"/>
      <c r="I886" s="150"/>
      <c r="J886" s="150"/>
      <c r="K886" s="150"/>
      <c r="L886" s="150"/>
      <c r="M886" s="150"/>
      <c r="N886" s="150"/>
      <c r="O886" s="152"/>
      <c r="P886" s="90"/>
      <c r="Q886" s="140"/>
      <c r="R886" s="90"/>
      <c r="S886" s="140"/>
      <c r="T886" s="90"/>
      <c r="U886" s="140"/>
      <c r="V886" s="90"/>
      <c r="W886" s="140"/>
      <c r="X886" s="90"/>
      <c r="Y886" s="140"/>
      <c r="Z886" s="177" t="str">
        <f t="shared" si="46"/>
        <v/>
      </c>
      <c r="AA886" s="190" t="b">
        <f t="shared" si="45"/>
        <v>0</v>
      </c>
      <c r="AB886" s="90"/>
      <c r="AC886" s="156" t="s">
        <v>36</v>
      </c>
      <c r="AD886" s="147">
        <f t="shared" si="47"/>
        <v>0</v>
      </c>
      <c r="AE886" s="92" t="s">
        <v>79</v>
      </c>
    </row>
    <row r="887" spans="1:31" ht="30" customHeight="1">
      <c r="A887" s="150"/>
      <c r="B887" s="150"/>
      <c r="C887" s="150"/>
      <c r="D887" s="150"/>
      <c r="E887" s="150"/>
      <c r="F887" s="150"/>
      <c r="G887" s="150"/>
      <c r="H887" s="150"/>
      <c r="I887" s="150"/>
      <c r="J887" s="150"/>
      <c r="K887" s="150"/>
      <c r="L887" s="150"/>
      <c r="M887" s="150"/>
      <c r="N887" s="150"/>
      <c r="O887" s="152"/>
      <c r="P887" s="90"/>
      <c r="Q887" s="140"/>
      <c r="R887" s="90"/>
      <c r="S887" s="140"/>
      <c r="T887" s="90"/>
      <c r="U887" s="140"/>
      <c r="V887" s="90"/>
      <c r="W887" s="140"/>
      <c r="X887" s="90"/>
      <c r="Y887" s="140"/>
      <c r="Z887" s="177" t="str">
        <f t="shared" si="46"/>
        <v/>
      </c>
      <c r="AA887" s="190" t="b">
        <f t="shared" si="45"/>
        <v>0</v>
      </c>
      <c r="AB887" s="90"/>
      <c r="AC887" s="156" t="s">
        <v>36</v>
      </c>
      <c r="AD887" s="147">
        <f t="shared" si="47"/>
        <v>0</v>
      </c>
      <c r="AE887" s="92" t="s">
        <v>79</v>
      </c>
    </row>
    <row r="888" spans="1:31" ht="30" customHeight="1">
      <c r="A888" s="150"/>
      <c r="B888" s="150"/>
      <c r="C888" s="150"/>
      <c r="D888" s="150"/>
      <c r="E888" s="150"/>
      <c r="F888" s="150"/>
      <c r="G888" s="150"/>
      <c r="H888" s="150"/>
      <c r="I888" s="150"/>
      <c r="J888" s="150"/>
      <c r="K888" s="150"/>
      <c r="L888" s="150"/>
      <c r="M888" s="150"/>
      <c r="N888" s="150"/>
      <c r="O888" s="152"/>
      <c r="P888" s="90"/>
      <c r="Q888" s="140"/>
      <c r="R888" s="90"/>
      <c r="S888" s="140"/>
      <c r="T888" s="90"/>
      <c r="U888" s="140"/>
      <c r="V888" s="90"/>
      <c r="W888" s="140"/>
      <c r="X888" s="90"/>
      <c r="Y888" s="140"/>
      <c r="Z888" s="177" t="str">
        <f t="shared" si="46"/>
        <v/>
      </c>
      <c r="AA888" s="190" t="b">
        <f t="shared" si="45"/>
        <v>0</v>
      </c>
      <c r="AB888" s="90"/>
      <c r="AC888" s="156" t="s">
        <v>36</v>
      </c>
      <c r="AD888" s="147">
        <f t="shared" si="47"/>
        <v>0</v>
      </c>
      <c r="AE888" s="92" t="s">
        <v>79</v>
      </c>
    </row>
    <row r="889" spans="1:31" ht="30" customHeight="1">
      <c r="A889" s="150"/>
      <c r="B889" s="150"/>
      <c r="C889" s="150"/>
      <c r="D889" s="150"/>
      <c r="E889" s="150"/>
      <c r="F889" s="150"/>
      <c r="G889" s="150"/>
      <c r="H889" s="150"/>
      <c r="I889" s="150"/>
      <c r="J889" s="150"/>
      <c r="K889" s="150"/>
      <c r="L889" s="150"/>
      <c r="M889" s="150"/>
      <c r="N889" s="150"/>
      <c r="O889" s="152"/>
      <c r="P889" s="90"/>
      <c r="Q889" s="140"/>
      <c r="R889" s="90"/>
      <c r="S889" s="140"/>
      <c r="T889" s="90"/>
      <c r="U889" s="140"/>
      <c r="V889" s="90"/>
      <c r="W889" s="140"/>
      <c r="X889" s="90"/>
      <c r="Y889" s="140"/>
      <c r="Z889" s="177" t="str">
        <f t="shared" si="46"/>
        <v/>
      </c>
      <c r="AA889" s="190" t="b">
        <f t="shared" si="45"/>
        <v>0</v>
      </c>
      <c r="AB889" s="90"/>
      <c r="AC889" s="156" t="s">
        <v>36</v>
      </c>
      <c r="AD889" s="147">
        <f t="shared" si="47"/>
        <v>0</v>
      </c>
      <c r="AE889" s="92" t="s">
        <v>79</v>
      </c>
    </row>
    <row r="890" spans="1:31" ht="30" customHeight="1">
      <c r="A890" s="150"/>
      <c r="B890" s="150"/>
      <c r="C890" s="150"/>
      <c r="D890" s="150"/>
      <c r="E890" s="150"/>
      <c r="F890" s="150"/>
      <c r="G890" s="150"/>
      <c r="H890" s="150"/>
      <c r="I890" s="150"/>
      <c r="J890" s="150"/>
      <c r="K890" s="150"/>
      <c r="L890" s="150"/>
      <c r="M890" s="150"/>
      <c r="N890" s="150"/>
      <c r="O890" s="152"/>
      <c r="P890" s="90"/>
      <c r="Q890" s="140"/>
      <c r="R890" s="90"/>
      <c r="S890" s="140"/>
      <c r="T890" s="90"/>
      <c r="U890" s="140"/>
      <c r="V890" s="90"/>
      <c r="W890" s="140"/>
      <c r="X890" s="90"/>
      <c r="Y890" s="140"/>
      <c r="Z890" s="177" t="str">
        <f t="shared" si="46"/>
        <v/>
      </c>
      <c r="AA890" s="190" t="b">
        <f t="shared" si="45"/>
        <v>0</v>
      </c>
      <c r="AB890" s="90"/>
      <c r="AC890" s="156" t="s">
        <v>36</v>
      </c>
      <c r="AD890" s="147">
        <f t="shared" si="47"/>
        <v>0</v>
      </c>
      <c r="AE890" s="92" t="s">
        <v>79</v>
      </c>
    </row>
    <row r="891" spans="1:31" ht="30" customHeight="1">
      <c r="A891" s="150"/>
      <c r="B891" s="150"/>
      <c r="C891" s="150"/>
      <c r="D891" s="150"/>
      <c r="E891" s="150"/>
      <c r="F891" s="150"/>
      <c r="G891" s="150"/>
      <c r="H891" s="150"/>
      <c r="I891" s="150"/>
      <c r="J891" s="150"/>
      <c r="K891" s="150"/>
      <c r="L891" s="150"/>
      <c r="M891" s="150"/>
      <c r="N891" s="150"/>
      <c r="O891" s="152"/>
      <c r="P891" s="90"/>
      <c r="Q891" s="140"/>
      <c r="R891" s="90"/>
      <c r="S891" s="140"/>
      <c r="T891" s="90"/>
      <c r="U891" s="140"/>
      <c r="V891" s="90"/>
      <c r="W891" s="140"/>
      <c r="X891" s="90"/>
      <c r="Y891" s="140"/>
      <c r="Z891" s="177" t="str">
        <f t="shared" si="46"/>
        <v/>
      </c>
      <c r="AA891" s="190" t="b">
        <f t="shared" si="45"/>
        <v>0</v>
      </c>
      <c r="AB891" s="90"/>
      <c r="AC891" s="156" t="s">
        <v>36</v>
      </c>
      <c r="AD891" s="147">
        <f t="shared" si="47"/>
        <v>0</v>
      </c>
      <c r="AE891" s="92" t="s">
        <v>79</v>
      </c>
    </row>
    <row r="892" spans="1:31" ht="30" customHeight="1">
      <c r="A892" s="150"/>
      <c r="B892" s="150"/>
      <c r="C892" s="150"/>
      <c r="D892" s="150"/>
      <c r="E892" s="150"/>
      <c r="F892" s="150"/>
      <c r="G892" s="150"/>
      <c r="H892" s="150"/>
      <c r="I892" s="150"/>
      <c r="J892" s="150"/>
      <c r="K892" s="150"/>
      <c r="L892" s="150"/>
      <c r="M892" s="150"/>
      <c r="N892" s="150"/>
      <c r="O892" s="152"/>
      <c r="P892" s="90"/>
      <c r="Q892" s="140"/>
      <c r="R892" s="90"/>
      <c r="S892" s="140"/>
      <c r="T892" s="90"/>
      <c r="U892" s="140"/>
      <c r="V892" s="90"/>
      <c r="W892" s="140"/>
      <c r="X892" s="90"/>
      <c r="Y892" s="140"/>
      <c r="Z892" s="177" t="str">
        <f t="shared" si="46"/>
        <v/>
      </c>
      <c r="AA892" s="190" t="b">
        <f t="shared" si="45"/>
        <v>0</v>
      </c>
      <c r="AB892" s="90"/>
      <c r="AC892" s="156" t="s">
        <v>36</v>
      </c>
      <c r="AD892" s="147">
        <f t="shared" si="47"/>
        <v>0</v>
      </c>
      <c r="AE892" s="92" t="s">
        <v>79</v>
      </c>
    </row>
    <row r="893" spans="1:31" ht="30" customHeight="1">
      <c r="A893" s="150"/>
      <c r="B893" s="150"/>
      <c r="C893" s="150"/>
      <c r="D893" s="150"/>
      <c r="E893" s="150"/>
      <c r="F893" s="150"/>
      <c r="G893" s="150"/>
      <c r="H893" s="150"/>
      <c r="I893" s="150"/>
      <c r="J893" s="150"/>
      <c r="K893" s="150"/>
      <c r="L893" s="150"/>
      <c r="M893" s="150"/>
      <c r="N893" s="150"/>
      <c r="O893" s="152"/>
      <c r="P893" s="90"/>
      <c r="Q893" s="140"/>
      <c r="R893" s="90"/>
      <c r="S893" s="140"/>
      <c r="T893" s="90"/>
      <c r="U893" s="140"/>
      <c r="V893" s="90"/>
      <c r="W893" s="140"/>
      <c r="X893" s="90"/>
      <c r="Y893" s="140"/>
      <c r="Z893" s="177" t="str">
        <f t="shared" si="46"/>
        <v/>
      </c>
      <c r="AA893" s="190" t="b">
        <f t="shared" si="45"/>
        <v>0</v>
      </c>
      <c r="AB893" s="90"/>
      <c r="AC893" s="156" t="s">
        <v>36</v>
      </c>
      <c r="AD893" s="147">
        <f t="shared" si="47"/>
        <v>0</v>
      </c>
      <c r="AE893" s="92" t="s">
        <v>79</v>
      </c>
    </row>
    <row r="894" spans="1:31" ht="30" customHeight="1">
      <c r="A894" s="150"/>
      <c r="B894" s="150"/>
      <c r="C894" s="150"/>
      <c r="D894" s="150"/>
      <c r="E894" s="150"/>
      <c r="F894" s="150"/>
      <c r="G894" s="150"/>
      <c r="H894" s="150"/>
      <c r="I894" s="150"/>
      <c r="J894" s="150"/>
      <c r="K894" s="150"/>
      <c r="L894" s="150"/>
      <c r="M894" s="150"/>
      <c r="N894" s="150"/>
      <c r="O894" s="152"/>
      <c r="P894" s="90"/>
      <c r="Q894" s="140"/>
      <c r="R894" s="90"/>
      <c r="S894" s="140"/>
      <c r="T894" s="90"/>
      <c r="U894" s="140"/>
      <c r="V894" s="90"/>
      <c r="W894" s="140"/>
      <c r="X894" s="90"/>
      <c r="Y894" s="140"/>
      <c r="Z894" s="177" t="str">
        <f t="shared" si="46"/>
        <v/>
      </c>
      <c r="AA894" s="190" t="b">
        <f t="shared" si="45"/>
        <v>0</v>
      </c>
      <c r="AB894" s="90"/>
      <c r="AC894" s="156" t="s">
        <v>36</v>
      </c>
      <c r="AD894" s="147">
        <f t="shared" si="47"/>
        <v>0</v>
      </c>
      <c r="AE894" s="92" t="s">
        <v>79</v>
      </c>
    </row>
    <row r="895" spans="1:31" ht="30" customHeight="1">
      <c r="A895" s="150"/>
      <c r="B895" s="150"/>
      <c r="C895" s="150"/>
      <c r="D895" s="150"/>
      <c r="E895" s="150"/>
      <c r="F895" s="150"/>
      <c r="G895" s="150"/>
      <c r="H895" s="150"/>
      <c r="I895" s="150"/>
      <c r="J895" s="150"/>
      <c r="K895" s="150"/>
      <c r="L895" s="150"/>
      <c r="M895" s="150"/>
      <c r="N895" s="150"/>
      <c r="O895" s="152"/>
      <c r="P895" s="90"/>
      <c r="Q895" s="140"/>
      <c r="R895" s="90"/>
      <c r="S895" s="140"/>
      <c r="T895" s="90"/>
      <c r="U895" s="140"/>
      <c r="V895" s="90"/>
      <c r="W895" s="140"/>
      <c r="X895" s="90"/>
      <c r="Y895" s="140"/>
      <c r="Z895" s="177" t="str">
        <f t="shared" si="46"/>
        <v/>
      </c>
      <c r="AA895" s="190" t="b">
        <f t="shared" si="45"/>
        <v>0</v>
      </c>
      <c r="AB895" s="90"/>
      <c r="AC895" s="156" t="s">
        <v>36</v>
      </c>
      <c r="AD895" s="147">
        <f t="shared" si="47"/>
        <v>0</v>
      </c>
      <c r="AE895" s="92" t="s">
        <v>79</v>
      </c>
    </row>
    <row r="896" spans="1:31" ht="30" customHeight="1">
      <c r="A896" s="150"/>
      <c r="B896" s="150"/>
      <c r="C896" s="150"/>
      <c r="D896" s="150"/>
      <c r="E896" s="150"/>
      <c r="F896" s="150"/>
      <c r="G896" s="150"/>
      <c r="H896" s="150"/>
      <c r="I896" s="150"/>
      <c r="J896" s="150"/>
      <c r="K896" s="150"/>
      <c r="L896" s="150"/>
      <c r="M896" s="150"/>
      <c r="N896" s="150"/>
      <c r="O896" s="152"/>
      <c r="P896" s="90"/>
      <c r="Q896" s="140"/>
      <c r="R896" s="90"/>
      <c r="S896" s="140"/>
      <c r="T896" s="90"/>
      <c r="U896" s="140"/>
      <c r="V896" s="90"/>
      <c r="W896" s="140"/>
      <c r="X896" s="90"/>
      <c r="Y896" s="140"/>
      <c r="Z896" s="177" t="str">
        <f t="shared" si="46"/>
        <v/>
      </c>
      <c r="AA896" s="190" t="b">
        <f t="shared" si="45"/>
        <v>0</v>
      </c>
      <c r="AB896" s="90"/>
      <c r="AC896" s="156" t="s">
        <v>36</v>
      </c>
      <c r="AD896" s="147">
        <f t="shared" si="47"/>
        <v>0</v>
      </c>
      <c r="AE896" s="92" t="s">
        <v>79</v>
      </c>
    </row>
    <row r="897" spans="1:31" ht="30" customHeight="1">
      <c r="A897" s="150"/>
      <c r="B897" s="150"/>
      <c r="C897" s="150"/>
      <c r="D897" s="150"/>
      <c r="E897" s="150"/>
      <c r="F897" s="150"/>
      <c r="G897" s="150"/>
      <c r="H897" s="150"/>
      <c r="I897" s="150"/>
      <c r="J897" s="150"/>
      <c r="K897" s="150"/>
      <c r="L897" s="150"/>
      <c r="M897" s="150"/>
      <c r="N897" s="150"/>
      <c r="O897" s="152"/>
      <c r="P897" s="90"/>
      <c r="Q897" s="140"/>
      <c r="R897" s="90"/>
      <c r="S897" s="140"/>
      <c r="T897" s="90"/>
      <c r="U897" s="140"/>
      <c r="V897" s="90"/>
      <c r="W897" s="140"/>
      <c r="X897" s="90"/>
      <c r="Y897" s="140"/>
      <c r="Z897" s="177" t="str">
        <f t="shared" si="46"/>
        <v/>
      </c>
      <c r="AA897" s="190" t="b">
        <f t="shared" si="45"/>
        <v>0</v>
      </c>
      <c r="AB897" s="90"/>
      <c r="AC897" s="156" t="s">
        <v>36</v>
      </c>
      <c r="AD897" s="147">
        <f t="shared" si="47"/>
        <v>0</v>
      </c>
      <c r="AE897" s="92" t="s">
        <v>79</v>
      </c>
    </row>
    <row r="898" spans="1:31" ht="30" customHeight="1">
      <c r="A898" s="150"/>
      <c r="B898" s="150"/>
      <c r="C898" s="150"/>
      <c r="D898" s="150"/>
      <c r="E898" s="150"/>
      <c r="F898" s="150"/>
      <c r="G898" s="150"/>
      <c r="H898" s="150"/>
      <c r="I898" s="150"/>
      <c r="J898" s="150"/>
      <c r="K898" s="150"/>
      <c r="L898" s="150"/>
      <c r="M898" s="150"/>
      <c r="N898" s="150"/>
      <c r="O898" s="152"/>
      <c r="P898" s="90"/>
      <c r="Q898" s="140"/>
      <c r="R898" s="90"/>
      <c r="S898" s="140"/>
      <c r="T898" s="90"/>
      <c r="U898" s="140"/>
      <c r="V898" s="90"/>
      <c r="W898" s="140"/>
      <c r="X898" s="90"/>
      <c r="Y898" s="140"/>
      <c r="Z898" s="177" t="str">
        <f t="shared" si="46"/>
        <v/>
      </c>
      <c r="AA898" s="190" t="b">
        <f t="shared" ref="AA898:AA936" si="48">IF(AND(Y898="C",Z898="C"),"UTILIZOU O PDA CORRETAMENTE",IF(AND(Y898="C",Z898="NC"),"UTILIZOU O PDA CORRETAMENTE. NÃO HÁ FOTOS DE TODAS AS ETAPAS",IF(AND(Y898="NC",Z898="NC"),"NÃO UTILIZOU O PDA",IF(AND(Y898="NA",Z898="NA"),"NÃO AVALIADO POR FALHA DE SINCRONISMO"))))</f>
        <v>0</v>
      </c>
      <c r="AB898" s="90"/>
      <c r="AC898" s="156" t="s">
        <v>36</v>
      </c>
      <c r="AD898" s="147">
        <f t="shared" si="47"/>
        <v>0</v>
      </c>
      <c r="AE898" s="92" t="s">
        <v>79</v>
      </c>
    </row>
    <row r="899" spans="1:31" ht="30" customHeight="1">
      <c r="A899" s="150"/>
      <c r="B899" s="150"/>
      <c r="C899" s="150"/>
      <c r="D899" s="150"/>
      <c r="E899" s="150"/>
      <c r="F899" s="150"/>
      <c r="G899" s="150"/>
      <c r="H899" s="150"/>
      <c r="I899" s="150"/>
      <c r="J899" s="150"/>
      <c r="K899" s="150"/>
      <c r="L899" s="150"/>
      <c r="M899" s="150"/>
      <c r="N899" s="150"/>
      <c r="O899" s="152"/>
      <c r="P899" s="90"/>
      <c r="Q899" s="140"/>
      <c r="R899" s="90"/>
      <c r="S899" s="140"/>
      <c r="T899" s="90"/>
      <c r="U899" s="140"/>
      <c r="V899" s="90"/>
      <c r="W899" s="140"/>
      <c r="X899" s="90"/>
      <c r="Y899" s="140"/>
      <c r="Z899" s="177" t="str">
        <f t="shared" ref="Z899:Z936" si="49">IF(AND(O899="",Q899="",S899="",U899="",W899=""),"",IF(OR(AND(O899&lt;&gt;"NA",O899&lt;&gt;"C",O899&lt;&gt;"NC",O899&lt;&gt;"SF",O899&lt;&gt;""),AND(Q899&lt;&gt;"NA",Q899&lt;&gt;"C",Q899&lt;&gt;"NC",Q899&lt;&gt;"SF",Q899&lt;&gt;""),AND(S899&lt;&gt;"NA",S899&lt;&gt;"C",S899&lt;&gt;"NC",S899&lt;&gt;"SF",S899&lt;&gt;""),AND(U899&lt;&gt;"NA",U899&lt;&gt;"C",U899&lt;&gt;"NC",U899&lt;&gt;"SF",U899&lt;&gt;""),AND(W899&lt;&gt;"NA",W899&lt;&gt;"C",W899&lt;&gt;"NC",W899&lt;&gt;"SF",W899&lt;&gt;"")),"FALSO",IF(AND(O899="NA",Q899="NA",S899="NA",U899="NA",W899="NA"),"NA",IF(OR(O899="NC",Q899="NC",S899="NC",U899="NC",W899="NC",O899="SF",Q899="SF",S899="SF",U899="SF",W899="SF"),"NC",IF(OR(O899="C",Q899="C",S899="C",U899="C",W899="C"),"C","")))))</f>
        <v/>
      </c>
      <c r="AA899" s="190" t="b">
        <f t="shared" si="48"/>
        <v>0</v>
      </c>
      <c r="AB899" s="90"/>
      <c r="AC899" s="156" t="s">
        <v>36</v>
      </c>
      <c r="AD899" s="147">
        <f t="shared" si="47"/>
        <v>0</v>
      </c>
      <c r="AE899" s="92" t="s">
        <v>79</v>
      </c>
    </row>
    <row r="900" spans="1:31" ht="30" customHeight="1">
      <c r="A900" s="150"/>
      <c r="B900" s="150"/>
      <c r="C900" s="150"/>
      <c r="D900" s="150"/>
      <c r="E900" s="150"/>
      <c r="F900" s="150"/>
      <c r="G900" s="150"/>
      <c r="H900" s="150"/>
      <c r="I900" s="150"/>
      <c r="J900" s="150"/>
      <c r="K900" s="150"/>
      <c r="L900" s="150"/>
      <c r="M900" s="150"/>
      <c r="N900" s="150"/>
      <c r="O900" s="152"/>
      <c r="P900" s="90"/>
      <c r="Q900" s="140"/>
      <c r="R900" s="90"/>
      <c r="S900" s="140"/>
      <c r="T900" s="90"/>
      <c r="U900" s="140"/>
      <c r="V900" s="90"/>
      <c r="W900" s="140"/>
      <c r="X900" s="90"/>
      <c r="Y900" s="140"/>
      <c r="Z900" s="177" t="str">
        <f t="shared" si="49"/>
        <v/>
      </c>
      <c r="AA900" s="190" t="b">
        <f t="shared" si="48"/>
        <v>0</v>
      </c>
      <c r="AB900" s="90"/>
      <c r="AC900" s="156" t="s">
        <v>36</v>
      </c>
      <c r="AD900" s="147">
        <f t="shared" si="47"/>
        <v>0</v>
      </c>
      <c r="AE900" s="92" t="s">
        <v>79</v>
      </c>
    </row>
    <row r="901" spans="1:31" ht="30" customHeight="1">
      <c r="A901" s="150"/>
      <c r="B901" s="150"/>
      <c r="C901" s="150"/>
      <c r="D901" s="150"/>
      <c r="E901" s="150"/>
      <c r="F901" s="150"/>
      <c r="G901" s="150"/>
      <c r="H901" s="150"/>
      <c r="I901" s="150"/>
      <c r="J901" s="150"/>
      <c r="K901" s="150"/>
      <c r="L901" s="150"/>
      <c r="M901" s="150"/>
      <c r="N901" s="150"/>
      <c r="O901" s="152"/>
      <c r="P901" s="90"/>
      <c r="Q901" s="140"/>
      <c r="R901" s="90"/>
      <c r="S901" s="140"/>
      <c r="T901" s="90"/>
      <c r="U901" s="140"/>
      <c r="V901" s="90"/>
      <c r="W901" s="140"/>
      <c r="X901" s="90"/>
      <c r="Y901" s="140"/>
      <c r="Z901" s="177" t="str">
        <f t="shared" si="49"/>
        <v/>
      </c>
      <c r="AA901" s="190" t="b">
        <f t="shared" si="48"/>
        <v>0</v>
      </c>
      <c r="AB901" s="90"/>
      <c r="AC901" s="156" t="s">
        <v>36</v>
      </c>
      <c r="AD901" s="147">
        <f t="shared" si="47"/>
        <v>0</v>
      </c>
      <c r="AE901" s="92" t="s">
        <v>79</v>
      </c>
    </row>
    <row r="902" spans="1:31" ht="30" customHeight="1">
      <c r="A902" s="150"/>
      <c r="B902" s="150"/>
      <c r="C902" s="150"/>
      <c r="D902" s="150"/>
      <c r="E902" s="150"/>
      <c r="F902" s="150"/>
      <c r="G902" s="150"/>
      <c r="H902" s="150"/>
      <c r="I902" s="150"/>
      <c r="J902" s="150"/>
      <c r="K902" s="150"/>
      <c r="L902" s="150"/>
      <c r="M902" s="150"/>
      <c r="N902" s="150"/>
      <c r="O902" s="152"/>
      <c r="P902" s="90"/>
      <c r="Q902" s="140"/>
      <c r="R902" s="90"/>
      <c r="S902" s="140"/>
      <c r="T902" s="90"/>
      <c r="U902" s="140"/>
      <c r="V902" s="90"/>
      <c r="W902" s="140"/>
      <c r="X902" s="90"/>
      <c r="Y902" s="140"/>
      <c r="Z902" s="177" t="str">
        <f t="shared" si="49"/>
        <v/>
      </c>
      <c r="AA902" s="190" t="b">
        <f t="shared" si="48"/>
        <v>0</v>
      </c>
      <c r="AB902" s="90"/>
      <c r="AC902" s="156" t="s">
        <v>36</v>
      </c>
      <c r="AD902" s="147">
        <f t="shared" si="47"/>
        <v>0</v>
      </c>
      <c r="AE902" s="92" t="s">
        <v>79</v>
      </c>
    </row>
    <row r="903" spans="1:31" ht="30" customHeight="1">
      <c r="A903" s="150"/>
      <c r="B903" s="150"/>
      <c r="C903" s="150"/>
      <c r="D903" s="150"/>
      <c r="E903" s="150"/>
      <c r="F903" s="150"/>
      <c r="G903" s="150"/>
      <c r="H903" s="150"/>
      <c r="I903" s="150"/>
      <c r="J903" s="150"/>
      <c r="K903" s="150"/>
      <c r="L903" s="150"/>
      <c r="M903" s="150"/>
      <c r="N903" s="150"/>
      <c r="O903" s="152"/>
      <c r="P903" s="90"/>
      <c r="Q903" s="140"/>
      <c r="R903" s="90"/>
      <c r="S903" s="140"/>
      <c r="T903" s="90"/>
      <c r="U903" s="140"/>
      <c r="V903" s="90"/>
      <c r="W903" s="140"/>
      <c r="X903" s="90"/>
      <c r="Y903" s="140"/>
      <c r="Z903" s="177" t="str">
        <f t="shared" si="49"/>
        <v/>
      </c>
      <c r="AA903" s="190" t="b">
        <f t="shared" si="48"/>
        <v>0</v>
      </c>
      <c r="AB903" s="90"/>
      <c r="AC903" s="156" t="s">
        <v>36</v>
      </c>
      <c r="AD903" s="147">
        <f t="shared" si="47"/>
        <v>0</v>
      </c>
      <c r="AE903" s="92" t="s">
        <v>79</v>
      </c>
    </row>
    <row r="904" spans="1:31" ht="30" customHeight="1">
      <c r="A904" s="150"/>
      <c r="B904" s="150"/>
      <c r="C904" s="150"/>
      <c r="D904" s="150"/>
      <c r="E904" s="150"/>
      <c r="F904" s="150"/>
      <c r="G904" s="150"/>
      <c r="H904" s="150"/>
      <c r="I904" s="150"/>
      <c r="J904" s="150"/>
      <c r="K904" s="150"/>
      <c r="L904" s="150"/>
      <c r="M904" s="150"/>
      <c r="N904" s="150"/>
      <c r="O904" s="152"/>
      <c r="P904" s="90"/>
      <c r="Q904" s="140"/>
      <c r="R904" s="90"/>
      <c r="S904" s="140"/>
      <c r="T904" s="90"/>
      <c r="U904" s="140"/>
      <c r="V904" s="90"/>
      <c r="W904" s="140"/>
      <c r="X904" s="90"/>
      <c r="Y904" s="140"/>
      <c r="Z904" s="177" t="str">
        <f t="shared" si="49"/>
        <v/>
      </c>
      <c r="AA904" s="190" t="b">
        <f t="shared" si="48"/>
        <v>0</v>
      </c>
      <c r="AB904" s="90"/>
      <c r="AC904" s="156" t="s">
        <v>36</v>
      </c>
      <c r="AD904" s="147">
        <f t="shared" ref="AD904:AD936" si="50">E904</f>
        <v>0</v>
      </c>
      <c r="AE904" s="92" t="s">
        <v>79</v>
      </c>
    </row>
    <row r="905" spans="1:31" ht="30" customHeight="1">
      <c r="A905" s="150"/>
      <c r="B905" s="150"/>
      <c r="C905" s="150"/>
      <c r="D905" s="150"/>
      <c r="E905" s="150"/>
      <c r="F905" s="150"/>
      <c r="G905" s="150"/>
      <c r="H905" s="150"/>
      <c r="I905" s="150"/>
      <c r="J905" s="150"/>
      <c r="K905" s="150"/>
      <c r="L905" s="150"/>
      <c r="M905" s="150"/>
      <c r="N905" s="150"/>
      <c r="O905" s="152"/>
      <c r="P905" s="90"/>
      <c r="Q905" s="140"/>
      <c r="R905" s="90"/>
      <c r="S905" s="140"/>
      <c r="T905" s="90"/>
      <c r="U905" s="140"/>
      <c r="V905" s="90"/>
      <c r="W905" s="140"/>
      <c r="X905" s="90"/>
      <c r="Y905" s="140"/>
      <c r="Z905" s="177" t="str">
        <f t="shared" si="49"/>
        <v/>
      </c>
      <c r="AA905" s="190" t="b">
        <f t="shared" si="48"/>
        <v>0</v>
      </c>
      <c r="AB905" s="90"/>
      <c r="AC905" s="156" t="s">
        <v>36</v>
      </c>
      <c r="AD905" s="147">
        <f t="shared" si="50"/>
        <v>0</v>
      </c>
      <c r="AE905" s="92" t="s">
        <v>79</v>
      </c>
    </row>
    <row r="906" spans="1:31" ht="30" customHeight="1">
      <c r="A906" s="150"/>
      <c r="B906" s="150"/>
      <c r="C906" s="150"/>
      <c r="D906" s="150"/>
      <c r="E906" s="150"/>
      <c r="F906" s="150"/>
      <c r="G906" s="150"/>
      <c r="H906" s="150"/>
      <c r="I906" s="150"/>
      <c r="J906" s="150"/>
      <c r="K906" s="150"/>
      <c r="L906" s="150"/>
      <c r="M906" s="150"/>
      <c r="N906" s="150"/>
      <c r="O906" s="152"/>
      <c r="P906" s="90"/>
      <c r="Q906" s="140"/>
      <c r="R906" s="90"/>
      <c r="S906" s="140"/>
      <c r="T906" s="90"/>
      <c r="U906" s="140"/>
      <c r="V906" s="90"/>
      <c r="W906" s="140"/>
      <c r="X906" s="90"/>
      <c r="Y906" s="140"/>
      <c r="Z906" s="177" t="str">
        <f t="shared" si="49"/>
        <v/>
      </c>
      <c r="AA906" s="190" t="b">
        <f t="shared" si="48"/>
        <v>0</v>
      </c>
      <c r="AB906" s="90"/>
      <c r="AC906" s="156" t="s">
        <v>36</v>
      </c>
      <c r="AD906" s="147">
        <f t="shared" si="50"/>
        <v>0</v>
      </c>
      <c r="AE906" s="92" t="s">
        <v>79</v>
      </c>
    </row>
    <row r="907" spans="1:31" ht="30" customHeight="1">
      <c r="A907" s="150"/>
      <c r="B907" s="150"/>
      <c r="C907" s="150"/>
      <c r="D907" s="150"/>
      <c r="E907" s="150"/>
      <c r="F907" s="150"/>
      <c r="G907" s="150"/>
      <c r="H907" s="150"/>
      <c r="I907" s="150"/>
      <c r="J907" s="150"/>
      <c r="K907" s="150"/>
      <c r="L907" s="150"/>
      <c r="M907" s="150"/>
      <c r="N907" s="150"/>
      <c r="O907" s="152"/>
      <c r="P907" s="90"/>
      <c r="Q907" s="140"/>
      <c r="R907" s="90"/>
      <c r="S907" s="140"/>
      <c r="T907" s="90"/>
      <c r="U907" s="140"/>
      <c r="V907" s="90"/>
      <c r="W907" s="140"/>
      <c r="X907" s="90"/>
      <c r="Y907" s="140"/>
      <c r="Z907" s="177" t="str">
        <f t="shared" si="49"/>
        <v/>
      </c>
      <c r="AA907" s="190" t="b">
        <f t="shared" si="48"/>
        <v>0</v>
      </c>
      <c r="AB907" s="90"/>
      <c r="AC907" s="156" t="s">
        <v>36</v>
      </c>
      <c r="AD907" s="147">
        <f t="shared" si="50"/>
        <v>0</v>
      </c>
      <c r="AE907" s="92" t="s">
        <v>79</v>
      </c>
    </row>
    <row r="908" spans="1:31" ht="30" customHeight="1">
      <c r="A908" s="150"/>
      <c r="B908" s="150"/>
      <c r="C908" s="150"/>
      <c r="D908" s="150"/>
      <c r="E908" s="150"/>
      <c r="F908" s="150"/>
      <c r="G908" s="150"/>
      <c r="H908" s="150"/>
      <c r="I908" s="150"/>
      <c r="J908" s="150"/>
      <c r="K908" s="150"/>
      <c r="L908" s="150"/>
      <c r="M908" s="150"/>
      <c r="N908" s="150"/>
      <c r="O908" s="152"/>
      <c r="P908" s="90"/>
      <c r="Q908" s="140"/>
      <c r="R908" s="90"/>
      <c r="S908" s="140"/>
      <c r="T908" s="90"/>
      <c r="U908" s="140"/>
      <c r="V908" s="90"/>
      <c r="W908" s="140"/>
      <c r="X908" s="90"/>
      <c r="Y908" s="140"/>
      <c r="Z908" s="177" t="str">
        <f t="shared" si="49"/>
        <v/>
      </c>
      <c r="AA908" s="190" t="b">
        <f t="shared" si="48"/>
        <v>0</v>
      </c>
      <c r="AB908" s="90"/>
      <c r="AC908" s="156" t="s">
        <v>36</v>
      </c>
      <c r="AD908" s="147">
        <f t="shared" si="50"/>
        <v>0</v>
      </c>
      <c r="AE908" s="92" t="s">
        <v>79</v>
      </c>
    </row>
    <row r="909" spans="1:31" ht="30" customHeight="1">
      <c r="A909" s="150"/>
      <c r="B909" s="150"/>
      <c r="C909" s="150"/>
      <c r="D909" s="150"/>
      <c r="E909" s="150"/>
      <c r="F909" s="150"/>
      <c r="G909" s="150"/>
      <c r="H909" s="150"/>
      <c r="I909" s="150"/>
      <c r="J909" s="150"/>
      <c r="K909" s="150"/>
      <c r="L909" s="150"/>
      <c r="M909" s="150"/>
      <c r="N909" s="150"/>
      <c r="O909" s="152"/>
      <c r="P909" s="90"/>
      <c r="Q909" s="140"/>
      <c r="R909" s="90"/>
      <c r="S909" s="140"/>
      <c r="T909" s="90"/>
      <c r="U909" s="140"/>
      <c r="V909" s="90"/>
      <c r="W909" s="140"/>
      <c r="X909" s="90"/>
      <c r="Y909" s="140"/>
      <c r="Z909" s="177" t="str">
        <f t="shared" si="49"/>
        <v/>
      </c>
      <c r="AA909" s="190" t="b">
        <f t="shared" si="48"/>
        <v>0</v>
      </c>
      <c r="AB909" s="90"/>
      <c r="AC909" s="156" t="s">
        <v>36</v>
      </c>
      <c r="AD909" s="147">
        <f t="shared" si="50"/>
        <v>0</v>
      </c>
      <c r="AE909" s="92" t="s">
        <v>79</v>
      </c>
    </row>
    <row r="910" spans="1:31" ht="30" customHeight="1">
      <c r="A910" s="150"/>
      <c r="B910" s="150"/>
      <c r="C910" s="150"/>
      <c r="D910" s="150"/>
      <c r="E910" s="150"/>
      <c r="F910" s="150"/>
      <c r="G910" s="150"/>
      <c r="H910" s="150"/>
      <c r="I910" s="150"/>
      <c r="J910" s="150"/>
      <c r="K910" s="150"/>
      <c r="L910" s="150"/>
      <c r="M910" s="150"/>
      <c r="N910" s="150"/>
      <c r="O910" s="152"/>
      <c r="P910" s="90"/>
      <c r="Q910" s="140"/>
      <c r="R910" s="90"/>
      <c r="S910" s="140"/>
      <c r="T910" s="90"/>
      <c r="U910" s="140"/>
      <c r="V910" s="90"/>
      <c r="W910" s="140"/>
      <c r="X910" s="90"/>
      <c r="Y910" s="140"/>
      <c r="Z910" s="177" t="str">
        <f t="shared" si="49"/>
        <v/>
      </c>
      <c r="AA910" s="190" t="b">
        <f t="shared" si="48"/>
        <v>0</v>
      </c>
      <c r="AB910" s="90"/>
      <c r="AC910" s="156" t="s">
        <v>36</v>
      </c>
      <c r="AD910" s="147">
        <f t="shared" si="50"/>
        <v>0</v>
      </c>
      <c r="AE910" s="92" t="s">
        <v>79</v>
      </c>
    </row>
    <row r="911" spans="1:31" ht="30" customHeight="1">
      <c r="A911" s="150"/>
      <c r="B911" s="150"/>
      <c r="C911" s="150"/>
      <c r="D911" s="150"/>
      <c r="E911" s="150"/>
      <c r="F911" s="150"/>
      <c r="G911" s="150"/>
      <c r="H911" s="150"/>
      <c r="I911" s="150"/>
      <c r="J911" s="150"/>
      <c r="K911" s="150"/>
      <c r="L911" s="150"/>
      <c r="M911" s="150"/>
      <c r="N911" s="150"/>
      <c r="O911" s="152"/>
      <c r="P911" s="90"/>
      <c r="Q911" s="140"/>
      <c r="R911" s="90"/>
      <c r="S911" s="140"/>
      <c r="T911" s="90"/>
      <c r="U911" s="140"/>
      <c r="V911" s="90"/>
      <c r="W911" s="140"/>
      <c r="X911" s="90"/>
      <c r="Y911" s="140"/>
      <c r="Z911" s="177" t="str">
        <f t="shared" si="49"/>
        <v/>
      </c>
      <c r="AA911" s="190" t="b">
        <f t="shared" si="48"/>
        <v>0</v>
      </c>
      <c r="AB911" s="90"/>
      <c r="AC911" s="156" t="s">
        <v>36</v>
      </c>
      <c r="AD911" s="147">
        <f t="shared" si="50"/>
        <v>0</v>
      </c>
      <c r="AE911" s="92" t="s">
        <v>79</v>
      </c>
    </row>
    <row r="912" spans="1:31" ht="30" customHeight="1">
      <c r="A912" s="150"/>
      <c r="B912" s="150"/>
      <c r="C912" s="150"/>
      <c r="D912" s="150"/>
      <c r="E912" s="150"/>
      <c r="F912" s="150"/>
      <c r="G912" s="150"/>
      <c r="H912" s="150"/>
      <c r="I912" s="150"/>
      <c r="J912" s="150"/>
      <c r="K912" s="150"/>
      <c r="L912" s="150"/>
      <c r="M912" s="150"/>
      <c r="N912" s="150"/>
      <c r="O912" s="152"/>
      <c r="P912" s="90"/>
      <c r="Q912" s="140"/>
      <c r="R912" s="90"/>
      <c r="S912" s="140"/>
      <c r="T912" s="90"/>
      <c r="U912" s="140"/>
      <c r="V912" s="90"/>
      <c r="W912" s="140"/>
      <c r="X912" s="90"/>
      <c r="Y912" s="140"/>
      <c r="Z912" s="177" t="str">
        <f t="shared" si="49"/>
        <v/>
      </c>
      <c r="AA912" s="190" t="b">
        <f t="shared" si="48"/>
        <v>0</v>
      </c>
      <c r="AB912" s="90"/>
      <c r="AC912" s="156" t="s">
        <v>36</v>
      </c>
      <c r="AD912" s="147">
        <f t="shared" si="50"/>
        <v>0</v>
      </c>
      <c r="AE912" s="92" t="s">
        <v>79</v>
      </c>
    </row>
    <row r="913" spans="1:31" ht="30" customHeight="1">
      <c r="A913" s="150"/>
      <c r="B913" s="150"/>
      <c r="C913" s="150"/>
      <c r="D913" s="150"/>
      <c r="E913" s="150"/>
      <c r="F913" s="150"/>
      <c r="G913" s="150"/>
      <c r="H913" s="150"/>
      <c r="I913" s="150"/>
      <c r="J913" s="150"/>
      <c r="K913" s="150"/>
      <c r="L913" s="150"/>
      <c r="M913" s="150"/>
      <c r="N913" s="150"/>
      <c r="O913" s="152"/>
      <c r="P913" s="90"/>
      <c r="Q913" s="140"/>
      <c r="R913" s="90"/>
      <c r="S913" s="140"/>
      <c r="T913" s="90"/>
      <c r="U913" s="140"/>
      <c r="V913" s="90"/>
      <c r="W913" s="140"/>
      <c r="X913" s="90"/>
      <c r="Y913" s="140"/>
      <c r="Z913" s="177" t="str">
        <f t="shared" si="49"/>
        <v/>
      </c>
      <c r="AA913" s="190" t="b">
        <f t="shared" si="48"/>
        <v>0</v>
      </c>
      <c r="AB913" s="90"/>
      <c r="AC913" s="156" t="s">
        <v>36</v>
      </c>
      <c r="AD913" s="147">
        <f t="shared" si="50"/>
        <v>0</v>
      </c>
      <c r="AE913" s="92" t="s">
        <v>79</v>
      </c>
    </row>
    <row r="914" spans="1:31" ht="30" customHeight="1">
      <c r="A914" s="150"/>
      <c r="B914" s="150"/>
      <c r="C914" s="150"/>
      <c r="D914" s="150"/>
      <c r="E914" s="150"/>
      <c r="F914" s="150"/>
      <c r="G914" s="150"/>
      <c r="H914" s="150"/>
      <c r="I914" s="150"/>
      <c r="J914" s="150"/>
      <c r="K914" s="150"/>
      <c r="L914" s="150"/>
      <c r="M914" s="150"/>
      <c r="N914" s="150"/>
      <c r="O914" s="152"/>
      <c r="P914" s="90"/>
      <c r="Q914" s="140"/>
      <c r="R914" s="90"/>
      <c r="S914" s="140"/>
      <c r="T914" s="90"/>
      <c r="U914" s="140"/>
      <c r="V914" s="90"/>
      <c r="W914" s="140"/>
      <c r="X914" s="90"/>
      <c r="Y914" s="140"/>
      <c r="Z914" s="177" t="str">
        <f t="shared" si="49"/>
        <v/>
      </c>
      <c r="AA914" s="190" t="b">
        <f t="shared" si="48"/>
        <v>0</v>
      </c>
      <c r="AB914" s="90"/>
      <c r="AC914" s="156" t="s">
        <v>36</v>
      </c>
      <c r="AD914" s="147">
        <f t="shared" si="50"/>
        <v>0</v>
      </c>
      <c r="AE914" s="92" t="s">
        <v>79</v>
      </c>
    </row>
    <row r="915" spans="1:31" ht="30" customHeight="1">
      <c r="A915" s="150"/>
      <c r="B915" s="150"/>
      <c r="C915" s="150"/>
      <c r="D915" s="150"/>
      <c r="E915" s="150"/>
      <c r="F915" s="150"/>
      <c r="G915" s="150"/>
      <c r="H915" s="150"/>
      <c r="I915" s="150"/>
      <c r="J915" s="150"/>
      <c r="K915" s="150"/>
      <c r="L915" s="150"/>
      <c r="M915" s="150"/>
      <c r="N915" s="150"/>
      <c r="O915" s="152"/>
      <c r="P915" s="90"/>
      <c r="Q915" s="140"/>
      <c r="R915" s="90"/>
      <c r="S915" s="140"/>
      <c r="T915" s="90"/>
      <c r="U915" s="140"/>
      <c r="V915" s="90"/>
      <c r="W915" s="140"/>
      <c r="X915" s="90"/>
      <c r="Y915" s="140"/>
      <c r="Z915" s="177" t="str">
        <f t="shared" si="49"/>
        <v/>
      </c>
      <c r="AA915" s="190" t="b">
        <f t="shared" si="48"/>
        <v>0</v>
      </c>
      <c r="AB915" s="90"/>
      <c r="AC915" s="156" t="s">
        <v>36</v>
      </c>
      <c r="AD915" s="147">
        <f t="shared" si="50"/>
        <v>0</v>
      </c>
      <c r="AE915" s="92" t="s">
        <v>79</v>
      </c>
    </row>
    <row r="916" spans="1:31" ht="30" customHeight="1">
      <c r="A916" s="150"/>
      <c r="B916" s="150"/>
      <c r="C916" s="150"/>
      <c r="D916" s="150"/>
      <c r="E916" s="150"/>
      <c r="F916" s="150"/>
      <c r="G916" s="150"/>
      <c r="H916" s="150"/>
      <c r="I916" s="150"/>
      <c r="J916" s="150"/>
      <c r="K916" s="150"/>
      <c r="L916" s="150"/>
      <c r="M916" s="150"/>
      <c r="N916" s="150"/>
      <c r="O916" s="152"/>
      <c r="P916" s="90"/>
      <c r="Q916" s="140"/>
      <c r="R916" s="90"/>
      <c r="S916" s="140"/>
      <c r="T916" s="90"/>
      <c r="U916" s="140"/>
      <c r="V916" s="90"/>
      <c r="W916" s="140"/>
      <c r="X916" s="90"/>
      <c r="Y916" s="140"/>
      <c r="Z916" s="177" t="str">
        <f t="shared" si="49"/>
        <v/>
      </c>
      <c r="AA916" s="190" t="b">
        <f t="shared" si="48"/>
        <v>0</v>
      </c>
      <c r="AB916" s="90"/>
      <c r="AC916" s="156" t="s">
        <v>36</v>
      </c>
      <c r="AD916" s="147">
        <f t="shared" si="50"/>
        <v>0</v>
      </c>
      <c r="AE916" s="92" t="s">
        <v>79</v>
      </c>
    </row>
    <row r="917" spans="1:31" ht="30" customHeight="1">
      <c r="A917" s="150"/>
      <c r="B917" s="150"/>
      <c r="C917" s="150"/>
      <c r="D917" s="150"/>
      <c r="E917" s="150"/>
      <c r="F917" s="150"/>
      <c r="G917" s="150"/>
      <c r="H917" s="150"/>
      <c r="I917" s="150"/>
      <c r="J917" s="150"/>
      <c r="K917" s="150"/>
      <c r="L917" s="150"/>
      <c r="M917" s="150"/>
      <c r="N917" s="150"/>
      <c r="O917" s="152"/>
      <c r="P917" s="90"/>
      <c r="Q917" s="140"/>
      <c r="R917" s="90"/>
      <c r="S917" s="140"/>
      <c r="T917" s="90"/>
      <c r="U917" s="140"/>
      <c r="V917" s="90"/>
      <c r="W917" s="140"/>
      <c r="X917" s="90"/>
      <c r="Y917" s="140"/>
      <c r="Z917" s="177" t="str">
        <f t="shared" si="49"/>
        <v/>
      </c>
      <c r="AA917" s="190" t="b">
        <f t="shared" si="48"/>
        <v>0</v>
      </c>
      <c r="AB917" s="90"/>
      <c r="AC917" s="156" t="s">
        <v>36</v>
      </c>
      <c r="AD917" s="147">
        <f t="shared" si="50"/>
        <v>0</v>
      </c>
      <c r="AE917" s="92" t="s">
        <v>79</v>
      </c>
    </row>
    <row r="918" spans="1:31" ht="30" customHeight="1">
      <c r="A918" s="150"/>
      <c r="B918" s="150"/>
      <c r="C918" s="150"/>
      <c r="D918" s="150"/>
      <c r="E918" s="150"/>
      <c r="F918" s="150"/>
      <c r="G918" s="150"/>
      <c r="H918" s="150"/>
      <c r="I918" s="150"/>
      <c r="J918" s="150"/>
      <c r="K918" s="150"/>
      <c r="L918" s="150"/>
      <c r="M918" s="150"/>
      <c r="N918" s="150"/>
      <c r="O918" s="152"/>
      <c r="P918" s="90"/>
      <c r="Q918" s="140"/>
      <c r="R918" s="90"/>
      <c r="S918" s="140"/>
      <c r="T918" s="90"/>
      <c r="U918" s="140"/>
      <c r="V918" s="90"/>
      <c r="W918" s="140"/>
      <c r="X918" s="90"/>
      <c r="Y918" s="140"/>
      <c r="Z918" s="177" t="str">
        <f t="shared" si="49"/>
        <v/>
      </c>
      <c r="AA918" s="190" t="b">
        <f t="shared" si="48"/>
        <v>0</v>
      </c>
      <c r="AB918" s="90"/>
      <c r="AC918" s="156" t="s">
        <v>36</v>
      </c>
      <c r="AD918" s="147">
        <f t="shared" si="50"/>
        <v>0</v>
      </c>
      <c r="AE918" s="92" t="s">
        <v>79</v>
      </c>
    </row>
    <row r="919" spans="1:31" ht="30" customHeight="1">
      <c r="A919" s="150"/>
      <c r="B919" s="150"/>
      <c r="C919" s="150"/>
      <c r="D919" s="150"/>
      <c r="E919" s="150"/>
      <c r="F919" s="150"/>
      <c r="G919" s="150"/>
      <c r="H919" s="150"/>
      <c r="I919" s="150"/>
      <c r="J919" s="150"/>
      <c r="K919" s="150"/>
      <c r="L919" s="150"/>
      <c r="M919" s="150"/>
      <c r="N919" s="150"/>
      <c r="O919" s="152"/>
      <c r="P919" s="90"/>
      <c r="Q919" s="140"/>
      <c r="R919" s="90"/>
      <c r="S919" s="140"/>
      <c r="T919" s="90"/>
      <c r="U919" s="140"/>
      <c r="V919" s="90"/>
      <c r="W919" s="140"/>
      <c r="X919" s="90"/>
      <c r="Y919" s="140"/>
      <c r="Z919" s="177" t="str">
        <f t="shared" si="49"/>
        <v/>
      </c>
      <c r="AA919" s="190" t="b">
        <f t="shared" si="48"/>
        <v>0</v>
      </c>
      <c r="AB919" s="90"/>
      <c r="AC919" s="156" t="s">
        <v>36</v>
      </c>
      <c r="AD919" s="147">
        <f t="shared" si="50"/>
        <v>0</v>
      </c>
      <c r="AE919" s="92" t="s">
        <v>79</v>
      </c>
    </row>
    <row r="920" spans="1:31" ht="30" customHeight="1">
      <c r="A920" s="150"/>
      <c r="B920" s="150"/>
      <c r="C920" s="150"/>
      <c r="D920" s="150"/>
      <c r="E920" s="150"/>
      <c r="F920" s="150"/>
      <c r="G920" s="150"/>
      <c r="H920" s="150"/>
      <c r="I920" s="150"/>
      <c r="J920" s="150"/>
      <c r="K920" s="150"/>
      <c r="L920" s="150"/>
      <c r="M920" s="150"/>
      <c r="N920" s="150"/>
      <c r="O920" s="152"/>
      <c r="P920" s="90"/>
      <c r="Q920" s="140"/>
      <c r="R920" s="90"/>
      <c r="S920" s="140"/>
      <c r="T920" s="90"/>
      <c r="U920" s="140"/>
      <c r="V920" s="90"/>
      <c r="W920" s="140"/>
      <c r="X920" s="90"/>
      <c r="Y920" s="140"/>
      <c r="Z920" s="177" t="str">
        <f t="shared" si="49"/>
        <v/>
      </c>
      <c r="AA920" s="190" t="b">
        <f t="shared" si="48"/>
        <v>0</v>
      </c>
      <c r="AB920" s="90"/>
      <c r="AC920" s="156" t="s">
        <v>36</v>
      </c>
      <c r="AD920" s="147">
        <f t="shared" si="50"/>
        <v>0</v>
      </c>
      <c r="AE920" s="92" t="s">
        <v>79</v>
      </c>
    </row>
    <row r="921" spans="1:31" ht="30" customHeight="1">
      <c r="A921" s="150"/>
      <c r="B921" s="150"/>
      <c r="C921" s="150"/>
      <c r="D921" s="150"/>
      <c r="E921" s="150"/>
      <c r="F921" s="150"/>
      <c r="G921" s="150"/>
      <c r="H921" s="150"/>
      <c r="I921" s="150"/>
      <c r="J921" s="150"/>
      <c r="K921" s="150"/>
      <c r="L921" s="150"/>
      <c r="M921" s="150"/>
      <c r="N921" s="150"/>
      <c r="O921" s="152"/>
      <c r="P921" s="90"/>
      <c r="Q921" s="140"/>
      <c r="R921" s="90"/>
      <c r="S921" s="140"/>
      <c r="T921" s="90"/>
      <c r="U921" s="140"/>
      <c r="V921" s="90"/>
      <c r="W921" s="140"/>
      <c r="X921" s="90"/>
      <c r="Y921" s="140"/>
      <c r="Z921" s="177" t="str">
        <f t="shared" si="49"/>
        <v/>
      </c>
      <c r="AA921" s="190" t="b">
        <f t="shared" si="48"/>
        <v>0</v>
      </c>
      <c r="AB921" s="90"/>
      <c r="AC921" s="156" t="s">
        <v>36</v>
      </c>
      <c r="AD921" s="147">
        <f t="shared" si="50"/>
        <v>0</v>
      </c>
      <c r="AE921" s="92" t="s">
        <v>79</v>
      </c>
    </row>
    <row r="922" spans="1:31" ht="30" customHeight="1">
      <c r="A922" s="150"/>
      <c r="B922" s="150"/>
      <c r="C922" s="150"/>
      <c r="D922" s="150"/>
      <c r="E922" s="150"/>
      <c r="F922" s="150"/>
      <c r="G922" s="150"/>
      <c r="H922" s="150"/>
      <c r="I922" s="150"/>
      <c r="J922" s="150"/>
      <c r="K922" s="150"/>
      <c r="L922" s="150"/>
      <c r="M922" s="150"/>
      <c r="N922" s="150"/>
      <c r="O922" s="152"/>
      <c r="P922" s="90"/>
      <c r="Q922" s="140"/>
      <c r="R922" s="90"/>
      <c r="S922" s="140"/>
      <c r="T922" s="90"/>
      <c r="U922" s="140"/>
      <c r="V922" s="90"/>
      <c r="W922" s="140"/>
      <c r="X922" s="90"/>
      <c r="Y922" s="140"/>
      <c r="Z922" s="177" t="str">
        <f t="shared" si="49"/>
        <v/>
      </c>
      <c r="AA922" s="190" t="b">
        <f t="shared" si="48"/>
        <v>0</v>
      </c>
      <c r="AB922" s="90"/>
      <c r="AC922" s="156" t="s">
        <v>36</v>
      </c>
      <c r="AD922" s="147">
        <f t="shared" si="50"/>
        <v>0</v>
      </c>
      <c r="AE922" s="92" t="s">
        <v>79</v>
      </c>
    </row>
    <row r="923" spans="1:31" ht="30" customHeight="1">
      <c r="A923" s="150"/>
      <c r="B923" s="150"/>
      <c r="C923" s="150"/>
      <c r="D923" s="150"/>
      <c r="E923" s="150"/>
      <c r="F923" s="150"/>
      <c r="G923" s="150"/>
      <c r="H923" s="150"/>
      <c r="I923" s="150"/>
      <c r="J923" s="150"/>
      <c r="K923" s="150"/>
      <c r="L923" s="150"/>
      <c r="M923" s="150"/>
      <c r="N923" s="150"/>
      <c r="O923" s="152"/>
      <c r="P923" s="90"/>
      <c r="Q923" s="140"/>
      <c r="R923" s="90"/>
      <c r="S923" s="140"/>
      <c r="T923" s="90"/>
      <c r="U923" s="140"/>
      <c r="V923" s="90"/>
      <c r="W923" s="140"/>
      <c r="X923" s="90"/>
      <c r="Y923" s="140"/>
      <c r="Z923" s="177" t="str">
        <f t="shared" si="49"/>
        <v/>
      </c>
      <c r="AA923" s="190" t="b">
        <f t="shared" si="48"/>
        <v>0</v>
      </c>
      <c r="AB923" s="90"/>
      <c r="AC923" s="156" t="s">
        <v>36</v>
      </c>
      <c r="AD923" s="147">
        <f t="shared" si="50"/>
        <v>0</v>
      </c>
      <c r="AE923" s="92" t="s">
        <v>79</v>
      </c>
    </row>
    <row r="924" spans="1:31" ht="30" customHeight="1">
      <c r="A924" s="150"/>
      <c r="B924" s="150"/>
      <c r="C924" s="150"/>
      <c r="D924" s="150"/>
      <c r="E924" s="150"/>
      <c r="F924" s="150"/>
      <c r="G924" s="150"/>
      <c r="H924" s="150"/>
      <c r="I924" s="150"/>
      <c r="J924" s="150"/>
      <c r="K924" s="150"/>
      <c r="L924" s="150"/>
      <c r="M924" s="150"/>
      <c r="N924" s="150"/>
      <c r="O924" s="152"/>
      <c r="P924" s="90"/>
      <c r="Q924" s="140"/>
      <c r="R924" s="90"/>
      <c r="S924" s="140"/>
      <c r="T924" s="90"/>
      <c r="U924" s="140"/>
      <c r="V924" s="90"/>
      <c r="W924" s="140"/>
      <c r="X924" s="90"/>
      <c r="Y924" s="140"/>
      <c r="Z924" s="177" t="str">
        <f t="shared" si="49"/>
        <v/>
      </c>
      <c r="AA924" s="190" t="b">
        <f t="shared" si="48"/>
        <v>0</v>
      </c>
      <c r="AB924" s="90"/>
      <c r="AC924" s="156" t="s">
        <v>36</v>
      </c>
      <c r="AD924" s="147">
        <f t="shared" si="50"/>
        <v>0</v>
      </c>
      <c r="AE924" s="92" t="s">
        <v>79</v>
      </c>
    </row>
    <row r="925" spans="1:31" ht="30" customHeight="1">
      <c r="A925" s="150"/>
      <c r="B925" s="150"/>
      <c r="C925" s="150"/>
      <c r="D925" s="150"/>
      <c r="E925" s="150"/>
      <c r="F925" s="150"/>
      <c r="G925" s="150"/>
      <c r="H925" s="150"/>
      <c r="I925" s="150"/>
      <c r="J925" s="150"/>
      <c r="K925" s="150"/>
      <c r="L925" s="150"/>
      <c r="M925" s="150"/>
      <c r="N925" s="150"/>
      <c r="O925" s="152"/>
      <c r="P925" s="90"/>
      <c r="Q925" s="140"/>
      <c r="R925" s="90"/>
      <c r="S925" s="140"/>
      <c r="T925" s="90"/>
      <c r="U925" s="140"/>
      <c r="V925" s="90"/>
      <c r="W925" s="140"/>
      <c r="X925" s="90"/>
      <c r="Y925" s="140"/>
      <c r="Z925" s="177" t="str">
        <f t="shared" si="49"/>
        <v/>
      </c>
      <c r="AA925" s="190" t="b">
        <f t="shared" si="48"/>
        <v>0</v>
      </c>
      <c r="AB925" s="90"/>
      <c r="AC925" s="156" t="s">
        <v>36</v>
      </c>
      <c r="AD925" s="147">
        <f t="shared" si="50"/>
        <v>0</v>
      </c>
      <c r="AE925" s="92" t="s">
        <v>79</v>
      </c>
    </row>
    <row r="926" spans="1:31" ht="30" customHeight="1">
      <c r="A926" s="150"/>
      <c r="B926" s="150"/>
      <c r="C926" s="150"/>
      <c r="D926" s="150"/>
      <c r="E926" s="150"/>
      <c r="F926" s="150"/>
      <c r="G926" s="150"/>
      <c r="H926" s="150"/>
      <c r="I926" s="150"/>
      <c r="J926" s="150"/>
      <c r="K926" s="150"/>
      <c r="L926" s="150"/>
      <c r="M926" s="150"/>
      <c r="N926" s="150"/>
      <c r="O926" s="152"/>
      <c r="P926" s="90"/>
      <c r="Q926" s="140"/>
      <c r="R926" s="90"/>
      <c r="S926" s="140"/>
      <c r="T926" s="90"/>
      <c r="U926" s="140"/>
      <c r="V926" s="90"/>
      <c r="W926" s="140"/>
      <c r="X926" s="90"/>
      <c r="Y926" s="140"/>
      <c r="Z926" s="177" t="str">
        <f t="shared" si="49"/>
        <v/>
      </c>
      <c r="AA926" s="190" t="b">
        <f t="shared" si="48"/>
        <v>0</v>
      </c>
      <c r="AB926" s="90"/>
      <c r="AC926" s="156" t="s">
        <v>36</v>
      </c>
      <c r="AD926" s="147">
        <f t="shared" si="50"/>
        <v>0</v>
      </c>
      <c r="AE926" s="92" t="s">
        <v>79</v>
      </c>
    </row>
    <row r="927" spans="1:31" ht="30" customHeight="1">
      <c r="A927" s="150"/>
      <c r="B927" s="150"/>
      <c r="C927" s="150"/>
      <c r="D927" s="150"/>
      <c r="E927" s="150"/>
      <c r="F927" s="150"/>
      <c r="G927" s="150"/>
      <c r="H927" s="150"/>
      <c r="I927" s="150"/>
      <c r="J927" s="150"/>
      <c r="K927" s="150"/>
      <c r="L927" s="150"/>
      <c r="M927" s="150"/>
      <c r="N927" s="150"/>
      <c r="O927" s="152"/>
      <c r="P927" s="90"/>
      <c r="Q927" s="140"/>
      <c r="R927" s="90"/>
      <c r="S927" s="140"/>
      <c r="T927" s="90"/>
      <c r="U927" s="140"/>
      <c r="V927" s="90"/>
      <c r="W927" s="140"/>
      <c r="X927" s="90"/>
      <c r="Y927" s="140"/>
      <c r="Z927" s="177" t="str">
        <f t="shared" si="49"/>
        <v/>
      </c>
      <c r="AA927" s="190" t="b">
        <f t="shared" si="48"/>
        <v>0</v>
      </c>
      <c r="AB927" s="90"/>
      <c r="AC927" s="156" t="s">
        <v>36</v>
      </c>
      <c r="AD927" s="147">
        <f t="shared" si="50"/>
        <v>0</v>
      </c>
      <c r="AE927" s="92" t="s">
        <v>79</v>
      </c>
    </row>
    <row r="928" spans="1:31" ht="30" customHeight="1">
      <c r="A928" s="150"/>
      <c r="B928" s="150"/>
      <c r="C928" s="150"/>
      <c r="D928" s="150"/>
      <c r="E928" s="150"/>
      <c r="F928" s="150"/>
      <c r="G928" s="150"/>
      <c r="H928" s="150"/>
      <c r="I928" s="150"/>
      <c r="J928" s="150"/>
      <c r="K928" s="150"/>
      <c r="L928" s="150"/>
      <c r="M928" s="150"/>
      <c r="N928" s="150"/>
      <c r="O928" s="152"/>
      <c r="P928" s="90"/>
      <c r="Q928" s="140"/>
      <c r="R928" s="90"/>
      <c r="S928" s="140"/>
      <c r="T928" s="90"/>
      <c r="U928" s="140"/>
      <c r="V928" s="90"/>
      <c r="W928" s="140"/>
      <c r="X928" s="90"/>
      <c r="Y928" s="140"/>
      <c r="Z928" s="177" t="str">
        <f t="shared" si="49"/>
        <v/>
      </c>
      <c r="AA928" s="190" t="b">
        <f t="shared" si="48"/>
        <v>0</v>
      </c>
      <c r="AB928" s="90"/>
      <c r="AC928" s="156" t="s">
        <v>36</v>
      </c>
      <c r="AD928" s="147">
        <f t="shared" si="50"/>
        <v>0</v>
      </c>
      <c r="AE928" s="92" t="s">
        <v>79</v>
      </c>
    </row>
    <row r="929" spans="1:31" ht="30" customHeight="1">
      <c r="A929" s="150"/>
      <c r="B929" s="150"/>
      <c r="C929" s="150"/>
      <c r="D929" s="150"/>
      <c r="E929" s="150"/>
      <c r="F929" s="150"/>
      <c r="G929" s="150"/>
      <c r="H929" s="150"/>
      <c r="I929" s="150"/>
      <c r="J929" s="150"/>
      <c r="K929" s="150"/>
      <c r="L929" s="150"/>
      <c r="M929" s="150"/>
      <c r="N929" s="150"/>
      <c r="O929" s="152"/>
      <c r="P929" s="90"/>
      <c r="Q929" s="140"/>
      <c r="R929" s="90"/>
      <c r="S929" s="140"/>
      <c r="T929" s="90"/>
      <c r="U929" s="140"/>
      <c r="V929" s="90"/>
      <c r="W929" s="140"/>
      <c r="X929" s="90"/>
      <c r="Y929" s="140"/>
      <c r="Z929" s="177" t="str">
        <f t="shared" si="49"/>
        <v/>
      </c>
      <c r="AA929" s="190" t="b">
        <f t="shared" si="48"/>
        <v>0</v>
      </c>
      <c r="AB929" s="90"/>
      <c r="AC929" s="156" t="s">
        <v>36</v>
      </c>
      <c r="AD929" s="147">
        <f t="shared" si="50"/>
        <v>0</v>
      </c>
      <c r="AE929" s="92" t="s">
        <v>79</v>
      </c>
    </row>
    <row r="930" spans="1:31" ht="30" customHeight="1">
      <c r="A930" s="150"/>
      <c r="B930" s="150"/>
      <c r="C930" s="150"/>
      <c r="D930" s="150"/>
      <c r="E930" s="150"/>
      <c r="F930" s="150"/>
      <c r="G930" s="150"/>
      <c r="H930" s="150"/>
      <c r="I930" s="150"/>
      <c r="J930" s="150"/>
      <c r="K930" s="150"/>
      <c r="L930" s="150"/>
      <c r="M930" s="150"/>
      <c r="N930" s="150"/>
      <c r="O930" s="152"/>
      <c r="P930" s="90"/>
      <c r="Q930" s="140"/>
      <c r="R930" s="90"/>
      <c r="S930" s="140"/>
      <c r="T930" s="90"/>
      <c r="U930" s="140"/>
      <c r="V930" s="90"/>
      <c r="W930" s="140"/>
      <c r="X930" s="90"/>
      <c r="Y930" s="140"/>
      <c r="Z930" s="177" t="str">
        <f t="shared" si="49"/>
        <v/>
      </c>
      <c r="AA930" s="190" t="b">
        <f t="shared" si="48"/>
        <v>0</v>
      </c>
      <c r="AB930" s="90"/>
      <c r="AC930" s="156" t="s">
        <v>36</v>
      </c>
      <c r="AD930" s="147">
        <f t="shared" si="50"/>
        <v>0</v>
      </c>
      <c r="AE930" s="92" t="s">
        <v>79</v>
      </c>
    </row>
    <row r="931" spans="1:31" ht="30" customHeight="1">
      <c r="A931" s="150"/>
      <c r="B931" s="150"/>
      <c r="C931" s="150"/>
      <c r="D931" s="150"/>
      <c r="E931" s="150"/>
      <c r="F931" s="150"/>
      <c r="G931" s="150"/>
      <c r="H931" s="150"/>
      <c r="I931" s="150"/>
      <c r="J931" s="150"/>
      <c r="K931" s="150"/>
      <c r="L931" s="150"/>
      <c r="M931" s="150"/>
      <c r="N931" s="150"/>
      <c r="O931" s="152"/>
      <c r="P931" s="90"/>
      <c r="Q931" s="140"/>
      <c r="R931" s="90"/>
      <c r="S931" s="140"/>
      <c r="T931" s="90"/>
      <c r="U931" s="140"/>
      <c r="V931" s="90"/>
      <c r="W931" s="140"/>
      <c r="X931" s="90"/>
      <c r="Y931" s="140"/>
      <c r="Z931" s="177" t="str">
        <f t="shared" si="49"/>
        <v/>
      </c>
      <c r="AA931" s="190" t="b">
        <f t="shared" si="48"/>
        <v>0</v>
      </c>
      <c r="AB931" s="90"/>
      <c r="AC931" s="156" t="s">
        <v>36</v>
      </c>
      <c r="AD931" s="147">
        <f t="shared" si="50"/>
        <v>0</v>
      </c>
      <c r="AE931" s="92" t="s">
        <v>79</v>
      </c>
    </row>
    <row r="932" spans="1:31" ht="30" customHeight="1">
      <c r="A932" s="150"/>
      <c r="B932" s="150"/>
      <c r="C932" s="150"/>
      <c r="D932" s="150"/>
      <c r="E932" s="150"/>
      <c r="F932" s="150"/>
      <c r="G932" s="150"/>
      <c r="H932" s="150"/>
      <c r="I932" s="150"/>
      <c r="J932" s="150"/>
      <c r="K932" s="150"/>
      <c r="L932" s="150"/>
      <c r="M932" s="150"/>
      <c r="N932" s="150"/>
      <c r="O932" s="152"/>
      <c r="P932" s="90"/>
      <c r="Q932" s="140"/>
      <c r="R932" s="90"/>
      <c r="S932" s="140"/>
      <c r="T932" s="90"/>
      <c r="U932" s="140"/>
      <c r="V932" s="90"/>
      <c r="W932" s="140"/>
      <c r="X932" s="90"/>
      <c r="Y932" s="140"/>
      <c r="Z932" s="177" t="str">
        <f t="shared" si="49"/>
        <v/>
      </c>
      <c r="AA932" s="190" t="b">
        <f t="shared" si="48"/>
        <v>0</v>
      </c>
      <c r="AB932" s="90"/>
      <c r="AC932" s="156" t="s">
        <v>36</v>
      </c>
      <c r="AD932" s="147">
        <f t="shared" si="50"/>
        <v>0</v>
      </c>
      <c r="AE932" s="92" t="s">
        <v>79</v>
      </c>
    </row>
    <row r="933" spans="1:31" ht="30" customHeight="1">
      <c r="A933" s="150"/>
      <c r="B933" s="150"/>
      <c r="C933" s="150"/>
      <c r="D933" s="150"/>
      <c r="E933" s="150"/>
      <c r="F933" s="150"/>
      <c r="G933" s="150"/>
      <c r="H933" s="150"/>
      <c r="I933" s="150"/>
      <c r="J933" s="150"/>
      <c r="K933" s="150"/>
      <c r="L933" s="150"/>
      <c r="M933" s="150"/>
      <c r="N933" s="150"/>
      <c r="O933" s="152"/>
      <c r="P933" s="90"/>
      <c r="Q933" s="140"/>
      <c r="R933" s="90"/>
      <c r="S933" s="140"/>
      <c r="T933" s="90"/>
      <c r="U933" s="140"/>
      <c r="V933" s="90"/>
      <c r="W933" s="140"/>
      <c r="X933" s="90"/>
      <c r="Y933" s="140"/>
      <c r="Z933" s="177" t="str">
        <f t="shared" si="49"/>
        <v/>
      </c>
      <c r="AA933" s="190" t="b">
        <f t="shared" si="48"/>
        <v>0</v>
      </c>
      <c r="AB933" s="90"/>
      <c r="AC933" s="156" t="s">
        <v>36</v>
      </c>
      <c r="AD933" s="147">
        <f t="shared" si="50"/>
        <v>0</v>
      </c>
      <c r="AE933" s="92" t="s">
        <v>79</v>
      </c>
    </row>
    <row r="934" spans="1:31" ht="30" customHeight="1">
      <c r="A934" s="150"/>
      <c r="B934" s="150"/>
      <c r="C934" s="150"/>
      <c r="D934" s="150"/>
      <c r="E934" s="150"/>
      <c r="F934" s="150"/>
      <c r="G934" s="150"/>
      <c r="H934" s="150"/>
      <c r="I934" s="150"/>
      <c r="J934" s="150"/>
      <c r="K934" s="150"/>
      <c r="L934" s="150"/>
      <c r="M934" s="150"/>
      <c r="N934" s="150"/>
      <c r="O934" s="152"/>
      <c r="P934" s="90"/>
      <c r="Q934" s="140"/>
      <c r="R934" s="90"/>
      <c r="S934" s="140"/>
      <c r="T934" s="90"/>
      <c r="U934" s="140"/>
      <c r="V934" s="90"/>
      <c r="W934" s="140"/>
      <c r="X934" s="90"/>
      <c r="Y934" s="140"/>
      <c r="Z934" s="177" t="str">
        <f t="shared" si="49"/>
        <v/>
      </c>
      <c r="AA934" s="190" t="b">
        <f t="shared" si="48"/>
        <v>0</v>
      </c>
      <c r="AB934" s="90"/>
      <c r="AC934" s="156" t="s">
        <v>36</v>
      </c>
      <c r="AD934" s="147">
        <f t="shared" si="50"/>
        <v>0</v>
      </c>
      <c r="AE934" s="92" t="s">
        <v>79</v>
      </c>
    </row>
    <row r="935" spans="1:31" ht="30" customHeight="1">
      <c r="A935" s="150"/>
      <c r="B935" s="150"/>
      <c r="C935" s="150"/>
      <c r="D935" s="150"/>
      <c r="E935" s="150"/>
      <c r="F935" s="150"/>
      <c r="G935" s="150"/>
      <c r="H935" s="150"/>
      <c r="I935" s="150"/>
      <c r="J935" s="150"/>
      <c r="K935" s="150"/>
      <c r="L935" s="150"/>
      <c r="M935" s="150"/>
      <c r="N935" s="150"/>
      <c r="O935" s="152"/>
      <c r="P935" s="90"/>
      <c r="Q935" s="140"/>
      <c r="R935" s="90"/>
      <c r="S935" s="140"/>
      <c r="T935" s="90"/>
      <c r="U935" s="140"/>
      <c r="V935" s="90"/>
      <c r="W935" s="140"/>
      <c r="X935" s="90"/>
      <c r="Y935" s="140"/>
      <c r="Z935" s="177" t="str">
        <f t="shared" si="49"/>
        <v/>
      </c>
      <c r="AA935" s="190" t="b">
        <f t="shared" si="48"/>
        <v>0</v>
      </c>
      <c r="AB935" s="90"/>
      <c r="AC935" s="156" t="s">
        <v>36</v>
      </c>
      <c r="AD935" s="147">
        <f t="shared" si="50"/>
        <v>0</v>
      </c>
      <c r="AE935" s="92" t="s">
        <v>79</v>
      </c>
    </row>
    <row r="936" spans="1:31" ht="30" customHeight="1">
      <c r="A936" s="150"/>
      <c r="B936" s="150"/>
      <c r="C936" s="150"/>
      <c r="D936" s="150"/>
      <c r="E936" s="150"/>
      <c r="F936" s="150"/>
      <c r="G936" s="150"/>
      <c r="H936" s="150"/>
      <c r="I936" s="150"/>
      <c r="J936" s="150"/>
      <c r="K936" s="150"/>
      <c r="L936" s="150"/>
      <c r="M936" s="150"/>
      <c r="N936" s="150"/>
      <c r="O936" s="152"/>
      <c r="P936" s="90"/>
      <c r="Q936" s="140"/>
      <c r="R936" s="90"/>
      <c r="S936" s="140"/>
      <c r="T936" s="90"/>
      <c r="U936" s="140"/>
      <c r="V936" s="90"/>
      <c r="W936" s="140"/>
      <c r="X936" s="90"/>
      <c r="Y936" s="140"/>
      <c r="Z936" s="188" t="str">
        <f t="shared" si="49"/>
        <v/>
      </c>
      <c r="AA936" s="191" t="b">
        <f t="shared" si="48"/>
        <v>0</v>
      </c>
      <c r="AB936" s="90"/>
      <c r="AC936" s="156" t="s">
        <v>36</v>
      </c>
      <c r="AD936" s="147">
        <f t="shared" si="50"/>
        <v>0</v>
      </c>
      <c r="AE936" s="92" t="s">
        <v>79</v>
      </c>
    </row>
  </sheetData>
  <autoFilter ref="A1:AF936" xr:uid="{00000000-0001-0000-0B00-000000000000}"/>
  <conditionalFormatting sqref="A1 C1:E1">
    <cfRule type="duplicateValues" dxfId="355" priority="355"/>
  </conditionalFormatting>
  <conditionalFormatting sqref="A1 C1:E1">
    <cfRule type="duplicateValues" dxfId="354" priority="354" stopIfTrue="1"/>
  </conditionalFormatting>
  <conditionalFormatting sqref="AB3:AB5 Q258:Q259 S258:S259 U258:U259 W258:W259 Y258:Y259 Y262 W262 U262 S262 Q262 O2:O936 Q266:Q936 S266:S936 U266:U936 W266:W936 Y266:Y936 Z2:Z936">
    <cfRule type="expression" dxfId="353" priority="351">
      <formula>O2=""</formula>
    </cfRule>
    <cfRule type="expression" dxfId="352" priority="352" stopIfTrue="1">
      <formula>NOT(OR(O2="C",O2="NC",O2="SF",O2="NA"))</formula>
    </cfRule>
  </conditionalFormatting>
  <conditionalFormatting sqref="Q2 Q6 Q8 Q10 Q12 Q14 Q16 Q18 Q20 Q22 Q24 Q26 Q28 Q30 Q32 Q34 Q36 Q38 Q40 Q42 Q44 Q46 Q48 Q50 Q52 Q54 Q56 Q58 Q60 Q62 Q64 Q66 Q72 Q74 Q76 Q78 Q80 Q82 Q84 Q86 Q88 Q90 Q92 Q68:Q70 Q157 Q98 Q96 Q100:Q120 Q122:Q126 Q128:Q136 Q140:Q144 Q146:Q151 Q167:Q170 Q172:Q210 Q212:Q220 Q232:Q237 Q239 Q222:Q228 Q241:Q257">
    <cfRule type="expression" dxfId="351" priority="345">
      <formula>Q2=""</formula>
    </cfRule>
    <cfRule type="expression" dxfId="350" priority="346" stopIfTrue="1">
      <formula>NOT(OR(Q2="C",Q2="NC",Q2="SF",Q2="NA"))</formula>
    </cfRule>
  </conditionalFormatting>
  <conditionalFormatting sqref="Q7 Q9 Q11 Q13 Q15 Q17 Q19 Q21 Q23 Q25 Q27 Q29 Q31 Q33 Q35 Q37 Q39 Q41 Q43 Q45 Q47 Q49 Q51 Q53 Q55 Q57 Q59 Q61 Q63 Q65 Q67 Q71 Q73 Q75 Q77 Q79 Q81 Q83 Q85 Q87 Q89 Q91 Q97 Q99 Q3:Q5 Q93:Q95">
    <cfRule type="expression" dxfId="349" priority="343">
      <formula>Q3=""</formula>
    </cfRule>
    <cfRule type="expression" dxfId="348" priority="344" stopIfTrue="1">
      <formula>NOT(OR(Q3="C",Q3="NC",Q3="SF",Q3="NA"))</formula>
    </cfRule>
  </conditionalFormatting>
  <conditionalFormatting sqref="S2">
    <cfRule type="expression" dxfId="347" priority="337">
      <formula>S2=""</formula>
    </cfRule>
    <cfRule type="expression" dxfId="346" priority="338" stopIfTrue="1">
      <formula>NOT(OR(S2="C",S2="NC",S2="SF",S2="NA"))</formula>
    </cfRule>
  </conditionalFormatting>
  <conditionalFormatting sqref="S3:S67 S157 S71:S120 S122:S126 S128:S136 S140:S144 S146:S151 S167:S170 S232:S237 S239 S172:S228 S241:S257">
    <cfRule type="expression" dxfId="345" priority="335">
      <formula>S3=""</formula>
    </cfRule>
    <cfRule type="expression" dxfId="344" priority="336" stopIfTrue="1">
      <formula>NOT(OR(S3="C",S3="NC",S3="SF",S3="NA"))</formula>
    </cfRule>
  </conditionalFormatting>
  <conditionalFormatting sqref="U2">
    <cfRule type="expression" dxfId="343" priority="333">
      <formula>U2=""</formula>
    </cfRule>
    <cfRule type="expression" dxfId="342" priority="334" stopIfTrue="1">
      <formula>NOT(OR(U2="C",U2="NC",U2="SF",U2="NA"))</formula>
    </cfRule>
  </conditionalFormatting>
  <conditionalFormatting sqref="U3:U67 U157 U71:U120 U122:U126 U128:U136 U140:U144 U146:U151 U167:U170 U232:U237 U239 U172:U228 U241:U257">
    <cfRule type="expression" dxfId="341" priority="331">
      <formula>U3=""</formula>
    </cfRule>
    <cfRule type="expression" dxfId="340" priority="332" stopIfTrue="1">
      <formula>NOT(OR(U3="C",U3="NC",U3="SF",U3="NA"))</formula>
    </cfRule>
  </conditionalFormatting>
  <conditionalFormatting sqref="W2">
    <cfRule type="expression" dxfId="339" priority="325">
      <formula>W2=""</formula>
    </cfRule>
    <cfRule type="expression" dxfId="338" priority="326" stopIfTrue="1">
      <formula>NOT(OR(W2="C",W2="NC",W2="SF",W2="NA"))</formula>
    </cfRule>
  </conditionalFormatting>
  <conditionalFormatting sqref="W157 W3:W120 W122:W126 W128:W136 W140:W144 W146:W151 W167:W170 W232:W237 W239 W172:W228 W241:W257">
    <cfRule type="expression" dxfId="337" priority="323">
      <formula>W3=""</formula>
    </cfRule>
    <cfRule type="expression" dxfId="336" priority="324" stopIfTrue="1">
      <formula>NOT(OR(W3="C",W3="NC",W3="SF",W3="NA"))</formula>
    </cfRule>
  </conditionalFormatting>
  <conditionalFormatting sqref="Y2">
    <cfRule type="expression" dxfId="335" priority="321">
      <formula>Y2=""</formula>
    </cfRule>
    <cfRule type="expression" dxfId="334" priority="322" stopIfTrue="1">
      <formula>NOT(OR(Y2="C",Y2="NC",Y2="SF",Y2="NA"))</formula>
    </cfRule>
  </conditionalFormatting>
  <conditionalFormatting sqref="Y157 Y3:Y120 Y122:Y126 Y128:Y136 Y140:Y144 Y146:Y151 Y167:Y170 Y232:Y237 Y239 Y172:Y228 Y241:Y257">
    <cfRule type="expression" dxfId="333" priority="319">
      <formula>Y3=""</formula>
    </cfRule>
    <cfRule type="expression" dxfId="332" priority="320" stopIfTrue="1">
      <formula>NOT(OR(Y3="C",Y3="NC",Y3="SF",Y3="NA"))</formula>
    </cfRule>
  </conditionalFormatting>
  <conditionalFormatting sqref="AB2">
    <cfRule type="expression" dxfId="331" priority="313">
      <formula>AB2=""</formula>
    </cfRule>
    <cfRule type="expression" dxfId="330" priority="314" stopIfTrue="1">
      <formula>NOT(OR(AB2="C",AB2="NC",AB2="SF",AB2="NA"))</formula>
    </cfRule>
  </conditionalFormatting>
  <conditionalFormatting sqref="S68:S70">
    <cfRule type="expression" dxfId="329" priority="309">
      <formula>S68=""</formula>
    </cfRule>
    <cfRule type="expression" dxfId="328" priority="310" stopIfTrue="1">
      <formula>NOT(OR(S68="C",S68="NC",S68="SF",S68="NA"))</formula>
    </cfRule>
  </conditionalFormatting>
  <conditionalFormatting sqref="U68:U70">
    <cfRule type="expression" dxfId="327" priority="307">
      <formula>U68=""</formula>
    </cfRule>
    <cfRule type="expression" dxfId="326" priority="308" stopIfTrue="1">
      <formula>NOT(OR(U68="C",U68="NC",U68="SF",U68="NA"))</formula>
    </cfRule>
  </conditionalFormatting>
  <conditionalFormatting sqref="Q94:Q95">
    <cfRule type="expression" dxfId="325" priority="305">
      <formula>Q94=""</formula>
    </cfRule>
    <cfRule type="expression" dxfId="324" priority="306" stopIfTrue="1">
      <formula>NOT(OR(Q94="C",Q94="NC",Q94="SF",Q94="NA"))</formula>
    </cfRule>
  </conditionalFormatting>
  <conditionalFormatting sqref="S94:S95">
    <cfRule type="expression" dxfId="323" priority="303">
      <formula>S94=""</formula>
    </cfRule>
    <cfRule type="expression" dxfId="322" priority="304" stopIfTrue="1">
      <formula>NOT(OR(S94="C",S94="NC",S94="SF",S94="NA"))</formula>
    </cfRule>
  </conditionalFormatting>
  <conditionalFormatting sqref="U94:U95">
    <cfRule type="expression" dxfId="321" priority="301">
      <formula>U94=""</formula>
    </cfRule>
    <cfRule type="expression" dxfId="320" priority="302" stopIfTrue="1">
      <formula>NOT(OR(U94="C",U94="NC",U94="SF",U94="NA"))</formula>
    </cfRule>
  </conditionalFormatting>
  <conditionalFormatting sqref="W94:W95">
    <cfRule type="expression" dxfId="319" priority="299">
      <formula>W94=""</formula>
    </cfRule>
    <cfRule type="expression" dxfId="318" priority="300" stopIfTrue="1">
      <formula>NOT(OR(W94="C",W94="NC",W94="SF",W94="NA"))</formula>
    </cfRule>
  </conditionalFormatting>
  <conditionalFormatting sqref="Y94:Y95">
    <cfRule type="expression" dxfId="317" priority="297">
      <formula>Y94=""</formula>
    </cfRule>
    <cfRule type="expression" dxfId="316" priority="298" stopIfTrue="1">
      <formula>NOT(OR(Y94="C",Y94="NC",Y94="SF",Y94="NA"))</formula>
    </cfRule>
  </conditionalFormatting>
  <conditionalFormatting sqref="Q145">
    <cfRule type="expression" dxfId="315" priority="295">
      <formula>Q145=""</formula>
    </cfRule>
    <cfRule type="expression" dxfId="314" priority="296" stopIfTrue="1">
      <formula>NOT(OR(Q145="C",Q145="NC",Q145="SF",Q145="NA"))</formula>
    </cfRule>
  </conditionalFormatting>
  <conditionalFormatting sqref="S145">
    <cfRule type="expression" dxfId="313" priority="293">
      <formula>S145=""</formula>
    </cfRule>
    <cfRule type="expression" dxfId="312" priority="294" stopIfTrue="1">
      <formula>NOT(OR(S145="C",S145="NC",S145="SF",S145="NA"))</formula>
    </cfRule>
  </conditionalFormatting>
  <conditionalFormatting sqref="U145">
    <cfRule type="expression" dxfId="311" priority="291">
      <formula>U145=""</formula>
    </cfRule>
    <cfRule type="expression" dxfId="310" priority="292" stopIfTrue="1">
      <formula>NOT(OR(U145="C",U145="NC",U145="SF",U145="NA"))</formula>
    </cfRule>
  </conditionalFormatting>
  <conditionalFormatting sqref="W145">
    <cfRule type="expression" dxfId="309" priority="289">
      <formula>W145=""</formula>
    </cfRule>
    <cfRule type="expression" dxfId="308" priority="290" stopIfTrue="1">
      <formula>NOT(OR(W145="C",W145="NC",W145="SF",W145="NA"))</formula>
    </cfRule>
  </conditionalFormatting>
  <conditionalFormatting sqref="Y145">
    <cfRule type="expression" dxfId="307" priority="285">
      <formula>Y145=""</formula>
    </cfRule>
    <cfRule type="expression" dxfId="306" priority="286" stopIfTrue="1">
      <formula>NOT(OR(Y145="C",Y145="NC",Y145="SF",Y145="NA"))</formula>
    </cfRule>
  </conditionalFormatting>
  <conditionalFormatting sqref="Q153">
    <cfRule type="expression" dxfId="305" priority="283">
      <formula>Q153=""</formula>
    </cfRule>
    <cfRule type="expression" dxfId="304" priority="284" stopIfTrue="1">
      <formula>NOT(OR(Q153="C",Q153="NC",Q153="SF",Q153="NA"))</formula>
    </cfRule>
  </conditionalFormatting>
  <conditionalFormatting sqref="S153">
    <cfRule type="expression" dxfId="303" priority="281">
      <formula>S153=""</formula>
    </cfRule>
    <cfRule type="expression" dxfId="302" priority="282" stopIfTrue="1">
      <formula>NOT(OR(S153="C",S153="NC",S153="SF",S153="NA"))</formula>
    </cfRule>
  </conditionalFormatting>
  <conditionalFormatting sqref="U153">
    <cfRule type="expression" dxfId="301" priority="279">
      <formula>U153=""</formula>
    </cfRule>
    <cfRule type="expression" dxfId="300" priority="280" stopIfTrue="1">
      <formula>NOT(OR(U153="C",U153="NC",U153="SF",U153="NA"))</formula>
    </cfRule>
  </conditionalFormatting>
  <conditionalFormatting sqref="W153">
    <cfRule type="expression" dxfId="299" priority="277">
      <formula>W153=""</formula>
    </cfRule>
    <cfRule type="expression" dxfId="298" priority="278" stopIfTrue="1">
      <formula>NOT(OR(W153="C",W153="NC",W153="SF",W153="NA"))</formula>
    </cfRule>
  </conditionalFormatting>
  <conditionalFormatting sqref="Y153">
    <cfRule type="expression" dxfId="297" priority="273">
      <formula>Y153=""</formula>
    </cfRule>
    <cfRule type="expression" dxfId="296" priority="274" stopIfTrue="1">
      <formula>NOT(OR(Y153="C",Y153="NC",Y153="SF",Y153="NA"))</formula>
    </cfRule>
  </conditionalFormatting>
  <conditionalFormatting sqref="Y152:Y153">
    <cfRule type="expression" dxfId="295" priority="271">
      <formula>Y152=""</formula>
    </cfRule>
    <cfRule type="expression" dxfId="294" priority="272" stopIfTrue="1">
      <formula>NOT(OR(Y152="C",Y152="NC",Y152="SF",Y152="NA"))</formula>
    </cfRule>
  </conditionalFormatting>
  <conditionalFormatting sqref="W152:W153">
    <cfRule type="expression" dxfId="293" priority="261">
      <formula>W152=""</formula>
    </cfRule>
    <cfRule type="expression" dxfId="292" priority="262" stopIfTrue="1">
      <formula>NOT(OR(W152="C",W152="NC",W152="SF",W152="NA"))</formula>
    </cfRule>
  </conditionalFormatting>
  <conditionalFormatting sqref="U152:U153">
    <cfRule type="expression" dxfId="291" priority="259">
      <formula>U152=""</formula>
    </cfRule>
    <cfRule type="expression" dxfId="290" priority="260" stopIfTrue="1">
      <formula>NOT(OR(U152="C",U152="NC",U152="SF",U152="NA"))</formula>
    </cfRule>
  </conditionalFormatting>
  <conditionalFormatting sqref="Q152:Q153">
    <cfRule type="expression" dxfId="289" priority="257">
      <formula>Q152=""</formula>
    </cfRule>
    <cfRule type="expression" dxfId="288" priority="258" stopIfTrue="1">
      <formula>NOT(OR(Q152="C",Q152="NC",Q152="SF",Q152="NA"))</formula>
    </cfRule>
  </conditionalFormatting>
  <conditionalFormatting sqref="S152:S153">
    <cfRule type="expression" dxfId="287" priority="255">
      <formula>S152=""</formula>
    </cfRule>
    <cfRule type="expression" dxfId="286" priority="256" stopIfTrue="1">
      <formula>NOT(OR(S152="C",S152="NC",S152="SF",S152="NA"))</formula>
    </cfRule>
  </conditionalFormatting>
  <conditionalFormatting sqref="Q251">
    <cfRule type="expression" dxfId="285" priority="253">
      <formula>Q251=""</formula>
    </cfRule>
    <cfRule type="expression" dxfId="284" priority="254" stopIfTrue="1">
      <formula>NOT(OR(Q251="C",Q251="NC",Q251="SF",Q251="NA"))</formula>
    </cfRule>
  </conditionalFormatting>
  <conditionalFormatting sqref="S251">
    <cfRule type="expression" dxfId="283" priority="251">
      <formula>S251=""</formula>
    </cfRule>
    <cfRule type="expression" dxfId="282" priority="252" stopIfTrue="1">
      <formula>NOT(OR(S251="C",S251="NC",S251="SF",S251="NA"))</formula>
    </cfRule>
  </conditionalFormatting>
  <conditionalFormatting sqref="U251">
    <cfRule type="expression" dxfId="281" priority="249">
      <formula>U251=""</formula>
    </cfRule>
    <cfRule type="expression" dxfId="280" priority="250" stopIfTrue="1">
      <formula>NOT(OR(U251="C",U251="NC",U251="SF",U251="NA"))</formula>
    </cfRule>
  </conditionalFormatting>
  <conditionalFormatting sqref="W251">
    <cfRule type="expression" dxfId="279" priority="247">
      <formula>W251=""</formula>
    </cfRule>
    <cfRule type="expression" dxfId="278" priority="248" stopIfTrue="1">
      <formula>NOT(OR(W251="C",W251="NC",W251="SF",W251="NA"))</formula>
    </cfRule>
  </conditionalFormatting>
  <conditionalFormatting sqref="Y251">
    <cfRule type="expression" dxfId="277" priority="245">
      <formula>Y251=""</formula>
    </cfRule>
    <cfRule type="expression" dxfId="276" priority="246" stopIfTrue="1">
      <formula>NOT(OR(Y251="C",Y251="NC",Y251="SF",Y251="NA"))</formula>
    </cfRule>
  </conditionalFormatting>
  <conditionalFormatting sqref="Q229:Q231">
    <cfRule type="expression" dxfId="275" priority="243">
      <formula>Q229=""</formula>
    </cfRule>
    <cfRule type="expression" dxfId="274" priority="244" stopIfTrue="1">
      <formula>NOT(OR(Q229="C",Q229="NC",Q229="SF",Q229="NA"))</formula>
    </cfRule>
  </conditionalFormatting>
  <conditionalFormatting sqref="S229:S231">
    <cfRule type="expression" dxfId="273" priority="241">
      <formula>S229=""</formula>
    </cfRule>
    <cfRule type="expression" dxfId="272" priority="242" stopIfTrue="1">
      <formula>NOT(OR(S229="C",S229="NC",S229="SF",S229="NA"))</formula>
    </cfRule>
  </conditionalFormatting>
  <conditionalFormatting sqref="U229:U231">
    <cfRule type="expression" dxfId="271" priority="239">
      <formula>U229=""</formula>
    </cfRule>
    <cfRule type="expression" dxfId="270" priority="240" stopIfTrue="1">
      <formula>NOT(OR(U229="C",U229="NC",U229="SF",U229="NA"))</formula>
    </cfRule>
  </conditionalFormatting>
  <conditionalFormatting sqref="W229:W231">
    <cfRule type="expression" dxfId="269" priority="237">
      <formula>W229=""</formula>
    </cfRule>
    <cfRule type="expression" dxfId="268" priority="238" stopIfTrue="1">
      <formula>NOT(OR(W229="C",W229="NC",W229="SF",W229="NA"))</formula>
    </cfRule>
  </conditionalFormatting>
  <conditionalFormatting sqref="Y229:Y231">
    <cfRule type="expression" dxfId="267" priority="235">
      <formula>Y229=""</formula>
    </cfRule>
    <cfRule type="expression" dxfId="266" priority="236" stopIfTrue="1">
      <formula>NOT(OR(Y229="C",Y229="NC",Y229="SF",Y229="NA"))</formula>
    </cfRule>
  </conditionalFormatting>
  <conditionalFormatting sqref="Q154:Q156">
    <cfRule type="expression" dxfId="265" priority="233">
      <formula>Q154=""</formula>
    </cfRule>
    <cfRule type="expression" dxfId="264" priority="234" stopIfTrue="1">
      <formula>NOT(OR(Q154="C",Q154="NC",Q154="SF",Q154="NA"))</formula>
    </cfRule>
  </conditionalFormatting>
  <conditionalFormatting sqref="S154:S156">
    <cfRule type="expression" dxfId="263" priority="231">
      <formula>S154=""</formula>
    </cfRule>
    <cfRule type="expression" dxfId="262" priority="232" stopIfTrue="1">
      <formula>NOT(OR(S154="C",S154="NC",S154="SF",S154="NA"))</formula>
    </cfRule>
  </conditionalFormatting>
  <conditionalFormatting sqref="U154:U156">
    <cfRule type="expression" dxfId="261" priority="229">
      <formula>U154=""</formula>
    </cfRule>
    <cfRule type="expression" dxfId="260" priority="230" stopIfTrue="1">
      <formula>NOT(OR(U154="C",U154="NC",U154="SF",U154="NA"))</formula>
    </cfRule>
  </conditionalFormatting>
  <conditionalFormatting sqref="W154:W156">
    <cfRule type="expression" dxfId="259" priority="227">
      <formula>W154=""</formula>
    </cfRule>
    <cfRule type="expression" dxfId="258" priority="228" stopIfTrue="1">
      <formula>NOT(OR(W154="C",W154="NC",W154="SF",W154="NA"))</formula>
    </cfRule>
  </conditionalFormatting>
  <conditionalFormatting sqref="Y154:Y156">
    <cfRule type="expression" dxfId="257" priority="225">
      <formula>Y154=""</formula>
    </cfRule>
    <cfRule type="expression" dxfId="256" priority="226" stopIfTrue="1">
      <formula>NOT(OR(Y154="C",Y154="NC",Y154="SF",Y154="NA"))</formula>
    </cfRule>
  </conditionalFormatting>
  <conditionalFormatting sqref="Q211">
    <cfRule type="expression" dxfId="255" priority="223">
      <formula>Q211=""</formula>
    </cfRule>
    <cfRule type="expression" dxfId="254" priority="224" stopIfTrue="1">
      <formula>NOT(OR(Q211="C",Q211="NC",Q211="SF",Q211="NA"))</formula>
    </cfRule>
  </conditionalFormatting>
  <conditionalFormatting sqref="Q221">
    <cfRule type="expression" dxfId="253" priority="221">
      <formula>Q221=""</formula>
    </cfRule>
    <cfRule type="expression" dxfId="252" priority="222" stopIfTrue="1">
      <formula>NOT(OR(Q221="C",Q221="NC",Q221="SF",Q221="NA"))</formula>
    </cfRule>
  </conditionalFormatting>
  <conditionalFormatting sqref="Q121">
    <cfRule type="expression" dxfId="251" priority="219">
      <formula>Q121=""</formula>
    </cfRule>
    <cfRule type="expression" dxfId="250" priority="220" stopIfTrue="1">
      <formula>NOT(OR(Q121="C",Q121="NC",Q121="SF",Q121="NA"))</formula>
    </cfRule>
  </conditionalFormatting>
  <conditionalFormatting sqref="S121">
    <cfRule type="expression" dxfId="249" priority="217">
      <formula>S121=""</formula>
    </cfRule>
    <cfRule type="expression" dxfId="248" priority="218" stopIfTrue="1">
      <formula>NOT(OR(S121="C",S121="NC",S121="SF",S121="NA"))</formula>
    </cfRule>
  </conditionalFormatting>
  <conditionalFormatting sqref="U121">
    <cfRule type="expression" dxfId="247" priority="215">
      <formula>U121=""</formula>
    </cfRule>
    <cfRule type="expression" dxfId="246" priority="216" stopIfTrue="1">
      <formula>NOT(OR(U121="C",U121="NC",U121="SF",U121="NA"))</formula>
    </cfRule>
  </conditionalFormatting>
  <conditionalFormatting sqref="W121">
    <cfRule type="expression" dxfId="245" priority="213">
      <formula>W121=""</formula>
    </cfRule>
    <cfRule type="expression" dxfId="244" priority="214" stopIfTrue="1">
      <formula>NOT(OR(W121="C",W121="NC",W121="SF",W121="NA"))</formula>
    </cfRule>
  </conditionalFormatting>
  <conditionalFormatting sqref="Y121">
    <cfRule type="expression" dxfId="243" priority="211">
      <formula>Y121=""</formula>
    </cfRule>
    <cfRule type="expression" dxfId="242" priority="212" stopIfTrue="1">
      <formula>NOT(OR(Y121="C",Y121="NC",Y121="SF",Y121="NA"))</formula>
    </cfRule>
  </conditionalFormatting>
  <conditionalFormatting sqref="Q127:Q132">
    <cfRule type="expression" dxfId="241" priority="209">
      <formula>Q127=""</formula>
    </cfRule>
    <cfRule type="expression" dxfId="240" priority="210" stopIfTrue="1">
      <formula>NOT(OR(Q127="C",Q127="NC",Q127="SF",Q127="NA"))</formula>
    </cfRule>
  </conditionalFormatting>
  <conditionalFormatting sqref="S127:S132">
    <cfRule type="expression" dxfId="239" priority="207">
      <formula>S127=""</formula>
    </cfRule>
    <cfRule type="expression" dxfId="238" priority="208" stopIfTrue="1">
      <formula>NOT(OR(S127="C",S127="NC",S127="SF",S127="NA"))</formula>
    </cfRule>
  </conditionalFormatting>
  <conditionalFormatting sqref="U127:U132">
    <cfRule type="expression" dxfId="237" priority="205">
      <formula>U127=""</formula>
    </cfRule>
    <cfRule type="expression" dxfId="236" priority="206" stopIfTrue="1">
      <formula>NOT(OR(U127="C",U127="NC",U127="SF",U127="NA"))</formula>
    </cfRule>
  </conditionalFormatting>
  <conditionalFormatting sqref="W127:W132">
    <cfRule type="expression" dxfId="235" priority="203">
      <formula>W127=""</formula>
    </cfRule>
    <cfRule type="expression" dxfId="234" priority="204" stopIfTrue="1">
      <formula>NOT(OR(W127="C",W127="NC",W127="SF",W127="NA"))</formula>
    </cfRule>
  </conditionalFormatting>
  <conditionalFormatting sqref="Y127:Y132">
    <cfRule type="expression" dxfId="233" priority="201">
      <formula>Y127=""</formula>
    </cfRule>
    <cfRule type="expression" dxfId="232" priority="202" stopIfTrue="1">
      <formula>NOT(OR(Y127="C",Y127="NC",Y127="SF",Y127="NA"))</formula>
    </cfRule>
  </conditionalFormatting>
  <conditionalFormatting sqref="Q137">
    <cfRule type="expression" dxfId="231" priority="199">
      <formula>Q137=""</formula>
    </cfRule>
    <cfRule type="expression" dxfId="230" priority="200" stopIfTrue="1">
      <formula>NOT(OR(Q137="C",Q137="NC",Q137="SF",Q137="NA"))</formula>
    </cfRule>
  </conditionalFormatting>
  <conditionalFormatting sqref="S137">
    <cfRule type="expression" dxfId="229" priority="197">
      <formula>S137=""</formula>
    </cfRule>
    <cfRule type="expression" dxfId="228" priority="198" stopIfTrue="1">
      <formula>NOT(OR(S137="C",S137="NC",S137="SF",S137="NA"))</formula>
    </cfRule>
  </conditionalFormatting>
  <conditionalFormatting sqref="U137">
    <cfRule type="expression" dxfId="227" priority="195">
      <formula>U137=""</formula>
    </cfRule>
    <cfRule type="expression" dxfId="226" priority="196" stopIfTrue="1">
      <formula>NOT(OR(U137="C",U137="NC",U137="SF",U137="NA"))</formula>
    </cfRule>
  </conditionalFormatting>
  <conditionalFormatting sqref="W137">
    <cfRule type="expression" dxfId="225" priority="193">
      <formula>W137=""</formula>
    </cfRule>
    <cfRule type="expression" dxfId="224" priority="194" stopIfTrue="1">
      <formula>NOT(OR(W137="C",W137="NC",W137="SF",W137="NA"))</formula>
    </cfRule>
  </conditionalFormatting>
  <conditionalFormatting sqref="Y137">
    <cfRule type="expression" dxfId="223" priority="191">
      <formula>Y137=""</formula>
    </cfRule>
    <cfRule type="expression" dxfId="222" priority="192" stopIfTrue="1">
      <formula>NOT(OR(Y137="C",Y137="NC",Y137="SF",Y137="NA"))</formula>
    </cfRule>
  </conditionalFormatting>
  <conditionalFormatting sqref="Q138">
    <cfRule type="expression" dxfId="221" priority="189">
      <formula>Q138=""</formula>
    </cfRule>
    <cfRule type="expression" dxfId="220" priority="190" stopIfTrue="1">
      <formula>NOT(OR(Q138="C",Q138="NC",Q138="SF",Q138="NA"))</formula>
    </cfRule>
  </conditionalFormatting>
  <conditionalFormatting sqref="S138">
    <cfRule type="expression" dxfId="219" priority="187">
      <formula>S138=""</formula>
    </cfRule>
    <cfRule type="expression" dxfId="218" priority="188" stopIfTrue="1">
      <formula>NOT(OR(S138="C",S138="NC",S138="SF",S138="NA"))</formula>
    </cfRule>
  </conditionalFormatting>
  <conditionalFormatting sqref="U138">
    <cfRule type="expression" dxfId="217" priority="185">
      <formula>U138=""</formula>
    </cfRule>
    <cfRule type="expression" dxfId="216" priority="186" stopIfTrue="1">
      <formula>NOT(OR(U138="C",U138="NC",U138="SF",U138="NA"))</formula>
    </cfRule>
  </conditionalFormatting>
  <conditionalFormatting sqref="W138">
    <cfRule type="expression" dxfId="215" priority="183">
      <formula>W138=""</formula>
    </cfRule>
    <cfRule type="expression" dxfId="214" priority="184" stopIfTrue="1">
      <formula>NOT(OR(W138="C",W138="NC",W138="SF",W138="NA"))</formula>
    </cfRule>
  </conditionalFormatting>
  <conditionalFormatting sqref="Y138">
    <cfRule type="expression" dxfId="213" priority="181">
      <formula>Y138=""</formula>
    </cfRule>
    <cfRule type="expression" dxfId="212" priority="182" stopIfTrue="1">
      <formula>NOT(OR(Y138="C",Y138="NC",Y138="SF",Y138="NA"))</formula>
    </cfRule>
  </conditionalFormatting>
  <conditionalFormatting sqref="Q139">
    <cfRule type="expression" dxfId="211" priority="179">
      <formula>Q139=""</formula>
    </cfRule>
    <cfRule type="expression" dxfId="210" priority="180" stopIfTrue="1">
      <formula>NOT(OR(Q139="C",Q139="NC",Q139="SF",Q139="NA"))</formula>
    </cfRule>
  </conditionalFormatting>
  <conditionalFormatting sqref="S139">
    <cfRule type="expression" dxfId="209" priority="177">
      <formula>S139=""</formula>
    </cfRule>
    <cfRule type="expression" dxfId="208" priority="178" stopIfTrue="1">
      <formula>NOT(OR(S139="C",S139="NC",S139="SF",S139="NA"))</formula>
    </cfRule>
  </conditionalFormatting>
  <conditionalFormatting sqref="U139">
    <cfRule type="expression" dxfId="207" priority="175">
      <formula>U139=""</formula>
    </cfRule>
    <cfRule type="expression" dxfId="206" priority="176" stopIfTrue="1">
      <formula>NOT(OR(U139="C",U139="NC",U139="SF",U139="NA"))</formula>
    </cfRule>
  </conditionalFormatting>
  <conditionalFormatting sqref="W139">
    <cfRule type="expression" dxfId="205" priority="173">
      <formula>W139=""</formula>
    </cfRule>
    <cfRule type="expression" dxfId="204" priority="174" stopIfTrue="1">
      <formula>NOT(OR(W139="C",W139="NC",W139="SF",W139="NA"))</formula>
    </cfRule>
  </conditionalFormatting>
  <conditionalFormatting sqref="Y139">
    <cfRule type="expression" dxfId="203" priority="171">
      <formula>Y139=""</formula>
    </cfRule>
    <cfRule type="expression" dxfId="202" priority="172" stopIfTrue="1">
      <formula>NOT(OR(Y139="C",Y139="NC",Y139="SF",Y139="NA"))</formula>
    </cfRule>
  </conditionalFormatting>
  <conditionalFormatting sqref="Q158">
    <cfRule type="expression" dxfId="201" priority="169">
      <formula>Q158=""</formula>
    </cfRule>
    <cfRule type="expression" dxfId="200" priority="170" stopIfTrue="1">
      <formula>NOT(OR(Q158="C",Q158="NC",Q158="SF",Q158="NA"))</formula>
    </cfRule>
  </conditionalFormatting>
  <conditionalFormatting sqref="S158">
    <cfRule type="expression" dxfId="199" priority="167">
      <formula>S158=""</formula>
    </cfRule>
    <cfRule type="expression" dxfId="198" priority="168" stopIfTrue="1">
      <formula>NOT(OR(S158="C",S158="NC",S158="SF",S158="NA"))</formula>
    </cfRule>
  </conditionalFormatting>
  <conditionalFormatting sqref="U158">
    <cfRule type="expression" dxfId="197" priority="165">
      <formula>U158=""</formula>
    </cfRule>
    <cfRule type="expression" dxfId="196" priority="166" stopIfTrue="1">
      <formula>NOT(OR(U158="C",U158="NC",U158="SF",U158="NA"))</formula>
    </cfRule>
  </conditionalFormatting>
  <conditionalFormatting sqref="W158">
    <cfRule type="expression" dxfId="195" priority="163">
      <formula>W158=""</formula>
    </cfRule>
    <cfRule type="expression" dxfId="194" priority="164" stopIfTrue="1">
      <formula>NOT(OR(W158="C",W158="NC",W158="SF",W158="NA"))</formula>
    </cfRule>
  </conditionalFormatting>
  <conditionalFormatting sqref="Y158">
    <cfRule type="expression" dxfId="193" priority="161">
      <formula>Y158=""</formula>
    </cfRule>
    <cfRule type="expression" dxfId="192" priority="162" stopIfTrue="1">
      <formula>NOT(OR(Y158="C",Y158="NC",Y158="SF",Y158="NA"))</formula>
    </cfRule>
  </conditionalFormatting>
  <conditionalFormatting sqref="Q159">
    <cfRule type="expression" dxfId="191" priority="159">
      <formula>Q159=""</formula>
    </cfRule>
    <cfRule type="expression" dxfId="190" priority="160" stopIfTrue="1">
      <formula>NOT(OR(Q159="C",Q159="NC",Q159="SF",Q159="NA"))</formula>
    </cfRule>
  </conditionalFormatting>
  <conditionalFormatting sqref="S159">
    <cfRule type="expression" dxfId="189" priority="157">
      <formula>S159=""</formula>
    </cfRule>
    <cfRule type="expression" dxfId="188" priority="158" stopIfTrue="1">
      <formula>NOT(OR(S159="C",S159="NC",S159="SF",S159="NA"))</formula>
    </cfRule>
  </conditionalFormatting>
  <conditionalFormatting sqref="U159">
    <cfRule type="expression" dxfId="187" priority="155">
      <formula>U159=""</formula>
    </cfRule>
    <cfRule type="expression" dxfId="186" priority="156" stopIfTrue="1">
      <formula>NOT(OR(U159="C",U159="NC",U159="SF",U159="NA"))</formula>
    </cfRule>
  </conditionalFormatting>
  <conditionalFormatting sqref="W159">
    <cfRule type="expression" dxfId="185" priority="153">
      <formula>W159=""</formula>
    </cfRule>
    <cfRule type="expression" dxfId="184" priority="154" stopIfTrue="1">
      <formula>NOT(OR(W159="C",W159="NC",W159="SF",W159="NA"))</formula>
    </cfRule>
  </conditionalFormatting>
  <conditionalFormatting sqref="Y159">
    <cfRule type="expression" dxfId="183" priority="151">
      <formula>Y159=""</formula>
    </cfRule>
    <cfRule type="expression" dxfId="182" priority="152" stopIfTrue="1">
      <formula>NOT(OR(Y159="C",Y159="NC",Y159="SF",Y159="NA"))</formula>
    </cfRule>
  </conditionalFormatting>
  <conditionalFormatting sqref="Q160">
    <cfRule type="expression" dxfId="181" priority="149">
      <formula>Q160=""</formula>
    </cfRule>
    <cfRule type="expression" dxfId="180" priority="150" stopIfTrue="1">
      <formula>NOT(OR(Q160="C",Q160="NC",Q160="SF",Q160="NA"))</formula>
    </cfRule>
  </conditionalFormatting>
  <conditionalFormatting sqref="S160">
    <cfRule type="expression" dxfId="179" priority="147">
      <formula>S160=""</formula>
    </cfRule>
    <cfRule type="expression" dxfId="178" priority="148" stopIfTrue="1">
      <formula>NOT(OR(S160="C",S160="NC",S160="SF",S160="NA"))</formula>
    </cfRule>
  </conditionalFormatting>
  <conditionalFormatting sqref="U160">
    <cfRule type="expression" dxfId="177" priority="145">
      <formula>U160=""</formula>
    </cfRule>
    <cfRule type="expression" dxfId="176" priority="146" stopIfTrue="1">
      <formula>NOT(OR(U160="C",U160="NC",U160="SF",U160="NA"))</formula>
    </cfRule>
  </conditionalFormatting>
  <conditionalFormatting sqref="W160">
    <cfRule type="expression" dxfId="175" priority="143">
      <formula>W160=""</formula>
    </cfRule>
    <cfRule type="expression" dxfId="174" priority="144" stopIfTrue="1">
      <formula>NOT(OR(W160="C",W160="NC",W160="SF",W160="NA"))</formula>
    </cfRule>
  </conditionalFormatting>
  <conditionalFormatting sqref="Y160">
    <cfRule type="expression" dxfId="173" priority="141">
      <formula>Y160=""</formula>
    </cfRule>
    <cfRule type="expression" dxfId="172" priority="142" stopIfTrue="1">
      <formula>NOT(OR(Y160="C",Y160="NC",Y160="SF",Y160="NA"))</formula>
    </cfRule>
  </conditionalFormatting>
  <conditionalFormatting sqref="Q161">
    <cfRule type="expression" dxfId="171" priority="139">
      <formula>Q161=""</formula>
    </cfRule>
    <cfRule type="expression" dxfId="170" priority="140" stopIfTrue="1">
      <formula>NOT(OR(Q161="C",Q161="NC",Q161="SF",Q161="NA"))</formula>
    </cfRule>
  </conditionalFormatting>
  <conditionalFormatting sqref="S161">
    <cfRule type="expression" dxfId="169" priority="137">
      <formula>S161=""</formula>
    </cfRule>
    <cfRule type="expression" dxfId="168" priority="138" stopIfTrue="1">
      <formula>NOT(OR(S161="C",S161="NC",S161="SF",S161="NA"))</formula>
    </cfRule>
  </conditionalFormatting>
  <conditionalFormatting sqref="U161">
    <cfRule type="expression" dxfId="167" priority="135">
      <formula>U161=""</formula>
    </cfRule>
    <cfRule type="expression" dxfId="166" priority="136" stopIfTrue="1">
      <formula>NOT(OR(U161="C",U161="NC",U161="SF",U161="NA"))</formula>
    </cfRule>
  </conditionalFormatting>
  <conditionalFormatting sqref="W161">
    <cfRule type="expression" dxfId="165" priority="133">
      <formula>W161=""</formula>
    </cfRule>
    <cfRule type="expression" dxfId="164" priority="134" stopIfTrue="1">
      <formula>NOT(OR(W161="C",W161="NC",W161="SF",W161="NA"))</formula>
    </cfRule>
  </conditionalFormatting>
  <conditionalFormatting sqref="Y161">
    <cfRule type="expression" dxfId="163" priority="131">
      <formula>Y161=""</formula>
    </cfRule>
    <cfRule type="expression" dxfId="162" priority="132" stopIfTrue="1">
      <formula>NOT(OR(Y161="C",Y161="NC",Y161="SF",Y161="NA"))</formula>
    </cfRule>
  </conditionalFormatting>
  <conditionalFormatting sqref="Q162">
    <cfRule type="expression" dxfId="161" priority="129">
      <formula>Q162=""</formula>
    </cfRule>
    <cfRule type="expression" dxfId="160" priority="130" stopIfTrue="1">
      <formula>NOT(OR(Q162="C",Q162="NC",Q162="SF",Q162="NA"))</formula>
    </cfRule>
  </conditionalFormatting>
  <conditionalFormatting sqref="S162">
    <cfRule type="expression" dxfId="159" priority="127">
      <formula>S162=""</formula>
    </cfRule>
    <cfRule type="expression" dxfId="158" priority="128" stopIfTrue="1">
      <formula>NOT(OR(S162="C",S162="NC",S162="SF",S162="NA"))</formula>
    </cfRule>
  </conditionalFormatting>
  <conditionalFormatting sqref="U162">
    <cfRule type="expression" dxfId="157" priority="125">
      <formula>U162=""</formula>
    </cfRule>
    <cfRule type="expression" dxfId="156" priority="126" stopIfTrue="1">
      <formula>NOT(OR(U162="C",U162="NC",U162="SF",U162="NA"))</formula>
    </cfRule>
  </conditionalFormatting>
  <conditionalFormatting sqref="W162">
    <cfRule type="expression" dxfId="155" priority="123">
      <formula>W162=""</formula>
    </cfRule>
    <cfRule type="expression" dxfId="154" priority="124" stopIfTrue="1">
      <formula>NOT(OR(W162="C",W162="NC",W162="SF",W162="NA"))</formula>
    </cfRule>
  </conditionalFormatting>
  <conditionalFormatting sqref="Y162">
    <cfRule type="expression" dxfId="153" priority="121">
      <formula>Y162=""</formula>
    </cfRule>
    <cfRule type="expression" dxfId="152" priority="122" stopIfTrue="1">
      <formula>NOT(OR(Y162="C",Y162="NC",Y162="SF",Y162="NA"))</formula>
    </cfRule>
  </conditionalFormatting>
  <conditionalFormatting sqref="Q163">
    <cfRule type="expression" dxfId="151" priority="119">
      <formula>Q163=""</formula>
    </cfRule>
    <cfRule type="expression" dxfId="150" priority="120" stopIfTrue="1">
      <formula>NOT(OR(Q163="C",Q163="NC",Q163="SF",Q163="NA"))</formula>
    </cfRule>
  </conditionalFormatting>
  <conditionalFormatting sqref="S163">
    <cfRule type="expression" dxfId="149" priority="117">
      <formula>S163=""</formula>
    </cfRule>
    <cfRule type="expression" dxfId="148" priority="118" stopIfTrue="1">
      <formula>NOT(OR(S163="C",S163="NC",S163="SF",S163="NA"))</formula>
    </cfRule>
  </conditionalFormatting>
  <conditionalFormatting sqref="U163">
    <cfRule type="expression" dxfId="147" priority="115">
      <formula>U163=""</formula>
    </cfRule>
    <cfRule type="expression" dxfId="146" priority="116" stopIfTrue="1">
      <formula>NOT(OR(U163="C",U163="NC",U163="SF",U163="NA"))</formula>
    </cfRule>
  </conditionalFormatting>
  <conditionalFormatting sqref="W163">
    <cfRule type="expression" dxfId="145" priority="113">
      <formula>W163=""</formula>
    </cfRule>
    <cfRule type="expression" dxfId="144" priority="114" stopIfTrue="1">
      <formula>NOT(OR(W163="C",W163="NC",W163="SF",W163="NA"))</formula>
    </cfRule>
  </conditionalFormatting>
  <conditionalFormatting sqref="Y163">
    <cfRule type="expression" dxfId="143" priority="111">
      <formula>Y163=""</formula>
    </cfRule>
    <cfRule type="expression" dxfId="142" priority="112" stopIfTrue="1">
      <formula>NOT(OR(Y163="C",Y163="NC",Y163="SF",Y163="NA"))</formula>
    </cfRule>
  </conditionalFormatting>
  <conditionalFormatting sqref="Q164">
    <cfRule type="expression" dxfId="141" priority="109">
      <formula>Q164=""</formula>
    </cfRule>
    <cfRule type="expression" dxfId="140" priority="110" stopIfTrue="1">
      <formula>NOT(OR(Q164="C",Q164="NC",Q164="SF",Q164="NA"))</formula>
    </cfRule>
  </conditionalFormatting>
  <conditionalFormatting sqref="S164">
    <cfRule type="expression" dxfId="139" priority="107">
      <formula>S164=""</formula>
    </cfRule>
    <cfRule type="expression" dxfId="138" priority="108" stopIfTrue="1">
      <formula>NOT(OR(S164="C",S164="NC",S164="SF",S164="NA"))</formula>
    </cfRule>
  </conditionalFormatting>
  <conditionalFormatting sqref="U164">
    <cfRule type="expression" dxfId="137" priority="105">
      <formula>U164=""</formula>
    </cfRule>
    <cfRule type="expression" dxfId="136" priority="106" stopIfTrue="1">
      <formula>NOT(OR(U164="C",U164="NC",U164="SF",U164="NA"))</formula>
    </cfRule>
  </conditionalFormatting>
  <conditionalFormatting sqref="W164">
    <cfRule type="expression" dxfId="135" priority="103">
      <formula>W164=""</formula>
    </cfRule>
    <cfRule type="expression" dxfId="134" priority="104" stopIfTrue="1">
      <formula>NOT(OR(W164="C",W164="NC",W164="SF",W164="NA"))</formula>
    </cfRule>
  </conditionalFormatting>
  <conditionalFormatting sqref="Y164">
    <cfRule type="expression" dxfId="133" priority="101">
      <formula>Y164=""</formula>
    </cfRule>
    <cfRule type="expression" dxfId="132" priority="102" stopIfTrue="1">
      <formula>NOT(OR(Y164="C",Y164="NC",Y164="SF",Y164="NA"))</formula>
    </cfRule>
  </conditionalFormatting>
  <conditionalFormatting sqref="Q165">
    <cfRule type="expression" dxfId="131" priority="99">
      <formula>Q165=""</formula>
    </cfRule>
    <cfRule type="expression" dxfId="130" priority="100" stopIfTrue="1">
      <formula>NOT(OR(Q165="C",Q165="NC",Q165="SF",Q165="NA"))</formula>
    </cfRule>
  </conditionalFormatting>
  <conditionalFormatting sqref="S165">
    <cfRule type="expression" dxfId="129" priority="97">
      <formula>S165=""</formula>
    </cfRule>
    <cfRule type="expression" dxfId="128" priority="98" stopIfTrue="1">
      <formula>NOT(OR(S165="C",S165="NC",S165="SF",S165="NA"))</formula>
    </cfRule>
  </conditionalFormatting>
  <conditionalFormatting sqref="U165">
    <cfRule type="expression" dxfId="127" priority="95">
      <formula>U165=""</formula>
    </cfRule>
    <cfRule type="expression" dxfId="126" priority="96" stopIfTrue="1">
      <formula>NOT(OR(U165="C",U165="NC",U165="SF",U165="NA"))</formula>
    </cfRule>
  </conditionalFormatting>
  <conditionalFormatting sqref="W165">
    <cfRule type="expression" dxfId="125" priority="93">
      <formula>W165=""</formula>
    </cfRule>
    <cfRule type="expression" dxfId="124" priority="94" stopIfTrue="1">
      <formula>NOT(OR(W165="C",W165="NC",W165="SF",W165="NA"))</formula>
    </cfRule>
  </conditionalFormatting>
  <conditionalFormatting sqref="Y165">
    <cfRule type="expression" dxfId="123" priority="91">
      <formula>Y165=""</formula>
    </cfRule>
    <cfRule type="expression" dxfId="122" priority="92" stopIfTrue="1">
      <formula>NOT(OR(Y165="C",Y165="NC",Y165="SF",Y165="NA"))</formula>
    </cfRule>
  </conditionalFormatting>
  <conditionalFormatting sqref="Q166">
    <cfRule type="expression" dxfId="121" priority="89">
      <formula>Q166=""</formula>
    </cfRule>
    <cfRule type="expression" dxfId="120" priority="90" stopIfTrue="1">
      <formula>NOT(OR(Q166="C",Q166="NC",Q166="SF",Q166="NA"))</formula>
    </cfRule>
  </conditionalFormatting>
  <conditionalFormatting sqref="S166">
    <cfRule type="expression" dxfId="119" priority="87">
      <formula>S166=""</formula>
    </cfRule>
    <cfRule type="expression" dxfId="118" priority="88" stopIfTrue="1">
      <formula>NOT(OR(S166="C",S166="NC",S166="SF",S166="NA"))</formula>
    </cfRule>
  </conditionalFormatting>
  <conditionalFormatting sqref="U166">
    <cfRule type="expression" dxfId="117" priority="85">
      <formula>U166=""</formula>
    </cfRule>
    <cfRule type="expression" dxfId="116" priority="86" stopIfTrue="1">
      <formula>NOT(OR(U166="C",U166="NC",U166="SF",U166="NA"))</formula>
    </cfRule>
  </conditionalFormatting>
  <conditionalFormatting sqref="W166">
    <cfRule type="expression" dxfId="115" priority="83">
      <formula>W166=""</formula>
    </cfRule>
    <cfRule type="expression" dxfId="114" priority="84" stopIfTrue="1">
      <formula>NOT(OR(W166="C",W166="NC",W166="SF",W166="NA"))</formula>
    </cfRule>
  </conditionalFormatting>
  <conditionalFormatting sqref="Y166">
    <cfRule type="expression" dxfId="113" priority="81">
      <formula>Y166=""</formula>
    </cfRule>
    <cfRule type="expression" dxfId="112" priority="82" stopIfTrue="1">
      <formula>NOT(OR(Y166="C",Y166="NC",Y166="SF",Y166="NA"))</formula>
    </cfRule>
  </conditionalFormatting>
  <conditionalFormatting sqref="Q171:Q172">
    <cfRule type="expression" dxfId="111" priority="79">
      <formula>Q171=""</formula>
    </cfRule>
    <cfRule type="expression" dxfId="110" priority="80" stopIfTrue="1">
      <formula>NOT(OR(Q171="C",Q171="NC",Q171="SF",Q171="NA"))</formula>
    </cfRule>
  </conditionalFormatting>
  <conditionalFormatting sqref="S171:S172">
    <cfRule type="expression" dxfId="109" priority="77">
      <formula>S171=""</formula>
    </cfRule>
    <cfRule type="expression" dxfId="108" priority="78" stopIfTrue="1">
      <formula>NOT(OR(S171="C",S171="NC",S171="SF",S171="NA"))</formula>
    </cfRule>
  </conditionalFormatting>
  <conditionalFormatting sqref="U171:U172">
    <cfRule type="expression" dxfId="107" priority="75">
      <formula>U171=""</formula>
    </cfRule>
    <cfRule type="expression" dxfId="106" priority="76" stopIfTrue="1">
      <formula>NOT(OR(U171="C",U171="NC",U171="SF",U171="NA"))</formula>
    </cfRule>
  </conditionalFormatting>
  <conditionalFormatting sqref="W171:W172">
    <cfRule type="expression" dxfId="105" priority="73">
      <formula>W171=""</formula>
    </cfRule>
    <cfRule type="expression" dxfId="104" priority="74" stopIfTrue="1">
      <formula>NOT(OR(W171="C",W171="NC",W171="SF",W171="NA"))</formula>
    </cfRule>
  </conditionalFormatting>
  <conditionalFormatting sqref="Y171:Y172">
    <cfRule type="expression" dxfId="103" priority="71">
      <formula>Y171=""</formula>
    </cfRule>
    <cfRule type="expression" dxfId="102" priority="72" stopIfTrue="1">
      <formula>NOT(OR(Y171="C",Y171="NC",Y171="SF",Y171="NA"))</formula>
    </cfRule>
  </conditionalFormatting>
  <conditionalFormatting sqref="Q238">
    <cfRule type="expression" dxfId="101" priority="69">
      <formula>Q238=""</formula>
    </cfRule>
    <cfRule type="expression" dxfId="100" priority="70" stopIfTrue="1">
      <formula>NOT(OR(Q238="C",Q238="NC",Q238="SF",Q238="NA"))</formula>
    </cfRule>
  </conditionalFormatting>
  <conditionalFormatting sqref="S238">
    <cfRule type="expression" dxfId="99" priority="67">
      <formula>S238=""</formula>
    </cfRule>
    <cfRule type="expression" dxfId="98" priority="68" stopIfTrue="1">
      <formula>NOT(OR(S238="C",S238="NC",S238="SF",S238="NA"))</formula>
    </cfRule>
  </conditionalFormatting>
  <conditionalFormatting sqref="U238">
    <cfRule type="expression" dxfId="97" priority="65">
      <formula>U238=""</formula>
    </cfRule>
    <cfRule type="expression" dxfId="96" priority="66" stopIfTrue="1">
      <formula>NOT(OR(U238="C",U238="NC",U238="SF",U238="NA"))</formula>
    </cfRule>
  </conditionalFormatting>
  <conditionalFormatting sqref="W238">
    <cfRule type="expression" dxfId="95" priority="63">
      <formula>W238=""</formula>
    </cfRule>
    <cfRule type="expression" dxfId="94" priority="64" stopIfTrue="1">
      <formula>NOT(OR(W238="C",W238="NC",W238="SF",W238="NA"))</formula>
    </cfRule>
  </conditionalFormatting>
  <conditionalFormatting sqref="Y238">
    <cfRule type="expression" dxfId="93" priority="61">
      <formula>Y238=""</formula>
    </cfRule>
    <cfRule type="expression" dxfId="92" priority="62" stopIfTrue="1">
      <formula>NOT(OR(Y238="C",Y238="NC",Y238="SF",Y238="NA"))</formula>
    </cfRule>
  </conditionalFormatting>
  <conditionalFormatting sqref="Q240">
    <cfRule type="expression" dxfId="91" priority="59">
      <formula>Q240=""</formula>
    </cfRule>
    <cfRule type="expression" dxfId="90" priority="60" stopIfTrue="1">
      <formula>NOT(OR(Q240="C",Q240="NC",Q240="SF",Q240="NA"))</formula>
    </cfRule>
  </conditionalFormatting>
  <conditionalFormatting sqref="S240">
    <cfRule type="expression" dxfId="89" priority="57">
      <formula>S240=""</formula>
    </cfRule>
    <cfRule type="expression" dxfId="88" priority="58" stopIfTrue="1">
      <formula>NOT(OR(S240="C",S240="NC",S240="SF",S240="NA"))</formula>
    </cfRule>
  </conditionalFormatting>
  <conditionalFormatting sqref="U240">
    <cfRule type="expression" dxfId="87" priority="55">
      <formula>U240=""</formula>
    </cfRule>
    <cfRule type="expression" dxfId="86" priority="56" stopIfTrue="1">
      <formula>NOT(OR(U240="C",U240="NC",U240="SF",U240="NA"))</formula>
    </cfRule>
  </conditionalFormatting>
  <conditionalFormatting sqref="W240">
    <cfRule type="expression" dxfId="85" priority="53">
      <formula>W240=""</formula>
    </cfRule>
    <cfRule type="expression" dxfId="84" priority="54" stopIfTrue="1">
      <formula>NOT(OR(W240="C",W240="NC",W240="SF",W240="NA"))</formula>
    </cfRule>
  </conditionalFormatting>
  <conditionalFormatting sqref="Y240">
    <cfRule type="expression" dxfId="83" priority="51">
      <formula>Y240=""</formula>
    </cfRule>
    <cfRule type="expression" dxfId="82" priority="52" stopIfTrue="1">
      <formula>NOT(OR(Y240="C",Y240="NC",Y240="SF",Y240="NA"))</formula>
    </cfRule>
  </conditionalFormatting>
  <conditionalFormatting sqref="Q260">
    <cfRule type="expression" dxfId="81" priority="49">
      <formula>Q260=""</formula>
    </cfRule>
    <cfRule type="expression" dxfId="80" priority="50" stopIfTrue="1">
      <formula>NOT(OR(Q260="C",Q260="NC",Q260="SF",Q260="NA"))</formula>
    </cfRule>
  </conditionalFormatting>
  <conditionalFormatting sqref="S260">
    <cfRule type="expression" dxfId="79" priority="47">
      <formula>S260=""</formula>
    </cfRule>
    <cfRule type="expression" dxfId="78" priority="48" stopIfTrue="1">
      <formula>NOT(OR(S260="C",S260="NC",S260="SF",S260="NA"))</formula>
    </cfRule>
  </conditionalFormatting>
  <conditionalFormatting sqref="U260">
    <cfRule type="expression" dxfId="77" priority="45">
      <formula>U260=""</formula>
    </cfRule>
    <cfRule type="expression" dxfId="76" priority="46" stopIfTrue="1">
      <formula>NOT(OR(U260="C",U260="NC",U260="SF",U260="NA"))</formula>
    </cfRule>
  </conditionalFormatting>
  <conditionalFormatting sqref="W260">
    <cfRule type="expression" dxfId="75" priority="43">
      <formula>W260=""</formula>
    </cfRule>
    <cfRule type="expression" dxfId="74" priority="44" stopIfTrue="1">
      <formula>NOT(OR(W260="C",W260="NC",W260="SF",W260="NA"))</formula>
    </cfRule>
  </conditionalFormatting>
  <conditionalFormatting sqref="Y260">
    <cfRule type="expression" dxfId="73" priority="41">
      <formula>Y260=""</formula>
    </cfRule>
    <cfRule type="expression" dxfId="72" priority="42" stopIfTrue="1">
      <formula>NOT(OR(Y260="C",Y260="NC",Y260="SF",Y260="NA"))</formula>
    </cfRule>
  </conditionalFormatting>
  <conditionalFormatting sqref="Q261">
    <cfRule type="expression" dxfId="71" priority="39">
      <formula>Q261=""</formula>
    </cfRule>
    <cfRule type="expression" dxfId="70" priority="40" stopIfTrue="1">
      <formula>NOT(OR(Q261="C",Q261="NC",Q261="SF",Q261="NA"))</formula>
    </cfRule>
  </conditionalFormatting>
  <conditionalFormatting sqref="S261">
    <cfRule type="expression" dxfId="69" priority="37">
      <formula>S261=""</formula>
    </cfRule>
    <cfRule type="expression" dxfId="68" priority="38" stopIfTrue="1">
      <formula>NOT(OR(S261="C",S261="NC",S261="SF",S261="NA"))</formula>
    </cfRule>
  </conditionalFormatting>
  <conditionalFormatting sqref="U261">
    <cfRule type="expression" dxfId="67" priority="35">
      <formula>U261=""</formula>
    </cfRule>
    <cfRule type="expression" dxfId="66" priority="36" stopIfTrue="1">
      <formula>NOT(OR(U261="C",U261="NC",U261="SF",U261="NA"))</formula>
    </cfRule>
  </conditionalFormatting>
  <conditionalFormatting sqref="W261">
    <cfRule type="expression" dxfId="65" priority="33">
      <formula>W261=""</formula>
    </cfRule>
    <cfRule type="expression" dxfId="64" priority="34" stopIfTrue="1">
      <formula>NOT(OR(W261="C",W261="NC",W261="SF",W261="NA"))</formula>
    </cfRule>
  </conditionalFormatting>
  <conditionalFormatting sqref="Y261">
    <cfRule type="expression" dxfId="63" priority="31">
      <formula>Y261=""</formula>
    </cfRule>
    <cfRule type="expression" dxfId="62" priority="32" stopIfTrue="1">
      <formula>NOT(OR(Y261="C",Y261="NC",Y261="SF",Y261="NA"))</formula>
    </cfRule>
  </conditionalFormatting>
  <conditionalFormatting sqref="Q263">
    <cfRule type="expression" dxfId="61" priority="29">
      <formula>Q263=""</formula>
    </cfRule>
    <cfRule type="expression" dxfId="60" priority="30" stopIfTrue="1">
      <formula>NOT(OR(Q263="C",Q263="NC",Q263="SF",Q263="NA"))</formula>
    </cfRule>
  </conditionalFormatting>
  <conditionalFormatting sqref="S263">
    <cfRule type="expression" dxfId="59" priority="27">
      <formula>S263=""</formula>
    </cfRule>
    <cfRule type="expression" dxfId="58" priority="28" stopIfTrue="1">
      <formula>NOT(OR(S263="C",S263="NC",S263="SF",S263="NA"))</formula>
    </cfRule>
  </conditionalFormatting>
  <conditionalFormatting sqref="U263">
    <cfRule type="expression" dxfId="57" priority="25">
      <formula>U263=""</formula>
    </cfRule>
    <cfRule type="expression" dxfId="56" priority="26" stopIfTrue="1">
      <formula>NOT(OR(U263="C",U263="NC",U263="SF",U263="NA"))</formula>
    </cfRule>
  </conditionalFormatting>
  <conditionalFormatting sqref="W263">
    <cfRule type="expression" dxfId="55" priority="23">
      <formula>W263=""</formula>
    </cfRule>
    <cfRule type="expression" dxfId="54" priority="24" stopIfTrue="1">
      <formula>NOT(OR(W263="C",W263="NC",W263="SF",W263="NA"))</formula>
    </cfRule>
  </conditionalFormatting>
  <conditionalFormatting sqref="Y263">
    <cfRule type="expression" dxfId="53" priority="21">
      <formula>Y263=""</formula>
    </cfRule>
    <cfRule type="expression" dxfId="52" priority="22" stopIfTrue="1">
      <formula>NOT(OR(Y263="C",Y263="NC",Y263="SF",Y263="NA"))</formula>
    </cfRule>
  </conditionalFormatting>
  <conditionalFormatting sqref="Q264">
    <cfRule type="expression" dxfId="51" priority="19">
      <formula>Q264=""</formula>
    </cfRule>
    <cfRule type="expression" dxfId="50" priority="20" stopIfTrue="1">
      <formula>NOT(OR(Q264="C",Q264="NC",Q264="SF",Q264="NA"))</formula>
    </cfRule>
  </conditionalFormatting>
  <conditionalFormatting sqref="S264">
    <cfRule type="expression" dxfId="49" priority="17">
      <formula>S264=""</formula>
    </cfRule>
    <cfRule type="expression" dxfId="48" priority="18" stopIfTrue="1">
      <formula>NOT(OR(S264="C",S264="NC",S264="SF",S264="NA"))</formula>
    </cfRule>
  </conditionalFormatting>
  <conditionalFormatting sqref="U264">
    <cfRule type="expression" dxfId="47" priority="15">
      <formula>U264=""</formula>
    </cfRule>
    <cfRule type="expression" dxfId="46" priority="16" stopIfTrue="1">
      <formula>NOT(OR(U264="C",U264="NC",U264="SF",U264="NA"))</formula>
    </cfRule>
  </conditionalFormatting>
  <conditionalFormatting sqref="W264">
    <cfRule type="expression" dxfId="45" priority="13">
      <formula>W264=""</formula>
    </cfRule>
    <cfRule type="expression" dxfId="44" priority="14" stopIfTrue="1">
      <formula>NOT(OR(W264="C",W264="NC",W264="SF",W264="NA"))</formula>
    </cfRule>
  </conditionalFormatting>
  <conditionalFormatting sqref="Y264">
    <cfRule type="expression" dxfId="43" priority="11">
      <formula>Y264=""</formula>
    </cfRule>
    <cfRule type="expression" dxfId="42" priority="12" stopIfTrue="1">
      <formula>NOT(OR(Y264="C",Y264="NC",Y264="SF",Y264="NA"))</formula>
    </cfRule>
  </conditionalFormatting>
  <conditionalFormatting sqref="Q265">
    <cfRule type="expression" dxfId="41" priority="9">
      <formula>Q265=""</formula>
    </cfRule>
    <cfRule type="expression" dxfId="40" priority="10" stopIfTrue="1">
      <formula>NOT(OR(Q265="C",Q265="NC",Q265="SF",Q265="NA"))</formula>
    </cfRule>
  </conditionalFormatting>
  <conditionalFormatting sqref="S265">
    <cfRule type="expression" dxfId="39" priority="7">
      <formula>S265=""</formula>
    </cfRule>
    <cfRule type="expression" dxfId="38" priority="8" stopIfTrue="1">
      <formula>NOT(OR(S265="C",S265="NC",S265="SF",S265="NA"))</formula>
    </cfRule>
  </conditionalFormatting>
  <conditionalFormatting sqref="U265">
    <cfRule type="expression" dxfId="37" priority="5">
      <formula>U265=""</formula>
    </cfRule>
    <cfRule type="expression" dxfId="36" priority="6" stopIfTrue="1">
      <formula>NOT(OR(U265="C",U265="NC",U265="SF",U265="NA"))</formula>
    </cfRule>
  </conditionalFormatting>
  <conditionalFormatting sqref="W265">
    <cfRule type="expression" dxfId="35" priority="3">
      <formula>W265=""</formula>
    </cfRule>
    <cfRule type="expression" dxfId="34" priority="4" stopIfTrue="1">
      <formula>NOT(OR(W265="C",W265="NC",W265="SF",W265="NA"))</formula>
    </cfRule>
  </conditionalFormatting>
  <conditionalFormatting sqref="Y265">
    <cfRule type="expression" dxfId="33" priority="1">
      <formula>Y265=""</formula>
    </cfRule>
    <cfRule type="expression" dxfId="32" priority="2" stopIfTrue="1">
      <formula>NOT(OR(Y265="C",Y265="NC",Y265="SF",Y265="NA"))</formula>
    </cfRule>
  </conditionalFormatting>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2" tint="-0.249977111117893"/>
    <pageSetUpPr fitToPage="1"/>
  </sheetPr>
  <dimension ref="A1:K118"/>
  <sheetViews>
    <sheetView zoomScale="55" zoomScaleNormal="55" zoomScaleSheetLayoutView="55" workbookViewId="0">
      <selection activeCell="H9" sqref="H9"/>
    </sheetView>
  </sheetViews>
  <sheetFormatPr defaultColWidth="9.140625" defaultRowHeight="19.899999999999999" customHeight="1"/>
  <cols>
    <col min="1" max="7" width="37.7109375" style="18" customWidth="1"/>
    <col min="8" max="16384" width="9.140625" style="18"/>
  </cols>
  <sheetData>
    <row r="1" spans="1:8" s="2" customFormat="1" ht="35.1" customHeight="1">
      <c r="A1" s="382" t="s">
        <v>158</v>
      </c>
      <c r="B1" s="382"/>
      <c r="C1" s="382"/>
      <c r="D1" s="382"/>
      <c r="E1" s="382"/>
      <c r="F1" s="382"/>
    </row>
    <row r="2" spans="1:8" s="4" customFormat="1" ht="30" customHeight="1" thickBot="1"/>
    <row r="3" spans="1:8" s="3" customFormat="1" ht="30" customHeight="1">
      <c r="B3" s="377" t="s">
        <v>159</v>
      </c>
      <c r="C3" s="378"/>
      <c r="D3" s="377" t="s">
        <v>71</v>
      </c>
      <c r="E3" s="378"/>
    </row>
    <row r="4" spans="1:8" s="3" customFormat="1" ht="30" customHeight="1" thickBot="1">
      <c r="B4" s="375">
        <f>COUNTIF(REPOSIÇÃO!A:A,"ONMP - DIV MANUT SERV OPE PIRITUBA")</f>
        <v>115</v>
      </c>
      <c r="C4" s="376"/>
      <c r="D4" s="375">
        <f>'DADOS - PIRITUBA'!C29</f>
        <v>81</v>
      </c>
      <c r="E4" s="376"/>
    </row>
    <row r="5" spans="1:8" s="3" customFormat="1" ht="35.1" customHeight="1">
      <c r="A5" s="24"/>
      <c r="B5" s="86" t="s">
        <v>160</v>
      </c>
      <c r="C5" s="87" t="s">
        <v>161</v>
      </c>
      <c r="D5" s="86" t="s">
        <v>162</v>
      </c>
      <c r="E5" s="87" t="s">
        <v>161</v>
      </c>
      <c r="H5" s="3">
        <f>17/6</f>
        <v>2.8333333333333335</v>
      </c>
    </row>
    <row r="6" spans="1:8" s="3" customFormat="1" ht="35.1" customHeight="1" thickBot="1">
      <c r="A6" s="24"/>
      <c r="B6" s="85">
        <f>'DADOS - PIRITUBA'!C29+'GRÁFICOS - REPOSIÇÃO'!D8</f>
        <v>115</v>
      </c>
      <c r="C6" s="44">
        <f>IFERROR(B6/B4,"-")</f>
        <v>1</v>
      </c>
      <c r="D6" s="85">
        <f>COUNTIFS(REPOSIÇÃO!O:O,"SF",REPOSIÇÃO!Q:Q,"SF",REPOSIÇÃO!S:S,"SF",REPOSIÇÃO!U:U,"SF",REPOSIÇÃO!W:W,"SF",REPOSIÇÃO!AA:AA,"SF",REPOSIÇÃO!Y:Y,"SF",REPOSIÇÃO!AC:AC,"SF")</f>
        <v>0</v>
      </c>
      <c r="E6" s="44">
        <f>IFERROR(D6/B4,"-")</f>
        <v>0</v>
      </c>
    </row>
    <row r="7" spans="1:8" s="3" customFormat="1" ht="35.1" customHeight="1">
      <c r="A7" s="24"/>
      <c r="B7" s="86" t="s">
        <v>163</v>
      </c>
      <c r="C7" s="87" t="s">
        <v>161</v>
      </c>
      <c r="D7" s="86" t="s">
        <v>164</v>
      </c>
      <c r="E7" s="87" t="s">
        <v>161</v>
      </c>
      <c r="F7" s="24"/>
    </row>
    <row r="8" spans="1:8" s="3" customFormat="1" ht="35.1" customHeight="1" thickBot="1">
      <c r="A8" s="24"/>
      <c r="B8" s="85">
        <f>B4-B6</f>
        <v>0</v>
      </c>
      <c r="C8" s="44">
        <f>IFERROR(B8/B4,"-")</f>
        <v>0</v>
      </c>
      <c r="D8" s="85">
        <f>COUNTIFS(REPOSIÇÃO!O:O,"na",REPOSIÇÃO!Q:Q,"na",REPOSIÇÃO!S:S,"na",REPOSIÇÃO!U:U,"na",REPOSIÇÃO!W:W,"na",REPOSIÇÃO!AA:AA,"na",REPOSIÇÃO!Y:Y,"na",REPOSIÇÃO!AC:AC,"na")</f>
        <v>34</v>
      </c>
      <c r="E8" s="44">
        <f>IFERROR(D8/B4,"-")</f>
        <v>0.29565217391304349</v>
      </c>
      <c r="F8" s="24"/>
    </row>
    <row r="9" spans="1:8" s="3" customFormat="1" ht="20.100000000000001" customHeight="1">
      <c r="A9" s="24"/>
      <c r="B9" s="46"/>
      <c r="C9" s="47"/>
      <c r="D9" s="46"/>
      <c r="E9" s="47"/>
      <c r="F9" s="24"/>
    </row>
    <row r="10" spans="1:8" s="3" customFormat="1" ht="20.100000000000001" customHeight="1">
      <c r="A10" s="24"/>
      <c r="B10" s="24"/>
      <c r="C10" s="28"/>
      <c r="D10" s="24"/>
      <c r="E10" s="28"/>
      <c r="F10" s="24"/>
    </row>
    <row r="11" spans="1:8" s="3" customFormat="1" ht="35.1" customHeight="1">
      <c r="A11" s="382" t="s">
        <v>165</v>
      </c>
      <c r="B11" s="382"/>
      <c r="C11" s="382"/>
      <c r="D11" s="382"/>
      <c r="E11" s="382"/>
      <c r="F11" s="382"/>
      <c r="G11" s="382"/>
    </row>
    <row r="12" spans="1:8" s="3" customFormat="1" ht="20.100000000000001" customHeight="1">
      <c r="E12" s="24"/>
      <c r="F12" s="28"/>
    </row>
    <row r="13" spans="1:8" s="3" customFormat="1" ht="20.100000000000001" customHeight="1">
      <c r="A13" s="24"/>
      <c r="B13" s="24"/>
      <c r="C13" s="24"/>
      <c r="D13" s="24"/>
      <c r="E13" s="25"/>
      <c r="F13" s="24"/>
    </row>
    <row r="14" spans="1:8" s="1" customFormat="1" ht="20.100000000000001" customHeight="1">
      <c r="A14" s="18"/>
      <c r="B14" s="18"/>
      <c r="C14" s="18"/>
      <c r="D14" s="18"/>
      <c r="E14" s="18"/>
      <c r="F14" s="18"/>
    </row>
    <row r="15" spans="1:8" s="1" customFormat="1" ht="20.100000000000001" customHeight="1">
      <c r="A15" s="18"/>
      <c r="B15" s="18"/>
      <c r="C15" s="18"/>
      <c r="D15" s="18"/>
      <c r="E15" s="18"/>
      <c r="F15" s="18"/>
    </row>
    <row r="16" spans="1:8" s="1" customFormat="1" ht="20.100000000000001" customHeight="1">
      <c r="A16" s="18"/>
      <c r="B16" s="18"/>
      <c r="C16" s="18"/>
      <c r="D16" s="18"/>
      <c r="E16" s="18"/>
      <c r="F16" s="18"/>
    </row>
    <row r="17" spans="1:6" s="1" customFormat="1" ht="20.100000000000001" customHeight="1">
      <c r="A17" s="18"/>
      <c r="B17" s="18"/>
      <c r="C17" s="18"/>
      <c r="D17" s="18"/>
      <c r="E17" s="18"/>
      <c r="F17" s="18"/>
    </row>
    <row r="18" spans="1:6" s="1" customFormat="1" ht="20.100000000000001" customHeight="1">
      <c r="A18" s="18"/>
      <c r="B18" s="18"/>
      <c r="C18" s="18"/>
      <c r="D18" s="18"/>
      <c r="E18" s="18"/>
      <c r="F18" s="18"/>
    </row>
    <row r="19" spans="1:6" s="1" customFormat="1" ht="20.100000000000001" customHeight="1">
      <c r="A19" s="18"/>
      <c r="B19" s="18"/>
      <c r="C19" s="18"/>
      <c r="D19" s="18"/>
      <c r="E19" s="18"/>
      <c r="F19" s="18"/>
    </row>
    <row r="20" spans="1:6" s="1" customFormat="1" ht="20.100000000000001" customHeight="1">
      <c r="A20" s="18"/>
      <c r="B20" s="18"/>
      <c r="C20" s="18"/>
      <c r="D20" s="18"/>
      <c r="E20" s="18"/>
      <c r="F20" s="18"/>
    </row>
    <row r="21" spans="1:6" s="1" customFormat="1" ht="20.100000000000001" customHeight="1">
      <c r="A21" s="18"/>
      <c r="B21" s="18"/>
      <c r="C21" s="18"/>
      <c r="D21" s="18"/>
      <c r="E21" s="18"/>
      <c r="F21" s="18"/>
    </row>
    <row r="22" spans="1:6" s="1" customFormat="1" ht="20.100000000000001" customHeight="1">
      <c r="A22" s="18"/>
      <c r="B22" s="18"/>
      <c r="C22" s="18"/>
      <c r="D22" s="18"/>
      <c r="E22" s="18"/>
      <c r="F22" s="18"/>
    </row>
    <row r="23" spans="1:6" s="1" customFormat="1" ht="20.100000000000001" customHeight="1">
      <c r="A23" s="18"/>
      <c r="B23" s="18"/>
      <c r="C23" s="18"/>
      <c r="D23" s="18"/>
      <c r="E23" s="18"/>
      <c r="F23" s="18"/>
    </row>
    <row r="24" spans="1:6" s="1" customFormat="1" ht="20.100000000000001" customHeight="1">
      <c r="A24" s="18"/>
      <c r="B24" s="18"/>
      <c r="C24" s="18"/>
      <c r="D24" s="18"/>
      <c r="E24" s="18"/>
      <c r="F24" s="18"/>
    </row>
    <row r="25" spans="1:6" s="1" customFormat="1" ht="20.100000000000001" customHeight="1">
      <c r="A25" s="18"/>
      <c r="B25" s="18"/>
      <c r="C25" s="18"/>
      <c r="D25" s="18"/>
      <c r="E25" s="18"/>
      <c r="F25" s="18"/>
    </row>
    <row r="26" spans="1:6" s="1" customFormat="1" ht="20.100000000000001" customHeight="1">
      <c r="A26" s="18"/>
      <c r="B26" s="18"/>
      <c r="C26" s="18"/>
      <c r="D26" s="18"/>
      <c r="E26" s="18"/>
      <c r="F26" s="18"/>
    </row>
    <row r="27" spans="1:6" s="1" customFormat="1" ht="20.100000000000001" customHeight="1">
      <c r="A27" s="18"/>
      <c r="B27" s="18"/>
      <c r="C27" s="18"/>
      <c r="D27" s="18"/>
      <c r="E27" s="18"/>
      <c r="F27" s="18"/>
    </row>
    <row r="28" spans="1:6" s="1" customFormat="1" ht="20.100000000000001" customHeight="1">
      <c r="A28" s="18"/>
      <c r="B28" s="18"/>
      <c r="C28" s="18"/>
      <c r="D28" s="18"/>
      <c r="E28" s="18"/>
      <c r="F28" s="18"/>
    </row>
    <row r="29" spans="1:6" s="1" customFormat="1" ht="20.100000000000001" customHeight="1">
      <c r="A29" s="18"/>
      <c r="B29" s="18"/>
      <c r="C29" s="18"/>
      <c r="D29" s="18"/>
      <c r="E29" s="18"/>
      <c r="F29" s="18"/>
    </row>
    <row r="30" spans="1:6" s="1" customFormat="1" ht="20.100000000000001" customHeight="1">
      <c r="A30" s="18"/>
      <c r="B30" s="18"/>
      <c r="C30" s="18"/>
      <c r="D30" s="18"/>
      <c r="E30" s="18"/>
      <c r="F30" s="18"/>
    </row>
    <row r="31" spans="1:6" s="1" customFormat="1" ht="20.100000000000001" customHeight="1">
      <c r="A31" s="18"/>
      <c r="B31" s="18"/>
      <c r="C31" s="18"/>
      <c r="D31" s="18"/>
      <c r="E31" s="18"/>
      <c r="F31" s="18"/>
    </row>
    <row r="32" spans="1:6" s="1" customFormat="1" ht="20.100000000000001" customHeight="1">
      <c r="A32" s="18"/>
      <c r="B32" s="18"/>
      <c r="C32" s="18"/>
      <c r="D32" s="18"/>
      <c r="E32" s="18"/>
      <c r="F32" s="18"/>
    </row>
    <row r="33" spans="1:7" s="1" customFormat="1" ht="20.100000000000001" customHeight="1">
      <c r="A33" s="18"/>
      <c r="B33" s="18"/>
      <c r="C33" s="18"/>
      <c r="D33" s="18"/>
      <c r="E33" s="18"/>
      <c r="F33" s="18"/>
    </row>
    <row r="34" spans="1:7" s="1" customFormat="1" ht="20.100000000000001" customHeight="1">
      <c r="A34" s="18"/>
      <c r="B34" s="18"/>
      <c r="C34" s="18"/>
      <c r="D34" s="18"/>
      <c r="E34" s="18"/>
      <c r="F34" s="18"/>
    </row>
    <row r="35" spans="1:7" s="1" customFormat="1" ht="20.100000000000001" customHeight="1">
      <c r="A35" s="18"/>
      <c r="B35" s="18"/>
      <c r="C35" s="18"/>
      <c r="D35" s="18"/>
      <c r="E35" s="18"/>
      <c r="F35" s="18"/>
    </row>
    <row r="36" spans="1:7" s="1" customFormat="1" ht="20.100000000000001" customHeight="1">
      <c r="A36" s="18"/>
      <c r="B36" s="18"/>
      <c r="C36" s="18"/>
      <c r="D36" s="18"/>
      <c r="E36" s="18"/>
      <c r="F36" s="18"/>
    </row>
    <row r="37" spans="1:7" s="1" customFormat="1" ht="20.100000000000001" customHeight="1">
      <c r="A37" s="18"/>
      <c r="B37" s="18"/>
      <c r="C37" s="18"/>
      <c r="D37" s="18"/>
      <c r="E37" s="18"/>
      <c r="F37" s="18"/>
    </row>
    <row r="38" spans="1:7" s="1" customFormat="1" ht="20.100000000000001" customHeight="1">
      <c r="A38" s="18"/>
      <c r="B38" s="18"/>
      <c r="C38" s="18"/>
      <c r="D38" s="18"/>
      <c r="E38" s="18"/>
      <c r="F38" s="18"/>
    </row>
    <row r="39" spans="1:7" s="1" customFormat="1" ht="20.100000000000001" customHeight="1">
      <c r="A39" s="18"/>
      <c r="B39" s="18"/>
      <c r="C39" s="18"/>
      <c r="D39" s="18"/>
      <c r="E39" s="18"/>
      <c r="F39" s="18"/>
    </row>
    <row r="40" spans="1:7" s="2" customFormat="1" ht="35.1" customHeight="1">
      <c r="A40" s="382" t="s">
        <v>167</v>
      </c>
      <c r="B40" s="382"/>
      <c r="C40" s="382"/>
      <c r="D40" s="382"/>
      <c r="E40" s="382"/>
      <c r="F40" s="382"/>
      <c r="G40" s="382"/>
    </row>
    <row r="41" spans="1:7" s="1" customFormat="1" ht="20.100000000000001" customHeight="1">
      <c r="A41" s="18"/>
      <c r="B41" s="18"/>
      <c r="C41" s="18"/>
      <c r="D41" s="18"/>
      <c r="E41" s="18"/>
      <c r="F41" s="18"/>
    </row>
    <row r="42" spans="1:7" s="1" customFormat="1" ht="20.100000000000001" customHeight="1">
      <c r="A42" s="18"/>
      <c r="B42" s="18"/>
      <c r="C42" s="18"/>
      <c r="D42" s="18"/>
      <c r="E42" s="18"/>
      <c r="F42" s="18"/>
    </row>
    <row r="43" spans="1:7" s="1" customFormat="1" ht="20.100000000000001" customHeight="1">
      <c r="A43" s="18"/>
      <c r="B43" s="18"/>
      <c r="C43" s="18"/>
      <c r="D43" s="18"/>
      <c r="E43" s="18"/>
      <c r="F43" s="18"/>
    </row>
    <row r="44" spans="1:7" s="1" customFormat="1" ht="20.100000000000001" customHeight="1">
      <c r="A44" s="18"/>
      <c r="B44" s="18"/>
      <c r="C44" s="18"/>
      <c r="D44" s="18"/>
      <c r="E44" s="18"/>
      <c r="F44" s="18"/>
    </row>
    <row r="45" spans="1:7" s="1" customFormat="1" ht="20.100000000000001" customHeight="1">
      <c r="A45" s="18"/>
      <c r="B45" s="18"/>
      <c r="C45" s="18"/>
      <c r="D45" s="18"/>
      <c r="E45" s="18"/>
      <c r="F45" s="18"/>
    </row>
    <row r="46" spans="1:7" s="1" customFormat="1" ht="20.100000000000001" customHeight="1">
      <c r="A46" s="18"/>
      <c r="B46" s="18"/>
      <c r="C46" s="18"/>
      <c r="D46" s="18"/>
      <c r="E46" s="18"/>
      <c r="F46" s="18"/>
    </row>
    <row r="47" spans="1:7" s="1" customFormat="1" ht="20.100000000000001" customHeight="1">
      <c r="A47" s="18"/>
      <c r="B47" s="18"/>
      <c r="C47" s="18"/>
      <c r="D47" s="18"/>
      <c r="E47" s="18"/>
      <c r="F47" s="18"/>
    </row>
    <row r="48" spans="1:7" s="1" customFormat="1" ht="20.100000000000001" customHeight="1">
      <c r="A48" s="18"/>
      <c r="B48" s="18"/>
      <c r="C48" s="18"/>
      <c r="D48" s="18"/>
      <c r="E48" s="18"/>
      <c r="F48" s="18"/>
    </row>
    <row r="49" spans="1:6" s="1" customFormat="1" ht="20.100000000000001" customHeight="1">
      <c r="A49" s="18"/>
      <c r="B49" s="18"/>
      <c r="C49" s="18"/>
      <c r="D49" s="18"/>
      <c r="E49" s="18"/>
      <c r="F49" s="18"/>
    </row>
    <row r="50" spans="1:6" s="1" customFormat="1" ht="20.100000000000001" customHeight="1">
      <c r="A50" s="18"/>
      <c r="B50" s="18"/>
      <c r="C50" s="18"/>
      <c r="D50" s="18"/>
      <c r="E50" s="18"/>
      <c r="F50" s="18"/>
    </row>
    <row r="51" spans="1:6" s="1" customFormat="1" ht="20.100000000000001" customHeight="1">
      <c r="A51" s="18"/>
      <c r="B51" s="18"/>
      <c r="C51" s="18"/>
      <c r="D51" s="18"/>
      <c r="E51" s="18"/>
      <c r="F51" s="18"/>
    </row>
    <row r="52" spans="1:6" s="1" customFormat="1" ht="20.100000000000001" customHeight="1">
      <c r="A52" s="18"/>
      <c r="B52" s="18"/>
      <c r="C52" s="18"/>
      <c r="D52" s="18"/>
      <c r="E52" s="18"/>
      <c r="F52" s="18"/>
    </row>
    <row r="53" spans="1:6" s="1" customFormat="1" ht="20.100000000000001" customHeight="1">
      <c r="A53" s="18"/>
      <c r="B53" s="18"/>
      <c r="C53" s="18"/>
      <c r="D53" s="18"/>
      <c r="E53" s="18"/>
      <c r="F53" s="18"/>
    </row>
    <row r="54" spans="1:6" s="1" customFormat="1" ht="20.100000000000001" customHeight="1">
      <c r="A54" s="18"/>
      <c r="B54" s="18"/>
      <c r="C54" s="18"/>
      <c r="D54" s="18"/>
      <c r="E54" s="18"/>
      <c r="F54" s="18"/>
    </row>
    <row r="55" spans="1:6" s="1" customFormat="1" ht="20.100000000000001" customHeight="1">
      <c r="A55" s="18"/>
      <c r="B55" s="18"/>
      <c r="C55" s="18"/>
      <c r="D55" s="18"/>
      <c r="E55" s="18"/>
      <c r="F55" s="18"/>
    </row>
    <row r="56" spans="1:6" s="1" customFormat="1" ht="20.100000000000001" customHeight="1">
      <c r="A56" s="18"/>
      <c r="B56" s="18"/>
      <c r="C56" s="18"/>
      <c r="D56" s="18"/>
      <c r="E56" s="18"/>
      <c r="F56" s="18"/>
    </row>
    <row r="57" spans="1:6" s="1" customFormat="1" ht="20.100000000000001" customHeight="1">
      <c r="A57" s="18"/>
      <c r="B57" s="18"/>
      <c r="C57" s="18"/>
      <c r="D57" s="18"/>
      <c r="E57" s="18"/>
      <c r="F57" s="18"/>
    </row>
    <row r="58" spans="1:6" s="1" customFormat="1" ht="20.100000000000001" customHeight="1">
      <c r="A58" s="18"/>
      <c r="B58" s="18"/>
      <c r="C58" s="18"/>
      <c r="D58" s="18"/>
      <c r="E58" s="18"/>
      <c r="F58" s="18"/>
    </row>
    <row r="59" spans="1:6" s="1" customFormat="1" ht="20.100000000000001" customHeight="1">
      <c r="A59" s="18"/>
      <c r="B59" s="18"/>
      <c r="C59" s="18"/>
      <c r="D59" s="18"/>
      <c r="E59" s="18"/>
      <c r="F59" s="18"/>
    </row>
    <row r="60" spans="1:6" s="1" customFormat="1" ht="20.100000000000001" customHeight="1">
      <c r="A60" s="18"/>
      <c r="B60" s="18"/>
      <c r="C60" s="18"/>
      <c r="D60" s="18"/>
      <c r="E60" s="18"/>
      <c r="F60" s="18"/>
    </row>
    <row r="61" spans="1:6" s="1" customFormat="1" ht="20.100000000000001" customHeight="1">
      <c r="A61" s="18"/>
      <c r="B61" s="18"/>
      <c r="C61" s="18"/>
      <c r="D61" s="18"/>
      <c r="E61" s="18"/>
      <c r="F61" s="18"/>
    </row>
    <row r="62" spans="1:6" s="1" customFormat="1" ht="20.100000000000001" customHeight="1">
      <c r="A62" s="18"/>
      <c r="B62" s="18"/>
      <c r="C62" s="18"/>
      <c r="D62" s="18"/>
      <c r="E62" s="18"/>
      <c r="F62" s="18"/>
    </row>
    <row r="63" spans="1:6" s="1" customFormat="1" ht="20.100000000000001" customHeight="1">
      <c r="A63" s="18"/>
      <c r="B63" s="18"/>
      <c r="C63" s="18"/>
      <c r="D63" s="18"/>
      <c r="E63" s="18"/>
      <c r="F63" s="18"/>
    </row>
    <row r="64" spans="1:6" s="1" customFormat="1" ht="20.100000000000001" customHeight="1">
      <c r="A64" s="18"/>
      <c r="B64" s="18"/>
      <c r="C64" s="18"/>
      <c r="D64" s="18"/>
      <c r="E64" s="18"/>
      <c r="F64" s="18"/>
    </row>
    <row r="65" spans="1:11" s="1" customFormat="1" ht="20.100000000000001" customHeight="1">
      <c r="A65" s="18"/>
      <c r="B65" s="18"/>
      <c r="C65" s="18"/>
      <c r="D65" s="18"/>
      <c r="E65" s="18"/>
      <c r="F65" s="18"/>
    </row>
    <row r="66" spans="1:11" s="1" customFormat="1" ht="20.100000000000001" customHeight="1">
      <c r="A66" s="18"/>
      <c r="B66" s="18"/>
      <c r="C66" s="18"/>
      <c r="D66" s="18"/>
      <c r="E66" s="18"/>
      <c r="F66" s="18"/>
    </row>
    <row r="67" spans="1:11" s="1" customFormat="1" ht="20.100000000000001" customHeight="1">
      <c r="A67" s="18"/>
      <c r="B67" s="18"/>
      <c r="C67" s="18"/>
      <c r="D67" s="18"/>
      <c r="E67" s="18"/>
      <c r="F67" s="18"/>
    </row>
    <row r="68" spans="1:11" s="1" customFormat="1" ht="20.100000000000001" customHeight="1">
      <c r="A68" s="18"/>
      <c r="B68" s="18"/>
      <c r="C68" s="18"/>
      <c r="D68" s="18"/>
      <c r="E68" s="18"/>
      <c r="F68" s="18"/>
    </row>
    <row r="69" spans="1:11" s="1" customFormat="1" ht="20.100000000000001" customHeight="1">
      <c r="A69" s="18"/>
      <c r="B69" s="18"/>
      <c r="C69" s="18"/>
      <c r="D69" s="18"/>
      <c r="E69" s="18"/>
      <c r="F69" s="18"/>
    </row>
    <row r="70" spans="1:11" s="1" customFormat="1" ht="20.100000000000001" customHeight="1">
      <c r="A70" s="18"/>
      <c r="B70" s="18"/>
      <c r="C70" s="18"/>
      <c r="D70" s="18"/>
      <c r="E70" s="18"/>
      <c r="F70" s="18"/>
    </row>
    <row r="71" spans="1:11" s="1" customFormat="1" ht="20.100000000000001" customHeight="1">
      <c r="A71" s="18"/>
      <c r="B71" s="18"/>
      <c r="C71" s="18"/>
      <c r="D71" s="18"/>
      <c r="E71" s="18"/>
      <c r="F71" s="18"/>
    </row>
    <row r="72" spans="1:11" s="1" customFormat="1" ht="20.100000000000001" customHeight="1">
      <c r="A72" s="18"/>
      <c r="B72" s="18"/>
      <c r="C72" s="18"/>
      <c r="D72" s="18"/>
      <c r="E72" s="18"/>
      <c r="F72" s="18"/>
    </row>
    <row r="73" spans="1:11" s="1" customFormat="1" ht="19.5">
      <c r="A73" s="18"/>
      <c r="B73" s="18"/>
      <c r="C73" s="18"/>
      <c r="D73" s="18"/>
      <c r="E73" s="18"/>
      <c r="F73" s="18"/>
    </row>
    <row r="74" spans="1:11" s="23" customFormat="1" ht="35.1" customHeight="1">
      <c r="A74" s="382" t="s">
        <v>168</v>
      </c>
      <c r="B74" s="382"/>
      <c r="C74" s="382"/>
      <c r="D74" s="382"/>
      <c r="E74" s="382"/>
      <c r="F74" s="382"/>
      <c r="G74" s="382"/>
      <c r="H74" s="382"/>
      <c r="I74" s="382"/>
      <c r="J74" s="382"/>
      <c r="K74" s="382"/>
    </row>
    <row r="75" spans="1:11" s="1" customFormat="1" ht="20.100000000000001" customHeight="1">
      <c r="A75" s="18"/>
      <c r="B75" s="18"/>
      <c r="C75" s="18"/>
      <c r="D75" s="18"/>
      <c r="E75" s="18"/>
      <c r="F75" s="18"/>
    </row>
    <row r="76" spans="1:11" s="1" customFormat="1" ht="20.100000000000001" customHeight="1">
      <c r="A76" s="18"/>
      <c r="B76" s="18"/>
      <c r="C76" s="18"/>
      <c r="D76" s="18"/>
      <c r="E76" s="18"/>
      <c r="F76" s="18"/>
    </row>
    <row r="77" spans="1:11" s="1" customFormat="1" ht="20.100000000000001" customHeight="1">
      <c r="A77" s="18"/>
      <c r="B77" s="18"/>
      <c r="C77" s="18"/>
      <c r="D77" s="18"/>
      <c r="E77" s="18"/>
      <c r="F77" s="18"/>
    </row>
    <row r="78" spans="1:11" s="1" customFormat="1" ht="20.100000000000001" customHeight="1">
      <c r="A78" s="18"/>
      <c r="B78" s="18"/>
      <c r="C78" s="18"/>
      <c r="D78" s="18"/>
      <c r="E78" s="18"/>
      <c r="F78" s="18"/>
    </row>
    <row r="79" spans="1:11" s="1" customFormat="1" ht="20.100000000000001" customHeight="1">
      <c r="A79" s="18"/>
      <c r="B79" s="18"/>
      <c r="C79" s="18"/>
      <c r="D79" s="18"/>
      <c r="E79" s="18"/>
      <c r="F79" s="18"/>
    </row>
    <row r="80" spans="1:11" s="1" customFormat="1" ht="20.100000000000001" customHeight="1">
      <c r="A80" s="18"/>
      <c r="B80" s="18"/>
      <c r="C80" s="18"/>
      <c r="D80" s="18"/>
      <c r="E80" s="18"/>
      <c r="F80" s="18"/>
    </row>
    <row r="81" spans="1:6" s="1" customFormat="1" ht="20.100000000000001" customHeight="1">
      <c r="A81" s="18"/>
      <c r="B81" s="18"/>
      <c r="C81" s="18"/>
      <c r="D81" s="18"/>
      <c r="E81" s="18"/>
      <c r="F81" s="18"/>
    </row>
    <row r="82" spans="1:6" s="1" customFormat="1" ht="20.100000000000001" customHeight="1">
      <c r="A82" s="18"/>
      <c r="B82" s="18"/>
      <c r="C82" s="18"/>
      <c r="D82" s="18"/>
      <c r="E82" s="18"/>
      <c r="F82" s="18"/>
    </row>
    <row r="83" spans="1:6" s="1" customFormat="1" ht="20.100000000000001" customHeight="1">
      <c r="A83" s="18"/>
      <c r="B83" s="18"/>
      <c r="C83" s="18"/>
      <c r="D83" s="18"/>
      <c r="E83" s="18"/>
      <c r="F83" s="18"/>
    </row>
    <row r="84" spans="1:6" s="1" customFormat="1" ht="20.100000000000001" customHeight="1">
      <c r="A84" s="18"/>
      <c r="B84" s="18"/>
      <c r="C84" s="18"/>
      <c r="D84" s="18"/>
      <c r="E84" s="18"/>
      <c r="F84" s="18"/>
    </row>
    <row r="85" spans="1:6" s="1" customFormat="1" ht="20.100000000000001" customHeight="1">
      <c r="A85" s="18"/>
      <c r="B85" s="18"/>
      <c r="C85" s="18"/>
      <c r="D85" s="18"/>
      <c r="E85" s="18"/>
      <c r="F85" s="18"/>
    </row>
    <row r="86" spans="1:6" s="1" customFormat="1" ht="20.100000000000001" customHeight="1">
      <c r="A86" s="18"/>
      <c r="B86" s="18"/>
      <c r="C86" s="18"/>
      <c r="D86" s="18"/>
      <c r="E86" s="18"/>
      <c r="F86" s="18"/>
    </row>
    <row r="87" spans="1:6" s="1" customFormat="1" ht="20.100000000000001" customHeight="1">
      <c r="A87" s="18"/>
      <c r="B87" s="18"/>
      <c r="C87" s="18"/>
      <c r="D87" s="18"/>
      <c r="E87" s="18"/>
      <c r="F87" s="18"/>
    </row>
    <row r="88" spans="1:6" s="1" customFormat="1" ht="20.100000000000001" customHeight="1">
      <c r="A88" s="18"/>
      <c r="B88" s="18"/>
      <c r="C88" s="18"/>
      <c r="D88" s="18"/>
      <c r="E88" s="18"/>
      <c r="F88" s="18"/>
    </row>
    <row r="89" spans="1:6" s="1" customFormat="1" ht="20.100000000000001" customHeight="1">
      <c r="A89" s="18"/>
      <c r="B89" s="18"/>
      <c r="C89" s="18"/>
      <c r="D89" s="18"/>
      <c r="E89" s="18"/>
      <c r="F89" s="18"/>
    </row>
    <row r="90" spans="1:6" s="1" customFormat="1" ht="20.100000000000001" customHeight="1">
      <c r="A90" s="18"/>
      <c r="B90" s="18"/>
      <c r="C90" s="18"/>
      <c r="D90" s="18"/>
      <c r="E90" s="18"/>
      <c r="F90" s="18"/>
    </row>
    <row r="91" spans="1:6" s="1" customFormat="1" ht="20.100000000000001" customHeight="1">
      <c r="A91" s="18"/>
      <c r="B91" s="18"/>
      <c r="C91" s="18"/>
      <c r="D91" s="18"/>
      <c r="E91" s="18"/>
      <c r="F91" s="18"/>
    </row>
    <row r="92" spans="1:6" s="1" customFormat="1" ht="20.100000000000001" customHeight="1">
      <c r="A92" s="18"/>
      <c r="B92" s="18"/>
      <c r="C92" s="18"/>
      <c r="D92" s="18"/>
      <c r="E92" s="18"/>
      <c r="F92" s="18"/>
    </row>
    <row r="93" spans="1:6" s="1" customFormat="1" ht="20.100000000000001" customHeight="1">
      <c r="A93" s="18"/>
      <c r="B93" s="18"/>
      <c r="C93" s="18"/>
      <c r="D93" s="18"/>
      <c r="E93" s="18"/>
      <c r="F93" s="18"/>
    </row>
    <row r="94" spans="1:6" s="1" customFormat="1" ht="20.100000000000001" customHeight="1">
      <c r="A94" s="18"/>
      <c r="B94" s="18"/>
      <c r="C94" s="18"/>
      <c r="D94" s="18"/>
      <c r="E94" s="18"/>
      <c r="F94" s="18"/>
    </row>
    <row r="95" spans="1:6" s="1" customFormat="1" ht="20.100000000000001" customHeight="1">
      <c r="A95" s="18"/>
      <c r="B95" s="18"/>
      <c r="C95" s="18"/>
      <c r="D95" s="18"/>
      <c r="E95" s="18"/>
      <c r="F95" s="18"/>
    </row>
    <row r="96" spans="1:6" s="1" customFormat="1" ht="20.100000000000001" customHeight="1">
      <c r="A96" s="18"/>
      <c r="B96" s="18"/>
      <c r="C96" s="18"/>
      <c r="D96" s="18"/>
      <c r="E96" s="18"/>
      <c r="F96" s="18"/>
    </row>
    <row r="97" spans="1:6" s="1" customFormat="1" ht="20.100000000000001" customHeight="1">
      <c r="A97" s="18"/>
      <c r="B97" s="18"/>
      <c r="C97" s="18"/>
      <c r="D97" s="18"/>
      <c r="E97" s="18"/>
      <c r="F97" s="18"/>
    </row>
    <row r="98" spans="1:6" ht="20.100000000000001" customHeight="1"/>
    <row r="99" spans="1:6" ht="20.100000000000001" customHeight="1"/>
    <row r="100" spans="1:6" ht="20.100000000000001" customHeight="1"/>
    <row r="101" spans="1:6" ht="20.100000000000001" customHeight="1"/>
    <row r="102" spans="1:6" ht="20.100000000000001" customHeight="1"/>
    <row r="103" spans="1:6" ht="20.100000000000001" customHeight="1"/>
    <row r="104" spans="1:6" ht="20.100000000000001" customHeight="1"/>
    <row r="105" spans="1:6" ht="20.100000000000001" customHeight="1"/>
    <row r="106" spans="1:6" ht="20.100000000000001" customHeight="1"/>
    <row r="107" spans="1:6" ht="20.100000000000001" customHeight="1"/>
    <row r="108" spans="1:6" ht="20.100000000000001" customHeight="1"/>
    <row r="109" spans="1:6" ht="20.100000000000001" customHeight="1"/>
    <row r="110" spans="1:6" ht="20.100000000000001" customHeight="1"/>
    <row r="111" spans="1:6" ht="20.100000000000001" customHeight="1"/>
    <row r="112" spans="1:6"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sheetData>
  <sheetProtection formatCells="0" formatColumns="0" formatRows="0" insertColumns="0" insertRows="0" insertHyperlinks="0" deleteColumns="0" deleteRows="0" sort="0" autoFilter="0" pivotTables="0"/>
  <mergeCells count="8">
    <mergeCell ref="A11:G11"/>
    <mergeCell ref="A40:G40"/>
    <mergeCell ref="A74:K74"/>
    <mergeCell ref="A1:F1"/>
    <mergeCell ref="D4:E4"/>
    <mergeCell ref="D3:E3"/>
    <mergeCell ref="B4:C4"/>
    <mergeCell ref="B3:C3"/>
  </mergeCells>
  <pageMargins left="0.511811024" right="0.14000000000000001" top="0.78740157499999996" bottom="0.78740157499999996" header="0.31496062000000002" footer="0.31496062000000002"/>
  <pageSetup paperSize="9" scale="33"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tint="0.59999389629810485"/>
    <pageSetUpPr fitToPage="1"/>
  </sheetPr>
  <dimension ref="A1:H11"/>
  <sheetViews>
    <sheetView zoomScale="55" zoomScaleNormal="55" zoomScaleSheetLayoutView="70" workbookViewId="0">
      <selection activeCell="F25" sqref="F25"/>
    </sheetView>
  </sheetViews>
  <sheetFormatPr defaultColWidth="9.140625" defaultRowHeight="21" customHeight="1"/>
  <cols>
    <col min="1" max="1" width="5.7109375" style="96" customWidth="1"/>
    <col min="2" max="7" width="30.7109375" style="96" customWidth="1"/>
    <col min="8" max="8" width="5.7109375" style="96" customWidth="1"/>
    <col min="9" max="16384" width="9.140625" style="96"/>
  </cols>
  <sheetData>
    <row r="1" spans="1:8" s="37" customFormat="1" ht="19.899999999999999" customHeight="1">
      <c r="A1" s="392" t="s">
        <v>79</v>
      </c>
      <c r="B1" s="393"/>
      <c r="C1" s="393"/>
      <c r="D1" s="393"/>
      <c r="E1" s="393"/>
      <c r="F1" s="393"/>
      <c r="G1" s="393"/>
      <c r="H1" s="394"/>
    </row>
    <row r="2" spans="1:8" s="20" customFormat="1" ht="19.899999999999999" customHeight="1">
      <c r="A2" s="42"/>
      <c r="B2" s="42"/>
      <c r="C2" s="42"/>
      <c r="D2" s="42"/>
      <c r="E2" s="42"/>
      <c r="F2" s="42"/>
      <c r="G2" s="42"/>
      <c r="H2" s="42"/>
    </row>
    <row r="3" spans="1:8" s="38" customFormat="1" ht="19.899999999999999" customHeight="1">
      <c r="A3" s="388" t="s">
        <v>1514</v>
      </c>
      <c r="B3" s="388"/>
      <c r="C3" s="388"/>
      <c r="D3" s="388"/>
      <c r="E3" s="388"/>
      <c r="F3" s="388"/>
      <c r="G3" s="388"/>
      <c r="H3" s="388"/>
    </row>
    <row r="4" spans="1:8" s="95" customFormat="1" ht="21" customHeight="1">
      <c r="A4" s="96"/>
      <c r="B4" s="96"/>
      <c r="C4" s="96"/>
      <c r="D4" s="96"/>
      <c r="E4" s="96"/>
      <c r="F4" s="96"/>
      <c r="G4" s="96"/>
      <c r="H4" s="96"/>
    </row>
    <row r="5" spans="1:8" ht="21" customHeight="1">
      <c r="B5" s="389" t="str">
        <f>'DADOS - PIRITUBA'!B292</f>
        <v>TESTE</v>
      </c>
      <c r="C5" s="389"/>
      <c r="D5" s="389"/>
      <c r="E5" s="389"/>
      <c r="F5" s="389"/>
      <c r="G5" s="389"/>
    </row>
    <row r="6" spans="1:8" ht="21" customHeight="1">
      <c r="B6" s="390" t="s">
        <v>1515</v>
      </c>
      <c r="C6" s="390"/>
      <c r="D6" s="126" t="s">
        <v>71</v>
      </c>
      <c r="E6" s="126" t="s">
        <v>58</v>
      </c>
      <c r="F6" s="126" t="s">
        <v>56</v>
      </c>
      <c r="G6" s="126" t="s">
        <v>57</v>
      </c>
    </row>
    <row r="7" spans="1:8" ht="21" customHeight="1">
      <c r="B7" s="386" t="s">
        <v>61</v>
      </c>
      <c r="C7" s="387"/>
      <c r="D7" s="98">
        <f>F7+G7+E7</f>
        <v>0</v>
      </c>
      <c r="E7" s="98">
        <f>COUNTIFS(CAVALETE!N:N,'EQUIPES - CAVALETE '!B5,CAVALETE!O:O,"SF")</f>
        <v>0</v>
      </c>
      <c r="F7" s="98">
        <f>COUNTIFS(CAVALETE!N:N,'EQUIPES - CAVALETE '!B5,CAVALETE!O:O,"C")</f>
        <v>0</v>
      </c>
      <c r="G7" s="98">
        <f>COUNTIFS(CAVALETE!N:N,'EQUIPES - CAVALETE '!B5,CAVALETE!O:O,"NC")</f>
        <v>0</v>
      </c>
    </row>
    <row r="8" spans="1:8" ht="21" customHeight="1">
      <c r="B8" s="386" t="s">
        <v>80</v>
      </c>
      <c r="C8" s="387"/>
      <c r="D8" s="98">
        <f t="shared" ref="D8:D11" si="0">F8+G8+E8</f>
        <v>0</v>
      </c>
      <c r="E8" s="98">
        <f>COUNTIFS(CAVALETE!N:N,'EQUIPES - CAVALETE '!B5,CAVALETE!Q:Q,"SF")</f>
        <v>0</v>
      </c>
      <c r="F8" s="98">
        <f>COUNTIFS(CAVALETE!N:N,'EQUIPES - CAVALETE '!B5,CAVALETE!Q:Q,"C")</f>
        <v>0</v>
      </c>
      <c r="G8" s="98">
        <f>COUNTIFS(CAVALETE!N:N,'EQUIPES - CAVALETE '!B5,CAVALETE!Q:Q,"NC")</f>
        <v>0</v>
      </c>
    </row>
    <row r="9" spans="1:8" ht="21" customHeight="1">
      <c r="B9" s="386" t="s">
        <v>81</v>
      </c>
      <c r="C9" s="387"/>
      <c r="D9" s="98">
        <f t="shared" si="0"/>
        <v>0</v>
      </c>
      <c r="E9" s="98">
        <f>COUNTIFS(CAVALETE!N:N,'EQUIPES - CAVALETE '!B5,CAVALETE!S:S,"SF")</f>
        <v>0</v>
      </c>
      <c r="F9" s="98">
        <f>COUNTIFS(CAVALETE!N:N,'EQUIPES - CAVALETE '!B5,CAVALETE!S:S,"C")</f>
        <v>0</v>
      </c>
      <c r="G9" s="98">
        <f>COUNTIFS(CAVALETE!N:N,'EQUIPES - CAVALETE '!B5,CAVALETE!S:S,"NC")</f>
        <v>0</v>
      </c>
    </row>
    <row r="10" spans="1:8" ht="21" customHeight="1">
      <c r="B10" s="386" t="s">
        <v>82</v>
      </c>
      <c r="C10" s="387"/>
      <c r="D10" s="98">
        <f t="shared" si="0"/>
        <v>0</v>
      </c>
      <c r="E10" s="98">
        <f>COUNTIFS(CAVALETE!N:N,'EQUIPES - CAVALETE '!B5,CAVALETE!U:U,"SF")</f>
        <v>0</v>
      </c>
      <c r="F10" s="98">
        <f>COUNTIFS(CAVALETE!N:N,'EQUIPES - CAVALETE '!B5,CAVALETE!U:U,"C")</f>
        <v>0</v>
      </c>
      <c r="G10" s="98">
        <f>COUNTIFS(CAVALETE!N:N,'EQUIPES - CAVALETE '!B5,CAVALETE!U:U,"NC")</f>
        <v>0</v>
      </c>
    </row>
    <row r="11" spans="1:8" ht="21" customHeight="1">
      <c r="B11" s="386" t="s">
        <v>68</v>
      </c>
      <c r="C11" s="387"/>
      <c r="D11" s="98">
        <f t="shared" si="0"/>
        <v>0</v>
      </c>
      <c r="E11" s="98">
        <f>COUNTIFS(CAVALETE!N:N,'EQUIPES - CAVALETE '!B5,CAVALETE!W:W,"SF")</f>
        <v>0</v>
      </c>
      <c r="F11" s="98">
        <f>COUNTIFS(CAVALETE!N:N,'EQUIPES - CAVALETE '!B5,CAVALETE!W:W,"C")</f>
        <v>0</v>
      </c>
      <c r="G11" s="98">
        <f>COUNTIFS(CAVALETE!N:N,'EQUIPES - CAVALETE '!B5,CAVALETE!W:W,"NC")</f>
        <v>0</v>
      </c>
    </row>
  </sheetData>
  <mergeCells count="9">
    <mergeCell ref="B8:C8"/>
    <mergeCell ref="B9:C9"/>
    <mergeCell ref="B10:C10"/>
    <mergeCell ref="B11:C11"/>
    <mergeCell ref="A1:H1"/>
    <mergeCell ref="A3:H3"/>
    <mergeCell ref="B5:G5"/>
    <mergeCell ref="B6:C6"/>
    <mergeCell ref="B7:C7"/>
  </mergeCells>
  <pageMargins left="0.25" right="0.25" top="0.75" bottom="0.75" header="0.3" footer="0.3"/>
  <pageSetup paperSize="9" scale="47"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2" tint="-0.749992370372631"/>
  </sheetPr>
  <dimension ref="A1:AK1000"/>
  <sheetViews>
    <sheetView zoomScale="55" zoomScaleNormal="55" workbookViewId="0">
      <pane ySplit="1" topLeftCell="A34" activePane="bottomLeft" state="frozen"/>
      <selection pane="bottomLeft" activeCell="C107" sqref="C107"/>
      <selection activeCell="L131" sqref="L131"/>
    </sheetView>
  </sheetViews>
  <sheetFormatPr defaultColWidth="9.140625" defaultRowHeight="30" customHeight="1"/>
  <cols>
    <col min="1" max="1" width="61.7109375" style="51" bestFit="1" customWidth="1"/>
    <col min="2" max="2" width="25.28515625" style="51" bestFit="1" customWidth="1"/>
    <col min="3" max="3" width="30.28515625" style="51" bestFit="1" customWidth="1"/>
    <col min="4" max="4" width="20.140625" style="51" bestFit="1" customWidth="1"/>
    <col min="5" max="5" width="23.5703125" style="51" bestFit="1" customWidth="1"/>
    <col min="6" max="6" width="22.7109375" style="51" customWidth="1"/>
    <col min="7" max="7" width="20.7109375" style="51" bestFit="1" customWidth="1"/>
    <col min="8" max="8" width="29.28515625" style="51" bestFit="1" customWidth="1"/>
    <col min="9" max="9" width="18.85546875" style="51" bestFit="1" customWidth="1"/>
    <col min="10" max="10" width="33" style="51" customWidth="1"/>
    <col min="11" max="11" width="51.5703125" style="51" bestFit="1" customWidth="1"/>
    <col min="12" max="12" width="39.140625" style="51" bestFit="1" customWidth="1"/>
    <col min="13" max="13" width="36.28515625" style="51" bestFit="1" customWidth="1"/>
    <col min="14" max="14" width="43.7109375" style="55" bestFit="1" customWidth="1"/>
    <col min="15" max="15" width="24.85546875" style="51" bestFit="1" customWidth="1"/>
    <col min="16" max="16" width="38.85546875" style="51" bestFit="1" customWidth="1"/>
    <col min="17" max="17" width="29.42578125" style="51" bestFit="1" customWidth="1"/>
    <col min="18" max="18" width="43.7109375" style="51" bestFit="1" customWidth="1"/>
    <col min="19" max="19" width="29.42578125" style="51" bestFit="1" customWidth="1"/>
    <col min="20" max="20" width="43.28515625" style="51" bestFit="1" customWidth="1"/>
    <col min="21" max="21" width="31.5703125" style="51" bestFit="1" customWidth="1"/>
    <col min="22" max="22" width="26.85546875" style="51" bestFit="1" customWidth="1"/>
    <col min="23" max="23" width="23.7109375" style="51" bestFit="1" customWidth="1"/>
    <col min="24" max="24" width="38" style="51" bestFit="1" customWidth="1"/>
    <col min="25" max="25" width="28.42578125" style="51" bestFit="1" customWidth="1"/>
    <col min="26" max="26" width="61.7109375" style="51" bestFit="1" customWidth="1"/>
    <col min="27" max="27" width="39.42578125" style="51" bestFit="1" customWidth="1"/>
    <col min="28" max="28" width="49.42578125" style="51" bestFit="1" customWidth="1"/>
    <col min="29" max="29" width="29.42578125" style="51" bestFit="1" customWidth="1"/>
    <col min="30" max="30" width="43" style="51" bestFit="1" customWidth="1"/>
    <col min="31" max="32" width="42.42578125" style="51" bestFit="1" customWidth="1"/>
    <col min="33" max="33" width="28" style="55" bestFit="1" customWidth="1"/>
    <col min="34" max="34" width="55.42578125" style="51" bestFit="1" customWidth="1"/>
    <col min="35" max="35" width="25.5703125" style="51" customWidth="1"/>
    <col min="36" max="36" width="23.5703125" style="51" bestFit="1" customWidth="1"/>
    <col min="37" max="37" width="9.140625" style="173"/>
    <col min="38" max="16384" width="9.140625" style="51"/>
  </cols>
  <sheetData>
    <row r="1" spans="1:36" s="51" customFormat="1" ht="33" customHeight="1">
      <c r="A1" s="231" t="s">
        <v>169</v>
      </c>
      <c r="B1" s="231" t="s">
        <v>170</v>
      </c>
      <c r="C1" s="231" t="s">
        <v>171</v>
      </c>
      <c r="D1" s="231" t="s">
        <v>172</v>
      </c>
      <c r="E1" s="231" t="s">
        <v>173</v>
      </c>
      <c r="F1" s="231" t="s">
        <v>174</v>
      </c>
      <c r="G1" s="231" t="s">
        <v>175</v>
      </c>
      <c r="H1" s="231" t="s">
        <v>176</v>
      </c>
      <c r="I1" s="231" t="s">
        <v>177</v>
      </c>
      <c r="J1" s="231" t="s">
        <v>178</v>
      </c>
      <c r="K1" s="231" t="s">
        <v>179</v>
      </c>
      <c r="L1" s="231" t="s">
        <v>180</v>
      </c>
      <c r="M1" s="231" t="s">
        <v>181</v>
      </c>
      <c r="N1" s="232" t="s">
        <v>1517</v>
      </c>
      <c r="O1" s="236" t="s">
        <v>61</v>
      </c>
      <c r="P1" s="233" t="s">
        <v>182</v>
      </c>
      <c r="Q1" s="237" t="s">
        <v>62</v>
      </c>
      <c r="R1" s="233" t="s">
        <v>2830</v>
      </c>
      <c r="S1" s="233" t="s">
        <v>84</v>
      </c>
      <c r="T1" s="233" t="s">
        <v>2831</v>
      </c>
      <c r="U1" s="235" t="s">
        <v>85</v>
      </c>
      <c r="V1" s="235" t="s">
        <v>2832</v>
      </c>
      <c r="W1" s="235" t="s">
        <v>86</v>
      </c>
      <c r="X1" s="233" t="s">
        <v>2833</v>
      </c>
      <c r="Y1" s="235" t="s">
        <v>2834</v>
      </c>
      <c r="Z1" s="233" t="s">
        <v>2835</v>
      </c>
      <c r="AA1" s="233" t="s">
        <v>88</v>
      </c>
      <c r="AB1" s="233" t="s">
        <v>2836</v>
      </c>
      <c r="AC1" s="233" t="s">
        <v>68</v>
      </c>
      <c r="AD1" s="233" t="s">
        <v>190</v>
      </c>
      <c r="AE1" s="233" t="s">
        <v>49</v>
      </c>
      <c r="AF1" s="233" t="s">
        <v>1521</v>
      </c>
      <c r="AG1" s="237" t="s">
        <v>193</v>
      </c>
      <c r="AH1" s="234" t="s">
        <v>197</v>
      </c>
      <c r="AI1" s="234" t="s">
        <v>196</v>
      </c>
      <c r="AJ1" s="234" t="s">
        <v>1913</v>
      </c>
    </row>
    <row r="2" spans="1:36" s="51" customFormat="1" ht="30" customHeight="1">
      <c r="A2" s="197" t="s">
        <v>198</v>
      </c>
      <c r="B2" s="212">
        <v>2618424332</v>
      </c>
      <c r="C2" s="197" t="s">
        <v>154</v>
      </c>
      <c r="D2" s="197" t="s">
        <v>83</v>
      </c>
      <c r="E2" s="197" t="s">
        <v>35</v>
      </c>
      <c r="F2" s="197" t="s">
        <v>425</v>
      </c>
      <c r="G2" s="197">
        <v>534</v>
      </c>
      <c r="H2" s="197" t="s">
        <v>426</v>
      </c>
      <c r="I2" s="197" t="s">
        <v>300</v>
      </c>
      <c r="J2" s="197" t="s">
        <v>2837</v>
      </c>
      <c r="K2" s="197"/>
      <c r="L2" s="203">
        <v>46146.680555555555</v>
      </c>
      <c r="M2" s="203">
        <v>46146.681250000001</v>
      </c>
      <c r="N2" s="197" t="s">
        <v>203</v>
      </c>
      <c r="O2" s="220" t="s">
        <v>77</v>
      </c>
      <c r="P2" s="177"/>
      <c r="Q2" s="221" t="s">
        <v>77</v>
      </c>
      <c r="R2" s="177"/>
      <c r="S2" s="221" t="s">
        <v>77</v>
      </c>
      <c r="T2" s="177"/>
      <c r="U2" s="221" t="s">
        <v>77</v>
      </c>
      <c r="V2" s="177"/>
      <c r="W2" s="221" t="s">
        <v>77</v>
      </c>
      <c r="X2" s="177"/>
      <c r="Y2" s="221" t="s">
        <v>77</v>
      </c>
      <c r="Z2" s="177"/>
      <c r="AA2" s="221" t="s">
        <v>77</v>
      </c>
      <c r="AB2" s="177"/>
      <c r="AC2" s="221" t="s">
        <v>77</v>
      </c>
      <c r="AD2" s="177"/>
      <c r="AE2" s="221" t="s">
        <v>77</v>
      </c>
      <c r="AF2" s="189" t="str">
        <f>IF(AND(O2="",Q2="",S2="",U2="",W2="",Y2="",AA2="",AC2=""),"",
IF(OR(    AND(O2&lt;&gt;"NA",O2&lt;&gt;"C",O2&lt;&gt;"NC",O2&lt;&gt;"SF",O2&lt;&gt;""),
    AND(Q2&lt;&gt;"NA",Q2&lt;&gt;"C",Q2&lt;&gt;"NC",Q2&lt;&gt;"SF",Q2&lt;&gt;""),
    AND(S2&lt;&gt;"NA",S2&lt;&gt;"C",S2&lt;&gt;"NC",S2&lt;&gt;"SF",S2&lt;&gt;""),
    AND(U2&lt;&gt;"NA",U2&lt;&gt;"C",U2&lt;&gt;"NC",U2&lt;&gt;"SF",U2&lt;&gt;""),
    AND(W2&lt;&gt;"NA",W2&lt;&gt;"C",W2&lt;&gt;"NC",W2&lt;&gt;"SF",W2&lt;&gt;""),
    AND(Y2&lt;&gt;"NA",Y2&lt;&gt;"C",Y2&lt;&gt;"NC",Y2&lt;&gt;"SF",Y2&lt;&gt;""),
    AND(AA2&lt;&gt;"NA",AA2&lt;&gt;"C",AA2&lt;&gt;"NC",AA2&lt;&gt;"SF",AA2&lt;&gt;""),
    AND(AC2&lt;&gt;"NA",AC2&lt;&gt;"C",AC2&lt;&gt;"NC",AC2&lt;&gt;"SF",AC2&lt;&gt;"")
),"FALSO",
IF(AND(O2="NA",Q2="NA",S2="NA",U2="NA",W2="NA",Y2="NA",AA2="NA",AC2="NA"),"NA",
IF(OR(O2="NC",Q2="NC",S2="NC",U2="NC",W2="NC",Y2="NC",AA2="NC",AC2="NC",
       O2="SF",Q2="SF",S2="SF",U2="SF",W2="SF",Y2="SF",AA2="SF",AC2="SF"),"NC",
IF(SUM(IF(O2="C",1,0),IF(Q2="C",1,0),IF(S2="C",1,0),IF(U2="C",1,0),IF(W2="C",1,0),IF(Y2="C",1,0),IF(AA2="C",1,0),IF(AC2="C",1,0))=1,"C","C")))))</f>
        <v>NA</v>
      </c>
      <c r="AG2" s="150" t="str">
        <f>IF(AND(AE2="C",AF2="C"),"UTILIZOU O PDA CORRETAMENTE",IF(AND(AE2="C",AF2="NC"),"UTILIZOU O PDA CORRETAMENTE. NÃO HÁ FOTOS DE TODAS AS ETAPAS",IF(AND(AE2="NC",AF2="NC"),"NÃO UTILIZOU O PDA",IF(AND(AE2="NA",AF2="NA"),"NÃO AVALIADO POR FALHA DE SINCRONISMO"))))</f>
        <v>NÃO AVALIADO POR FALHA DE SINCRONISMO</v>
      </c>
      <c r="AH2" s="296" t="s">
        <v>54</v>
      </c>
      <c r="AI2" s="289" t="str">
        <f>E2</f>
        <v>SÃO PAULO</v>
      </c>
      <c r="AJ2" s="289" t="s">
        <v>36</v>
      </c>
    </row>
    <row r="3" spans="1:36" s="51" customFormat="1" ht="30" customHeight="1">
      <c r="A3" s="197" t="s">
        <v>198</v>
      </c>
      <c r="B3" s="212">
        <v>2618418012</v>
      </c>
      <c r="C3" s="197" t="s">
        <v>154</v>
      </c>
      <c r="D3" s="197" t="s">
        <v>83</v>
      </c>
      <c r="E3" s="197" t="s">
        <v>35</v>
      </c>
      <c r="F3" s="197" t="s">
        <v>1974</v>
      </c>
      <c r="G3" s="197">
        <v>54</v>
      </c>
      <c r="H3" s="197" t="s">
        <v>205</v>
      </c>
      <c r="I3" s="197" t="s">
        <v>225</v>
      </c>
      <c r="J3" s="197" t="s">
        <v>2837</v>
      </c>
      <c r="K3" s="197"/>
      <c r="L3" s="203">
        <v>46148</v>
      </c>
      <c r="M3" s="203">
        <v>46148.000694444447</v>
      </c>
      <c r="N3" s="197" t="s">
        <v>2838</v>
      </c>
      <c r="O3" s="151" t="s">
        <v>207</v>
      </c>
      <c r="P3" s="137"/>
      <c r="Q3" s="138" t="s">
        <v>215</v>
      </c>
      <c r="R3" s="137" t="s">
        <v>310</v>
      </c>
      <c r="S3" s="138" t="s">
        <v>207</v>
      </c>
      <c r="T3" s="137"/>
      <c r="U3" s="138" t="s">
        <v>214</v>
      </c>
      <c r="V3" s="137"/>
      <c r="W3" s="138" t="s">
        <v>207</v>
      </c>
      <c r="X3" s="137"/>
      <c r="Y3" s="138" t="s">
        <v>214</v>
      </c>
      <c r="Z3" s="137"/>
      <c r="AA3" s="138" t="s">
        <v>207</v>
      </c>
      <c r="AB3" s="137"/>
      <c r="AC3" s="138" t="s">
        <v>215</v>
      </c>
      <c r="AD3" s="137" t="s">
        <v>1545</v>
      </c>
      <c r="AE3" s="138" t="s">
        <v>207</v>
      </c>
      <c r="AF3" s="189" t="str">
        <f>IF(AND(O3="",Q3="",S3="",U3="",W3="",Y3="",AA3="",AC3=""),"",
IF(OR(    AND(O3&lt;&gt;"NA",O3&lt;&gt;"C",O3&lt;&gt;"NC",O3&lt;&gt;"SF",O3&lt;&gt;""),
    AND(Q3&lt;&gt;"NA",Q3&lt;&gt;"C",Q3&lt;&gt;"NC",Q3&lt;&gt;"SF",Q3&lt;&gt;""),
    AND(S3&lt;&gt;"NA",S3&lt;&gt;"C",S3&lt;&gt;"NC",S3&lt;&gt;"SF",S3&lt;&gt;""),
    AND(U3&lt;&gt;"NA",U3&lt;&gt;"C",U3&lt;&gt;"NC",U3&lt;&gt;"SF",U3&lt;&gt;""),
    AND(W3&lt;&gt;"NA",W3&lt;&gt;"C",W3&lt;&gt;"NC",W3&lt;&gt;"SF",W3&lt;&gt;""),
    AND(Y3&lt;&gt;"NA",Y3&lt;&gt;"C",Y3&lt;&gt;"NC",Y3&lt;&gt;"SF",Y3&lt;&gt;""),
    AND(AA3&lt;&gt;"NA",AA3&lt;&gt;"C",AA3&lt;&gt;"NC",AA3&lt;&gt;"SF",AA3&lt;&gt;""),
    AND(AC3&lt;&gt;"NA",AC3&lt;&gt;"C",AC3&lt;&gt;"NC",AC3&lt;&gt;"SF",AC3&lt;&gt;"")
),"FALSO",
IF(AND(O3="NA",Q3="NA",S3="NA",U3="NA",W3="NA",Y3="NA",AA3="NA",AC3="NA"),"NA",
IF(OR(O3="NC",Q3="NC",S3="NC",U3="NC",W3="NC",Y3="NC",AA3="NC",AC3="NC",
       O3="SF",Q3="SF",S3="SF",U3="SF",W3="SF",Y3="SF",AA3="SF",AC3="SF"),"NC",
IF(SUM(IF(O3="C",1,0),IF(Q3="C",1,0),IF(S3="C",1,0),IF(U3="C",1,0),IF(W3="C",1,0),IF(Y3="C",1,0),IF(AA3="C",1,0),IF(AC3="C",1,0))=1,"C","C")))))</f>
        <v>NC</v>
      </c>
      <c r="AG3" s="150" t="str">
        <f>IF(AND(AE3="C",AF3="C"),"UTILIZOU O PDA CORRETAMENTE",IF(AND(AE3="C",AF3="NC"),"UTILIZOU O PDA CORRETAMENTE. NÃO HÁ FOTOS DE TODAS AS ETAPAS",IF(AND(AE3="NC",AF3="NC"),"NÃO UTILIZOU O PDA",IF(AND(AE3="NA",AF3="NA"),"NÃO AVALIADO POR FALHA DE SINCRONISMO"))))</f>
        <v>UTILIZOU O PDA CORRETAMENTE. NÃO HÁ FOTOS DE TODAS AS ETAPAS</v>
      </c>
      <c r="AH3" s="160"/>
      <c r="AI3" s="291" t="str">
        <f t="shared" ref="AI3:AI66" si="0">E3</f>
        <v>SÃO PAULO</v>
      </c>
      <c r="AJ3" s="291" t="s">
        <v>36</v>
      </c>
    </row>
    <row r="4" spans="1:36" s="51" customFormat="1" ht="30" customHeight="1">
      <c r="A4" s="197" t="s">
        <v>198</v>
      </c>
      <c r="B4" s="212">
        <v>2618418471</v>
      </c>
      <c r="C4" s="197" t="s">
        <v>157</v>
      </c>
      <c r="D4" s="197" t="s">
        <v>83</v>
      </c>
      <c r="E4" s="197" t="s">
        <v>35</v>
      </c>
      <c r="F4" s="197" t="s">
        <v>413</v>
      </c>
      <c r="G4" s="197">
        <v>8</v>
      </c>
      <c r="H4" s="197" t="s">
        <v>200</v>
      </c>
      <c r="I4" s="197" t="s">
        <v>414</v>
      </c>
      <c r="J4" s="197" t="s">
        <v>2839</v>
      </c>
      <c r="K4" s="197" t="s">
        <v>200</v>
      </c>
      <c r="L4" s="203">
        <v>46147.435416666667</v>
      </c>
      <c r="M4" s="203">
        <v>46147.436111111114</v>
      </c>
      <c r="N4" s="197" t="s">
        <v>2838</v>
      </c>
      <c r="O4" s="151" t="s">
        <v>207</v>
      </c>
      <c r="P4" s="137"/>
      <c r="Q4" s="138" t="s">
        <v>215</v>
      </c>
      <c r="R4" s="137" t="s">
        <v>310</v>
      </c>
      <c r="S4" s="138" t="s">
        <v>207</v>
      </c>
      <c r="T4" s="137"/>
      <c r="U4" s="138" t="s">
        <v>214</v>
      </c>
      <c r="V4" s="137"/>
      <c r="W4" s="138" t="s">
        <v>207</v>
      </c>
      <c r="X4" s="137"/>
      <c r="Y4" s="138" t="s">
        <v>214</v>
      </c>
      <c r="Z4" s="137"/>
      <c r="AA4" s="138" t="s">
        <v>207</v>
      </c>
      <c r="AB4" s="137"/>
      <c r="AC4" s="138" t="s">
        <v>215</v>
      </c>
      <c r="AD4" s="137" t="s">
        <v>2840</v>
      </c>
      <c r="AE4" s="138" t="s">
        <v>207</v>
      </c>
      <c r="AF4" s="189" t="str">
        <f>IF(AND(O4="",Q4="",S4="",U4="",W4="",Y4="",AA4="",AC4=""),"",
IF(OR(    AND(O4&lt;&gt;"NA",O4&lt;&gt;"C",O4&lt;&gt;"NC",O4&lt;&gt;"SF",O4&lt;&gt;""),
    AND(Q4&lt;&gt;"NA",Q4&lt;&gt;"C",Q4&lt;&gt;"NC",Q4&lt;&gt;"SF",Q4&lt;&gt;""),
    AND(S4&lt;&gt;"NA",S4&lt;&gt;"C",S4&lt;&gt;"NC",S4&lt;&gt;"SF",S4&lt;&gt;""),
    AND(U4&lt;&gt;"NA",U4&lt;&gt;"C",U4&lt;&gt;"NC",U4&lt;&gt;"SF",U4&lt;&gt;""),
    AND(W4&lt;&gt;"NA",W4&lt;&gt;"C",W4&lt;&gt;"NC",W4&lt;&gt;"SF",W4&lt;&gt;""),
    AND(Y4&lt;&gt;"NA",Y4&lt;&gt;"C",Y4&lt;&gt;"NC",Y4&lt;&gt;"SF",Y4&lt;&gt;""),
    AND(AA4&lt;&gt;"NA",AA4&lt;&gt;"C",AA4&lt;&gt;"NC",AA4&lt;&gt;"SF",AA4&lt;&gt;""),
    AND(AC4&lt;&gt;"NA",AC4&lt;&gt;"C",AC4&lt;&gt;"NC",AC4&lt;&gt;"SF",AC4&lt;&gt;"")
),"FALSO",
IF(AND(O4="NA",Q4="NA",S4="NA",U4="NA",W4="NA",Y4="NA",AA4="NA",AC4="NA"),"NA",
IF(OR(O4="NC",Q4="NC",S4="NC",U4="NC",W4="NC",Y4="NC",AA4="NC",AC4="NC",
       O4="SF",Q4="SF",S4="SF",U4="SF",W4="SF",Y4="SF",AA4="SF",AC4="SF"),"NC",
IF(SUM(IF(O4="C",1,0),IF(Q4="C",1,0),IF(S4="C",1,0),IF(U4="C",1,0),IF(W4="C",1,0),IF(Y4="C",1,0),IF(AA4="C",1,0),IF(AC4="C",1,0))=1,"C","C")))))</f>
        <v>NC</v>
      </c>
      <c r="AG4" s="150" t="str">
        <f>IF(AND(AE4="C",AF4="C"),"UTILIZOU O PDA CORRETAMENTE",IF(AND(AE4="C",AF4="NC"),"UTILIZOU O PDA CORRETAMENTE. NÃO HÁ FOTOS DE TODAS AS ETAPAS",IF(AND(AE4="NC",AF4="NC"),"NÃO UTILIZOU O PDA",IF(AND(AE4="NA",AF4="NA"),"NÃO AVALIADO POR FALHA DE SINCRONISMO"))))</f>
        <v>UTILIZOU O PDA CORRETAMENTE. NÃO HÁ FOTOS DE TODAS AS ETAPAS</v>
      </c>
      <c r="AH4" s="160" t="s">
        <v>54</v>
      </c>
      <c r="AI4" s="291" t="str">
        <f t="shared" si="0"/>
        <v>SÃO PAULO</v>
      </c>
      <c r="AJ4" s="291" t="s">
        <v>36</v>
      </c>
    </row>
    <row r="5" spans="1:36" s="51" customFormat="1" ht="30" customHeight="1">
      <c r="A5" s="197" t="s">
        <v>198</v>
      </c>
      <c r="B5" s="212">
        <v>2618504775</v>
      </c>
      <c r="C5" s="197" t="s">
        <v>154</v>
      </c>
      <c r="D5" s="197" t="s">
        <v>83</v>
      </c>
      <c r="E5" s="197" t="s">
        <v>35</v>
      </c>
      <c r="F5" s="197" t="s">
        <v>2841</v>
      </c>
      <c r="G5" s="197">
        <v>72</v>
      </c>
      <c r="H5" s="197" t="s">
        <v>208</v>
      </c>
      <c r="I5" s="197" t="s">
        <v>241</v>
      </c>
      <c r="J5" s="197" t="s">
        <v>2837</v>
      </c>
      <c r="K5" s="197"/>
      <c r="L5" s="203">
        <v>46147.481249999997</v>
      </c>
      <c r="M5" s="203">
        <v>46147.481249999997</v>
      </c>
      <c r="N5" s="197" t="s">
        <v>2838</v>
      </c>
      <c r="O5" s="151" t="s">
        <v>207</v>
      </c>
      <c r="P5" s="137"/>
      <c r="Q5" s="138" t="s">
        <v>215</v>
      </c>
      <c r="R5" s="137" t="s">
        <v>2842</v>
      </c>
      <c r="S5" s="138" t="s">
        <v>207</v>
      </c>
      <c r="T5" s="137"/>
      <c r="U5" s="138" t="s">
        <v>214</v>
      </c>
      <c r="V5" s="137"/>
      <c r="W5" s="138" t="s">
        <v>207</v>
      </c>
      <c r="X5" s="137"/>
      <c r="Y5" s="138" t="s">
        <v>214</v>
      </c>
      <c r="Z5" s="137"/>
      <c r="AA5" s="138" t="s">
        <v>207</v>
      </c>
      <c r="AB5" s="137"/>
      <c r="AC5" s="138" t="s">
        <v>215</v>
      </c>
      <c r="AD5" s="137" t="s">
        <v>2840</v>
      </c>
      <c r="AE5" s="138" t="s">
        <v>207</v>
      </c>
      <c r="AF5" s="189" t="str">
        <f>IF(AND(O5="",Q5="",S5="",U5="",W5="",Y5="",AA5="",AC5=""),"",
IF(OR(    AND(O5&lt;&gt;"NA",O5&lt;&gt;"C",O5&lt;&gt;"NC",O5&lt;&gt;"SF",O5&lt;&gt;""),
    AND(Q5&lt;&gt;"NA",Q5&lt;&gt;"C",Q5&lt;&gt;"NC",Q5&lt;&gt;"SF",Q5&lt;&gt;""),
    AND(S5&lt;&gt;"NA",S5&lt;&gt;"C",S5&lt;&gt;"NC",S5&lt;&gt;"SF",S5&lt;&gt;""),
    AND(U5&lt;&gt;"NA",U5&lt;&gt;"C",U5&lt;&gt;"NC",U5&lt;&gt;"SF",U5&lt;&gt;""),
    AND(W5&lt;&gt;"NA",W5&lt;&gt;"C",W5&lt;&gt;"NC",W5&lt;&gt;"SF",W5&lt;&gt;""),
    AND(Y5&lt;&gt;"NA",Y5&lt;&gt;"C",Y5&lt;&gt;"NC",Y5&lt;&gt;"SF",Y5&lt;&gt;""),
    AND(AA5&lt;&gt;"NA",AA5&lt;&gt;"C",AA5&lt;&gt;"NC",AA5&lt;&gt;"SF",AA5&lt;&gt;""),
    AND(AC5&lt;&gt;"NA",AC5&lt;&gt;"C",AC5&lt;&gt;"NC",AC5&lt;&gt;"SF",AC5&lt;&gt;"")
),"FALSO",
IF(AND(O5="NA",Q5="NA",S5="NA",U5="NA",W5="NA",Y5="NA",AA5="NA",AC5="NA"),"NA",
IF(OR(O5="NC",Q5="NC",S5="NC",U5="NC",W5="NC",Y5="NC",AA5="NC",AC5="NC",
       O5="SF",Q5="SF",S5="SF",U5="SF",W5="SF",Y5="SF",AA5="SF",AC5="SF"),"NC",
IF(SUM(IF(O5="C",1,0),IF(Q5="C",1,0),IF(S5="C",1,0),IF(U5="C",1,0),IF(W5="C",1,0),IF(Y5="C",1,0),IF(AA5="C",1,0),IF(AC5="C",1,0))=1,"C","C")))))</f>
        <v>NC</v>
      </c>
      <c r="AG5" s="150" t="str">
        <f>IF(AND(AE5="C",AF5="C"),"UTILIZOU O PDA CORRETAMENTE",IF(AND(AE5="C",AF5="NC"),"UTILIZOU O PDA CORRETAMENTE. NÃO HÁ FOTOS DE TODAS AS ETAPAS",IF(AND(AE5="NC",AF5="NC"),"NÃO UTILIZOU O PDA",IF(AND(AE5="NA",AF5="NA"),"NÃO AVALIADO POR FALHA DE SINCRONISMO"))))</f>
        <v>UTILIZOU O PDA CORRETAMENTE. NÃO HÁ FOTOS DE TODAS AS ETAPAS</v>
      </c>
      <c r="AH5" s="160"/>
      <c r="AI5" s="291" t="str">
        <f t="shared" si="0"/>
        <v>SÃO PAULO</v>
      </c>
      <c r="AJ5" s="291" t="s">
        <v>36</v>
      </c>
    </row>
    <row r="6" spans="1:36" s="51" customFormat="1" ht="30" customHeight="1">
      <c r="A6" s="197" t="s">
        <v>198</v>
      </c>
      <c r="B6" s="212">
        <v>2618416165</v>
      </c>
      <c r="C6" s="197" t="s">
        <v>154</v>
      </c>
      <c r="D6" s="197" t="s">
        <v>83</v>
      </c>
      <c r="E6" s="197" t="s">
        <v>35</v>
      </c>
      <c r="F6" s="197" t="s">
        <v>442</v>
      </c>
      <c r="G6" s="197">
        <v>89</v>
      </c>
      <c r="H6" s="197" t="s">
        <v>208</v>
      </c>
      <c r="I6" s="197" t="s">
        <v>220</v>
      </c>
      <c r="J6" s="197" t="s">
        <v>2837</v>
      </c>
      <c r="K6" s="197" t="s">
        <v>200</v>
      </c>
      <c r="L6" s="203">
        <v>46147.413888888892</v>
      </c>
      <c r="M6" s="203">
        <v>46147.414583333331</v>
      </c>
      <c r="N6" s="197" t="s">
        <v>2838</v>
      </c>
      <c r="O6" s="151" t="s">
        <v>207</v>
      </c>
      <c r="P6" s="137"/>
      <c r="Q6" s="138" t="s">
        <v>215</v>
      </c>
      <c r="R6" s="137" t="s">
        <v>2842</v>
      </c>
      <c r="S6" s="138" t="s">
        <v>207</v>
      </c>
      <c r="T6" s="137"/>
      <c r="U6" s="138" t="s">
        <v>214</v>
      </c>
      <c r="V6" s="137"/>
      <c r="W6" s="138" t="s">
        <v>207</v>
      </c>
      <c r="X6" s="137"/>
      <c r="Y6" s="138" t="s">
        <v>214</v>
      </c>
      <c r="Z6" s="137"/>
      <c r="AA6" s="138" t="s">
        <v>207</v>
      </c>
      <c r="AB6" s="137"/>
      <c r="AC6" s="138" t="s">
        <v>215</v>
      </c>
      <c r="AD6" s="137" t="s">
        <v>2840</v>
      </c>
      <c r="AE6" s="138" t="s">
        <v>207</v>
      </c>
      <c r="AF6" s="189" t="str">
        <f>IF(AND(O6="",Q6="",S6="",U6="",W6="",Y6="",AA6="",AC6=""),"",
IF(OR(    AND(O6&lt;&gt;"NA",O6&lt;&gt;"C",O6&lt;&gt;"NC",O6&lt;&gt;"SF",O6&lt;&gt;""),
    AND(Q6&lt;&gt;"NA",Q6&lt;&gt;"C",Q6&lt;&gt;"NC",Q6&lt;&gt;"SF",Q6&lt;&gt;""),
    AND(S6&lt;&gt;"NA",S6&lt;&gt;"C",S6&lt;&gt;"NC",S6&lt;&gt;"SF",S6&lt;&gt;""),
    AND(U6&lt;&gt;"NA",U6&lt;&gt;"C",U6&lt;&gt;"NC",U6&lt;&gt;"SF",U6&lt;&gt;""),
    AND(W6&lt;&gt;"NA",W6&lt;&gt;"C",W6&lt;&gt;"NC",W6&lt;&gt;"SF",W6&lt;&gt;""),
    AND(Y6&lt;&gt;"NA",Y6&lt;&gt;"C",Y6&lt;&gt;"NC",Y6&lt;&gt;"SF",Y6&lt;&gt;""),
    AND(AA6&lt;&gt;"NA",AA6&lt;&gt;"C",AA6&lt;&gt;"NC",AA6&lt;&gt;"SF",AA6&lt;&gt;""),
    AND(AC6&lt;&gt;"NA",AC6&lt;&gt;"C",AC6&lt;&gt;"NC",AC6&lt;&gt;"SF",AC6&lt;&gt;"")
),"FALSO",
IF(AND(O6="NA",Q6="NA",S6="NA",U6="NA",W6="NA",Y6="NA",AA6="NA",AC6="NA"),"NA",
IF(OR(O6="NC",Q6="NC",S6="NC",U6="NC",W6="NC",Y6="NC",AA6="NC",AC6="NC",
       O6="SF",Q6="SF",S6="SF",U6="SF",W6="SF",Y6="SF",AA6="SF",AC6="SF"),"NC",
IF(SUM(IF(O6="C",1,0),IF(Q6="C",1,0),IF(S6="C",1,0),IF(U6="C",1,0),IF(W6="C",1,0),IF(Y6="C",1,0),IF(AA6="C",1,0),IF(AC6="C",1,0))=1,"C","C")))))</f>
        <v>NC</v>
      </c>
      <c r="AG6" s="150" t="str">
        <f>IF(AND(AE6="C",AF6="C"),"UTILIZOU O PDA CORRETAMENTE",IF(AND(AE6="C",AF6="NC"),"UTILIZOU O PDA CORRETAMENTE. NÃO HÁ FOTOS DE TODAS AS ETAPAS",IF(AND(AE6="NC",AF6="NC"),"NÃO UTILIZOU O PDA",IF(AND(AE6="NA",AF6="NA"),"NÃO AVALIADO POR FALHA DE SINCRONISMO"))))</f>
        <v>UTILIZOU O PDA CORRETAMENTE. NÃO HÁ FOTOS DE TODAS AS ETAPAS</v>
      </c>
      <c r="AH6" s="160" t="s">
        <v>75</v>
      </c>
      <c r="AI6" s="291" t="str">
        <f t="shared" si="0"/>
        <v>SÃO PAULO</v>
      </c>
      <c r="AJ6" s="291" t="s">
        <v>36</v>
      </c>
    </row>
    <row r="7" spans="1:36" s="51" customFormat="1" ht="30" customHeight="1">
      <c r="A7" s="197" t="s">
        <v>198</v>
      </c>
      <c r="B7" s="212">
        <v>2617928152</v>
      </c>
      <c r="C7" s="197" t="s">
        <v>154</v>
      </c>
      <c r="D7" s="197" t="s">
        <v>83</v>
      </c>
      <c r="E7" s="197" t="s">
        <v>35</v>
      </c>
      <c r="F7" s="197" t="s">
        <v>592</v>
      </c>
      <c r="G7" s="197">
        <v>639</v>
      </c>
      <c r="H7" s="197" t="s">
        <v>208</v>
      </c>
      <c r="I7" s="197" t="s">
        <v>357</v>
      </c>
      <c r="J7" s="197" t="s">
        <v>2837</v>
      </c>
      <c r="K7" s="197"/>
      <c r="L7" s="203">
        <v>46147.521527777775</v>
      </c>
      <c r="M7" s="203">
        <v>46147.522222222222</v>
      </c>
      <c r="N7" s="197" t="s">
        <v>2838</v>
      </c>
      <c r="O7" s="151" t="s">
        <v>207</v>
      </c>
      <c r="P7" s="137"/>
      <c r="Q7" s="138" t="s">
        <v>215</v>
      </c>
      <c r="R7" s="137" t="s">
        <v>2842</v>
      </c>
      <c r="S7" s="138" t="s">
        <v>207</v>
      </c>
      <c r="T7" s="137"/>
      <c r="U7" s="138" t="s">
        <v>214</v>
      </c>
      <c r="V7" s="137"/>
      <c r="W7" s="138" t="s">
        <v>207</v>
      </c>
      <c r="X7" s="137"/>
      <c r="Y7" s="138" t="s">
        <v>214</v>
      </c>
      <c r="Z7" s="137"/>
      <c r="AA7" s="138" t="s">
        <v>207</v>
      </c>
      <c r="AB7" s="137"/>
      <c r="AC7" s="138" t="s">
        <v>215</v>
      </c>
      <c r="AD7" s="137" t="s">
        <v>2840</v>
      </c>
      <c r="AE7" s="138" t="s">
        <v>207</v>
      </c>
      <c r="AF7" s="189" t="str">
        <f>IF(AND(O7="",Q7="",S7="",U7="",W7="",Y7="",AA7="",AC7=""),"",
IF(OR(    AND(O7&lt;&gt;"NA",O7&lt;&gt;"C",O7&lt;&gt;"NC",O7&lt;&gt;"SF",O7&lt;&gt;""),
    AND(Q7&lt;&gt;"NA",Q7&lt;&gt;"C",Q7&lt;&gt;"NC",Q7&lt;&gt;"SF",Q7&lt;&gt;""),
    AND(S7&lt;&gt;"NA",S7&lt;&gt;"C",S7&lt;&gt;"NC",S7&lt;&gt;"SF",S7&lt;&gt;""),
    AND(U7&lt;&gt;"NA",U7&lt;&gt;"C",U7&lt;&gt;"NC",U7&lt;&gt;"SF",U7&lt;&gt;""),
    AND(W7&lt;&gt;"NA",W7&lt;&gt;"C",W7&lt;&gt;"NC",W7&lt;&gt;"SF",W7&lt;&gt;""),
    AND(Y7&lt;&gt;"NA",Y7&lt;&gt;"C",Y7&lt;&gt;"NC",Y7&lt;&gt;"SF",Y7&lt;&gt;""),
    AND(AA7&lt;&gt;"NA",AA7&lt;&gt;"C",AA7&lt;&gt;"NC",AA7&lt;&gt;"SF",AA7&lt;&gt;""),
    AND(AC7&lt;&gt;"NA",AC7&lt;&gt;"C",AC7&lt;&gt;"NC",AC7&lt;&gt;"SF",AC7&lt;&gt;"")
),"FALSO",
IF(AND(O7="NA",Q7="NA",S7="NA",U7="NA",W7="NA",Y7="NA",AA7="NA",AC7="NA"),"NA",
IF(OR(O7="NC",Q7="NC",S7="NC",U7="NC",W7="NC",Y7="NC",AA7="NC",AC7="NC",
       O7="SF",Q7="SF",S7="SF",U7="SF",W7="SF",Y7="SF",AA7="SF",AC7="SF"),"NC",
IF(SUM(IF(O7="C",1,0),IF(Q7="C",1,0),IF(S7="C",1,0),IF(U7="C",1,0),IF(W7="C",1,0),IF(Y7="C",1,0),IF(AA7="C",1,0),IF(AC7="C",1,0))=1,"C","C")))))</f>
        <v>NC</v>
      </c>
      <c r="AG7" s="150" t="str">
        <f>IF(AND(AE7="C",AF7="C"),"UTILIZOU O PDA CORRETAMENTE",IF(AND(AE7="C",AF7="NC"),"UTILIZOU O PDA CORRETAMENTE. NÃO HÁ FOTOS DE TODAS AS ETAPAS",IF(AND(AE7="NC",AF7="NC"),"NÃO UTILIZOU O PDA",IF(AND(AE7="NA",AF7="NA"),"NÃO AVALIADO POR FALHA DE SINCRONISMO"))))</f>
        <v>UTILIZOU O PDA CORRETAMENTE. NÃO HÁ FOTOS DE TODAS AS ETAPAS</v>
      </c>
      <c r="AH7" s="160" t="s">
        <v>75</v>
      </c>
      <c r="AI7" s="291" t="str">
        <f t="shared" si="0"/>
        <v>SÃO PAULO</v>
      </c>
      <c r="AJ7" s="291" t="s">
        <v>36</v>
      </c>
    </row>
    <row r="8" spans="1:36" s="51" customFormat="1" ht="30" customHeight="1">
      <c r="A8" s="197" t="s">
        <v>198</v>
      </c>
      <c r="B8" s="212">
        <v>2617965917</v>
      </c>
      <c r="C8" s="197" t="s">
        <v>154</v>
      </c>
      <c r="D8" s="197" t="s">
        <v>83</v>
      </c>
      <c r="E8" s="197" t="s">
        <v>35</v>
      </c>
      <c r="F8" s="197" t="s">
        <v>1560</v>
      </c>
      <c r="G8" s="197">
        <v>32</v>
      </c>
      <c r="H8" s="197" t="s">
        <v>257</v>
      </c>
      <c r="I8" s="197" t="s">
        <v>649</v>
      </c>
      <c r="J8" s="197" t="s">
        <v>2837</v>
      </c>
      <c r="K8" s="197" t="s">
        <v>200</v>
      </c>
      <c r="L8" s="203">
        <v>46147.552777777775</v>
      </c>
      <c r="M8" s="203">
        <v>46147.553472222222</v>
      </c>
      <c r="N8" s="197" t="s">
        <v>2838</v>
      </c>
      <c r="O8" s="151" t="s">
        <v>207</v>
      </c>
      <c r="P8" s="137"/>
      <c r="Q8" s="138" t="s">
        <v>215</v>
      </c>
      <c r="R8" s="137" t="s">
        <v>2842</v>
      </c>
      <c r="S8" s="138" t="s">
        <v>207</v>
      </c>
      <c r="T8" s="137"/>
      <c r="U8" s="138" t="s">
        <v>214</v>
      </c>
      <c r="V8" s="137"/>
      <c r="W8" s="138" t="s">
        <v>207</v>
      </c>
      <c r="X8" s="137"/>
      <c r="Y8" s="138" t="s">
        <v>214</v>
      </c>
      <c r="Z8" s="137"/>
      <c r="AA8" s="138" t="s">
        <v>207</v>
      </c>
      <c r="AB8" s="137"/>
      <c r="AC8" s="138" t="s">
        <v>215</v>
      </c>
      <c r="AD8" s="137" t="s">
        <v>1545</v>
      </c>
      <c r="AE8" s="138" t="s">
        <v>207</v>
      </c>
      <c r="AF8" s="189" t="str">
        <f>IF(AND(O8="",Q8="",S8="",U8="",W8="",Y8="",AA8="",AC8=""),"",
IF(OR(    AND(O8&lt;&gt;"NA",O8&lt;&gt;"C",O8&lt;&gt;"NC",O8&lt;&gt;"SF",O8&lt;&gt;""),
    AND(Q8&lt;&gt;"NA",Q8&lt;&gt;"C",Q8&lt;&gt;"NC",Q8&lt;&gt;"SF",Q8&lt;&gt;""),
    AND(S8&lt;&gt;"NA",S8&lt;&gt;"C",S8&lt;&gt;"NC",S8&lt;&gt;"SF",S8&lt;&gt;""),
    AND(U8&lt;&gt;"NA",U8&lt;&gt;"C",U8&lt;&gt;"NC",U8&lt;&gt;"SF",U8&lt;&gt;""),
    AND(W8&lt;&gt;"NA",W8&lt;&gt;"C",W8&lt;&gt;"NC",W8&lt;&gt;"SF",W8&lt;&gt;""),
    AND(Y8&lt;&gt;"NA",Y8&lt;&gt;"C",Y8&lt;&gt;"NC",Y8&lt;&gt;"SF",Y8&lt;&gt;""),
    AND(AA8&lt;&gt;"NA",AA8&lt;&gt;"C",AA8&lt;&gt;"NC",AA8&lt;&gt;"SF",AA8&lt;&gt;""),
    AND(AC8&lt;&gt;"NA",AC8&lt;&gt;"C",AC8&lt;&gt;"NC",AC8&lt;&gt;"SF",AC8&lt;&gt;"")
),"FALSO",
IF(AND(O8="NA",Q8="NA",S8="NA",U8="NA",W8="NA",Y8="NA",AA8="NA",AC8="NA"),"NA",
IF(OR(O8="NC",Q8="NC",S8="NC",U8="NC",W8="NC",Y8="NC",AA8="NC",AC8="NC",
       O8="SF",Q8="SF",S8="SF",U8="SF",W8="SF",Y8="SF",AA8="SF",AC8="SF"),"NC",
IF(SUM(IF(O8="C",1,0),IF(Q8="C",1,0),IF(S8="C",1,0),IF(U8="C",1,0),IF(W8="C",1,0),IF(Y8="C",1,0),IF(AA8="C",1,0),IF(AC8="C",1,0))=1,"C","C")))))</f>
        <v>NC</v>
      </c>
      <c r="AG8" s="150" t="str">
        <f>IF(AND(AE8="C",AF8="C"),"UTILIZOU O PDA CORRETAMENTE",IF(AND(AE8="C",AF8="NC"),"UTILIZOU O PDA CORRETAMENTE. NÃO HÁ FOTOS DE TODAS AS ETAPAS",IF(AND(AE8="NC",AF8="NC"),"NÃO UTILIZOU O PDA",IF(AND(AE8="NA",AF8="NA"),"NÃO AVALIADO POR FALHA DE SINCRONISMO"))))</f>
        <v>UTILIZOU O PDA CORRETAMENTE. NÃO HÁ FOTOS DE TODAS AS ETAPAS</v>
      </c>
      <c r="AH8" s="160" t="s">
        <v>75</v>
      </c>
      <c r="AI8" s="291" t="str">
        <f t="shared" si="0"/>
        <v>SÃO PAULO</v>
      </c>
      <c r="AJ8" s="291" t="s">
        <v>36</v>
      </c>
    </row>
    <row r="9" spans="1:36" s="51" customFormat="1" ht="30" customHeight="1">
      <c r="A9" s="197" t="s">
        <v>198</v>
      </c>
      <c r="B9" s="212">
        <v>2618505072</v>
      </c>
      <c r="C9" s="197" t="s">
        <v>154</v>
      </c>
      <c r="D9" s="197" t="s">
        <v>83</v>
      </c>
      <c r="E9" s="197" t="s">
        <v>35</v>
      </c>
      <c r="F9" s="197" t="s">
        <v>2843</v>
      </c>
      <c r="G9" s="197">
        <v>19</v>
      </c>
      <c r="H9" s="197" t="s">
        <v>208</v>
      </c>
      <c r="I9" s="197" t="s">
        <v>319</v>
      </c>
      <c r="J9" s="197" t="s">
        <v>2837</v>
      </c>
      <c r="K9" s="197"/>
      <c r="L9" s="203">
        <v>46147.388888888891</v>
      </c>
      <c r="M9" s="203">
        <v>46147.38958333333</v>
      </c>
      <c r="N9" s="197" t="s">
        <v>2838</v>
      </c>
      <c r="O9" s="151" t="s">
        <v>207</v>
      </c>
      <c r="P9" s="137"/>
      <c r="Q9" s="138" t="s">
        <v>215</v>
      </c>
      <c r="R9" s="137" t="s">
        <v>2842</v>
      </c>
      <c r="S9" s="138" t="s">
        <v>207</v>
      </c>
      <c r="T9" s="137"/>
      <c r="U9" s="138" t="s">
        <v>214</v>
      </c>
      <c r="V9" s="137"/>
      <c r="W9" s="138" t="s">
        <v>207</v>
      </c>
      <c r="X9" s="137"/>
      <c r="Y9" s="138" t="s">
        <v>214</v>
      </c>
      <c r="Z9" s="137"/>
      <c r="AA9" s="138" t="s">
        <v>207</v>
      </c>
      <c r="AB9" s="137"/>
      <c r="AC9" s="138" t="s">
        <v>215</v>
      </c>
      <c r="AD9" s="137" t="s">
        <v>2840</v>
      </c>
      <c r="AE9" s="138" t="s">
        <v>207</v>
      </c>
      <c r="AF9" s="189" t="str">
        <f>IF(AND(O9="",Q9="",S9="",U9="",W9="",Y9="",AA9="",AC9=""),"",
IF(OR(    AND(O9&lt;&gt;"NA",O9&lt;&gt;"C",O9&lt;&gt;"NC",O9&lt;&gt;"SF",O9&lt;&gt;""),
    AND(Q9&lt;&gt;"NA",Q9&lt;&gt;"C",Q9&lt;&gt;"NC",Q9&lt;&gt;"SF",Q9&lt;&gt;""),
    AND(S9&lt;&gt;"NA",S9&lt;&gt;"C",S9&lt;&gt;"NC",S9&lt;&gt;"SF",S9&lt;&gt;""),
    AND(U9&lt;&gt;"NA",U9&lt;&gt;"C",U9&lt;&gt;"NC",U9&lt;&gt;"SF",U9&lt;&gt;""),
    AND(W9&lt;&gt;"NA",W9&lt;&gt;"C",W9&lt;&gt;"NC",W9&lt;&gt;"SF",W9&lt;&gt;""),
    AND(Y9&lt;&gt;"NA",Y9&lt;&gt;"C",Y9&lt;&gt;"NC",Y9&lt;&gt;"SF",Y9&lt;&gt;""),
    AND(AA9&lt;&gt;"NA",AA9&lt;&gt;"C",AA9&lt;&gt;"NC",AA9&lt;&gt;"SF",AA9&lt;&gt;""),
    AND(AC9&lt;&gt;"NA",AC9&lt;&gt;"C",AC9&lt;&gt;"NC",AC9&lt;&gt;"SF",AC9&lt;&gt;"")
),"FALSO",
IF(AND(O9="NA",Q9="NA",S9="NA",U9="NA",W9="NA",Y9="NA",AA9="NA",AC9="NA"),"NA",
IF(OR(O9="NC",Q9="NC",S9="NC",U9="NC",W9="NC",Y9="NC",AA9="NC",AC9="NC",
       O9="SF",Q9="SF",S9="SF",U9="SF",W9="SF",Y9="SF",AA9="SF",AC9="SF"),"NC",
IF(SUM(IF(O9="C",1,0),IF(Q9="C",1,0),IF(S9="C",1,0),IF(U9="C",1,0),IF(W9="C",1,0),IF(Y9="C",1,0),IF(AA9="C",1,0),IF(AC9="C",1,0))=1,"C","C")))))</f>
        <v>NC</v>
      </c>
      <c r="AG9" s="150" t="str">
        <f>IF(AND(AE9="C",AF9="C"),"UTILIZOU O PDA CORRETAMENTE",IF(AND(AE9="C",AF9="NC"),"UTILIZOU O PDA CORRETAMENTE. NÃO HÁ FOTOS DE TODAS AS ETAPAS",IF(AND(AE9="NC",AF9="NC"),"NÃO UTILIZOU O PDA",IF(AND(AE9="NA",AF9="NA"),"NÃO AVALIADO POR FALHA DE SINCRONISMO"))))</f>
        <v>UTILIZOU O PDA CORRETAMENTE. NÃO HÁ FOTOS DE TODAS AS ETAPAS</v>
      </c>
      <c r="AH9" s="60"/>
      <c r="AI9" s="291" t="str">
        <f t="shared" si="0"/>
        <v>SÃO PAULO</v>
      </c>
      <c r="AJ9" s="291" t="s">
        <v>36</v>
      </c>
    </row>
    <row r="10" spans="1:36" s="51" customFormat="1" ht="30" customHeight="1">
      <c r="A10" s="197" t="s">
        <v>198</v>
      </c>
      <c r="B10" s="212">
        <v>2618504559</v>
      </c>
      <c r="C10" s="197" t="s">
        <v>154</v>
      </c>
      <c r="D10" s="197" t="s">
        <v>83</v>
      </c>
      <c r="E10" s="197" t="s">
        <v>35</v>
      </c>
      <c r="F10" s="197" t="s">
        <v>844</v>
      </c>
      <c r="G10" s="197">
        <v>17</v>
      </c>
      <c r="H10" s="197" t="s">
        <v>200</v>
      </c>
      <c r="I10" s="197" t="s">
        <v>389</v>
      </c>
      <c r="J10" s="197" t="s">
        <v>2837</v>
      </c>
      <c r="K10" s="197" t="s">
        <v>200</v>
      </c>
      <c r="L10" s="203">
        <v>46147.647222222222</v>
      </c>
      <c r="M10" s="203">
        <v>46147.647916666669</v>
      </c>
      <c r="N10" s="197" t="s">
        <v>2838</v>
      </c>
      <c r="O10" s="151" t="s">
        <v>207</v>
      </c>
      <c r="P10" s="137"/>
      <c r="Q10" s="138" t="s">
        <v>215</v>
      </c>
      <c r="R10" s="137" t="s">
        <v>2842</v>
      </c>
      <c r="S10" s="138" t="s">
        <v>207</v>
      </c>
      <c r="T10" s="137"/>
      <c r="U10" s="138" t="s">
        <v>214</v>
      </c>
      <c r="V10" s="137"/>
      <c r="W10" s="138" t="s">
        <v>207</v>
      </c>
      <c r="X10" s="137"/>
      <c r="Y10" s="138" t="s">
        <v>214</v>
      </c>
      <c r="Z10" s="137"/>
      <c r="AA10" s="138" t="s">
        <v>207</v>
      </c>
      <c r="AB10" s="137"/>
      <c r="AC10" s="138" t="s">
        <v>215</v>
      </c>
      <c r="AD10" s="137" t="s">
        <v>216</v>
      </c>
      <c r="AE10" s="138" t="s">
        <v>207</v>
      </c>
      <c r="AF10" s="189" t="str">
        <f>IF(AND(O10="",Q10="",S10="",U10="",W10="",Y10="",AA10="",AC10=""),"",
IF(OR(    AND(O10&lt;&gt;"NA",O10&lt;&gt;"C",O10&lt;&gt;"NC",O10&lt;&gt;"SF",O10&lt;&gt;""),
    AND(Q10&lt;&gt;"NA",Q10&lt;&gt;"C",Q10&lt;&gt;"NC",Q10&lt;&gt;"SF",Q10&lt;&gt;""),
    AND(S10&lt;&gt;"NA",S10&lt;&gt;"C",S10&lt;&gt;"NC",S10&lt;&gt;"SF",S10&lt;&gt;""),
    AND(U10&lt;&gt;"NA",U10&lt;&gt;"C",U10&lt;&gt;"NC",U10&lt;&gt;"SF",U10&lt;&gt;""),
    AND(W10&lt;&gt;"NA",W10&lt;&gt;"C",W10&lt;&gt;"NC",W10&lt;&gt;"SF",W10&lt;&gt;""),
    AND(Y10&lt;&gt;"NA",Y10&lt;&gt;"C",Y10&lt;&gt;"NC",Y10&lt;&gt;"SF",Y10&lt;&gt;""),
    AND(AA10&lt;&gt;"NA",AA10&lt;&gt;"C",AA10&lt;&gt;"NC",AA10&lt;&gt;"SF",AA10&lt;&gt;""),
    AND(AC10&lt;&gt;"NA",AC10&lt;&gt;"C",AC10&lt;&gt;"NC",AC10&lt;&gt;"SF",AC10&lt;&gt;"")
),"FALSO",
IF(AND(O10="NA",Q10="NA",S10="NA",U10="NA",W10="NA",Y10="NA",AA10="NA",AC10="NA"),"NA",
IF(OR(O10="NC",Q10="NC",S10="NC",U10="NC",W10="NC",Y10="NC",AA10="NC",AC10="NC",
       O10="SF",Q10="SF",S10="SF",U10="SF",W10="SF",Y10="SF",AA10="SF",AC10="SF"),"NC",
IF(SUM(IF(O10="C",1,0),IF(Q10="C",1,0),IF(S10="C",1,0),IF(U10="C",1,0),IF(W10="C",1,0),IF(Y10="C",1,0),IF(AA10="C",1,0),IF(AC10="C",1,0))=1,"C","C")))))</f>
        <v>NC</v>
      </c>
      <c r="AG10" s="150" t="str">
        <f>IF(AND(AE10="C",AF10="C"),"UTILIZOU O PDA CORRETAMENTE",IF(AND(AE10="C",AF10="NC"),"UTILIZOU O PDA CORRETAMENTE. NÃO HÁ FOTOS DE TODAS AS ETAPAS",IF(AND(AE10="NC",AF10="NC"),"NÃO UTILIZOU O PDA",IF(AND(AE10="NA",AF10="NA"),"NÃO AVALIADO POR FALHA DE SINCRONISMO"))))</f>
        <v>UTILIZOU O PDA CORRETAMENTE. NÃO HÁ FOTOS DE TODAS AS ETAPAS</v>
      </c>
      <c r="AH10" s="60"/>
      <c r="AI10" s="291" t="str">
        <f t="shared" si="0"/>
        <v>SÃO PAULO</v>
      </c>
      <c r="AJ10" s="291" t="s">
        <v>36</v>
      </c>
    </row>
    <row r="11" spans="1:36" s="51" customFormat="1" ht="30" customHeight="1">
      <c r="A11" s="197" t="s">
        <v>198</v>
      </c>
      <c r="B11" s="212">
        <v>2618461135</v>
      </c>
      <c r="C11" s="197" t="s">
        <v>157</v>
      </c>
      <c r="D11" s="197" t="s">
        <v>83</v>
      </c>
      <c r="E11" s="197" t="s">
        <v>35</v>
      </c>
      <c r="F11" s="197" t="s">
        <v>428</v>
      </c>
      <c r="G11" s="197">
        <v>12</v>
      </c>
      <c r="H11" s="197" t="s">
        <v>208</v>
      </c>
      <c r="I11" s="197" t="s">
        <v>429</v>
      </c>
      <c r="J11" s="197" t="s">
        <v>2839</v>
      </c>
      <c r="K11" s="197"/>
      <c r="L11" s="203">
        <v>46147.45</v>
      </c>
      <c r="M11" s="203">
        <v>46147.45416666667</v>
      </c>
      <c r="N11" s="197" t="s">
        <v>2838</v>
      </c>
      <c r="O11" s="151" t="s">
        <v>207</v>
      </c>
      <c r="P11" s="137"/>
      <c r="Q11" s="138" t="s">
        <v>215</v>
      </c>
      <c r="R11" s="137" t="s">
        <v>2842</v>
      </c>
      <c r="S11" s="138" t="s">
        <v>207</v>
      </c>
      <c r="T11" s="137"/>
      <c r="U11" s="138" t="s">
        <v>214</v>
      </c>
      <c r="V11" s="137"/>
      <c r="W11" s="138" t="s">
        <v>207</v>
      </c>
      <c r="X11" s="137"/>
      <c r="Y11" s="138" t="s">
        <v>214</v>
      </c>
      <c r="Z11" s="137"/>
      <c r="AA11" s="138" t="s">
        <v>215</v>
      </c>
      <c r="AB11" s="137" t="s">
        <v>2844</v>
      </c>
      <c r="AC11" s="138" t="s">
        <v>215</v>
      </c>
      <c r="AD11" s="137" t="s">
        <v>1545</v>
      </c>
      <c r="AE11" s="138" t="s">
        <v>207</v>
      </c>
      <c r="AF11" s="189" t="str">
        <f>IF(AND(O11="",Q11="",S11="",U11="",W11="",Y11="",AA11="",AC11=""),"",
IF(OR(    AND(O11&lt;&gt;"NA",O11&lt;&gt;"C",O11&lt;&gt;"NC",O11&lt;&gt;"SF",O11&lt;&gt;""),
    AND(Q11&lt;&gt;"NA",Q11&lt;&gt;"C",Q11&lt;&gt;"NC",Q11&lt;&gt;"SF",Q11&lt;&gt;""),
    AND(S11&lt;&gt;"NA",S11&lt;&gt;"C",S11&lt;&gt;"NC",S11&lt;&gt;"SF",S11&lt;&gt;""),
    AND(U11&lt;&gt;"NA",U11&lt;&gt;"C",U11&lt;&gt;"NC",U11&lt;&gt;"SF",U11&lt;&gt;""),
    AND(W11&lt;&gt;"NA",W11&lt;&gt;"C",W11&lt;&gt;"NC",W11&lt;&gt;"SF",W11&lt;&gt;""),
    AND(Y11&lt;&gt;"NA",Y11&lt;&gt;"C",Y11&lt;&gt;"NC",Y11&lt;&gt;"SF",Y11&lt;&gt;""),
    AND(AA11&lt;&gt;"NA",AA11&lt;&gt;"C",AA11&lt;&gt;"NC",AA11&lt;&gt;"SF",AA11&lt;&gt;""),
    AND(AC11&lt;&gt;"NA",AC11&lt;&gt;"C",AC11&lt;&gt;"NC",AC11&lt;&gt;"SF",AC11&lt;&gt;"")
),"FALSO",
IF(AND(O11="NA",Q11="NA",S11="NA",U11="NA",W11="NA",Y11="NA",AA11="NA",AC11="NA"),"NA",
IF(OR(O11="NC",Q11="NC",S11="NC",U11="NC",W11="NC",Y11="NC",AA11="NC",AC11="NC",
       O11="SF",Q11="SF",S11="SF",U11="SF",W11="SF",Y11="SF",AA11="SF",AC11="SF"),"NC",
IF(SUM(IF(O11="C",1,0),IF(Q11="C",1,0),IF(S11="C",1,0),IF(U11="C",1,0),IF(W11="C",1,0),IF(Y11="C",1,0),IF(AA11="C",1,0),IF(AC11="C",1,0))=1,"C","C")))))</f>
        <v>NC</v>
      </c>
      <c r="AG11" s="150" t="str">
        <f>IF(AND(AE11="C",AF11="C"),"UTILIZOU O PDA CORRETAMENTE",IF(AND(AE11="C",AF11="NC"),"UTILIZOU O PDA CORRETAMENTE. NÃO HÁ FOTOS DE TODAS AS ETAPAS",IF(AND(AE11="NC",AF11="NC"),"NÃO UTILIZOU O PDA",IF(AND(AE11="NA",AF11="NA"),"NÃO AVALIADO POR FALHA DE SINCRONISMO"))))</f>
        <v>UTILIZOU O PDA CORRETAMENTE. NÃO HÁ FOTOS DE TODAS AS ETAPAS</v>
      </c>
      <c r="AH11" s="60" t="s">
        <v>54</v>
      </c>
      <c r="AI11" s="291" t="str">
        <f t="shared" si="0"/>
        <v>SÃO PAULO</v>
      </c>
      <c r="AJ11" s="291" t="s">
        <v>36</v>
      </c>
    </row>
    <row r="12" spans="1:36" s="51" customFormat="1" ht="30" customHeight="1">
      <c r="A12" s="197" t="s">
        <v>198</v>
      </c>
      <c r="B12" s="212">
        <v>2618306834</v>
      </c>
      <c r="C12" s="197" t="s">
        <v>154</v>
      </c>
      <c r="D12" s="197" t="s">
        <v>83</v>
      </c>
      <c r="E12" s="197" t="s">
        <v>35</v>
      </c>
      <c r="F12" s="197" t="s">
        <v>613</v>
      </c>
      <c r="G12" s="197">
        <v>43</v>
      </c>
      <c r="H12" s="197" t="s">
        <v>200</v>
      </c>
      <c r="I12" s="197" t="s">
        <v>614</v>
      </c>
      <c r="J12" s="197" t="s">
        <v>2837</v>
      </c>
      <c r="K12" s="197" t="s">
        <v>200</v>
      </c>
      <c r="L12" s="203">
        <v>46147</v>
      </c>
      <c r="M12" s="203">
        <v>46147.000694444447</v>
      </c>
      <c r="N12" s="197" t="s">
        <v>2838</v>
      </c>
      <c r="O12" s="151" t="s">
        <v>207</v>
      </c>
      <c r="P12" s="137"/>
      <c r="Q12" s="138" t="s">
        <v>215</v>
      </c>
      <c r="R12" s="137" t="s">
        <v>2842</v>
      </c>
      <c r="S12" s="138" t="s">
        <v>207</v>
      </c>
      <c r="T12" s="137"/>
      <c r="U12" s="138" t="s">
        <v>214</v>
      </c>
      <c r="V12" s="137"/>
      <c r="W12" s="138" t="s">
        <v>207</v>
      </c>
      <c r="X12" s="137"/>
      <c r="Y12" s="138" t="s">
        <v>214</v>
      </c>
      <c r="Z12" s="137"/>
      <c r="AA12" s="138" t="s">
        <v>207</v>
      </c>
      <c r="AB12" s="137"/>
      <c r="AC12" s="138" t="s">
        <v>215</v>
      </c>
      <c r="AD12" s="137" t="s">
        <v>2840</v>
      </c>
      <c r="AE12" s="138" t="s">
        <v>207</v>
      </c>
      <c r="AF12" s="189" t="str">
        <f>IF(AND(O12="",Q12="",S12="",U12="",W12="",Y12="",AA12="",AC12=""),"",
IF(OR(    AND(O12&lt;&gt;"NA",O12&lt;&gt;"C",O12&lt;&gt;"NC",O12&lt;&gt;"SF",O12&lt;&gt;""),
    AND(Q12&lt;&gt;"NA",Q12&lt;&gt;"C",Q12&lt;&gt;"NC",Q12&lt;&gt;"SF",Q12&lt;&gt;""),
    AND(S12&lt;&gt;"NA",S12&lt;&gt;"C",S12&lt;&gt;"NC",S12&lt;&gt;"SF",S12&lt;&gt;""),
    AND(U12&lt;&gt;"NA",U12&lt;&gt;"C",U12&lt;&gt;"NC",U12&lt;&gt;"SF",U12&lt;&gt;""),
    AND(W12&lt;&gt;"NA",W12&lt;&gt;"C",W12&lt;&gt;"NC",W12&lt;&gt;"SF",W12&lt;&gt;""),
    AND(Y12&lt;&gt;"NA",Y12&lt;&gt;"C",Y12&lt;&gt;"NC",Y12&lt;&gt;"SF",Y12&lt;&gt;""),
    AND(AA12&lt;&gt;"NA",AA12&lt;&gt;"C",AA12&lt;&gt;"NC",AA12&lt;&gt;"SF",AA12&lt;&gt;""),
    AND(AC12&lt;&gt;"NA",AC12&lt;&gt;"C",AC12&lt;&gt;"NC",AC12&lt;&gt;"SF",AC12&lt;&gt;"")
),"FALSO",
IF(AND(O12="NA",Q12="NA",S12="NA",U12="NA",W12="NA",Y12="NA",AA12="NA",AC12="NA"),"NA",
IF(OR(O12="NC",Q12="NC",S12="NC",U12="NC",W12="NC",Y12="NC",AA12="NC",AC12="NC",
       O12="SF",Q12="SF",S12="SF",U12="SF",W12="SF",Y12="SF",AA12="SF",AC12="SF"),"NC",
IF(SUM(IF(O12="C",1,0),IF(Q12="C",1,0),IF(S12="C",1,0),IF(U12="C",1,0),IF(W12="C",1,0),IF(Y12="C",1,0),IF(AA12="C",1,0),IF(AC12="C",1,0))=1,"C","C")))))</f>
        <v>NC</v>
      </c>
      <c r="AG12" s="150" t="str">
        <f>IF(AND(AE12="C",AF12="C"),"UTILIZOU O PDA CORRETAMENTE",IF(AND(AE12="C",AF12="NC"),"UTILIZOU O PDA CORRETAMENTE. NÃO HÁ FOTOS DE TODAS AS ETAPAS",IF(AND(AE12="NC",AF12="NC"),"NÃO UTILIZOU O PDA",IF(AND(AE12="NA",AF12="NA"),"NÃO AVALIADO POR FALHA DE SINCRONISMO"))))</f>
        <v>UTILIZOU O PDA CORRETAMENTE. NÃO HÁ FOTOS DE TODAS AS ETAPAS</v>
      </c>
      <c r="AH12" s="60" t="s">
        <v>75</v>
      </c>
      <c r="AI12" s="291" t="str">
        <f t="shared" si="0"/>
        <v>SÃO PAULO</v>
      </c>
      <c r="AJ12" s="291" t="s">
        <v>36</v>
      </c>
    </row>
    <row r="13" spans="1:36" s="51" customFormat="1" ht="30" customHeight="1">
      <c r="A13" s="197" t="s">
        <v>198</v>
      </c>
      <c r="B13" s="212">
        <v>2617929822</v>
      </c>
      <c r="C13" s="197" t="s">
        <v>154</v>
      </c>
      <c r="D13" s="197" t="s">
        <v>83</v>
      </c>
      <c r="E13" s="197" t="s">
        <v>35</v>
      </c>
      <c r="F13" s="197" t="s">
        <v>613</v>
      </c>
      <c r="G13" s="197">
        <v>39</v>
      </c>
      <c r="H13" s="197" t="s">
        <v>200</v>
      </c>
      <c r="I13" s="197" t="s">
        <v>614</v>
      </c>
      <c r="J13" s="197" t="s">
        <v>2837</v>
      </c>
      <c r="K13" s="197" t="s">
        <v>200</v>
      </c>
      <c r="L13" s="203">
        <v>46147</v>
      </c>
      <c r="M13" s="203">
        <v>46147.000694444447</v>
      </c>
      <c r="N13" s="197" t="s">
        <v>2838</v>
      </c>
      <c r="O13" s="151" t="s">
        <v>207</v>
      </c>
      <c r="P13" s="137"/>
      <c r="Q13" s="138" t="s">
        <v>215</v>
      </c>
      <c r="R13" s="137" t="s">
        <v>2842</v>
      </c>
      <c r="S13" s="138" t="s">
        <v>207</v>
      </c>
      <c r="T13" s="137"/>
      <c r="U13" s="138" t="s">
        <v>214</v>
      </c>
      <c r="V13" s="137"/>
      <c r="W13" s="138" t="s">
        <v>207</v>
      </c>
      <c r="X13" s="137"/>
      <c r="Y13" s="138" t="s">
        <v>214</v>
      </c>
      <c r="Z13" s="137"/>
      <c r="AA13" s="138" t="s">
        <v>207</v>
      </c>
      <c r="AB13" s="137"/>
      <c r="AC13" s="138" t="s">
        <v>215</v>
      </c>
      <c r="AD13" s="137" t="s">
        <v>2840</v>
      </c>
      <c r="AE13" s="138" t="s">
        <v>207</v>
      </c>
      <c r="AF13" s="189" t="str">
        <f>IF(AND(O13="",Q13="",S13="",U13="",W13="",Y13="",AA13="",AC13=""),"",
IF(OR(    AND(O13&lt;&gt;"NA",O13&lt;&gt;"C",O13&lt;&gt;"NC",O13&lt;&gt;"SF",O13&lt;&gt;""),
    AND(Q13&lt;&gt;"NA",Q13&lt;&gt;"C",Q13&lt;&gt;"NC",Q13&lt;&gt;"SF",Q13&lt;&gt;""),
    AND(S13&lt;&gt;"NA",S13&lt;&gt;"C",S13&lt;&gt;"NC",S13&lt;&gt;"SF",S13&lt;&gt;""),
    AND(U13&lt;&gt;"NA",U13&lt;&gt;"C",U13&lt;&gt;"NC",U13&lt;&gt;"SF",U13&lt;&gt;""),
    AND(W13&lt;&gt;"NA",W13&lt;&gt;"C",W13&lt;&gt;"NC",W13&lt;&gt;"SF",W13&lt;&gt;""),
    AND(Y13&lt;&gt;"NA",Y13&lt;&gt;"C",Y13&lt;&gt;"NC",Y13&lt;&gt;"SF",Y13&lt;&gt;""),
    AND(AA13&lt;&gt;"NA",AA13&lt;&gt;"C",AA13&lt;&gt;"NC",AA13&lt;&gt;"SF",AA13&lt;&gt;""),
    AND(AC13&lt;&gt;"NA",AC13&lt;&gt;"C",AC13&lt;&gt;"NC",AC13&lt;&gt;"SF",AC13&lt;&gt;"")
),"FALSO",
IF(AND(O13="NA",Q13="NA",S13="NA",U13="NA",W13="NA",Y13="NA",AA13="NA",AC13="NA"),"NA",
IF(OR(O13="NC",Q13="NC",S13="NC",U13="NC",W13="NC",Y13="NC",AA13="NC",AC13="NC",
       O13="SF",Q13="SF",S13="SF",U13="SF",W13="SF",Y13="SF",AA13="SF",AC13="SF"),"NC",
IF(SUM(IF(O13="C",1,0),IF(Q13="C",1,0),IF(S13="C",1,0),IF(U13="C",1,0),IF(W13="C",1,0),IF(Y13="C",1,0),IF(AA13="C",1,0),IF(AC13="C",1,0))=1,"C","C")))))</f>
        <v>NC</v>
      </c>
      <c r="AG13" s="150" t="str">
        <f>IF(AND(AE13="C",AF13="C"),"UTILIZOU O PDA CORRETAMENTE",IF(AND(AE13="C",AF13="NC"),"UTILIZOU O PDA CORRETAMENTE. NÃO HÁ FOTOS DE TODAS AS ETAPAS",IF(AND(AE13="NC",AF13="NC"),"NÃO UTILIZOU O PDA",IF(AND(AE13="NA",AF13="NA"),"NÃO AVALIADO POR FALHA DE SINCRONISMO"))))</f>
        <v>UTILIZOU O PDA CORRETAMENTE. NÃO HÁ FOTOS DE TODAS AS ETAPAS</v>
      </c>
      <c r="AH13" s="60" t="s">
        <v>75</v>
      </c>
      <c r="AI13" s="291" t="str">
        <f t="shared" si="0"/>
        <v>SÃO PAULO</v>
      </c>
      <c r="AJ13" s="291" t="s">
        <v>36</v>
      </c>
    </row>
    <row r="14" spans="1:36" s="51" customFormat="1" ht="30" customHeight="1">
      <c r="A14" s="197" t="s">
        <v>198</v>
      </c>
      <c r="B14" s="212">
        <v>2618306807</v>
      </c>
      <c r="C14" s="197" t="s">
        <v>154</v>
      </c>
      <c r="D14" s="197" t="s">
        <v>83</v>
      </c>
      <c r="E14" s="197" t="s">
        <v>35</v>
      </c>
      <c r="F14" s="197" t="s">
        <v>613</v>
      </c>
      <c r="G14" s="197">
        <v>65</v>
      </c>
      <c r="H14" s="197"/>
      <c r="I14" s="197" t="s">
        <v>614</v>
      </c>
      <c r="J14" s="197" t="s">
        <v>2837</v>
      </c>
      <c r="K14" s="197"/>
      <c r="L14" s="203">
        <v>46147</v>
      </c>
      <c r="M14" s="203">
        <v>46147.000694444447</v>
      </c>
      <c r="N14" s="197" t="s">
        <v>2838</v>
      </c>
      <c r="O14" s="151" t="s">
        <v>207</v>
      </c>
      <c r="P14" s="137"/>
      <c r="Q14" s="138" t="s">
        <v>215</v>
      </c>
      <c r="R14" s="137" t="s">
        <v>310</v>
      </c>
      <c r="S14" s="138" t="s">
        <v>207</v>
      </c>
      <c r="T14" s="137"/>
      <c r="U14" s="138" t="s">
        <v>214</v>
      </c>
      <c r="V14" s="137"/>
      <c r="W14" s="138" t="s">
        <v>207</v>
      </c>
      <c r="X14" s="137"/>
      <c r="Y14" s="138" t="s">
        <v>214</v>
      </c>
      <c r="Z14" s="137"/>
      <c r="AA14" s="138" t="s">
        <v>207</v>
      </c>
      <c r="AB14" s="137"/>
      <c r="AC14" s="138" t="s">
        <v>215</v>
      </c>
      <c r="AD14" s="137" t="s">
        <v>2840</v>
      </c>
      <c r="AE14" s="138" t="s">
        <v>207</v>
      </c>
      <c r="AF14" s="189" t="str">
        <f>IF(AND(O14="",Q14="",S14="",U14="",W14="",Y14="",AA14="",AC14=""),"",
IF(OR(    AND(O14&lt;&gt;"NA",O14&lt;&gt;"C",O14&lt;&gt;"NC",O14&lt;&gt;"SF",O14&lt;&gt;""),
    AND(Q14&lt;&gt;"NA",Q14&lt;&gt;"C",Q14&lt;&gt;"NC",Q14&lt;&gt;"SF",Q14&lt;&gt;""),
    AND(S14&lt;&gt;"NA",S14&lt;&gt;"C",S14&lt;&gt;"NC",S14&lt;&gt;"SF",S14&lt;&gt;""),
    AND(U14&lt;&gt;"NA",U14&lt;&gt;"C",U14&lt;&gt;"NC",U14&lt;&gt;"SF",U14&lt;&gt;""),
    AND(W14&lt;&gt;"NA",W14&lt;&gt;"C",W14&lt;&gt;"NC",W14&lt;&gt;"SF",W14&lt;&gt;""),
    AND(Y14&lt;&gt;"NA",Y14&lt;&gt;"C",Y14&lt;&gt;"NC",Y14&lt;&gt;"SF",Y14&lt;&gt;""),
    AND(AA14&lt;&gt;"NA",AA14&lt;&gt;"C",AA14&lt;&gt;"NC",AA14&lt;&gt;"SF",AA14&lt;&gt;""),
    AND(AC14&lt;&gt;"NA",AC14&lt;&gt;"C",AC14&lt;&gt;"NC",AC14&lt;&gt;"SF",AC14&lt;&gt;"")
),"FALSO",
IF(AND(O14="NA",Q14="NA",S14="NA",U14="NA",W14="NA",Y14="NA",AA14="NA",AC14="NA"),"NA",
IF(OR(O14="NC",Q14="NC",S14="NC",U14="NC",W14="NC",Y14="NC",AA14="NC",AC14="NC",
       O14="SF",Q14="SF",S14="SF",U14="SF",W14="SF",Y14="SF",AA14="SF",AC14="SF"),"NC",
IF(SUM(IF(O14="C",1,0),IF(Q14="C",1,0),IF(S14="C",1,0),IF(U14="C",1,0),IF(W14="C",1,0),IF(Y14="C",1,0),IF(AA14="C",1,0),IF(AC14="C",1,0))=1,"C","C")))))</f>
        <v>NC</v>
      </c>
      <c r="AG14" s="150" t="str">
        <f>IF(AND(AE14="C",AF14="C"),"UTILIZOU O PDA CORRETAMENTE",IF(AND(AE14="C",AF14="NC"),"UTILIZOU O PDA CORRETAMENTE. NÃO HÁ FOTOS DE TODAS AS ETAPAS",IF(AND(AE14="NC",AF14="NC"),"NÃO UTILIZOU O PDA",IF(AND(AE14="NA",AF14="NA"),"NÃO AVALIADO POR FALHA DE SINCRONISMO"))))</f>
        <v>UTILIZOU O PDA CORRETAMENTE. NÃO HÁ FOTOS DE TODAS AS ETAPAS</v>
      </c>
      <c r="AH14" s="60" t="s">
        <v>75</v>
      </c>
      <c r="AI14" s="291" t="str">
        <f t="shared" si="0"/>
        <v>SÃO PAULO</v>
      </c>
      <c r="AJ14" s="291" t="s">
        <v>36</v>
      </c>
    </row>
    <row r="15" spans="1:36" s="51" customFormat="1" ht="30" customHeight="1">
      <c r="A15" s="197" t="s">
        <v>198</v>
      </c>
      <c r="B15" s="212">
        <v>2618618179</v>
      </c>
      <c r="C15" s="197" t="s">
        <v>154</v>
      </c>
      <c r="D15" s="197" t="s">
        <v>83</v>
      </c>
      <c r="E15" s="197" t="s">
        <v>35</v>
      </c>
      <c r="F15" s="197" t="s">
        <v>498</v>
      </c>
      <c r="G15" s="197">
        <v>4778</v>
      </c>
      <c r="H15" s="197" t="s">
        <v>208</v>
      </c>
      <c r="I15" s="197" t="s">
        <v>1331</v>
      </c>
      <c r="J15" s="197" t="s">
        <v>2837</v>
      </c>
      <c r="K15" s="197" t="s">
        <v>200</v>
      </c>
      <c r="L15" s="203">
        <v>46147.594444444447</v>
      </c>
      <c r="M15" s="203">
        <v>46147.595138888886</v>
      </c>
      <c r="N15" s="197" t="s">
        <v>2838</v>
      </c>
      <c r="O15" s="151" t="s">
        <v>207</v>
      </c>
      <c r="P15" s="137"/>
      <c r="Q15" s="138" t="s">
        <v>215</v>
      </c>
      <c r="R15" s="137" t="s">
        <v>310</v>
      </c>
      <c r="S15" s="138" t="s">
        <v>207</v>
      </c>
      <c r="T15" s="137"/>
      <c r="U15" s="138" t="s">
        <v>214</v>
      </c>
      <c r="V15" s="137"/>
      <c r="W15" s="138" t="s">
        <v>207</v>
      </c>
      <c r="X15" s="137"/>
      <c r="Y15" s="138" t="s">
        <v>214</v>
      </c>
      <c r="Z15" s="137"/>
      <c r="AA15" s="138" t="s">
        <v>207</v>
      </c>
      <c r="AB15" s="137"/>
      <c r="AC15" s="138" t="s">
        <v>215</v>
      </c>
      <c r="AD15" s="137" t="s">
        <v>1545</v>
      </c>
      <c r="AE15" s="138" t="s">
        <v>207</v>
      </c>
      <c r="AF15" s="189" t="str">
        <f>IF(AND(O15="",Q15="",S15="",U15="",W15="",Y15="",AA15="",AC15=""),"",
IF(OR(    AND(O15&lt;&gt;"NA",O15&lt;&gt;"C",O15&lt;&gt;"NC",O15&lt;&gt;"SF",O15&lt;&gt;""),
    AND(Q15&lt;&gt;"NA",Q15&lt;&gt;"C",Q15&lt;&gt;"NC",Q15&lt;&gt;"SF",Q15&lt;&gt;""),
    AND(S15&lt;&gt;"NA",S15&lt;&gt;"C",S15&lt;&gt;"NC",S15&lt;&gt;"SF",S15&lt;&gt;""),
    AND(U15&lt;&gt;"NA",U15&lt;&gt;"C",U15&lt;&gt;"NC",U15&lt;&gt;"SF",U15&lt;&gt;""),
    AND(W15&lt;&gt;"NA",W15&lt;&gt;"C",W15&lt;&gt;"NC",W15&lt;&gt;"SF",W15&lt;&gt;""),
    AND(Y15&lt;&gt;"NA",Y15&lt;&gt;"C",Y15&lt;&gt;"NC",Y15&lt;&gt;"SF",Y15&lt;&gt;""),
    AND(AA15&lt;&gt;"NA",AA15&lt;&gt;"C",AA15&lt;&gt;"NC",AA15&lt;&gt;"SF",AA15&lt;&gt;""),
    AND(AC15&lt;&gt;"NA",AC15&lt;&gt;"C",AC15&lt;&gt;"NC",AC15&lt;&gt;"SF",AC15&lt;&gt;"")
),"FALSO",
IF(AND(O15="NA",Q15="NA",S15="NA",U15="NA",W15="NA",Y15="NA",AA15="NA",AC15="NA"),"NA",
IF(OR(O15="NC",Q15="NC",S15="NC",U15="NC",W15="NC",Y15="NC",AA15="NC",AC15="NC",
       O15="SF",Q15="SF",S15="SF",U15="SF",W15="SF",Y15="SF",AA15="SF",AC15="SF"),"NC",
IF(SUM(IF(O15="C",1,0),IF(Q15="C",1,0),IF(S15="C",1,0),IF(U15="C",1,0),IF(W15="C",1,0),IF(Y15="C",1,0),IF(AA15="C",1,0),IF(AC15="C",1,0))=1,"C","C")))))</f>
        <v>NC</v>
      </c>
      <c r="AG15" s="150" t="str">
        <f>IF(AND(AE15="C",AF15="C"),"UTILIZOU O PDA CORRETAMENTE",IF(AND(AE15="C",AF15="NC"),"UTILIZOU O PDA CORRETAMENTE. NÃO HÁ FOTOS DE TODAS AS ETAPAS",IF(AND(AE15="NC",AF15="NC"),"NÃO UTILIZOU O PDA",IF(AND(AE15="NA",AF15="NA"),"NÃO AVALIADO POR FALHA DE SINCRONISMO"))))</f>
        <v>UTILIZOU O PDA CORRETAMENTE. NÃO HÁ FOTOS DE TODAS AS ETAPAS</v>
      </c>
      <c r="AH15" s="60" t="s">
        <v>75</v>
      </c>
      <c r="AI15" s="291" t="str">
        <f t="shared" si="0"/>
        <v>SÃO PAULO</v>
      </c>
      <c r="AJ15" s="291" t="s">
        <v>36</v>
      </c>
    </row>
    <row r="16" spans="1:36" s="51" customFormat="1" ht="30" customHeight="1">
      <c r="A16" s="197" t="s">
        <v>198</v>
      </c>
      <c r="B16" s="212">
        <v>2618917267</v>
      </c>
      <c r="C16" s="197" t="s">
        <v>154</v>
      </c>
      <c r="D16" s="197" t="s">
        <v>83</v>
      </c>
      <c r="E16" s="197" t="s">
        <v>35</v>
      </c>
      <c r="F16" s="197" t="s">
        <v>1432</v>
      </c>
      <c r="G16" s="197">
        <v>92</v>
      </c>
      <c r="H16" s="197" t="s">
        <v>347</v>
      </c>
      <c r="I16" s="197" t="s">
        <v>515</v>
      </c>
      <c r="J16" s="197" t="s">
        <v>2837</v>
      </c>
      <c r="K16" s="197" t="s">
        <v>200</v>
      </c>
      <c r="L16" s="203">
        <v>46148.612500000003</v>
      </c>
      <c r="M16" s="203">
        <v>46148.613194444442</v>
      </c>
      <c r="N16" s="197" t="s">
        <v>2838</v>
      </c>
      <c r="O16" s="151" t="s">
        <v>77</v>
      </c>
      <c r="P16" s="137"/>
      <c r="Q16" s="138" t="s">
        <v>77</v>
      </c>
      <c r="R16" s="137"/>
      <c r="S16" s="138" t="s">
        <v>77</v>
      </c>
      <c r="T16" s="137"/>
      <c r="U16" s="138" t="s">
        <v>77</v>
      </c>
      <c r="V16" s="137"/>
      <c r="W16" s="138" t="s">
        <v>77</v>
      </c>
      <c r="X16" s="137"/>
      <c r="Y16" s="138" t="s">
        <v>77</v>
      </c>
      <c r="Z16" s="137"/>
      <c r="AA16" s="138" t="s">
        <v>77</v>
      </c>
      <c r="AB16" s="137"/>
      <c r="AC16" s="138" t="s">
        <v>77</v>
      </c>
      <c r="AD16" s="137"/>
      <c r="AE16" s="138" t="s">
        <v>77</v>
      </c>
      <c r="AF16" s="189" t="str">
        <f>IF(AND(O16="",Q16="",S16="",U16="",W16="",Y16="",AA16="",AC16=""),"",
IF(OR(    AND(O16&lt;&gt;"NA",O16&lt;&gt;"C",O16&lt;&gt;"NC",O16&lt;&gt;"SF",O16&lt;&gt;""),
    AND(Q16&lt;&gt;"NA",Q16&lt;&gt;"C",Q16&lt;&gt;"NC",Q16&lt;&gt;"SF",Q16&lt;&gt;""),
    AND(S16&lt;&gt;"NA",S16&lt;&gt;"C",S16&lt;&gt;"NC",S16&lt;&gt;"SF",S16&lt;&gt;""),
    AND(U16&lt;&gt;"NA",U16&lt;&gt;"C",U16&lt;&gt;"NC",U16&lt;&gt;"SF",U16&lt;&gt;""),
    AND(W16&lt;&gt;"NA",W16&lt;&gt;"C",W16&lt;&gt;"NC",W16&lt;&gt;"SF",W16&lt;&gt;""),
    AND(Y16&lt;&gt;"NA",Y16&lt;&gt;"C",Y16&lt;&gt;"NC",Y16&lt;&gt;"SF",Y16&lt;&gt;""),
    AND(AA16&lt;&gt;"NA",AA16&lt;&gt;"C",AA16&lt;&gt;"NC",AA16&lt;&gt;"SF",AA16&lt;&gt;""),
    AND(AC16&lt;&gt;"NA",AC16&lt;&gt;"C",AC16&lt;&gt;"NC",AC16&lt;&gt;"SF",AC16&lt;&gt;"")
),"FALSO",
IF(AND(O16="NA",Q16="NA",S16="NA",U16="NA",W16="NA",Y16="NA",AA16="NA",AC16="NA"),"NA",
IF(OR(O16="NC",Q16="NC",S16="NC",U16="NC",W16="NC",Y16="NC",AA16="NC",AC16="NC",
       O16="SF",Q16="SF",S16="SF",U16="SF",W16="SF",Y16="SF",AA16="SF",AC16="SF"),"NC",
IF(SUM(IF(O16="C",1,0),IF(Q16="C",1,0),IF(S16="C",1,0),IF(U16="C",1,0),IF(W16="C",1,0),IF(Y16="C",1,0),IF(AA16="C",1,0),IF(AC16="C",1,0))=1,"C","C")))))</f>
        <v>NA</v>
      </c>
      <c r="AG16" s="150" t="str">
        <f>IF(AND(AE16="C",AF16="C"),"UTILIZOU O PDA CORRETAMENTE",IF(AND(AE16="C",AF16="NC"),"UTILIZOU O PDA CORRETAMENTE. NÃO HÁ FOTOS DE TODAS AS ETAPAS",IF(AND(AE16="NC",AF16="NC"),"NÃO UTILIZOU O PDA",IF(AND(AE16="NA",AF16="NA"),"NÃO AVALIADO POR FALHA DE SINCRONISMO"))))</f>
        <v>NÃO AVALIADO POR FALHA DE SINCRONISMO</v>
      </c>
      <c r="AH16" s="60" t="s">
        <v>75</v>
      </c>
      <c r="AI16" s="291" t="str">
        <f t="shared" si="0"/>
        <v>SÃO PAULO</v>
      </c>
      <c r="AJ16" s="291" t="s">
        <v>36</v>
      </c>
    </row>
    <row r="17" spans="1:36" s="51" customFormat="1" ht="30" customHeight="1">
      <c r="A17" s="197" t="s">
        <v>198</v>
      </c>
      <c r="B17" s="212">
        <v>2618917673</v>
      </c>
      <c r="C17" s="197" t="s">
        <v>154</v>
      </c>
      <c r="D17" s="197" t="s">
        <v>83</v>
      </c>
      <c r="E17" s="197" t="s">
        <v>35</v>
      </c>
      <c r="F17" s="197" t="s">
        <v>1432</v>
      </c>
      <c r="G17" s="197">
        <v>266</v>
      </c>
      <c r="H17" s="197" t="s">
        <v>347</v>
      </c>
      <c r="I17" s="197" t="s">
        <v>515</v>
      </c>
      <c r="J17" s="197" t="s">
        <v>2837</v>
      </c>
      <c r="K17" s="197"/>
      <c r="L17" s="203">
        <v>46148.611111111109</v>
      </c>
      <c r="M17" s="203">
        <v>46148.611805555556</v>
      </c>
      <c r="N17" s="197" t="s">
        <v>2838</v>
      </c>
      <c r="O17" s="151" t="s">
        <v>77</v>
      </c>
      <c r="P17" s="137"/>
      <c r="Q17" s="138" t="s">
        <v>77</v>
      </c>
      <c r="R17" s="137"/>
      <c r="S17" s="138" t="s">
        <v>77</v>
      </c>
      <c r="T17" s="137"/>
      <c r="U17" s="138" t="s">
        <v>77</v>
      </c>
      <c r="V17" s="137"/>
      <c r="W17" s="138" t="s">
        <v>77</v>
      </c>
      <c r="X17" s="137"/>
      <c r="Y17" s="138" t="s">
        <v>77</v>
      </c>
      <c r="Z17" s="137"/>
      <c r="AA17" s="138" t="s">
        <v>77</v>
      </c>
      <c r="AB17" s="137"/>
      <c r="AC17" s="138" t="s">
        <v>77</v>
      </c>
      <c r="AD17" s="137"/>
      <c r="AE17" s="138" t="s">
        <v>77</v>
      </c>
      <c r="AF17" s="189" t="str">
        <f>IF(AND(O17="",Q17="",S17="",U17="",W17="",Y17="",AA17="",AC17=""),"",
IF(OR(    AND(O17&lt;&gt;"NA",O17&lt;&gt;"C",O17&lt;&gt;"NC",O17&lt;&gt;"SF",O17&lt;&gt;""),
    AND(Q17&lt;&gt;"NA",Q17&lt;&gt;"C",Q17&lt;&gt;"NC",Q17&lt;&gt;"SF",Q17&lt;&gt;""),
    AND(S17&lt;&gt;"NA",S17&lt;&gt;"C",S17&lt;&gt;"NC",S17&lt;&gt;"SF",S17&lt;&gt;""),
    AND(U17&lt;&gt;"NA",U17&lt;&gt;"C",U17&lt;&gt;"NC",U17&lt;&gt;"SF",U17&lt;&gt;""),
    AND(W17&lt;&gt;"NA",W17&lt;&gt;"C",W17&lt;&gt;"NC",W17&lt;&gt;"SF",W17&lt;&gt;""),
    AND(Y17&lt;&gt;"NA",Y17&lt;&gt;"C",Y17&lt;&gt;"NC",Y17&lt;&gt;"SF",Y17&lt;&gt;""),
    AND(AA17&lt;&gt;"NA",AA17&lt;&gt;"C",AA17&lt;&gt;"NC",AA17&lt;&gt;"SF",AA17&lt;&gt;""),
    AND(AC17&lt;&gt;"NA",AC17&lt;&gt;"C",AC17&lt;&gt;"NC",AC17&lt;&gt;"SF",AC17&lt;&gt;"")
),"FALSO",
IF(AND(O17="NA",Q17="NA",S17="NA",U17="NA",W17="NA",Y17="NA",AA17="NA",AC17="NA"),"NA",
IF(OR(O17="NC",Q17="NC",S17="NC",U17="NC",W17="NC",Y17="NC",AA17="NC",AC17="NC",
       O17="SF",Q17="SF",S17="SF",U17="SF",W17="SF",Y17="SF",AA17="SF",AC17="SF"),"NC",
IF(SUM(IF(O17="C",1,0),IF(Q17="C",1,0),IF(S17="C",1,0),IF(U17="C",1,0),IF(W17="C",1,0),IF(Y17="C",1,0),IF(AA17="C",1,0),IF(AC17="C",1,0))=1,"C","C")))))</f>
        <v>NA</v>
      </c>
      <c r="AG17" s="150" t="str">
        <f>IF(AND(AE17="C",AF17="C"),"UTILIZOU O PDA CORRETAMENTE",IF(AND(AE17="C",AF17="NC"),"UTILIZOU O PDA CORRETAMENTE. NÃO HÁ FOTOS DE TODAS AS ETAPAS",IF(AND(AE17="NC",AF17="NC"),"NÃO UTILIZOU O PDA",IF(AND(AE17="NA",AF17="NA"),"NÃO AVALIADO POR FALHA DE SINCRONISMO"))))</f>
        <v>NÃO AVALIADO POR FALHA DE SINCRONISMO</v>
      </c>
      <c r="AH17" s="60" t="s">
        <v>54</v>
      </c>
      <c r="AI17" s="291" t="str">
        <f t="shared" si="0"/>
        <v>SÃO PAULO</v>
      </c>
      <c r="AJ17" s="291" t="s">
        <v>36</v>
      </c>
    </row>
    <row r="18" spans="1:36" s="51" customFormat="1" ht="30" customHeight="1">
      <c r="A18" s="197" t="s">
        <v>198</v>
      </c>
      <c r="B18" s="212">
        <v>2618917981</v>
      </c>
      <c r="C18" s="197" t="s">
        <v>154</v>
      </c>
      <c r="D18" s="197" t="s">
        <v>83</v>
      </c>
      <c r="E18" s="197" t="s">
        <v>35</v>
      </c>
      <c r="F18" s="197" t="s">
        <v>1432</v>
      </c>
      <c r="G18" s="197">
        <v>637</v>
      </c>
      <c r="H18" s="197" t="s">
        <v>329</v>
      </c>
      <c r="I18" s="197" t="s">
        <v>515</v>
      </c>
      <c r="J18" s="197" t="s">
        <v>2837</v>
      </c>
      <c r="K18" s="197" t="s">
        <v>200</v>
      </c>
      <c r="L18" s="203">
        <v>46148.612500000003</v>
      </c>
      <c r="M18" s="203">
        <v>46148.613194444442</v>
      </c>
      <c r="N18" s="197" t="s">
        <v>2838</v>
      </c>
      <c r="O18" s="151" t="s">
        <v>77</v>
      </c>
      <c r="P18" s="137"/>
      <c r="Q18" s="138" t="s">
        <v>77</v>
      </c>
      <c r="R18" s="137"/>
      <c r="S18" s="138" t="s">
        <v>77</v>
      </c>
      <c r="T18" s="137"/>
      <c r="U18" s="138" t="s">
        <v>77</v>
      </c>
      <c r="V18" s="137"/>
      <c r="W18" s="138" t="s">
        <v>77</v>
      </c>
      <c r="X18" s="137"/>
      <c r="Y18" s="138" t="s">
        <v>77</v>
      </c>
      <c r="Z18" s="137"/>
      <c r="AA18" s="138" t="s">
        <v>77</v>
      </c>
      <c r="AB18" s="149"/>
      <c r="AC18" s="138" t="s">
        <v>77</v>
      </c>
      <c r="AD18" s="149"/>
      <c r="AE18" s="138" t="s">
        <v>77</v>
      </c>
      <c r="AF18" s="189" t="str">
        <f>IF(AND(O18="",Q18="",S18="",U18="",W18="",Y18="",AA18="",AC18=""),"",
IF(OR(    AND(O18&lt;&gt;"NA",O18&lt;&gt;"C",O18&lt;&gt;"NC",O18&lt;&gt;"SF",O18&lt;&gt;""),
    AND(Q18&lt;&gt;"NA",Q18&lt;&gt;"C",Q18&lt;&gt;"NC",Q18&lt;&gt;"SF",Q18&lt;&gt;""),
    AND(S18&lt;&gt;"NA",S18&lt;&gt;"C",S18&lt;&gt;"NC",S18&lt;&gt;"SF",S18&lt;&gt;""),
    AND(U18&lt;&gt;"NA",U18&lt;&gt;"C",U18&lt;&gt;"NC",U18&lt;&gt;"SF",U18&lt;&gt;""),
    AND(W18&lt;&gt;"NA",W18&lt;&gt;"C",W18&lt;&gt;"NC",W18&lt;&gt;"SF",W18&lt;&gt;""),
    AND(Y18&lt;&gt;"NA",Y18&lt;&gt;"C",Y18&lt;&gt;"NC",Y18&lt;&gt;"SF",Y18&lt;&gt;""),
    AND(AA18&lt;&gt;"NA",AA18&lt;&gt;"C",AA18&lt;&gt;"NC",AA18&lt;&gt;"SF",AA18&lt;&gt;""),
    AND(AC18&lt;&gt;"NA",AC18&lt;&gt;"C",AC18&lt;&gt;"NC",AC18&lt;&gt;"SF",AC18&lt;&gt;"")
),"FALSO",
IF(AND(O18="NA",Q18="NA",S18="NA",U18="NA",W18="NA",Y18="NA",AA18="NA",AC18="NA"),"NA",
IF(OR(O18="NC",Q18="NC",S18="NC",U18="NC",W18="NC",Y18="NC",AA18="NC",AC18="NC",
       O18="SF",Q18="SF",S18="SF",U18="SF",W18="SF",Y18="SF",AA18="SF",AC18="SF"),"NC",
IF(SUM(IF(O18="C",1,0),IF(Q18="C",1,0),IF(S18="C",1,0),IF(U18="C",1,0),IF(W18="C",1,0),IF(Y18="C",1,0),IF(AA18="C",1,0),IF(AC18="C",1,0))=1,"C","C")))))</f>
        <v>NA</v>
      </c>
      <c r="AG18" s="150" t="str">
        <f>IF(AND(AE18="C",AF18="C"),"UTILIZOU O PDA CORRETAMENTE",IF(AND(AE18="C",AF18="NC"),"UTILIZOU O PDA CORRETAMENTE. NÃO HÁ FOTOS DE TODAS AS ETAPAS",IF(AND(AE18="NC",AF18="NC"),"NÃO UTILIZOU O PDA",IF(AND(AE18="NA",AF18="NA"),"NÃO AVALIADO POR FALHA DE SINCRONISMO"))))</f>
        <v>NÃO AVALIADO POR FALHA DE SINCRONISMO</v>
      </c>
      <c r="AH18" s="60"/>
      <c r="AI18" s="291" t="str">
        <f t="shared" si="0"/>
        <v>SÃO PAULO</v>
      </c>
      <c r="AJ18" s="291" t="s">
        <v>36</v>
      </c>
    </row>
    <row r="19" spans="1:36" s="51" customFormat="1" ht="30" customHeight="1">
      <c r="A19" s="197" t="s">
        <v>198</v>
      </c>
      <c r="B19" s="212">
        <v>2618506012</v>
      </c>
      <c r="C19" s="197" t="s">
        <v>154</v>
      </c>
      <c r="D19" s="197" t="s">
        <v>83</v>
      </c>
      <c r="E19" s="197" t="s">
        <v>35</v>
      </c>
      <c r="F19" s="197" t="s">
        <v>449</v>
      </c>
      <c r="G19" s="197">
        <v>82</v>
      </c>
      <c r="H19" s="197" t="s">
        <v>200</v>
      </c>
      <c r="I19" s="197" t="s">
        <v>440</v>
      </c>
      <c r="J19" s="197" t="s">
        <v>2837</v>
      </c>
      <c r="K19" s="197" t="s">
        <v>200</v>
      </c>
      <c r="L19" s="203">
        <v>46149.428472222222</v>
      </c>
      <c r="M19" s="203">
        <v>46149.429166666669</v>
      </c>
      <c r="N19" s="197" t="s">
        <v>2838</v>
      </c>
      <c r="O19" s="151" t="s">
        <v>207</v>
      </c>
      <c r="P19" s="54"/>
      <c r="Q19" s="138" t="s">
        <v>215</v>
      </c>
      <c r="R19" s="137" t="s">
        <v>2842</v>
      </c>
      <c r="S19" s="138" t="s">
        <v>207</v>
      </c>
      <c r="T19" s="54"/>
      <c r="U19" s="138" t="s">
        <v>214</v>
      </c>
      <c r="V19" s="54"/>
      <c r="W19" s="138" t="s">
        <v>207</v>
      </c>
      <c r="X19" s="54"/>
      <c r="Y19" s="138" t="s">
        <v>214</v>
      </c>
      <c r="Z19" s="54"/>
      <c r="AA19" s="138" t="s">
        <v>207</v>
      </c>
      <c r="AB19" s="149"/>
      <c r="AC19" s="138" t="s">
        <v>215</v>
      </c>
      <c r="AD19" s="137" t="s">
        <v>2840</v>
      </c>
      <c r="AE19" s="138" t="s">
        <v>207</v>
      </c>
      <c r="AF19" s="189" t="str">
        <f>IF(AND(O19="",Q19="",S19="",U19="",W19="",Y19="",AA19="",AC19=""),"",
IF(OR(    AND(O19&lt;&gt;"NA",O19&lt;&gt;"C",O19&lt;&gt;"NC",O19&lt;&gt;"SF",O19&lt;&gt;""),
    AND(Q19&lt;&gt;"NA",Q19&lt;&gt;"C",Q19&lt;&gt;"NC",Q19&lt;&gt;"SF",Q19&lt;&gt;""),
    AND(S19&lt;&gt;"NA",S19&lt;&gt;"C",S19&lt;&gt;"NC",S19&lt;&gt;"SF",S19&lt;&gt;""),
    AND(U19&lt;&gt;"NA",U19&lt;&gt;"C",U19&lt;&gt;"NC",U19&lt;&gt;"SF",U19&lt;&gt;""),
    AND(W19&lt;&gt;"NA",W19&lt;&gt;"C",W19&lt;&gt;"NC",W19&lt;&gt;"SF",W19&lt;&gt;""),
    AND(Y19&lt;&gt;"NA",Y19&lt;&gt;"C",Y19&lt;&gt;"NC",Y19&lt;&gt;"SF",Y19&lt;&gt;""),
    AND(AA19&lt;&gt;"NA",AA19&lt;&gt;"C",AA19&lt;&gt;"NC",AA19&lt;&gt;"SF",AA19&lt;&gt;""),
    AND(AC19&lt;&gt;"NA",AC19&lt;&gt;"C",AC19&lt;&gt;"NC",AC19&lt;&gt;"SF",AC19&lt;&gt;"")
),"FALSO",
IF(AND(O19="NA",Q19="NA",S19="NA",U19="NA",W19="NA",Y19="NA",AA19="NA",AC19="NA"),"NA",
IF(OR(O19="NC",Q19="NC",S19="NC",U19="NC",W19="NC",Y19="NC",AA19="NC",AC19="NC",
       O19="SF",Q19="SF",S19="SF",U19="SF",W19="SF",Y19="SF",AA19="SF",AC19="SF"),"NC",
IF(SUM(IF(O19="C",1,0),IF(Q19="C",1,0),IF(S19="C",1,0),IF(U19="C",1,0),IF(W19="C",1,0),IF(Y19="C",1,0),IF(AA19="C",1,0),IF(AC19="C",1,0))=1,"C","C")))))</f>
        <v>NC</v>
      </c>
      <c r="AG19" s="150" t="str">
        <f>IF(AND(AE19="C",AF19="C"),"UTILIZOU O PDA CORRETAMENTE",IF(AND(AE19="C",AF19="NC"),"UTILIZOU O PDA CORRETAMENTE. NÃO HÁ FOTOS DE TODAS AS ETAPAS",IF(AND(AE19="NC",AF19="NC"),"NÃO UTILIZOU O PDA",IF(AND(AE19="NA",AF19="NA"),"NÃO AVALIADO POR FALHA DE SINCRONISMO"))))</f>
        <v>UTILIZOU O PDA CORRETAMENTE. NÃO HÁ FOTOS DE TODAS AS ETAPAS</v>
      </c>
      <c r="AH19" s="60" t="s">
        <v>54</v>
      </c>
      <c r="AI19" s="291" t="str">
        <f t="shared" si="0"/>
        <v>SÃO PAULO</v>
      </c>
      <c r="AJ19" s="291" t="s">
        <v>36</v>
      </c>
    </row>
    <row r="20" spans="1:36" s="51" customFormat="1" ht="30" customHeight="1">
      <c r="A20" s="197" t="s">
        <v>198</v>
      </c>
      <c r="B20" s="212">
        <v>2692391194</v>
      </c>
      <c r="C20" s="197" t="s">
        <v>154</v>
      </c>
      <c r="D20" s="197" t="s">
        <v>83</v>
      </c>
      <c r="E20" s="197" t="s">
        <v>35</v>
      </c>
      <c r="F20" s="197" t="s">
        <v>503</v>
      </c>
      <c r="G20" s="197">
        <v>147</v>
      </c>
      <c r="H20" s="197"/>
      <c r="I20" s="197" t="s">
        <v>440</v>
      </c>
      <c r="J20" s="197" t="s">
        <v>2837</v>
      </c>
      <c r="K20" s="197"/>
      <c r="L20" s="203">
        <v>46149.467361111114</v>
      </c>
      <c r="M20" s="203">
        <v>46149.468055555553</v>
      </c>
      <c r="N20" s="197" t="s">
        <v>2838</v>
      </c>
      <c r="O20" s="151" t="s">
        <v>207</v>
      </c>
      <c r="P20" s="54"/>
      <c r="Q20" s="138" t="s">
        <v>215</v>
      </c>
      <c r="R20" s="137" t="s">
        <v>2842</v>
      </c>
      <c r="S20" s="138" t="s">
        <v>207</v>
      </c>
      <c r="T20" s="54"/>
      <c r="U20" s="138" t="s">
        <v>214</v>
      </c>
      <c r="V20" s="54"/>
      <c r="W20" s="138" t="s">
        <v>207</v>
      </c>
      <c r="X20" s="54"/>
      <c r="Y20" s="138" t="s">
        <v>214</v>
      </c>
      <c r="Z20" s="54"/>
      <c r="AA20" s="138" t="s">
        <v>207</v>
      </c>
      <c r="AB20" s="149"/>
      <c r="AC20" s="138" t="s">
        <v>215</v>
      </c>
      <c r="AD20" s="137" t="s">
        <v>2840</v>
      </c>
      <c r="AE20" s="138" t="s">
        <v>207</v>
      </c>
      <c r="AF20" s="189" t="str">
        <f>IF(AND(O20="",Q20="",S20="",U20="",W20="",Y20="",AA20="",AC20=""),"",
IF(OR(    AND(O20&lt;&gt;"NA",O20&lt;&gt;"C",O20&lt;&gt;"NC",O20&lt;&gt;"SF",O20&lt;&gt;""),
    AND(Q20&lt;&gt;"NA",Q20&lt;&gt;"C",Q20&lt;&gt;"NC",Q20&lt;&gt;"SF",Q20&lt;&gt;""),
    AND(S20&lt;&gt;"NA",S20&lt;&gt;"C",S20&lt;&gt;"NC",S20&lt;&gt;"SF",S20&lt;&gt;""),
    AND(U20&lt;&gt;"NA",U20&lt;&gt;"C",U20&lt;&gt;"NC",U20&lt;&gt;"SF",U20&lt;&gt;""),
    AND(W20&lt;&gt;"NA",W20&lt;&gt;"C",W20&lt;&gt;"NC",W20&lt;&gt;"SF",W20&lt;&gt;""),
    AND(Y20&lt;&gt;"NA",Y20&lt;&gt;"C",Y20&lt;&gt;"NC",Y20&lt;&gt;"SF",Y20&lt;&gt;""),
    AND(AA20&lt;&gt;"NA",AA20&lt;&gt;"C",AA20&lt;&gt;"NC",AA20&lt;&gt;"SF",AA20&lt;&gt;""),
    AND(AC20&lt;&gt;"NA",AC20&lt;&gt;"C",AC20&lt;&gt;"NC",AC20&lt;&gt;"SF",AC20&lt;&gt;"")
),"FALSO",
IF(AND(O20="NA",Q20="NA",S20="NA",U20="NA",W20="NA",Y20="NA",AA20="NA",AC20="NA"),"NA",
IF(OR(O20="NC",Q20="NC",S20="NC",U20="NC",W20="NC",Y20="NC",AA20="NC",AC20="NC",
       O20="SF",Q20="SF",S20="SF",U20="SF",W20="SF",Y20="SF",AA20="SF",AC20="SF"),"NC",
IF(SUM(IF(O20="C",1,0),IF(Q20="C",1,0),IF(S20="C",1,0),IF(U20="C",1,0),IF(W20="C",1,0),IF(Y20="C",1,0),IF(AA20="C",1,0),IF(AC20="C",1,0))=1,"C","C")))))</f>
        <v>NC</v>
      </c>
      <c r="AG20" s="150" t="str">
        <f>IF(AND(AE20="C",AF20="C"),"UTILIZOU O PDA CORRETAMENTE",IF(AND(AE20="C",AF20="NC"),"UTILIZOU O PDA CORRETAMENTE. NÃO HÁ FOTOS DE TODAS AS ETAPAS",IF(AND(AE20="NC",AF20="NC"),"NÃO UTILIZOU O PDA",IF(AND(AE20="NA",AF20="NA"),"NÃO AVALIADO POR FALHA DE SINCRONISMO"))))</f>
        <v>UTILIZOU O PDA CORRETAMENTE. NÃO HÁ FOTOS DE TODAS AS ETAPAS</v>
      </c>
      <c r="AH20" s="160" t="s">
        <v>54</v>
      </c>
      <c r="AI20" s="291" t="str">
        <f t="shared" si="0"/>
        <v>SÃO PAULO</v>
      </c>
      <c r="AJ20" s="291" t="s">
        <v>36</v>
      </c>
    </row>
    <row r="21" spans="1:36" s="51" customFormat="1" ht="30" customHeight="1">
      <c r="A21" s="197" t="s">
        <v>198</v>
      </c>
      <c r="B21" s="212">
        <v>2618917464</v>
      </c>
      <c r="C21" s="197" t="s">
        <v>154</v>
      </c>
      <c r="D21" s="197" t="s">
        <v>83</v>
      </c>
      <c r="E21" s="197" t="s">
        <v>35</v>
      </c>
      <c r="F21" s="197" t="s">
        <v>2845</v>
      </c>
      <c r="G21" s="197">
        <v>42</v>
      </c>
      <c r="H21" s="197" t="s">
        <v>325</v>
      </c>
      <c r="I21" s="197" t="s">
        <v>558</v>
      </c>
      <c r="J21" s="197" t="s">
        <v>2837</v>
      </c>
      <c r="K21" s="197" t="s">
        <v>200</v>
      </c>
      <c r="L21" s="203">
        <v>46149.613194444442</v>
      </c>
      <c r="M21" s="203">
        <v>46149.613194444442</v>
      </c>
      <c r="N21" s="197" t="s">
        <v>2838</v>
      </c>
      <c r="O21" s="151" t="s">
        <v>207</v>
      </c>
      <c r="P21" s="54"/>
      <c r="Q21" s="138" t="s">
        <v>215</v>
      </c>
      <c r="R21" s="137" t="s">
        <v>2842</v>
      </c>
      <c r="S21" s="138" t="s">
        <v>207</v>
      </c>
      <c r="T21" s="54"/>
      <c r="U21" s="138" t="s">
        <v>214</v>
      </c>
      <c r="V21" s="54"/>
      <c r="W21" s="138" t="s">
        <v>207</v>
      </c>
      <c r="X21" s="54"/>
      <c r="Y21" s="138" t="s">
        <v>214</v>
      </c>
      <c r="Z21" s="54"/>
      <c r="AA21" s="138" t="s">
        <v>214</v>
      </c>
      <c r="AB21" s="149"/>
      <c r="AC21" s="138" t="s">
        <v>215</v>
      </c>
      <c r="AD21" s="149" t="s">
        <v>1545</v>
      </c>
      <c r="AE21" s="138" t="s">
        <v>207</v>
      </c>
      <c r="AF21" s="189" t="str">
        <f>IF(AND(O21="",Q21="",S21="",U21="",W21="",Y21="",AA21="",AC21=""),"",
IF(OR(    AND(O21&lt;&gt;"NA",O21&lt;&gt;"C",O21&lt;&gt;"NC",O21&lt;&gt;"SF",O21&lt;&gt;""),
    AND(Q21&lt;&gt;"NA",Q21&lt;&gt;"C",Q21&lt;&gt;"NC",Q21&lt;&gt;"SF",Q21&lt;&gt;""),
    AND(S21&lt;&gt;"NA",S21&lt;&gt;"C",S21&lt;&gt;"NC",S21&lt;&gt;"SF",S21&lt;&gt;""),
    AND(U21&lt;&gt;"NA",U21&lt;&gt;"C",U21&lt;&gt;"NC",U21&lt;&gt;"SF",U21&lt;&gt;""),
    AND(W21&lt;&gt;"NA",W21&lt;&gt;"C",W21&lt;&gt;"NC",W21&lt;&gt;"SF",W21&lt;&gt;""),
    AND(Y21&lt;&gt;"NA",Y21&lt;&gt;"C",Y21&lt;&gt;"NC",Y21&lt;&gt;"SF",Y21&lt;&gt;""),
    AND(AA21&lt;&gt;"NA",AA21&lt;&gt;"C",AA21&lt;&gt;"NC",AA21&lt;&gt;"SF",AA21&lt;&gt;""),
    AND(AC21&lt;&gt;"NA",AC21&lt;&gt;"C",AC21&lt;&gt;"NC",AC21&lt;&gt;"SF",AC21&lt;&gt;"")
),"FALSO",
IF(AND(O21="NA",Q21="NA",S21="NA",U21="NA",W21="NA",Y21="NA",AA21="NA",AC21="NA"),"NA",
IF(OR(O21="NC",Q21="NC",S21="NC",U21="NC",W21="NC",Y21="NC",AA21="NC",AC21="NC",
       O21="SF",Q21="SF",S21="SF",U21="SF",W21="SF",Y21="SF",AA21="SF",AC21="SF"),"NC",
IF(SUM(IF(O21="C",1,0),IF(Q21="C",1,0),IF(S21="C",1,0),IF(U21="C",1,0),IF(W21="C",1,0),IF(Y21="C",1,0),IF(AA21="C",1,0),IF(AC21="C",1,0))=1,"C","C")))))</f>
        <v>NC</v>
      </c>
      <c r="AG21" s="150" t="str">
        <f>IF(AND(AE21="C",AF21="C"),"UTILIZOU O PDA CORRETAMENTE",IF(AND(AE21="C",AF21="NC"),"UTILIZOU O PDA CORRETAMENTE. NÃO HÁ FOTOS DE TODAS AS ETAPAS",IF(AND(AE21="NC",AF21="NC"),"NÃO UTILIZOU O PDA",IF(AND(AE21="NA",AF21="NA"),"NÃO AVALIADO POR FALHA DE SINCRONISMO"))))</f>
        <v>UTILIZOU O PDA CORRETAMENTE. NÃO HÁ FOTOS DE TODAS AS ETAPAS</v>
      </c>
      <c r="AH21" s="160"/>
      <c r="AI21" s="291" t="str">
        <f t="shared" si="0"/>
        <v>SÃO PAULO</v>
      </c>
      <c r="AJ21" s="291" t="s">
        <v>36</v>
      </c>
    </row>
    <row r="22" spans="1:36" s="51" customFormat="1" ht="30" customHeight="1">
      <c r="A22" s="197" t="s">
        <v>198</v>
      </c>
      <c r="B22" s="212">
        <v>2618865954</v>
      </c>
      <c r="C22" s="197" t="s">
        <v>154</v>
      </c>
      <c r="D22" s="197" t="s">
        <v>83</v>
      </c>
      <c r="E22" s="197" t="s">
        <v>35</v>
      </c>
      <c r="F22" s="197" t="s">
        <v>518</v>
      </c>
      <c r="G22" s="197">
        <v>129</v>
      </c>
      <c r="H22" s="197"/>
      <c r="I22" s="197" t="s">
        <v>440</v>
      </c>
      <c r="J22" s="197" t="s">
        <v>2837</v>
      </c>
      <c r="K22" s="197"/>
      <c r="L22" s="203">
        <v>46149.450694444444</v>
      </c>
      <c r="M22" s="203">
        <v>46149.451388888891</v>
      </c>
      <c r="N22" s="197" t="s">
        <v>2838</v>
      </c>
      <c r="O22" s="151" t="s">
        <v>207</v>
      </c>
      <c r="P22" s="54"/>
      <c r="Q22" s="138" t="s">
        <v>215</v>
      </c>
      <c r="R22" s="137" t="s">
        <v>2842</v>
      </c>
      <c r="S22" s="138" t="s">
        <v>207</v>
      </c>
      <c r="T22" s="54"/>
      <c r="U22" s="138" t="s">
        <v>214</v>
      </c>
      <c r="V22" s="54"/>
      <c r="W22" s="138" t="s">
        <v>207</v>
      </c>
      <c r="X22" s="54"/>
      <c r="Y22" s="138" t="s">
        <v>214</v>
      </c>
      <c r="Z22" s="54"/>
      <c r="AA22" s="138" t="s">
        <v>207</v>
      </c>
      <c r="AB22" s="149"/>
      <c r="AC22" s="138" t="s">
        <v>215</v>
      </c>
      <c r="AD22" s="149" t="s">
        <v>1545</v>
      </c>
      <c r="AE22" s="138" t="s">
        <v>207</v>
      </c>
      <c r="AF22" s="189" t="str">
        <f>IF(AND(O22="",Q22="",S22="",U22="",W22="",Y22="",AA22="",AC22=""),"",
IF(OR(    AND(O22&lt;&gt;"NA",O22&lt;&gt;"C",O22&lt;&gt;"NC",O22&lt;&gt;"SF",O22&lt;&gt;""),
    AND(Q22&lt;&gt;"NA",Q22&lt;&gt;"C",Q22&lt;&gt;"NC",Q22&lt;&gt;"SF",Q22&lt;&gt;""),
    AND(S22&lt;&gt;"NA",S22&lt;&gt;"C",S22&lt;&gt;"NC",S22&lt;&gt;"SF",S22&lt;&gt;""),
    AND(U22&lt;&gt;"NA",U22&lt;&gt;"C",U22&lt;&gt;"NC",U22&lt;&gt;"SF",U22&lt;&gt;""),
    AND(W22&lt;&gt;"NA",W22&lt;&gt;"C",W22&lt;&gt;"NC",W22&lt;&gt;"SF",W22&lt;&gt;""),
    AND(Y22&lt;&gt;"NA",Y22&lt;&gt;"C",Y22&lt;&gt;"NC",Y22&lt;&gt;"SF",Y22&lt;&gt;""),
    AND(AA22&lt;&gt;"NA",AA22&lt;&gt;"C",AA22&lt;&gt;"NC",AA22&lt;&gt;"SF",AA22&lt;&gt;""),
    AND(AC22&lt;&gt;"NA",AC22&lt;&gt;"C",AC22&lt;&gt;"NC",AC22&lt;&gt;"SF",AC22&lt;&gt;"")
),"FALSO",
IF(AND(O22="NA",Q22="NA",S22="NA",U22="NA",W22="NA",Y22="NA",AA22="NA",AC22="NA"),"NA",
IF(OR(O22="NC",Q22="NC",S22="NC",U22="NC",W22="NC",Y22="NC",AA22="NC",AC22="NC",
       O22="SF",Q22="SF",S22="SF",U22="SF",W22="SF",Y22="SF",AA22="SF",AC22="SF"),"NC",
IF(SUM(IF(O22="C",1,0),IF(Q22="C",1,0),IF(S22="C",1,0),IF(U22="C",1,0),IF(W22="C",1,0),IF(Y22="C",1,0),IF(AA22="C",1,0),IF(AC22="C",1,0))=1,"C","C")))))</f>
        <v>NC</v>
      </c>
      <c r="AG22" s="150" t="str">
        <f>IF(AND(AE22="C",AF22="C"),"UTILIZOU O PDA CORRETAMENTE",IF(AND(AE22="C",AF22="NC"),"UTILIZOU O PDA CORRETAMENTE. NÃO HÁ FOTOS DE TODAS AS ETAPAS",IF(AND(AE22="NC",AF22="NC"),"NÃO UTILIZOU O PDA",IF(AND(AE22="NA",AF22="NA"),"NÃO AVALIADO POR FALHA DE SINCRONISMO"))))</f>
        <v>UTILIZOU O PDA CORRETAMENTE. NÃO HÁ FOTOS DE TODAS AS ETAPAS</v>
      </c>
      <c r="AH22" s="160" t="s">
        <v>54</v>
      </c>
      <c r="AI22" s="291" t="str">
        <f t="shared" si="0"/>
        <v>SÃO PAULO</v>
      </c>
      <c r="AJ22" s="291" t="s">
        <v>36</v>
      </c>
    </row>
    <row r="23" spans="1:36" s="51" customFormat="1" ht="30" customHeight="1">
      <c r="A23" s="197" t="s">
        <v>198</v>
      </c>
      <c r="B23" s="212">
        <v>2618926404</v>
      </c>
      <c r="C23" s="197" t="s">
        <v>154</v>
      </c>
      <c r="D23" s="197" t="s">
        <v>83</v>
      </c>
      <c r="E23" s="197" t="s">
        <v>35</v>
      </c>
      <c r="F23" s="197" t="s">
        <v>2846</v>
      </c>
      <c r="G23" s="197">
        <v>294</v>
      </c>
      <c r="H23" s="197" t="s">
        <v>426</v>
      </c>
      <c r="I23" s="197" t="s">
        <v>542</v>
      </c>
      <c r="J23" s="197" t="s">
        <v>2837</v>
      </c>
      <c r="K23" s="197" t="s">
        <v>200</v>
      </c>
      <c r="L23" s="203">
        <v>46149.662499999999</v>
      </c>
      <c r="M23" s="203">
        <v>46149.663194444445</v>
      </c>
      <c r="N23" s="197" t="s">
        <v>2838</v>
      </c>
      <c r="O23" s="151" t="s">
        <v>207</v>
      </c>
      <c r="P23" s="54"/>
      <c r="Q23" s="138" t="s">
        <v>215</v>
      </c>
      <c r="R23" s="137" t="s">
        <v>2842</v>
      </c>
      <c r="S23" s="138" t="s">
        <v>207</v>
      </c>
      <c r="T23" s="54"/>
      <c r="U23" s="138" t="s">
        <v>214</v>
      </c>
      <c r="V23" s="54"/>
      <c r="W23" s="138" t="s">
        <v>207</v>
      </c>
      <c r="X23" s="54"/>
      <c r="Y23" s="138" t="s">
        <v>214</v>
      </c>
      <c r="Z23" s="54"/>
      <c r="AA23" s="138" t="s">
        <v>207</v>
      </c>
      <c r="AB23" s="149"/>
      <c r="AC23" s="138" t="s">
        <v>215</v>
      </c>
      <c r="AD23" s="149" t="s">
        <v>1545</v>
      </c>
      <c r="AE23" s="138" t="s">
        <v>207</v>
      </c>
      <c r="AF23" s="189" t="str">
        <f>IF(AND(O23="",Q23="",S23="",U23="",W23="",Y23="",AA23="",AC23=""),"",
IF(OR(    AND(O23&lt;&gt;"NA",O23&lt;&gt;"C",O23&lt;&gt;"NC",O23&lt;&gt;"SF",O23&lt;&gt;""),
    AND(Q23&lt;&gt;"NA",Q23&lt;&gt;"C",Q23&lt;&gt;"NC",Q23&lt;&gt;"SF",Q23&lt;&gt;""),
    AND(S23&lt;&gt;"NA",S23&lt;&gt;"C",S23&lt;&gt;"NC",S23&lt;&gt;"SF",S23&lt;&gt;""),
    AND(U23&lt;&gt;"NA",U23&lt;&gt;"C",U23&lt;&gt;"NC",U23&lt;&gt;"SF",U23&lt;&gt;""),
    AND(W23&lt;&gt;"NA",W23&lt;&gt;"C",W23&lt;&gt;"NC",W23&lt;&gt;"SF",W23&lt;&gt;""),
    AND(Y23&lt;&gt;"NA",Y23&lt;&gt;"C",Y23&lt;&gt;"NC",Y23&lt;&gt;"SF",Y23&lt;&gt;""),
    AND(AA23&lt;&gt;"NA",AA23&lt;&gt;"C",AA23&lt;&gt;"NC",AA23&lt;&gt;"SF",AA23&lt;&gt;""),
    AND(AC23&lt;&gt;"NA",AC23&lt;&gt;"C",AC23&lt;&gt;"NC",AC23&lt;&gt;"SF",AC23&lt;&gt;"")
),"FALSO",
IF(AND(O23="NA",Q23="NA",S23="NA",U23="NA",W23="NA",Y23="NA",AA23="NA",AC23="NA"),"NA",
IF(OR(O23="NC",Q23="NC",S23="NC",U23="NC",W23="NC",Y23="NC",AA23="NC",AC23="NC",
       O23="SF",Q23="SF",S23="SF",U23="SF",W23="SF",Y23="SF",AA23="SF",AC23="SF"),"NC",
IF(SUM(IF(O23="C",1,0),IF(Q23="C",1,0),IF(S23="C",1,0),IF(U23="C",1,0),IF(W23="C",1,0),IF(Y23="C",1,0),IF(AA23="C",1,0),IF(AC23="C",1,0))=1,"C","C")))))</f>
        <v>NC</v>
      </c>
      <c r="AG23" s="150" t="str">
        <f>IF(AND(AE23="C",AF23="C"),"UTILIZOU O PDA CORRETAMENTE",IF(AND(AE23="C",AF23="NC"),"UTILIZOU O PDA CORRETAMENTE. NÃO HÁ FOTOS DE TODAS AS ETAPAS",IF(AND(AE23="NC",AF23="NC"),"NÃO UTILIZOU O PDA",IF(AND(AE23="NA",AF23="NA"),"NÃO AVALIADO POR FALHA DE SINCRONISMO"))))</f>
        <v>UTILIZOU O PDA CORRETAMENTE. NÃO HÁ FOTOS DE TODAS AS ETAPAS</v>
      </c>
      <c r="AH23" s="160" t="s">
        <v>54</v>
      </c>
      <c r="AI23" s="291" t="str">
        <f t="shared" si="0"/>
        <v>SÃO PAULO</v>
      </c>
      <c r="AJ23" s="291" t="s">
        <v>36</v>
      </c>
    </row>
    <row r="24" spans="1:36" s="51" customFormat="1" ht="30" customHeight="1">
      <c r="A24" s="197" t="s">
        <v>198</v>
      </c>
      <c r="B24" s="212">
        <v>2618717372</v>
      </c>
      <c r="C24" s="197" t="s">
        <v>154</v>
      </c>
      <c r="D24" s="197" t="s">
        <v>83</v>
      </c>
      <c r="E24" s="197" t="s">
        <v>35</v>
      </c>
      <c r="F24" s="197" t="s">
        <v>1585</v>
      </c>
      <c r="G24" s="197">
        <v>260</v>
      </c>
      <c r="H24" s="197" t="s">
        <v>205</v>
      </c>
      <c r="I24" s="197" t="s">
        <v>717</v>
      </c>
      <c r="J24" s="197" t="s">
        <v>2837</v>
      </c>
      <c r="K24" s="197"/>
      <c r="L24" s="203">
        <v>46149.536805555559</v>
      </c>
      <c r="M24" s="203">
        <v>46149.537499999999</v>
      </c>
      <c r="N24" s="197" t="s">
        <v>2838</v>
      </c>
      <c r="O24" s="151" t="s">
        <v>207</v>
      </c>
      <c r="P24" s="54"/>
      <c r="Q24" s="138" t="s">
        <v>215</v>
      </c>
      <c r="R24" s="137" t="s">
        <v>2842</v>
      </c>
      <c r="S24" s="138" t="s">
        <v>207</v>
      </c>
      <c r="T24" s="54"/>
      <c r="U24" s="138" t="s">
        <v>214</v>
      </c>
      <c r="V24" s="54"/>
      <c r="W24" s="138" t="s">
        <v>207</v>
      </c>
      <c r="X24" s="54"/>
      <c r="Y24" s="138" t="s">
        <v>214</v>
      </c>
      <c r="Z24" s="54"/>
      <c r="AA24" s="138" t="s">
        <v>207</v>
      </c>
      <c r="AB24" s="149"/>
      <c r="AC24" s="138" t="s">
        <v>215</v>
      </c>
      <c r="AD24" s="149" t="s">
        <v>1545</v>
      </c>
      <c r="AE24" s="138" t="s">
        <v>207</v>
      </c>
      <c r="AF24" s="189" t="str">
        <f>IF(AND(O24="",Q24="",S24="",U24="",W24="",Y24="",AA24="",AC24=""),"",
IF(OR(    AND(O24&lt;&gt;"NA",O24&lt;&gt;"C",O24&lt;&gt;"NC",O24&lt;&gt;"SF",O24&lt;&gt;""),
    AND(Q24&lt;&gt;"NA",Q24&lt;&gt;"C",Q24&lt;&gt;"NC",Q24&lt;&gt;"SF",Q24&lt;&gt;""),
    AND(S24&lt;&gt;"NA",S24&lt;&gt;"C",S24&lt;&gt;"NC",S24&lt;&gt;"SF",S24&lt;&gt;""),
    AND(U24&lt;&gt;"NA",U24&lt;&gt;"C",U24&lt;&gt;"NC",U24&lt;&gt;"SF",U24&lt;&gt;""),
    AND(W24&lt;&gt;"NA",W24&lt;&gt;"C",W24&lt;&gt;"NC",W24&lt;&gt;"SF",W24&lt;&gt;""),
    AND(Y24&lt;&gt;"NA",Y24&lt;&gt;"C",Y24&lt;&gt;"NC",Y24&lt;&gt;"SF",Y24&lt;&gt;""),
    AND(AA24&lt;&gt;"NA",AA24&lt;&gt;"C",AA24&lt;&gt;"NC",AA24&lt;&gt;"SF",AA24&lt;&gt;""),
    AND(AC24&lt;&gt;"NA",AC24&lt;&gt;"C",AC24&lt;&gt;"NC",AC24&lt;&gt;"SF",AC24&lt;&gt;"")
),"FALSO",
IF(AND(O24="NA",Q24="NA",S24="NA",U24="NA",W24="NA",Y24="NA",AA24="NA",AC24="NA"),"NA",
IF(OR(O24="NC",Q24="NC",S24="NC",U24="NC",W24="NC",Y24="NC",AA24="NC",AC24="NC",
       O24="SF",Q24="SF",S24="SF",U24="SF",W24="SF",Y24="SF",AA24="SF",AC24="SF"),"NC",
IF(SUM(IF(O24="C",1,0),IF(Q24="C",1,0),IF(S24="C",1,0),IF(U24="C",1,0),IF(W24="C",1,0),IF(Y24="C",1,0),IF(AA24="C",1,0),IF(AC24="C",1,0))=1,"C","C")))))</f>
        <v>NC</v>
      </c>
      <c r="AG24" s="150" t="str">
        <f>IF(AND(AE24="C",AF24="C"),"UTILIZOU O PDA CORRETAMENTE",IF(AND(AE24="C",AF24="NC"),"UTILIZOU O PDA CORRETAMENTE. NÃO HÁ FOTOS DE TODAS AS ETAPAS",IF(AND(AE24="NC",AF24="NC"),"NÃO UTILIZOU O PDA",IF(AND(AE24="NA",AF24="NA"),"NÃO AVALIADO POR FALHA DE SINCRONISMO"))))</f>
        <v>UTILIZOU O PDA CORRETAMENTE. NÃO HÁ FOTOS DE TODAS AS ETAPAS</v>
      </c>
      <c r="AH24" s="160" t="s">
        <v>75</v>
      </c>
      <c r="AI24" s="291" t="str">
        <f t="shared" si="0"/>
        <v>SÃO PAULO</v>
      </c>
      <c r="AJ24" s="291" t="s">
        <v>36</v>
      </c>
    </row>
    <row r="25" spans="1:36" s="51" customFormat="1" ht="30" customHeight="1">
      <c r="A25" s="197" t="s">
        <v>198</v>
      </c>
      <c r="B25" s="212">
        <v>2618115457</v>
      </c>
      <c r="C25" s="197" t="s">
        <v>154</v>
      </c>
      <c r="D25" s="197" t="s">
        <v>83</v>
      </c>
      <c r="E25" s="197" t="s">
        <v>35</v>
      </c>
      <c r="F25" s="197" t="s">
        <v>886</v>
      </c>
      <c r="G25" s="197">
        <v>44</v>
      </c>
      <c r="H25" s="197" t="s">
        <v>208</v>
      </c>
      <c r="I25" s="197" t="s">
        <v>515</v>
      </c>
      <c r="J25" s="197" t="s">
        <v>2837</v>
      </c>
      <c r="K25" s="197" t="s">
        <v>200</v>
      </c>
      <c r="L25" s="203">
        <v>46149.394444444442</v>
      </c>
      <c r="M25" s="203">
        <v>46149.394444444442</v>
      </c>
      <c r="N25" s="197" t="s">
        <v>2838</v>
      </c>
      <c r="O25" s="151" t="s">
        <v>207</v>
      </c>
      <c r="P25" s="54"/>
      <c r="Q25" s="138" t="s">
        <v>215</v>
      </c>
      <c r="R25" s="137" t="s">
        <v>2842</v>
      </c>
      <c r="S25" s="138" t="s">
        <v>207</v>
      </c>
      <c r="T25" s="54"/>
      <c r="U25" s="138" t="s">
        <v>214</v>
      </c>
      <c r="V25" s="54"/>
      <c r="W25" s="138" t="s">
        <v>207</v>
      </c>
      <c r="X25" s="54"/>
      <c r="Y25" s="138" t="s">
        <v>214</v>
      </c>
      <c r="Z25" s="54"/>
      <c r="AA25" s="138" t="s">
        <v>207</v>
      </c>
      <c r="AB25" s="149"/>
      <c r="AC25" s="138" t="s">
        <v>215</v>
      </c>
      <c r="AD25" s="149" t="s">
        <v>1545</v>
      </c>
      <c r="AE25" s="138" t="s">
        <v>207</v>
      </c>
      <c r="AF25" s="189" t="str">
        <f>IF(AND(O25="",Q25="",S25="",U25="",W25="",Y25="",AA25="",AC25=""),"",
IF(OR(    AND(O25&lt;&gt;"NA",O25&lt;&gt;"C",O25&lt;&gt;"NC",O25&lt;&gt;"SF",O25&lt;&gt;""),
    AND(Q25&lt;&gt;"NA",Q25&lt;&gt;"C",Q25&lt;&gt;"NC",Q25&lt;&gt;"SF",Q25&lt;&gt;""),
    AND(S25&lt;&gt;"NA",S25&lt;&gt;"C",S25&lt;&gt;"NC",S25&lt;&gt;"SF",S25&lt;&gt;""),
    AND(U25&lt;&gt;"NA",U25&lt;&gt;"C",U25&lt;&gt;"NC",U25&lt;&gt;"SF",U25&lt;&gt;""),
    AND(W25&lt;&gt;"NA",W25&lt;&gt;"C",W25&lt;&gt;"NC",W25&lt;&gt;"SF",W25&lt;&gt;""),
    AND(Y25&lt;&gt;"NA",Y25&lt;&gt;"C",Y25&lt;&gt;"NC",Y25&lt;&gt;"SF",Y25&lt;&gt;""),
    AND(AA25&lt;&gt;"NA",AA25&lt;&gt;"C",AA25&lt;&gt;"NC",AA25&lt;&gt;"SF",AA25&lt;&gt;""),
    AND(AC25&lt;&gt;"NA",AC25&lt;&gt;"C",AC25&lt;&gt;"NC",AC25&lt;&gt;"SF",AC25&lt;&gt;"")
),"FALSO",
IF(AND(O25="NA",Q25="NA",S25="NA",U25="NA",W25="NA",Y25="NA",AA25="NA",AC25="NA"),"NA",
IF(OR(O25="NC",Q25="NC",S25="NC",U25="NC",W25="NC",Y25="NC",AA25="NC",AC25="NC",
       O25="SF",Q25="SF",S25="SF",U25="SF",W25="SF",Y25="SF",AA25="SF",AC25="SF"),"NC",
IF(SUM(IF(O25="C",1,0),IF(Q25="C",1,0),IF(S25="C",1,0),IF(U25="C",1,0),IF(W25="C",1,0),IF(Y25="C",1,0),IF(AA25="C",1,0),IF(AC25="C",1,0))=1,"C","C")))))</f>
        <v>NC</v>
      </c>
      <c r="AG25" s="150" t="str">
        <f>IF(AND(AE25="C",AF25="C"),"UTILIZOU O PDA CORRETAMENTE",IF(AND(AE25="C",AF25="NC"),"UTILIZOU O PDA CORRETAMENTE. NÃO HÁ FOTOS DE TODAS AS ETAPAS",IF(AND(AE25="NC",AF25="NC"),"NÃO UTILIZOU O PDA",IF(AND(AE25="NA",AF25="NA"),"NÃO AVALIADO POR FALHA DE SINCRONISMO"))))</f>
        <v>UTILIZOU O PDA CORRETAMENTE. NÃO HÁ FOTOS DE TODAS AS ETAPAS</v>
      </c>
      <c r="AH25" s="160" t="s">
        <v>75</v>
      </c>
      <c r="AI25" s="291" t="str">
        <f t="shared" si="0"/>
        <v>SÃO PAULO</v>
      </c>
      <c r="AJ25" s="291" t="s">
        <v>36</v>
      </c>
    </row>
    <row r="26" spans="1:36" s="51" customFormat="1" ht="30" customHeight="1">
      <c r="A26" s="197" t="s">
        <v>198</v>
      </c>
      <c r="B26" s="212">
        <v>2618717136</v>
      </c>
      <c r="C26" s="197" t="s">
        <v>154</v>
      </c>
      <c r="D26" s="197" t="s">
        <v>83</v>
      </c>
      <c r="E26" s="197" t="s">
        <v>35</v>
      </c>
      <c r="F26" s="197" t="s">
        <v>1585</v>
      </c>
      <c r="G26" s="197">
        <v>202</v>
      </c>
      <c r="H26" s="197"/>
      <c r="I26" s="197" t="s">
        <v>717</v>
      </c>
      <c r="J26" s="197" t="s">
        <v>2837</v>
      </c>
      <c r="K26" s="197"/>
      <c r="L26" s="203">
        <v>46149.55</v>
      </c>
      <c r="M26" s="203">
        <v>46149.551388888889</v>
      </c>
      <c r="N26" s="197" t="s">
        <v>2838</v>
      </c>
      <c r="O26" s="151" t="s">
        <v>207</v>
      </c>
      <c r="P26" s="54"/>
      <c r="Q26" s="138" t="s">
        <v>215</v>
      </c>
      <c r="R26" s="137" t="s">
        <v>2842</v>
      </c>
      <c r="S26" s="138" t="s">
        <v>207</v>
      </c>
      <c r="T26" s="54"/>
      <c r="U26" s="138" t="s">
        <v>214</v>
      </c>
      <c r="V26" s="54"/>
      <c r="W26" s="138" t="s">
        <v>207</v>
      </c>
      <c r="X26" s="54"/>
      <c r="Y26" s="138" t="s">
        <v>214</v>
      </c>
      <c r="Z26" s="54"/>
      <c r="AA26" s="138" t="s">
        <v>207</v>
      </c>
      <c r="AB26" s="149"/>
      <c r="AC26" s="138" t="s">
        <v>215</v>
      </c>
      <c r="AD26" s="149" t="s">
        <v>1545</v>
      </c>
      <c r="AE26" s="138" t="s">
        <v>207</v>
      </c>
      <c r="AF26" s="189" t="str">
        <f>IF(AND(O26="",Q26="",S26="",U26="",W26="",Y26="",AA26="",AC26=""),"",
IF(OR(    AND(O26&lt;&gt;"NA",O26&lt;&gt;"C",O26&lt;&gt;"NC",O26&lt;&gt;"SF",O26&lt;&gt;""),
    AND(Q26&lt;&gt;"NA",Q26&lt;&gt;"C",Q26&lt;&gt;"NC",Q26&lt;&gt;"SF",Q26&lt;&gt;""),
    AND(S26&lt;&gt;"NA",S26&lt;&gt;"C",S26&lt;&gt;"NC",S26&lt;&gt;"SF",S26&lt;&gt;""),
    AND(U26&lt;&gt;"NA",U26&lt;&gt;"C",U26&lt;&gt;"NC",U26&lt;&gt;"SF",U26&lt;&gt;""),
    AND(W26&lt;&gt;"NA",W26&lt;&gt;"C",W26&lt;&gt;"NC",W26&lt;&gt;"SF",W26&lt;&gt;""),
    AND(Y26&lt;&gt;"NA",Y26&lt;&gt;"C",Y26&lt;&gt;"NC",Y26&lt;&gt;"SF",Y26&lt;&gt;""),
    AND(AA26&lt;&gt;"NA",AA26&lt;&gt;"C",AA26&lt;&gt;"NC",AA26&lt;&gt;"SF",AA26&lt;&gt;""),
    AND(AC26&lt;&gt;"NA",AC26&lt;&gt;"C",AC26&lt;&gt;"NC",AC26&lt;&gt;"SF",AC26&lt;&gt;"")
),"FALSO",
IF(AND(O26="NA",Q26="NA",S26="NA",U26="NA",W26="NA",Y26="NA",AA26="NA",AC26="NA"),"NA",
IF(OR(O26="NC",Q26="NC",S26="NC",U26="NC",W26="NC",Y26="NC",AA26="NC",AC26="NC",
       O26="SF",Q26="SF",S26="SF",U26="SF",W26="SF",Y26="SF",AA26="SF",AC26="SF"),"NC",
IF(SUM(IF(O26="C",1,0),IF(Q26="C",1,0),IF(S26="C",1,0),IF(U26="C",1,0),IF(W26="C",1,0),IF(Y26="C",1,0),IF(AA26="C",1,0),IF(AC26="C",1,0))=1,"C","C")))))</f>
        <v>NC</v>
      </c>
      <c r="AG26" s="150" t="str">
        <f>IF(AND(AE26="C",AF26="C"),"UTILIZOU O PDA CORRETAMENTE",IF(AND(AE26="C",AF26="NC"),"UTILIZOU O PDA CORRETAMENTE. NÃO HÁ FOTOS DE TODAS AS ETAPAS",IF(AND(AE26="NC",AF26="NC"),"NÃO UTILIZOU O PDA",IF(AND(AE26="NA",AF26="NA"),"NÃO AVALIADO POR FALHA DE SINCRONISMO"))))</f>
        <v>UTILIZOU O PDA CORRETAMENTE. NÃO HÁ FOTOS DE TODAS AS ETAPAS</v>
      </c>
      <c r="AH26" s="160" t="s">
        <v>75</v>
      </c>
      <c r="AI26" s="291" t="str">
        <f t="shared" si="0"/>
        <v>SÃO PAULO</v>
      </c>
      <c r="AJ26" s="291" t="s">
        <v>36</v>
      </c>
    </row>
    <row r="27" spans="1:36" s="51" customFormat="1" ht="30" customHeight="1">
      <c r="A27" s="197" t="s">
        <v>198</v>
      </c>
      <c r="B27" s="212">
        <v>2618898272</v>
      </c>
      <c r="C27" s="197" t="s">
        <v>156</v>
      </c>
      <c r="D27" s="197" t="s">
        <v>83</v>
      </c>
      <c r="E27" s="197" t="s">
        <v>35</v>
      </c>
      <c r="F27" s="197" t="s">
        <v>541</v>
      </c>
      <c r="G27" s="197">
        <v>2</v>
      </c>
      <c r="H27" s="197" t="s">
        <v>329</v>
      </c>
      <c r="I27" s="197" t="s">
        <v>542</v>
      </c>
      <c r="J27" s="197" t="s">
        <v>2837</v>
      </c>
      <c r="K27" s="197"/>
      <c r="L27" s="203">
        <v>46150.691666666666</v>
      </c>
      <c r="M27" s="203">
        <v>46150.692361111112</v>
      </c>
      <c r="N27" s="197" t="s">
        <v>2838</v>
      </c>
      <c r="O27" s="151" t="s">
        <v>207</v>
      </c>
      <c r="P27" s="54"/>
      <c r="Q27" s="138" t="s">
        <v>215</v>
      </c>
      <c r="R27" s="137" t="s">
        <v>2842</v>
      </c>
      <c r="S27" s="138" t="s">
        <v>214</v>
      </c>
      <c r="T27" s="54"/>
      <c r="U27" s="138" t="s">
        <v>214</v>
      </c>
      <c r="V27" s="54"/>
      <c r="W27" s="138" t="s">
        <v>207</v>
      </c>
      <c r="X27" s="54"/>
      <c r="Y27" s="138" t="s">
        <v>214</v>
      </c>
      <c r="Z27" s="54"/>
      <c r="AA27" s="138" t="s">
        <v>207</v>
      </c>
      <c r="AB27" s="149"/>
      <c r="AC27" s="138" t="s">
        <v>215</v>
      </c>
      <c r="AD27" s="149" t="s">
        <v>1545</v>
      </c>
      <c r="AE27" s="138" t="s">
        <v>207</v>
      </c>
      <c r="AF27" s="189" t="str">
        <f>IF(AND(O27="",Q27="",S27="",U27="",W27="",Y27="",AA27="",AC27=""),"",
IF(OR(    AND(O27&lt;&gt;"NA",O27&lt;&gt;"C",O27&lt;&gt;"NC",O27&lt;&gt;"SF",O27&lt;&gt;""),
    AND(Q27&lt;&gt;"NA",Q27&lt;&gt;"C",Q27&lt;&gt;"NC",Q27&lt;&gt;"SF",Q27&lt;&gt;""),
    AND(S27&lt;&gt;"NA",S27&lt;&gt;"C",S27&lt;&gt;"NC",S27&lt;&gt;"SF",S27&lt;&gt;""),
    AND(U27&lt;&gt;"NA",U27&lt;&gt;"C",U27&lt;&gt;"NC",U27&lt;&gt;"SF",U27&lt;&gt;""),
    AND(W27&lt;&gt;"NA",W27&lt;&gt;"C",W27&lt;&gt;"NC",W27&lt;&gt;"SF",W27&lt;&gt;""),
    AND(Y27&lt;&gt;"NA",Y27&lt;&gt;"C",Y27&lt;&gt;"NC",Y27&lt;&gt;"SF",Y27&lt;&gt;""),
    AND(AA27&lt;&gt;"NA",AA27&lt;&gt;"C",AA27&lt;&gt;"NC",AA27&lt;&gt;"SF",AA27&lt;&gt;""),
    AND(AC27&lt;&gt;"NA",AC27&lt;&gt;"C",AC27&lt;&gt;"NC",AC27&lt;&gt;"SF",AC27&lt;&gt;"")
),"FALSO",
IF(AND(O27="NA",Q27="NA",S27="NA",U27="NA",W27="NA",Y27="NA",AA27="NA",AC27="NA"),"NA",
IF(OR(O27="NC",Q27="NC",S27="NC",U27="NC",W27="NC",Y27="NC",AA27="NC",AC27="NC",
       O27="SF",Q27="SF",S27="SF",U27="SF",W27="SF",Y27="SF",AA27="SF",AC27="SF"),"NC",
IF(SUM(IF(O27="C",1,0),IF(Q27="C",1,0),IF(S27="C",1,0),IF(U27="C",1,0),IF(W27="C",1,0),IF(Y27="C",1,0),IF(AA27="C",1,0),IF(AC27="C",1,0))=1,"C","C")))))</f>
        <v>NC</v>
      </c>
      <c r="AG27" s="150" t="str">
        <f>IF(AND(AE27="C",AF27="C"),"UTILIZOU O PDA CORRETAMENTE",IF(AND(AE27="C",AF27="NC"),"UTILIZOU O PDA CORRETAMENTE. NÃO HÁ FOTOS DE TODAS AS ETAPAS",IF(AND(AE27="NC",AF27="NC"),"NÃO UTILIZOU O PDA",IF(AND(AE27="NA",AF27="NA"),"NÃO AVALIADO POR FALHA DE SINCRONISMO"))))</f>
        <v>UTILIZOU O PDA CORRETAMENTE. NÃO HÁ FOTOS DE TODAS AS ETAPAS</v>
      </c>
      <c r="AH27" s="160" t="s">
        <v>54</v>
      </c>
      <c r="AI27" s="291" t="str">
        <f t="shared" si="0"/>
        <v>SÃO PAULO</v>
      </c>
      <c r="AJ27" s="291" t="s">
        <v>36</v>
      </c>
    </row>
    <row r="28" spans="1:36" s="51" customFormat="1" ht="30" customHeight="1">
      <c r="A28" s="197" t="s">
        <v>198</v>
      </c>
      <c r="B28" s="212">
        <v>2618917007</v>
      </c>
      <c r="C28" s="197" t="s">
        <v>154</v>
      </c>
      <c r="D28" s="197" t="s">
        <v>83</v>
      </c>
      <c r="E28" s="197" t="s">
        <v>35</v>
      </c>
      <c r="F28" s="197" t="s">
        <v>464</v>
      </c>
      <c r="G28" s="197">
        <v>13</v>
      </c>
      <c r="H28" s="197" t="s">
        <v>200</v>
      </c>
      <c r="I28" s="197" t="s">
        <v>230</v>
      </c>
      <c r="J28" s="197" t="s">
        <v>2837</v>
      </c>
      <c r="K28" s="197" t="s">
        <v>200</v>
      </c>
      <c r="L28" s="203">
        <v>46150.40902777778</v>
      </c>
      <c r="M28" s="203">
        <v>46150.409722222219</v>
      </c>
      <c r="N28" s="197" t="s">
        <v>2838</v>
      </c>
      <c r="O28" s="151" t="s">
        <v>207</v>
      </c>
      <c r="P28" s="54"/>
      <c r="Q28" s="138" t="s">
        <v>215</v>
      </c>
      <c r="R28" s="137" t="s">
        <v>2842</v>
      </c>
      <c r="S28" s="138" t="s">
        <v>207</v>
      </c>
      <c r="T28" s="54"/>
      <c r="U28" s="138" t="s">
        <v>214</v>
      </c>
      <c r="V28" s="54"/>
      <c r="W28" s="138" t="s">
        <v>214</v>
      </c>
      <c r="X28" s="54"/>
      <c r="Y28" s="138" t="s">
        <v>214</v>
      </c>
      <c r="Z28" s="54"/>
      <c r="AA28" s="138" t="s">
        <v>207</v>
      </c>
      <c r="AB28" s="149"/>
      <c r="AC28" s="138" t="s">
        <v>215</v>
      </c>
      <c r="AD28" s="149" t="s">
        <v>1545</v>
      </c>
      <c r="AE28" s="138" t="s">
        <v>207</v>
      </c>
      <c r="AF28" s="189" t="str">
        <f>IF(AND(O28="",Q28="",S28="",U28="",W28="",Y28="",AA28="",AC28=""),"",
IF(OR(    AND(O28&lt;&gt;"NA",O28&lt;&gt;"C",O28&lt;&gt;"NC",O28&lt;&gt;"SF",O28&lt;&gt;""),
    AND(Q28&lt;&gt;"NA",Q28&lt;&gt;"C",Q28&lt;&gt;"NC",Q28&lt;&gt;"SF",Q28&lt;&gt;""),
    AND(S28&lt;&gt;"NA",S28&lt;&gt;"C",S28&lt;&gt;"NC",S28&lt;&gt;"SF",S28&lt;&gt;""),
    AND(U28&lt;&gt;"NA",U28&lt;&gt;"C",U28&lt;&gt;"NC",U28&lt;&gt;"SF",U28&lt;&gt;""),
    AND(W28&lt;&gt;"NA",W28&lt;&gt;"C",W28&lt;&gt;"NC",W28&lt;&gt;"SF",W28&lt;&gt;""),
    AND(Y28&lt;&gt;"NA",Y28&lt;&gt;"C",Y28&lt;&gt;"NC",Y28&lt;&gt;"SF",Y28&lt;&gt;""),
    AND(AA28&lt;&gt;"NA",AA28&lt;&gt;"C",AA28&lt;&gt;"NC",AA28&lt;&gt;"SF",AA28&lt;&gt;""),
    AND(AC28&lt;&gt;"NA",AC28&lt;&gt;"C",AC28&lt;&gt;"NC",AC28&lt;&gt;"SF",AC28&lt;&gt;"")
),"FALSO",
IF(AND(O28="NA",Q28="NA",S28="NA",U28="NA",W28="NA",Y28="NA",AA28="NA",AC28="NA"),"NA",
IF(OR(O28="NC",Q28="NC",S28="NC",U28="NC",W28="NC",Y28="NC",AA28="NC",AC28="NC",
       O28="SF",Q28="SF",S28="SF",U28="SF",W28="SF",Y28="SF",AA28="SF",AC28="SF"),"NC",
IF(SUM(IF(O28="C",1,0),IF(Q28="C",1,0),IF(S28="C",1,0),IF(U28="C",1,0),IF(W28="C",1,0),IF(Y28="C",1,0),IF(AA28="C",1,0),IF(AC28="C",1,0))=1,"C","C")))))</f>
        <v>NC</v>
      </c>
      <c r="AG28" s="150" t="str">
        <f>IF(AND(AE28="C",AF28="C"),"UTILIZOU O PDA CORRETAMENTE",IF(AND(AE28="C",AF28="NC"),"UTILIZOU O PDA CORRETAMENTE. NÃO HÁ FOTOS DE TODAS AS ETAPAS",IF(AND(AE28="NC",AF28="NC"),"NÃO UTILIZOU O PDA",IF(AND(AE28="NA",AF28="NA"),"NÃO AVALIADO POR FALHA DE SINCRONISMO"))))</f>
        <v>UTILIZOU O PDA CORRETAMENTE. NÃO HÁ FOTOS DE TODAS AS ETAPAS</v>
      </c>
      <c r="AH28" s="160"/>
      <c r="AI28" s="291" t="str">
        <f t="shared" si="0"/>
        <v>SÃO PAULO</v>
      </c>
      <c r="AJ28" s="291" t="s">
        <v>36</v>
      </c>
    </row>
    <row r="29" spans="1:36" s="51" customFormat="1" ht="30" customHeight="1">
      <c r="A29" s="197" t="s">
        <v>198</v>
      </c>
      <c r="B29" s="212">
        <v>2618928096</v>
      </c>
      <c r="C29" s="197" t="s">
        <v>154</v>
      </c>
      <c r="D29" s="197" t="s">
        <v>83</v>
      </c>
      <c r="E29" s="197" t="s">
        <v>35</v>
      </c>
      <c r="F29" s="197" t="s">
        <v>539</v>
      </c>
      <c r="G29" s="197">
        <v>23</v>
      </c>
      <c r="H29" s="197" t="s">
        <v>208</v>
      </c>
      <c r="I29" s="197" t="s">
        <v>230</v>
      </c>
      <c r="J29" s="197" t="s">
        <v>2837</v>
      </c>
      <c r="K29" s="197" t="s">
        <v>200</v>
      </c>
      <c r="L29" s="203">
        <v>46150.384027777778</v>
      </c>
      <c r="M29" s="203">
        <v>46150.385416666664</v>
      </c>
      <c r="N29" s="197" t="s">
        <v>2838</v>
      </c>
      <c r="O29" s="151" t="s">
        <v>207</v>
      </c>
      <c r="P29" s="54"/>
      <c r="Q29" s="138" t="s">
        <v>215</v>
      </c>
      <c r="R29" s="54" t="s">
        <v>1530</v>
      </c>
      <c r="S29" s="138" t="s">
        <v>207</v>
      </c>
      <c r="T29" s="54"/>
      <c r="U29" s="138" t="s">
        <v>214</v>
      </c>
      <c r="V29" s="54"/>
      <c r="W29" s="138" t="s">
        <v>207</v>
      </c>
      <c r="X29" s="54"/>
      <c r="Y29" s="138" t="s">
        <v>214</v>
      </c>
      <c r="Z29" s="54"/>
      <c r="AA29" s="138" t="s">
        <v>207</v>
      </c>
      <c r="AB29" s="149"/>
      <c r="AC29" s="138" t="s">
        <v>215</v>
      </c>
      <c r="AD29" s="149" t="s">
        <v>2847</v>
      </c>
      <c r="AE29" s="138" t="s">
        <v>207</v>
      </c>
      <c r="AF29" s="189" t="str">
        <f>IF(AND(O29="",Q29="",S29="",U29="",W29="",Y29="",AA29="",AC29=""),"",
IF(OR(    AND(O29&lt;&gt;"NA",O29&lt;&gt;"C",O29&lt;&gt;"NC",O29&lt;&gt;"SF",O29&lt;&gt;""),
    AND(Q29&lt;&gt;"NA",Q29&lt;&gt;"C",Q29&lt;&gt;"NC",Q29&lt;&gt;"SF",Q29&lt;&gt;""),
    AND(S29&lt;&gt;"NA",S29&lt;&gt;"C",S29&lt;&gt;"NC",S29&lt;&gt;"SF",S29&lt;&gt;""),
    AND(U29&lt;&gt;"NA",U29&lt;&gt;"C",U29&lt;&gt;"NC",U29&lt;&gt;"SF",U29&lt;&gt;""),
    AND(W29&lt;&gt;"NA",W29&lt;&gt;"C",W29&lt;&gt;"NC",W29&lt;&gt;"SF",W29&lt;&gt;""),
    AND(Y29&lt;&gt;"NA",Y29&lt;&gt;"C",Y29&lt;&gt;"NC",Y29&lt;&gt;"SF",Y29&lt;&gt;""),
    AND(AA29&lt;&gt;"NA",AA29&lt;&gt;"C",AA29&lt;&gt;"NC",AA29&lt;&gt;"SF",AA29&lt;&gt;""),
    AND(AC29&lt;&gt;"NA",AC29&lt;&gt;"C",AC29&lt;&gt;"NC",AC29&lt;&gt;"SF",AC29&lt;&gt;"")
),"FALSO",
IF(AND(O29="NA",Q29="NA",S29="NA",U29="NA",W29="NA",Y29="NA",AA29="NA",AC29="NA"),"NA",
IF(OR(O29="NC",Q29="NC",S29="NC",U29="NC",W29="NC",Y29="NC",AA29="NC",AC29="NC",
       O29="SF",Q29="SF",S29="SF",U29="SF",W29="SF",Y29="SF",AA29="SF",AC29="SF"),"NC",
IF(SUM(IF(O29="C",1,0),IF(Q29="C",1,0),IF(S29="C",1,0),IF(U29="C",1,0),IF(W29="C",1,0),IF(Y29="C",1,0),IF(AA29="C",1,0),IF(AC29="C",1,0))=1,"C","C")))))</f>
        <v>NC</v>
      </c>
      <c r="AG29" s="150" t="str">
        <f>IF(AND(AE29="C",AF29="C"),"UTILIZOU O PDA CORRETAMENTE",IF(AND(AE29="C",AF29="NC"),"UTILIZOU O PDA CORRETAMENTE. NÃO HÁ FOTOS DE TODAS AS ETAPAS",IF(AND(AE29="NC",AF29="NC"),"NÃO UTILIZOU O PDA",IF(AND(AE29="NA",AF29="NA"),"NÃO AVALIADO POR FALHA DE SINCRONISMO"))))</f>
        <v>UTILIZOU O PDA CORRETAMENTE. NÃO HÁ FOTOS DE TODAS AS ETAPAS</v>
      </c>
      <c r="AH29" s="160" t="s">
        <v>54</v>
      </c>
      <c r="AI29" s="291" t="str">
        <f t="shared" si="0"/>
        <v>SÃO PAULO</v>
      </c>
      <c r="AJ29" s="291" t="s">
        <v>36</v>
      </c>
    </row>
    <row r="30" spans="1:36" s="51" customFormat="1" ht="30" customHeight="1">
      <c r="A30" s="197" t="s">
        <v>198</v>
      </c>
      <c r="B30" s="212">
        <v>2619158841</v>
      </c>
      <c r="C30" s="197" t="s">
        <v>154</v>
      </c>
      <c r="D30" s="197" t="s">
        <v>83</v>
      </c>
      <c r="E30" s="197" t="s">
        <v>35</v>
      </c>
      <c r="F30" s="197" t="s">
        <v>1605</v>
      </c>
      <c r="G30" s="197">
        <v>7</v>
      </c>
      <c r="H30" s="197" t="s">
        <v>401</v>
      </c>
      <c r="I30" s="197" t="s">
        <v>497</v>
      </c>
      <c r="J30" s="197" t="s">
        <v>2837</v>
      </c>
      <c r="K30" s="197"/>
      <c r="L30" s="203">
        <v>46150.527083333334</v>
      </c>
      <c r="M30" s="203">
        <v>46150.527777777781</v>
      </c>
      <c r="N30" s="197" t="s">
        <v>2838</v>
      </c>
      <c r="O30" s="151" t="s">
        <v>207</v>
      </c>
      <c r="P30" s="54"/>
      <c r="Q30" s="138" t="s">
        <v>215</v>
      </c>
      <c r="R30" s="54" t="s">
        <v>1530</v>
      </c>
      <c r="S30" s="138" t="s">
        <v>207</v>
      </c>
      <c r="T30" s="54"/>
      <c r="U30" s="138" t="s">
        <v>214</v>
      </c>
      <c r="V30" s="54"/>
      <c r="W30" s="138" t="s">
        <v>207</v>
      </c>
      <c r="X30" s="54"/>
      <c r="Y30" s="138" t="s">
        <v>214</v>
      </c>
      <c r="Z30" s="54"/>
      <c r="AA30" s="138" t="s">
        <v>207</v>
      </c>
      <c r="AB30" s="149"/>
      <c r="AC30" s="138" t="s">
        <v>215</v>
      </c>
      <c r="AD30" s="149" t="s">
        <v>1545</v>
      </c>
      <c r="AE30" s="138" t="s">
        <v>207</v>
      </c>
      <c r="AF30" s="189" t="str">
        <f>IF(AND(O30="",Q30="",S30="",U30="",W30="",Y30="",AA30="",AC30=""),"",
IF(OR(    AND(O30&lt;&gt;"NA",O30&lt;&gt;"C",O30&lt;&gt;"NC",O30&lt;&gt;"SF",O30&lt;&gt;""),
    AND(Q30&lt;&gt;"NA",Q30&lt;&gt;"C",Q30&lt;&gt;"NC",Q30&lt;&gt;"SF",Q30&lt;&gt;""),
    AND(S30&lt;&gt;"NA",S30&lt;&gt;"C",S30&lt;&gt;"NC",S30&lt;&gt;"SF",S30&lt;&gt;""),
    AND(U30&lt;&gt;"NA",U30&lt;&gt;"C",U30&lt;&gt;"NC",U30&lt;&gt;"SF",U30&lt;&gt;""),
    AND(W30&lt;&gt;"NA",W30&lt;&gt;"C",W30&lt;&gt;"NC",W30&lt;&gt;"SF",W30&lt;&gt;""),
    AND(Y30&lt;&gt;"NA",Y30&lt;&gt;"C",Y30&lt;&gt;"NC",Y30&lt;&gt;"SF",Y30&lt;&gt;""),
    AND(AA30&lt;&gt;"NA",AA30&lt;&gt;"C",AA30&lt;&gt;"NC",AA30&lt;&gt;"SF",AA30&lt;&gt;""),
    AND(AC30&lt;&gt;"NA",AC30&lt;&gt;"C",AC30&lt;&gt;"NC",AC30&lt;&gt;"SF",AC30&lt;&gt;"")
),"FALSO",
IF(AND(O30="NA",Q30="NA",S30="NA",U30="NA",W30="NA",Y30="NA",AA30="NA",AC30="NA"),"NA",
IF(OR(O30="NC",Q30="NC",S30="NC",U30="NC",W30="NC",Y30="NC",AA30="NC",AC30="NC",
       O30="SF",Q30="SF",S30="SF",U30="SF",W30="SF",Y30="SF",AA30="SF",AC30="SF"),"NC",
IF(SUM(IF(O30="C",1,0),IF(Q30="C",1,0),IF(S30="C",1,0),IF(U30="C",1,0),IF(W30="C",1,0),IF(Y30="C",1,0),IF(AA30="C",1,0),IF(AC30="C",1,0))=1,"C","C")))))</f>
        <v>NC</v>
      </c>
      <c r="AG30" s="150" t="str">
        <f>IF(AND(AE30="C",AF30="C"),"UTILIZOU O PDA CORRETAMENTE",IF(AND(AE30="C",AF30="NC"),"UTILIZOU O PDA CORRETAMENTE. NÃO HÁ FOTOS DE TODAS AS ETAPAS",IF(AND(AE30="NC",AF30="NC"),"NÃO UTILIZOU O PDA",IF(AND(AE30="NA",AF30="NA"),"NÃO AVALIADO POR FALHA DE SINCRONISMO"))))</f>
        <v>UTILIZOU O PDA CORRETAMENTE. NÃO HÁ FOTOS DE TODAS AS ETAPAS</v>
      </c>
      <c r="AH30" s="160" t="s">
        <v>75</v>
      </c>
      <c r="AI30" s="291" t="str">
        <f t="shared" si="0"/>
        <v>SÃO PAULO</v>
      </c>
      <c r="AJ30" s="291" t="s">
        <v>36</v>
      </c>
    </row>
    <row r="31" spans="1:36" s="51" customFormat="1" ht="30" customHeight="1">
      <c r="A31" s="197" t="s">
        <v>198</v>
      </c>
      <c r="B31" s="212">
        <v>2618740811</v>
      </c>
      <c r="C31" s="197" t="s">
        <v>155</v>
      </c>
      <c r="D31" s="197" t="s">
        <v>83</v>
      </c>
      <c r="E31" s="197" t="s">
        <v>35</v>
      </c>
      <c r="F31" s="197" t="s">
        <v>543</v>
      </c>
      <c r="G31" s="197">
        <v>115</v>
      </c>
      <c r="H31" s="197" t="s">
        <v>200</v>
      </c>
      <c r="I31" s="197" t="s">
        <v>300</v>
      </c>
      <c r="J31" s="197" t="s">
        <v>2839</v>
      </c>
      <c r="K31" s="197" t="s">
        <v>200</v>
      </c>
      <c r="L31" s="203">
        <v>46150.67083333333</v>
      </c>
      <c r="M31" s="203">
        <v>46150.671527777777</v>
      </c>
      <c r="N31" s="197" t="s">
        <v>2838</v>
      </c>
      <c r="O31" s="151" t="s">
        <v>207</v>
      </c>
      <c r="P31" s="54"/>
      <c r="Q31" s="138" t="s">
        <v>215</v>
      </c>
      <c r="R31" s="137" t="s">
        <v>2842</v>
      </c>
      <c r="S31" s="138" t="s">
        <v>214</v>
      </c>
      <c r="T31" s="54"/>
      <c r="U31" s="138" t="s">
        <v>214</v>
      </c>
      <c r="V31" s="54"/>
      <c r="W31" s="138" t="s">
        <v>207</v>
      </c>
      <c r="X31" s="54"/>
      <c r="Y31" s="138" t="s">
        <v>214</v>
      </c>
      <c r="Z31" s="54"/>
      <c r="AA31" s="138" t="s">
        <v>207</v>
      </c>
      <c r="AB31" s="149"/>
      <c r="AC31" s="138" t="s">
        <v>215</v>
      </c>
      <c r="AD31" s="137" t="s">
        <v>2840</v>
      </c>
      <c r="AE31" s="138" t="s">
        <v>207</v>
      </c>
      <c r="AF31" s="189" t="str">
        <f>IF(AND(O31="",Q31="",S31="",U31="",W31="",Y31="",AA31="",AC31=""),"",
IF(OR(    AND(O31&lt;&gt;"NA",O31&lt;&gt;"C",O31&lt;&gt;"NC",O31&lt;&gt;"SF",O31&lt;&gt;""),
    AND(Q31&lt;&gt;"NA",Q31&lt;&gt;"C",Q31&lt;&gt;"NC",Q31&lt;&gt;"SF",Q31&lt;&gt;""),
    AND(S31&lt;&gt;"NA",S31&lt;&gt;"C",S31&lt;&gt;"NC",S31&lt;&gt;"SF",S31&lt;&gt;""),
    AND(U31&lt;&gt;"NA",U31&lt;&gt;"C",U31&lt;&gt;"NC",U31&lt;&gt;"SF",U31&lt;&gt;""),
    AND(W31&lt;&gt;"NA",W31&lt;&gt;"C",W31&lt;&gt;"NC",W31&lt;&gt;"SF",W31&lt;&gt;""),
    AND(Y31&lt;&gt;"NA",Y31&lt;&gt;"C",Y31&lt;&gt;"NC",Y31&lt;&gt;"SF",Y31&lt;&gt;""),
    AND(AA31&lt;&gt;"NA",AA31&lt;&gt;"C",AA31&lt;&gt;"NC",AA31&lt;&gt;"SF",AA31&lt;&gt;""),
    AND(AC31&lt;&gt;"NA",AC31&lt;&gt;"C",AC31&lt;&gt;"NC",AC31&lt;&gt;"SF",AC31&lt;&gt;"")
),"FALSO",
IF(AND(O31="NA",Q31="NA",S31="NA",U31="NA",W31="NA",Y31="NA",AA31="NA",AC31="NA"),"NA",
IF(OR(O31="NC",Q31="NC",S31="NC",U31="NC",W31="NC",Y31="NC",AA31="NC",AC31="NC",
       O31="SF",Q31="SF",S31="SF",U31="SF",W31="SF",Y31="SF",AA31="SF",AC31="SF"),"NC",
IF(SUM(IF(O31="C",1,0),IF(Q31="C",1,0),IF(S31="C",1,0),IF(U31="C",1,0),IF(W31="C",1,0),IF(Y31="C",1,0),IF(AA31="C",1,0),IF(AC31="C",1,0))=1,"C","C")))))</f>
        <v>NC</v>
      </c>
      <c r="AG31" s="150" t="str">
        <f>IF(AND(AE31="C",AF31="C"),"UTILIZOU O PDA CORRETAMENTE",IF(AND(AE31="C",AF31="NC"),"UTILIZOU O PDA CORRETAMENTE. NÃO HÁ FOTOS DE TODAS AS ETAPAS",IF(AND(AE31="NC",AF31="NC"),"NÃO UTILIZOU O PDA",IF(AND(AE31="NA",AF31="NA"),"NÃO AVALIADO POR FALHA DE SINCRONISMO"))))</f>
        <v>UTILIZOU O PDA CORRETAMENTE. NÃO HÁ FOTOS DE TODAS AS ETAPAS</v>
      </c>
      <c r="AH31" s="160" t="s">
        <v>75</v>
      </c>
      <c r="AI31" s="291" t="str">
        <f t="shared" si="0"/>
        <v>SÃO PAULO</v>
      </c>
      <c r="AJ31" s="291" t="s">
        <v>36</v>
      </c>
    </row>
    <row r="32" spans="1:36" s="51" customFormat="1" ht="30" customHeight="1">
      <c r="A32" s="197" t="s">
        <v>198</v>
      </c>
      <c r="B32" s="212">
        <v>2618603493</v>
      </c>
      <c r="C32" s="197" t="s">
        <v>154</v>
      </c>
      <c r="D32" s="197" t="s">
        <v>83</v>
      </c>
      <c r="E32" s="197" t="s">
        <v>35</v>
      </c>
      <c r="F32" s="197" t="s">
        <v>1585</v>
      </c>
      <c r="G32" s="197">
        <v>202</v>
      </c>
      <c r="H32" s="197"/>
      <c r="I32" s="197" t="s">
        <v>717</v>
      </c>
      <c r="J32" s="197" t="s">
        <v>2837</v>
      </c>
      <c r="K32" s="197"/>
      <c r="L32" s="203">
        <v>46150.45208333333</v>
      </c>
      <c r="M32" s="203">
        <v>46150.452777777777</v>
      </c>
      <c r="N32" s="197" t="s">
        <v>2838</v>
      </c>
      <c r="O32" s="151" t="s">
        <v>77</v>
      </c>
      <c r="P32" s="54"/>
      <c r="Q32" s="138" t="s">
        <v>77</v>
      </c>
      <c r="R32" s="54"/>
      <c r="S32" s="138" t="s">
        <v>77</v>
      </c>
      <c r="T32" s="54"/>
      <c r="U32" s="138" t="s">
        <v>77</v>
      </c>
      <c r="V32" s="54"/>
      <c r="W32" s="138" t="s">
        <v>77</v>
      </c>
      <c r="X32" s="54"/>
      <c r="Y32" s="138" t="s">
        <v>77</v>
      </c>
      <c r="Z32" s="54"/>
      <c r="AA32" s="138" t="s">
        <v>77</v>
      </c>
      <c r="AB32" s="149"/>
      <c r="AC32" s="138" t="s">
        <v>77</v>
      </c>
      <c r="AD32" s="149"/>
      <c r="AE32" s="138" t="s">
        <v>77</v>
      </c>
      <c r="AF32" s="189" t="str">
        <f>IF(AND(O32="",Q32="",S32="",U32="",W32="",Y32="",AA32="",AC32=""),"",
IF(OR(    AND(O32&lt;&gt;"NA",O32&lt;&gt;"C",O32&lt;&gt;"NC",O32&lt;&gt;"SF",O32&lt;&gt;""),
    AND(Q32&lt;&gt;"NA",Q32&lt;&gt;"C",Q32&lt;&gt;"NC",Q32&lt;&gt;"SF",Q32&lt;&gt;""),
    AND(S32&lt;&gt;"NA",S32&lt;&gt;"C",S32&lt;&gt;"NC",S32&lt;&gt;"SF",S32&lt;&gt;""),
    AND(U32&lt;&gt;"NA",U32&lt;&gt;"C",U32&lt;&gt;"NC",U32&lt;&gt;"SF",U32&lt;&gt;""),
    AND(W32&lt;&gt;"NA",W32&lt;&gt;"C",W32&lt;&gt;"NC",W32&lt;&gt;"SF",W32&lt;&gt;""),
    AND(Y32&lt;&gt;"NA",Y32&lt;&gt;"C",Y32&lt;&gt;"NC",Y32&lt;&gt;"SF",Y32&lt;&gt;""),
    AND(AA32&lt;&gt;"NA",AA32&lt;&gt;"C",AA32&lt;&gt;"NC",AA32&lt;&gt;"SF",AA32&lt;&gt;""),
    AND(AC32&lt;&gt;"NA",AC32&lt;&gt;"C",AC32&lt;&gt;"NC",AC32&lt;&gt;"SF",AC32&lt;&gt;"")
),"FALSO",
IF(AND(O32="NA",Q32="NA",S32="NA",U32="NA",W32="NA",Y32="NA",AA32="NA",AC32="NA"),"NA",
IF(OR(O32="NC",Q32="NC",S32="NC",U32="NC",W32="NC",Y32="NC",AA32="NC",AC32="NC",
       O32="SF",Q32="SF",S32="SF",U32="SF",W32="SF",Y32="SF",AA32="SF",AC32="SF"),"NC",
IF(SUM(IF(O32="C",1,0),IF(Q32="C",1,0),IF(S32="C",1,0),IF(U32="C",1,0),IF(W32="C",1,0),IF(Y32="C",1,0),IF(AA32="C",1,0),IF(AC32="C",1,0))=1,"C","C")))))</f>
        <v>NA</v>
      </c>
      <c r="AG32" s="150" t="str">
        <f>IF(AND(AE32="C",AF32="C"),"UTILIZOU O PDA CORRETAMENTE",IF(AND(AE32="C",AF32="NC"),"UTILIZOU O PDA CORRETAMENTE. NÃO HÁ FOTOS DE TODAS AS ETAPAS",IF(AND(AE32="NC",AF32="NC"),"NÃO UTILIZOU O PDA",IF(AND(AE32="NA",AF32="NA"),"NÃO AVALIADO POR FALHA DE SINCRONISMO"))))</f>
        <v>NÃO AVALIADO POR FALHA DE SINCRONISMO</v>
      </c>
      <c r="AH32" s="160" t="s">
        <v>75</v>
      </c>
      <c r="AI32" s="291" t="str">
        <f t="shared" si="0"/>
        <v>SÃO PAULO</v>
      </c>
      <c r="AJ32" s="291" t="s">
        <v>36</v>
      </c>
    </row>
    <row r="33" spans="1:36" s="51" customFormat="1" ht="30" customHeight="1">
      <c r="A33" s="197" t="s">
        <v>198</v>
      </c>
      <c r="B33" s="212">
        <v>2618604027</v>
      </c>
      <c r="C33" s="197" t="s">
        <v>154</v>
      </c>
      <c r="D33" s="197" t="s">
        <v>83</v>
      </c>
      <c r="E33" s="197" t="s">
        <v>35</v>
      </c>
      <c r="F33" s="197" t="s">
        <v>1585</v>
      </c>
      <c r="G33" s="197">
        <v>226</v>
      </c>
      <c r="H33" s="197" t="s">
        <v>208</v>
      </c>
      <c r="I33" s="197" t="s">
        <v>717</v>
      </c>
      <c r="J33" s="197" t="s">
        <v>2837</v>
      </c>
      <c r="K33" s="197" t="s">
        <v>200</v>
      </c>
      <c r="L33" s="203">
        <v>46150.45208333333</v>
      </c>
      <c r="M33" s="203">
        <v>46150.452777777777</v>
      </c>
      <c r="N33" s="197" t="s">
        <v>2838</v>
      </c>
      <c r="O33" s="151" t="s">
        <v>207</v>
      </c>
      <c r="P33" s="54"/>
      <c r="Q33" s="138" t="s">
        <v>215</v>
      </c>
      <c r="R33" s="137" t="s">
        <v>2842</v>
      </c>
      <c r="S33" s="138" t="s">
        <v>207</v>
      </c>
      <c r="T33" s="54"/>
      <c r="U33" s="138" t="s">
        <v>214</v>
      </c>
      <c r="V33" s="54"/>
      <c r="W33" s="138" t="s">
        <v>207</v>
      </c>
      <c r="X33" s="54"/>
      <c r="Y33" s="138" t="s">
        <v>214</v>
      </c>
      <c r="Z33" s="54"/>
      <c r="AA33" s="138" t="s">
        <v>207</v>
      </c>
      <c r="AB33" s="149"/>
      <c r="AC33" s="138" t="s">
        <v>215</v>
      </c>
      <c r="AD33" s="149" t="s">
        <v>1545</v>
      </c>
      <c r="AE33" s="138" t="s">
        <v>207</v>
      </c>
      <c r="AF33" s="189" t="str">
        <f>IF(AND(O33="",Q33="",S33="",U33="",W33="",Y33="",AA33="",AC33=""),"",
IF(OR(    AND(O33&lt;&gt;"NA",O33&lt;&gt;"C",O33&lt;&gt;"NC",O33&lt;&gt;"SF",O33&lt;&gt;""),
    AND(Q33&lt;&gt;"NA",Q33&lt;&gt;"C",Q33&lt;&gt;"NC",Q33&lt;&gt;"SF",Q33&lt;&gt;""),
    AND(S33&lt;&gt;"NA",S33&lt;&gt;"C",S33&lt;&gt;"NC",S33&lt;&gt;"SF",S33&lt;&gt;""),
    AND(U33&lt;&gt;"NA",U33&lt;&gt;"C",U33&lt;&gt;"NC",U33&lt;&gt;"SF",U33&lt;&gt;""),
    AND(W33&lt;&gt;"NA",W33&lt;&gt;"C",W33&lt;&gt;"NC",W33&lt;&gt;"SF",W33&lt;&gt;""),
    AND(Y33&lt;&gt;"NA",Y33&lt;&gt;"C",Y33&lt;&gt;"NC",Y33&lt;&gt;"SF",Y33&lt;&gt;""),
    AND(AA33&lt;&gt;"NA",AA33&lt;&gt;"C",AA33&lt;&gt;"NC",AA33&lt;&gt;"SF",AA33&lt;&gt;""),
    AND(AC33&lt;&gt;"NA",AC33&lt;&gt;"C",AC33&lt;&gt;"NC",AC33&lt;&gt;"SF",AC33&lt;&gt;"")
),"FALSO",
IF(AND(O33="NA",Q33="NA",S33="NA",U33="NA",W33="NA",Y33="NA",AA33="NA",AC33="NA"),"NA",
IF(OR(O33="NC",Q33="NC",S33="NC",U33="NC",W33="NC",Y33="NC",AA33="NC",AC33="NC",
       O33="SF",Q33="SF",S33="SF",U33="SF",W33="SF",Y33="SF",AA33="SF",AC33="SF"),"NC",
IF(SUM(IF(O33="C",1,0),IF(Q33="C",1,0),IF(S33="C",1,0),IF(U33="C",1,0),IF(W33="C",1,0),IF(Y33="C",1,0),IF(AA33="C",1,0),IF(AC33="C",1,0))=1,"C","C")))))</f>
        <v>NC</v>
      </c>
      <c r="AG33" s="150" t="str">
        <f>IF(AND(AE33="C",AF33="C"),"UTILIZOU O PDA CORRETAMENTE",IF(AND(AE33="C",AF33="NC"),"UTILIZOU O PDA CORRETAMENTE. NÃO HÁ FOTOS DE TODAS AS ETAPAS",IF(AND(AE33="NC",AF33="NC"),"NÃO UTILIZOU O PDA",IF(AND(AE33="NA",AF33="NA"),"NÃO AVALIADO POR FALHA DE SINCRONISMO"))))</f>
        <v>UTILIZOU O PDA CORRETAMENTE. NÃO HÁ FOTOS DE TODAS AS ETAPAS</v>
      </c>
      <c r="AH33" s="160" t="s">
        <v>75</v>
      </c>
      <c r="AI33" s="291" t="str">
        <f t="shared" si="0"/>
        <v>SÃO PAULO</v>
      </c>
      <c r="AJ33" s="291" t="s">
        <v>36</v>
      </c>
    </row>
    <row r="34" spans="1:36" s="51" customFormat="1" ht="30" customHeight="1">
      <c r="A34" s="197" t="s">
        <v>198</v>
      </c>
      <c r="B34" s="212">
        <v>2618604443</v>
      </c>
      <c r="C34" s="197" t="s">
        <v>154</v>
      </c>
      <c r="D34" s="197" t="s">
        <v>83</v>
      </c>
      <c r="E34" s="197" t="s">
        <v>35</v>
      </c>
      <c r="F34" s="197" t="s">
        <v>519</v>
      </c>
      <c r="G34" s="197">
        <v>10</v>
      </c>
      <c r="H34" s="197" t="s">
        <v>208</v>
      </c>
      <c r="I34" s="197" t="s">
        <v>338</v>
      </c>
      <c r="J34" s="197" t="s">
        <v>2837</v>
      </c>
      <c r="K34" s="197"/>
      <c r="L34" s="203">
        <v>46150.472222222219</v>
      </c>
      <c r="M34" s="203">
        <v>46150.472222222219</v>
      </c>
      <c r="N34" s="197" t="s">
        <v>2838</v>
      </c>
      <c r="O34" s="151" t="s">
        <v>207</v>
      </c>
      <c r="P34" s="54"/>
      <c r="Q34" s="138" t="s">
        <v>215</v>
      </c>
      <c r="R34" s="137" t="s">
        <v>2842</v>
      </c>
      <c r="S34" s="138" t="s">
        <v>207</v>
      </c>
      <c r="T34" s="54"/>
      <c r="U34" s="138" t="s">
        <v>214</v>
      </c>
      <c r="V34" s="54"/>
      <c r="W34" s="138" t="s">
        <v>207</v>
      </c>
      <c r="X34" s="54"/>
      <c r="Y34" s="138" t="s">
        <v>214</v>
      </c>
      <c r="Z34" s="54"/>
      <c r="AA34" s="138" t="s">
        <v>214</v>
      </c>
      <c r="AB34" s="149"/>
      <c r="AC34" s="138" t="s">
        <v>215</v>
      </c>
      <c r="AD34" s="149" t="s">
        <v>2847</v>
      </c>
      <c r="AE34" s="138" t="s">
        <v>207</v>
      </c>
      <c r="AF34" s="189" t="str">
        <f>IF(AND(O34="",Q34="",S34="",U34="",W34="",Y34="",AA34="",AC34=""),"",
IF(OR(    AND(O34&lt;&gt;"NA",O34&lt;&gt;"C",O34&lt;&gt;"NC",O34&lt;&gt;"SF",O34&lt;&gt;""),
    AND(Q34&lt;&gt;"NA",Q34&lt;&gt;"C",Q34&lt;&gt;"NC",Q34&lt;&gt;"SF",Q34&lt;&gt;""),
    AND(S34&lt;&gt;"NA",S34&lt;&gt;"C",S34&lt;&gt;"NC",S34&lt;&gt;"SF",S34&lt;&gt;""),
    AND(U34&lt;&gt;"NA",U34&lt;&gt;"C",U34&lt;&gt;"NC",U34&lt;&gt;"SF",U34&lt;&gt;""),
    AND(W34&lt;&gt;"NA",W34&lt;&gt;"C",W34&lt;&gt;"NC",W34&lt;&gt;"SF",W34&lt;&gt;""),
    AND(Y34&lt;&gt;"NA",Y34&lt;&gt;"C",Y34&lt;&gt;"NC",Y34&lt;&gt;"SF",Y34&lt;&gt;""),
    AND(AA34&lt;&gt;"NA",AA34&lt;&gt;"C",AA34&lt;&gt;"NC",AA34&lt;&gt;"SF",AA34&lt;&gt;""),
    AND(AC34&lt;&gt;"NA",AC34&lt;&gt;"C",AC34&lt;&gt;"NC",AC34&lt;&gt;"SF",AC34&lt;&gt;"")
),"FALSO",
IF(AND(O34="NA",Q34="NA",S34="NA",U34="NA",W34="NA",Y34="NA",AA34="NA",AC34="NA"),"NA",
IF(OR(O34="NC",Q34="NC",S34="NC",U34="NC",W34="NC",Y34="NC",AA34="NC",AC34="NC",
       O34="SF",Q34="SF",S34="SF",U34="SF",W34="SF",Y34="SF",AA34="SF",AC34="SF"),"NC",
IF(SUM(IF(O34="C",1,0),IF(Q34="C",1,0),IF(S34="C",1,0),IF(U34="C",1,0),IF(W34="C",1,0),IF(Y34="C",1,0),IF(AA34="C",1,0),IF(AC34="C",1,0))=1,"C","C")))))</f>
        <v>NC</v>
      </c>
      <c r="AG34" s="150" t="str">
        <f>IF(AND(AE34="C",AF34="C"),"UTILIZOU O PDA CORRETAMENTE",IF(AND(AE34="C",AF34="NC"),"UTILIZOU O PDA CORRETAMENTE. NÃO HÁ FOTOS DE TODAS AS ETAPAS",IF(AND(AE34="NC",AF34="NC"),"NÃO UTILIZOU O PDA",IF(AND(AE34="NA",AF34="NA"),"NÃO AVALIADO POR FALHA DE SINCRONISMO"))))</f>
        <v>UTILIZOU O PDA CORRETAMENTE. NÃO HÁ FOTOS DE TODAS AS ETAPAS</v>
      </c>
      <c r="AH34" s="160" t="s">
        <v>75</v>
      </c>
      <c r="AI34" s="291" t="str">
        <f t="shared" si="0"/>
        <v>SÃO PAULO</v>
      </c>
      <c r="AJ34" s="291" t="s">
        <v>36</v>
      </c>
    </row>
    <row r="35" spans="1:36" s="51" customFormat="1" ht="30" customHeight="1">
      <c r="A35" s="197" t="s">
        <v>198</v>
      </c>
      <c r="B35" s="212">
        <v>2619202958</v>
      </c>
      <c r="C35" s="197" t="s">
        <v>154</v>
      </c>
      <c r="D35" s="197" t="s">
        <v>83</v>
      </c>
      <c r="E35" s="197" t="s">
        <v>35</v>
      </c>
      <c r="F35" s="197" t="s">
        <v>650</v>
      </c>
      <c r="G35" s="197">
        <v>1202</v>
      </c>
      <c r="H35" s="197" t="s">
        <v>208</v>
      </c>
      <c r="I35" s="197" t="s">
        <v>408</v>
      </c>
      <c r="J35" s="197" t="s">
        <v>2837</v>
      </c>
      <c r="K35" s="197" t="s">
        <v>200</v>
      </c>
      <c r="L35" s="203">
        <v>46150.45208333333</v>
      </c>
      <c r="M35" s="203">
        <v>46150.452777777777</v>
      </c>
      <c r="N35" s="197" t="s">
        <v>2838</v>
      </c>
      <c r="O35" s="151" t="s">
        <v>207</v>
      </c>
      <c r="P35" s="54"/>
      <c r="Q35" s="138" t="s">
        <v>215</v>
      </c>
      <c r="R35" s="137" t="s">
        <v>2842</v>
      </c>
      <c r="S35" s="138" t="s">
        <v>207</v>
      </c>
      <c r="T35" s="54"/>
      <c r="U35" s="138" t="s">
        <v>214</v>
      </c>
      <c r="V35" s="54"/>
      <c r="W35" s="138" t="s">
        <v>207</v>
      </c>
      <c r="X35" s="54"/>
      <c r="Y35" s="138" t="s">
        <v>214</v>
      </c>
      <c r="Z35" s="54"/>
      <c r="AA35" s="138" t="s">
        <v>207</v>
      </c>
      <c r="AB35" s="149"/>
      <c r="AC35" s="138" t="s">
        <v>215</v>
      </c>
      <c r="AD35" s="137" t="s">
        <v>2840</v>
      </c>
      <c r="AE35" s="138" t="s">
        <v>207</v>
      </c>
      <c r="AF35" s="189" t="str">
        <f>IF(AND(O35="",Q35="",S35="",U35="",W35="",Y35="",AA35="",AC35=""),"",
IF(OR(    AND(O35&lt;&gt;"NA",O35&lt;&gt;"C",O35&lt;&gt;"NC",O35&lt;&gt;"SF",O35&lt;&gt;""),
    AND(Q35&lt;&gt;"NA",Q35&lt;&gt;"C",Q35&lt;&gt;"NC",Q35&lt;&gt;"SF",Q35&lt;&gt;""),
    AND(S35&lt;&gt;"NA",S35&lt;&gt;"C",S35&lt;&gt;"NC",S35&lt;&gt;"SF",S35&lt;&gt;""),
    AND(U35&lt;&gt;"NA",U35&lt;&gt;"C",U35&lt;&gt;"NC",U35&lt;&gt;"SF",U35&lt;&gt;""),
    AND(W35&lt;&gt;"NA",W35&lt;&gt;"C",W35&lt;&gt;"NC",W35&lt;&gt;"SF",W35&lt;&gt;""),
    AND(Y35&lt;&gt;"NA",Y35&lt;&gt;"C",Y35&lt;&gt;"NC",Y35&lt;&gt;"SF",Y35&lt;&gt;""),
    AND(AA35&lt;&gt;"NA",AA35&lt;&gt;"C",AA35&lt;&gt;"NC",AA35&lt;&gt;"SF",AA35&lt;&gt;""),
    AND(AC35&lt;&gt;"NA",AC35&lt;&gt;"C",AC35&lt;&gt;"NC",AC35&lt;&gt;"SF",AC35&lt;&gt;"")
),"FALSO",
IF(AND(O35="NA",Q35="NA",S35="NA",U35="NA",W35="NA",Y35="NA",AA35="NA",AC35="NA"),"NA",
IF(OR(O35="NC",Q35="NC",S35="NC",U35="NC",W35="NC",Y35="NC",AA35="NC",AC35="NC",
       O35="SF",Q35="SF",S35="SF",U35="SF",W35="SF",Y35="SF",AA35="SF",AC35="SF"),"NC",
IF(SUM(IF(O35="C",1,0),IF(Q35="C",1,0),IF(S35="C",1,0),IF(U35="C",1,0),IF(W35="C",1,0),IF(Y35="C",1,0),IF(AA35="C",1,0),IF(AC35="C",1,0))=1,"C","C")))))</f>
        <v>NC</v>
      </c>
      <c r="AG35" s="150" t="str">
        <f>IF(AND(AE35="C",AF35="C"),"UTILIZOU O PDA CORRETAMENTE",IF(AND(AE35="C",AF35="NC"),"UTILIZOU O PDA CORRETAMENTE. NÃO HÁ FOTOS DE TODAS AS ETAPAS",IF(AND(AE35="NC",AF35="NC"),"NÃO UTILIZOU O PDA",IF(AND(AE35="NA",AF35="NA"),"NÃO AVALIADO POR FALHA DE SINCRONISMO"))))</f>
        <v>UTILIZOU O PDA CORRETAMENTE. NÃO HÁ FOTOS DE TODAS AS ETAPAS</v>
      </c>
      <c r="AH35" s="60" t="s">
        <v>54</v>
      </c>
      <c r="AI35" s="291" t="str">
        <f t="shared" si="0"/>
        <v>SÃO PAULO</v>
      </c>
      <c r="AJ35" s="291" t="s">
        <v>36</v>
      </c>
    </row>
    <row r="36" spans="1:36" s="51" customFormat="1" ht="30" customHeight="1">
      <c r="A36" s="197" t="s">
        <v>198</v>
      </c>
      <c r="B36" s="212">
        <v>2619202768</v>
      </c>
      <c r="C36" s="197" t="s">
        <v>154</v>
      </c>
      <c r="D36" s="197" t="s">
        <v>83</v>
      </c>
      <c r="E36" s="197" t="s">
        <v>35</v>
      </c>
      <c r="F36" s="197" t="s">
        <v>565</v>
      </c>
      <c r="G36" s="197">
        <v>17</v>
      </c>
      <c r="H36" s="197" t="s">
        <v>208</v>
      </c>
      <c r="I36" s="197" t="s">
        <v>408</v>
      </c>
      <c r="J36" s="197" t="s">
        <v>2837</v>
      </c>
      <c r="K36" s="197"/>
      <c r="L36" s="203">
        <v>46150.5</v>
      </c>
      <c r="M36" s="203">
        <v>46150.500694444447</v>
      </c>
      <c r="N36" s="197" t="s">
        <v>2838</v>
      </c>
      <c r="O36" s="151" t="s">
        <v>77</v>
      </c>
      <c r="P36" s="54"/>
      <c r="Q36" s="138" t="s">
        <v>77</v>
      </c>
      <c r="R36" s="54"/>
      <c r="S36" s="138" t="s">
        <v>77</v>
      </c>
      <c r="T36" s="54"/>
      <c r="U36" s="138" t="s">
        <v>77</v>
      </c>
      <c r="V36" s="54"/>
      <c r="W36" s="138" t="s">
        <v>77</v>
      </c>
      <c r="X36" s="54"/>
      <c r="Y36" s="138" t="s">
        <v>77</v>
      </c>
      <c r="Z36" s="54"/>
      <c r="AA36" s="138" t="s">
        <v>77</v>
      </c>
      <c r="AB36" s="149"/>
      <c r="AC36" s="138" t="s">
        <v>77</v>
      </c>
      <c r="AD36" s="149"/>
      <c r="AE36" s="138" t="s">
        <v>77</v>
      </c>
      <c r="AF36" s="189" t="str">
        <f>IF(AND(O36="",Q36="",S36="",U36="",W36="",Y36="",AA36="",AC36=""),"",
IF(OR(    AND(O36&lt;&gt;"NA",O36&lt;&gt;"C",O36&lt;&gt;"NC",O36&lt;&gt;"SF",O36&lt;&gt;""),
    AND(Q36&lt;&gt;"NA",Q36&lt;&gt;"C",Q36&lt;&gt;"NC",Q36&lt;&gt;"SF",Q36&lt;&gt;""),
    AND(S36&lt;&gt;"NA",S36&lt;&gt;"C",S36&lt;&gt;"NC",S36&lt;&gt;"SF",S36&lt;&gt;""),
    AND(U36&lt;&gt;"NA",U36&lt;&gt;"C",U36&lt;&gt;"NC",U36&lt;&gt;"SF",U36&lt;&gt;""),
    AND(W36&lt;&gt;"NA",W36&lt;&gt;"C",W36&lt;&gt;"NC",W36&lt;&gt;"SF",W36&lt;&gt;""),
    AND(Y36&lt;&gt;"NA",Y36&lt;&gt;"C",Y36&lt;&gt;"NC",Y36&lt;&gt;"SF",Y36&lt;&gt;""),
    AND(AA36&lt;&gt;"NA",AA36&lt;&gt;"C",AA36&lt;&gt;"NC",AA36&lt;&gt;"SF",AA36&lt;&gt;""),
    AND(AC36&lt;&gt;"NA",AC36&lt;&gt;"C",AC36&lt;&gt;"NC",AC36&lt;&gt;"SF",AC36&lt;&gt;"")
),"FALSO",
IF(AND(O36="NA",Q36="NA",S36="NA",U36="NA",W36="NA",Y36="NA",AA36="NA",AC36="NA"),"NA",
IF(OR(O36="NC",Q36="NC",S36="NC",U36="NC",W36="NC",Y36="NC",AA36="NC",AC36="NC",
       O36="SF",Q36="SF",S36="SF",U36="SF",W36="SF",Y36="SF",AA36="SF",AC36="SF"),"NC",
IF(SUM(IF(O36="C",1,0),IF(Q36="C",1,0),IF(S36="C",1,0),IF(U36="C",1,0),IF(W36="C",1,0),IF(Y36="C",1,0),IF(AA36="C",1,0),IF(AC36="C",1,0))=1,"C","C")))))</f>
        <v>NA</v>
      </c>
      <c r="AG36" s="150" t="str">
        <f>IF(AND(AE36="C",AF36="C"),"UTILIZOU O PDA CORRETAMENTE",IF(AND(AE36="C",AF36="NC"),"UTILIZOU O PDA CORRETAMENTE. NÃO HÁ FOTOS DE TODAS AS ETAPAS",IF(AND(AE36="NC",AF36="NC"),"NÃO UTILIZOU O PDA",IF(AND(AE36="NA",AF36="NA"),"NÃO AVALIADO POR FALHA DE SINCRONISMO"))))</f>
        <v>NÃO AVALIADO POR FALHA DE SINCRONISMO</v>
      </c>
      <c r="AH36" s="160" t="s">
        <v>54</v>
      </c>
      <c r="AI36" s="291" t="str">
        <f t="shared" si="0"/>
        <v>SÃO PAULO</v>
      </c>
      <c r="AJ36" s="291" t="s">
        <v>36</v>
      </c>
    </row>
    <row r="37" spans="1:36" s="51" customFormat="1" ht="30" customHeight="1">
      <c r="A37" s="197" t="s">
        <v>198</v>
      </c>
      <c r="B37" s="212">
        <v>2619204024</v>
      </c>
      <c r="C37" s="197" t="s">
        <v>154</v>
      </c>
      <c r="D37" s="197" t="s">
        <v>83</v>
      </c>
      <c r="E37" s="197" t="s">
        <v>35</v>
      </c>
      <c r="F37" s="197" t="s">
        <v>564</v>
      </c>
      <c r="G37" s="197">
        <v>335</v>
      </c>
      <c r="H37" s="197" t="s">
        <v>200</v>
      </c>
      <c r="I37" s="197" t="s">
        <v>293</v>
      </c>
      <c r="J37" s="197" t="s">
        <v>2837</v>
      </c>
      <c r="K37" s="197" t="s">
        <v>200</v>
      </c>
      <c r="L37" s="203">
        <v>46150.502083333333</v>
      </c>
      <c r="M37" s="203">
        <v>46150.50277777778</v>
      </c>
      <c r="N37" s="197" t="s">
        <v>2838</v>
      </c>
      <c r="O37" s="151" t="s">
        <v>207</v>
      </c>
      <c r="P37" s="54"/>
      <c r="Q37" s="138" t="s">
        <v>215</v>
      </c>
      <c r="R37" s="137" t="s">
        <v>2842</v>
      </c>
      <c r="S37" s="138" t="s">
        <v>207</v>
      </c>
      <c r="T37" s="54"/>
      <c r="U37" s="138" t="s">
        <v>214</v>
      </c>
      <c r="V37" s="54"/>
      <c r="W37" s="138" t="s">
        <v>207</v>
      </c>
      <c r="X37" s="54"/>
      <c r="Y37" s="138" t="s">
        <v>214</v>
      </c>
      <c r="Z37" s="54"/>
      <c r="AA37" s="138" t="s">
        <v>207</v>
      </c>
      <c r="AB37" s="149"/>
      <c r="AC37" s="138" t="s">
        <v>215</v>
      </c>
      <c r="AD37" s="137" t="s">
        <v>2840</v>
      </c>
      <c r="AE37" s="138" t="s">
        <v>207</v>
      </c>
      <c r="AF37" s="189" t="str">
        <f>IF(AND(O37="",Q37="",S37="",U37="",W37="",Y37="",AA37="",AC37=""),"",
IF(OR(    AND(O37&lt;&gt;"NA",O37&lt;&gt;"C",O37&lt;&gt;"NC",O37&lt;&gt;"SF",O37&lt;&gt;""),
    AND(Q37&lt;&gt;"NA",Q37&lt;&gt;"C",Q37&lt;&gt;"NC",Q37&lt;&gt;"SF",Q37&lt;&gt;""),
    AND(S37&lt;&gt;"NA",S37&lt;&gt;"C",S37&lt;&gt;"NC",S37&lt;&gt;"SF",S37&lt;&gt;""),
    AND(U37&lt;&gt;"NA",U37&lt;&gt;"C",U37&lt;&gt;"NC",U37&lt;&gt;"SF",U37&lt;&gt;""),
    AND(W37&lt;&gt;"NA",W37&lt;&gt;"C",W37&lt;&gt;"NC",W37&lt;&gt;"SF",W37&lt;&gt;""),
    AND(Y37&lt;&gt;"NA",Y37&lt;&gt;"C",Y37&lt;&gt;"NC",Y37&lt;&gt;"SF",Y37&lt;&gt;""),
    AND(AA37&lt;&gt;"NA",AA37&lt;&gt;"C",AA37&lt;&gt;"NC",AA37&lt;&gt;"SF",AA37&lt;&gt;""),
    AND(AC37&lt;&gt;"NA",AC37&lt;&gt;"C",AC37&lt;&gt;"NC",AC37&lt;&gt;"SF",AC37&lt;&gt;"")
),"FALSO",
IF(AND(O37="NA",Q37="NA",S37="NA",U37="NA",W37="NA",Y37="NA",AA37="NA",AC37="NA"),"NA",
IF(OR(O37="NC",Q37="NC",S37="NC",U37="NC",W37="NC",Y37="NC",AA37="NC",AC37="NC",
       O37="SF",Q37="SF",S37="SF",U37="SF",W37="SF",Y37="SF",AA37="SF",AC37="SF"),"NC",
IF(SUM(IF(O37="C",1,0),IF(Q37="C",1,0),IF(S37="C",1,0),IF(U37="C",1,0),IF(W37="C",1,0),IF(Y37="C",1,0),IF(AA37="C",1,0),IF(AC37="C",1,0))=1,"C","C")))))</f>
        <v>NC</v>
      </c>
      <c r="AG37" s="150" t="str">
        <f>IF(AND(AE37="C",AF37="C"),"UTILIZOU O PDA CORRETAMENTE",IF(AND(AE37="C",AF37="NC"),"UTILIZOU O PDA CORRETAMENTE. NÃO HÁ FOTOS DE TODAS AS ETAPAS",IF(AND(AE37="NC",AF37="NC"),"NÃO UTILIZOU O PDA",IF(AND(AE37="NA",AF37="NA"),"NÃO AVALIADO POR FALHA DE SINCRONISMO"))))</f>
        <v>UTILIZOU O PDA CORRETAMENTE. NÃO HÁ FOTOS DE TODAS AS ETAPAS</v>
      </c>
      <c r="AH37" s="60" t="s">
        <v>54</v>
      </c>
      <c r="AI37" s="291" t="str">
        <f t="shared" si="0"/>
        <v>SÃO PAULO</v>
      </c>
      <c r="AJ37" s="291" t="s">
        <v>36</v>
      </c>
    </row>
    <row r="38" spans="1:36" s="51" customFormat="1" ht="30" customHeight="1">
      <c r="A38" s="197" t="s">
        <v>198</v>
      </c>
      <c r="B38" s="212">
        <v>2619203362</v>
      </c>
      <c r="C38" s="197" t="s">
        <v>154</v>
      </c>
      <c r="D38" s="197" t="s">
        <v>83</v>
      </c>
      <c r="E38" s="197" t="s">
        <v>35</v>
      </c>
      <c r="F38" s="197" t="s">
        <v>564</v>
      </c>
      <c r="G38" s="197">
        <v>332</v>
      </c>
      <c r="H38" s="197"/>
      <c r="I38" s="197" t="s">
        <v>293</v>
      </c>
      <c r="J38" s="197" t="s">
        <v>2837</v>
      </c>
      <c r="K38" s="197"/>
      <c r="L38" s="203">
        <v>46150.49722222222</v>
      </c>
      <c r="M38" s="203">
        <v>46150.497916666667</v>
      </c>
      <c r="N38" s="197" t="s">
        <v>2838</v>
      </c>
      <c r="O38" s="151" t="s">
        <v>207</v>
      </c>
      <c r="P38" s="54"/>
      <c r="Q38" s="138" t="s">
        <v>215</v>
      </c>
      <c r="R38" s="137" t="s">
        <v>2842</v>
      </c>
      <c r="S38" s="138" t="s">
        <v>207</v>
      </c>
      <c r="T38" s="54"/>
      <c r="U38" s="138" t="s">
        <v>214</v>
      </c>
      <c r="V38" s="54"/>
      <c r="W38" s="138" t="s">
        <v>207</v>
      </c>
      <c r="X38" s="54"/>
      <c r="Y38" s="138" t="s">
        <v>214</v>
      </c>
      <c r="Z38" s="54"/>
      <c r="AA38" s="138" t="s">
        <v>207</v>
      </c>
      <c r="AB38" s="149"/>
      <c r="AC38" s="138" t="s">
        <v>215</v>
      </c>
      <c r="AD38" s="137" t="s">
        <v>2840</v>
      </c>
      <c r="AE38" s="138" t="s">
        <v>207</v>
      </c>
      <c r="AF38" s="189" t="str">
        <f>IF(AND(O38="",Q38="",S38="",U38="",W38="",Y38="",AA38="",AC38=""),"",
IF(OR(    AND(O38&lt;&gt;"NA",O38&lt;&gt;"C",O38&lt;&gt;"NC",O38&lt;&gt;"SF",O38&lt;&gt;""),
    AND(Q38&lt;&gt;"NA",Q38&lt;&gt;"C",Q38&lt;&gt;"NC",Q38&lt;&gt;"SF",Q38&lt;&gt;""),
    AND(S38&lt;&gt;"NA",S38&lt;&gt;"C",S38&lt;&gt;"NC",S38&lt;&gt;"SF",S38&lt;&gt;""),
    AND(U38&lt;&gt;"NA",U38&lt;&gt;"C",U38&lt;&gt;"NC",U38&lt;&gt;"SF",U38&lt;&gt;""),
    AND(W38&lt;&gt;"NA",W38&lt;&gt;"C",W38&lt;&gt;"NC",W38&lt;&gt;"SF",W38&lt;&gt;""),
    AND(Y38&lt;&gt;"NA",Y38&lt;&gt;"C",Y38&lt;&gt;"NC",Y38&lt;&gt;"SF",Y38&lt;&gt;""),
    AND(AA38&lt;&gt;"NA",AA38&lt;&gt;"C",AA38&lt;&gt;"NC",AA38&lt;&gt;"SF",AA38&lt;&gt;""),
    AND(AC38&lt;&gt;"NA",AC38&lt;&gt;"C",AC38&lt;&gt;"NC",AC38&lt;&gt;"SF",AC38&lt;&gt;"")
),"FALSO",
IF(AND(O38="NA",Q38="NA",S38="NA",U38="NA",W38="NA",Y38="NA",AA38="NA",AC38="NA"),"NA",
IF(OR(O38="NC",Q38="NC",S38="NC",U38="NC",W38="NC",Y38="NC",AA38="NC",AC38="NC",
       O38="SF",Q38="SF",S38="SF",U38="SF",W38="SF",Y38="SF",AA38="SF",AC38="SF"),"NC",
IF(SUM(IF(O38="C",1,0),IF(Q38="C",1,0),IF(S38="C",1,0),IF(U38="C",1,0),IF(W38="C",1,0),IF(Y38="C",1,0),IF(AA38="C",1,0),IF(AC38="C",1,0))=1,"C","C")))))</f>
        <v>NC</v>
      </c>
      <c r="AG38" s="150" t="str">
        <f>IF(AND(AE38="C",AF38="C"),"UTILIZOU O PDA CORRETAMENTE",IF(AND(AE38="C",AF38="NC"),"UTILIZOU O PDA CORRETAMENTE. NÃO HÁ FOTOS DE TODAS AS ETAPAS",IF(AND(AE38="NC",AF38="NC"),"NÃO UTILIZOU O PDA",IF(AND(AE38="NA",AF38="NA"),"NÃO AVALIADO POR FALHA DE SINCRONISMO"))))</f>
        <v>UTILIZOU O PDA CORRETAMENTE. NÃO HÁ FOTOS DE TODAS AS ETAPAS</v>
      </c>
      <c r="AH38" s="160" t="s">
        <v>54</v>
      </c>
      <c r="AI38" s="291" t="str">
        <f t="shared" si="0"/>
        <v>SÃO PAULO</v>
      </c>
      <c r="AJ38" s="291" t="s">
        <v>36</v>
      </c>
    </row>
    <row r="39" spans="1:36" s="51" customFormat="1" ht="30" customHeight="1">
      <c r="A39" s="197" t="s">
        <v>198</v>
      </c>
      <c r="B39" s="212">
        <v>2619304366</v>
      </c>
      <c r="C39" s="197" t="s">
        <v>154</v>
      </c>
      <c r="D39" s="197" t="s">
        <v>83</v>
      </c>
      <c r="E39" s="197" t="s">
        <v>35</v>
      </c>
      <c r="F39" s="197" t="s">
        <v>498</v>
      </c>
      <c r="G39" s="197">
        <v>4725</v>
      </c>
      <c r="H39" s="197" t="s">
        <v>200</v>
      </c>
      <c r="I39" s="197" t="s">
        <v>1555</v>
      </c>
      <c r="J39" s="197" t="s">
        <v>2837</v>
      </c>
      <c r="K39" s="197" t="s">
        <v>200</v>
      </c>
      <c r="L39" s="203">
        <v>46150.5</v>
      </c>
      <c r="M39" s="203">
        <v>46150.500694444447</v>
      </c>
      <c r="N39" s="197" t="s">
        <v>2838</v>
      </c>
      <c r="O39" s="151" t="s">
        <v>77</v>
      </c>
      <c r="P39" s="54"/>
      <c r="Q39" s="138" t="s">
        <v>77</v>
      </c>
      <c r="R39" s="54"/>
      <c r="S39" s="138" t="s">
        <v>77</v>
      </c>
      <c r="T39" s="54"/>
      <c r="U39" s="138" t="s">
        <v>77</v>
      </c>
      <c r="V39" s="54"/>
      <c r="W39" s="138" t="s">
        <v>77</v>
      </c>
      <c r="X39" s="54"/>
      <c r="Y39" s="138" t="s">
        <v>77</v>
      </c>
      <c r="Z39" s="54"/>
      <c r="AA39" s="138" t="s">
        <v>77</v>
      </c>
      <c r="AB39" s="149"/>
      <c r="AC39" s="138" t="s">
        <v>77</v>
      </c>
      <c r="AD39" s="149"/>
      <c r="AE39" s="138" t="s">
        <v>77</v>
      </c>
      <c r="AF39" s="189" t="str">
        <f>IF(AND(O39="",Q39="",S39="",U39="",W39="",Y39="",AA39="",AC39=""),"",
IF(OR(    AND(O39&lt;&gt;"NA",O39&lt;&gt;"C",O39&lt;&gt;"NC",O39&lt;&gt;"SF",O39&lt;&gt;""),
    AND(Q39&lt;&gt;"NA",Q39&lt;&gt;"C",Q39&lt;&gt;"NC",Q39&lt;&gt;"SF",Q39&lt;&gt;""),
    AND(S39&lt;&gt;"NA",S39&lt;&gt;"C",S39&lt;&gt;"NC",S39&lt;&gt;"SF",S39&lt;&gt;""),
    AND(U39&lt;&gt;"NA",U39&lt;&gt;"C",U39&lt;&gt;"NC",U39&lt;&gt;"SF",U39&lt;&gt;""),
    AND(W39&lt;&gt;"NA",W39&lt;&gt;"C",W39&lt;&gt;"NC",W39&lt;&gt;"SF",W39&lt;&gt;""),
    AND(Y39&lt;&gt;"NA",Y39&lt;&gt;"C",Y39&lt;&gt;"NC",Y39&lt;&gt;"SF",Y39&lt;&gt;""),
    AND(AA39&lt;&gt;"NA",AA39&lt;&gt;"C",AA39&lt;&gt;"NC",AA39&lt;&gt;"SF",AA39&lt;&gt;""),
    AND(AC39&lt;&gt;"NA",AC39&lt;&gt;"C",AC39&lt;&gt;"NC",AC39&lt;&gt;"SF",AC39&lt;&gt;"")
),"FALSO",
IF(AND(O39="NA",Q39="NA",S39="NA",U39="NA",W39="NA",Y39="NA",AA39="NA",AC39="NA"),"NA",
IF(OR(O39="NC",Q39="NC",S39="NC",U39="NC",W39="NC",Y39="NC",AA39="NC",AC39="NC",
       O39="SF",Q39="SF",S39="SF",U39="SF",W39="SF",Y39="SF",AA39="SF",AC39="SF"),"NC",
IF(SUM(IF(O39="C",1,0),IF(Q39="C",1,0),IF(S39="C",1,0),IF(U39="C",1,0),IF(W39="C",1,0),IF(Y39="C",1,0),IF(AA39="C",1,0),IF(AC39="C",1,0))=1,"C","C")))))</f>
        <v>NA</v>
      </c>
      <c r="AG39" s="150" t="str">
        <f>IF(AND(AE39="C",AF39="C"),"UTILIZOU O PDA CORRETAMENTE",IF(AND(AE39="C",AF39="NC"),"UTILIZOU O PDA CORRETAMENTE. NÃO HÁ FOTOS DE TODAS AS ETAPAS",IF(AND(AE39="NC",AF39="NC"),"NÃO UTILIZOU O PDA",IF(AND(AE39="NA",AF39="NA"),"NÃO AVALIADO POR FALHA DE SINCRONISMO"))))</f>
        <v>NÃO AVALIADO POR FALHA DE SINCRONISMO</v>
      </c>
      <c r="AH39" s="160"/>
      <c r="AI39" s="291" t="str">
        <f t="shared" si="0"/>
        <v>SÃO PAULO</v>
      </c>
      <c r="AJ39" s="291" t="s">
        <v>36</v>
      </c>
    </row>
    <row r="40" spans="1:36" s="51" customFormat="1" ht="30" customHeight="1">
      <c r="A40" s="197" t="s">
        <v>198</v>
      </c>
      <c r="B40" s="212">
        <v>2618604286</v>
      </c>
      <c r="C40" s="197" t="s">
        <v>154</v>
      </c>
      <c r="D40" s="197" t="s">
        <v>83</v>
      </c>
      <c r="E40" s="197" t="s">
        <v>35</v>
      </c>
      <c r="F40" s="197" t="s">
        <v>1585</v>
      </c>
      <c r="G40" s="197">
        <v>312</v>
      </c>
      <c r="H40" s="197" t="s">
        <v>347</v>
      </c>
      <c r="I40" s="197" t="s">
        <v>717</v>
      </c>
      <c r="J40" s="197" t="s">
        <v>2837</v>
      </c>
      <c r="K40" s="197" t="s">
        <v>200</v>
      </c>
      <c r="L40" s="203">
        <v>46153.456250000003</v>
      </c>
      <c r="M40" s="203">
        <v>46153.456944444442</v>
      </c>
      <c r="N40" s="197" t="s">
        <v>2838</v>
      </c>
      <c r="O40" s="151" t="s">
        <v>207</v>
      </c>
      <c r="P40" s="54"/>
      <c r="Q40" s="138" t="s">
        <v>215</v>
      </c>
      <c r="R40" s="137" t="s">
        <v>2842</v>
      </c>
      <c r="S40" s="138" t="s">
        <v>207</v>
      </c>
      <c r="T40" s="54"/>
      <c r="U40" s="138" t="s">
        <v>214</v>
      </c>
      <c r="V40" s="54"/>
      <c r="W40" s="138" t="s">
        <v>207</v>
      </c>
      <c r="X40" s="54"/>
      <c r="Y40" s="138" t="s">
        <v>214</v>
      </c>
      <c r="Z40" s="54"/>
      <c r="AA40" s="138" t="s">
        <v>207</v>
      </c>
      <c r="AB40" s="149"/>
      <c r="AC40" s="138" t="s">
        <v>215</v>
      </c>
      <c r="AD40" s="137" t="s">
        <v>2840</v>
      </c>
      <c r="AE40" s="138" t="s">
        <v>207</v>
      </c>
      <c r="AF40" s="189" t="str">
        <f>IF(AND(O40="",Q40="",S40="",U40="",W40="",Y40="",AA40="",AC40=""),"",
IF(OR(    AND(O40&lt;&gt;"NA",O40&lt;&gt;"C",O40&lt;&gt;"NC",O40&lt;&gt;"SF",O40&lt;&gt;""),
    AND(Q40&lt;&gt;"NA",Q40&lt;&gt;"C",Q40&lt;&gt;"NC",Q40&lt;&gt;"SF",Q40&lt;&gt;""),
    AND(S40&lt;&gt;"NA",S40&lt;&gt;"C",S40&lt;&gt;"NC",S40&lt;&gt;"SF",S40&lt;&gt;""),
    AND(U40&lt;&gt;"NA",U40&lt;&gt;"C",U40&lt;&gt;"NC",U40&lt;&gt;"SF",U40&lt;&gt;""),
    AND(W40&lt;&gt;"NA",W40&lt;&gt;"C",W40&lt;&gt;"NC",W40&lt;&gt;"SF",W40&lt;&gt;""),
    AND(Y40&lt;&gt;"NA",Y40&lt;&gt;"C",Y40&lt;&gt;"NC",Y40&lt;&gt;"SF",Y40&lt;&gt;""),
    AND(AA40&lt;&gt;"NA",AA40&lt;&gt;"C",AA40&lt;&gt;"NC",AA40&lt;&gt;"SF",AA40&lt;&gt;""),
    AND(AC40&lt;&gt;"NA",AC40&lt;&gt;"C",AC40&lt;&gt;"NC",AC40&lt;&gt;"SF",AC40&lt;&gt;"")
),"FALSO",
IF(AND(O40="NA",Q40="NA",S40="NA",U40="NA",W40="NA",Y40="NA",AA40="NA",AC40="NA"),"NA",
IF(OR(O40="NC",Q40="NC",S40="NC",U40="NC",W40="NC",Y40="NC",AA40="NC",AC40="NC",
       O40="SF",Q40="SF",S40="SF",U40="SF",W40="SF",Y40="SF",AA40="SF",AC40="SF"),"NC",
IF(SUM(IF(O40="C",1,0),IF(Q40="C",1,0),IF(S40="C",1,0),IF(U40="C",1,0),IF(W40="C",1,0),IF(Y40="C",1,0),IF(AA40="C",1,0),IF(AC40="C",1,0))=1,"C","C")))))</f>
        <v>NC</v>
      </c>
      <c r="AG40" s="150" t="str">
        <f>IF(AND(AE40="C",AF40="C"),"UTILIZOU O PDA CORRETAMENTE",IF(AND(AE40="C",AF40="NC"),"UTILIZOU O PDA CORRETAMENTE. NÃO HÁ FOTOS DE TODAS AS ETAPAS",IF(AND(AE40="NC",AF40="NC"),"NÃO UTILIZOU O PDA",IF(AND(AE40="NA",AF40="NA"),"NÃO AVALIADO POR FALHA DE SINCRONISMO"))))</f>
        <v>UTILIZOU O PDA CORRETAMENTE. NÃO HÁ FOTOS DE TODAS AS ETAPAS</v>
      </c>
      <c r="AH40" s="160" t="s">
        <v>75</v>
      </c>
      <c r="AI40" s="291" t="str">
        <f t="shared" si="0"/>
        <v>SÃO PAULO</v>
      </c>
      <c r="AJ40" s="291" t="s">
        <v>36</v>
      </c>
    </row>
    <row r="41" spans="1:36" s="51" customFormat="1" ht="30" customHeight="1">
      <c r="A41" s="197" t="s">
        <v>198</v>
      </c>
      <c r="B41" s="212">
        <v>2619149872</v>
      </c>
      <c r="C41" s="197" t="s">
        <v>154</v>
      </c>
      <c r="D41" s="197" t="s">
        <v>83</v>
      </c>
      <c r="E41" s="197" t="s">
        <v>35</v>
      </c>
      <c r="F41" s="197" t="s">
        <v>1625</v>
      </c>
      <c r="G41" s="197">
        <v>64</v>
      </c>
      <c r="H41" s="197"/>
      <c r="I41" s="197" t="s">
        <v>501</v>
      </c>
      <c r="J41" s="197" t="s">
        <v>2837</v>
      </c>
      <c r="K41" s="197"/>
      <c r="L41" s="203">
        <v>46153.432638888888</v>
      </c>
      <c r="M41" s="203">
        <v>46153.434027777781</v>
      </c>
      <c r="N41" s="197" t="s">
        <v>2838</v>
      </c>
      <c r="O41" s="151" t="s">
        <v>207</v>
      </c>
      <c r="P41" s="54"/>
      <c r="Q41" s="138" t="s">
        <v>215</v>
      </c>
      <c r="R41" s="137" t="s">
        <v>2842</v>
      </c>
      <c r="S41" s="138" t="s">
        <v>207</v>
      </c>
      <c r="T41" s="54"/>
      <c r="U41" s="138" t="s">
        <v>214</v>
      </c>
      <c r="V41" s="54"/>
      <c r="W41" s="138" t="s">
        <v>207</v>
      </c>
      <c r="X41" s="54"/>
      <c r="Y41" s="138" t="s">
        <v>214</v>
      </c>
      <c r="Z41" s="54"/>
      <c r="AA41" s="138" t="s">
        <v>214</v>
      </c>
      <c r="AB41" s="149"/>
      <c r="AC41" s="138" t="s">
        <v>215</v>
      </c>
      <c r="AD41" s="137" t="s">
        <v>2840</v>
      </c>
      <c r="AE41" s="138" t="s">
        <v>207</v>
      </c>
      <c r="AF41" s="189" t="str">
        <f>IF(AND(O41="",Q41="",S41="",U41="",W41="",Y41="",AA41="",AC41=""),"",
IF(OR(    AND(O41&lt;&gt;"NA",O41&lt;&gt;"C",O41&lt;&gt;"NC",O41&lt;&gt;"SF",O41&lt;&gt;""),
    AND(Q41&lt;&gt;"NA",Q41&lt;&gt;"C",Q41&lt;&gt;"NC",Q41&lt;&gt;"SF",Q41&lt;&gt;""),
    AND(S41&lt;&gt;"NA",S41&lt;&gt;"C",S41&lt;&gt;"NC",S41&lt;&gt;"SF",S41&lt;&gt;""),
    AND(U41&lt;&gt;"NA",U41&lt;&gt;"C",U41&lt;&gt;"NC",U41&lt;&gt;"SF",U41&lt;&gt;""),
    AND(W41&lt;&gt;"NA",W41&lt;&gt;"C",W41&lt;&gt;"NC",W41&lt;&gt;"SF",W41&lt;&gt;""),
    AND(Y41&lt;&gt;"NA",Y41&lt;&gt;"C",Y41&lt;&gt;"NC",Y41&lt;&gt;"SF",Y41&lt;&gt;""),
    AND(AA41&lt;&gt;"NA",AA41&lt;&gt;"C",AA41&lt;&gt;"NC",AA41&lt;&gt;"SF",AA41&lt;&gt;""),
    AND(AC41&lt;&gt;"NA",AC41&lt;&gt;"C",AC41&lt;&gt;"NC",AC41&lt;&gt;"SF",AC41&lt;&gt;"")
),"FALSO",
IF(AND(O41="NA",Q41="NA",S41="NA",U41="NA",W41="NA",Y41="NA",AA41="NA",AC41="NA"),"NA",
IF(OR(O41="NC",Q41="NC",S41="NC",U41="NC",W41="NC",Y41="NC",AA41="NC",AC41="NC",
       O41="SF",Q41="SF",S41="SF",U41="SF",W41="SF",Y41="SF",AA41="SF",AC41="SF"),"NC",
IF(SUM(IF(O41="C",1,0),IF(Q41="C",1,0),IF(S41="C",1,0),IF(U41="C",1,0),IF(W41="C",1,0),IF(Y41="C",1,0),IF(AA41="C",1,0),IF(AC41="C",1,0))=1,"C","C")))))</f>
        <v>NC</v>
      </c>
      <c r="AG41" s="150" t="str">
        <f>IF(AND(AE41="C",AF41="C"),"UTILIZOU O PDA CORRETAMENTE",IF(AND(AE41="C",AF41="NC"),"UTILIZOU O PDA CORRETAMENTE. NÃO HÁ FOTOS DE TODAS AS ETAPAS",IF(AND(AE41="NC",AF41="NC"),"NÃO UTILIZOU O PDA",IF(AND(AE41="NA",AF41="NA"),"NÃO AVALIADO POR FALHA DE SINCRONISMO"))))</f>
        <v>UTILIZOU O PDA CORRETAMENTE. NÃO HÁ FOTOS DE TODAS AS ETAPAS</v>
      </c>
      <c r="AH41" s="160" t="s">
        <v>75</v>
      </c>
      <c r="AI41" s="291" t="str">
        <f t="shared" si="0"/>
        <v>SÃO PAULO</v>
      </c>
      <c r="AJ41" s="291" t="s">
        <v>36</v>
      </c>
    </row>
    <row r="42" spans="1:36" s="51" customFormat="1" ht="30" customHeight="1">
      <c r="A42" s="197" t="s">
        <v>198</v>
      </c>
      <c r="B42" s="212">
        <v>2618886633</v>
      </c>
      <c r="C42" s="197" t="s">
        <v>154</v>
      </c>
      <c r="D42" s="197" t="s">
        <v>83</v>
      </c>
      <c r="E42" s="197" t="s">
        <v>35</v>
      </c>
      <c r="F42" s="197" t="s">
        <v>577</v>
      </c>
      <c r="G42" s="197">
        <v>2</v>
      </c>
      <c r="H42" s="197" t="s">
        <v>200</v>
      </c>
      <c r="I42" s="197" t="s">
        <v>433</v>
      </c>
      <c r="J42" s="197" t="s">
        <v>2837</v>
      </c>
      <c r="K42" s="197" t="s">
        <v>200</v>
      </c>
      <c r="L42" s="203">
        <v>46153.406944444447</v>
      </c>
      <c r="M42" s="203">
        <v>46153.408333333333</v>
      </c>
      <c r="N42" s="197" t="s">
        <v>2838</v>
      </c>
      <c r="O42" s="151" t="s">
        <v>207</v>
      </c>
      <c r="P42" s="54"/>
      <c r="Q42" s="138" t="s">
        <v>215</v>
      </c>
      <c r="R42" s="137" t="s">
        <v>2842</v>
      </c>
      <c r="S42" s="138" t="s">
        <v>207</v>
      </c>
      <c r="T42" s="54"/>
      <c r="U42" s="138" t="s">
        <v>214</v>
      </c>
      <c r="V42" s="54"/>
      <c r="W42" s="138" t="s">
        <v>207</v>
      </c>
      <c r="X42" s="54"/>
      <c r="Y42" s="138" t="s">
        <v>214</v>
      </c>
      <c r="Z42" s="54"/>
      <c r="AA42" s="138" t="s">
        <v>207</v>
      </c>
      <c r="AB42" s="149"/>
      <c r="AC42" s="138" t="s">
        <v>215</v>
      </c>
      <c r="AD42" s="149" t="s">
        <v>1545</v>
      </c>
      <c r="AE42" s="138" t="s">
        <v>207</v>
      </c>
      <c r="AF42" s="189" t="str">
        <f>IF(AND(O42="",Q42="",S42="",U42="",W42="",Y42="",AA42="",AC42=""),"",
IF(OR(    AND(O42&lt;&gt;"NA",O42&lt;&gt;"C",O42&lt;&gt;"NC",O42&lt;&gt;"SF",O42&lt;&gt;""),
    AND(Q42&lt;&gt;"NA",Q42&lt;&gt;"C",Q42&lt;&gt;"NC",Q42&lt;&gt;"SF",Q42&lt;&gt;""),
    AND(S42&lt;&gt;"NA",S42&lt;&gt;"C",S42&lt;&gt;"NC",S42&lt;&gt;"SF",S42&lt;&gt;""),
    AND(U42&lt;&gt;"NA",U42&lt;&gt;"C",U42&lt;&gt;"NC",U42&lt;&gt;"SF",U42&lt;&gt;""),
    AND(W42&lt;&gt;"NA",W42&lt;&gt;"C",W42&lt;&gt;"NC",W42&lt;&gt;"SF",W42&lt;&gt;""),
    AND(Y42&lt;&gt;"NA",Y42&lt;&gt;"C",Y42&lt;&gt;"NC",Y42&lt;&gt;"SF",Y42&lt;&gt;""),
    AND(AA42&lt;&gt;"NA",AA42&lt;&gt;"C",AA42&lt;&gt;"NC",AA42&lt;&gt;"SF",AA42&lt;&gt;""),
    AND(AC42&lt;&gt;"NA",AC42&lt;&gt;"C",AC42&lt;&gt;"NC",AC42&lt;&gt;"SF",AC42&lt;&gt;"")
),"FALSO",
IF(AND(O42="NA",Q42="NA",S42="NA",U42="NA",W42="NA",Y42="NA",AA42="NA",AC42="NA"),"NA",
IF(OR(O42="NC",Q42="NC",S42="NC",U42="NC",W42="NC",Y42="NC",AA42="NC",AC42="NC",
       O42="SF",Q42="SF",S42="SF",U42="SF",W42="SF",Y42="SF",AA42="SF",AC42="SF"),"NC",
IF(SUM(IF(O42="C",1,0),IF(Q42="C",1,0),IF(S42="C",1,0),IF(U42="C",1,0),IF(W42="C",1,0),IF(Y42="C",1,0),IF(AA42="C",1,0),IF(AC42="C",1,0))=1,"C","C")))))</f>
        <v>NC</v>
      </c>
      <c r="AG42" s="150" t="str">
        <f>IF(AND(AE42="C",AF42="C"),"UTILIZOU O PDA CORRETAMENTE",IF(AND(AE42="C",AF42="NC"),"UTILIZOU O PDA CORRETAMENTE. NÃO HÁ FOTOS DE TODAS AS ETAPAS",IF(AND(AE42="NC",AF42="NC"),"NÃO UTILIZOU O PDA",IF(AND(AE42="NA",AF42="NA"),"NÃO AVALIADO POR FALHA DE SINCRONISMO"))))</f>
        <v>UTILIZOU O PDA CORRETAMENTE. NÃO HÁ FOTOS DE TODAS AS ETAPAS</v>
      </c>
      <c r="AH42" s="160" t="s">
        <v>54</v>
      </c>
      <c r="AI42" s="291" t="str">
        <f t="shared" si="0"/>
        <v>SÃO PAULO</v>
      </c>
      <c r="AJ42" s="291" t="s">
        <v>36</v>
      </c>
    </row>
    <row r="43" spans="1:36" s="51" customFormat="1" ht="30" customHeight="1">
      <c r="A43" s="197" t="s">
        <v>198</v>
      </c>
      <c r="B43" s="212">
        <v>2619789461</v>
      </c>
      <c r="C43" s="197" t="s">
        <v>154</v>
      </c>
      <c r="D43" s="197" t="s">
        <v>83</v>
      </c>
      <c r="E43" s="197" t="s">
        <v>35</v>
      </c>
      <c r="F43" s="197" t="s">
        <v>523</v>
      </c>
      <c r="G43" s="197">
        <v>31</v>
      </c>
      <c r="H43" s="197" t="s">
        <v>208</v>
      </c>
      <c r="I43" s="197" t="s">
        <v>382</v>
      </c>
      <c r="J43" s="197" t="s">
        <v>2837</v>
      </c>
      <c r="K43" s="197"/>
      <c r="L43" s="203">
        <v>46153.55972222222</v>
      </c>
      <c r="M43" s="203">
        <v>46153.560416666667</v>
      </c>
      <c r="N43" s="197" t="s">
        <v>2838</v>
      </c>
      <c r="O43" s="151" t="s">
        <v>207</v>
      </c>
      <c r="P43" s="54"/>
      <c r="Q43" s="138" t="s">
        <v>215</v>
      </c>
      <c r="R43" s="137" t="s">
        <v>2842</v>
      </c>
      <c r="S43" s="138" t="s">
        <v>207</v>
      </c>
      <c r="T43" s="54"/>
      <c r="U43" s="138" t="s">
        <v>214</v>
      </c>
      <c r="V43" s="54"/>
      <c r="W43" s="138" t="s">
        <v>207</v>
      </c>
      <c r="X43" s="54"/>
      <c r="Y43" s="138" t="s">
        <v>215</v>
      </c>
      <c r="Z43" s="54"/>
      <c r="AA43" s="138" t="s">
        <v>207</v>
      </c>
      <c r="AB43" s="149"/>
      <c r="AC43" s="138" t="s">
        <v>215</v>
      </c>
      <c r="AD43" s="149" t="s">
        <v>1545</v>
      </c>
      <c r="AE43" s="138" t="s">
        <v>207</v>
      </c>
      <c r="AF43" s="189" t="str">
        <f>IF(AND(O43="",Q43="",S43="",U43="",W43="",Y43="",AA43="",AC43=""),"",
IF(OR(    AND(O43&lt;&gt;"NA",O43&lt;&gt;"C",O43&lt;&gt;"NC",O43&lt;&gt;"SF",O43&lt;&gt;""),
    AND(Q43&lt;&gt;"NA",Q43&lt;&gt;"C",Q43&lt;&gt;"NC",Q43&lt;&gt;"SF",Q43&lt;&gt;""),
    AND(S43&lt;&gt;"NA",S43&lt;&gt;"C",S43&lt;&gt;"NC",S43&lt;&gt;"SF",S43&lt;&gt;""),
    AND(U43&lt;&gt;"NA",U43&lt;&gt;"C",U43&lt;&gt;"NC",U43&lt;&gt;"SF",U43&lt;&gt;""),
    AND(W43&lt;&gt;"NA",W43&lt;&gt;"C",W43&lt;&gt;"NC",W43&lt;&gt;"SF",W43&lt;&gt;""),
    AND(Y43&lt;&gt;"NA",Y43&lt;&gt;"C",Y43&lt;&gt;"NC",Y43&lt;&gt;"SF",Y43&lt;&gt;""),
    AND(AA43&lt;&gt;"NA",AA43&lt;&gt;"C",AA43&lt;&gt;"NC",AA43&lt;&gt;"SF",AA43&lt;&gt;""),
    AND(AC43&lt;&gt;"NA",AC43&lt;&gt;"C",AC43&lt;&gt;"NC",AC43&lt;&gt;"SF",AC43&lt;&gt;"")
),"FALSO",
IF(AND(O43="NA",Q43="NA",S43="NA",U43="NA",W43="NA",Y43="NA",AA43="NA",AC43="NA"),"NA",
IF(OR(O43="NC",Q43="NC",S43="NC",U43="NC",W43="NC",Y43="NC",AA43="NC",AC43="NC",
       O43="SF",Q43="SF",S43="SF",U43="SF",W43="SF",Y43="SF",AA43="SF",AC43="SF"),"NC",
IF(SUM(IF(O43="C",1,0),IF(Q43="C",1,0),IF(S43="C",1,0),IF(U43="C",1,0),IF(W43="C",1,0),IF(Y43="C",1,0),IF(AA43="C",1,0),IF(AC43="C",1,0))=1,"C","C")))))</f>
        <v>NC</v>
      </c>
      <c r="AG43" s="150" t="str">
        <f>IF(AND(AE43="C",AF43="C"),"UTILIZOU O PDA CORRETAMENTE",IF(AND(AE43="C",AF43="NC"),"UTILIZOU O PDA CORRETAMENTE. NÃO HÁ FOTOS DE TODAS AS ETAPAS",IF(AND(AE43="NC",AF43="NC"),"NÃO UTILIZOU O PDA",IF(AND(AE43="NA",AF43="NA"),"NÃO AVALIADO POR FALHA DE SINCRONISMO"))))</f>
        <v>UTILIZOU O PDA CORRETAMENTE. NÃO HÁ FOTOS DE TODAS AS ETAPAS</v>
      </c>
      <c r="AH43" s="160" t="s">
        <v>54</v>
      </c>
      <c r="AI43" s="291" t="str">
        <f t="shared" si="0"/>
        <v>SÃO PAULO</v>
      </c>
      <c r="AJ43" s="291" t="s">
        <v>36</v>
      </c>
    </row>
    <row r="44" spans="1:36" s="51" customFormat="1" ht="30" customHeight="1">
      <c r="A44" s="197" t="s">
        <v>198</v>
      </c>
      <c r="B44" s="212">
        <v>2619849460</v>
      </c>
      <c r="C44" s="197" t="s">
        <v>154</v>
      </c>
      <c r="D44" s="197" t="s">
        <v>83</v>
      </c>
      <c r="E44" s="197" t="s">
        <v>35</v>
      </c>
      <c r="F44" s="197" t="s">
        <v>739</v>
      </c>
      <c r="G44" s="197">
        <v>311</v>
      </c>
      <c r="H44" s="197" t="s">
        <v>200</v>
      </c>
      <c r="I44" s="197" t="s">
        <v>290</v>
      </c>
      <c r="J44" s="197" t="s">
        <v>2837</v>
      </c>
      <c r="K44" s="197" t="s">
        <v>705</v>
      </c>
      <c r="L44" s="203">
        <v>46153.635416666664</v>
      </c>
      <c r="M44" s="203">
        <v>46153.670138888891</v>
      </c>
      <c r="N44" s="197" t="s">
        <v>706</v>
      </c>
      <c r="O44" s="151" t="s">
        <v>77</v>
      </c>
      <c r="P44" s="54"/>
      <c r="Q44" s="138" t="s">
        <v>77</v>
      </c>
      <c r="R44" s="54"/>
      <c r="S44" s="138" t="s">
        <v>77</v>
      </c>
      <c r="T44" s="54"/>
      <c r="U44" s="138" t="s">
        <v>77</v>
      </c>
      <c r="V44" s="54"/>
      <c r="W44" s="138" t="s">
        <v>77</v>
      </c>
      <c r="X44" s="54"/>
      <c r="Y44" s="138" t="s">
        <v>77</v>
      </c>
      <c r="Z44" s="54"/>
      <c r="AA44" s="138" t="s">
        <v>77</v>
      </c>
      <c r="AB44" s="149"/>
      <c r="AC44" s="138" t="s">
        <v>77</v>
      </c>
      <c r="AD44" s="149"/>
      <c r="AE44" s="138" t="s">
        <v>77</v>
      </c>
      <c r="AF44" s="189" t="str">
        <f>IF(AND(O44="",Q44="",S44="",U44="",W44="",Y44="",AA44="",AC44=""),"",
IF(OR(    AND(O44&lt;&gt;"NA",O44&lt;&gt;"C",O44&lt;&gt;"NC",O44&lt;&gt;"SF",O44&lt;&gt;""),
    AND(Q44&lt;&gt;"NA",Q44&lt;&gt;"C",Q44&lt;&gt;"NC",Q44&lt;&gt;"SF",Q44&lt;&gt;""),
    AND(S44&lt;&gt;"NA",S44&lt;&gt;"C",S44&lt;&gt;"NC",S44&lt;&gt;"SF",S44&lt;&gt;""),
    AND(U44&lt;&gt;"NA",U44&lt;&gt;"C",U44&lt;&gt;"NC",U44&lt;&gt;"SF",U44&lt;&gt;""),
    AND(W44&lt;&gt;"NA",W44&lt;&gt;"C",W44&lt;&gt;"NC",W44&lt;&gt;"SF",W44&lt;&gt;""),
    AND(Y44&lt;&gt;"NA",Y44&lt;&gt;"C",Y44&lt;&gt;"NC",Y44&lt;&gt;"SF",Y44&lt;&gt;""),
    AND(AA44&lt;&gt;"NA",AA44&lt;&gt;"C",AA44&lt;&gt;"NC",AA44&lt;&gt;"SF",AA44&lt;&gt;""),
    AND(AC44&lt;&gt;"NA",AC44&lt;&gt;"C",AC44&lt;&gt;"NC",AC44&lt;&gt;"SF",AC44&lt;&gt;"")
),"FALSO",
IF(AND(O44="NA",Q44="NA",S44="NA",U44="NA",W44="NA",Y44="NA",AA44="NA",AC44="NA"),"NA",
IF(OR(O44="NC",Q44="NC",S44="NC",U44="NC",W44="NC",Y44="NC",AA44="NC",AC44="NC",
       O44="SF",Q44="SF",S44="SF",U44="SF",W44="SF",Y44="SF",AA44="SF",AC44="SF"),"NC",
IF(SUM(IF(O44="C",1,0),IF(Q44="C",1,0),IF(S44="C",1,0),IF(U44="C",1,0),IF(W44="C",1,0),IF(Y44="C",1,0),IF(AA44="C",1,0),IF(AC44="C",1,0))=1,"C","C")))))</f>
        <v>NA</v>
      </c>
      <c r="AG44" s="150" t="str">
        <f>IF(AND(AE44="C",AF44="C"),"UTILIZOU O PDA CORRETAMENTE",IF(AND(AE44="C",AF44="NC"),"UTILIZOU O PDA CORRETAMENTE. NÃO HÁ FOTOS DE TODAS AS ETAPAS",IF(AND(AE44="NC",AF44="NC"),"NÃO UTILIZOU O PDA",IF(AND(AE44="NA",AF44="NA"),"NÃO AVALIADO POR FALHA DE SINCRONISMO"))))</f>
        <v>NÃO AVALIADO POR FALHA DE SINCRONISMO</v>
      </c>
      <c r="AH44" s="160" t="s">
        <v>54</v>
      </c>
      <c r="AI44" s="291" t="str">
        <f t="shared" si="0"/>
        <v>SÃO PAULO</v>
      </c>
      <c r="AJ44" s="291" t="s">
        <v>36</v>
      </c>
    </row>
    <row r="45" spans="1:36" s="51" customFormat="1" ht="30" customHeight="1">
      <c r="A45" s="197" t="s">
        <v>198</v>
      </c>
      <c r="B45" s="212">
        <v>2619849869</v>
      </c>
      <c r="C45" s="197" t="s">
        <v>154</v>
      </c>
      <c r="D45" s="197" t="s">
        <v>83</v>
      </c>
      <c r="E45" s="197" t="s">
        <v>35</v>
      </c>
      <c r="F45" s="197" t="s">
        <v>823</v>
      </c>
      <c r="G45" s="197">
        <v>91</v>
      </c>
      <c r="H45" s="197"/>
      <c r="I45" s="197" t="s">
        <v>359</v>
      </c>
      <c r="J45" s="197" t="s">
        <v>2837</v>
      </c>
      <c r="K45" s="197" t="s">
        <v>705</v>
      </c>
      <c r="L45" s="203">
        <v>46153.638888888891</v>
      </c>
      <c r="M45" s="203">
        <v>46153.672222222223</v>
      </c>
      <c r="N45" s="197" t="s">
        <v>706</v>
      </c>
      <c r="O45" s="151" t="s">
        <v>77</v>
      </c>
      <c r="P45" s="54"/>
      <c r="Q45" s="138" t="s">
        <v>77</v>
      </c>
      <c r="R45" s="54"/>
      <c r="S45" s="138" t="s">
        <v>77</v>
      </c>
      <c r="T45" s="54"/>
      <c r="U45" s="138" t="s">
        <v>77</v>
      </c>
      <c r="V45" s="54"/>
      <c r="W45" s="138" t="s">
        <v>77</v>
      </c>
      <c r="X45" s="54"/>
      <c r="Y45" s="138" t="s">
        <v>77</v>
      </c>
      <c r="Z45" s="54"/>
      <c r="AA45" s="138" t="s">
        <v>77</v>
      </c>
      <c r="AB45" s="149"/>
      <c r="AC45" s="138" t="s">
        <v>77</v>
      </c>
      <c r="AD45" s="149"/>
      <c r="AE45" s="138" t="s">
        <v>77</v>
      </c>
      <c r="AF45" s="189" t="str">
        <f>IF(AND(O45="",Q45="",S45="",U45="",W45="",Y45="",AA45="",AC45=""),"",
IF(OR(    AND(O45&lt;&gt;"NA",O45&lt;&gt;"C",O45&lt;&gt;"NC",O45&lt;&gt;"SF",O45&lt;&gt;""),
    AND(Q45&lt;&gt;"NA",Q45&lt;&gt;"C",Q45&lt;&gt;"NC",Q45&lt;&gt;"SF",Q45&lt;&gt;""),
    AND(S45&lt;&gt;"NA",S45&lt;&gt;"C",S45&lt;&gt;"NC",S45&lt;&gt;"SF",S45&lt;&gt;""),
    AND(U45&lt;&gt;"NA",U45&lt;&gt;"C",U45&lt;&gt;"NC",U45&lt;&gt;"SF",U45&lt;&gt;""),
    AND(W45&lt;&gt;"NA",W45&lt;&gt;"C",W45&lt;&gt;"NC",W45&lt;&gt;"SF",W45&lt;&gt;""),
    AND(Y45&lt;&gt;"NA",Y45&lt;&gt;"C",Y45&lt;&gt;"NC",Y45&lt;&gt;"SF",Y45&lt;&gt;""),
    AND(AA45&lt;&gt;"NA",AA45&lt;&gt;"C",AA45&lt;&gt;"NC",AA45&lt;&gt;"SF",AA45&lt;&gt;""),
    AND(AC45&lt;&gt;"NA",AC45&lt;&gt;"C",AC45&lt;&gt;"NC",AC45&lt;&gt;"SF",AC45&lt;&gt;"")
),"FALSO",
IF(AND(O45="NA",Q45="NA",S45="NA",U45="NA",W45="NA",Y45="NA",AA45="NA",AC45="NA"),"NA",
IF(OR(O45="NC",Q45="NC",S45="NC",U45="NC",W45="NC",Y45="NC",AA45="NC",AC45="NC",
       O45="SF",Q45="SF",S45="SF",U45="SF",W45="SF",Y45="SF",AA45="SF",AC45="SF"),"NC",
IF(SUM(IF(O45="C",1,0),IF(Q45="C",1,0),IF(S45="C",1,0),IF(U45="C",1,0),IF(W45="C",1,0),IF(Y45="C",1,0),IF(AA45="C",1,0),IF(AC45="C",1,0))=1,"C","C")))))</f>
        <v>NA</v>
      </c>
      <c r="AG45" s="150" t="str">
        <f>IF(AND(AE45="C",AF45="C"),"UTILIZOU O PDA CORRETAMENTE",IF(AND(AE45="C",AF45="NC"),"UTILIZOU O PDA CORRETAMENTE. NÃO HÁ FOTOS DE TODAS AS ETAPAS",IF(AND(AE45="NC",AF45="NC"),"NÃO UTILIZOU O PDA",IF(AND(AE45="NA",AF45="NA"),"NÃO AVALIADO POR FALHA DE SINCRONISMO"))))</f>
        <v>NÃO AVALIADO POR FALHA DE SINCRONISMO</v>
      </c>
      <c r="AH45" s="160"/>
      <c r="AI45" s="291" t="str">
        <f t="shared" si="0"/>
        <v>SÃO PAULO</v>
      </c>
      <c r="AJ45" s="291" t="s">
        <v>36</v>
      </c>
    </row>
    <row r="46" spans="1:36" s="51" customFormat="1" ht="30" customHeight="1">
      <c r="A46" s="197" t="s">
        <v>198</v>
      </c>
      <c r="B46" s="212">
        <v>2619851042</v>
      </c>
      <c r="C46" s="197" t="s">
        <v>154</v>
      </c>
      <c r="D46" s="197" t="s">
        <v>83</v>
      </c>
      <c r="E46" s="197" t="s">
        <v>35</v>
      </c>
      <c r="F46" s="197" t="s">
        <v>468</v>
      </c>
      <c r="G46" s="197">
        <v>65</v>
      </c>
      <c r="H46" s="197" t="s">
        <v>200</v>
      </c>
      <c r="I46" s="197" t="s">
        <v>467</v>
      </c>
      <c r="J46" s="197" t="s">
        <v>2837</v>
      </c>
      <c r="K46" s="197" t="s">
        <v>705</v>
      </c>
      <c r="L46" s="203">
        <v>46153.638888888891</v>
      </c>
      <c r="M46" s="203">
        <v>46153.674305555556</v>
      </c>
      <c r="N46" s="197" t="s">
        <v>706</v>
      </c>
      <c r="O46" s="151" t="s">
        <v>77</v>
      </c>
      <c r="P46" s="54"/>
      <c r="Q46" s="138" t="s">
        <v>77</v>
      </c>
      <c r="R46" s="54"/>
      <c r="S46" s="138" t="s">
        <v>77</v>
      </c>
      <c r="T46" s="54"/>
      <c r="U46" s="138" t="s">
        <v>77</v>
      </c>
      <c r="V46" s="54"/>
      <c r="W46" s="138" t="s">
        <v>77</v>
      </c>
      <c r="X46" s="54"/>
      <c r="Y46" s="138" t="s">
        <v>77</v>
      </c>
      <c r="Z46" s="54"/>
      <c r="AA46" s="138" t="s">
        <v>77</v>
      </c>
      <c r="AB46" s="149"/>
      <c r="AC46" s="138" t="s">
        <v>77</v>
      </c>
      <c r="AD46" s="149"/>
      <c r="AE46" s="138" t="s">
        <v>77</v>
      </c>
      <c r="AF46" s="189" t="str">
        <f>IF(AND(O46="",Q46="",S46="",U46="",W46="",Y46="",AA46="",AC46=""),"",
IF(OR(    AND(O46&lt;&gt;"NA",O46&lt;&gt;"C",O46&lt;&gt;"NC",O46&lt;&gt;"SF",O46&lt;&gt;""),
    AND(Q46&lt;&gt;"NA",Q46&lt;&gt;"C",Q46&lt;&gt;"NC",Q46&lt;&gt;"SF",Q46&lt;&gt;""),
    AND(S46&lt;&gt;"NA",S46&lt;&gt;"C",S46&lt;&gt;"NC",S46&lt;&gt;"SF",S46&lt;&gt;""),
    AND(U46&lt;&gt;"NA",U46&lt;&gt;"C",U46&lt;&gt;"NC",U46&lt;&gt;"SF",U46&lt;&gt;""),
    AND(W46&lt;&gt;"NA",W46&lt;&gt;"C",W46&lt;&gt;"NC",W46&lt;&gt;"SF",W46&lt;&gt;""),
    AND(Y46&lt;&gt;"NA",Y46&lt;&gt;"C",Y46&lt;&gt;"NC",Y46&lt;&gt;"SF",Y46&lt;&gt;""),
    AND(AA46&lt;&gt;"NA",AA46&lt;&gt;"C",AA46&lt;&gt;"NC",AA46&lt;&gt;"SF",AA46&lt;&gt;""),
    AND(AC46&lt;&gt;"NA",AC46&lt;&gt;"C",AC46&lt;&gt;"NC",AC46&lt;&gt;"SF",AC46&lt;&gt;"")
),"FALSO",
IF(AND(O46="NA",Q46="NA",S46="NA",U46="NA",W46="NA",Y46="NA",AA46="NA",AC46="NA"),"NA",
IF(OR(O46="NC",Q46="NC",S46="NC",U46="NC",W46="NC",Y46="NC",AA46="NC",AC46="NC",
       O46="SF",Q46="SF",S46="SF",U46="SF",W46="SF",Y46="SF",AA46="SF",AC46="SF"),"NC",
IF(SUM(IF(O46="C",1,0),IF(Q46="C",1,0),IF(S46="C",1,0),IF(U46="C",1,0),IF(W46="C",1,0),IF(Y46="C",1,0),IF(AA46="C",1,0),IF(AC46="C",1,0))=1,"C","C")))))</f>
        <v>NA</v>
      </c>
      <c r="AG46" s="150" t="str">
        <f>IF(AND(AE46="C",AF46="C"),"UTILIZOU O PDA CORRETAMENTE",IF(AND(AE46="C",AF46="NC"),"UTILIZOU O PDA CORRETAMENTE. NÃO HÁ FOTOS DE TODAS AS ETAPAS",IF(AND(AE46="NC",AF46="NC"),"NÃO UTILIZOU O PDA",IF(AND(AE46="NA",AF46="NA"),"NÃO AVALIADO POR FALHA DE SINCRONISMO"))))</f>
        <v>NÃO AVALIADO POR FALHA DE SINCRONISMO</v>
      </c>
      <c r="AH46" s="160" t="s">
        <v>54</v>
      </c>
      <c r="AI46" s="291" t="str">
        <f t="shared" si="0"/>
        <v>SÃO PAULO</v>
      </c>
      <c r="AJ46" s="291" t="s">
        <v>36</v>
      </c>
    </row>
    <row r="47" spans="1:36" s="51" customFormat="1" ht="30" customHeight="1">
      <c r="A47" s="197" t="s">
        <v>198</v>
      </c>
      <c r="B47" s="212">
        <v>2619851439</v>
      </c>
      <c r="C47" s="197" t="s">
        <v>154</v>
      </c>
      <c r="D47" s="197" t="s">
        <v>83</v>
      </c>
      <c r="E47" s="197" t="s">
        <v>35</v>
      </c>
      <c r="F47" s="197" t="s">
        <v>2848</v>
      </c>
      <c r="G47" s="197">
        <v>28</v>
      </c>
      <c r="H47" s="197" t="s">
        <v>208</v>
      </c>
      <c r="I47" s="197" t="s">
        <v>625</v>
      </c>
      <c r="J47" s="197" t="s">
        <v>2837</v>
      </c>
      <c r="K47" s="197" t="s">
        <v>705</v>
      </c>
      <c r="L47" s="203">
        <v>46153.642361111109</v>
      </c>
      <c r="M47" s="203">
        <v>46153.675694444442</v>
      </c>
      <c r="N47" s="197" t="s">
        <v>706</v>
      </c>
      <c r="O47" s="151" t="s">
        <v>77</v>
      </c>
      <c r="P47" s="54"/>
      <c r="Q47" s="138" t="s">
        <v>77</v>
      </c>
      <c r="R47" s="54"/>
      <c r="S47" s="138" t="s">
        <v>77</v>
      </c>
      <c r="T47" s="54"/>
      <c r="U47" s="138" t="s">
        <v>77</v>
      </c>
      <c r="V47" s="54"/>
      <c r="W47" s="138" t="s">
        <v>77</v>
      </c>
      <c r="X47" s="54"/>
      <c r="Y47" s="138" t="s">
        <v>77</v>
      </c>
      <c r="Z47" s="54"/>
      <c r="AA47" s="138" t="s">
        <v>77</v>
      </c>
      <c r="AB47" s="149"/>
      <c r="AC47" s="138" t="s">
        <v>77</v>
      </c>
      <c r="AD47" s="149"/>
      <c r="AE47" s="138" t="s">
        <v>77</v>
      </c>
      <c r="AF47" s="189" t="str">
        <f>IF(AND(O47="",Q47="",S47="",U47="",W47="",Y47="",AA47="",AC47=""),"",
IF(OR(    AND(O47&lt;&gt;"NA",O47&lt;&gt;"C",O47&lt;&gt;"NC",O47&lt;&gt;"SF",O47&lt;&gt;""),
    AND(Q47&lt;&gt;"NA",Q47&lt;&gt;"C",Q47&lt;&gt;"NC",Q47&lt;&gt;"SF",Q47&lt;&gt;""),
    AND(S47&lt;&gt;"NA",S47&lt;&gt;"C",S47&lt;&gt;"NC",S47&lt;&gt;"SF",S47&lt;&gt;""),
    AND(U47&lt;&gt;"NA",U47&lt;&gt;"C",U47&lt;&gt;"NC",U47&lt;&gt;"SF",U47&lt;&gt;""),
    AND(W47&lt;&gt;"NA",W47&lt;&gt;"C",W47&lt;&gt;"NC",W47&lt;&gt;"SF",W47&lt;&gt;""),
    AND(Y47&lt;&gt;"NA",Y47&lt;&gt;"C",Y47&lt;&gt;"NC",Y47&lt;&gt;"SF",Y47&lt;&gt;""),
    AND(AA47&lt;&gt;"NA",AA47&lt;&gt;"C",AA47&lt;&gt;"NC",AA47&lt;&gt;"SF",AA47&lt;&gt;""),
    AND(AC47&lt;&gt;"NA",AC47&lt;&gt;"C",AC47&lt;&gt;"NC",AC47&lt;&gt;"SF",AC47&lt;&gt;"")
),"FALSO",
IF(AND(O47="NA",Q47="NA",S47="NA",U47="NA",W47="NA",Y47="NA",AA47="NA",AC47="NA"),"NA",
IF(OR(O47="NC",Q47="NC",S47="NC",U47="NC",W47="NC",Y47="NC",AA47="NC",AC47="NC",
       O47="SF",Q47="SF",S47="SF",U47="SF",W47="SF",Y47="SF",AA47="SF",AC47="SF"),"NC",
IF(SUM(IF(O47="C",1,0),IF(Q47="C",1,0),IF(S47="C",1,0),IF(U47="C",1,0),IF(W47="C",1,0),IF(Y47="C",1,0),IF(AA47="C",1,0),IF(AC47="C",1,0))=1,"C","C")))))</f>
        <v>NA</v>
      </c>
      <c r="AG47" s="150" t="str">
        <f>IF(AND(AE47="C",AF47="C"),"UTILIZOU O PDA CORRETAMENTE",IF(AND(AE47="C",AF47="NC"),"UTILIZOU O PDA CORRETAMENTE. NÃO HÁ FOTOS DE TODAS AS ETAPAS",IF(AND(AE47="NC",AF47="NC"),"NÃO UTILIZOU O PDA",IF(AND(AE47="NA",AF47="NA"),"NÃO AVALIADO POR FALHA DE SINCRONISMO"))))</f>
        <v>NÃO AVALIADO POR FALHA DE SINCRONISMO</v>
      </c>
      <c r="AH47" s="160"/>
      <c r="AI47" s="291" t="str">
        <f t="shared" si="0"/>
        <v>SÃO PAULO</v>
      </c>
      <c r="AJ47" s="291" t="s">
        <v>36</v>
      </c>
    </row>
    <row r="48" spans="1:36" s="51" customFormat="1" ht="30" customHeight="1">
      <c r="A48" s="197" t="s">
        <v>198</v>
      </c>
      <c r="B48" s="212">
        <v>2619853154</v>
      </c>
      <c r="C48" s="197" t="s">
        <v>154</v>
      </c>
      <c r="D48" s="197" t="s">
        <v>83</v>
      </c>
      <c r="E48" s="197" t="s">
        <v>35</v>
      </c>
      <c r="F48" s="197" t="s">
        <v>2263</v>
      </c>
      <c r="G48" s="197">
        <v>48</v>
      </c>
      <c r="H48" s="197" t="s">
        <v>208</v>
      </c>
      <c r="I48" s="197" t="s">
        <v>322</v>
      </c>
      <c r="J48" s="197" t="s">
        <v>2837</v>
      </c>
      <c r="K48" s="197" t="s">
        <v>705</v>
      </c>
      <c r="L48" s="203">
        <v>46153.645833333336</v>
      </c>
      <c r="M48" s="203">
        <v>46153.694444444445</v>
      </c>
      <c r="N48" s="197" t="s">
        <v>706</v>
      </c>
      <c r="O48" s="151" t="s">
        <v>207</v>
      </c>
      <c r="P48" s="54"/>
      <c r="Q48" s="138" t="s">
        <v>215</v>
      </c>
      <c r="R48" s="54" t="s">
        <v>1530</v>
      </c>
      <c r="S48" s="138" t="s">
        <v>207</v>
      </c>
      <c r="T48" s="54"/>
      <c r="U48" s="138" t="s">
        <v>214</v>
      </c>
      <c r="V48" s="54"/>
      <c r="W48" s="138" t="s">
        <v>207</v>
      </c>
      <c r="X48" s="54"/>
      <c r="Y48" s="138" t="s">
        <v>214</v>
      </c>
      <c r="Z48" s="54"/>
      <c r="AA48" s="138" t="s">
        <v>207</v>
      </c>
      <c r="AB48" s="149"/>
      <c r="AC48" s="138" t="s">
        <v>215</v>
      </c>
      <c r="AD48" s="149" t="s">
        <v>2849</v>
      </c>
      <c r="AE48" s="138" t="s">
        <v>207</v>
      </c>
      <c r="AF48" s="189" t="str">
        <f>IF(AND(O48="",Q48="",S48="",U48="",W48="",Y48="",AA48="",AC48=""),"",
IF(OR(    AND(O48&lt;&gt;"NA",O48&lt;&gt;"C",O48&lt;&gt;"NC",O48&lt;&gt;"SF",O48&lt;&gt;""),
    AND(Q48&lt;&gt;"NA",Q48&lt;&gt;"C",Q48&lt;&gt;"NC",Q48&lt;&gt;"SF",Q48&lt;&gt;""),
    AND(S48&lt;&gt;"NA",S48&lt;&gt;"C",S48&lt;&gt;"NC",S48&lt;&gt;"SF",S48&lt;&gt;""),
    AND(U48&lt;&gt;"NA",U48&lt;&gt;"C",U48&lt;&gt;"NC",U48&lt;&gt;"SF",U48&lt;&gt;""),
    AND(W48&lt;&gt;"NA",W48&lt;&gt;"C",W48&lt;&gt;"NC",W48&lt;&gt;"SF",W48&lt;&gt;""),
    AND(Y48&lt;&gt;"NA",Y48&lt;&gt;"C",Y48&lt;&gt;"NC",Y48&lt;&gt;"SF",Y48&lt;&gt;""),
    AND(AA48&lt;&gt;"NA",AA48&lt;&gt;"C",AA48&lt;&gt;"NC",AA48&lt;&gt;"SF",AA48&lt;&gt;""),
    AND(AC48&lt;&gt;"NA",AC48&lt;&gt;"C",AC48&lt;&gt;"NC",AC48&lt;&gt;"SF",AC48&lt;&gt;"")
),"FALSO",
IF(AND(O48="NA",Q48="NA",S48="NA",U48="NA",W48="NA",Y48="NA",AA48="NA",AC48="NA"),"NA",
IF(OR(O48="NC",Q48="NC",S48="NC",U48="NC",W48="NC",Y48="NC",AA48="NC",AC48="NC",
       O48="SF",Q48="SF",S48="SF",U48="SF",W48="SF",Y48="SF",AA48="SF",AC48="SF"),"NC",
IF(SUM(IF(O48="C",1,0),IF(Q48="C",1,0),IF(S48="C",1,0),IF(U48="C",1,0),IF(W48="C",1,0),IF(Y48="C",1,0),IF(AA48="C",1,0),IF(AC48="C",1,0))=1,"C","C")))))</f>
        <v>NC</v>
      </c>
      <c r="AG48" s="150" t="str">
        <f>IF(AND(AE48="C",AF48="C"),"UTILIZOU O PDA CORRETAMENTE",IF(AND(AE48="C",AF48="NC"),"UTILIZOU O PDA CORRETAMENTE. NÃO HÁ FOTOS DE TODAS AS ETAPAS",IF(AND(AE48="NC",AF48="NC"),"NÃO UTILIZOU O PDA",IF(AND(AE48="NA",AF48="NA"),"NÃO AVALIADO POR FALHA DE SINCRONISMO"))))</f>
        <v>UTILIZOU O PDA CORRETAMENTE. NÃO HÁ FOTOS DE TODAS AS ETAPAS</v>
      </c>
      <c r="AH48" s="160" t="s">
        <v>54</v>
      </c>
      <c r="AI48" s="291" t="str">
        <f t="shared" si="0"/>
        <v>SÃO PAULO</v>
      </c>
      <c r="AJ48" s="291" t="s">
        <v>36</v>
      </c>
    </row>
    <row r="49" spans="1:36" s="51" customFormat="1" ht="30" customHeight="1">
      <c r="A49" s="197" t="s">
        <v>198</v>
      </c>
      <c r="B49" s="212">
        <v>2619854579</v>
      </c>
      <c r="C49" s="197" t="s">
        <v>154</v>
      </c>
      <c r="D49" s="197" t="s">
        <v>83</v>
      </c>
      <c r="E49" s="197" t="s">
        <v>35</v>
      </c>
      <c r="F49" s="197" t="s">
        <v>1427</v>
      </c>
      <c r="G49" s="197">
        <v>50</v>
      </c>
      <c r="H49" s="197"/>
      <c r="I49" s="197" t="s">
        <v>319</v>
      </c>
      <c r="J49" s="197" t="s">
        <v>2837</v>
      </c>
      <c r="K49" s="197" t="s">
        <v>705</v>
      </c>
      <c r="L49" s="203">
        <v>46153.642361111109</v>
      </c>
      <c r="M49" s="203">
        <v>46153.680555555555</v>
      </c>
      <c r="N49" s="197" t="s">
        <v>706</v>
      </c>
      <c r="O49" s="151" t="s">
        <v>77</v>
      </c>
      <c r="P49" s="54"/>
      <c r="Q49" s="138" t="s">
        <v>77</v>
      </c>
      <c r="R49" s="54"/>
      <c r="S49" s="138" t="s">
        <v>77</v>
      </c>
      <c r="T49" s="54"/>
      <c r="U49" s="138" t="s">
        <v>77</v>
      </c>
      <c r="V49" s="54"/>
      <c r="W49" s="138" t="s">
        <v>77</v>
      </c>
      <c r="X49" s="54"/>
      <c r="Y49" s="138" t="s">
        <v>77</v>
      </c>
      <c r="Z49" s="54"/>
      <c r="AA49" s="138" t="s">
        <v>77</v>
      </c>
      <c r="AB49" s="149"/>
      <c r="AC49" s="138" t="s">
        <v>77</v>
      </c>
      <c r="AD49" s="149"/>
      <c r="AE49" s="138" t="s">
        <v>77</v>
      </c>
      <c r="AF49" s="189" t="str">
        <f>IF(AND(O49="",Q49="",S49="",U49="",W49="",Y49="",AA49="",AC49=""),"",
IF(OR(    AND(O49&lt;&gt;"NA",O49&lt;&gt;"C",O49&lt;&gt;"NC",O49&lt;&gt;"SF",O49&lt;&gt;""),
    AND(Q49&lt;&gt;"NA",Q49&lt;&gt;"C",Q49&lt;&gt;"NC",Q49&lt;&gt;"SF",Q49&lt;&gt;""),
    AND(S49&lt;&gt;"NA",S49&lt;&gt;"C",S49&lt;&gt;"NC",S49&lt;&gt;"SF",S49&lt;&gt;""),
    AND(U49&lt;&gt;"NA",U49&lt;&gt;"C",U49&lt;&gt;"NC",U49&lt;&gt;"SF",U49&lt;&gt;""),
    AND(W49&lt;&gt;"NA",W49&lt;&gt;"C",W49&lt;&gt;"NC",W49&lt;&gt;"SF",W49&lt;&gt;""),
    AND(Y49&lt;&gt;"NA",Y49&lt;&gt;"C",Y49&lt;&gt;"NC",Y49&lt;&gt;"SF",Y49&lt;&gt;""),
    AND(AA49&lt;&gt;"NA",AA49&lt;&gt;"C",AA49&lt;&gt;"NC",AA49&lt;&gt;"SF",AA49&lt;&gt;""),
    AND(AC49&lt;&gt;"NA",AC49&lt;&gt;"C",AC49&lt;&gt;"NC",AC49&lt;&gt;"SF",AC49&lt;&gt;"")
),"FALSO",
IF(AND(O49="NA",Q49="NA",S49="NA",U49="NA",W49="NA",Y49="NA",AA49="NA",AC49="NA"),"NA",
IF(OR(O49="NC",Q49="NC",S49="NC",U49="NC",W49="NC",Y49="NC",AA49="NC",AC49="NC",
       O49="SF",Q49="SF",S49="SF",U49="SF",W49="SF",Y49="SF",AA49="SF",AC49="SF"),"NC",
IF(SUM(IF(O49="C",1,0),IF(Q49="C",1,0),IF(S49="C",1,0),IF(U49="C",1,0),IF(W49="C",1,0),IF(Y49="C",1,0),IF(AA49="C",1,0),IF(AC49="C",1,0))=1,"C","C")))))</f>
        <v>NA</v>
      </c>
      <c r="AG49" s="150" t="str">
        <f>IF(AND(AE49="C",AF49="C"),"UTILIZOU O PDA CORRETAMENTE",IF(AND(AE49="C",AF49="NC"),"UTILIZOU O PDA CORRETAMENTE. NÃO HÁ FOTOS DE TODAS AS ETAPAS",IF(AND(AE49="NC",AF49="NC"),"NÃO UTILIZOU O PDA",IF(AND(AE49="NA",AF49="NA"),"NÃO AVALIADO POR FALHA DE SINCRONISMO"))))</f>
        <v>NÃO AVALIADO POR FALHA DE SINCRONISMO</v>
      </c>
      <c r="AH49" s="160" t="s">
        <v>75</v>
      </c>
      <c r="AI49" s="291" t="str">
        <f t="shared" si="0"/>
        <v>SÃO PAULO</v>
      </c>
      <c r="AJ49" s="291" t="s">
        <v>36</v>
      </c>
    </row>
    <row r="50" spans="1:36" s="51" customFormat="1" ht="30" customHeight="1">
      <c r="A50" s="197" t="s">
        <v>198</v>
      </c>
      <c r="B50" s="212">
        <v>2619852260</v>
      </c>
      <c r="C50" s="197" t="s">
        <v>154</v>
      </c>
      <c r="D50" s="197" t="s">
        <v>83</v>
      </c>
      <c r="E50" s="197" t="s">
        <v>35</v>
      </c>
      <c r="F50" s="197" t="s">
        <v>2850</v>
      </c>
      <c r="G50" s="197">
        <v>94</v>
      </c>
      <c r="H50" s="197" t="s">
        <v>200</v>
      </c>
      <c r="I50" s="197" t="s">
        <v>2851</v>
      </c>
      <c r="J50" s="197" t="s">
        <v>2837</v>
      </c>
      <c r="K50" s="197" t="s">
        <v>705</v>
      </c>
      <c r="L50" s="203">
        <v>46153.645833333336</v>
      </c>
      <c r="M50" s="203">
        <v>46153.6875</v>
      </c>
      <c r="N50" s="197" t="s">
        <v>706</v>
      </c>
      <c r="O50" s="151" t="s">
        <v>77</v>
      </c>
      <c r="P50" s="54"/>
      <c r="Q50" s="138" t="s">
        <v>77</v>
      </c>
      <c r="R50" s="54"/>
      <c r="S50" s="138" t="s">
        <v>77</v>
      </c>
      <c r="T50" s="54"/>
      <c r="U50" s="138" t="s">
        <v>77</v>
      </c>
      <c r="V50" s="54"/>
      <c r="W50" s="138" t="s">
        <v>77</v>
      </c>
      <c r="X50" s="54"/>
      <c r="Y50" s="138" t="s">
        <v>77</v>
      </c>
      <c r="Z50" s="54"/>
      <c r="AA50" s="138" t="s">
        <v>77</v>
      </c>
      <c r="AB50" s="149"/>
      <c r="AC50" s="138" t="s">
        <v>77</v>
      </c>
      <c r="AD50" s="149"/>
      <c r="AE50" s="138" t="s">
        <v>77</v>
      </c>
      <c r="AF50" s="189" t="str">
        <f>IF(AND(O50="",Q50="",S50="",U50="",W50="",Y50="",AA50="",AC50=""),"",
IF(OR(    AND(O50&lt;&gt;"NA",O50&lt;&gt;"C",O50&lt;&gt;"NC",O50&lt;&gt;"SF",O50&lt;&gt;""),
    AND(Q50&lt;&gt;"NA",Q50&lt;&gt;"C",Q50&lt;&gt;"NC",Q50&lt;&gt;"SF",Q50&lt;&gt;""),
    AND(S50&lt;&gt;"NA",S50&lt;&gt;"C",S50&lt;&gt;"NC",S50&lt;&gt;"SF",S50&lt;&gt;""),
    AND(U50&lt;&gt;"NA",U50&lt;&gt;"C",U50&lt;&gt;"NC",U50&lt;&gt;"SF",U50&lt;&gt;""),
    AND(W50&lt;&gt;"NA",W50&lt;&gt;"C",W50&lt;&gt;"NC",W50&lt;&gt;"SF",W50&lt;&gt;""),
    AND(Y50&lt;&gt;"NA",Y50&lt;&gt;"C",Y50&lt;&gt;"NC",Y50&lt;&gt;"SF",Y50&lt;&gt;""),
    AND(AA50&lt;&gt;"NA",AA50&lt;&gt;"C",AA50&lt;&gt;"NC",AA50&lt;&gt;"SF",AA50&lt;&gt;""),
    AND(AC50&lt;&gt;"NA",AC50&lt;&gt;"C",AC50&lt;&gt;"NC",AC50&lt;&gt;"SF",AC50&lt;&gt;"")
),"FALSO",
IF(AND(O50="NA",Q50="NA",S50="NA",U50="NA",W50="NA",Y50="NA",AA50="NA",AC50="NA"),"NA",
IF(OR(O50="NC",Q50="NC",S50="NC",U50="NC",W50="NC",Y50="NC",AA50="NC",AC50="NC",
       O50="SF",Q50="SF",S50="SF",U50="SF",W50="SF",Y50="SF",AA50="SF",AC50="SF"),"NC",
IF(SUM(IF(O50="C",1,0),IF(Q50="C",1,0),IF(S50="C",1,0),IF(U50="C",1,0),IF(W50="C",1,0),IF(Y50="C",1,0),IF(AA50="C",1,0),IF(AC50="C",1,0))=1,"C","C")))))</f>
        <v>NA</v>
      </c>
      <c r="AG50" s="150" t="str">
        <f>IF(AND(AE50="C",AF50="C"),"UTILIZOU O PDA CORRETAMENTE",IF(AND(AE50="C",AF50="NC"),"UTILIZOU O PDA CORRETAMENTE. NÃO HÁ FOTOS DE TODAS AS ETAPAS",IF(AND(AE50="NC",AF50="NC"),"NÃO UTILIZOU O PDA",IF(AND(AE50="NA",AF50="NA"),"NÃO AVALIADO POR FALHA DE SINCRONISMO"))))</f>
        <v>NÃO AVALIADO POR FALHA DE SINCRONISMO</v>
      </c>
      <c r="AH50" s="160" t="s">
        <v>54</v>
      </c>
      <c r="AI50" s="291" t="str">
        <f t="shared" si="0"/>
        <v>SÃO PAULO</v>
      </c>
      <c r="AJ50" s="291" t="s">
        <v>36</v>
      </c>
    </row>
    <row r="51" spans="1:36" s="51" customFormat="1" ht="30" customHeight="1">
      <c r="A51" s="197" t="s">
        <v>198</v>
      </c>
      <c r="B51" s="212">
        <v>2619855200</v>
      </c>
      <c r="C51" s="197" t="s">
        <v>154</v>
      </c>
      <c r="D51" s="197" t="s">
        <v>83</v>
      </c>
      <c r="E51" s="197" t="s">
        <v>35</v>
      </c>
      <c r="F51" s="197" t="s">
        <v>1884</v>
      </c>
      <c r="G51" s="197">
        <v>44</v>
      </c>
      <c r="H51" s="197" t="s">
        <v>347</v>
      </c>
      <c r="I51" s="197" t="s">
        <v>598</v>
      </c>
      <c r="J51" s="197" t="s">
        <v>2837</v>
      </c>
      <c r="K51" s="197" t="s">
        <v>705</v>
      </c>
      <c r="L51" s="203">
        <v>46153.649305555555</v>
      </c>
      <c r="M51" s="203">
        <v>46153.680555555555</v>
      </c>
      <c r="N51" s="197" t="s">
        <v>706</v>
      </c>
      <c r="O51" s="151" t="s">
        <v>77</v>
      </c>
      <c r="P51" s="54"/>
      <c r="Q51" s="138" t="s">
        <v>77</v>
      </c>
      <c r="R51" s="54"/>
      <c r="S51" s="138" t="s">
        <v>77</v>
      </c>
      <c r="T51" s="54"/>
      <c r="U51" s="138" t="s">
        <v>77</v>
      </c>
      <c r="V51" s="54"/>
      <c r="W51" s="138" t="s">
        <v>77</v>
      </c>
      <c r="X51" s="54"/>
      <c r="Y51" s="138" t="s">
        <v>77</v>
      </c>
      <c r="Z51" s="54"/>
      <c r="AA51" s="138" t="s">
        <v>77</v>
      </c>
      <c r="AB51" s="149"/>
      <c r="AC51" s="138" t="s">
        <v>77</v>
      </c>
      <c r="AD51" s="149"/>
      <c r="AE51" s="138" t="s">
        <v>77</v>
      </c>
      <c r="AF51" s="189" t="str">
        <f>IF(AND(O51="",Q51="",S51="",U51="",W51="",Y51="",AA51="",AC51=""),"",
IF(OR(    AND(O51&lt;&gt;"NA",O51&lt;&gt;"C",O51&lt;&gt;"NC",O51&lt;&gt;"SF",O51&lt;&gt;""),
    AND(Q51&lt;&gt;"NA",Q51&lt;&gt;"C",Q51&lt;&gt;"NC",Q51&lt;&gt;"SF",Q51&lt;&gt;""),
    AND(S51&lt;&gt;"NA",S51&lt;&gt;"C",S51&lt;&gt;"NC",S51&lt;&gt;"SF",S51&lt;&gt;""),
    AND(U51&lt;&gt;"NA",U51&lt;&gt;"C",U51&lt;&gt;"NC",U51&lt;&gt;"SF",U51&lt;&gt;""),
    AND(W51&lt;&gt;"NA",W51&lt;&gt;"C",W51&lt;&gt;"NC",W51&lt;&gt;"SF",W51&lt;&gt;""),
    AND(Y51&lt;&gt;"NA",Y51&lt;&gt;"C",Y51&lt;&gt;"NC",Y51&lt;&gt;"SF",Y51&lt;&gt;""),
    AND(AA51&lt;&gt;"NA",AA51&lt;&gt;"C",AA51&lt;&gt;"NC",AA51&lt;&gt;"SF",AA51&lt;&gt;""),
    AND(AC51&lt;&gt;"NA",AC51&lt;&gt;"C",AC51&lt;&gt;"NC",AC51&lt;&gt;"SF",AC51&lt;&gt;"")
),"FALSO",
IF(AND(O51="NA",Q51="NA",S51="NA",U51="NA",W51="NA",Y51="NA",AA51="NA",AC51="NA"),"NA",
IF(OR(O51="NC",Q51="NC",S51="NC",U51="NC",W51="NC",Y51="NC",AA51="NC",AC51="NC",
       O51="SF",Q51="SF",S51="SF",U51="SF",W51="SF",Y51="SF",AA51="SF",AC51="SF"),"NC",
IF(SUM(IF(O51="C",1,0),IF(Q51="C",1,0),IF(S51="C",1,0),IF(U51="C",1,0),IF(W51="C",1,0),IF(Y51="C",1,0),IF(AA51="C",1,0),IF(AC51="C",1,0))=1,"C","C")))))</f>
        <v>NA</v>
      </c>
      <c r="AG51" s="150" t="str">
        <f>IF(AND(AE51="C",AF51="C"),"UTILIZOU O PDA CORRETAMENTE",IF(AND(AE51="C",AF51="NC"),"UTILIZOU O PDA CORRETAMENTE. NÃO HÁ FOTOS DE TODAS AS ETAPAS",IF(AND(AE51="NC",AF51="NC"),"NÃO UTILIZOU O PDA",IF(AND(AE51="NA",AF51="NA"),"NÃO AVALIADO POR FALHA DE SINCRONISMO"))))</f>
        <v>NÃO AVALIADO POR FALHA DE SINCRONISMO</v>
      </c>
      <c r="AH51" s="160" t="s">
        <v>75</v>
      </c>
      <c r="AI51" s="291" t="str">
        <f t="shared" si="0"/>
        <v>SÃO PAULO</v>
      </c>
      <c r="AJ51" s="291" t="s">
        <v>36</v>
      </c>
    </row>
    <row r="52" spans="1:36" s="51" customFormat="1" ht="30" customHeight="1">
      <c r="A52" s="197" t="s">
        <v>198</v>
      </c>
      <c r="B52" s="212">
        <v>2619854007</v>
      </c>
      <c r="C52" s="197" t="s">
        <v>154</v>
      </c>
      <c r="D52" s="197" t="s">
        <v>83</v>
      </c>
      <c r="E52" s="197" t="s">
        <v>35</v>
      </c>
      <c r="F52" s="197" t="s">
        <v>2852</v>
      </c>
      <c r="G52" s="197">
        <v>96</v>
      </c>
      <c r="H52" s="197" t="s">
        <v>347</v>
      </c>
      <c r="I52" s="197" t="s">
        <v>615</v>
      </c>
      <c r="J52" s="197" t="s">
        <v>2837</v>
      </c>
      <c r="K52" s="197" t="s">
        <v>705</v>
      </c>
      <c r="L52" s="203">
        <v>46153.670138888891</v>
      </c>
      <c r="M52" s="203">
        <v>46153.696527777778</v>
      </c>
      <c r="N52" s="197" t="s">
        <v>706</v>
      </c>
      <c r="O52" s="151" t="s">
        <v>77</v>
      </c>
      <c r="P52" s="54"/>
      <c r="Q52" s="138" t="s">
        <v>77</v>
      </c>
      <c r="R52" s="54"/>
      <c r="S52" s="138" t="s">
        <v>77</v>
      </c>
      <c r="T52" s="54"/>
      <c r="U52" s="138" t="s">
        <v>77</v>
      </c>
      <c r="V52" s="54"/>
      <c r="W52" s="138" t="s">
        <v>77</v>
      </c>
      <c r="X52" s="54"/>
      <c r="Y52" s="138" t="s">
        <v>77</v>
      </c>
      <c r="Z52" s="54"/>
      <c r="AA52" s="138" t="s">
        <v>77</v>
      </c>
      <c r="AB52" s="149"/>
      <c r="AC52" s="138" t="s">
        <v>77</v>
      </c>
      <c r="AD52" s="149"/>
      <c r="AE52" s="138" t="s">
        <v>77</v>
      </c>
      <c r="AF52" s="189" t="str">
        <f>IF(AND(O52="",Q52="",S52="",U52="",W52="",Y52="",AA52="",AC52=""),"",
IF(OR(    AND(O52&lt;&gt;"NA",O52&lt;&gt;"C",O52&lt;&gt;"NC",O52&lt;&gt;"SF",O52&lt;&gt;""),
    AND(Q52&lt;&gt;"NA",Q52&lt;&gt;"C",Q52&lt;&gt;"NC",Q52&lt;&gt;"SF",Q52&lt;&gt;""),
    AND(S52&lt;&gt;"NA",S52&lt;&gt;"C",S52&lt;&gt;"NC",S52&lt;&gt;"SF",S52&lt;&gt;""),
    AND(U52&lt;&gt;"NA",U52&lt;&gt;"C",U52&lt;&gt;"NC",U52&lt;&gt;"SF",U52&lt;&gt;""),
    AND(W52&lt;&gt;"NA",W52&lt;&gt;"C",W52&lt;&gt;"NC",W52&lt;&gt;"SF",W52&lt;&gt;""),
    AND(Y52&lt;&gt;"NA",Y52&lt;&gt;"C",Y52&lt;&gt;"NC",Y52&lt;&gt;"SF",Y52&lt;&gt;""),
    AND(AA52&lt;&gt;"NA",AA52&lt;&gt;"C",AA52&lt;&gt;"NC",AA52&lt;&gt;"SF",AA52&lt;&gt;""),
    AND(AC52&lt;&gt;"NA",AC52&lt;&gt;"C",AC52&lt;&gt;"NC",AC52&lt;&gt;"SF",AC52&lt;&gt;"")
),"FALSO",
IF(AND(O52="NA",Q52="NA",S52="NA",U52="NA",W52="NA",Y52="NA",AA52="NA",AC52="NA"),"NA",
IF(OR(O52="NC",Q52="NC",S52="NC",U52="NC",W52="NC",Y52="NC",AA52="NC",AC52="NC",
       O52="SF",Q52="SF",S52="SF",U52="SF",W52="SF",Y52="SF",AA52="SF",AC52="SF"),"NC",
IF(SUM(IF(O52="C",1,0),IF(Q52="C",1,0),IF(S52="C",1,0),IF(U52="C",1,0),IF(W52="C",1,0),IF(Y52="C",1,0),IF(AA52="C",1,0),IF(AC52="C",1,0))=1,"C","C")))))</f>
        <v>NA</v>
      </c>
      <c r="AG52" s="150" t="str">
        <f>IF(AND(AE52="C",AF52="C"),"UTILIZOU O PDA CORRETAMENTE",IF(AND(AE52="C",AF52="NC"),"UTILIZOU O PDA CORRETAMENTE. NÃO HÁ FOTOS DE TODAS AS ETAPAS",IF(AND(AE52="NC",AF52="NC"),"NÃO UTILIZOU O PDA",IF(AND(AE52="NA",AF52="NA"),"NÃO AVALIADO POR FALHA DE SINCRONISMO"))))</f>
        <v>NÃO AVALIADO POR FALHA DE SINCRONISMO</v>
      </c>
      <c r="AH52" s="160" t="s">
        <v>75</v>
      </c>
      <c r="AI52" s="291" t="str">
        <f t="shared" si="0"/>
        <v>SÃO PAULO</v>
      </c>
      <c r="AJ52" s="291" t="s">
        <v>36</v>
      </c>
    </row>
    <row r="53" spans="1:36" s="51" customFormat="1" ht="30" customHeight="1">
      <c r="A53" s="197" t="s">
        <v>198</v>
      </c>
      <c r="B53" s="212">
        <v>2619852708</v>
      </c>
      <c r="C53" s="197" t="s">
        <v>154</v>
      </c>
      <c r="D53" s="197" t="s">
        <v>83</v>
      </c>
      <c r="E53" s="197" t="s">
        <v>35</v>
      </c>
      <c r="F53" s="197" t="s">
        <v>2128</v>
      </c>
      <c r="G53" s="197">
        <v>90</v>
      </c>
      <c r="H53" s="197"/>
      <c r="I53" s="197" t="s">
        <v>580</v>
      </c>
      <c r="J53" s="197" t="s">
        <v>2837</v>
      </c>
      <c r="K53" s="197" t="s">
        <v>705</v>
      </c>
      <c r="L53" s="203">
        <v>46153.652777777781</v>
      </c>
      <c r="M53" s="203">
        <v>46153.692361111112</v>
      </c>
      <c r="N53" s="197" t="s">
        <v>706</v>
      </c>
      <c r="O53" s="151" t="s">
        <v>77</v>
      </c>
      <c r="P53" s="54"/>
      <c r="Q53" s="138" t="s">
        <v>77</v>
      </c>
      <c r="R53" s="54"/>
      <c r="S53" s="138" t="s">
        <v>77</v>
      </c>
      <c r="T53" s="54"/>
      <c r="U53" s="138" t="s">
        <v>77</v>
      </c>
      <c r="V53" s="54"/>
      <c r="W53" s="138" t="s">
        <v>77</v>
      </c>
      <c r="X53" s="54"/>
      <c r="Y53" s="138" t="s">
        <v>77</v>
      </c>
      <c r="Z53" s="54"/>
      <c r="AA53" s="138" t="s">
        <v>77</v>
      </c>
      <c r="AB53" s="149"/>
      <c r="AC53" s="138" t="s">
        <v>77</v>
      </c>
      <c r="AD53" s="149"/>
      <c r="AE53" s="138" t="s">
        <v>77</v>
      </c>
      <c r="AF53" s="189" t="str">
        <f>IF(AND(O53="",Q53="",S53="",U53="",W53="",Y53="",AA53="",AC53=""),"",
IF(OR(    AND(O53&lt;&gt;"NA",O53&lt;&gt;"C",O53&lt;&gt;"NC",O53&lt;&gt;"SF",O53&lt;&gt;""),
    AND(Q53&lt;&gt;"NA",Q53&lt;&gt;"C",Q53&lt;&gt;"NC",Q53&lt;&gt;"SF",Q53&lt;&gt;""),
    AND(S53&lt;&gt;"NA",S53&lt;&gt;"C",S53&lt;&gt;"NC",S53&lt;&gt;"SF",S53&lt;&gt;""),
    AND(U53&lt;&gt;"NA",U53&lt;&gt;"C",U53&lt;&gt;"NC",U53&lt;&gt;"SF",U53&lt;&gt;""),
    AND(W53&lt;&gt;"NA",W53&lt;&gt;"C",W53&lt;&gt;"NC",W53&lt;&gt;"SF",W53&lt;&gt;""),
    AND(Y53&lt;&gt;"NA",Y53&lt;&gt;"C",Y53&lt;&gt;"NC",Y53&lt;&gt;"SF",Y53&lt;&gt;""),
    AND(AA53&lt;&gt;"NA",AA53&lt;&gt;"C",AA53&lt;&gt;"NC",AA53&lt;&gt;"SF",AA53&lt;&gt;""),
    AND(AC53&lt;&gt;"NA",AC53&lt;&gt;"C",AC53&lt;&gt;"NC",AC53&lt;&gt;"SF",AC53&lt;&gt;"")
),"FALSO",
IF(AND(O53="NA",Q53="NA",S53="NA",U53="NA",W53="NA",Y53="NA",AA53="NA",AC53="NA"),"NA",
IF(OR(O53="NC",Q53="NC",S53="NC",U53="NC",W53="NC",Y53="NC",AA53="NC",AC53="NC",
       O53="SF",Q53="SF",S53="SF",U53="SF",W53="SF",Y53="SF",AA53="SF",AC53="SF"),"NC",
IF(SUM(IF(O53="C",1,0),IF(Q53="C",1,0),IF(S53="C",1,0),IF(U53="C",1,0),IF(W53="C",1,0),IF(Y53="C",1,0),IF(AA53="C",1,0),IF(AC53="C",1,0))=1,"C","C")))))</f>
        <v>NA</v>
      </c>
      <c r="AG53" s="150" t="str">
        <f>IF(AND(AE53="C",AF53="C"),"UTILIZOU O PDA CORRETAMENTE",IF(AND(AE53="C",AF53="NC"),"UTILIZOU O PDA CORRETAMENTE. NÃO HÁ FOTOS DE TODAS AS ETAPAS",IF(AND(AE53="NC",AF53="NC"),"NÃO UTILIZOU O PDA",IF(AND(AE53="NA",AF53="NA"),"NÃO AVALIADO POR FALHA DE SINCRONISMO"))))</f>
        <v>NÃO AVALIADO POR FALHA DE SINCRONISMO</v>
      </c>
      <c r="AH53" s="60" t="s">
        <v>54</v>
      </c>
      <c r="AI53" s="291" t="str">
        <f t="shared" si="0"/>
        <v>SÃO PAULO</v>
      </c>
      <c r="AJ53" s="291" t="s">
        <v>36</v>
      </c>
    </row>
    <row r="54" spans="1:36" s="51" customFormat="1" ht="30" customHeight="1">
      <c r="A54" s="197" t="s">
        <v>198</v>
      </c>
      <c r="B54" s="212">
        <v>2619855587</v>
      </c>
      <c r="C54" s="197" t="s">
        <v>154</v>
      </c>
      <c r="D54" s="197" t="s">
        <v>83</v>
      </c>
      <c r="E54" s="197" t="s">
        <v>35</v>
      </c>
      <c r="F54" s="197" t="s">
        <v>2853</v>
      </c>
      <c r="G54" s="197">
        <v>835</v>
      </c>
      <c r="H54" s="197" t="s">
        <v>200</v>
      </c>
      <c r="I54" s="197" t="s">
        <v>479</v>
      </c>
      <c r="J54" s="197" t="s">
        <v>2837</v>
      </c>
      <c r="K54" s="197" t="s">
        <v>705</v>
      </c>
      <c r="L54" s="203">
        <v>46153.649305555555</v>
      </c>
      <c r="M54" s="203">
        <v>46153.699305555558</v>
      </c>
      <c r="N54" s="197" t="s">
        <v>706</v>
      </c>
      <c r="O54" s="151" t="s">
        <v>77</v>
      </c>
      <c r="P54" s="54"/>
      <c r="Q54" s="138" t="s">
        <v>77</v>
      </c>
      <c r="R54" s="54"/>
      <c r="S54" s="138" t="s">
        <v>77</v>
      </c>
      <c r="T54" s="54"/>
      <c r="U54" s="138" t="s">
        <v>77</v>
      </c>
      <c r="V54" s="54"/>
      <c r="W54" s="138" t="s">
        <v>77</v>
      </c>
      <c r="X54" s="54"/>
      <c r="Y54" s="138" t="s">
        <v>77</v>
      </c>
      <c r="Z54" s="54"/>
      <c r="AA54" s="138" t="s">
        <v>77</v>
      </c>
      <c r="AB54" s="54"/>
      <c r="AC54" s="138" t="s">
        <v>77</v>
      </c>
      <c r="AD54" s="54"/>
      <c r="AE54" s="138" t="s">
        <v>77</v>
      </c>
      <c r="AF54" s="189" t="str">
        <f>IF(AND(O54="",Q54="",S54="",U54="",W54="",Y54="",AA54="",AC54=""),"",
IF(OR(    AND(O54&lt;&gt;"NA",O54&lt;&gt;"C",O54&lt;&gt;"NC",O54&lt;&gt;"SF",O54&lt;&gt;""),
    AND(Q54&lt;&gt;"NA",Q54&lt;&gt;"C",Q54&lt;&gt;"NC",Q54&lt;&gt;"SF",Q54&lt;&gt;""),
    AND(S54&lt;&gt;"NA",S54&lt;&gt;"C",S54&lt;&gt;"NC",S54&lt;&gt;"SF",S54&lt;&gt;""),
    AND(U54&lt;&gt;"NA",U54&lt;&gt;"C",U54&lt;&gt;"NC",U54&lt;&gt;"SF",U54&lt;&gt;""),
    AND(W54&lt;&gt;"NA",W54&lt;&gt;"C",W54&lt;&gt;"NC",W54&lt;&gt;"SF",W54&lt;&gt;""),
    AND(Y54&lt;&gt;"NA",Y54&lt;&gt;"C",Y54&lt;&gt;"NC",Y54&lt;&gt;"SF",Y54&lt;&gt;""),
    AND(AA54&lt;&gt;"NA",AA54&lt;&gt;"C",AA54&lt;&gt;"NC",AA54&lt;&gt;"SF",AA54&lt;&gt;""),
    AND(AC54&lt;&gt;"NA",AC54&lt;&gt;"C",AC54&lt;&gt;"NC",AC54&lt;&gt;"SF",AC54&lt;&gt;"")
),"FALSO",
IF(AND(O54="NA",Q54="NA",S54="NA",U54="NA",W54="NA",Y54="NA",AA54="NA",AC54="NA"),"NA",
IF(OR(O54="NC",Q54="NC",S54="NC",U54="NC",W54="NC",Y54="NC",AA54="NC",AC54="NC",
       O54="SF",Q54="SF",S54="SF",U54="SF",W54="SF",Y54="SF",AA54="SF",AC54="SF"),"NC",
IF(SUM(IF(O54="C",1,0),IF(Q54="C",1,0),IF(S54="C",1,0),IF(U54="C",1,0),IF(W54="C",1,0),IF(Y54="C",1,0),IF(AA54="C",1,0),IF(AC54="C",1,0))=1,"C","C")))))</f>
        <v>NA</v>
      </c>
      <c r="AG54" s="150" t="str">
        <f>IF(AND(AE54="C",AF54="C"),"UTILIZOU O PDA CORRETAMENTE",IF(AND(AE54="C",AF54="NC"),"UTILIZOU O PDA CORRETAMENTE. NÃO HÁ FOTOS DE TODAS AS ETAPAS",IF(AND(AE54="NC",AF54="NC"),"NÃO UTILIZOU O PDA",IF(AND(AE54="NA",AF54="NA"),"NÃO AVALIADO POR FALHA DE SINCRONISMO"))))</f>
        <v>NÃO AVALIADO POR FALHA DE SINCRONISMO</v>
      </c>
      <c r="AH54" s="60" t="s">
        <v>75</v>
      </c>
      <c r="AI54" s="291" t="str">
        <f t="shared" si="0"/>
        <v>SÃO PAULO</v>
      </c>
      <c r="AJ54" s="291" t="s">
        <v>36</v>
      </c>
    </row>
    <row r="55" spans="1:36" s="51" customFormat="1" ht="30" customHeight="1">
      <c r="A55" s="197" t="s">
        <v>198</v>
      </c>
      <c r="B55" s="212">
        <v>2619851905</v>
      </c>
      <c r="C55" s="197" t="s">
        <v>154</v>
      </c>
      <c r="D55" s="197" t="s">
        <v>83</v>
      </c>
      <c r="E55" s="197" t="s">
        <v>35</v>
      </c>
      <c r="F55" s="197" t="s">
        <v>511</v>
      </c>
      <c r="G55" s="197">
        <v>0</v>
      </c>
      <c r="H55" s="197"/>
      <c r="I55" s="197" t="s">
        <v>618</v>
      </c>
      <c r="J55" s="197" t="s">
        <v>2837</v>
      </c>
      <c r="K55" s="197" t="s">
        <v>705</v>
      </c>
      <c r="L55" s="203">
        <v>46153.649305555555</v>
      </c>
      <c r="M55" s="203">
        <v>46153.690972222219</v>
      </c>
      <c r="N55" s="197" t="s">
        <v>706</v>
      </c>
      <c r="O55" s="151" t="s">
        <v>77</v>
      </c>
      <c r="P55" s="54"/>
      <c r="Q55" s="138" t="s">
        <v>77</v>
      </c>
      <c r="R55" s="54"/>
      <c r="S55" s="138" t="s">
        <v>77</v>
      </c>
      <c r="T55" s="54"/>
      <c r="U55" s="138" t="s">
        <v>77</v>
      </c>
      <c r="V55" s="54"/>
      <c r="W55" s="138" t="s">
        <v>77</v>
      </c>
      <c r="X55" s="54"/>
      <c r="Y55" s="138" t="s">
        <v>77</v>
      </c>
      <c r="Z55" s="54"/>
      <c r="AA55" s="138" t="s">
        <v>77</v>
      </c>
      <c r="AB55" s="149"/>
      <c r="AC55" s="138" t="s">
        <v>77</v>
      </c>
      <c r="AD55" s="149"/>
      <c r="AE55" s="138" t="s">
        <v>77</v>
      </c>
      <c r="AF55" s="189" t="str">
        <f>IF(AND(O55="",Q55="",S55="",U55="",W55="",Y55="",AA55="",AC55=""),"",
IF(OR(    AND(O55&lt;&gt;"NA",O55&lt;&gt;"C",O55&lt;&gt;"NC",O55&lt;&gt;"SF",O55&lt;&gt;""),
    AND(Q55&lt;&gt;"NA",Q55&lt;&gt;"C",Q55&lt;&gt;"NC",Q55&lt;&gt;"SF",Q55&lt;&gt;""),
    AND(S55&lt;&gt;"NA",S55&lt;&gt;"C",S55&lt;&gt;"NC",S55&lt;&gt;"SF",S55&lt;&gt;""),
    AND(U55&lt;&gt;"NA",U55&lt;&gt;"C",U55&lt;&gt;"NC",U55&lt;&gt;"SF",U55&lt;&gt;""),
    AND(W55&lt;&gt;"NA",W55&lt;&gt;"C",W55&lt;&gt;"NC",W55&lt;&gt;"SF",W55&lt;&gt;""),
    AND(Y55&lt;&gt;"NA",Y55&lt;&gt;"C",Y55&lt;&gt;"NC",Y55&lt;&gt;"SF",Y55&lt;&gt;""),
    AND(AA55&lt;&gt;"NA",AA55&lt;&gt;"C",AA55&lt;&gt;"NC",AA55&lt;&gt;"SF",AA55&lt;&gt;""),
    AND(AC55&lt;&gt;"NA",AC55&lt;&gt;"C",AC55&lt;&gt;"NC",AC55&lt;&gt;"SF",AC55&lt;&gt;"")
),"FALSO",
IF(AND(O55="NA",Q55="NA",S55="NA",U55="NA",W55="NA",Y55="NA",AA55="NA",AC55="NA"),"NA",
IF(OR(O55="NC",Q55="NC",S55="NC",U55="NC",W55="NC",Y55="NC",AA55="NC",AC55="NC",
       O55="SF",Q55="SF",S55="SF",U55="SF",W55="SF",Y55="SF",AA55="SF",AC55="SF"),"NC",
IF(SUM(IF(O55="C",1,0),IF(Q55="C",1,0),IF(S55="C",1,0),IF(U55="C",1,0),IF(W55="C",1,0),IF(Y55="C",1,0),IF(AA55="C",1,0),IF(AC55="C",1,0))=1,"C","C")))))</f>
        <v>NA</v>
      </c>
      <c r="AG55" s="150" t="str">
        <f>IF(AND(AE55="C",AF55="C"),"UTILIZOU O PDA CORRETAMENTE",IF(AND(AE55="C",AF55="NC"),"UTILIZOU O PDA CORRETAMENTE. NÃO HÁ FOTOS DE TODAS AS ETAPAS",IF(AND(AE55="NC",AF55="NC"),"NÃO UTILIZOU O PDA",IF(AND(AE55="NA",AF55="NA"),"NÃO AVALIADO POR FALHA DE SINCRONISMO"))))</f>
        <v>NÃO AVALIADO POR FALHA DE SINCRONISMO</v>
      </c>
      <c r="AH55" s="160"/>
      <c r="AI55" s="291" t="str">
        <f t="shared" si="0"/>
        <v>SÃO PAULO</v>
      </c>
      <c r="AJ55" s="291" t="s">
        <v>36</v>
      </c>
    </row>
    <row r="56" spans="1:36" s="51" customFormat="1" ht="30" customHeight="1">
      <c r="A56" s="197" t="s">
        <v>198</v>
      </c>
      <c r="B56" s="212">
        <v>2619790626</v>
      </c>
      <c r="C56" s="197" t="s">
        <v>154</v>
      </c>
      <c r="D56" s="197" t="s">
        <v>83</v>
      </c>
      <c r="E56" s="197" t="s">
        <v>35</v>
      </c>
      <c r="F56" s="197" t="s">
        <v>1639</v>
      </c>
      <c r="G56" s="197">
        <v>140</v>
      </c>
      <c r="H56" s="197"/>
      <c r="I56" s="197" t="s">
        <v>386</v>
      </c>
      <c r="J56" s="197" t="s">
        <v>2837</v>
      </c>
      <c r="K56" s="197"/>
      <c r="L56" s="203">
        <v>46154.626388888886</v>
      </c>
      <c r="M56" s="203">
        <v>46154.627083333333</v>
      </c>
      <c r="N56" s="197" t="s">
        <v>2838</v>
      </c>
      <c r="O56" s="151" t="s">
        <v>207</v>
      </c>
      <c r="P56" s="54"/>
      <c r="Q56" s="138" t="s">
        <v>215</v>
      </c>
      <c r="R56" s="54" t="s">
        <v>2842</v>
      </c>
      <c r="S56" s="138" t="s">
        <v>207</v>
      </c>
      <c r="T56" s="54"/>
      <c r="U56" s="138" t="s">
        <v>214</v>
      </c>
      <c r="V56" s="54"/>
      <c r="W56" s="138" t="s">
        <v>207</v>
      </c>
      <c r="X56" s="54"/>
      <c r="Y56" s="138" t="s">
        <v>214</v>
      </c>
      <c r="Z56" s="54"/>
      <c r="AA56" s="138" t="s">
        <v>207</v>
      </c>
      <c r="AB56" s="54"/>
      <c r="AC56" s="138" t="s">
        <v>215</v>
      </c>
      <c r="AD56" s="54" t="s">
        <v>1545</v>
      </c>
      <c r="AE56" s="138" t="s">
        <v>207</v>
      </c>
      <c r="AF56" s="189" t="str">
        <f>IF(AND(O56="",Q56="",S56="",U56="",W56="",Y56="",AA56="",AC56=""),"",
IF(OR(    AND(O56&lt;&gt;"NA",O56&lt;&gt;"C",O56&lt;&gt;"NC",O56&lt;&gt;"SF",O56&lt;&gt;""),
    AND(Q56&lt;&gt;"NA",Q56&lt;&gt;"C",Q56&lt;&gt;"NC",Q56&lt;&gt;"SF",Q56&lt;&gt;""),
    AND(S56&lt;&gt;"NA",S56&lt;&gt;"C",S56&lt;&gt;"NC",S56&lt;&gt;"SF",S56&lt;&gt;""),
    AND(U56&lt;&gt;"NA",U56&lt;&gt;"C",U56&lt;&gt;"NC",U56&lt;&gt;"SF",U56&lt;&gt;""),
    AND(W56&lt;&gt;"NA",W56&lt;&gt;"C",W56&lt;&gt;"NC",W56&lt;&gt;"SF",W56&lt;&gt;""),
    AND(Y56&lt;&gt;"NA",Y56&lt;&gt;"C",Y56&lt;&gt;"NC",Y56&lt;&gt;"SF",Y56&lt;&gt;""),
    AND(AA56&lt;&gt;"NA",AA56&lt;&gt;"C",AA56&lt;&gt;"NC",AA56&lt;&gt;"SF",AA56&lt;&gt;""),
    AND(AC56&lt;&gt;"NA",AC56&lt;&gt;"C",AC56&lt;&gt;"NC",AC56&lt;&gt;"SF",AC56&lt;&gt;"")
),"FALSO",
IF(AND(O56="NA",Q56="NA",S56="NA",U56="NA",W56="NA",Y56="NA",AA56="NA",AC56="NA"),"NA",
IF(OR(O56="NC",Q56="NC",S56="NC",U56="NC",W56="NC",Y56="NC",AA56="NC",AC56="NC",
       O56="SF",Q56="SF",S56="SF",U56="SF",W56="SF",Y56="SF",AA56="SF",AC56="SF"),"NC",
IF(SUM(IF(O56="C",1,0),IF(Q56="C",1,0),IF(S56="C",1,0),IF(U56="C",1,0),IF(W56="C",1,0),IF(Y56="C",1,0),IF(AA56="C",1,0),IF(AC56="C",1,0))=1,"C","C")))))</f>
        <v>NC</v>
      </c>
      <c r="AG56" s="150" t="str">
        <f>IF(AND(AE56="C",AF56="C"),"UTILIZOU O PDA CORRETAMENTE",IF(AND(AE56="C",AF56="NC"),"UTILIZOU O PDA CORRETAMENTE. NÃO HÁ FOTOS DE TODAS AS ETAPAS",IF(AND(AE56="NC",AF56="NC"),"NÃO UTILIZOU O PDA",IF(AND(AE56="NA",AF56="NA"),"NÃO AVALIADO POR FALHA DE SINCRONISMO"))))</f>
        <v>UTILIZOU O PDA CORRETAMENTE. NÃO HÁ FOTOS DE TODAS AS ETAPAS</v>
      </c>
      <c r="AH56" s="160" t="s">
        <v>75</v>
      </c>
      <c r="AI56" s="291" t="str">
        <f t="shared" si="0"/>
        <v>SÃO PAULO</v>
      </c>
      <c r="AJ56" s="291" t="s">
        <v>36</v>
      </c>
    </row>
    <row r="57" spans="1:36" s="51" customFormat="1" ht="30" customHeight="1">
      <c r="A57" s="197" t="s">
        <v>198</v>
      </c>
      <c r="B57" s="212">
        <v>2619779992</v>
      </c>
      <c r="C57" s="197" t="s">
        <v>154</v>
      </c>
      <c r="D57" s="197" t="s">
        <v>83</v>
      </c>
      <c r="E57" s="197" t="s">
        <v>35</v>
      </c>
      <c r="F57" s="197" t="s">
        <v>1637</v>
      </c>
      <c r="G57" s="197">
        <v>680</v>
      </c>
      <c r="H57" s="197" t="s">
        <v>208</v>
      </c>
      <c r="I57" s="197" t="s">
        <v>253</v>
      </c>
      <c r="J57" s="197" t="s">
        <v>2837</v>
      </c>
      <c r="K57" s="197" t="s">
        <v>200</v>
      </c>
      <c r="L57" s="203">
        <v>46154.462500000001</v>
      </c>
      <c r="M57" s="203">
        <v>46154.469444444447</v>
      </c>
      <c r="N57" s="197" t="s">
        <v>2838</v>
      </c>
      <c r="O57" s="151" t="s">
        <v>207</v>
      </c>
      <c r="P57" s="54"/>
      <c r="Q57" s="138" t="s">
        <v>215</v>
      </c>
      <c r="R57" s="54" t="s">
        <v>2842</v>
      </c>
      <c r="S57" s="138" t="s">
        <v>207</v>
      </c>
      <c r="T57" s="54"/>
      <c r="U57" s="138" t="s">
        <v>214</v>
      </c>
      <c r="V57" s="54"/>
      <c r="W57" s="138" t="s">
        <v>207</v>
      </c>
      <c r="X57" s="54"/>
      <c r="Y57" s="138" t="s">
        <v>214</v>
      </c>
      <c r="Z57" s="54"/>
      <c r="AA57" s="138" t="s">
        <v>214</v>
      </c>
      <c r="AB57" s="54"/>
      <c r="AC57" s="138" t="s">
        <v>215</v>
      </c>
      <c r="AD57" s="137" t="s">
        <v>2840</v>
      </c>
      <c r="AE57" s="138" t="s">
        <v>207</v>
      </c>
      <c r="AF57" s="189" t="str">
        <f>IF(AND(O57="",Q57="",S57="",U57="",W57="",Y57="",AA57="",AC57=""),"",
IF(OR(    AND(O57&lt;&gt;"NA",O57&lt;&gt;"C",O57&lt;&gt;"NC",O57&lt;&gt;"SF",O57&lt;&gt;""),
    AND(Q57&lt;&gt;"NA",Q57&lt;&gt;"C",Q57&lt;&gt;"NC",Q57&lt;&gt;"SF",Q57&lt;&gt;""),
    AND(S57&lt;&gt;"NA",S57&lt;&gt;"C",S57&lt;&gt;"NC",S57&lt;&gt;"SF",S57&lt;&gt;""),
    AND(U57&lt;&gt;"NA",U57&lt;&gt;"C",U57&lt;&gt;"NC",U57&lt;&gt;"SF",U57&lt;&gt;""),
    AND(W57&lt;&gt;"NA",W57&lt;&gt;"C",W57&lt;&gt;"NC",W57&lt;&gt;"SF",W57&lt;&gt;""),
    AND(Y57&lt;&gt;"NA",Y57&lt;&gt;"C",Y57&lt;&gt;"NC",Y57&lt;&gt;"SF",Y57&lt;&gt;""),
    AND(AA57&lt;&gt;"NA",AA57&lt;&gt;"C",AA57&lt;&gt;"NC",AA57&lt;&gt;"SF",AA57&lt;&gt;""),
    AND(AC57&lt;&gt;"NA",AC57&lt;&gt;"C",AC57&lt;&gt;"NC",AC57&lt;&gt;"SF",AC57&lt;&gt;"")
),"FALSO",
IF(AND(O57="NA",Q57="NA",S57="NA",U57="NA",W57="NA",Y57="NA",AA57="NA",AC57="NA"),"NA",
IF(OR(O57="NC",Q57="NC",S57="NC",U57="NC",W57="NC",Y57="NC",AA57="NC",AC57="NC",
       O57="SF",Q57="SF",S57="SF",U57="SF",W57="SF",Y57="SF",AA57="SF",AC57="SF"),"NC",
IF(SUM(IF(O57="C",1,0),IF(Q57="C",1,0),IF(S57="C",1,0),IF(U57="C",1,0),IF(W57="C",1,0),IF(Y57="C",1,0),IF(AA57="C",1,0),IF(AC57="C",1,0))=1,"C","C")))))</f>
        <v>NC</v>
      </c>
      <c r="AG57" s="150" t="str">
        <f>IF(AND(AE57="C",AF57="C"),"UTILIZOU O PDA CORRETAMENTE",IF(AND(AE57="C",AF57="NC"),"UTILIZOU O PDA CORRETAMENTE. NÃO HÁ FOTOS DE TODAS AS ETAPAS",IF(AND(AE57="NC",AF57="NC"),"NÃO UTILIZOU O PDA",IF(AND(AE57="NA",AF57="NA"),"NÃO AVALIADO POR FALHA DE SINCRONISMO"))))</f>
        <v>UTILIZOU O PDA CORRETAMENTE. NÃO HÁ FOTOS DE TODAS AS ETAPAS</v>
      </c>
      <c r="AH57" s="160"/>
      <c r="AI57" s="291" t="str">
        <f t="shared" si="0"/>
        <v>SÃO PAULO</v>
      </c>
      <c r="AJ57" s="291" t="s">
        <v>36</v>
      </c>
    </row>
    <row r="58" spans="1:36" s="51" customFormat="1" ht="30" customHeight="1">
      <c r="A58" s="197" t="s">
        <v>198</v>
      </c>
      <c r="B58" s="212">
        <v>2619854691</v>
      </c>
      <c r="C58" s="197" t="s">
        <v>154</v>
      </c>
      <c r="D58" s="197" t="s">
        <v>83</v>
      </c>
      <c r="E58" s="197" t="s">
        <v>35</v>
      </c>
      <c r="F58" s="197" t="s">
        <v>713</v>
      </c>
      <c r="G58" s="197">
        <v>36</v>
      </c>
      <c r="H58" s="197" t="s">
        <v>205</v>
      </c>
      <c r="I58" s="197" t="s">
        <v>634</v>
      </c>
      <c r="J58" s="197" t="s">
        <v>2837</v>
      </c>
      <c r="K58" s="197"/>
      <c r="L58" s="203">
        <v>46154.505555555559</v>
      </c>
      <c r="M58" s="203">
        <v>46154.506249999999</v>
      </c>
      <c r="N58" s="197" t="s">
        <v>2838</v>
      </c>
      <c r="O58" s="151" t="s">
        <v>207</v>
      </c>
      <c r="P58" s="54"/>
      <c r="Q58" s="138" t="s">
        <v>215</v>
      </c>
      <c r="R58" s="54" t="s">
        <v>2842</v>
      </c>
      <c r="S58" s="138" t="s">
        <v>207</v>
      </c>
      <c r="T58" s="54"/>
      <c r="U58" s="138" t="s">
        <v>214</v>
      </c>
      <c r="V58" s="54"/>
      <c r="W58" s="138" t="s">
        <v>207</v>
      </c>
      <c r="X58" s="54"/>
      <c r="Y58" s="138" t="s">
        <v>214</v>
      </c>
      <c r="Z58" s="54"/>
      <c r="AA58" s="138" t="s">
        <v>207</v>
      </c>
      <c r="AB58" s="54"/>
      <c r="AC58" s="138" t="s">
        <v>215</v>
      </c>
      <c r="AD58" s="137" t="s">
        <v>2840</v>
      </c>
      <c r="AE58" s="138" t="s">
        <v>207</v>
      </c>
      <c r="AF58" s="189" t="str">
        <f>IF(AND(O58="",Q58="",S58="",U58="",W58="",Y58="",AA58="",AC58=""),"",
IF(OR(    AND(O58&lt;&gt;"NA",O58&lt;&gt;"C",O58&lt;&gt;"NC",O58&lt;&gt;"SF",O58&lt;&gt;""),
    AND(Q58&lt;&gt;"NA",Q58&lt;&gt;"C",Q58&lt;&gt;"NC",Q58&lt;&gt;"SF",Q58&lt;&gt;""),
    AND(S58&lt;&gt;"NA",S58&lt;&gt;"C",S58&lt;&gt;"NC",S58&lt;&gt;"SF",S58&lt;&gt;""),
    AND(U58&lt;&gt;"NA",U58&lt;&gt;"C",U58&lt;&gt;"NC",U58&lt;&gt;"SF",U58&lt;&gt;""),
    AND(W58&lt;&gt;"NA",W58&lt;&gt;"C",W58&lt;&gt;"NC",W58&lt;&gt;"SF",W58&lt;&gt;""),
    AND(Y58&lt;&gt;"NA",Y58&lt;&gt;"C",Y58&lt;&gt;"NC",Y58&lt;&gt;"SF",Y58&lt;&gt;""),
    AND(AA58&lt;&gt;"NA",AA58&lt;&gt;"C",AA58&lt;&gt;"NC",AA58&lt;&gt;"SF",AA58&lt;&gt;""),
    AND(AC58&lt;&gt;"NA",AC58&lt;&gt;"C",AC58&lt;&gt;"NC",AC58&lt;&gt;"SF",AC58&lt;&gt;"")
),"FALSO",
IF(AND(O58="NA",Q58="NA",S58="NA",U58="NA",W58="NA",Y58="NA",AA58="NA",AC58="NA"),"NA",
IF(OR(O58="NC",Q58="NC",S58="NC",U58="NC",W58="NC",Y58="NC",AA58="NC",AC58="NC",
       O58="SF",Q58="SF",S58="SF",U58="SF",W58="SF",Y58="SF",AA58="SF",AC58="SF"),"NC",
IF(SUM(IF(O58="C",1,0),IF(Q58="C",1,0),IF(S58="C",1,0),IF(U58="C",1,0),IF(W58="C",1,0),IF(Y58="C",1,0),IF(AA58="C",1,0),IF(AC58="C",1,0))=1,"C","C")))))</f>
        <v>NC</v>
      </c>
      <c r="AG58" s="150" t="str">
        <f>IF(AND(AE58="C",AF58="C"),"UTILIZOU O PDA CORRETAMENTE",IF(AND(AE58="C",AF58="NC"),"UTILIZOU O PDA CORRETAMENTE. NÃO HÁ FOTOS DE TODAS AS ETAPAS",IF(AND(AE58="NC",AF58="NC"),"NÃO UTILIZOU O PDA",IF(AND(AE58="NA",AF58="NA"),"NÃO AVALIADO POR FALHA DE SINCRONISMO"))))</f>
        <v>UTILIZOU O PDA CORRETAMENTE. NÃO HÁ FOTOS DE TODAS AS ETAPAS</v>
      </c>
      <c r="AH58" s="160" t="s">
        <v>75</v>
      </c>
      <c r="AI58" s="291" t="str">
        <f t="shared" si="0"/>
        <v>SÃO PAULO</v>
      </c>
      <c r="AJ58" s="291" t="s">
        <v>36</v>
      </c>
    </row>
    <row r="59" spans="1:36" s="51" customFormat="1" ht="30" customHeight="1">
      <c r="A59" s="197" t="s">
        <v>198</v>
      </c>
      <c r="B59" s="212">
        <v>2619844298</v>
      </c>
      <c r="C59" s="197" t="s">
        <v>154</v>
      </c>
      <c r="D59" s="197" t="s">
        <v>83</v>
      </c>
      <c r="E59" s="197" t="s">
        <v>35</v>
      </c>
      <c r="F59" s="197" t="s">
        <v>507</v>
      </c>
      <c r="G59" s="197">
        <v>197</v>
      </c>
      <c r="H59" s="197" t="s">
        <v>508</v>
      </c>
      <c r="I59" s="197" t="s">
        <v>433</v>
      </c>
      <c r="J59" s="197" t="s">
        <v>2837</v>
      </c>
      <c r="K59" s="197" t="s">
        <v>200</v>
      </c>
      <c r="L59" s="203">
        <v>46154.56527777778</v>
      </c>
      <c r="M59" s="203">
        <v>46154.56527777778</v>
      </c>
      <c r="N59" s="197" t="s">
        <v>2838</v>
      </c>
      <c r="O59" s="151" t="s">
        <v>207</v>
      </c>
      <c r="P59" s="54"/>
      <c r="Q59" s="138" t="s">
        <v>215</v>
      </c>
      <c r="R59" s="54" t="s">
        <v>1606</v>
      </c>
      <c r="S59" s="138" t="s">
        <v>207</v>
      </c>
      <c r="T59" s="54"/>
      <c r="U59" s="138" t="s">
        <v>214</v>
      </c>
      <c r="V59" s="54"/>
      <c r="W59" s="138" t="s">
        <v>207</v>
      </c>
      <c r="X59" s="54"/>
      <c r="Y59" s="138" t="s">
        <v>214</v>
      </c>
      <c r="Z59" s="54"/>
      <c r="AA59" s="138" t="s">
        <v>207</v>
      </c>
      <c r="AB59" s="54"/>
      <c r="AC59" s="138" t="s">
        <v>215</v>
      </c>
      <c r="AD59" s="137" t="s">
        <v>2840</v>
      </c>
      <c r="AE59" s="138" t="s">
        <v>207</v>
      </c>
      <c r="AF59" s="189" t="str">
        <f>IF(AND(O59="",Q59="",S59="",U59="",W59="",Y59="",AA59="",AC59=""),"",
IF(OR(    AND(O59&lt;&gt;"NA",O59&lt;&gt;"C",O59&lt;&gt;"NC",O59&lt;&gt;"SF",O59&lt;&gt;""),
    AND(Q59&lt;&gt;"NA",Q59&lt;&gt;"C",Q59&lt;&gt;"NC",Q59&lt;&gt;"SF",Q59&lt;&gt;""),
    AND(S59&lt;&gt;"NA",S59&lt;&gt;"C",S59&lt;&gt;"NC",S59&lt;&gt;"SF",S59&lt;&gt;""),
    AND(U59&lt;&gt;"NA",U59&lt;&gt;"C",U59&lt;&gt;"NC",U59&lt;&gt;"SF",U59&lt;&gt;""),
    AND(W59&lt;&gt;"NA",W59&lt;&gt;"C",W59&lt;&gt;"NC",W59&lt;&gt;"SF",W59&lt;&gt;""),
    AND(Y59&lt;&gt;"NA",Y59&lt;&gt;"C",Y59&lt;&gt;"NC",Y59&lt;&gt;"SF",Y59&lt;&gt;""),
    AND(AA59&lt;&gt;"NA",AA59&lt;&gt;"C",AA59&lt;&gt;"NC",AA59&lt;&gt;"SF",AA59&lt;&gt;""),
    AND(AC59&lt;&gt;"NA",AC59&lt;&gt;"C",AC59&lt;&gt;"NC",AC59&lt;&gt;"SF",AC59&lt;&gt;"")
),"FALSO",
IF(AND(O59="NA",Q59="NA",S59="NA",U59="NA",W59="NA",Y59="NA",AA59="NA",AC59="NA"),"NA",
IF(OR(O59="NC",Q59="NC",S59="NC",U59="NC",W59="NC",Y59="NC",AA59="NC",AC59="NC",
       O59="SF",Q59="SF",S59="SF",U59="SF",W59="SF",Y59="SF",AA59="SF",AC59="SF"),"NC",
IF(SUM(IF(O59="C",1,0),IF(Q59="C",1,0),IF(S59="C",1,0),IF(U59="C",1,0),IF(W59="C",1,0),IF(Y59="C",1,0),IF(AA59="C",1,0),IF(AC59="C",1,0))=1,"C","C")))))</f>
        <v>NC</v>
      </c>
      <c r="AG59" s="150" t="str">
        <f>IF(AND(AE59="C",AF59="C"),"UTILIZOU O PDA CORRETAMENTE",IF(AND(AE59="C",AF59="NC"),"UTILIZOU O PDA CORRETAMENTE. NÃO HÁ FOTOS DE TODAS AS ETAPAS",IF(AND(AE59="NC",AF59="NC"),"NÃO UTILIZOU O PDA",IF(AND(AE59="NA",AF59="NA"),"NÃO AVALIADO POR FALHA DE SINCRONISMO"))))</f>
        <v>UTILIZOU O PDA CORRETAMENTE. NÃO HÁ FOTOS DE TODAS AS ETAPAS</v>
      </c>
      <c r="AH59" s="160"/>
      <c r="AI59" s="291" t="str">
        <f t="shared" si="0"/>
        <v>SÃO PAULO</v>
      </c>
      <c r="AJ59" s="291" t="s">
        <v>36</v>
      </c>
    </row>
    <row r="60" spans="1:36" s="51" customFormat="1" ht="30" customHeight="1">
      <c r="A60" s="197" t="s">
        <v>198</v>
      </c>
      <c r="B60" s="212">
        <v>2619179554</v>
      </c>
      <c r="C60" s="197" t="s">
        <v>154</v>
      </c>
      <c r="D60" s="197" t="s">
        <v>83</v>
      </c>
      <c r="E60" s="197" t="s">
        <v>35</v>
      </c>
      <c r="F60" s="197" t="s">
        <v>961</v>
      </c>
      <c r="G60" s="197">
        <v>0</v>
      </c>
      <c r="H60" s="197"/>
      <c r="I60" s="197" t="s">
        <v>1480</v>
      </c>
      <c r="J60" s="197" t="s">
        <v>2837</v>
      </c>
      <c r="K60" s="197"/>
      <c r="L60" s="203">
        <v>46154.48541666667</v>
      </c>
      <c r="M60" s="203">
        <v>46154.486111111109</v>
      </c>
      <c r="N60" s="197" t="s">
        <v>2838</v>
      </c>
      <c r="O60" s="151" t="s">
        <v>207</v>
      </c>
      <c r="P60" s="54"/>
      <c r="Q60" s="138" t="s">
        <v>215</v>
      </c>
      <c r="R60" s="54" t="s">
        <v>2842</v>
      </c>
      <c r="S60" s="138" t="s">
        <v>207</v>
      </c>
      <c r="T60" s="54"/>
      <c r="U60" s="138" t="s">
        <v>214</v>
      </c>
      <c r="V60" s="54"/>
      <c r="W60" s="138" t="s">
        <v>207</v>
      </c>
      <c r="X60" s="54"/>
      <c r="Y60" s="138" t="s">
        <v>214</v>
      </c>
      <c r="Z60" s="54"/>
      <c r="AA60" s="138" t="s">
        <v>207</v>
      </c>
      <c r="AB60" s="54"/>
      <c r="AC60" s="138" t="s">
        <v>215</v>
      </c>
      <c r="AD60" s="137" t="s">
        <v>2840</v>
      </c>
      <c r="AE60" s="138" t="s">
        <v>207</v>
      </c>
      <c r="AF60" s="189" t="str">
        <f>IF(AND(O60="",Q60="",S60="",U60="",W60="",Y60="",AA60="",AC60=""),"",
IF(OR(    AND(O60&lt;&gt;"NA",O60&lt;&gt;"C",O60&lt;&gt;"NC",O60&lt;&gt;"SF",O60&lt;&gt;""),
    AND(Q60&lt;&gt;"NA",Q60&lt;&gt;"C",Q60&lt;&gt;"NC",Q60&lt;&gt;"SF",Q60&lt;&gt;""),
    AND(S60&lt;&gt;"NA",S60&lt;&gt;"C",S60&lt;&gt;"NC",S60&lt;&gt;"SF",S60&lt;&gt;""),
    AND(U60&lt;&gt;"NA",U60&lt;&gt;"C",U60&lt;&gt;"NC",U60&lt;&gt;"SF",U60&lt;&gt;""),
    AND(W60&lt;&gt;"NA",W60&lt;&gt;"C",W60&lt;&gt;"NC",W60&lt;&gt;"SF",W60&lt;&gt;""),
    AND(Y60&lt;&gt;"NA",Y60&lt;&gt;"C",Y60&lt;&gt;"NC",Y60&lt;&gt;"SF",Y60&lt;&gt;""),
    AND(AA60&lt;&gt;"NA",AA60&lt;&gt;"C",AA60&lt;&gt;"NC",AA60&lt;&gt;"SF",AA60&lt;&gt;""),
    AND(AC60&lt;&gt;"NA",AC60&lt;&gt;"C",AC60&lt;&gt;"NC",AC60&lt;&gt;"SF",AC60&lt;&gt;"")
),"FALSO",
IF(AND(O60="NA",Q60="NA",S60="NA",U60="NA",W60="NA",Y60="NA",AA60="NA",AC60="NA"),"NA",
IF(OR(O60="NC",Q60="NC",S60="NC",U60="NC",W60="NC",Y60="NC",AA60="NC",AC60="NC",
       O60="SF",Q60="SF",S60="SF",U60="SF",W60="SF",Y60="SF",AA60="SF",AC60="SF"),"NC",
IF(SUM(IF(O60="C",1,0),IF(Q60="C",1,0),IF(S60="C",1,0),IF(U60="C",1,0),IF(W60="C",1,0),IF(Y60="C",1,0),IF(AA60="C",1,0),IF(AC60="C",1,0))=1,"C","C")))))</f>
        <v>NC</v>
      </c>
      <c r="AG60" s="150" t="str">
        <f>IF(AND(AE60="C",AF60="C"),"UTILIZOU O PDA CORRETAMENTE",IF(AND(AE60="C",AF60="NC"),"UTILIZOU O PDA CORRETAMENTE. NÃO HÁ FOTOS DE TODAS AS ETAPAS",IF(AND(AE60="NC",AF60="NC"),"NÃO UTILIZOU O PDA",IF(AND(AE60="NA",AF60="NA"),"NÃO AVALIADO POR FALHA DE SINCRONISMO"))))</f>
        <v>UTILIZOU O PDA CORRETAMENTE. NÃO HÁ FOTOS DE TODAS AS ETAPAS</v>
      </c>
      <c r="AH60" s="60" t="s">
        <v>75</v>
      </c>
      <c r="AI60" s="291" t="str">
        <f t="shared" si="0"/>
        <v>SÃO PAULO</v>
      </c>
      <c r="AJ60" s="291" t="s">
        <v>36</v>
      </c>
    </row>
    <row r="61" spans="1:36" s="51" customFormat="1" ht="30" customHeight="1">
      <c r="A61" s="238" t="s">
        <v>198</v>
      </c>
      <c r="B61" s="215">
        <v>2620205044</v>
      </c>
      <c r="C61" s="239" t="s">
        <v>154</v>
      </c>
      <c r="D61" s="239" t="s">
        <v>83</v>
      </c>
      <c r="E61" s="239" t="s">
        <v>35</v>
      </c>
      <c r="F61" s="239" t="s">
        <v>1671</v>
      </c>
      <c r="G61" s="239">
        <v>136</v>
      </c>
      <c r="H61" s="239" t="s">
        <v>200</v>
      </c>
      <c r="I61" s="239" t="s">
        <v>598</v>
      </c>
      <c r="J61" s="239" t="s">
        <v>2837</v>
      </c>
      <c r="K61" s="239" t="s">
        <v>200</v>
      </c>
      <c r="L61" s="239" t="s">
        <v>2854</v>
      </c>
      <c r="M61" s="239" t="s">
        <v>2855</v>
      </c>
      <c r="N61" s="239" t="s">
        <v>2838</v>
      </c>
      <c r="O61" s="151" t="s">
        <v>207</v>
      </c>
      <c r="P61" s="54"/>
      <c r="Q61" s="138" t="s">
        <v>215</v>
      </c>
      <c r="R61" s="54" t="s">
        <v>2842</v>
      </c>
      <c r="S61" s="138" t="s">
        <v>207</v>
      </c>
      <c r="T61" s="54"/>
      <c r="U61" s="138" t="s">
        <v>214</v>
      </c>
      <c r="V61" s="54"/>
      <c r="W61" s="138" t="s">
        <v>207</v>
      </c>
      <c r="X61" s="54"/>
      <c r="Y61" s="138" t="s">
        <v>214</v>
      </c>
      <c r="Z61" s="54"/>
      <c r="AA61" s="138" t="s">
        <v>207</v>
      </c>
      <c r="AB61" s="54"/>
      <c r="AC61" s="138" t="s">
        <v>215</v>
      </c>
      <c r="AD61" s="137" t="s">
        <v>2840</v>
      </c>
      <c r="AE61" s="138" t="s">
        <v>207</v>
      </c>
      <c r="AF61" s="189" t="str">
        <f>IF(AND(O61="",Q61="",S61="",U61="",W61="",Y61="",AA61="",AC61=""),"",
IF(OR(    AND(O61&lt;&gt;"NA",O61&lt;&gt;"C",O61&lt;&gt;"NC",O61&lt;&gt;"SF",O61&lt;&gt;""),
    AND(Q61&lt;&gt;"NA",Q61&lt;&gt;"C",Q61&lt;&gt;"NC",Q61&lt;&gt;"SF",Q61&lt;&gt;""),
    AND(S61&lt;&gt;"NA",S61&lt;&gt;"C",S61&lt;&gt;"NC",S61&lt;&gt;"SF",S61&lt;&gt;""),
    AND(U61&lt;&gt;"NA",U61&lt;&gt;"C",U61&lt;&gt;"NC",U61&lt;&gt;"SF",U61&lt;&gt;""),
    AND(W61&lt;&gt;"NA",W61&lt;&gt;"C",W61&lt;&gt;"NC",W61&lt;&gt;"SF",W61&lt;&gt;""),
    AND(Y61&lt;&gt;"NA",Y61&lt;&gt;"C",Y61&lt;&gt;"NC",Y61&lt;&gt;"SF",Y61&lt;&gt;""),
    AND(AA61&lt;&gt;"NA",AA61&lt;&gt;"C",AA61&lt;&gt;"NC",AA61&lt;&gt;"SF",AA61&lt;&gt;""),
    AND(AC61&lt;&gt;"NA",AC61&lt;&gt;"C",AC61&lt;&gt;"NC",AC61&lt;&gt;"SF",AC61&lt;&gt;"")
),"FALSO",
IF(AND(O61="NA",Q61="NA",S61="NA",U61="NA",W61="NA",Y61="NA",AA61="NA",AC61="NA"),"NA",
IF(OR(O61="NC",Q61="NC",S61="NC",U61="NC",W61="NC",Y61="NC",AA61="NC",AC61="NC",
       O61="SF",Q61="SF",S61="SF",U61="SF",W61="SF",Y61="SF",AA61="SF",AC61="SF"),"NC",
IF(SUM(IF(O61="C",1,0),IF(Q61="C",1,0),IF(S61="C",1,0),IF(U61="C",1,0),IF(W61="C",1,0),IF(Y61="C",1,0),IF(AA61="C",1,0),IF(AC61="C",1,0))=1,"C","C")))))</f>
        <v>NC</v>
      </c>
      <c r="AG61" s="150" t="str">
        <f>IF(AND(AE61="C",AF61="C"),"UTILIZOU O PDA CORRETAMENTE",IF(AND(AE61="C",AF61="NC"),"UTILIZOU O PDA CORRETAMENTE. NÃO HÁ FOTOS DE TODAS AS ETAPAS",IF(AND(AE61="NC",AF61="NC"),"NÃO UTILIZOU O PDA",IF(AND(AE61="NA",AF61="NA"),"NÃO AVALIADO POR FALHA DE SINCRONISMO"))))</f>
        <v>UTILIZOU O PDA CORRETAMENTE. NÃO HÁ FOTOS DE TODAS AS ETAPAS</v>
      </c>
      <c r="AH61" s="60" t="s">
        <v>75</v>
      </c>
      <c r="AI61" s="291" t="str">
        <f t="shared" si="0"/>
        <v>SÃO PAULO</v>
      </c>
      <c r="AJ61" s="291" t="s">
        <v>36</v>
      </c>
    </row>
    <row r="62" spans="1:36" s="51" customFormat="1" ht="30" customHeight="1">
      <c r="A62" s="240" t="s">
        <v>198</v>
      </c>
      <c r="B62" s="216">
        <v>2620185831</v>
      </c>
      <c r="C62" s="241" t="s">
        <v>154</v>
      </c>
      <c r="D62" s="241" t="s">
        <v>83</v>
      </c>
      <c r="E62" s="241" t="s">
        <v>35</v>
      </c>
      <c r="F62" s="241" t="s">
        <v>1659</v>
      </c>
      <c r="G62" s="241">
        <v>139</v>
      </c>
      <c r="H62" s="241" t="s">
        <v>208</v>
      </c>
      <c r="I62" s="241" t="s">
        <v>411</v>
      </c>
      <c r="J62" s="241" t="s">
        <v>2837</v>
      </c>
      <c r="K62" s="241" t="s">
        <v>200</v>
      </c>
      <c r="L62" s="241" t="s">
        <v>2856</v>
      </c>
      <c r="M62" s="241" t="s">
        <v>2857</v>
      </c>
      <c r="N62" s="241" t="s">
        <v>2838</v>
      </c>
      <c r="O62" s="151" t="s">
        <v>215</v>
      </c>
      <c r="P62" s="54" t="s">
        <v>227</v>
      </c>
      <c r="Q62" s="138" t="s">
        <v>215</v>
      </c>
      <c r="R62" s="54" t="s">
        <v>227</v>
      </c>
      <c r="S62" s="138" t="s">
        <v>215</v>
      </c>
      <c r="T62" s="54" t="s">
        <v>227</v>
      </c>
      <c r="U62" s="138" t="s">
        <v>215</v>
      </c>
      <c r="V62" s="54" t="s">
        <v>227</v>
      </c>
      <c r="W62" s="138" t="s">
        <v>215</v>
      </c>
      <c r="X62" s="54" t="s">
        <v>227</v>
      </c>
      <c r="Y62" s="138" t="s">
        <v>215</v>
      </c>
      <c r="Z62" s="54" t="s">
        <v>227</v>
      </c>
      <c r="AA62" s="138" t="s">
        <v>215</v>
      </c>
      <c r="AB62" s="149" t="s">
        <v>227</v>
      </c>
      <c r="AC62" s="138" t="s">
        <v>215</v>
      </c>
      <c r="AD62" s="149" t="s">
        <v>227</v>
      </c>
      <c r="AE62" s="138" t="s">
        <v>215</v>
      </c>
      <c r="AF62" s="189" t="str">
        <f>IF(AND(O62="",Q62="",S62="",U62="",W62="",Y62="",AA62="",AC62=""),"",
IF(OR(    AND(O62&lt;&gt;"NA",O62&lt;&gt;"C",O62&lt;&gt;"NC",O62&lt;&gt;"SF",O62&lt;&gt;""),
    AND(Q62&lt;&gt;"NA",Q62&lt;&gt;"C",Q62&lt;&gt;"NC",Q62&lt;&gt;"SF",Q62&lt;&gt;""),
    AND(S62&lt;&gt;"NA",S62&lt;&gt;"C",S62&lt;&gt;"NC",S62&lt;&gt;"SF",S62&lt;&gt;""),
    AND(U62&lt;&gt;"NA",U62&lt;&gt;"C",U62&lt;&gt;"NC",U62&lt;&gt;"SF",U62&lt;&gt;""),
    AND(W62&lt;&gt;"NA",W62&lt;&gt;"C",W62&lt;&gt;"NC",W62&lt;&gt;"SF",W62&lt;&gt;""),
    AND(Y62&lt;&gt;"NA",Y62&lt;&gt;"C",Y62&lt;&gt;"NC",Y62&lt;&gt;"SF",Y62&lt;&gt;""),
    AND(AA62&lt;&gt;"NA",AA62&lt;&gt;"C",AA62&lt;&gt;"NC",AA62&lt;&gt;"SF",AA62&lt;&gt;""),
    AND(AC62&lt;&gt;"NA",AC62&lt;&gt;"C",AC62&lt;&gt;"NC",AC62&lt;&gt;"SF",AC62&lt;&gt;"")
),"FALSO",
IF(AND(O62="NA",Q62="NA",S62="NA",U62="NA",W62="NA",Y62="NA",AA62="NA",AC62="NA"),"NA",
IF(OR(O62="NC",Q62="NC",S62="NC",U62="NC",W62="NC",Y62="NC",AA62="NC",AC62="NC",
       O62="SF",Q62="SF",S62="SF",U62="SF",W62="SF",Y62="SF",AA62="SF",AC62="SF"),"NC",
IF(SUM(IF(O62="C",1,0),IF(Q62="C",1,0),IF(S62="C",1,0),IF(U62="C",1,0),IF(W62="C",1,0),IF(Y62="C",1,0),IF(AA62="C",1,0),IF(AC62="C",1,0))=1,"C","C")))))</f>
        <v>NC</v>
      </c>
      <c r="AG62" s="150" t="str">
        <f>IF(AND(AE62="C",AF62="C"),"UTILIZOU O PDA CORRETAMENTE",IF(AND(AE62="C",AF62="NC"),"UTILIZOU O PDA CORRETAMENTE. NÃO HÁ FOTOS DE TODAS AS ETAPAS",IF(AND(AE62="NC",AF62="NC"),"NÃO UTILIZOU O PDA",IF(AND(AE62="NA",AF62="NA"),"NÃO AVALIADO POR FALHA DE SINCRONISMO"))))</f>
        <v>NÃO UTILIZOU O PDA</v>
      </c>
      <c r="AH62" s="160" t="s">
        <v>75</v>
      </c>
      <c r="AI62" s="291" t="str">
        <f t="shared" si="0"/>
        <v>SÃO PAULO</v>
      </c>
      <c r="AJ62" s="291" t="s">
        <v>36</v>
      </c>
    </row>
    <row r="63" spans="1:36" s="51" customFormat="1" ht="30" customHeight="1">
      <c r="A63" s="240" t="s">
        <v>198</v>
      </c>
      <c r="B63" s="216">
        <v>2619829652</v>
      </c>
      <c r="C63" s="241" t="s">
        <v>154</v>
      </c>
      <c r="D63" s="241" t="s">
        <v>83</v>
      </c>
      <c r="E63" s="241" t="s">
        <v>35</v>
      </c>
      <c r="F63" s="241" t="s">
        <v>1473</v>
      </c>
      <c r="G63" s="241">
        <v>153</v>
      </c>
      <c r="H63" s="241" t="s">
        <v>200</v>
      </c>
      <c r="I63" s="241" t="s">
        <v>571</v>
      </c>
      <c r="J63" s="241" t="s">
        <v>2837</v>
      </c>
      <c r="K63" s="241" t="s">
        <v>200</v>
      </c>
      <c r="L63" s="241" t="s">
        <v>2858</v>
      </c>
      <c r="M63" s="241" t="s">
        <v>2858</v>
      </c>
      <c r="N63" s="241" t="s">
        <v>2838</v>
      </c>
      <c r="O63" s="151" t="s">
        <v>207</v>
      </c>
      <c r="P63" s="54"/>
      <c r="Q63" s="138" t="s">
        <v>215</v>
      </c>
      <c r="R63" s="54" t="s">
        <v>2842</v>
      </c>
      <c r="S63" s="138" t="s">
        <v>207</v>
      </c>
      <c r="T63" s="54"/>
      <c r="U63" s="138" t="s">
        <v>214</v>
      </c>
      <c r="V63" s="54"/>
      <c r="W63" s="138" t="s">
        <v>207</v>
      </c>
      <c r="X63" s="54"/>
      <c r="Y63" s="138" t="s">
        <v>214</v>
      </c>
      <c r="Z63" s="54"/>
      <c r="AA63" s="138" t="s">
        <v>207</v>
      </c>
      <c r="AB63" s="54"/>
      <c r="AC63" s="138" t="s">
        <v>215</v>
      </c>
      <c r="AD63" s="137" t="s">
        <v>2840</v>
      </c>
      <c r="AE63" s="138" t="s">
        <v>207</v>
      </c>
      <c r="AF63" s="189" t="str">
        <f>IF(AND(O63="",Q63="",S63="",U63="",W63="",Y63="",AA63="",AC63=""),"",
IF(OR(    AND(O63&lt;&gt;"NA",O63&lt;&gt;"C",O63&lt;&gt;"NC",O63&lt;&gt;"SF",O63&lt;&gt;""),
    AND(Q63&lt;&gt;"NA",Q63&lt;&gt;"C",Q63&lt;&gt;"NC",Q63&lt;&gt;"SF",Q63&lt;&gt;""),
    AND(S63&lt;&gt;"NA",S63&lt;&gt;"C",S63&lt;&gt;"NC",S63&lt;&gt;"SF",S63&lt;&gt;""),
    AND(U63&lt;&gt;"NA",U63&lt;&gt;"C",U63&lt;&gt;"NC",U63&lt;&gt;"SF",U63&lt;&gt;""),
    AND(W63&lt;&gt;"NA",W63&lt;&gt;"C",W63&lt;&gt;"NC",W63&lt;&gt;"SF",W63&lt;&gt;""),
    AND(Y63&lt;&gt;"NA",Y63&lt;&gt;"C",Y63&lt;&gt;"NC",Y63&lt;&gt;"SF",Y63&lt;&gt;""),
    AND(AA63&lt;&gt;"NA",AA63&lt;&gt;"C",AA63&lt;&gt;"NC",AA63&lt;&gt;"SF",AA63&lt;&gt;""),
    AND(AC63&lt;&gt;"NA",AC63&lt;&gt;"C",AC63&lt;&gt;"NC",AC63&lt;&gt;"SF",AC63&lt;&gt;"")
),"FALSO",
IF(AND(O63="NA",Q63="NA",S63="NA",U63="NA",W63="NA",Y63="NA",AA63="NA",AC63="NA"),"NA",
IF(OR(O63="NC",Q63="NC",S63="NC",U63="NC",W63="NC",Y63="NC",AA63="NC",AC63="NC",
       O63="SF",Q63="SF",S63="SF",U63="SF",W63="SF",Y63="SF",AA63="SF",AC63="SF"),"NC",
IF(SUM(IF(O63="C",1,0),IF(Q63="C",1,0),IF(S63="C",1,0),IF(U63="C",1,0),IF(W63="C",1,0),IF(Y63="C",1,0),IF(AA63="C",1,0),IF(AC63="C",1,0))=1,"C","C")))))</f>
        <v>NC</v>
      </c>
      <c r="AG63" s="150" t="str">
        <f>IF(AND(AE63="C",AF63="C"),"UTILIZOU O PDA CORRETAMENTE",IF(AND(AE63="C",AF63="NC"),"UTILIZOU O PDA CORRETAMENTE. NÃO HÁ FOTOS DE TODAS AS ETAPAS",IF(AND(AE63="NC",AF63="NC"),"NÃO UTILIZOU O PDA",IF(AND(AE63="NA",AF63="NA"),"NÃO AVALIADO POR FALHA DE SINCRONISMO"))))</f>
        <v>UTILIZOU O PDA CORRETAMENTE. NÃO HÁ FOTOS DE TODAS AS ETAPAS</v>
      </c>
      <c r="AH63" s="160" t="s">
        <v>75</v>
      </c>
      <c r="AI63" s="291" t="str">
        <f t="shared" si="0"/>
        <v>SÃO PAULO</v>
      </c>
      <c r="AJ63" s="291" t="s">
        <v>36</v>
      </c>
    </row>
    <row r="64" spans="1:36" s="51" customFormat="1" ht="30" customHeight="1">
      <c r="A64" s="240" t="s">
        <v>198</v>
      </c>
      <c r="B64" s="216">
        <v>2620125644</v>
      </c>
      <c r="C64" s="241" t="s">
        <v>154</v>
      </c>
      <c r="D64" s="241" t="s">
        <v>83</v>
      </c>
      <c r="E64" s="241" t="s">
        <v>35</v>
      </c>
      <c r="F64" s="241" t="s">
        <v>1664</v>
      </c>
      <c r="G64" s="241">
        <v>0</v>
      </c>
      <c r="H64" s="241" t="s">
        <v>200</v>
      </c>
      <c r="I64" s="241" t="s">
        <v>271</v>
      </c>
      <c r="J64" s="241" t="s">
        <v>2837</v>
      </c>
      <c r="K64" s="241" t="s">
        <v>200</v>
      </c>
      <c r="L64" s="241" t="s">
        <v>908</v>
      </c>
      <c r="M64" s="241" t="s">
        <v>2859</v>
      </c>
      <c r="N64" s="241" t="s">
        <v>2838</v>
      </c>
      <c r="O64" s="151" t="s">
        <v>207</v>
      </c>
      <c r="P64" s="54"/>
      <c r="Q64" s="138" t="s">
        <v>215</v>
      </c>
      <c r="R64" s="54" t="s">
        <v>2842</v>
      </c>
      <c r="S64" s="138" t="s">
        <v>207</v>
      </c>
      <c r="T64" s="54"/>
      <c r="U64" s="138" t="s">
        <v>214</v>
      </c>
      <c r="V64" s="54"/>
      <c r="W64" s="138" t="s">
        <v>214</v>
      </c>
      <c r="X64" s="54"/>
      <c r="Y64" s="138" t="s">
        <v>214</v>
      </c>
      <c r="Z64" s="54"/>
      <c r="AA64" s="138" t="s">
        <v>207</v>
      </c>
      <c r="AB64" s="149"/>
      <c r="AC64" s="138" t="s">
        <v>215</v>
      </c>
      <c r="AD64" s="137" t="s">
        <v>2840</v>
      </c>
      <c r="AE64" s="138" t="s">
        <v>207</v>
      </c>
      <c r="AF64" s="189" t="str">
        <f>IF(AND(O64="",Q64="",S64="",U64="",W64="",Y64="",AA64="",AC64=""),"",
IF(OR(    AND(O64&lt;&gt;"NA",O64&lt;&gt;"C",O64&lt;&gt;"NC",O64&lt;&gt;"SF",O64&lt;&gt;""),
    AND(Q64&lt;&gt;"NA",Q64&lt;&gt;"C",Q64&lt;&gt;"NC",Q64&lt;&gt;"SF",Q64&lt;&gt;""),
    AND(S64&lt;&gt;"NA",S64&lt;&gt;"C",S64&lt;&gt;"NC",S64&lt;&gt;"SF",S64&lt;&gt;""),
    AND(U64&lt;&gt;"NA",U64&lt;&gt;"C",U64&lt;&gt;"NC",U64&lt;&gt;"SF",U64&lt;&gt;""),
    AND(W64&lt;&gt;"NA",W64&lt;&gt;"C",W64&lt;&gt;"NC",W64&lt;&gt;"SF",W64&lt;&gt;""),
    AND(Y64&lt;&gt;"NA",Y64&lt;&gt;"C",Y64&lt;&gt;"NC",Y64&lt;&gt;"SF",Y64&lt;&gt;""),
    AND(AA64&lt;&gt;"NA",AA64&lt;&gt;"C",AA64&lt;&gt;"NC",AA64&lt;&gt;"SF",AA64&lt;&gt;""),
    AND(AC64&lt;&gt;"NA",AC64&lt;&gt;"C",AC64&lt;&gt;"NC",AC64&lt;&gt;"SF",AC64&lt;&gt;"")
),"FALSO",
IF(AND(O64="NA",Q64="NA",S64="NA",U64="NA",W64="NA",Y64="NA",AA64="NA",AC64="NA"),"NA",
IF(OR(O64="NC",Q64="NC",S64="NC",U64="NC",W64="NC",Y64="NC",AA64="NC",AC64="NC",
       O64="SF",Q64="SF",S64="SF",U64="SF",W64="SF",Y64="SF",AA64="SF",AC64="SF"),"NC",
IF(SUM(IF(O64="C",1,0),IF(Q64="C",1,0),IF(S64="C",1,0),IF(U64="C",1,0),IF(W64="C",1,0),IF(Y64="C",1,0),IF(AA64="C",1,0),IF(AC64="C",1,0))=1,"C","C")))))</f>
        <v>NC</v>
      </c>
      <c r="AG64" s="150" t="str">
        <f>IF(AND(AE64="C",AF64="C"),"UTILIZOU O PDA CORRETAMENTE",IF(AND(AE64="C",AF64="NC"),"UTILIZOU O PDA CORRETAMENTE. NÃO HÁ FOTOS DE TODAS AS ETAPAS",IF(AND(AE64="NC",AF64="NC"),"NÃO UTILIZOU O PDA",IF(AND(AE64="NA",AF64="NA"),"NÃO AVALIADO POR FALHA DE SINCRONISMO"))))</f>
        <v>UTILIZOU O PDA CORRETAMENTE. NÃO HÁ FOTOS DE TODAS AS ETAPAS</v>
      </c>
      <c r="AH64" s="160" t="s">
        <v>75</v>
      </c>
      <c r="AI64" s="291" t="str">
        <f t="shared" si="0"/>
        <v>SÃO PAULO</v>
      </c>
      <c r="AJ64" s="291" t="s">
        <v>36</v>
      </c>
    </row>
    <row r="65" spans="1:37" ht="30" customHeight="1">
      <c r="A65" s="238" t="s">
        <v>198</v>
      </c>
      <c r="B65" s="309">
        <v>2620360066</v>
      </c>
      <c r="C65" s="239" t="s">
        <v>154</v>
      </c>
      <c r="D65" s="239" t="s">
        <v>83</v>
      </c>
      <c r="E65" s="239" t="s">
        <v>35</v>
      </c>
      <c r="F65" s="239" t="s">
        <v>1473</v>
      </c>
      <c r="G65" s="239">
        <v>133</v>
      </c>
      <c r="H65" s="239" t="s">
        <v>208</v>
      </c>
      <c r="I65" s="239" t="s">
        <v>571</v>
      </c>
      <c r="J65" s="239" t="s">
        <v>2837</v>
      </c>
      <c r="K65" s="154" t="s">
        <v>200</v>
      </c>
      <c r="L65" s="154" t="s">
        <v>1728</v>
      </c>
      <c r="M65" s="154" t="s">
        <v>1729</v>
      </c>
      <c r="N65" s="154" t="s">
        <v>2838</v>
      </c>
      <c r="O65" s="151" t="s">
        <v>77</v>
      </c>
      <c r="P65" s="54"/>
      <c r="Q65" s="138" t="s">
        <v>77</v>
      </c>
      <c r="R65" s="54"/>
      <c r="S65" s="138" t="s">
        <v>77</v>
      </c>
      <c r="T65" s="54"/>
      <c r="U65" s="138" t="s">
        <v>77</v>
      </c>
      <c r="V65" s="54"/>
      <c r="W65" s="138" t="s">
        <v>77</v>
      </c>
      <c r="X65" s="54"/>
      <c r="Y65" s="138" t="s">
        <v>77</v>
      </c>
      <c r="Z65" s="54"/>
      <c r="AA65" s="138" t="s">
        <v>77</v>
      </c>
      <c r="AB65" s="54"/>
      <c r="AC65" s="138" t="s">
        <v>77</v>
      </c>
      <c r="AD65" s="54"/>
      <c r="AE65" s="138" t="s">
        <v>77</v>
      </c>
      <c r="AF65" s="189" t="str">
        <f>IF(AND(O65="",Q65="",S65="",U65="",W65="",Y65="",AA65="",AC65=""),"",
IF(OR(    AND(O65&lt;&gt;"NA",O65&lt;&gt;"C",O65&lt;&gt;"NC",O65&lt;&gt;"SF",O65&lt;&gt;""),
    AND(Q65&lt;&gt;"NA",Q65&lt;&gt;"C",Q65&lt;&gt;"NC",Q65&lt;&gt;"SF",Q65&lt;&gt;""),
    AND(S65&lt;&gt;"NA",S65&lt;&gt;"C",S65&lt;&gt;"NC",S65&lt;&gt;"SF",S65&lt;&gt;""),
    AND(U65&lt;&gt;"NA",U65&lt;&gt;"C",U65&lt;&gt;"NC",U65&lt;&gt;"SF",U65&lt;&gt;""),
    AND(W65&lt;&gt;"NA",W65&lt;&gt;"C",W65&lt;&gt;"NC",W65&lt;&gt;"SF",W65&lt;&gt;""),
    AND(Y65&lt;&gt;"NA",Y65&lt;&gt;"C",Y65&lt;&gt;"NC",Y65&lt;&gt;"SF",Y65&lt;&gt;""),
    AND(AA65&lt;&gt;"NA",AA65&lt;&gt;"C",AA65&lt;&gt;"NC",AA65&lt;&gt;"SF",AA65&lt;&gt;""),
    AND(AC65&lt;&gt;"NA",AC65&lt;&gt;"C",AC65&lt;&gt;"NC",AC65&lt;&gt;"SF",AC65&lt;&gt;"")
),"FALSO",
IF(AND(O65="NA",Q65="NA",S65="NA",U65="NA",W65="NA",Y65="NA",AA65="NA",AC65="NA"),"NA",
IF(OR(O65="NC",Q65="NC",S65="NC",U65="NC",W65="NC",Y65="NC",AA65="NC",AC65="NC",
       O65="SF",Q65="SF",S65="SF",U65="SF",W65="SF",Y65="SF",AA65="SF",AC65="SF"),"NC",
IF(SUM(IF(O65="C",1,0),IF(Q65="C",1,0),IF(S65="C",1,0),IF(U65="C",1,0),IF(W65="C",1,0),IF(Y65="C",1,0),IF(AA65="C",1,0),IF(AC65="C",1,0))=1,"C","C")))))</f>
        <v>NA</v>
      </c>
      <c r="AG65" s="304" t="str">
        <f>IF(AND(AE65="C",AF65="C"),"UTILIZOU O PDA CORRETAMENTE",IF(AND(AE65="C",AF65="NC"),"UTILIZOU O PDA CORRETAMENTE. NÃO HÁ FOTOS DE TODAS AS ETAPAS",IF(AND(AE65="NC",AF65="NC"),"NÃO UTILIZOU O PDA",IF(AND(AE65="NA",AF65="NA"),"NÃO AVALIADO POR FALHA DE SINCRONISMO"))))</f>
        <v>NÃO AVALIADO POR FALHA DE SINCRONISMO</v>
      </c>
      <c r="AH65" s="160" t="s">
        <v>75</v>
      </c>
      <c r="AI65" s="145" t="str">
        <f t="shared" si="0"/>
        <v>SÃO PAULO</v>
      </c>
      <c r="AJ65" s="145" t="s">
        <v>36</v>
      </c>
      <c r="AK65" s="51"/>
    </row>
    <row r="66" spans="1:37" ht="30" customHeight="1">
      <c r="A66" s="238" t="s">
        <v>198</v>
      </c>
      <c r="B66" s="309">
        <v>2620125512</v>
      </c>
      <c r="C66" s="239" t="s">
        <v>154</v>
      </c>
      <c r="D66" s="239" t="s">
        <v>83</v>
      </c>
      <c r="E66" s="239" t="s">
        <v>35</v>
      </c>
      <c r="F66" s="239" t="s">
        <v>1664</v>
      </c>
      <c r="G66" s="239">
        <v>126</v>
      </c>
      <c r="H66" s="239" t="s">
        <v>200</v>
      </c>
      <c r="I66" s="239" t="s">
        <v>392</v>
      </c>
      <c r="J66" s="239" t="s">
        <v>2837</v>
      </c>
      <c r="K66" s="154" t="s">
        <v>200</v>
      </c>
      <c r="L66" s="154" t="s">
        <v>2332</v>
      </c>
      <c r="M66" s="154" t="s">
        <v>2860</v>
      </c>
      <c r="N66" s="154" t="s">
        <v>2838</v>
      </c>
      <c r="O66" s="151" t="s">
        <v>214</v>
      </c>
      <c r="P66" s="54"/>
      <c r="Q66" s="138" t="s">
        <v>215</v>
      </c>
      <c r="R66" s="54"/>
      <c r="S66" s="138" t="s">
        <v>207</v>
      </c>
      <c r="T66" s="54"/>
      <c r="U66" s="138" t="s">
        <v>214</v>
      </c>
      <c r="V66" s="54"/>
      <c r="W66" s="138" t="s">
        <v>207</v>
      </c>
      <c r="X66" s="54"/>
      <c r="Y66" s="138" t="s">
        <v>214</v>
      </c>
      <c r="Z66" s="54"/>
      <c r="AA66" s="138" t="s">
        <v>207</v>
      </c>
      <c r="AB66" s="54"/>
      <c r="AC66" s="138" t="s">
        <v>215</v>
      </c>
      <c r="AD66" s="54" t="s">
        <v>1545</v>
      </c>
      <c r="AE66" s="138" t="s">
        <v>207</v>
      </c>
      <c r="AF66" s="189" t="str">
        <f>IF(AND(O66="",Q66="",S66="",U66="",W66="",Y66="",AA66="",AC66=""),"",
IF(OR(    AND(O66&lt;&gt;"NA",O66&lt;&gt;"C",O66&lt;&gt;"NC",O66&lt;&gt;"SF",O66&lt;&gt;""),
    AND(Q66&lt;&gt;"NA",Q66&lt;&gt;"C",Q66&lt;&gt;"NC",Q66&lt;&gt;"SF",Q66&lt;&gt;""),
    AND(S66&lt;&gt;"NA",S66&lt;&gt;"C",S66&lt;&gt;"NC",S66&lt;&gt;"SF",S66&lt;&gt;""),
    AND(U66&lt;&gt;"NA",U66&lt;&gt;"C",U66&lt;&gt;"NC",U66&lt;&gt;"SF",U66&lt;&gt;""),
    AND(W66&lt;&gt;"NA",W66&lt;&gt;"C",W66&lt;&gt;"NC",W66&lt;&gt;"SF",W66&lt;&gt;""),
    AND(Y66&lt;&gt;"NA",Y66&lt;&gt;"C",Y66&lt;&gt;"NC",Y66&lt;&gt;"SF",Y66&lt;&gt;""),
    AND(AA66&lt;&gt;"NA",AA66&lt;&gt;"C",AA66&lt;&gt;"NC",AA66&lt;&gt;"SF",AA66&lt;&gt;""),
    AND(AC66&lt;&gt;"NA",AC66&lt;&gt;"C",AC66&lt;&gt;"NC",AC66&lt;&gt;"SF",AC66&lt;&gt;"")
),"FALSO",
IF(AND(O66="NA",Q66="NA",S66="NA",U66="NA",W66="NA",Y66="NA",AA66="NA",AC66="NA"),"NA",
IF(OR(O66="NC",Q66="NC",S66="NC",U66="NC",W66="NC",Y66="NC",AA66="NC",AC66="NC",
       O66="SF",Q66="SF",S66="SF",U66="SF",W66="SF",Y66="SF",AA66="SF",AC66="SF"),"NC",
IF(SUM(IF(O66="C",1,0),IF(Q66="C",1,0),IF(S66="C",1,0),IF(U66="C",1,0),IF(W66="C",1,0),IF(Y66="C",1,0),IF(AA66="C",1,0),IF(AC66="C",1,0))=1,"C","C")))))</f>
        <v>NC</v>
      </c>
      <c r="AG66" s="304" t="str">
        <f>IF(AND(AE66="C",AF66="C"),"UTILIZOU O PDA CORRETAMENTE",IF(AND(AE66="C",AF66="NC"),"UTILIZOU O PDA CORRETAMENTE. NÃO HÁ FOTOS DE TODAS AS ETAPAS",IF(AND(AE66="NC",AF66="NC"),"NÃO UTILIZOU O PDA",IF(AND(AE66="NA",AF66="NA"),"NÃO AVALIADO POR FALHA DE SINCRONISMO"))))</f>
        <v>UTILIZOU O PDA CORRETAMENTE. NÃO HÁ FOTOS DE TODAS AS ETAPAS</v>
      </c>
      <c r="AH66" s="160" t="s">
        <v>75</v>
      </c>
      <c r="AI66" s="145" t="str">
        <f t="shared" si="0"/>
        <v>SÃO PAULO</v>
      </c>
      <c r="AJ66" s="145" t="s">
        <v>36</v>
      </c>
      <c r="AK66" s="51"/>
    </row>
    <row r="67" spans="1:37" ht="30" customHeight="1">
      <c r="A67" s="240" t="s">
        <v>198</v>
      </c>
      <c r="B67" s="310">
        <v>2619940088</v>
      </c>
      <c r="C67" s="241" t="s">
        <v>154</v>
      </c>
      <c r="D67" s="241" t="s">
        <v>83</v>
      </c>
      <c r="E67" s="241" t="s">
        <v>35</v>
      </c>
      <c r="F67" s="241" t="s">
        <v>703</v>
      </c>
      <c r="G67" s="241">
        <v>0</v>
      </c>
      <c r="H67" s="241" t="s">
        <v>200</v>
      </c>
      <c r="I67" s="241" t="s">
        <v>241</v>
      </c>
      <c r="J67" s="241" t="s">
        <v>2837</v>
      </c>
      <c r="K67" s="155" t="s">
        <v>200</v>
      </c>
      <c r="L67" s="155" t="s">
        <v>2861</v>
      </c>
      <c r="M67" s="155" t="s">
        <v>2861</v>
      </c>
      <c r="N67" s="155" t="s">
        <v>2838</v>
      </c>
      <c r="O67" s="151" t="s">
        <v>77</v>
      </c>
      <c r="P67" s="54"/>
      <c r="Q67" s="138" t="s">
        <v>77</v>
      </c>
      <c r="R67" s="54"/>
      <c r="S67" s="138" t="s">
        <v>77</v>
      </c>
      <c r="T67" s="54"/>
      <c r="U67" s="138" t="s">
        <v>77</v>
      </c>
      <c r="V67" s="54"/>
      <c r="W67" s="138" t="s">
        <v>77</v>
      </c>
      <c r="X67" s="54"/>
      <c r="Y67" s="138" t="s">
        <v>77</v>
      </c>
      <c r="Z67" s="54"/>
      <c r="AA67" s="138" t="s">
        <v>77</v>
      </c>
      <c r="AB67" s="149"/>
      <c r="AC67" s="138" t="s">
        <v>77</v>
      </c>
      <c r="AD67" s="149"/>
      <c r="AE67" s="138" t="s">
        <v>77</v>
      </c>
      <c r="AF67" s="189" t="str">
        <f>IF(AND(O67="",Q67="",S67="",U67="",W67="",Y67="",AA67="",AC67=""),"",
IF(OR(    AND(O67&lt;&gt;"NA",O67&lt;&gt;"C",O67&lt;&gt;"NC",O67&lt;&gt;"SF",O67&lt;&gt;""),
    AND(Q67&lt;&gt;"NA",Q67&lt;&gt;"C",Q67&lt;&gt;"NC",Q67&lt;&gt;"SF",Q67&lt;&gt;""),
    AND(S67&lt;&gt;"NA",S67&lt;&gt;"C",S67&lt;&gt;"NC",S67&lt;&gt;"SF",S67&lt;&gt;""),
    AND(U67&lt;&gt;"NA",U67&lt;&gt;"C",U67&lt;&gt;"NC",U67&lt;&gt;"SF",U67&lt;&gt;""),
    AND(W67&lt;&gt;"NA",W67&lt;&gt;"C",W67&lt;&gt;"NC",W67&lt;&gt;"SF",W67&lt;&gt;""),
    AND(Y67&lt;&gt;"NA",Y67&lt;&gt;"C",Y67&lt;&gt;"NC",Y67&lt;&gt;"SF",Y67&lt;&gt;""),
    AND(AA67&lt;&gt;"NA",AA67&lt;&gt;"C",AA67&lt;&gt;"NC",AA67&lt;&gt;"SF",AA67&lt;&gt;""),
    AND(AC67&lt;&gt;"NA",AC67&lt;&gt;"C",AC67&lt;&gt;"NC",AC67&lt;&gt;"SF",AC67&lt;&gt;"")
),"FALSO",
IF(AND(O67="NA",Q67="NA",S67="NA",U67="NA",W67="NA",Y67="NA",AA67="NA",AC67="NA"),"NA",
IF(OR(O67="NC",Q67="NC",S67="NC",U67="NC",W67="NC",Y67="NC",AA67="NC",AC67="NC",
       O67="SF",Q67="SF",S67="SF",U67="SF",W67="SF",Y67="SF",AA67="SF",AC67="SF"),"NC",
IF(SUM(IF(O67="C",1,0),IF(Q67="C",1,0),IF(S67="C",1,0),IF(U67="C",1,0),IF(W67="C",1,0),IF(Y67="C",1,0),IF(AA67="C",1,0),IF(AC67="C",1,0))=1,"C","C")))))</f>
        <v>NA</v>
      </c>
      <c r="AG67" s="304" t="str">
        <f>IF(AND(AE67="C",AF67="C"),"UTILIZOU O PDA CORRETAMENTE",IF(AND(AE67="C",AF67="NC"),"UTILIZOU O PDA CORRETAMENTE. NÃO HÁ FOTOS DE TODAS AS ETAPAS",IF(AND(AE67="NC",AF67="NC"),"NÃO UTILIZOU O PDA",IF(AND(AE67="NA",AF67="NA"),"NÃO AVALIADO POR FALHA DE SINCRONISMO"))))</f>
        <v>NÃO AVALIADO POR FALHA DE SINCRONISMO</v>
      </c>
      <c r="AH67" s="160" t="s">
        <v>75</v>
      </c>
      <c r="AI67" s="145" t="str">
        <f t="shared" ref="AI67:AI119" si="1">E67</f>
        <v>SÃO PAULO</v>
      </c>
      <c r="AJ67" s="145" t="s">
        <v>36</v>
      </c>
      <c r="AK67" s="51"/>
    </row>
    <row r="68" spans="1:37" ht="30" customHeight="1">
      <c r="A68" s="240" t="s">
        <v>198</v>
      </c>
      <c r="B68" s="310">
        <v>2620322846</v>
      </c>
      <c r="C68" s="241" t="s">
        <v>155</v>
      </c>
      <c r="D68" s="241" t="s">
        <v>83</v>
      </c>
      <c r="E68" s="241" t="s">
        <v>35</v>
      </c>
      <c r="F68" s="241" t="s">
        <v>903</v>
      </c>
      <c r="G68" s="241">
        <v>38</v>
      </c>
      <c r="H68" s="241" t="s">
        <v>208</v>
      </c>
      <c r="I68" s="241" t="s">
        <v>371</v>
      </c>
      <c r="J68" s="241" t="s">
        <v>2839</v>
      </c>
      <c r="K68" s="155" t="s">
        <v>200</v>
      </c>
      <c r="L68" s="155" t="s">
        <v>971</v>
      </c>
      <c r="M68" s="155" t="s">
        <v>971</v>
      </c>
      <c r="N68" s="155" t="s">
        <v>2838</v>
      </c>
      <c r="O68" s="151" t="s">
        <v>207</v>
      </c>
      <c r="P68" s="54"/>
      <c r="Q68" s="138" t="s">
        <v>215</v>
      </c>
      <c r="R68" s="54" t="s">
        <v>2842</v>
      </c>
      <c r="S68" s="138" t="s">
        <v>207</v>
      </c>
      <c r="T68" s="54"/>
      <c r="U68" s="138" t="s">
        <v>214</v>
      </c>
      <c r="V68" s="54"/>
      <c r="W68" s="138" t="s">
        <v>207</v>
      </c>
      <c r="X68" s="54"/>
      <c r="Y68" s="138" t="s">
        <v>214</v>
      </c>
      <c r="Z68" s="54"/>
      <c r="AA68" s="138" t="s">
        <v>214</v>
      </c>
      <c r="AB68" s="149"/>
      <c r="AC68" s="138" t="s">
        <v>215</v>
      </c>
      <c r="AD68" s="149" t="s">
        <v>1545</v>
      </c>
      <c r="AE68" s="138" t="s">
        <v>207</v>
      </c>
      <c r="AF68" s="189" t="str">
        <f>IF(AND(O68="",Q68="",S68="",U68="",W68="",Y68="",AA68="",AC68=""),"",
IF(OR(    AND(O68&lt;&gt;"NA",O68&lt;&gt;"C",O68&lt;&gt;"NC",O68&lt;&gt;"SF",O68&lt;&gt;""),
    AND(Q68&lt;&gt;"NA",Q68&lt;&gt;"C",Q68&lt;&gt;"NC",Q68&lt;&gt;"SF",Q68&lt;&gt;""),
    AND(S68&lt;&gt;"NA",S68&lt;&gt;"C",S68&lt;&gt;"NC",S68&lt;&gt;"SF",S68&lt;&gt;""),
    AND(U68&lt;&gt;"NA",U68&lt;&gt;"C",U68&lt;&gt;"NC",U68&lt;&gt;"SF",U68&lt;&gt;""),
    AND(W68&lt;&gt;"NA",W68&lt;&gt;"C",W68&lt;&gt;"NC",W68&lt;&gt;"SF",W68&lt;&gt;""),
    AND(Y68&lt;&gt;"NA",Y68&lt;&gt;"C",Y68&lt;&gt;"NC",Y68&lt;&gt;"SF",Y68&lt;&gt;""),
    AND(AA68&lt;&gt;"NA",AA68&lt;&gt;"C",AA68&lt;&gt;"NC",AA68&lt;&gt;"SF",AA68&lt;&gt;""),
    AND(AC68&lt;&gt;"NA",AC68&lt;&gt;"C",AC68&lt;&gt;"NC",AC68&lt;&gt;"SF",AC68&lt;&gt;"")
),"FALSO",
IF(AND(O68="NA",Q68="NA",S68="NA",U68="NA",W68="NA",Y68="NA",AA68="NA",AC68="NA"),"NA",
IF(OR(O68="NC",Q68="NC",S68="NC",U68="NC",W68="NC",Y68="NC",AA68="NC",AC68="NC",
       O68="SF",Q68="SF",S68="SF",U68="SF",W68="SF",Y68="SF",AA68="SF",AC68="SF"),"NC",
IF(SUM(IF(O68="C",1,0),IF(Q68="C",1,0),IF(S68="C",1,0),IF(U68="C",1,0),IF(W68="C",1,0),IF(Y68="C",1,0),IF(AA68="C",1,0),IF(AC68="C",1,0))=1,"C","C")))))</f>
        <v>NC</v>
      </c>
      <c r="AG68" s="304" t="str">
        <f>IF(AND(AE68="C",AF68="C"),"UTILIZOU O PDA CORRETAMENTE",IF(AND(AE68="C",AF68="NC"),"UTILIZOU O PDA CORRETAMENTE. NÃO HÁ FOTOS DE TODAS AS ETAPAS",IF(AND(AE68="NC",AF68="NC"),"NÃO UTILIZOU O PDA",IF(AND(AE68="NA",AF68="NA"),"NÃO AVALIADO POR FALHA DE SINCRONISMO"))))</f>
        <v>UTILIZOU O PDA CORRETAMENTE. NÃO HÁ FOTOS DE TODAS AS ETAPAS</v>
      </c>
      <c r="AH68" s="60" t="s">
        <v>54</v>
      </c>
      <c r="AI68" s="145" t="str">
        <f t="shared" si="1"/>
        <v>SÃO PAULO</v>
      </c>
      <c r="AJ68" s="145" t="s">
        <v>36</v>
      </c>
      <c r="AK68" s="51"/>
    </row>
    <row r="69" spans="1:37" ht="30" customHeight="1">
      <c r="A69" s="240" t="s">
        <v>198</v>
      </c>
      <c r="B69" s="310">
        <v>2619163738</v>
      </c>
      <c r="C69" s="241" t="s">
        <v>154</v>
      </c>
      <c r="D69" s="241" t="s">
        <v>83</v>
      </c>
      <c r="E69" s="241" t="s">
        <v>35</v>
      </c>
      <c r="F69" s="241" t="s">
        <v>694</v>
      </c>
      <c r="G69" s="241">
        <v>1162</v>
      </c>
      <c r="H69" s="241" t="s">
        <v>208</v>
      </c>
      <c r="I69" s="241" t="s">
        <v>293</v>
      </c>
      <c r="J69" s="241" t="s">
        <v>2837</v>
      </c>
      <c r="K69" s="155" t="s">
        <v>200</v>
      </c>
      <c r="L69" s="155" t="s">
        <v>952</v>
      </c>
      <c r="M69" s="155" t="s">
        <v>2862</v>
      </c>
      <c r="N69" s="155" t="s">
        <v>2838</v>
      </c>
      <c r="O69" s="151" t="s">
        <v>207</v>
      </c>
      <c r="P69" s="54"/>
      <c r="Q69" s="138" t="s">
        <v>215</v>
      </c>
      <c r="R69" s="54" t="s">
        <v>2863</v>
      </c>
      <c r="S69" s="138" t="s">
        <v>207</v>
      </c>
      <c r="T69" s="54"/>
      <c r="U69" s="138" t="s">
        <v>214</v>
      </c>
      <c r="V69" s="54"/>
      <c r="W69" s="138" t="s">
        <v>207</v>
      </c>
      <c r="X69" s="54"/>
      <c r="Y69" s="138" t="s">
        <v>214</v>
      </c>
      <c r="Z69" s="54"/>
      <c r="AA69" s="138" t="s">
        <v>207</v>
      </c>
      <c r="AB69" s="149"/>
      <c r="AC69" s="138" t="s">
        <v>215</v>
      </c>
      <c r="AD69" s="149" t="s">
        <v>1545</v>
      </c>
      <c r="AE69" s="138" t="s">
        <v>207</v>
      </c>
      <c r="AF69" s="189" t="str">
        <f>IF(AND(O69="",Q69="",S69="",U69="",W69="",Y69="",AA69="",AC69=""),"",
IF(OR(    AND(O69&lt;&gt;"NA",O69&lt;&gt;"C",O69&lt;&gt;"NC",O69&lt;&gt;"SF",O69&lt;&gt;""),
    AND(Q69&lt;&gt;"NA",Q69&lt;&gt;"C",Q69&lt;&gt;"NC",Q69&lt;&gt;"SF",Q69&lt;&gt;""),
    AND(S69&lt;&gt;"NA",S69&lt;&gt;"C",S69&lt;&gt;"NC",S69&lt;&gt;"SF",S69&lt;&gt;""),
    AND(U69&lt;&gt;"NA",U69&lt;&gt;"C",U69&lt;&gt;"NC",U69&lt;&gt;"SF",U69&lt;&gt;""),
    AND(W69&lt;&gt;"NA",W69&lt;&gt;"C",W69&lt;&gt;"NC",W69&lt;&gt;"SF",W69&lt;&gt;""),
    AND(Y69&lt;&gt;"NA",Y69&lt;&gt;"C",Y69&lt;&gt;"NC",Y69&lt;&gt;"SF",Y69&lt;&gt;""),
    AND(AA69&lt;&gt;"NA",AA69&lt;&gt;"C",AA69&lt;&gt;"NC",AA69&lt;&gt;"SF",AA69&lt;&gt;""),
    AND(AC69&lt;&gt;"NA",AC69&lt;&gt;"C",AC69&lt;&gt;"NC",AC69&lt;&gt;"SF",AC69&lt;&gt;"")
),"FALSO",
IF(AND(O69="NA",Q69="NA",S69="NA",U69="NA",W69="NA",Y69="NA",AA69="NA",AC69="NA"),"NA",
IF(OR(O69="NC",Q69="NC",S69="NC",U69="NC",W69="NC",Y69="NC",AA69="NC",AC69="NC",
       O69="SF",Q69="SF",S69="SF",U69="SF",W69="SF",Y69="SF",AA69="SF",AC69="SF"),"NC",
IF(SUM(IF(O69="C",1,0),IF(Q69="C",1,0),IF(S69="C",1,0),IF(U69="C",1,0),IF(W69="C",1,0),IF(Y69="C",1,0),IF(AA69="C",1,0),IF(AC69="C",1,0))=1,"C","C")))))</f>
        <v>NC</v>
      </c>
      <c r="AG69" s="304" t="str">
        <f>IF(AND(AE69="C",AF69="C"),"UTILIZOU O PDA CORRETAMENTE",IF(AND(AE69="C",AF69="NC"),"UTILIZOU O PDA CORRETAMENTE. NÃO HÁ FOTOS DE TODAS AS ETAPAS",IF(AND(AE69="NC",AF69="NC"),"NÃO UTILIZOU O PDA",IF(AND(AE69="NA",AF69="NA"),"NÃO AVALIADO POR FALHA DE SINCRONISMO"))))</f>
        <v>UTILIZOU O PDA CORRETAMENTE. NÃO HÁ FOTOS DE TODAS AS ETAPAS</v>
      </c>
      <c r="AH69" s="160" t="s">
        <v>54</v>
      </c>
      <c r="AI69" s="145" t="str">
        <f t="shared" si="1"/>
        <v>SÃO PAULO</v>
      </c>
      <c r="AJ69" s="145" t="s">
        <v>36</v>
      </c>
      <c r="AK69" s="51"/>
    </row>
    <row r="70" spans="1:37" ht="30" customHeight="1">
      <c r="A70" s="240" t="s">
        <v>198</v>
      </c>
      <c r="B70" s="310">
        <v>2619788749</v>
      </c>
      <c r="C70" s="241" t="s">
        <v>154</v>
      </c>
      <c r="D70" s="241" t="s">
        <v>83</v>
      </c>
      <c r="E70" s="241" t="s">
        <v>35</v>
      </c>
      <c r="F70" s="241" t="s">
        <v>840</v>
      </c>
      <c r="G70" s="241">
        <v>23</v>
      </c>
      <c r="H70" s="241" t="s">
        <v>200</v>
      </c>
      <c r="I70" s="241" t="s">
        <v>371</v>
      </c>
      <c r="J70" s="241" t="s">
        <v>2837</v>
      </c>
      <c r="K70" s="155" t="s">
        <v>200</v>
      </c>
      <c r="L70" s="155" t="s">
        <v>2864</v>
      </c>
      <c r="M70" s="155" t="s">
        <v>2864</v>
      </c>
      <c r="N70" s="155" t="s">
        <v>2838</v>
      </c>
      <c r="O70" s="151" t="s">
        <v>77</v>
      </c>
      <c r="P70" s="54"/>
      <c r="Q70" s="138" t="s">
        <v>77</v>
      </c>
      <c r="R70" s="54"/>
      <c r="S70" s="138" t="s">
        <v>77</v>
      </c>
      <c r="T70" s="54"/>
      <c r="U70" s="138" t="s">
        <v>77</v>
      </c>
      <c r="V70" s="54"/>
      <c r="W70" s="138" t="s">
        <v>77</v>
      </c>
      <c r="X70" s="54"/>
      <c r="Y70" s="138" t="s">
        <v>77</v>
      </c>
      <c r="Z70" s="54"/>
      <c r="AA70" s="138" t="s">
        <v>77</v>
      </c>
      <c r="AB70" s="54"/>
      <c r="AC70" s="138" t="s">
        <v>77</v>
      </c>
      <c r="AD70" s="54"/>
      <c r="AE70" s="138" t="s">
        <v>77</v>
      </c>
      <c r="AF70" s="189" t="str">
        <f>IF(AND(O70="",Q70="",S70="",U70="",W70="",Y70="",AA70="",AC70=""),"",
IF(OR(    AND(O70&lt;&gt;"NA",O70&lt;&gt;"C",O70&lt;&gt;"NC",O70&lt;&gt;"SF",O70&lt;&gt;""),
    AND(Q70&lt;&gt;"NA",Q70&lt;&gt;"C",Q70&lt;&gt;"NC",Q70&lt;&gt;"SF",Q70&lt;&gt;""),
    AND(S70&lt;&gt;"NA",S70&lt;&gt;"C",S70&lt;&gt;"NC",S70&lt;&gt;"SF",S70&lt;&gt;""),
    AND(U70&lt;&gt;"NA",U70&lt;&gt;"C",U70&lt;&gt;"NC",U70&lt;&gt;"SF",U70&lt;&gt;""),
    AND(W70&lt;&gt;"NA",W70&lt;&gt;"C",W70&lt;&gt;"NC",W70&lt;&gt;"SF",W70&lt;&gt;""),
    AND(Y70&lt;&gt;"NA",Y70&lt;&gt;"C",Y70&lt;&gt;"NC",Y70&lt;&gt;"SF",Y70&lt;&gt;""),
    AND(AA70&lt;&gt;"NA",AA70&lt;&gt;"C",AA70&lt;&gt;"NC",AA70&lt;&gt;"SF",AA70&lt;&gt;""),
    AND(AC70&lt;&gt;"NA",AC70&lt;&gt;"C",AC70&lt;&gt;"NC",AC70&lt;&gt;"SF",AC70&lt;&gt;"")
),"FALSO",
IF(AND(O70="NA",Q70="NA",S70="NA",U70="NA",W70="NA",Y70="NA",AA70="NA",AC70="NA"),"NA",
IF(OR(O70="NC",Q70="NC",S70="NC",U70="NC",W70="NC",Y70="NC",AA70="NC",AC70="NC",
       O70="SF",Q70="SF",S70="SF",U70="SF",W70="SF",Y70="SF",AA70="SF",AC70="SF"),"NC",
IF(SUM(IF(O70="C",1,0),IF(Q70="C",1,0),IF(S70="C",1,0),IF(U70="C",1,0),IF(W70="C",1,0),IF(Y70="C",1,0),IF(AA70="C",1,0),IF(AC70="C",1,0))=1,"C","C")))))</f>
        <v>NA</v>
      </c>
      <c r="AG70" s="304" t="str">
        <f>IF(AND(AE70="C",AF70="C"),"UTILIZOU O PDA CORRETAMENTE",IF(AND(AE70="C",AF70="NC"),"UTILIZOU O PDA CORRETAMENTE. NÃO HÁ FOTOS DE TODAS AS ETAPAS",IF(AND(AE70="NC",AF70="NC"),"NÃO UTILIZOU O PDA",IF(AND(AE70="NA",AF70="NA"),"NÃO AVALIADO POR FALHA DE SINCRONISMO"))))</f>
        <v>NÃO AVALIADO POR FALHA DE SINCRONISMO</v>
      </c>
      <c r="AH70" s="160" t="s">
        <v>54</v>
      </c>
      <c r="AI70" s="145" t="str">
        <f t="shared" si="1"/>
        <v>SÃO PAULO</v>
      </c>
      <c r="AJ70" s="145" t="s">
        <v>36</v>
      </c>
      <c r="AK70" s="51"/>
    </row>
    <row r="71" spans="1:37" ht="30" customHeight="1">
      <c r="A71" s="240" t="s">
        <v>198</v>
      </c>
      <c r="B71" s="310">
        <v>2620371253</v>
      </c>
      <c r="C71" s="241" t="s">
        <v>154</v>
      </c>
      <c r="D71" s="241" t="s">
        <v>83</v>
      </c>
      <c r="E71" s="241" t="s">
        <v>35</v>
      </c>
      <c r="F71" s="241" t="s">
        <v>2004</v>
      </c>
      <c r="G71" s="241">
        <v>480</v>
      </c>
      <c r="H71" s="241" t="s">
        <v>200</v>
      </c>
      <c r="I71" s="241" t="s">
        <v>417</v>
      </c>
      <c r="J71" s="241" t="s">
        <v>2837</v>
      </c>
      <c r="K71" s="155" t="s">
        <v>200</v>
      </c>
      <c r="L71" s="155" t="s">
        <v>2865</v>
      </c>
      <c r="M71" s="155" t="s">
        <v>2865</v>
      </c>
      <c r="N71" s="155" t="s">
        <v>2838</v>
      </c>
      <c r="O71" s="151" t="s">
        <v>207</v>
      </c>
      <c r="P71" s="54"/>
      <c r="Q71" s="138" t="s">
        <v>215</v>
      </c>
      <c r="R71" s="54" t="s">
        <v>310</v>
      </c>
      <c r="S71" s="138" t="s">
        <v>207</v>
      </c>
      <c r="T71" s="54"/>
      <c r="U71" s="138" t="s">
        <v>214</v>
      </c>
      <c r="V71" s="54"/>
      <c r="W71" s="138" t="s">
        <v>207</v>
      </c>
      <c r="X71" s="54"/>
      <c r="Y71" s="138" t="s">
        <v>214</v>
      </c>
      <c r="Z71" s="54"/>
      <c r="AA71" s="138" t="s">
        <v>207</v>
      </c>
      <c r="AB71" s="54"/>
      <c r="AC71" s="138" t="s">
        <v>215</v>
      </c>
      <c r="AD71" s="54" t="s">
        <v>1554</v>
      </c>
      <c r="AE71" s="138" t="s">
        <v>207</v>
      </c>
      <c r="AF71" s="189" t="str">
        <f>IF(AND(O71="",Q71="",S71="",U71="",W71="",Y71="",AA71="",AC71=""),"",
IF(OR(    AND(O71&lt;&gt;"NA",O71&lt;&gt;"C",O71&lt;&gt;"NC",O71&lt;&gt;"SF",O71&lt;&gt;""),
    AND(Q71&lt;&gt;"NA",Q71&lt;&gt;"C",Q71&lt;&gt;"NC",Q71&lt;&gt;"SF",Q71&lt;&gt;""),
    AND(S71&lt;&gt;"NA",S71&lt;&gt;"C",S71&lt;&gt;"NC",S71&lt;&gt;"SF",S71&lt;&gt;""),
    AND(U71&lt;&gt;"NA",U71&lt;&gt;"C",U71&lt;&gt;"NC",U71&lt;&gt;"SF",U71&lt;&gt;""),
    AND(W71&lt;&gt;"NA",W71&lt;&gt;"C",W71&lt;&gt;"NC",W71&lt;&gt;"SF",W71&lt;&gt;""),
    AND(Y71&lt;&gt;"NA",Y71&lt;&gt;"C",Y71&lt;&gt;"NC",Y71&lt;&gt;"SF",Y71&lt;&gt;""),
    AND(AA71&lt;&gt;"NA",AA71&lt;&gt;"C",AA71&lt;&gt;"NC",AA71&lt;&gt;"SF",AA71&lt;&gt;""),
    AND(AC71&lt;&gt;"NA",AC71&lt;&gt;"C",AC71&lt;&gt;"NC",AC71&lt;&gt;"SF",AC71&lt;&gt;"")
),"FALSO",
IF(AND(O71="NA",Q71="NA",S71="NA",U71="NA",W71="NA",Y71="NA",AA71="NA",AC71="NA"),"NA",
IF(OR(O71="NC",Q71="NC",S71="NC",U71="NC",W71="NC",Y71="NC",AA71="NC",AC71="NC",
       O71="SF",Q71="SF",S71="SF",U71="SF",W71="SF",Y71="SF",AA71="SF",AC71="SF"),"NC",
IF(SUM(IF(O71="C",1,0),IF(Q71="C",1,0),IF(S71="C",1,0),IF(U71="C",1,0),IF(W71="C",1,0),IF(Y71="C",1,0),IF(AA71="C",1,0),IF(AC71="C",1,0))=1,"C","C")))))</f>
        <v>NC</v>
      </c>
      <c r="AG71" s="304" t="str">
        <f>IF(AND(AE71="C",AF71="C"),"UTILIZOU O PDA CORRETAMENTE",IF(AND(AE71="C",AF71="NC"),"UTILIZOU O PDA CORRETAMENTE. NÃO HÁ FOTOS DE TODAS AS ETAPAS",IF(AND(AE71="NC",AF71="NC"),"NÃO UTILIZOU O PDA",IF(AND(AE71="NA",AF71="NA"),"NÃO AVALIADO POR FALHA DE SINCRONISMO"))))</f>
        <v>UTILIZOU O PDA CORRETAMENTE. NÃO HÁ FOTOS DE TODAS AS ETAPAS</v>
      </c>
      <c r="AH71" s="160"/>
      <c r="AI71" s="145" t="str">
        <f t="shared" si="1"/>
        <v>SÃO PAULO</v>
      </c>
      <c r="AJ71" s="145" t="s">
        <v>36</v>
      </c>
      <c r="AK71" s="51"/>
    </row>
    <row r="72" spans="1:37" ht="30" customHeight="1">
      <c r="A72" s="240" t="s">
        <v>198</v>
      </c>
      <c r="B72" s="310">
        <v>2620383052</v>
      </c>
      <c r="C72" s="241" t="s">
        <v>154</v>
      </c>
      <c r="D72" s="241" t="s">
        <v>83</v>
      </c>
      <c r="E72" s="241" t="s">
        <v>35</v>
      </c>
      <c r="F72" s="241" t="s">
        <v>932</v>
      </c>
      <c r="G72" s="241">
        <v>100</v>
      </c>
      <c r="H72" s="241" t="s">
        <v>872</v>
      </c>
      <c r="I72" s="241" t="s">
        <v>501</v>
      </c>
      <c r="J72" s="241" t="s">
        <v>2837</v>
      </c>
      <c r="K72" s="155" t="s">
        <v>200</v>
      </c>
      <c r="L72" s="155" t="s">
        <v>2866</v>
      </c>
      <c r="M72" s="155" t="s">
        <v>2866</v>
      </c>
      <c r="N72" s="155" t="s">
        <v>2838</v>
      </c>
      <c r="O72" s="157" t="s">
        <v>207</v>
      </c>
      <c r="P72" s="54"/>
      <c r="Q72" s="138" t="s">
        <v>215</v>
      </c>
      <c r="R72" s="54" t="s">
        <v>310</v>
      </c>
      <c r="S72" s="138" t="s">
        <v>207</v>
      </c>
      <c r="T72" s="54"/>
      <c r="U72" s="138" t="s">
        <v>214</v>
      </c>
      <c r="V72" s="54"/>
      <c r="W72" s="138" t="s">
        <v>207</v>
      </c>
      <c r="X72" s="54"/>
      <c r="Y72" s="138" t="s">
        <v>214</v>
      </c>
      <c r="Z72" s="54"/>
      <c r="AA72" s="138" t="s">
        <v>207</v>
      </c>
      <c r="AB72" s="54"/>
      <c r="AC72" s="138" t="s">
        <v>215</v>
      </c>
      <c r="AD72" s="54" t="s">
        <v>1545</v>
      </c>
      <c r="AE72" s="138" t="s">
        <v>207</v>
      </c>
      <c r="AF72" s="189" t="str">
        <f>IF(AND(O72="",Q72="",S72="",U72="",W72="",Y72="",AA72="",AC72=""),"",
IF(OR(    AND(O72&lt;&gt;"NA",O72&lt;&gt;"C",O72&lt;&gt;"NC",O72&lt;&gt;"SF",O72&lt;&gt;""),
    AND(Q72&lt;&gt;"NA",Q72&lt;&gt;"C",Q72&lt;&gt;"NC",Q72&lt;&gt;"SF",Q72&lt;&gt;""),
    AND(S72&lt;&gt;"NA",S72&lt;&gt;"C",S72&lt;&gt;"NC",S72&lt;&gt;"SF",S72&lt;&gt;""),
    AND(U72&lt;&gt;"NA",U72&lt;&gt;"C",U72&lt;&gt;"NC",U72&lt;&gt;"SF",U72&lt;&gt;""),
    AND(W72&lt;&gt;"NA",W72&lt;&gt;"C",W72&lt;&gt;"NC",W72&lt;&gt;"SF",W72&lt;&gt;""),
    AND(Y72&lt;&gt;"NA",Y72&lt;&gt;"C",Y72&lt;&gt;"NC",Y72&lt;&gt;"SF",Y72&lt;&gt;""),
    AND(AA72&lt;&gt;"NA",AA72&lt;&gt;"C",AA72&lt;&gt;"NC",AA72&lt;&gt;"SF",AA72&lt;&gt;""),
    AND(AC72&lt;&gt;"NA",AC72&lt;&gt;"C",AC72&lt;&gt;"NC",AC72&lt;&gt;"SF",AC72&lt;&gt;"")
),"FALSO",
IF(AND(O72="NA",Q72="NA",S72="NA",U72="NA",W72="NA",Y72="NA",AA72="NA",AC72="NA"),"NA",
IF(OR(O72="NC",Q72="NC",S72="NC",U72="NC",W72="NC",Y72="NC",AA72="NC",AC72="NC",
       O72="SF",Q72="SF",S72="SF",U72="SF",W72="SF",Y72="SF",AA72="SF",AC72="SF"),"NC",
IF(SUM(IF(O72="C",1,0),IF(Q72="C",1,0),IF(S72="C",1,0),IF(U72="C",1,0),IF(W72="C",1,0),IF(Y72="C",1,0),IF(AA72="C",1,0),IF(AC72="C",1,0))=1,"C","C")))))</f>
        <v>NC</v>
      </c>
      <c r="AG72" s="304" t="str">
        <f>IF(AND(AE72="C",AF72="C"),"UTILIZOU O PDA CORRETAMENTE",IF(AND(AE72="C",AF72="NC"),"UTILIZOU O PDA CORRETAMENTE. NÃO HÁ FOTOS DE TODAS AS ETAPAS",IF(AND(AE72="NC",AF72="NC"),"NÃO UTILIZOU O PDA",IF(AND(AE72="NA",AF72="NA"),"NÃO AVALIADO POR FALHA DE SINCRONISMO"))))</f>
        <v>UTILIZOU O PDA CORRETAMENTE. NÃO HÁ FOTOS DE TODAS AS ETAPAS</v>
      </c>
      <c r="AH72" s="160"/>
      <c r="AI72" s="145" t="str">
        <f t="shared" si="1"/>
        <v>SÃO PAULO</v>
      </c>
      <c r="AJ72" s="145" t="s">
        <v>36</v>
      </c>
      <c r="AK72" s="51"/>
    </row>
    <row r="73" spans="1:37" ht="30" customHeight="1">
      <c r="A73" s="238" t="s">
        <v>198</v>
      </c>
      <c r="B73" s="309">
        <v>2619938790</v>
      </c>
      <c r="C73" s="239" t="s">
        <v>157</v>
      </c>
      <c r="D73" s="239" t="s">
        <v>83</v>
      </c>
      <c r="E73" s="239" t="s">
        <v>35</v>
      </c>
      <c r="F73" s="239" t="s">
        <v>1211</v>
      </c>
      <c r="G73" s="239">
        <v>6</v>
      </c>
      <c r="H73" s="239" t="s">
        <v>208</v>
      </c>
      <c r="I73" s="239" t="s">
        <v>1212</v>
      </c>
      <c r="J73" s="239" t="s">
        <v>2867</v>
      </c>
      <c r="K73" s="154" t="s">
        <v>2868</v>
      </c>
      <c r="L73" s="154" t="s">
        <v>2869</v>
      </c>
      <c r="M73" s="154" t="s">
        <v>2870</v>
      </c>
      <c r="N73" s="245" t="s">
        <v>2871</v>
      </c>
      <c r="O73" s="138" t="s">
        <v>215</v>
      </c>
      <c r="P73" s="160" t="s">
        <v>227</v>
      </c>
      <c r="Q73" s="138" t="s">
        <v>215</v>
      </c>
      <c r="R73" s="160" t="s">
        <v>227</v>
      </c>
      <c r="S73" s="138" t="s">
        <v>215</v>
      </c>
      <c r="T73" s="160" t="s">
        <v>227</v>
      </c>
      <c r="U73" s="138" t="s">
        <v>215</v>
      </c>
      <c r="V73" s="160" t="s">
        <v>227</v>
      </c>
      <c r="W73" s="138" t="s">
        <v>215</v>
      </c>
      <c r="X73" s="160" t="s">
        <v>227</v>
      </c>
      <c r="Y73" s="138" t="s">
        <v>215</v>
      </c>
      <c r="Z73" s="160" t="s">
        <v>227</v>
      </c>
      <c r="AA73" s="138" t="s">
        <v>215</v>
      </c>
      <c r="AB73" s="160" t="s">
        <v>227</v>
      </c>
      <c r="AC73" s="138" t="s">
        <v>215</v>
      </c>
      <c r="AD73" s="160" t="s">
        <v>227</v>
      </c>
      <c r="AE73" s="138" t="s">
        <v>215</v>
      </c>
      <c r="AF73" s="189" t="str">
        <f>IF(AND(O73="",Q73="",S73="",U73="",W73="",Y73="",AA73="",AC73=""),"",
IF(OR(    AND(O73&lt;&gt;"NA",O73&lt;&gt;"C",O73&lt;&gt;"NC",O73&lt;&gt;"SF",O73&lt;&gt;""),
    AND(Q73&lt;&gt;"NA",Q73&lt;&gt;"C",Q73&lt;&gt;"NC",Q73&lt;&gt;"SF",Q73&lt;&gt;""),
    AND(S73&lt;&gt;"NA",S73&lt;&gt;"C",S73&lt;&gt;"NC",S73&lt;&gt;"SF",S73&lt;&gt;""),
    AND(U73&lt;&gt;"NA",U73&lt;&gt;"C",U73&lt;&gt;"NC",U73&lt;&gt;"SF",U73&lt;&gt;""),
    AND(W73&lt;&gt;"NA",W73&lt;&gt;"C",W73&lt;&gt;"NC",W73&lt;&gt;"SF",W73&lt;&gt;""),
    AND(Y73&lt;&gt;"NA",Y73&lt;&gt;"C",Y73&lt;&gt;"NC",Y73&lt;&gt;"SF",Y73&lt;&gt;""),
    AND(AA73&lt;&gt;"NA",AA73&lt;&gt;"C",AA73&lt;&gt;"NC",AA73&lt;&gt;"SF",AA73&lt;&gt;""),
    AND(AC73&lt;&gt;"NA",AC73&lt;&gt;"C",AC73&lt;&gt;"NC",AC73&lt;&gt;"SF",AC73&lt;&gt;"")
),"FALSO",
IF(AND(O73="NA",Q73="NA",S73="NA",U73="NA",W73="NA",Y73="NA",AA73="NA",AC73="NA"),"NA",
IF(OR(O73="NC",Q73="NC",S73="NC",U73="NC",W73="NC",Y73="NC",AA73="NC",AC73="NC",
       O73="SF",Q73="SF",S73="SF",U73="SF",W73="SF",Y73="SF",AA73="SF",AC73="SF"),"NC",
IF(SUM(IF(O73="C",1,0),IF(Q73="C",1,0),IF(S73="C",1,0),IF(U73="C",1,0),IF(W73="C",1,0),IF(Y73="C",1,0),IF(AA73="C",1,0),IF(AC73="C",1,0))=1,"C","C")))))</f>
        <v>NC</v>
      </c>
      <c r="AG73" s="304" t="str">
        <f>IF(AND(AE73="C",AF73="C"),"UTILIZOU O PDA CORRETAMENTE",IF(AND(AE73="C",AF73="NC"),"UTILIZOU O PDA CORRETAMENTE. NÃO HÁ FOTOS DE TODAS AS ETAPAS",IF(AND(AE73="NC",AF73="NC"),"NÃO UTILIZOU O PDA",IF(AND(AE73="NA",AF73="NA"),"NÃO AVALIADO POR FALHA DE SINCRONISMO"))))</f>
        <v>NÃO UTILIZOU O PDA</v>
      </c>
      <c r="AH73" s="160" t="s">
        <v>75</v>
      </c>
      <c r="AI73" s="145" t="str">
        <f t="shared" si="1"/>
        <v>SÃO PAULO</v>
      </c>
      <c r="AJ73" s="145" t="s">
        <v>36</v>
      </c>
      <c r="AK73" s="51"/>
    </row>
    <row r="74" spans="1:37" ht="30" customHeight="1">
      <c r="A74" s="169" t="s">
        <v>198</v>
      </c>
      <c r="B74" s="311">
        <v>2620572287</v>
      </c>
      <c r="C74" s="242" t="s">
        <v>154</v>
      </c>
      <c r="D74" s="242" t="s">
        <v>83</v>
      </c>
      <c r="E74" s="242" t="s">
        <v>35</v>
      </c>
      <c r="F74" s="242" t="s">
        <v>624</v>
      </c>
      <c r="G74" s="242">
        <v>38</v>
      </c>
      <c r="H74" s="242" t="s">
        <v>200</v>
      </c>
      <c r="I74" s="242" t="s">
        <v>625</v>
      </c>
      <c r="J74" s="242" t="s">
        <v>2837</v>
      </c>
      <c r="K74" s="207" t="s">
        <v>200</v>
      </c>
      <c r="L74" s="207" t="s">
        <v>2872</v>
      </c>
      <c r="M74" s="207" t="s">
        <v>2873</v>
      </c>
      <c r="N74" s="207" t="s">
        <v>2838</v>
      </c>
      <c r="O74" s="51" t="s">
        <v>207</v>
      </c>
      <c r="P74" s="54"/>
      <c r="Q74" s="138" t="s">
        <v>215</v>
      </c>
      <c r="R74" s="54" t="s">
        <v>310</v>
      </c>
      <c r="S74" s="138" t="s">
        <v>207</v>
      </c>
      <c r="T74" s="54"/>
      <c r="U74" s="138" t="s">
        <v>214</v>
      </c>
      <c r="V74" s="54"/>
      <c r="W74" s="138" t="s">
        <v>207</v>
      </c>
      <c r="X74" s="54"/>
      <c r="Y74" s="138" t="s">
        <v>214</v>
      </c>
      <c r="Z74" s="54"/>
      <c r="AA74" s="138" t="s">
        <v>207</v>
      </c>
      <c r="AB74" s="54"/>
      <c r="AC74" s="138" t="s">
        <v>215</v>
      </c>
      <c r="AD74" s="54" t="s">
        <v>1545</v>
      </c>
      <c r="AE74" s="138" t="s">
        <v>207</v>
      </c>
      <c r="AF74" s="189" t="str">
        <f>IF(AND(O74="",Q74="",S74="",U74="",W74="",Y74="",AA74="",AC74=""),"",
IF(OR(    AND(O74&lt;&gt;"NA",O74&lt;&gt;"C",O74&lt;&gt;"NC",O74&lt;&gt;"SF",O74&lt;&gt;""),
    AND(Q74&lt;&gt;"NA",Q74&lt;&gt;"C",Q74&lt;&gt;"NC",Q74&lt;&gt;"SF",Q74&lt;&gt;""),
    AND(S74&lt;&gt;"NA",S74&lt;&gt;"C",S74&lt;&gt;"NC",S74&lt;&gt;"SF",S74&lt;&gt;""),
    AND(U74&lt;&gt;"NA",U74&lt;&gt;"C",U74&lt;&gt;"NC",U74&lt;&gt;"SF",U74&lt;&gt;""),
    AND(W74&lt;&gt;"NA",W74&lt;&gt;"C",W74&lt;&gt;"NC",W74&lt;&gt;"SF",W74&lt;&gt;""),
    AND(Y74&lt;&gt;"NA",Y74&lt;&gt;"C",Y74&lt;&gt;"NC",Y74&lt;&gt;"SF",Y74&lt;&gt;""),
    AND(AA74&lt;&gt;"NA",AA74&lt;&gt;"C",AA74&lt;&gt;"NC",AA74&lt;&gt;"SF",AA74&lt;&gt;""),
    AND(AC74&lt;&gt;"NA",AC74&lt;&gt;"C",AC74&lt;&gt;"NC",AC74&lt;&gt;"SF",AC74&lt;&gt;"")
),"FALSO",
IF(AND(O74="NA",Q74="NA",S74="NA",U74="NA",W74="NA",Y74="NA",AA74="NA",AC74="NA"),"NA",
IF(OR(O74="NC",Q74="NC",S74="NC",U74="NC",W74="NC",Y74="NC",AA74="NC",AC74="NC",
       O74="SF",Q74="SF",S74="SF",U74="SF",W74="SF",Y74="SF",AA74="SF",AC74="SF"),"NC",
IF(SUM(IF(O74="C",1,0),IF(Q74="C",1,0),IF(S74="C",1,0),IF(U74="C",1,0),IF(W74="C",1,0),IF(Y74="C",1,0),IF(AA74="C",1,0),IF(AC74="C",1,0))=1,"C","C")))))</f>
        <v>NC</v>
      </c>
      <c r="AG74" s="304" t="str">
        <f>IF(AND(AE74="C",AF74="C"),"UTILIZOU O PDA CORRETAMENTE",IF(AND(AE74="C",AF74="NC"),"UTILIZOU O PDA CORRETAMENTE. NÃO HÁ FOTOS DE TODAS AS ETAPAS",IF(AND(AE74="NC",AF74="NC"),"NÃO UTILIZOU O PDA",IF(AND(AE74="NA",AF74="NA"),"NÃO AVALIADO POR FALHA DE SINCRONISMO"))))</f>
        <v>UTILIZOU O PDA CORRETAMENTE. NÃO HÁ FOTOS DE TODAS AS ETAPAS</v>
      </c>
      <c r="AH74" s="160"/>
      <c r="AI74" s="145" t="str">
        <f t="shared" si="1"/>
        <v>SÃO PAULO</v>
      </c>
      <c r="AJ74" s="145" t="s">
        <v>36</v>
      </c>
      <c r="AK74" s="51"/>
    </row>
    <row r="75" spans="1:37" ht="30" customHeight="1">
      <c r="A75" s="243" t="s">
        <v>198</v>
      </c>
      <c r="B75" s="312">
        <v>2620384371</v>
      </c>
      <c r="C75" s="244" t="s">
        <v>154</v>
      </c>
      <c r="D75" s="244" t="s">
        <v>83</v>
      </c>
      <c r="E75" s="244" t="s">
        <v>35</v>
      </c>
      <c r="F75" s="244" t="s">
        <v>1730</v>
      </c>
      <c r="G75" s="244">
        <v>124</v>
      </c>
      <c r="H75" s="244" t="s">
        <v>208</v>
      </c>
      <c r="I75" s="244" t="s">
        <v>1731</v>
      </c>
      <c r="J75" s="244" t="s">
        <v>2837</v>
      </c>
      <c r="K75" s="209" t="s">
        <v>200</v>
      </c>
      <c r="L75" s="209" t="s">
        <v>2874</v>
      </c>
      <c r="M75" s="209" t="s">
        <v>2875</v>
      </c>
      <c r="N75" s="218" t="s">
        <v>2838</v>
      </c>
      <c r="O75" s="54" t="s">
        <v>77</v>
      </c>
      <c r="P75" s="160"/>
      <c r="Q75" s="138" t="s">
        <v>77</v>
      </c>
      <c r="R75" s="54"/>
      <c r="S75" s="138" t="s">
        <v>77</v>
      </c>
      <c r="T75" s="54"/>
      <c r="U75" s="138" t="s">
        <v>77</v>
      </c>
      <c r="V75" s="54"/>
      <c r="W75" s="138" t="s">
        <v>77</v>
      </c>
      <c r="X75" s="54"/>
      <c r="Y75" s="138" t="s">
        <v>77</v>
      </c>
      <c r="Z75" s="54"/>
      <c r="AA75" s="138" t="s">
        <v>77</v>
      </c>
      <c r="AB75" s="54"/>
      <c r="AC75" s="138" t="s">
        <v>77</v>
      </c>
      <c r="AD75" s="54"/>
      <c r="AE75" s="138" t="s">
        <v>77</v>
      </c>
      <c r="AF75" s="189" t="str">
        <f>IF(AND(O75="",Q75="",S75="",U75="",W75="",Y75="",AA75="",AC75=""),"",
IF(OR(    AND(O75&lt;&gt;"NA",O75&lt;&gt;"C",O75&lt;&gt;"NC",O75&lt;&gt;"SF",O75&lt;&gt;""),
    AND(Q75&lt;&gt;"NA",Q75&lt;&gt;"C",Q75&lt;&gt;"NC",Q75&lt;&gt;"SF",Q75&lt;&gt;""),
    AND(S75&lt;&gt;"NA",S75&lt;&gt;"C",S75&lt;&gt;"NC",S75&lt;&gt;"SF",S75&lt;&gt;""),
    AND(U75&lt;&gt;"NA",U75&lt;&gt;"C",U75&lt;&gt;"NC",U75&lt;&gt;"SF",U75&lt;&gt;""),
    AND(W75&lt;&gt;"NA",W75&lt;&gt;"C",W75&lt;&gt;"NC",W75&lt;&gt;"SF",W75&lt;&gt;""),
    AND(Y75&lt;&gt;"NA",Y75&lt;&gt;"C",Y75&lt;&gt;"NC",Y75&lt;&gt;"SF",Y75&lt;&gt;""),
    AND(AA75&lt;&gt;"NA",AA75&lt;&gt;"C",AA75&lt;&gt;"NC",AA75&lt;&gt;"SF",AA75&lt;&gt;""),
    AND(AC75&lt;&gt;"NA",AC75&lt;&gt;"C",AC75&lt;&gt;"NC",AC75&lt;&gt;"SF",AC75&lt;&gt;"")
),"FALSO",
IF(AND(O75="NA",Q75="NA",S75="NA",U75="NA",W75="NA",Y75="NA",AA75="NA",AC75="NA"),"NA",
IF(OR(O75="NC",Q75="NC",S75="NC",U75="NC",W75="NC",Y75="NC",AA75="NC",AC75="NC",
       O75="SF",Q75="SF",S75="SF",U75="SF",W75="SF",Y75="SF",AA75="SF",AC75="SF"),"NC",
IF(SUM(IF(O75="C",1,0),IF(Q75="C",1,0),IF(S75="C",1,0),IF(U75="C",1,0),IF(W75="C",1,0),IF(Y75="C",1,0),IF(AA75="C",1,0),IF(AC75="C",1,0))=1,"C","C")))))</f>
        <v>NA</v>
      </c>
      <c r="AG75" s="304" t="str">
        <f>IF(AND(AE75="C",AF75="C"),"UTILIZOU O PDA CORRETAMENTE",IF(AND(AE75="C",AF75="NC"),"UTILIZOU O PDA CORRETAMENTE. NÃO HÁ FOTOS DE TODAS AS ETAPAS",IF(AND(AE75="NC",AF75="NC"),"NÃO UTILIZOU O PDA",IF(AND(AE75="NA",AF75="NA"),"NÃO AVALIADO POR FALHA DE SINCRONISMO"))))</f>
        <v>NÃO AVALIADO POR FALHA DE SINCRONISMO</v>
      </c>
      <c r="AH75" s="160"/>
      <c r="AI75" s="145" t="str">
        <f t="shared" si="1"/>
        <v>SÃO PAULO</v>
      </c>
      <c r="AJ75" s="145" t="s">
        <v>36</v>
      </c>
      <c r="AK75" s="51"/>
    </row>
    <row r="76" spans="1:37" ht="30" customHeight="1">
      <c r="A76" s="243" t="s">
        <v>198</v>
      </c>
      <c r="B76" s="312">
        <v>2620517273</v>
      </c>
      <c r="C76" s="244" t="s">
        <v>154</v>
      </c>
      <c r="D76" s="244" t="s">
        <v>83</v>
      </c>
      <c r="E76" s="244" t="s">
        <v>35</v>
      </c>
      <c r="F76" s="244" t="s">
        <v>1701</v>
      </c>
      <c r="G76" s="244">
        <v>164</v>
      </c>
      <c r="H76" s="244" t="s">
        <v>200</v>
      </c>
      <c r="I76" s="244" t="s">
        <v>1480</v>
      </c>
      <c r="J76" s="244" t="s">
        <v>2837</v>
      </c>
      <c r="K76" s="209" t="s">
        <v>200</v>
      </c>
      <c r="L76" s="209" t="s">
        <v>2876</v>
      </c>
      <c r="M76" s="209" t="s">
        <v>2877</v>
      </c>
      <c r="N76" s="218" t="s">
        <v>2838</v>
      </c>
      <c r="O76" s="54" t="s">
        <v>207</v>
      </c>
      <c r="P76" s="160"/>
      <c r="Q76" s="138" t="s">
        <v>215</v>
      </c>
      <c r="R76" s="54" t="s">
        <v>310</v>
      </c>
      <c r="S76" s="138" t="s">
        <v>207</v>
      </c>
      <c r="T76" s="54"/>
      <c r="U76" s="138" t="s">
        <v>214</v>
      </c>
      <c r="V76" s="54"/>
      <c r="W76" s="138" t="s">
        <v>207</v>
      </c>
      <c r="X76" s="54"/>
      <c r="Y76" s="138" t="s">
        <v>214</v>
      </c>
      <c r="Z76" s="54"/>
      <c r="AA76" s="138" t="s">
        <v>207</v>
      </c>
      <c r="AB76" s="54"/>
      <c r="AC76" s="138" t="s">
        <v>215</v>
      </c>
      <c r="AD76" s="54" t="s">
        <v>1545</v>
      </c>
      <c r="AE76" s="138" t="s">
        <v>207</v>
      </c>
      <c r="AF76" s="189" t="str">
        <f>IF(AND(O76="",Q76="",S76="",U76="",W76="",Y76="",AA76="",AC76=""),"",
IF(OR(    AND(O76&lt;&gt;"NA",O76&lt;&gt;"C",O76&lt;&gt;"NC",O76&lt;&gt;"SF",O76&lt;&gt;""),
    AND(Q76&lt;&gt;"NA",Q76&lt;&gt;"C",Q76&lt;&gt;"NC",Q76&lt;&gt;"SF",Q76&lt;&gt;""),
    AND(S76&lt;&gt;"NA",S76&lt;&gt;"C",S76&lt;&gt;"NC",S76&lt;&gt;"SF",S76&lt;&gt;""),
    AND(U76&lt;&gt;"NA",U76&lt;&gt;"C",U76&lt;&gt;"NC",U76&lt;&gt;"SF",U76&lt;&gt;""),
    AND(W76&lt;&gt;"NA",W76&lt;&gt;"C",W76&lt;&gt;"NC",W76&lt;&gt;"SF",W76&lt;&gt;""),
    AND(Y76&lt;&gt;"NA",Y76&lt;&gt;"C",Y76&lt;&gt;"NC",Y76&lt;&gt;"SF",Y76&lt;&gt;""),
    AND(AA76&lt;&gt;"NA",AA76&lt;&gt;"C",AA76&lt;&gt;"NC",AA76&lt;&gt;"SF",AA76&lt;&gt;""),
    AND(AC76&lt;&gt;"NA",AC76&lt;&gt;"C",AC76&lt;&gt;"NC",AC76&lt;&gt;"SF",AC76&lt;&gt;"")
),"FALSO",
IF(AND(O76="NA",Q76="NA",S76="NA",U76="NA",W76="NA",Y76="NA",AA76="NA",AC76="NA"),"NA",
IF(OR(O76="NC",Q76="NC",S76="NC",U76="NC",W76="NC",Y76="NC",AA76="NC",AC76="NC",
       O76="SF",Q76="SF",S76="SF",U76="SF",W76="SF",Y76="SF",AA76="SF",AC76="SF"),"NC",
IF(SUM(IF(O76="C",1,0),IF(Q76="C",1,0),IF(S76="C",1,0),IF(U76="C",1,0),IF(W76="C",1,0),IF(Y76="C",1,0),IF(AA76="C",1,0),IF(AC76="C",1,0))=1,"C","C")))))</f>
        <v>NC</v>
      </c>
      <c r="AG76" s="304" t="str">
        <f>IF(AND(AE76="C",AF76="C"),"UTILIZOU O PDA CORRETAMENTE",IF(AND(AE76="C",AF76="NC"),"UTILIZOU O PDA CORRETAMENTE. NÃO HÁ FOTOS DE TODAS AS ETAPAS",IF(AND(AE76="NC",AF76="NC"),"NÃO UTILIZOU O PDA",IF(AND(AE76="NA",AF76="NA"),"NÃO AVALIADO POR FALHA DE SINCRONISMO"))))</f>
        <v>UTILIZOU O PDA CORRETAMENTE. NÃO HÁ FOTOS DE TODAS AS ETAPAS</v>
      </c>
      <c r="AH76" s="160" t="s">
        <v>75</v>
      </c>
      <c r="AI76" s="145" t="str">
        <f t="shared" si="1"/>
        <v>SÃO PAULO</v>
      </c>
      <c r="AJ76" s="145" t="s">
        <v>36</v>
      </c>
      <c r="AK76" s="51"/>
    </row>
    <row r="77" spans="1:37" ht="30" customHeight="1">
      <c r="A77" s="243" t="s">
        <v>198</v>
      </c>
      <c r="B77" s="312">
        <v>2620517468</v>
      </c>
      <c r="C77" s="244" t="s">
        <v>154</v>
      </c>
      <c r="D77" s="244" t="s">
        <v>83</v>
      </c>
      <c r="E77" s="244" t="s">
        <v>35</v>
      </c>
      <c r="F77" s="244" t="s">
        <v>1701</v>
      </c>
      <c r="G77" s="244">
        <v>85</v>
      </c>
      <c r="H77" s="244" t="s">
        <v>200</v>
      </c>
      <c r="I77" s="244" t="s">
        <v>1480</v>
      </c>
      <c r="J77" s="244" t="s">
        <v>2837</v>
      </c>
      <c r="K77" s="209" t="s">
        <v>200</v>
      </c>
      <c r="L77" s="209" t="s">
        <v>2878</v>
      </c>
      <c r="M77" s="209" t="s">
        <v>2879</v>
      </c>
      <c r="N77" s="218" t="s">
        <v>2838</v>
      </c>
      <c r="O77" s="54" t="s">
        <v>207</v>
      </c>
      <c r="P77" s="160"/>
      <c r="Q77" s="138" t="s">
        <v>215</v>
      </c>
      <c r="R77" s="54" t="s">
        <v>310</v>
      </c>
      <c r="S77" s="138" t="s">
        <v>214</v>
      </c>
      <c r="T77" s="54"/>
      <c r="U77" s="138" t="s">
        <v>214</v>
      </c>
      <c r="V77" s="54"/>
      <c r="W77" s="138" t="s">
        <v>207</v>
      </c>
      <c r="X77" s="54"/>
      <c r="Y77" s="138" t="s">
        <v>214</v>
      </c>
      <c r="Z77" s="54"/>
      <c r="AA77" s="138" t="s">
        <v>207</v>
      </c>
      <c r="AB77" s="54"/>
      <c r="AC77" s="138" t="s">
        <v>215</v>
      </c>
      <c r="AD77" s="54" t="s">
        <v>1545</v>
      </c>
      <c r="AE77" s="138" t="s">
        <v>207</v>
      </c>
      <c r="AF77" s="189" t="str">
        <f>IF(AND(O77="",Q77="",S77="",U77="",W77="",Y77="",AA77="",AC77=""),"",
IF(OR(    AND(O77&lt;&gt;"NA",O77&lt;&gt;"C",O77&lt;&gt;"NC",O77&lt;&gt;"SF",O77&lt;&gt;""),
    AND(Q77&lt;&gt;"NA",Q77&lt;&gt;"C",Q77&lt;&gt;"NC",Q77&lt;&gt;"SF",Q77&lt;&gt;""),
    AND(S77&lt;&gt;"NA",S77&lt;&gt;"C",S77&lt;&gt;"NC",S77&lt;&gt;"SF",S77&lt;&gt;""),
    AND(U77&lt;&gt;"NA",U77&lt;&gt;"C",U77&lt;&gt;"NC",U77&lt;&gt;"SF",U77&lt;&gt;""),
    AND(W77&lt;&gt;"NA",W77&lt;&gt;"C",W77&lt;&gt;"NC",W77&lt;&gt;"SF",W77&lt;&gt;""),
    AND(Y77&lt;&gt;"NA",Y77&lt;&gt;"C",Y77&lt;&gt;"NC",Y77&lt;&gt;"SF",Y77&lt;&gt;""),
    AND(AA77&lt;&gt;"NA",AA77&lt;&gt;"C",AA77&lt;&gt;"NC",AA77&lt;&gt;"SF",AA77&lt;&gt;""),
    AND(AC77&lt;&gt;"NA",AC77&lt;&gt;"C",AC77&lt;&gt;"NC",AC77&lt;&gt;"SF",AC77&lt;&gt;"")
),"FALSO",
IF(AND(O77="NA",Q77="NA",S77="NA",U77="NA",W77="NA",Y77="NA",AA77="NA",AC77="NA"),"NA",
IF(OR(O77="NC",Q77="NC",S77="NC",U77="NC",W77="NC",Y77="NC",AA77="NC",AC77="NC",
       O77="SF",Q77="SF",S77="SF",U77="SF",W77="SF",Y77="SF",AA77="SF",AC77="SF"),"NC",
IF(SUM(IF(O77="C",1,0),IF(Q77="C",1,0),IF(S77="C",1,0),IF(U77="C",1,0),IF(W77="C",1,0),IF(Y77="C",1,0),IF(AA77="C",1,0),IF(AC77="C",1,0))=1,"C","C")))))</f>
        <v>NC</v>
      </c>
      <c r="AG77" s="304" t="str">
        <f>IF(AND(AE77="C",AF77="C"),"UTILIZOU O PDA CORRETAMENTE",IF(AND(AE77="C",AF77="NC"),"UTILIZOU O PDA CORRETAMENTE. NÃO HÁ FOTOS DE TODAS AS ETAPAS",IF(AND(AE77="NC",AF77="NC"),"NÃO UTILIZOU O PDA",IF(AND(AE77="NA",AF77="NA"),"NÃO AVALIADO POR FALHA DE SINCRONISMO"))))</f>
        <v>UTILIZOU O PDA CORRETAMENTE. NÃO HÁ FOTOS DE TODAS AS ETAPAS</v>
      </c>
      <c r="AH77" s="160" t="s">
        <v>75</v>
      </c>
      <c r="AI77" s="145" t="str">
        <f t="shared" si="1"/>
        <v>SÃO PAULO</v>
      </c>
      <c r="AJ77" s="145" t="s">
        <v>36</v>
      </c>
      <c r="AK77" s="51"/>
    </row>
    <row r="78" spans="1:37" ht="30" customHeight="1">
      <c r="A78" s="243" t="s">
        <v>198</v>
      </c>
      <c r="B78" s="312">
        <v>2620793196</v>
      </c>
      <c r="C78" s="244" t="s">
        <v>154</v>
      </c>
      <c r="D78" s="244" t="s">
        <v>83</v>
      </c>
      <c r="E78" s="244" t="s">
        <v>35</v>
      </c>
      <c r="F78" s="244" t="s">
        <v>528</v>
      </c>
      <c r="G78" s="244">
        <v>943</v>
      </c>
      <c r="H78" s="244" t="s">
        <v>200</v>
      </c>
      <c r="I78" s="244" t="s">
        <v>527</v>
      </c>
      <c r="J78" s="244" t="s">
        <v>2837</v>
      </c>
      <c r="K78" s="209" t="s">
        <v>200</v>
      </c>
      <c r="L78" s="209" t="s">
        <v>2874</v>
      </c>
      <c r="M78" s="209" t="s">
        <v>2875</v>
      </c>
      <c r="N78" s="218" t="s">
        <v>2838</v>
      </c>
      <c r="O78" s="54" t="s">
        <v>77</v>
      </c>
      <c r="P78" s="160"/>
      <c r="Q78" s="138" t="s">
        <v>77</v>
      </c>
      <c r="R78" s="54"/>
      <c r="S78" s="138" t="s">
        <v>77</v>
      </c>
      <c r="T78" s="54"/>
      <c r="U78" s="138" t="s">
        <v>77</v>
      </c>
      <c r="V78" s="54"/>
      <c r="W78" s="138" t="s">
        <v>77</v>
      </c>
      <c r="X78" s="54"/>
      <c r="Y78" s="138" t="s">
        <v>77</v>
      </c>
      <c r="Z78" s="54"/>
      <c r="AA78" s="138" t="s">
        <v>77</v>
      </c>
      <c r="AB78" s="54"/>
      <c r="AC78" s="138" t="s">
        <v>77</v>
      </c>
      <c r="AD78" s="54"/>
      <c r="AE78" s="138" t="s">
        <v>77</v>
      </c>
      <c r="AF78" s="189" t="str">
        <f>IF(AND(O78="",Q78="",S78="",U78="",W78="",Y78="",AA78="",AC78=""),"",
IF(OR(    AND(O78&lt;&gt;"NA",O78&lt;&gt;"C",O78&lt;&gt;"NC",O78&lt;&gt;"SF",O78&lt;&gt;""),
    AND(Q78&lt;&gt;"NA",Q78&lt;&gt;"C",Q78&lt;&gt;"NC",Q78&lt;&gt;"SF",Q78&lt;&gt;""),
    AND(S78&lt;&gt;"NA",S78&lt;&gt;"C",S78&lt;&gt;"NC",S78&lt;&gt;"SF",S78&lt;&gt;""),
    AND(U78&lt;&gt;"NA",U78&lt;&gt;"C",U78&lt;&gt;"NC",U78&lt;&gt;"SF",U78&lt;&gt;""),
    AND(W78&lt;&gt;"NA",W78&lt;&gt;"C",W78&lt;&gt;"NC",W78&lt;&gt;"SF",W78&lt;&gt;""),
    AND(Y78&lt;&gt;"NA",Y78&lt;&gt;"C",Y78&lt;&gt;"NC",Y78&lt;&gt;"SF",Y78&lt;&gt;""),
    AND(AA78&lt;&gt;"NA",AA78&lt;&gt;"C",AA78&lt;&gt;"NC",AA78&lt;&gt;"SF",AA78&lt;&gt;""),
    AND(AC78&lt;&gt;"NA",AC78&lt;&gt;"C",AC78&lt;&gt;"NC",AC78&lt;&gt;"SF",AC78&lt;&gt;"")
),"FALSO",
IF(AND(O78="NA",Q78="NA",S78="NA",U78="NA",W78="NA",Y78="NA",AA78="NA",AC78="NA"),"NA",
IF(OR(O78="NC",Q78="NC",S78="NC",U78="NC",W78="NC",Y78="NC",AA78="NC",AC78="NC",
       O78="SF",Q78="SF",S78="SF",U78="SF",W78="SF",Y78="SF",AA78="SF",AC78="SF"),"NC",
IF(SUM(IF(O78="C",1,0),IF(Q78="C",1,0),IF(S78="C",1,0),IF(U78="C",1,0),IF(W78="C",1,0),IF(Y78="C",1,0),IF(AA78="C",1,0),IF(AC78="C",1,0))=1,"C","C")))))</f>
        <v>NA</v>
      </c>
      <c r="AG78" s="304" t="str">
        <f>IF(AND(AE78="C",AF78="C"),"UTILIZOU O PDA CORRETAMENTE",IF(AND(AE78="C",AF78="NC"),"UTILIZOU O PDA CORRETAMENTE. NÃO HÁ FOTOS DE TODAS AS ETAPAS",IF(AND(AE78="NC",AF78="NC"),"NÃO UTILIZOU O PDA",IF(AND(AE78="NA",AF78="NA"),"NÃO AVALIADO POR FALHA DE SINCRONISMO"))))</f>
        <v>NÃO AVALIADO POR FALHA DE SINCRONISMO</v>
      </c>
      <c r="AH78" s="160" t="s">
        <v>75</v>
      </c>
      <c r="AI78" s="145" t="str">
        <f t="shared" si="1"/>
        <v>SÃO PAULO</v>
      </c>
      <c r="AJ78" s="145" t="s">
        <v>36</v>
      </c>
      <c r="AK78" s="51"/>
    </row>
    <row r="79" spans="1:37" ht="30" customHeight="1">
      <c r="A79" s="169" t="s">
        <v>198</v>
      </c>
      <c r="B79" s="311">
        <v>2620804951</v>
      </c>
      <c r="C79" s="242" t="s">
        <v>154</v>
      </c>
      <c r="D79" s="242" t="s">
        <v>83</v>
      </c>
      <c r="E79" s="242" t="s">
        <v>35</v>
      </c>
      <c r="F79" s="242" t="s">
        <v>1168</v>
      </c>
      <c r="G79" s="242">
        <v>0</v>
      </c>
      <c r="H79" s="242" t="s">
        <v>200</v>
      </c>
      <c r="I79" s="242" t="s">
        <v>679</v>
      </c>
      <c r="J79" s="242" t="s">
        <v>2837</v>
      </c>
      <c r="K79" s="207" t="s">
        <v>200</v>
      </c>
      <c r="L79" s="207" t="s">
        <v>2880</v>
      </c>
      <c r="M79" s="207" t="s">
        <v>2880</v>
      </c>
      <c r="N79" s="217" t="s">
        <v>2838</v>
      </c>
      <c r="O79" s="54" t="s">
        <v>207</v>
      </c>
      <c r="P79" s="160"/>
      <c r="Q79" s="138" t="s">
        <v>215</v>
      </c>
      <c r="R79" s="54" t="s">
        <v>310</v>
      </c>
      <c r="S79" s="138" t="s">
        <v>207</v>
      </c>
      <c r="T79" s="54"/>
      <c r="U79" s="138" t="s">
        <v>214</v>
      </c>
      <c r="V79" s="54"/>
      <c r="W79" s="138" t="s">
        <v>207</v>
      </c>
      <c r="X79" s="54"/>
      <c r="Y79" s="138" t="s">
        <v>214</v>
      </c>
      <c r="Z79" s="54"/>
      <c r="AA79" s="138" t="s">
        <v>207</v>
      </c>
      <c r="AB79" s="54"/>
      <c r="AC79" s="138" t="s">
        <v>215</v>
      </c>
      <c r="AD79" s="54" t="s">
        <v>1545</v>
      </c>
      <c r="AE79" s="138" t="s">
        <v>207</v>
      </c>
      <c r="AF79" s="189" t="str">
        <f>IF(AND(O79="",Q79="",S79="",U79="",W79="",Y79="",AA79="",AC79=""),"",
IF(OR(    AND(O79&lt;&gt;"NA",O79&lt;&gt;"C",O79&lt;&gt;"NC",O79&lt;&gt;"SF",O79&lt;&gt;""),
    AND(Q79&lt;&gt;"NA",Q79&lt;&gt;"C",Q79&lt;&gt;"NC",Q79&lt;&gt;"SF",Q79&lt;&gt;""),
    AND(S79&lt;&gt;"NA",S79&lt;&gt;"C",S79&lt;&gt;"NC",S79&lt;&gt;"SF",S79&lt;&gt;""),
    AND(U79&lt;&gt;"NA",U79&lt;&gt;"C",U79&lt;&gt;"NC",U79&lt;&gt;"SF",U79&lt;&gt;""),
    AND(W79&lt;&gt;"NA",W79&lt;&gt;"C",W79&lt;&gt;"NC",W79&lt;&gt;"SF",W79&lt;&gt;""),
    AND(Y79&lt;&gt;"NA",Y79&lt;&gt;"C",Y79&lt;&gt;"NC",Y79&lt;&gt;"SF",Y79&lt;&gt;""),
    AND(AA79&lt;&gt;"NA",AA79&lt;&gt;"C",AA79&lt;&gt;"NC",AA79&lt;&gt;"SF",AA79&lt;&gt;""),
    AND(AC79&lt;&gt;"NA",AC79&lt;&gt;"C",AC79&lt;&gt;"NC",AC79&lt;&gt;"SF",AC79&lt;&gt;"")
),"FALSO",
IF(AND(O79="NA",Q79="NA",S79="NA",U79="NA",W79="NA",Y79="NA",AA79="NA",AC79="NA"),"NA",
IF(OR(O79="NC",Q79="NC",S79="NC",U79="NC",W79="NC",Y79="NC",AA79="NC",AC79="NC",
       O79="SF",Q79="SF",S79="SF",U79="SF",W79="SF",Y79="SF",AA79="SF",AC79="SF"),"NC",
IF(SUM(IF(O79="C",1,0),IF(Q79="C",1,0),IF(S79="C",1,0),IF(U79="C",1,0),IF(W79="C",1,0),IF(Y79="C",1,0),IF(AA79="C",1,0),IF(AC79="C",1,0))=1,"C","C")))))</f>
        <v>NC</v>
      </c>
      <c r="AG79" s="304" t="str">
        <f>IF(AND(AE79="C",AF79="C"),"UTILIZOU O PDA CORRETAMENTE",IF(AND(AE79="C",AF79="NC"),"UTILIZOU O PDA CORRETAMENTE. NÃO HÁ FOTOS DE TODAS AS ETAPAS",IF(AND(AE79="NC",AF79="NC"),"NÃO UTILIZOU O PDA",IF(AND(AE79="NA",AF79="NA"),"NÃO AVALIADO POR FALHA DE SINCRONISMO"))))</f>
        <v>UTILIZOU O PDA CORRETAMENTE. NÃO HÁ FOTOS DE TODAS AS ETAPAS</v>
      </c>
      <c r="AH79" s="60" t="s">
        <v>54</v>
      </c>
      <c r="AI79" s="145" t="str">
        <f t="shared" si="1"/>
        <v>SÃO PAULO</v>
      </c>
      <c r="AJ79" s="145" t="s">
        <v>36</v>
      </c>
      <c r="AK79" s="51"/>
    </row>
    <row r="80" spans="1:37" ht="30" customHeight="1">
      <c r="A80" s="169" t="s">
        <v>198</v>
      </c>
      <c r="B80" s="311">
        <v>2620539622</v>
      </c>
      <c r="C80" s="242" t="s">
        <v>156</v>
      </c>
      <c r="D80" s="242" t="s">
        <v>83</v>
      </c>
      <c r="E80" s="242" t="s">
        <v>35</v>
      </c>
      <c r="F80" s="242" t="s">
        <v>1384</v>
      </c>
      <c r="G80" s="242">
        <v>251</v>
      </c>
      <c r="H80" s="242" t="s">
        <v>200</v>
      </c>
      <c r="I80" s="242" t="s">
        <v>389</v>
      </c>
      <c r="J80" s="242" t="s">
        <v>2881</v>
      </c>
      <c r="K80" s="207" t="s">
        <v>200</v>
      </c>
      <c r="L80" s="207" t="s">
        <v>2882</v>
      </c>
      <c r="M80" s="207" t="s">
        <v>2883</v>
      </c>
      <c r="N80" s="217" t="s">
        <v>309</v>
      </c>
      <c r="O80" s="54" t="s">
        <v>77</v>
      </c>
      <c r="P80" s="160"/>
      <c r="Q80" s="138" t="s">
        <v>77</v>
      </c>
      <c r="R80" s="54"/>
      <c r="S80" s="138" t="s">
        <v>77</v>
      </c>
      <c r="T80" s="54"/>
      <c r="U80" s="138" t="s">
        <v>77</v>
      </c>
      <c r="V80" s="54"/>
      <c r="W80" s="138" t="s">
        <v>77</v>
      </c>
      <c r="X80" s="54"/>
      <c r="Y80" s="138" t="s">
        <v>77</v>
      </c>
      <c r="Z80" s="54"/>
      <c r="AA80" s="138" t="s">
        <v>77</v>
      </c>
      <c r="AB80" s="54"/>
      <c r="AC80" s="138" t="s">
        <v>77</v>
      </c>
      <c r="AD80" s="54"/>
      <c r="AE80" s="138" t="s">
        <v>77</v>
      </c>
      <c r="AF80" s="189" t="str">
        <f>IF(AND(O80="",Q80="",S80="",U80="",W80="",Y80="",AA80="",AC80=""),"",
IF(OR(    AND(O80&lt;&gt;"NA",O80&lt;&gt;"C",O80&lt;&gt;"NC",O80&lt;&gt;"SF",O80&lt;&gt;""),
    AND(Q80&lt;&gt;"NA",Q80&lt;&gt;"C",Q80&lt;&gt;"NC",Q80&lt;&gt;"SF",Q80&lt;&gt;""),
    AND(S80&lt;&gt;"NA",S80&lt;&gt;"C",S80&lt;&gt;"NC",S80&lt;&gt;"SF",S80&lt;&gt;""),
    AND(U80&lt;&gt;"NA",U80&lt;&gt;"C",U80&lt;&gt;"NC",U80&lt;&gt;"SF",U80&lt;&gt;""),
    AND(W80&lt;&gt;"NA",W80&lt;&gt;"C",W80&lt;&gt;"NC",W80&lt;&gt;"SF",W80&lt;&gt;""),
    AND(Y80&lt;&gt;"NA",Y80&lt;&gt;"C",Y80&lt;&gt;"NC",Y80&lt;&gt;"SF",Y80&lt;&gt;""),
    AND(AA80&lt;&gt;"NA",AA80&lt;&gt;"C",AA80&lt;&gt;"NC",AA80&lt;&gt;"SF",AA80&lt;&gt;""),
    AND(AC80&lt;&gt;"NA",AC80&lt;&gt;"C",AC80&lt;&gt;"NC",AC80&lt;&gt;"SF",AC80&lt;&gt;"")
),"FALSO",
IF(AND(O80="NA",Q80="NA",S80="NA",U80="NA",W80="NA",Y80="NA",AA80="NA",AC80="NA"),"NA",
IF(OR(O80="NC",Q80="NC",S80="NC",U80="NC",W80="NC",Y80="NC",AA80="NC",AC80="NC",
       O80="SF",Q80="SF",S80="SF",U80="SF",W80="SF",Y80="SF",AA80="SF",AC80="SF"),"NC",
IF(SUM(IF(O80="C",1,0),IF(Q80="C",1,0),IF(S80="C",1,0),IF(U80="C",1,0),IF(W80="C",1,0),IF(Y80="C",1,0),IF(AA80="C",1,0),IF(AC80="C",1,0))=1,"C","C")))))</f>
        <v>NA</v>
      </c>
      <c r="AG80" s="304" t="str">
        <f>IF(AND(AE80="C",AF80="C"),"UTILIZOU O PDA CORRETAMENTE",IF(AND(AE80="C",AF80="NC"),"UTILIZOU O PDA CORRETAMENTE. NÃO HÁ FOTOS DE TODAS AS ETAPAS",IF(AND(AE80="NC",AF80="NC"),"NÃO UTILIZOU O PDA",IF(AND(AE80="NA",AF80="NA"),"NÃO AVALIADO POR FALHA DE SINCRONISMO"))))</f>
        <v>NÃO AVALIADO POR FALHA DE SINCRONISMO</v>
      </c>
      <c r="AH80" s="160" t="s">
        <v>75</v>
      </c>
      <c r="AI80" s="145" t="str">
        <f t="shared" si="1"/>
        <v>SÃO PAULO</v>
      </c>
      <c r="AJ80" s="145" t="s">
        <v>36</v>
      </c>
      <c r="AK80" s="51"/>
    </row>
    <row r="81" spans="1:37" ht="30" customHeight="1">
      <c r="A81" s="169" t="s">
        <v>198</v>
      </c>
      <c r="B81" s="311">
        <v>2620791854</v>
      </c>
      <c r="C81" s="242" t="s">
        <v>154</v>
      </c>
      <c r="D81" s="242" t="s">
        <v>83</v>
      </c>
      <c r="E81" s="242" t="s">
        <v>35</v>
      </c>
      <c r="F81" s="242" t="s">
        <v>524</v>
      </c>
      <c r="G81" s="242">
        <v>111</v>
      </c>
      <c r="H81" s="242" t="s">
        <v>200</v>
      </c>
      <c r="I81" s="242" t="s">
        <v>525</v>
      </c>
      <c r="J81" s="242" t="s">
        <v>2837</v>
      </c>
      <c r="K81" s="207" t="s">
        <v>200</v>
      </c>
      <c r="L81" s="207" t="s">
        <v>1765</v>
      </c>
      <c r="M81" s="207" t="s">
        <v>2884</v>
      </c>
      <c r="N81" s="217" t="s">
        <v>309</v>
      </c>
      <c r="O81" s="54" t="s">
        <v>77</v>
      </c>
      <c r="P81" s="60"/>
      <c r="Q81" s="138" t="s">
        <v>77</v>
      </c>
      <c r="R81" s="57"/>
      <c r="S81" s="138" t="s">
        <v>77</v>
      </c>
      <c r="T81" s="57"/>
      <c r="U81" s="138" t="s">
        <v>77</v>
      </c>
      <c r="V81" s="57"/>
      <c r="W81" s="138" t="s">
        <v>77</v>
      </c>
      <c r="X81" s="57"/>
      <c r="Y81" s="138" t="s">
        <v>77</v>
      </c>
      <c r="Z81" s="57"/>
      <c r="AA81" s="138" t="s">
        <v>77</v>
      </c>
      <c r="AB81" s="57"/>
      <c r="AC81" s="138" t="s">
        <v>77</v>
      </c>
      <c r="AD81" s="57"/>
      <c r="AE81" s="138" t="s">
        <v>77</v>
      </c>
      <c r="AF81" s="189" t="str">
        <f>IF(AND(O81="",Q81="",S81="",U81="",W81="",Y81="",AA81="",AC81=""),"",
IF(OR(    AND(O81&lt;&gt;"NA",O81&lt;&gt;"C",O81&lt;&gt;"NC",O81&lt;&gt;"SF",O81&lt;&gt;""),
    AND(Q81&lt;&gt;"NA",Q81&lt;&gt;"C",Q81&lt;&gt;"NC",Q81&lt;&gt;"SF",Q81&lt;&gt;""),
    AND(S81&lt;&gt;"NA",S81&lt;&gt;"C",S81&lt;&gt;"NC",S81&lt;&gt;"SF",S81&lt;&gt;""),
    AND(U81&lt;&gt;"NA",U81&lt;&gt;"C",U81&lt;&gt;"NC",U81&lt;&gt;"SF",U81&lt;&gt;""),
    AND(W81&lt;&gt;"NA",W81&lt;&gt;"C",W81&lt;&gt;"NC",W81&lt;&gt;"SF",W81&lt;&gt;""),
    AND(Y81&lt;&gt;"NA",Y81&lt;&gt;"C",Y81&lt;&gt;"NC",Y81&lt;&gt;"SF",Y81&lt;&gt;""),
    AND(AA81&lt;&gt;"NA",AA81&lt;&gt;"C",AA81&lt;&gt;"NC",AA81&lt;&gt;"SF",AA81&lt;&gt;""),
    AND(AC81&lt;&gt;"NA",AC81&lt;&gt;"C",AC81&lt;&gt;"NC",AC81&lt;&gt;"SF",AC81&lt;&gt;"")
),"FALSO",
IF(AND(O81="NA",Q81="NA",S81="NA",U81="NA",W81="NA",Y81="NA",AA81="NA",AC81="NA"),"NA",
IF(OR(O81="NC",Q81="NC",S81="NC",U81="NC",W81="NC",Y81="NC",AA81="NC",AC81="NC",
       O81="SF",Q81="SF",S81="SF",U81="SF",W81="SF",Y81="SF",AA81="SF",AC81="SF"),"NC",
IF(SUM(IF(O81="C",1,0),IF(Q81="C",1,0),IF(S81="C",1,0),IF(U81="C",1,0),IF(W81="C",1,0),IF(Y81="C",1,0),IF(AA81="C",1,0),IF(AC81="C",1,0))=1,"C","C")))))</f>
        <v>NA</v>
      </c>
      <c r="AG81" s="304" t="str">
        <f>IF(AND(AE81="C",AF81="C"),"UTILIZOU O PDA CORRETAMENTE",IF(AND(AE81="C",AF81="NC"),"UTILIZOU O PDA CORRETAMENTE. NÃO HÁ FOTOS DE TODAS AS ETAPAS",IF(AND(AE81="NC",AF81="NC"),"NÃO UTILIZOU O PDA",IF(AND(AE81="NA",AF81="NA"),"NÃO AVALIADO POR FALHA DE SINCRONISMO"))))</f>
        <v>NÃO AVALIADO POR FALHA DE SINCRONISMO</v>
      </c>
      <c r="AH81" s="60" t="s">
        <v>75</v>
      </c>
      <c r="AI81" s="145" t="str">
        <f t="shared" si="1"/>
        <v>SÃO PAULO</v>
      </c>
      <c r="AJ81" s="145" t="s">
        <v>36</v>
      </c>
      <c r="AK81" s="51"/>
    </row>
    <row r="82" spans="1:37" ht="30" customHeight="1">
      <c r="A82" s="169" t="s">
        <v>198</v>
      </c>
      <c r="B82" s="311">
        <v>2620331837</v>
      </c>
      <c r="C82" s="242" t="s">
        <v>154</v>
      </c>
      <c r="D82" s="242" t="s">
        <v>83</v>
      </c>
      <c r="E82" s="242" t="s">
        <v>35</v>
      </c>
      <c r="F82" s="242" t="s">
        <v>1228</v>
      </c>
      <c r="G82" s="242">
        <v>60</v>
      </c>
      <c r="H82" s="242" t="s">
        <v>200</v>
      </c>
      <c r="I82" s="242" t="s">
        <v>314</v>
      </c>
      <c r="J82" s="242" t="s">
        <v>2837</v>
      </c>
      <c r="K82" s="207" t="s">
        <v>200</v>
      </c>
      <c r="L82" s="207" t="s">
        <v>2885</v>
      </c>
      <c r="M82" s="207" t="s">
        <v>2886</v>
      </c>
      <c r="N82" s="207" t="s">
        <v>2838</v>
      </c>
      <c r="O82" s="202" t="s">
        <v>207</v>
      </c>
      <c r="P82" s="90"/>
      <c r="Q82" s="140" t="s">
        <v>215</v>
      </c>
      <c r="R82" s="54" t="s">
        <v>310</v>
      </c>
      <c r="S82" s="140" t="s">
        <v>207</v>
      </c>
      <c r="T82" s="90"/>
      <c r="U82" s="140" t="s">
        <v>214</v>
      </c>
      <c r="V82" s="90"/>
      <c r="W82" s="140" t="s">
        <v>207</v>
      </c>
      <c r="X82" s="90"/>
      <c r="Y82" s="140" t="s">
        <v>214</v>
      </c>
      <c r="Z82" s="90"/>
      <c r="AA82" s="140" t="s">
        <v>207</v>
      </c>
      <c r="AB82" s="62"/>
      <c r="AC82" s="140" t="s">
        <v>215</v>
      </c>
      <c r="AD82" s="62" t="s">
        <v>1545</v>
      </c>
      <c r="AE82" s="140" t="s">
        <v>207</v>
      </c>
      <c r="AF82" s="189" t="str">
        <f>IF(AND(O82="",Q82="",S82="",U82="",W82="",Y82="",AA82="",AC82=""),"",
IF(OR(    AND(O82&lt;&gt;"NA",O82&lt;&gt;"C",O82&lt;&gt;"NC",O82&lt;&gt;"SF",O82&lt;&gt;""),
    AND(Q82&lt;&gt;"NA",Q82&lt;&gt;"C",Q82&lt;&gt;"NC",Q82&lt;&gt;"SF",Q82&lt;&gt;""),
    AND(S82&lt;&gt;"NA",S82&lt;&gt;"C",S82&lt;&gt;"NC",S82&lt;&gt;"SF",S82&lt;&gt;""),
    AND(U82&lt;&gt;"NA",U82&lt;&gt;"C",U82&lt;&gt;"NC",U82&lt;&gt;"SF",U82&lt;&gt;""),
    AND(W82&lt;&gt;"NA",W82&lt;&gt;"C",W82&lt;&gt;"NC",W82&lt;&gt;"SF",W82&lt;&gt;""),
    AND(Y82&lt;&gt;"NA",Y82&lt;&gt;"C",Y82&lt;&gt;"NC",Y82&lt;&gt;"SF",Y82&lt;&gt;""),
    AND(AA82&lt;&gt;"NA",AA82&lt;&gt;"C",AA82&lt;&gt;"NC",AA82&lt;&gt;"SF",AA82&lt;&gt;""),
    AND(AC82&lt;&gt;"NA",AC82&lt;&gt;"C",AC82&lt;&gt;"NC",AC82&lt;&gt;"SF",AC82&lt;&gt;"")
),"FALSO",
IF(AND(O82="NA",Q82="NA",S82="NA",U82="NA",W82="NA",Y82="NA",AA82="NA",AC82="NA"),"NA",
IF(OR(O82="NC",Q82="NC",S82="NC",U82="NC",W82="NC",Y82="NC",AA82="NC",AC82="NC",
       O82="SF",Q82="SF",S82="SF",U82="SF",W82="SF",Y82="SF",AA82="SF",AC82="SF"),"NC",
IF(SUM(IF(O82="C",1,0),IF(Q82="C",1,0),IF(S82="C",1,0),IF(U82="C",1,0),IF(W82="C",1,0),IF(Y82="C",1,0),IF(AA82="C",1,0),IF(AC82="C",1,0))=1,"C","C")))))</f>
        <v>NC</v>
      </c>
      <c r="AG82" s="304" t="str">
        <f>IF(AND(AE82="C",AF82="C"),"UTILIZOU O PDA CORRETAMENTE",IF(AND(AE82="C",AF82="NC"),"UTILIZOU O PDA CORRETAMENTE. NÃO HÁ FOTOS DE TODAS AS ETAPAS",IF(AND(AE82="NC",AF82="NC"),"NÃO UTILIZOU O PDA",IF(AND(AE82="NA",AF82="NA"),"NÃO AVALIADO POR FALHA DE SINCRONISMO"))))</f>
        <v>UTILIZOU O PDA CORRETAMENTE. NÃO HÁ FOTOS DE TODAS AS ETAPAS</v>
      </c>
      <c r="AH82" s="9" t="s">
        <v>75</v>
      </c>
      <c r="AI82" s="145" t="str">
        <f t="shared" si="1"/>
        <v>SÃO PAULO</v>
      </c>
      <c r="AJ82" s="147" t="s">
        <v>36</v>
      </c>
      <c r="AK82" s="51"/>
    </row>
    <row r="83" spans="1:37" ht="30" customHeight="1">
      <c r="A83" s="243" t="s">
        <v>198</v>
      </c>
      <c r="B83" s="312">
        <v>2620806606</v>
      </c>
      <c r="C83" s="244" t="s">
        <v>154</v>
      </c>
      <c r="D83" s="244" t="s">
        <v>83</v>
      </c>
      <c r="E83" s="244" t="s">
        <v>35</v>
      </c>
      <c r="F83" s="244" t="s">
        <v>1171</v>
      </c>
      <c r="G83" s="244">
        <v>52</v>
      </c>
      <c r="H83" s="244" t="s">
        <v>200</v>
      </c>
      <c r="I83" s="244" t="s">
        <v>1172</v>
      </c>
      <c r="J83" s="244" t="s">
        <v>2837</v>
      </c>
      <c r="K83" s="209" t="s">
        <v>200</v>
      </c>
      <c r="L83" s="209" t="s">
        <v>2887</v>
      </c>
      <c r="M83" s="209" t="s">
        <v>2888</v>
      </c>
      <c r="N83" s="209" t="s">
        <v>2838</v>
      </c>
      <c r="O83" s="152" t="s">
        <v>207</v>
      </c>
      <c r="P83" s="90"/>
      <c r="Q83" s="140" t="s">
        <v>215</v>
      </c>
      <c r="R83" s="54" t="s">
        <v>310</v>
      </c>
      <c r="S83" s="140" t="s">
        <v>214</v>
      </c>
      <c r="T83" s="90"/>
      <c r="U83" s="140" t="s">
        <v>214</v>
      </c>
      <c r="V83" s="90"/>
      <c r="W83" s="140" t="s">
        <v>207</v>
      </c>
      <c r="X83" s="90"/>
      <c r="Y83" s="140" t="s">
        <v>214</v>
      </c>
      <c r="Z83" s="90"/>
      <c r="AA83" s="140" t="s">
        <v>207</v>
      </c>
      <c r="AB83" s="62"/>
      <c r="AC83" s="140" t="s">
        <v>215</v>
      </c>
      <c r="AD83" s="62" t="s">
        <v>1545</v>
      </c>
      <c r="AE83" s="140" t="s">
        <v>207</v>
      </c>
      <c r="AF83" s="189" t="str">
        <f>IF(AND(O83="",Q83="",S83="",U83="",W83="",Y83="",AA83="",AC83=""),"",
IF(OR(    AND(O83&lt;&gt;"NA",O83&lt;&gt;"C",O83&lt;&gt;"NC",O83&lt;&gt;"SF",O83&lt;&gt;""),
    AND(Q83&lt;&gt;"NA",Q83&lt;&gt;"C",Q83&lt;&gt;"NC",Q83&lt;&gt;"SF",Q83&lt;&gt;""),
    AND(S83&lt;&gt;"NA",S83&lt;&gt;"C",S83&lt;&gt;"NC",S83&lt;&gt;"SF",S83&lt;&gt;""),
    AND(U83&lt;&gt;"NA",U83&lt;&gt;"C",U83&lt;&gt;"NC",U83&lt;&gt;"SF",U83&lt;&gt;""),
    AND(W83&lt;&gt;"NA",W83&lt;&gt;"C",W83&lt;&gt;"NC",W83&lt;&gt;"SF",W83&lt;&gt;""),
    AND(Y83&lt;&gt;"NA",Y83&lt;&gt;"C",Y83&lt;&gt;"NC",Y83&lt;&gt;"SF",Y83&lt;&gt;""),
    AND(AA83&lt;&gt;"NA",AA83&lt;&gt;"C",AA83&lt;&gt;"NC",AA83&lt;&gt;"SF",AA83&lt;&gt;""),
    AND(AC83&lt;&gt;"NA",AC83&lt;&gt;"C",AC83&lt;&gt;"NC",AC83&lt;&gt;"SF",AC83&lt;&gt;"")
),"FALSO",
IF(AND(O83="NA",Q83="NA",S83="NA",U83="NA",W83="NA",Y83="NA",AA83="NA",AC83="NA"),"NA",
IF(OR(O83="NC",Q83="NC",S83="NC",U83="NC",W83="NC",Y83="NC",AA83="NC",AC83="NC",
       O83="SF",Q83="SF",S83="SF",U83="SF",W83="SF",Y83="SF",AA83="SF",AC83="SF"),"NC",
IF(SUM(IF(O83="C",1,0),IF(Q83="C",1,0),IF(S83="C",1,0),IF(U83="C",1,0),IF(W83="C",1,0),IF(Y83="C",1,0),IF(AA83="C",1,0),IF(AC83="C",1,0))=1,"C","C")))))</f>
        <v>NC</v>
      </c>
      <c r="AG83" s="304" t="str">
        <f>IF(AND(AE83="C",AF83="C"),"UTILIZOU O PDA CORRETAMENTE",IF(AND(AE83="C",AF83="NC"),"UTILIZOU O PDA CORRETAMENTE. NÃO HÁ FOTOS DE TODAS AS ETAPAS",IF(AND(AE83="NC",AF83="NC"),"NÃO UTILIZOU O PDA",IF(AND(AE83="NA",AF83="NA"),"NÃO AVALIADO POR FALHA DE SINCRONISMO"))))</f>
        <v>UTILIZOU O PDA CORRETAMENTE. NÃO HÁ FOTOS DE TODAS AS ETAPAS</v>
      </c>
      <c r="AH83" s="9" t="s">
        <v>54</v>
      </c>
      <c r="AI83" s="145" t="str">
        <f t="shared" si="1"/>
        <v>SÃO PAULO</v>
      </c>
      <c r="AJ83" s="147" t="s">
        <v>36</v>
      </c>
    </row>
    <row r="84" spans="1:37" ht="30" customHeight="1">
      <c r="A84" s="169" t="s">
        <v>198</v>
      </c>
      <c r="B84" s="311">
        <v>2621046951</v>
      </c>
      <c r="C84" s="242" t="s">
        <v>154</v>
      </c>
      <c r="D84" s="242" t="s">
        <v>83</v>
      </c>
      <c r="E84" s="242" t="s">
        <v>35</v>
      </c>
      <c r="F84" s="242" t="s">
        <v>687</v>
      </c>
      <c r="G84" s="242">
        <v>0</v>
      </c>
      <c r="H84" s="242" t="s">
        <v>200</v>
      </c>
      <c r="I84" s="242" t="s">
        <v>373</v>
      </c>
      <c r="J84" s="242" t="s">
        <v>2837</v>
      </c>
      <c r="K84" s="207" t="s">
        <v>200</v>
      </c>
      <c r="L84" s="207" t="s">
        <v>2889</v>
      </c>
      <c r="M84" s="207" t="s">
        <v>2890</v>
      </c>
      <c r="N84" s="207" t="s">
        <v>2838</v>
      </c>
      <c r="O84" s="152" t="s">
        <v>207</v>
      </c>
      <c r="P84" s="90"/>
      <c r="Q84" s="140" t="s">
        <v>215</v>
      </c>
      <c r="R84" s="54" t="s">
        <v>310</v>
      </c>
      <c r="S84" s="140" t="s">
        <v>207</v>
      </c>
      <c r="T84" s="90"/>
      <c r="U84" s="140" t="s">
        <v>214</v>
      </c>
      <c r="V84" s="90"/>
      <c r="W84" s="140" t="s">
        <v>207</v>
      </c>
      <c r="X84" s="90"/>
      <c r="Y84" s="140" t="s">
        <v>214</v>
      </c>
      <c r="Z84" s="90"/>
      <c r="AA84" s="140" t="s">
        <v>207</v>
      </c>
      <c r="AB84" s="62"/>
      <c r="AC84" s="140" t="s">
        <v>215</v>
      </c>
      <c r="AD84" s="62" t="s">
        <v>1545</v>
      </c>
      <c r="AE84" s="140" t="s">
        <v>207</v>
      </c>
      <c r="AF84" s="189" t="str">
        <f>IF(AND(O84="",Q84="",S84="",U84="",W84="",Y84="",AA84="",AC84=""),"",
IF(OR(    AND(O84&lt;&gt;"NA",O84&lt;&gt;"C",O84&lt;&gt;"NC",O84&lt;&gt;"SF",O84&lt;&gt;""),
    AND(Q84&lt;&gt;"NA",Q84&lt;&gt;"C",Q84&lt;&gt;"NC",Q84&lt;&gt;"SF",Q84&lt;&gt;""),
    AND(S84&lt;&gt;"NA",S84&lt;&gt;"C",S84&lt;&gt;"NC",S84&lt;&gt;"SF",S84&lt;&gt;""),
    AND(U84&lt;&gt;"NA",U84&lt;&gt;"C",U84&lt;&gt;"NC",U84&lt;&gt;"SF",U84&lt;&gt;""),
    AND(W84&lt;&gt;"NA",W84&lt;&gt;"C",W84&lt;&gt;"NC",W84&lt;&gt;"SF",W84&lt;&gt;""),
    AND(Y84&lt;&gt;"NA",Y84&lt;&gt;"C",Y84&lt;&gt;"NC",Y84&lt;&gt;"SF",Y84&lt;&gt;""),
    AND(AA84&lt;&gt;"NA",AA84&lt;&gt;"C",AA84&lt;&gt;"NC",AA84&lt;&gt;"SF",AA84&lt;&gt;""),
    AND(AC84&lt;&gt;"NA",AC84&lt;&gt;"C",AC84&lt;&gt;"NC",AC84&lt;&gt;"SF",AC84&lt;&gt;"")
),"FALSO",
IF(AND(O84="NA",Q84="NA",S84="NA",U84="NA",W84="NA",Y84="NA",AA84="NA",AC84="NA"),"NA",
IF(OR(O84="NC",Q84="NC",S84="NC",U84="NC",W84="NC",Y84="NC",AA84="NC",AC84="NC",
       O84="SF",Q84="SF",S84="SF",U84="SF",W84="SF",Y84="SF",AA84="SF",AC84="SF"),"NC",
IF(SUM(IF(O84="C",1,0),IF(Q84="C",1,0),IF(S84="C",1,0),IF(U84="C",1,0),IF(W84="C",1,0),IF(Y84="C",1,0),IF(AA84="C",1,0),IF(AC84="C",1,0))=1,"C","C")))))</f>
        <v>NC</v>
      </c>
      <c r="AG84" s="304" t="str">
        <f>IF(AND(AE84="C",AF84="C"),"UTILIZOU O PDA CORRETAMENTE",IF(AND(AE84="C",AF84="NC"),"UTILIZOU O PDA CORRETAMENTE. NÃO HÁ FOTOS DE TODAS AS ETAPAS",IF(AND(AE84="NC",AF84="NC"),"NÃO UTILIZOU O PDA",IF(AND(AE84="NA",AF84="NA"),"NÃO AVALIADO POR FALHA DE SINCRONISMO"))))</f>
        <v>UTILIZOU O PDA CORRETAMENTE. NÃO HÁ FOTOS DE TODAS AS ETAPAS</v>
      </c>
      <c r="AH84" s="9"/>
      <c r="AI84" s="145" t="str">
        <f t="shared" si="1"/>
        <v>SÃO PAULO</v>
      </c>
      <c r="AJ84" s="147" t="s">
        <v>36</v>
      </c>
    </row>
    <row r="85" spans="1:37" ht="30" customHeight="1">
      <c r="A85" s="153" t="s">
        <v>198</v>
      </c>
      <c r="B85" s="311">
        <v>2620805449</v>
      </c>
      <c r="C85" s="207" t="s">
        <v>154</v>
      </c>
      <c r="D85" s="207" t="s">
        <v>83</v>
      </c>
      <c r="E85" s="207" t="s">
        <v>35</v>
      </c>
      <c r="F85" s="207" t="s">
        <v>1168</v>
      </c>
      <c r="G85" s="207">
        <v>28</v>
      </c>
      <c r="H85" s="207" t="s">
        <v>200</v>
      </c>
      <c r="I85" s="207" t="s">
        <v>319</v>
      </c>
      <c r="J85" s="207" t="s">
        <v>2837</v>
      </c>
      <c r="K85" s="207" t="s">
        <v>200</v>
      </c>
      <c r="L85" s="207" t="s">
        <v>2891</v>
      </c>
      <c r="M85" s="207" t="s">
        <v>1327</v>
      </c>
      <c r="N85" s="207" t="s">
        <v>2838</v>
      </c>
      <c r="O85" s="154" t="s">
        <v>207</v>
      </c>
      <c r="P85" s="90"/>
      <c r="Q85" s="140" t="s">
        <v>215</v>
      </c>
      <c r="R85" s="54" t="s">
        <v>310</v>
      </c>
      <c r="S85" s="140" t="s">
        <v>207</v>
      </c>
      <c r="T85" s="90"/>
      <c r="U85" s="140" t="s">
        <v>214</v>
      </c>
      <c r="V85" s="90"/>
      <c r="W85" s="140" t="s">
        <v>207</v>
      </c>
      <c r="X85" s="90"/>
      <c r="Y85" s="140" t="s">
        <v>214</v>
      </c>
      <c r="Z85" s="90"/>
      <c r="AA85" s="140" t="s">
        <v>207</v>
      </c>
      <c r="AB85" s="62"/>
      <c r="AC85" s="140" t="s">
        <v>215</v>
      </c>
      <c r="AD85" s="62" t="s">
        <v>1545</v>
      </c>
      <c r="AE85" s="140" t="s">
        <v>207</v>
      </c>
      <c r="AF85" s="189" t="str">
        <f>IF(AND(O85="",Q85="",S85="",U85="",W85="",Y85="",AA85="",AC85=""),"",
IF(OR(    AND(O85&lt;&gt;"NA",O85&lt;&gt;"C",O85&lt;&gt;"NC",O85&lt;&gt;"SF",O85&lt;&gt;""),
    AND(Q85&lt;&gt;"NA",Q85&lt;&gt;"C",Q85&lt;&gt;"NC",Q85&lt;&gt;"SF",Q85&lt;&gt;""),
    AND(S85&lt;&gt;"NA",S85&lt;&gt;"C",S85&lt;&gt;"NC",S85&lt;&gt;"SF",S85&lt;&gt;""),
    AND(U85&lt;&gt;"NA",U85&lt;&gt;"C",U85&lt;&gt;"NC",U85&lt;&gt;"SF",U85&lt;&gt;""),
    AND(W85&lt;&gt;"NA",W85&lt;&gt;"C",W85&lt;&gt;"NC",W85&lt;&gt;"SF",W85&lt;&gt;""),
    AND(Y85&lt;&gt;"NA",Y85&lt;&gt;"C",Y85&lt;&gt;"NC",Y85&lt;&gt;"SF",Y85&lt;&gt;""),
    AND(AA85&lt;&gt;"NA",AA85&lt;&gt;"C",AA85&lt;&gt;"NC",AA85&lt;&gt;"SF",AA85&lt;&gt;""),
    AND(AC85&lt;&gt;"NA",AC85&lt;&gt;"C",AC85&lt;&gt;"NC",AC85&lt;&gt;"SF",AC85&lt;&gt;"")
),"FALSO",
IF(AND(O85="NA",Q85="NA",S85="NA",U85="NA",W85="NA",Y85="NA",AA85="NA",AC85="NA"),"NA",
IF(OR(O85="NC",Q85="NC",S85="NC",U85="NC",W85="NC",Y85="NC",AA85="NC",AC85="NC",
       O85="SF",Q85="SF",S85="SF",U85="SF",W85="SF",Y85="SF",AA85="SF",AC85="SF"),"NC",
IF(SUM(IF(O85="C",1,0),IF(Q85="C",1,0),IF(S85="C",1,0),IF(U85="C",1,0),IF(W85="C",1,0),IF(Y85="C",1,0),IF(AA85="C",1,0),IF(AC85="C",1,0))=1,"C","C")))))</f>
        <v>NC</v>
      </c>
      <c r="AG85" s="304" t="str">
        <f>IF(AND(AE85="C",AF85="C"),"UTILIZOU O PDA CORRETAMENTE",IF(AND(AE85="C",AF85="NC"),"UTILIZOU O PDA CORRETAMENTE. NÃO HÁ FOTOS DE TODAS AS ETAPAS",IF(AND(AE85="NC",AF85="NC"),"NÃO UTILIZOU O PDA",IF(AND(AE85="NA",AF85="NA"),"NÃO AVALIADO POR FALHA DE SINCRONISMO"))))</f>
        <v>UTILIZOU O PDA CORRETAMENTE. NÃO HÁ FOTOS DE TODAS AS ETAPAS</v>
      </c>
      <c r="AH85" s="9" t="s">
        <v>54</v>
      </c>
      <c r="AI85" s="145" t="str">
        <f t="shared" si="1"/>
        <v>SÃO PAULO</v>
      </c>
      <c r="AJ85" s="147" t="s">
        <v>36</v>
      </c>
    </row>
    <row r="86" spans="1:37" ht="30" customHeight="1">
      <c r="A86" s="208" t="s">
        <v>198</v>
      </c>
      <c r="B86" s="312">
        <v>2620365338</v>
      </c>
      <c r="C86" s="209" t="s">
        <v>154</v>
      </c>
      <c r="D86" s="209" t="s">
        <v>83</v>
      </c>
      <c r="E86" s="209" t="s">
        <v>35</v>
      </c>
      <c r="F86" s="209" t="s">
        <v>823</v>
      </c>
      <c r="G86" s="209">
        <v>27</v>
      </c>
      <c r="H86" s="209" t="s">
        <v>208</v>
      </c>
      <c r="I86" s="209" t="s">
        <v>359</v>
      </c>
      <c r="J86" s="209" t="s">
        <v>2837</v>
      </c>
      <c r="K86" s="209" t="s">
        <v>200</v>
      </c>
      <c r="L86" s="209" t="s">
        <v>2892</v>
      </c>
      <c r="M86" s="209" t="s">
        <v>2893</v>
      </c>
      <c r="N86" s="209" t="s">
        <v>2838</v>
      </c>
      <c r="O86" s="155" t="s">
        <v>207</v>
      </c>
      <c r="P86" s="90"/>
      <c r="Q86" s="140" t="s">
        <v>215</v>
      </c>
      <c r="R86" s="54" t="s">
        <v>310</v>
      </c>
      <c r="S86" s="140" t="s">
        <v>207</v>
      </c>
      <c r="T86" s="90"/>
      <c r="U86" s="140" t="s">
        <v>214</v>
      </c>
      <c r="V86" s="90"/>
      <c r="W86" s="140" t="s">
        <v>207</v>
      </c>
      <c r="X86" s="90"/>
      <c r="Y86" s="140" t="s">
        <v>214</v>
      </c>
      <c r="Z86" s="90"/>
      <c r="AA86" s="140" t="s">
        <v>207</v>
      </c>
      <c r="AB86" s="62"/>
      <c r="AC86" s="140" t="s">
        <v>215</v>
      </c>
      <c r="AD86" s="62" t="s">
        <v>1545</v>
      </c>
      <c r="AE86" s="140" t="s">
        <v>207</v>
      </c>
      <c r="AF86" s="189" t="str">
        <f>IF(AND(O86="",Q86="",S86="",U86="",W86="",Y86="",AA86="",AC86=""),"",
IF(OR(    AND(O86&lt;&gt;"NA",O86&lt;&gt;"C",O86&lt;&gt;"NC",O86&lt;&gt;"SF",O86&lt;&gt;""),
    AND(Q86&lt;&gt;"NA",Q86&lt;&gt;"C",Q86&lt;&gt;"NC",Q86&lt;&gt;"SF",Q86&lt;&gt;""),
    AND(S86&lt;&gt;"NA",S86&lt;&gt;"C",S86&lt;&gt;"NC",S86&lt;&gt;"SF",S86&lt;&gt;""),
    AND(U86&lt;&gt;"NA",U86&lt;&gt;"C",U86&lt;&gt;"NC",U86&lt;&gt;"SF",U86&lt;&gt;""),
    AND(W86&lt;&gt;"NA",W86&lt;&gt;"C",W86&lt;&gt;"NC",W86&lt;&gt;"SF",W86&lt;&gt;""),
    AND(Y86&lt;&gt;"NA",Y86&lt;&gt;"C",Y86&lt;&gt;"NC",Y86&lt;&gt;"SF",Y86&lt;&gt;""),
    AND(AA86&lt;&gt;"NA",AA86&lt;&gt;"C",AA86&lt;&gt;"NC",AA86&lt;&gt;"SF",AA86&lt;&gt;""),
    AND(AC86&lt;&gt;"NA",AC86&lt;&gt;"C",AC86&lt;&gt;"NC",AC86&lt;&gt;"SF",AC86&lt;&gt;"")
),"FALSO",
IF(AND(O86="NA",Q86="NA",S86="NA",U86="NA",W86="NA",Y86="NA",AA86="NA",AC86="NA"),"NA",
IF(OR(O86="NC",Q86="NC",S86="NC",U86="NC",W86="NC",Y86="NC",AA86="NC",AC86="NC",
       O86="SF",Q86="SF",S86="SF",U86="SF",W86="SF",Y86="SF",AA86="SF",AC86="SF"),"NC",
IF(SUM(IF(O86="C",1,0),IF(Q86="C",1,0),IF(S86="C",1,0),IF(U86="C",1,0),IF(W86="C",1,0),IF(Y86="C",1,0),IF(AA86="C",1,0),IF(AC86="C",1,0))=1,"C","C")))))</f>
        <v>NC</v>
      </c>
      <c r="AG86" s="304" t="str">
        <f>IF(AND(AE86="C",AF86="C"),"UTILIZOU O PDA CORRETAMENTE",IF(AND(AE86="C",AF86="NC"),"UTILIZOU O PDA CORRETAMENTE. NÃO HÁ FOTOS DE TODAS AS ETAPAS",IF(AND(AE86="NC",AF86="NC"),"NÃO UTILIZOU O PDA",IF(AND(AE86="NA",AF86="NA"),"NÃO AVALIADO POR FALHA DE SINCRONISMO"))))</f>
        <v>UTILIZOU O PDA CORRETAMENTE. NÃO HÁ FOTOS DE TODAS AS ETAPAS</v>
      </c>
      <c r="AH86" s="9" t="s">
        <v>54</v>
      </c>
      <c r="AI86" s="145" t="str">
        <f t="shared" si="1"/>
        <v>SÃO PAULO</v>
      </c>
      <c r="AJ86" s="147" t="s">
        <v>36</v>
      </c>
    </row>
    <row r="87" spans="1:37" ht="30" customHeight="1">
      <c r="A87" s="153" t="s">
        <v>198</v>
      </c>
      <c r="B87" s="311">
        <v>2620863984</v>
      </c>
      <c r="C87" s="207" t="s">
        <v>154</v>
      </c>
      <c r="D87" s="207" t="s">
        <v>83</v>
      </c>
      <c r="E87" s="207" t="s">
        <v>35</v>
      </c>
      <c r="F87" s="207" t="s">
        <v>1802</v>
      </c>
      <c r="G87" s="207">
        <v>20</v>
      </c>
      <c r="H87" s="207" t="s">
        <v>208</v>
      </c>
      <c r="I87" s="207" t="s">
        <v>580</v>
      </c>
      <c r="J87" s="207" t="s">
        <v>2881</v>
      </c>
      <c r="K87" s="207" t="s">
        <v>200</v>
      </c>
      <c r="L87" s="207" t="s">
        <v>2685</v>
      </c>
      <c r="M87" s="207" t="s">
        <v>2894</v>
      </c>
      <c r="N87" s="207" t="s">
        <v>203</v>
      </c>
      <c r="O87" s="154" t="s">
        <v>77</v>
      </c>
      <c r="P87" s="90"/>
      <c r="Q87" s="140" t="s">
        <v>77</v>
      </c>
      <c r="R87" s="90"/>
      <c r="S87" s="140" t="s">
        <v>77</v>
      </c>
      <c r="T87" s="90"/>
      <c r="U87" s="140" t="s">
        <v>77</v>
      </c>
      <c r="V87" s="90"/>
      <c r="W87" s="140" t="s">
        <v>77</v>
      </c>
      <c r="X87" s="90"/>
      <c r="Y87" s="140" t="s">
        <v>77</v>
      </c>
      <c r="Z87" s="90"/>
      <c r="AA87" s="140" t="s">
        <v>77</v>
      </c>
      <c r="AB87" s="62"/>
      <c r="AC87" s="140" t="s">
        <v>77</v>
      </c>
      <c r="AD87" s="62"/>
      <c r="AE87" s="140" t="s">
        <v>77</v>
      </c>
      <c r="AF87" s="189" t="str">
        <f>IF(AND(O87="",Q87="",S87="",U87="",W87="",Y87="",AA87="",AC87=""),"",
IF(OR(    AND(O87&lt;&gt;"NA",O87&lt;&gt;"C",O87&lt;&gt;"NC",O87&lt;&gt;"SF",O87&lt;&gt;""),
    AND(Q87&lt;&gt;"NA",Q87&lt;&gt;"C",Q87&lt;&gt;"NC",Q87&lt;&gt;"SF",Q87&lt;&gt;""),
    AND(S87&lt;&gt;"NA",S87&lt;&gt;"C",S87&lt;&gt;"NC",S87&lt;&gt;"SF",S87&lt;&gt;""),
    AND(U87&lt;&gt;"NA",U87&lt;&gt;"C",U87&lt;&gt;"NC",U87&lt;&gt;"SF",U87&lt;&gt;""),
    AND(W87&lt;&gt;"NA",W87&lt;&gt;"C",W87&lt;&gt;"NC",W87&lt;&gt;"SF",W87&lt;&gt;""),
    AND(Y87&lt;&gt;"NA",Y87&lt;&gt;"C",Y87&lt;&gt;"NC",Y87&lt;&gt;"SF",Y87&lt;&gt;""),
    AND(AA87&lt;&gt;"NA",AA87&lt;&gt;"C",AA87&lt;&gt;"NC",AA87&lt;&gt;"SF",AA87&lt;&gt;""),
    AND(AC87&lt;&gt;"NA",AC87&lt;&gt;"C",AC87&lt;&gt;"NC",AC87&lt;&gt;"SF",AC87&lt;&gt;"")
),"FALSO",
IF(AND(O87="NA",Q87="NA",S87="NA",U87="NA",W87="NA",Y87="NA",AA87="NA",AC87="NA"),"NA",
IF(OR(O87="NC",Q87="NC",S87="NC",U87="NC",W87="NC",Y87="NC",AA87="NC",AC87="NC",
       O87="SF",Q87="SF",S87="SF",U87="SF",W87="SF",Y87="SF",AA87="SF",AC87="SF"),"NC",
IF(SUM(IF(O87="C",1,0),IF(Q87="C",1,0),IF(S87="C",1,0),IF(U87="C",1,0),IF(W87="C",1,0),IF(Y87="C",1,0),IF(AA87="C",1,0),IF(AC87="C",1,0))=1,"C","C")))))</f>
        <v>NA</v>
      </c>
      <c r="AG87" s="304" t="str">
        <f>IF(AND(AE87="C",AF87="C"),"UTILIZOU O PDA CORRETAMENTE",IF(AND(AE87="C",AF87="NC"),"UTILIZOU O PDA CORRETAMENTE. NÃO HÁ FOTOS DE TODAS AS ETAPAS",IF(AND(AE87="NC",AF87="NC"),"NÃO UTILIZOU O PDA",IF(AND(AE87="NA",AF87="NA"),"NÃO AVALIADO POR FALHA DE SINCRONISMO"))))</f>
        <v>NÃO AVALIADO POR FALHA DE SINCRONISMO</v>
      </c>
      <c r="AH87" s="9" t="s">
        <v>75</v>
      </c>
      <c r="AI87" s="145" t="str">
        <f t="shared" si="1"/>
        <v>SÃO PAULO</v>
      </c>
      <c r="AJ87" s="147" t="s">
        <v>36</v>
      </c>
    </row>
    <row r="88" spans="1:37" ht="30" customHeight="1">
      <c r="A88" s="208" t="s">
        <v>198</v>
      </c>
      <c r="B88" s="312">
        <v>2620863343</v>
      </c>
      <c r="C88" s="209" t="s">
        <v>154</v>
      </c>
      <c r="D88" s="209" t="s">
        <v>83</v>
      </c>
      <c r="E88" s="209" t="s">
        <v>35</v>
      </c>
      <c r="F88" s="209" t="s">
        <v>1802</v>
      </c>
      <c r="G88" s="209">
        <v>18</v>
      </c>
      <c r="H88" s="209" t="s">
        <v>200</v>
      </c>
      <c r="I88" s="209" t="s">
        <v>580</v>
      </c>
      <c r="J88" s="209" t="s">
        <v>2881</v>
      </c>
      <c r="K88" s="209" t="s">
        <v>200</v>
      </c>
      <c r="L88" s="209" t="s">
        <v>2895</v>
      </c>
      <c r="M88" s="209" t="s">
        <v>1838</v>
      </c>
      <c r="N88" s="209" t="s">
        <v>203</v>
      </c>
      <c r="O88" s="155" t="s">
        <v>77</v>
      </c>
      <c r="P88" s="90"/>
      <c r="Q88" s="140" t="s">
        <v>77</v>
      </c>
      <c r="R88" s="90"/>
      <c r="S88" s="140" t="s">
        <v>77</v>
      </c>
      <c r="T88" s="90"/>
      <c r="U88" s="140" t="s">
        <v>77</v>
      </c>
      <c r="V88" s="90"/>
      <c r="W88" s="140" t="s">
        <v>77</v>
      </c>
      <c r="X88" s="90"/>
      <c r="Y88" s="140" t="s">
        <v>77</v>
      </c>
      <c r="Z88" s="90"/>
      <c r="AA88" s="140" t="s">
        <v>77</v>
      </c>
      <c r="AB88" s="62"/>
      <c r="AC88" s="140" t="s">
        <v>77</v>
      </c>
      <c r="AD88" s="62"/>
      <c r="AE88" s="140" t="s">
        <v>77</v>
      </c>
      <c r="AF88" s="189" t="str">
        <f>IF(AND(O88="",Q88="",S88="",U88="",W88="",Y88="",AA88="",AC88=""),"",
IF(OR(    AND(O88&lt;&gt;"NA",O88&lt;&gt;"C",O88&lt;&gt;"NC",O88&lt;&gt;"SF",O88&lt;&gt;""),
    AND(Q88&lt;&gt;"NA",Q88&lt;&gt;"C",Q88&lt;&gt;"NC",Q88&lt;&gt;"SF",Q88&lt;&gt;""),
    AND(S88&lt;&gt;"NA",S88&lt;&gt;"C",S88&lt;&gt;"NC",S88&lt;&gt;"SF",S88&lt;&gt;""),
    AND(U88&lt;&gt;"NA",U88&lt;&gt;"C",U88&lt;&gt;"NC",U88&lt;&gt;"SF",U88&lt;&gt;""),
    AND(W88&lt;&gt;"NA",W88&lt;&gt;"C",W88&lt;&gt;"NC",W88&lt;&gt;"SF",W88&lt;&gt;""),
    AND(Y88&lt;&gt;"NA",Y88&lt;&gt;"C",Y88&lt;&gt;"NC",Y88&lt;&gt;"SF",Y88&lt;&gt;""),
    AND(AA88&lt;&gt;"NA",AA88&lt;&gt;"C",AA88&lt;&gt;"NC",AA88&lt;&gt;"SF",AA88&lt;&gt;""),
    AND(AC88&lt;&gt;"NA",AC88&lt;&gt;"C",AC88&lt;&gt;"NC",AC88&lt;&gt;"SF",AC88&lt;&gt;"")
),"FALSO",
IF(AND(O88="NA",Q88="NA",S88="NA",U88="NA",W88="NA",Y88="NA",AA88="NA",AC88="NA"),"NA",
IF(OR(O88="NC",Q88="NC",S88="NC",U88="NC",W88="NC",Y88="NC",AA88="NC",AC88="NC",
       O88="SF",Q88="SF",S88="SF",U88="SF",W88="SF",Y88="SF",AA88="SF",AC88="SF"),"NC",
IF(SUM(IF(O88="C",1,0),IF(Q88="C",1,0),IF(S88="C",1,0),IF(U88="C",1,0),IF(W88="C",1,0),IF(Y88="C",1,0),IF(AA88="C",1,0),IF(AC88="C",1,0))=1,"C","C")))))</f>
        <v>NA</v>
      </c>
      <c r="AG88" s="304" t="str">
        <f>IF(AND(AE88="C",AF88="C"),"UTILIZOU O PDA CORRETAMENTE",IF(AND(AE88="C",AF88="NC"),"UTILIZOU O PDA CORRETAMENTE. NÃO HÁ FOTOS DE TODAS AS ETAPAS",IF(AND(AE88="NC",AF88="NC"),"NÃO UTILIZOU O PDA",IF(AND(AE88="NA",AF88="NA"),"NÃO AVALIADO POR FALHA DE SINCRONISMO"))))</f>
        <v>NÃO AVALIADO POR FALHA DE SINCRONISMO</v>
      </c>
      <c r="AH88" s="9" t="s">
        <v>75</v>
      </c>
      <c r="AI88" s="145" t="str">
        <f t="shared" si="1"/>
        <v>SÃO PAULO</v>
      </c>
      <c r="AJ88" s="147" t="s">
        <v>36</v>
      </c>
    </row>
    <row r="89" spans="1:37" ht="30" customHeight="1">
      <c r="A89" s="153" t="s">
        <v>198</v>
      </c>
      <c r="B89" s="311">
        <v>2621274376</v>
      </c>
      <c r="C89" s="207" t="s">
        <v>154</v>
      </c>
      <c r="D89" s="207" t="s">
        <v>83</v>
      </c>
      <c r="E89" s="207" t="s">
        <v>35</v>
      </c>
      <c r="F89" s="207" t="s">
        <v>1131</v>
      </c>
      <c r="G89" s="207">
        <v>459</v>
      </c>
      <c r="H89" s="207" t="s">
        <v>200</v>
      </c>
      <c r="I89" s="207" t="s">
        <v>417</v>
      </c>
      <c r="J89" s="207" t="s">
        <v>2837</v>
      </c>
      <c r="K89" s="207" t="s">
        <v>200</v>
      </c>
      <c r="L89" s="246">
        <v>46163.488888888889</v>
      </c>
      <c r="M89" s="246">
        <v>46163.489583333336</v>
      </c>
      <c r="N89" s="207" t="s">
        <v>2838</v>
      </c>
      <c r="O89" s="155" t="s">
        <v>207</v>
      </c>
      <c r="P89" s="90"/>
      <c r="Q89" s="140" t="s">
        <v>215</v>
      </c>
      <c r="R89" s="54" t="s">
        <v>310</v>
      </c>
      <c r="S89" s="140" t="s">
        <v>207</v>
      </c>
      <c r="T89" s="90"/>
      <c r="U89" s="140" t="s">
        <v>214</v>
      </c>
      <c r="V89" s="90"/>
      <c r="W89" s="140" t="s">
        <v>207</v>
      </c>
      <c r="X89" s="90"/>
      <c r="Y89" s="140" t="s">
        <v>214</v>
      </c>
      <c r="Z89" s="90"/>
      <c r="AA89" s="140" t="s">
        <v>207</v>
      </c>
      <c r="AB89" s="62"/>
      <c r="AC89" s="140" t="s">
        <v>215</v>
      </c>
      <c r="AD89" s="62" t="s">
        <v>1545</v>
      </c>
      <c r="AE89" s="140" t="s">
        <v>207</v>
      </c>
      <c r="AF89" s="189" t="str">
        <f>IF(AND(O89="",Q89="",S89="",U89="",W89="",Y89="",AA89="",AC89=""),"",
IF(OR(    AND(O89&lt;&gt;"NA",O89&lt;&gt;"C",O89&lt;&gt;"NC",O89&lt;&gt;"SF",O89&lt;&gt;""),
    AND(Q89&lt;&gt;"NA",Q89&lt;&gt;"C",Q89&lt;&gt;"NC",Q89&lt;&gt;"SF",Q89&lt;&gt;""),
    AND(S89&lt;&gt;"NA",S89&lt;&gt;"C",S89&lt;&gt;"NC",S89&lt;&gt;"SF",S89&lt;&gt;""),
    AND(U89&lt;&gt;"NA",U89&lt;&gt;"C",U89&lt;&gt;"NC",U89&lt;&gt;"SF",U89&lt;&gt;""),
    AND(W89&lt;&gt;"NA",W89&lt;&gt;"C",W89&lt;&gt;"NC",W89&lt;&gt;"SF",W89&lt;&gt;""),
    AND(Y89&lt;&gt;"NA",Y89&lt;&gt;"C",Y89&lt;&gt;"NC",Y89&lt;&gt;"SF",Y89&lt;&gt;""),
    AND(AA89&lt;&gt;"NA",AA89&lt;&gt;"C",AA89&lt;&gt;"NC",AA89&lt;&gt;"SF",AA89&lt;&gt;""),
    AND(AC89&lt;&gt;"NA",AC89&lt;&gt;"C",AC89&lt;&gt;"NC",AC89&lt;&gt;"SF",AC89&lt;&gt;"")
),"FALSO",
IF(AND(O89="NA",Q89="NA",S89="NA",U89="NA",W89="NA",Y89="NA",AA89="NA",AC89="NA"),"NA",
IF(OR(O89="NC",Q89="NC",S89="NC",U89="NC",W89="NC",Y89="NC",AA89="NC",AC89="NC",
       O89="SF",Q89="SF",S89="SF",U89="SF",W89="SF",Y89="SF",AA89="SF",AC89="SF"),"NC",
IF(SUM(IF(O89="C",1,0),IF(Q89="C",1,0),IF(S89="C",1,0),IF(U89="C",1,0),IF(W89="C",1,0),IF(Y89="C",1,0),IF(AA89="C",1,0),IF(AC89="C",1,0))=1,"C","C")))))</f>
        <v>NC</v>
      </c>
      <c r="AG89" s="304" t="str">
        <f>IF(AND(AE89="C",AF89="C"),"UTILIZOU O PDA CORRETAMENTE",IF(AND(AE89="C",AF89="NC"),"UTILIZOU O PDA CORRETAMENTE. NÃO HÁ FOTOS DE TODAS AS ETAPAS",IF(AND(AE89="NC",AF89="NC"),"NÃO UTILIZOU O PDA",IF(AND(AE89="NA",AF89="NA"),"NÃO AVALIADO POR FALHA DE SINCRONISMO"))))</f>
        <v>UTILIZOU O PDA CORRETAMENTE. NÃO HÁ FOTOS DE TODAS AS ETAPAS</v>
      </c>
      <c r="AH89" s="9"/>
      <c r="AI89" s="145" t="str">
        <f t="shared" si="1"/>
        <v>SÃO PAULO</v>
      </c>
      <c r="AJ89" s="147" t="s">
        <v>36</v>
      </c>
    </row>
    <row r="90" spans="1:37" ht="30" customHeight="1">
      <c r="A90" s="153" t="s">
        <v>198</v>
      </c>
      <c r="B90" s="311">
        <v>2621097308</v>
      </c>
      <c r="C90" s="207" t="s">
        <v>154</v>
      </c>
      <c r="D90" s="207" t="s">
        <v>83</v>
      </c>
      <c r="E90" s="207" t="s">
        <v>35</v>
      </c>
      <c r="F90" s="207" t="s">
        <v>1228</v>
      </c>
      <c r="G90" s="207">
        <v>153</v>
      </c>
      <c r="H90" s="207" t="s">
        <v>205</v>
      </c>
      <c r="I90" s="207" t="s">
        <v>314</v>
      </c>
      <c r="J90" s="207" t="s">
        <v>2837</v>
      </c>
      <c r="K90" s="207" t="s">
        <v>200</v>
      </c>
      <c r="L90" s="246">
        <v>46163.379861111112</v>
      </c>
      <c r="M90" s="246">
        <v>46163.380555555559</v>
      </c>
      <c r="N90" s="207" t="s">
        <v>2838</v>
      </c>
      <c r="O90" s="155" t="s">
        <v>77</v>
      </c>
      <c r="P90" s="90"/>
      <c r="Q90" s="140" t="s">
        <v>77</v>
      </c>
      <c r="R90" s="90"/>
      <c r="S90" s="140" t="s">
        <v>77</v>
      </c>
      <c r="T90" s="90"/>
      <c r="U90" s="140" t="s">
        <v>77</v>
      </c>
      <c r="V90" s="90"/>
      <c r="W90" s="140" t="s">
        <v>77</v>
      </c>
      <c r="X90" s="90"/>
      <c r="Y90" s="140" t="s">
        <v>77</v>
      </c>
      <c r="Z90" s="90"/>
      <c r="AA90" s="140" t="s">
        <v>77</v>
      </c>
      <c r="AB90" s="62"/>
      <c r="AC90" s="140" t="s">
        <v>77</v>
      </c>
      <c r="AD90" s="62"/>
      <c r="AE90" s="140" t="s">
        <v>77</v>
      </c>
      <c r="AF90" s="189" t="str">
        <f>IF(AND(O90="",Q90="",S90="",U90="",W90="",Y90="",AA90="",AC90=""),"",
IF(OR(    AND(O90&lt;&gt;"NA",O90&lt;&gt;"C",O90&lt;&gt;"NC",O90&lt;&gt;"SF",O90&lt;&gt;""),
    AND(Q90&lt;&gt;"NA",Q90&lt;&gt;"C",Q90&lt;&gt;"NC",Q90&lt;&gt;"SF",Q90&lt;&gt;""),
    AND(S90&lt;&gt;"NA",S90&lt;&gt;"C",S90&lt;&gt;"NC",S90&lt;&gt;"SF",S90&lt;&gt;""),
    AND(U90&lt;&gt;"NA",U90&lt;&gt;"C",U90&lt;&gt;"NC",U90&lt;&gt;"SF",U90&lt;&gt;""),
    AND(W90&lt;&gt;"NA",W90&lt;&gt;"C",W90&lt;&gt;"NC",W90&lt;&gt;"SF",W90&lt;&gt;""),
    AND(Y90&lt;&gt;"NA",Y90&lt;&gt;"C",Y90&lt;&gt;"NC",Y90&lt;&gt;"SF",Y90&lt;&gt;""),
    AND(AA90&lt;&gt;"NA",AA90&lt;&gt;"C",AA90&lt;&gt;"NC",AA90&lt;&gt;"SF",AA90&lt;&gt;""),
    AND(AC90&lt;&gt;"NA",AC90&lt;&gt;"C",AC90&lt;&gt;"NC",AC90&lt;&gt;"SF",AC90&lt;&gt;"")
),"FALSO",
IF(AND(O90="NA",Q90="NA",S90="NA",U90="NA",W90="NA",Y90="NA",AA90="NA",AC90="NA"),"NA",
IF(OR(O90="NC",Q90="NC",S90="NC",U90="NC",W90="NC",Y90="NC",AA90="NC",AC90="NC",
       O90="SF",Q90="SF",S90="SF",U90="SF",W90="SF",Y90="SF",AA90="SF",AC90="SF"),"NC",
IF(SUM(IF(O90="C",1,0),IF(Q90="C",1,0),IF(S90="C",1,0),IF(U90="C",1,0),IF(W90="C",1,0),IF(Y90="C",1,0),IF(AA90="C",1,0),IF(AC90="C",1,0))=1,"C","C")))))</f>
        <v>NA</v>
      </c>
      <c r="AG90" s="304" t="str">
        <f>IF(AND(AE90="C",AF90="C"),"UTILIZOU O PDA CORRETAMENTE",IF(AND(AE90="C",AF90="NC"),"UTILIZOU O PDA CORRETAMENTE. NÃO HÁ FOTOS DE TODAS AS ETAPAS",IF(AND(AE90="NC",AF90="NC"),"NÃO UTILIZOU O PDA",IF(AND(AE90="NA",AF90="NA"),"NÃO AVALIADO POR FALHA DE SINCRONISMO"))))</f>
        <v>NÃO AVALIADO POR FALHA DE SINCRONISMO</v>
      </c>
      <c r="AH90" s="9" t="s">
        <v>75</v>
      </c>
      <c r="AI90" s="145" t="str">
        <f t="shared" si="1"/>
        <v>SÃO PAULO</v>
      </c>
      <c r="AJ90" s="147" t="s">
        <v>36</v>
      </c>
    </row>
    <row r="91" spans="1:37" ht="30" customHeight="1">
      <c r="A91" s="208" t="s">
        <v>198</v>
      </c>
      <c r="B91" s="312">
        <v>2621282671</v>
      </c>
      <c r="C91" s="209" t="s">
        <v>154</v>
      </c>
      <c r="D91" s="209" t="s">
        <v>83</v>
      </c>
      <c r="E91" s="209" t="s">
        <v>35</v>
      </c>
      <c r="F91" s="209" t="s">
        <v>1843</v>
      </c>
      <c r="G91" s="209">
        <v>21</v>
      </c>
      <c r="H91" s="209" t="s">
        <v>200</v>
      </c>
      <c r="I91" s="209" t="s">
        <v>357</v>
      </c>
      <c r="J91" s="209" t="s">
        <v>2837</v>
      </c>
      <c r="K91" s="209" t="s">
        <v>200</v>
      </c>
      <c r="L91" s="247">
        <v>46163.45</v>
      </c>
      <c r="M91" s="247">
        <v>46163.450694444444</v>
      </c>
      <c r="N91" s="209" t="s">
        <v>2838</v>
      </c>
      <c r="O91" s="155" t="s">
        <v>207</v>
      </c>
      <c r="P91" s="90"/>
      <c r="Q91" s="140" t="s">
        <v>215</v>
      </c>
      <c r="R91" s="54" t="s">
        <v>310</v>
      </c>
      <c r="S91" s="140" t="s">
        <v>207</v>
      </c>
      <c r="T91" s="90"/>
      <c r="U91" s="140" t="s">
        <v>214</v>
      </c>
      <c r="V91" s="90"/>
      <c r="W91" s="140" t="s">
        <v>207</v>
      </c>
      <c r="X91" s="90"/>
      <c r="Y91" s="140" t="s">
        <v>214</v>
      </c>
      <c r="Z91" s="90"/>
      <c r="AA91" s="140" t="s">
        <v>207</v>
      </c>
      <c r="AB91" s="62"/>
      <c r="AC91" s="140" t="s">
        <v>207</v>
      </c>
      <c r="AD91" s="62"/>
      <c r="AE91" s="140" t="s">
        <v>207</v>
      </c>
      <c r="AF91" s="189" t="str">
        <f>IF(AND(O91="",Q91="",S91="",U91="",W91="",Y91="",AA91="",AC91=""),"",
IF(OR(    AND(O91&lt;&gt;"NA",O91&lt;&gt;"C",O91&lt;&gt;"NC",O91&lt;&gt;"SF",O91&lt;&gt;""),
    AND(Q91&lt;&gt;"NA",Q91&lt;&gt;"C",Q91&lt;&gt;"NC",Q91&lt;&gt;"SF",Q91&lt;&gt;""),
    AND(S91&lt;&gt;"NA",S91&lt;&gt;"C",S91&lt;&gt;"NC",S91&lt;&gt;"SF",S91&lt;&gt;""),
    AND(U91&lt;&gt;"NA",U91&lt;&gt;"C",U91&lt;&gt;"NC",U91&lt;&gt;"SF",U91&lt;&gt;""),
    AND(W91&lt;&gt;"NA",W91&lt;&gt;"C",W91&lt;&gt;"NC",W91&lt;&gt;"SF",W91&lt;&gt;""),
    AND(Y91&lt;&gt;"NA",Y91&lt;&gt;"C",Y91&lt;&gt;"NC",Y91&lt;&gt;"SF",Y91&lt;&gt;""),
    AND(AA91&lt;&gt;"NA",AA91&lt;&gt;"C",AA91&lt;&gt;"NC",AA91&lt;&gt;"SF",AA91&lt;&gt;""),
    AND(AC91&lt;&gt;"NA",AC91&lt;&gt;"C",AC91&lt;&gt;"NC",AC91&lt;&gt;"SF",AC91&lt;&gt;"")
),"FALSO",
IF(AND(O91="NA",Q91="NA",S91="NA",U91="NA",W91="NA",Y91="NA",AA91="NA",AC91="NA"),"NA",
IF(OR(O91="NC",Q91="NC",S91="NC",U91="NC",W91="NC",Y91="NC",AA91="NC",AC91="NC",
       O91="SF",Q91="SF",S91="SF",U91="SF",W91="SF",Y91="SF",AA91="SF",AC91="SF"),"NC",
IF(SUM(IF(O91="C",1,0),IF(Q91="C",1,0),IF(S91="C",1,0),IF(U91="C",1,0),IF(W91="C",1,0),IF(Y91="C",1,0),IF(AA91="C",1,0),IF(AC91="C",1,0))=1,"C","C")))))</f>
        <v>NC</v>
      </c>
      <c r="AG91" s="304" t="str">
        <f>IF(AND(AE91="C",AF91="C"),"UTILIZOU O PDA CORRETAMENTE",IF(AND(AE91="C",AF91="NC"),"UTILIZOU O PDA CORRETAMENTE. NÃO HÁ FOTOS DE TODAS AS ETAPAS",IF(AND(AE91="NC",AF91="NC"),"NÃO UTILIZOU O PDA",IF(AND(AE91="NA",AF91="NA"),"NÃO AVALIADO POR FALHA DE SINCRONISMO"))))</f>
        <v>UTILIZOU O PDA CORRETAMENTE. NÃO HÁ FOTOS DE TODAS AS ETAPAS</v>
      </c>
      <c r="AH91" s="9" t="s">
        <v>75</v>
      </c>
      <c r="AI91" s="145" t="str">
        <f t="shared" si="1"/>
        <v>SÃO PAULO</v>
      </c>
      <c r="AJ91" s="147" t="s">
        <v>36</v>
      </c>
    </row>
    <row r="92" spans="1:37" ht="30" customHeight="1">
      <c r="A92" s="250" t="s">
        <v>198</v>
      </c>
      <c r="B92" s="313">
        <v>2621109782</v>
      </c>
      <c r="C92" s="251" t="s">
        <v>154</v>
      </c>
      <c r="D92" s="251" t="s">
        <v>83</v>
      </c>
      <c r="E92" s="251" t="s">
        <v>35</v>
      </c>
      <c r="F92" s="251" t="s">
        <v>498</v>
      </c>
      <c r="G92" s="251">
        <v>4841</v>
      </c>
      <c r="H92" s="251" t="s">
        <v>208</v>
      </c>
      <c r="I92" s="251" t="s">
        <v>1331</v>
      </c>
      <c r="J92" s="251" t="s">
        <v>2837</v>
      </c>
      <c r="K92" s="251" t="s">
        <v>200</v>
      </c>
      <c r="L92" s="252">
        <v>46164.451388888891</v>
      </c>
      <c r="M92" s="252">
        <v>46164.45208333333</v>
      </c>
      <c r="N92" s="251" t="s">
        <v>2838</v>
      </c>
      <c r="O92" s="155" t="s">
        <v>207</v>
      </c>
      <c r="P92" s="90"/>
      <c r="Q92" s="90" t="s">
        <v>207</v>
      </c>
      <c r="R92" s="90"/>
      <c r="S92" s="90" t="s">
        <v>207</v>
      </c>
      <c r="T92" s="90"/>
      <c r="U92" s="90" t="s">
        <v>214</v>
      </c>
      <c r="V92" s="90"/>
      <c r="W92" s="90" t="s">
        <v>207</v>
      </c>
      <c r="X92" s="90"/>
      <c r="Y92" s="90" t="s">
        <v>214</v>
      </c>
      <c r="Z92" s="90"/>
      <c r="AA92" s="90" t="s">
        <v>207</v>
      </c>
      <c r="AB92" s="90"/>
      <c r="AC92" s="90" t="s">
        <v>215</v>
      </c>
      <c r="AD92" s="90" t="s">
        <v>2896</v>
      </c>
      <c r="AE92" s="90" t="s">
        <v>207</v>
      </c>
      <c r="AF92" s="305" t="str">
        <f>IF(AND(O92="",Q92="",S92="",U92="",W92="",Y92="",AA92="",AC92=""),"",
IF(OR(    AND(O92&lt;&gt;"NA",O92&lt;&gt;"C",O92&lt;&gt;"NC",O92&lt;&gt;"SF",O92&lt;&gt;""),
    AND(Q92&lt;&gt;"NA",Q92&lt;&gt;"C",Q92&lt;&gt;"NC",Q92&lt;&gt;"SF",Q92&lt;&gt;""),
    AND(S92&lt;&gt;"NA",S92&lt;&gt;"C",S92&lt;&gt;"NC",S92&lt;&gt;"SF",S92&lt;&gt;""),
    AND(U92&lt;&gt;"NA",U92&lt;&gt;"C",U92&lt;&gt;"NC",U92&lt;&gt;"SF",U92&lt;&gt;""),
    AND(W92&lt;&gt;"NA",W92&lt;&gt;"C",W92&lt;&gt;"NC",W92&lt;&gt;"SF",W92&lt;&gt;""),
    AND(Y92&lt;&gt;"NA",Y92&lt;&gt;"C",Y92&lt;&gt;"NC",Y92&lt;&gt;"SF",Y92&lt;&gt;""),
    AND(AA92&lt;&gt;"NA",AA92&lt;&gt;"C",AA92&lt;&gt;"NC",AA92&lt;&gt;"SF",AA92&lt;&gt;""),
    AND(AC92&lt;&gt;"NA",AC92&lt;&gt;"C",AC92&lt;&gt;"NC",AC92&lt;&gt;"SF",AC92&lt;&gt;"")
),"FALSO",
IF(AND(O92="NA",Q92="NA",S92="NA",U92="NA",W92="NA",Y92="NA",AA92="NA",AC92="NA"),"NA",
IF(OR(O92="NC",Q92="NC",S92="NC",U92="NC",W92="NC",Y92="NC",AA92="NC",AC92="NC",
       O92="SF",Q92="SF",S92="SF",U92="SF",W92="SF",Y92="SF",AA92="SF",AC92="SF"),"NC",
IF(SUM(IF(O92="C",1,0),IF(Q92="C",1,0),IF(S92="C",1,0),IF(U92="C",1,0),IF(W92="C",1,0),IF(Y92="C",1,0),IF(AA92="C",1,0),IF(AC92="C",1,0))=1,"C","C")))))</f>
        <v>NC</v>
      </c>
      <c r="AG92" s="304" t="str">
        <f>IF(AND(AE92="C",AF92="C"),"UTILIZOU O PDA CORRETAMENTE",IF(AND(AE92="C",AF92="NC"),"UTILIZOU O PDA CORRETAMENTE. NÃO HÁ FOTOS DE TODAS AS ETAPAS",IF(AND(AE92="NC",AF92="NC"),"NÃO UTILIZOU O PDA",IF(AND(AE92="NA",AF92="NA"),"NÃO AVALIADO POR FALHA DE SINCRONISMO"))))</f>
        <v>UTILIZOU O PDA CORRETAMENTE. NÃO HÁ FOTOS DE TODAS AS ETAPAS</v>
      </c>
      <c r="AH92" s="9" t="s">
        <v>75</v>
      </c>
      <c r="AI92" s="145" t="str">
        <f t="shared" si="1"/>
        <v>SÃO PAULO</v>
      </c>
      <c r="AJ92" s="147" t="s">
        <v>36</v>
      </c>
    </row>
    <row r="93" spans="1:37" ht="30" customHeight="1">
      <c r="A93" s="250" t="s">
        <v>198</v>
      </c>
      <c r="B93" s="313">
        <v>2620539932</v>
      </c>
      <c r="C93" s="251" t="s">
        <v>154</v>
      </c>
      <c r="D93" s="251" t="s">
        <v>83</v>
      </c>
      <c r="E93" s="251" t="s">
        <v>35</v>
      </c>
      <c r="F93" s="251" t="s">
        <v>1427</v>
      </c>
      <c r="G93" s="251">
        <v>41</v>
      </c>
      <c r="H93" s="251" t="s">
        <v>208</v>
      </c>
      <c r="I93" s="251" t="s">
        <v>319</v>
      </c>
      <c r="J93" s="251" t="s">
        <v>2837</v>
      </c>
      <c r="K93" s="251" t="s">
        <v>200</v>
      </c>
      <c r="L93" s="252">
        <v>46164.613888888889</v>
      </c>
      <c r="M93" s="252">
        <v>46164.614583333336</v>
      </c>
      <c r="N93" s="251" t="s">
        <v>2838</v>
      </c>
      <c r="O93" s="155" t="s">
        <v>207</v>
      </c>
      <c r="P93" s="90"/>
      <c r="Q93" s="140" t="s">
        <v>207</v>
      </c>
      <c r="R93" s="90"/>
      <c r="S93" s="140" t="s">
        <v>207</v>
      </c>
      <c r="T93" s="90"/>
      <c r="U93" s="140" t="s">
        <v>214</v>
      </c>
      <c r="V93" s="90"/>
      <c r="W93" s="140" t="s">
        <v>207</v>
      </c>
      <c r="X93" s="90"/>
      <c r="Y93" s="140" t="s">
        <v>214</v>
      </c>
      <c r="Z93" s="90"/>
      <c r="AA93" s="140" t="s">
        <v>207</v>
      </c>
      <c r="AB93" s="62"/>
      <c r="AC93" s="140" t="s">
        <v>207</v>
      </c>
      <c r="AD93" s="62"/>
      <c r="AE93" s="140" t="s">
        <v>207</v>
      </c>
      <c r="AF93" s="189" t="str">
        <f>IF(AND(O93="",Q93="",S93="",U93="",W93="",Y93="",AA93="",AC93=""),"",
IF(OR(    AND(O93&lt;&gt;"NA",O93&lt;&gt;"C",O93&lt;&gt;"NC",O93&lt;&gt;"SF",O93&lt;&gt;""),
    AND(Q93&lt;&gt;"NA",Q93&lt;&gt;"C",Q93&lt;&gt;"NC",Q93&lt;&gt;"SF",Q93&lt;&gt;""),
    AND(S93&lt;&gt;"NA",S93&lt;&gt;"C",S93&lt;&gt;"NC",S93&lt;&gt;"SF",S93&lt;&gt;""),
    AND(U93&lt;&gt;"NA",U93&lt;&gt;"C",U93&lt;&gt;"NC",U93&lt;&gt;"SF",U93&lt;&gt;""),
    AND(W93&lt;&gt;"NA",W93&lt;&gt;"C",W93&lt;&gt;"NC",W93&lt;&gt;"SF",W93&lt;&gt;""),
    AND(Y93&lt;&gt;"NA",Y93&lt;&gt;"C",Y93&lt;&gt;"NC",Y93&lt;&gt;"SF",Y93&lt;&gt;""),
    AND(AA93&lt;&gt;"NA",AA93&lt;&gt;"C",AA93&lt;&gt;"NC",AA93&lt;&gt;"SF",AA93&lt;&gt;""),
    AND(AC93&lt;&gt;"NA",AC93&lt;&gt;"C",AC93&lt;&gt;"NC",AC93&lt;&gt;"SF",AC93&lt;&gt;"")
),"FALSO",
IF(AND(O93="NA",Q93="NA",S93="NA",U93="NA",W93="NA",Y93="NA",AA93="NA",AC93="NA"),"NA",
IF(OR(O93="NC",Q93="NC",S93="NC",U93="NC",W93="NC",Y93="NC",AA93="NC",AC93="NC",
       O93="SF",Q93="SF",S93="SF",U93="SF",W93="SF",Y93="SF",AA93="SF",AC93="SF"),"NC",
IF(SUM(IF(O93="C",1,0),IF(Q93="C",1,0),IF(S93="C",1,0),IF(U93="C",1,0),IF(W93="C",1,0),IF(Y93="C",1,0),IF(AA93="C",1,0),IF(AC93="C",1,0))=1,"C","C")))))</f>
        <v>NC</v>
      </c>
      <c r="AG93" s="304" t="str">
        <f>IF(AND(AE93="C",AF93="C"),"UTILIZOU O PDA CORRETAMENTE",IF(AND(AE93="C",AF93="NC"),"UTILIZOU O PDA CORRETAMENTE. NÃO HÁ FOTOS DE TODAS AS ETAPAS",IF(AND(AE93="NC",AF93="NC"),"NÃO UTILIZOU O PDA",IF(AND(AE93="NA",AF93="NA"),"NÃO AVALIADO POR FALHA DE SINCRONISMO"))))</f>
        <v>UTILIZOU O PDA CORRETAMENTE. NÃO HÁ FOTOS DE TODAS AS ETAPAS</v>
      </c>
      <c r="AH93" s="9" t="s">
        <v>75</v>
      </c>
      <c r="AI93" s="145" t="str">
        <f t="shared" si="1"/>
        <v>SÃO PAULO</v>
      </c>
      <c r="AJ93" s="147" t="s">
        <v>36</v>
      </c>
    </row>
    <row r="94" spans="1:37" ht="30" customHeight="1">
      <c r="A94" s="253" t="s">
        <v>198</v>
      </c>
      <c r="B94" s="314">
        <v>2621261515</v>
      </c>
      <c r="C94" s="254" t="s">
        <v>154</v>
      </c>
      <c r="D94" s="254" t="s">
        <v>83</v>
      </c>
      <c r="E94" s="254" t="s">
        <v>35</v>
      </c>
      <c r="F94" s="254" t="s">
        <v>563</v>
      </c>
      <c r="G94" s="254">
        <v>4764</v>
      </c>
      <c r="H94" s="254" t="s">
        <v>200</v>
      </c>
      <c r="I94" s="254" t="s">
        <v>234</v>
      </c>
      <c r="J94" s="254" t="s">
        <v>2837</v>
      </c>
      <c r="K94" s="254" t="s">
        <v>200</v>
      </c>
      <c r="L94" s="255">
        <v>46164.513888888891</v>
      </c>
      <c r="M94" s="255">
        <v>46164.513888888891</v>
      </c>
      <c r="N94" s="254" t="s">
        <v>2838</v>
      </c>
      <c r="O94" s="155" t="s">
        <v>207</v>
      </c>
      <c r="P94" s="90"/>
      <c r="Q94" s="140" t="s">
        <v>207</v>
      </c>
      <c r="R94" s="90"/>
      <c r="S94" s="140" t="s">
        <v>207</v>
      </c>
      <c r="T94" s="90"/>
      <c r="U94" s="140" t="s">
        <v>214</v>
      </c>
      <c r="V94" s="90"/>
      <c r="W94" s="140" t="s">
        <v>207</v>
      </c>
      <c r="X94" s="90"/>
      <c r="Y94" s="140" t="s">
        <v>214</v>
      </c>
      <c r="Z94" s="90"/>
      <c r="AA94" s="140" t="s">
        <v>207</v>
      </c>
      <c r="AB94" s="62"/>
      <c r="AC94" s="140" t="s">
        <v>207</v>
      </c>
      <c r="AD94" s="62"/>
      <c r="AE94" s="140" t="s">
        <v>207</v>
      </c>
      <c r="AF94" s="189" t="str">
        <f>IF(AND(O94="",Q94="",S94="",U94="",W94="",Y94="",AA94="",AC94=""),"",
IF(OR(    AND(O94&lt;&gt;"NA",O94&lt;&gt;"C",O94&lt;&gt;"NC",O94&lt;&gt;"SF",O94&lt;&gt;""),
    AND(Q94&lt;&gt;"NA",Q94&lt;&gt;"C",Q94&lt;&gt;"NC",Q94&lt;&gt;"SF",Q94&lt;&gt;""),
    AND(S94&lt;&gt;"NA",S94&lt;&gt;"C",S94&lt;&gt;"NC",S94&lt;&gt;"SF",S94&lt;&gt;""),
    AND(U94&lt;&gt;"NA",U94&lt;&gt;"C",U94&lt;&gt;"NC",U94&lt;&gt;"SF",U94&lt;&gt;""),
    AND(W94&lt;&gt;"NA",W94&lt;&gt;"C",W94&lt;&gt;"NC",W94&lt;&gt;"SF",W94&lt;&gt;""),
    AND(Y94&lt;&gt;"NA",Y94&lt;&gt;"C",Y94&lt;&gt;"NC",Y94&lt;&gt;"SF",Y94&lt;&gt;""),
    AND(AA94&lt;&gt;"NA",AA94&lt;&gt;"C",AA94&lt;&gt;"NC",AA94&lt;&gt;"SF",AA94&lt;&gt;""),
    AND(AC94&lt;&gt;"NA",AC94&lt;&gt;"C",AC94&lt;&gt;"NC",AC94&lt;&gt;"SF",AC94&lt;&gt;"")
),"FALSO",
IF(AND(O94="NA",Q94="NA",S94="NA",U94="NA",W94="NA",Y94="NA",AA94="NA",AC94="NA"),"NA",
IF(OR(O94="NC",Q94="NC",S94="NC",U94="NC",W94="NC",Y94="NC",AA94="NC",AC94="NC",
       O94="SF",Q94="SF",S94="SF",U94="SF",W94="SF",Y94="SF",AA94="SF",AC94="SF"),"NC",
IF(SUM(IF(O94="C",1,0),IF(Q94="C",1,0),IF(S94="C",1,0),IF(U94="C",1,0),IF(W94="C",1,0),IF(Y94="C",1,0),IF(AA94="C",1,0),IF(AC94="C",1,0))=1,"C","C")))))</f>
        <v>NC</v>
      </c>
      <c r="AG94" s="304" t="str">
        <f>IF(AND(AE94="C",AF94="C"),"UTILIZOU O PDA CORRETAMENTE",IF(AND(AE94="C",AF94="NC"),"UTILIZOU O PDA CORRETAMENTE. NÃO HÁ FOTOS DE TODAS AS ETAPAS",IF(AND(AE94="NC",AF94="NC"),"NÃO UTILIZOU O PDA",IF(AND(AE94="NA",AF94="NA"),"NÃO AVALIADO POR FALHA DE SINCRONISMO"))))</f>
        <v>UTILIZOU O PDA CORRETAMENTE. NÃO HÁ FOTOS DE TODAS AS ETAPAS</v>
      </c>
      <c r="AH94" s="9" t="s">
        <v>75</v>
      </c>
      <c r="AI94" s="145" t="str">
        <f t="shared" si="1"/>
        <v>SÃO PAULO</v>
      </c>
      <c r="AJ94" s="147" t="s">
        <v>36</v>
      </c>
    </row>
    <row r="95" spans="1:37" ht="30" customHeight="1">
      <c r="A95" s="253" t="s">
        <v>198</v>
      </c>
      <c r="B95" s="314">
        <v>2621042789</v>
      </c>
      <c r="C95" s="254" t="s">
        <v>154</v>
      </c>
      <c r="D95" s="254" t="s">
        <v>83</v>
      </c>
      <c r="E95" s="254" t="s">
        <v>35</v>
      </c>
      <c r="F95" s="254" t="s">
        <v>1862</v>
      </c>
      <c r="G95" s="254">
        <v>182</v>
      </c>
      <c r="H95" s="254" t="s">
        <v>200</v>
      </c>
      <c r="I95" s="254" t="s">
        <v>201</v>
      </c>
      <c r="J95" s="254" t="s">
        <v>2837</v>
      </c>
      <c r="K95" s="254" t="s">
        <v>200</v>
      </c>
      <c r="L95" s="255">
        <v>46164.5</v>
      </c>
      <c r="M95" s="255">
        <v>46164.500694444447</v>
      </c>
      <c r="N95" s="254" t="s">
        <v>2838</v>
      </c>
      <c r="O95" s="155" t="s">
        <v>207</v>
      </c>
      <c r="P95" s="90"/>
      <c r="Q95" s="140" t="s">
        <v>207</v>
      </c>
      <c r="R95" s="90"/>
      <c r="S95" s="140" t="s">
        <v>207</v>
      </c>
      <c r="T95" s="90"/>
      <c r="U95" s="140" t="s">
        <v>214</v>
      </c>
      <c r="V95" s="90"/>
      <c r="W95" s="140" t="s">
        <v>207</v>
      </c>
      <c r="X95" s="90"/>
      <c r="Y95" s="140" t="s">
        <v>214</v>
      </c>
      <c r="Z95" s="90"/>
      <c r="AA95" s="140" t="s">
        <v>207</v>
      </c>
      <c r="AB95" s="62"/>
      <c r="AC95" s="140" t="s">
        <v>207</v>
      </c>
      <c r="AD95" s="62"/>
      <c r="AE95" s="140" t="s">
        <v>207</v>
      </c>
      <c r="AF95" s="189" t="str">
        <f>IF(AND(O95="",Q95="",S95="",U95="",W95="",Y95="",AA95="",AC95=""),"",
IF(OR(    AND(O95&lt;&gt;"NA",O95&lt;&gt;"C",O95&lt;&gt;"NC",O95&lt;&gt;"SF",O95&lt;&gt;""),
    AND(Q95&lt;&gt;"NA",Q95&lt;&gt;"C",Q95&lt;&gt;"NC",Q95&lt;&gt;"SF",Q95&lt;&gt;""),
    AND(S95&lt;&gt;"NA",S95&lt;&gt;"C",S95&lt;&gt;"NC",S95&lt;&gt;"SF",S95&lt;&gt;""),
    AND(U95&lt;&gt;"NA",U95&lt;&gt;"C",U95&lt;&gt;"NC",U95&lt;&gt;"SF",U95&lt;&gt;""),
    AND(W95&lt;&gt;"NA",W95&lt;&gt;"C",W95&lt;&gt;"NC",W95&lt;&gt;"SF",W95&lt;&gt;""),
    AND(Y95&lt;&gt;"NA",Y95&lt;&gt;"C",Y95&lt;&gt;"NC",Y95&lt;&gt;"SF",Y95&lt;&gt;""),
    AND(AA95&lt;&gt;"NA",AA95&lt;&gt;"C",AA95&lt;&gt;"NC",AA95&lt;&gt;"SF",AA95&lt;&gt;""),
    AND(AC95&lt;&gt;"NA",AC95&lt;&gt;"C",AC95&lt;&gt;"NC",AC95&lt;&gt;"SF",AC95&lt;&gt;"")
),"FALSO",
IF(AND(O95="NA",Q95="NA",S95="NA",U95="NA",W95="NA",Y95="NA",AA95="NA",AC95="NA"),"NA",
IF(OR(O95="NC",Q95="NC",S95="NC",U95="NC",W95="NC",Y95="NC",AA95="NC",AC95="NC",
       O95="SF",Q95="SF",S95="SF",U95="SF",W95="SF",Y95="SF",AA95="SF",AC95="SF"),"NC",
IF(SUM(IF(O95="C",1,0),IF(Q95="C",1,0),IF(S95="C",1,0),IF(U95="C",1,0),IF(W95="C",1,0),IF(Y95="C",1,0),IF(AA95="C",1,0),IF(AC95="C",1,0))=1,"C","C")))))</f>
        <v>NC</v>
      </c>
      <c r="AG95" s="304" t="str">
        <f>IF(AND(AE95="C",AF95="C"),"UTILIZOU O PDA CORRETAMENTE",IF(AND(AE95="C",AF95="NC"),"UTILIZOU O PDA CORRETAMENTE. NÃO HÁ FOTOS DE TODAS AS ETAPAS",IF(AND(AE95="NC",AF95="NC"),"NÃO UTILIZOU O PDA",IF(AND(AE95="NA",AF95="NA"),"NÃO AVALIADO POR FALHA DE SINCRONISMO"))))</f>
        <v>UTILIZOU O PDA CORRETAMENTE. NÃO HÁ FOTOS DE TODAS AS ETAPAS</v>
      </c>
      <c r="AH95" s="9" t="s">
        <v>75</v>
      </c>
      <c r="AI95" s="145" t="str">
        <f t="shared" si="1"/>
        <v>SÃO PAULO</v>
      </c>
      <c r="AJ95" s="147" t="s">
        <v>36</v>
      </c>
    </row>
    <row r="96" spans="1:37" ht="30" customHeight="1">
      <c r="A96" s="253" t="s">
        <v>198</v>
      </c>
      <c r="B96" s="314">
        <v>2621114410</v>
      </c>
      <c r="C96" s="254" t="s">
        <v>154</v>
      </c>
      <c r="D96" s="254" t="s">
        <v>83</v>
      </c>
      <c r="E96" s="254" t="s">
        <v>35</v>
      </c>
      <c r="F96" s="254" t="s">
        <v>204</v>
      </c>
      <c r="G96" s="254">
        <v>13601</v>
      </c>
      <c r="H96" s="254" t="s">
        <v>200</v>
      </c>
      <c r="I96" s="254" t="s">
        <v>717</v>
      </c>
      <c r="J96" s="254" t="s">
        <v>2837</v>
      </c>
      <c r="K96" s="254" t="s">
        <v>200</v>
      </c>
      <c r="L96" s="255">
        <v>46164.570833333331</v>
      </c>
      <c r="M96" s="255">
        <v>46164.570833333331</v>
      </c>
      <c r="N96" s="254" t="s">
        <v>2838</v>
      </c>
      <c r="O96" s="155" t="s">
        <v>207</v>
      </c>
      <c r="P96" s="90"/>
      <c r="Q96" s="140" t="s">
        <v>207</v>
      </c>
      <c r="R96" s="90"/>
      <c r="S96" s="140" t="s">
        <v>207</v>
      </c>
      <c r="T96" s="90"/>
      <c r="U96" s="140" t="s">
        <v>214</v>
      </c>
      <c r="V96" s="90"/>
      <c r="W96" s="140" t="s">
        <v>207</v>
      </c>
      <c r="X96" s="90"/>
      <c r="Y96" s="140" t="s">
        <v>214</v>
      </c>
      <c r="Z96" s="90"/>
      <c r="AA96" s="140" t="s">
        <v>207</v>
      </c>
      <c r="AB96" s="62"/>
      <c r="AC96" s="140" t="s">
        <v>215</v>
      </c>
      <c r="AD96" s="280" t="s">
        <v>2896</v>
      </c>
      <c r="AE96" s="140" t="s">
        <v>207</v>
      </c>
      <c r="AF96" s="189" t="str">
        <f>IF(AND(O96="",Q96="",S96="",U96="",W96="",Y96="",AA96="",AC96=""),"",
IF(OR(    AND(O96&lt;&gt;"NA",O96&lt;&gt;"C",O96&lt;&gt;"NC",O96&lt;&gt;"SF",O96&lt;&gt;""),
    AND(Q96&lt;&gt;"NA",Q96&lt;&gt;"C",Q96&lt;&gt;"NC",Q96&lt;&gt;"SF",Q96&lt;&gt;""),
    AND(S96&lt;&gt;"NA",S96&lt;&gt;"C",S96&lt;&gt;"NC",S96&lt;&gt;"SF",S96&lt;&gt;""),
    AND(U96&lt;&gt;"NA",U96&lt;&gt;"C",U96&lt;&gt;"NC",U96&lt;&gt;"SF",U96&lt;&gt;""),
    AND(W96&lt;&gt;"NA",W96&lt;&gt;"C",W96&lt;&gt;"NC",W96&lt;&gt;"SF",W96&lt;&gt;""),
    AND(Y96&lt;&gt;"NA",Y96&lt;&gt;"C",Y96&lt;&gt;"NC",Y96&lt;&gt;"SF",Y96&lt;&gt;""),
    AND(AA96&lt;&gt;"NA",AA96&lt;&gt;"C",AA96&lt;&gt;"NC",AA96&lt;&gt;"SF",AA96&lt;&gt;""),
    AND(AC96&lt;&gt;"NA",AC96&lt;&gt;"C",AC96&lt;&gt;"NC",AC96&lt;&gt;"SF",AC96&lt;&gt;"")
),"FALSO",
IF(AND(O96="NA",Q96="NA",S96="NA",U96="NA",W96="NA",Y96="NA",AA96="NA",AC96="NA"),"NA",
IF(OR(O96="NC",Q96="NC",S96="NC",U96="NC",W96="NC",Y96="NC",AA96="NC",AC96="NC",
       O96="SF",Q96="SF",S96="SF",U96="SF",W96="SF",Y96="SF",AA96="SF",AC96="SF"),"NC",
IF(SUM(IF(O96="C",1,0),IF(Q96="C",1,0),IF(S96="C",1,0),IF(U96="C",1,0),IF(W96="C",1,0),IF(Y96="C",1,0),IF(AA96="C",1,0),IF(AC96="C",1,0))=1,"C","C")))))</f>
        <v>NC</v>
      </c>
      <c r="AG96" s="304" t="str">
        <f>IF(AND(AE96="C",AF96="C"),"UTILIZOU O PDA CORRETAMENTE",IF(AND(AE96="C",AF96="NC"),"UTILIZOU O PDA CORRETAMENTE. NÃO HÁ FOTOS DE TODAS AS ETAPAS",IF(AND(AE96="NC",AF96="NC"),"NÃO UTILIZOU O PDA",IF(AND(AE96="NA",AF96="NA"),"NÃO AVALIADO POR FALHA DE SINCRONISMO"))))</f>
        <v>UTILIZOU O PDA CORRETAMENTE. NÃO HÁ FOTOS DE TODAS AS ETAPAS</v>
      </c>
      <c r="AH96" s="9" t="s">
        <v>75</v>
      </c>
      <c r="AI96" s="145" t="str">
        <f t="shared" si="1"/>
        <v>SÃO PAULO</v>
      </c>
      <c r="AJ96" s="147" t="s">
        <v>36</v>
      </c>
    </row>
    <row r="97" spans="1:36" ht="30" customHeight="1">
      <c r="A97" s="250" t="s">
        <v>198</v>
      </c>
      <c r="B97" s="313">
        <v>2620819494</v>
      </c>
      <c r="C97" s="251" t="s">
        <v>154</v>
      </c>
      <c r="D97" s="251" t="s">
        <v>83</v>
      </c>
      <c r="E97" s="251" t="s">
        <v>35</v>
      </c>
      <c r="F97" s="251" t="s">
        <v>204</v>
      </c>
      <c r="G97" s="251">
        <v>1720</v>
      </c>
      <c r="H97" s="251" t="s">
        <v>200</v>
      </c>
      <c r="I97" s="251" t="s">
        <v>209</v>
      </c>
      <c r="J97" s="251" t="s">
        <v>2881</v>
      </c>
      <c r="K97" s="251" t="s">
        <v>200</v>
      </c>
      <c r="L97" s="252">
        <v>46165.291666666664</v>
      </c>
      <c r="M97" s="252">
        <v>46165.299305555556</v>
      </c>
      <c r="N97" s="251" t="s">
        <v>309</v>
      </c>
      <c r="O97" s="155" t="s">
        <v>77</v>
      </c>
      <c r="P97" s="90"/>
      <c r="Q97" s="140" t="s">
        <v>77</v>
      </c>
      <c r="R97" s="90"/>
      <c r="S97" s="140" t="s">
        <v>77</v>
      </c>
      <c r="T97" s="90"/>
      <c r="U97" s="140" t="s">
        <v>77</v>
      </c>
      <c r="V97" s="90"/>
      <c r="W97" s="140" t="s">
        <v>77</v>
      </c>
      <c r="X97" s="90"/>
      <c r="Y97" s="140" t="s">
        <v>77</v>
      </c>
      <c r="Z97" s="90"/>
      <c r="AA97" s="140" t="s">
        <v>77</v>
      </c>
      <c r="AB97" s="62"/>
      <c r="AC97" s="140" t="s">
        <v>77</v>
      </c>
      <c r="AD97" s="62"/>
      <c r="AE97" s="140" t="s">
        <v>77</v>
      </c>
      <c r="AF97" s="189" t="str">
        <f>IF(AND(O97="",Q97="",S97="",U97="",W97="",Y97="",AA97="",AC97=""),"",
IF(OR(    AND(O97&lt;&gt;"NA",O97&lt;&gt;"C",O97&lt;&gt;"NC",O97&lt;&gt;"SF",O97&lt;&gt;""),
    AND(Q97&lt;&gt;"NA",Q97&lt;&gt;"C",Q97&lt;&gt;"NC",Q97&lt;&gt;"SF",Q97&lt;&gt;""),
    AND(S97&lt;&gt;"NA",S97&lt;&gt;"C",S97&lt;&gt;"NC",S97&lt;&gt;"SF",S97&lt;&gt;""),
    AND(U97&lt;&gt;"NA",U97&lt;&gt;"C",U97&lt;&gt;"NC",U97&lt;&gt;"SF",U97&lt;&gt;""),
    AND(W97&lt;&gt;"NA",W97&lt;&gt;"C",W97&lt;&gt;"NC",W97&lt;&gt;"SF",W97&lt;&gt;""),
    AND(Y97&lt;&gt;"NA",Y97&lt;&gt;"C",Y97&lt;&gt;"NC",Y97&lt;&gt;"SF",Y97&lt;&gt;""),
    AND(AA97&lt;&gt;"NA",AA97&lt;&gt;"C",AA97&lt;&gt;"NC",AA97&lt;&gt;"SF",AA97&lt;&gt;""),
    AND(AC97&lt;&gt;"NA",AC97&lt;&gt;"C",AC97&lt;&gt;"NC",AC97&lt;&gt;"SF",AC97&lt;&gt;"")
),"FALSO",
IF(AND(O97="NA",Q97="NA",S97="NA",U97="NA",W97="NA",Y97="NA",AA97="NA",AC97="NA"),"NA",
IF(OR(O97="NC",Q97="NC",S97="NC",U97="NC",W97="NC",Y97="NC",AA97="NC",AC97="NC",
       O97="SF",Q97="SF",S97="SF",U97="SF",W97="SF",Y97="SF",AA97="SF",AC97="SF"),"NC",
IF(SUM(IF(O97="C",1,0),IF(Q97="C",1,0),IF(S97="C",1,0),IF(U97="C",1,0),IF(W97="C",1,0),IF(Y97="C",1,0),IF(AA97="C",1,0),IF(AC97="C",1,0))=1,"C","C")))))</f>
        <v>NA</v>
      </c>
      <c r="AG97" s="304" t="str">
        <f>IF(AND(AE97="C",AF97="C"),"UTILIZOU O PDA CORRETAMENTE",IF(AND(AE97="C",AF97="NC"),"UTILIZOU O PDA CORRETAMENTE. NÃO HÁ FOTOS DE TODAS AS ETAPAS",IF(AND(AE97="NC",AF97="NC"),"NÃO UTILIZOU O PDA",IF(AND(AE97="NA",AF97="NA"),"NÃO AVALIADO POR FALHA DE SINCRONISMO"))))</f>
        <v>NÃO AVALIADO POR FALHA DE SINCRONISMO</v>
      </c>
      <c r="AH97" s="9" t="s">
        <v>75</v>
      </c>
      <c r="AI97" s="145" t="str">
        <f t="shared" si="1"/>
        <v>SÃO PAULO</v>
      </c>
      <c r="AJ97" s="147" t="s">
        <v>36</v>
      </c>
    </row>
    <row r="98" spans="1:36" ht="30" customHeight="1">
      <c r="A98" s="250" t="s">
        <v>198</v>
      </c>
      <c r="B98" s="313">
        <v>2621664778</v>
      </c>
      <c r="C98" s="251" t="s">
        <v>154</v>
      </c>
      <c r="D98" s="251" t="s">
        <v>83</v>
      </c>
      <c r="E98" s="251" t="s">
        <v>35</v>
      </c>
      <c r="F98" s="251" t="s">
        <v>420</v>
      </c>
      <c r="G98" s="251">
        <v>115</v>
      </c>
      <c r="H98" s="251" t="s">
        <v>200</v>
      </c>
      <c r="I98" s="251" t="s">
        <v>421</v>
      </c>
      <c r="J98" s="251" t="s">
        <v>2837</v>
      </c>
      <c r="K98" s="251" t="s">
        <v>200</v>
      </c>
      <c r="L98" s="252">
        <v>46165.429861111108</v>
      </c>
      <c r="M98" s="252">
        <v>46165.430555555555</v>
      </c>
      <c r="N98" s="251" t="s">
        <v>2838</v>
      </c>
      <c r="O98" s="155" t="s">
        <v>207</v>
      </c>
      <c r="P98" s="90"/>
      <c r="Q98" s="140" t="s">
        <v>207</v>
      </c>
      <c r="R98" s="90"/>
      <c r="S98" s="140" t="s">
        <v>207</v>
      </c>
      <c r="T98" s="90"/>
      <c r="U98" s="140" t="s">
        <v>214</v>
      </c>
      <c r="V98" s="90"/>
      <c r="W98" s="140" t="s">
        <v>207</v>
      </c>
      <c r="X98" s="90"/>
      <c r="Y98" s="140" t="s">
        <v>214</v>
      </c>
      <c r="Z98" s="90"/>
      <c r="AA98" s="140" t="s">
        <v>207</v>
      </c>
      <c r="AB98" s="62"/>
      <c r="AC98" s="140" t="s">
        <v>207</v>
      </c>
      <c r="AD98" s="62"/>
      <c r="AE98" s="140" t="s">
        <v>207</v>
      </c>
      <c r="AF98" s="189" t="str">
        <f>IF(AND(O98="",Q98="",S98="",U98="",W98="",Y98="",AA98="",AC98=""),"",
IF(OR(    AND(O98&lt;&gt;"NA",O98&lt;&gt;"C",O98&lt;&gt;"NC",O98&lt;&gt;"SF",O98&lt;&gt;""),
    AND(Q98&lt;&gt;"NA",Q98&lt;&gt;"C",Q98&lt;&gt;"NC",Q98&lt;&gt;"SF",Q98&lt;&gt;""),
    AND(S98&lt;&gt;"NA",S98&lt;&gt;"C",S98&lt;&gt;"NC",S98&lt;&gt;"SF",S98&lt;&gt;""),
    AND(U98&lt;&gt;"NA",U98&lt;&gt;"C",U98&lt;&gt;"NC",U98&lt;&gt;"SF",U98&lt;&gt;""),
    AND(W98&lt;&gt;"NA",W98&lt;&gt;"C",W98&lt;&gt;"NC",W98&lt;&gt;"SF",W98&lt;&gt;""),
    AND(Y98&lt;&gt;"NA",Y98&lt;&gt;"C",Y98&lt;&gt;"NC",Y98&lt;&gt;"SF",Y98&lt;&gt;""),
    AND(AA98&lt;&gt;"NA",AA98&lt;&gt;"C",AA98&lt;&gt;"NC",AA98&lt;&gt;"SF",AA98&lt;&gt;""),
    AND(AC98&lt;&gt;"NA",AC98&lt;&gt;"C",AC98&lt;&gt;"NC",AC98&lt;&gt;"SF",AC98&lt;&gt;"")
),"FALSO",
IF(AND(O98="NA",Q98="NA",S98="NA",U98="NA",W98="NA",Y98="NA",AA98="NA",AC98="NA"),"NA",
IF(OR(O98="NC",Q98="NC",S98="NC",U98="NC",W98="NC",Y98="NC",AA98="NC",AC98="NC",
       O98="SF",Q98="SF",S98="SF",U98="SF",W98="SF",Y98="SF",AA98="SF",AC98="SF"),"NC",
IF(SUM(IF(O98="C",1,0),IF(Q98="C",1,0),IF(S98="C",1,0),IF(U98="C",1,0),IF(W98="C",1,0),IF(Y98="C",1,0),IF(AA98="C",1,0),IF(AC98="C",1,0))=1,"C","C")))))</f>
        <v>NC</v>
      </c>
      <c r="AG98" s="304" t="str">
        <f>IF(AND(AE98="C",AF98="C"),"UTILIZOU O PDA CORRETAMENTE",IF(AND(AE98="C",AF98="NC"),"UTILIZOU O PDA CORRETAMENTE. NÃO HÁ FOTOS DE TODAS AS ETAPAS",IF(AND(AE98="NC",AF98="NC"),"NÃO UTILIZOU O PDA",IF(AND(AE98="NA",AF98="NA"),"NÃO AVALIADO POR FALHA DE SINCRONISMO"))))</f>
        <v>UTILIZOU O PDA CORRETAMENTE. NÃO HÁ FOTOS DE TODAS AS ETAPAS</v>
      </c>
      <c r="AH98" s="9"/>
      <c r="AI98" s="145" t="str">
        <f t="shared" si="1"/>
        <v>SÃO PAULO</v>
      </c>
      <c r="AJ98" s="147" t="s">
        <v>36</v>
      </c>
    </row>
    <row r="99" spans="1:36" ht="30" customHeight="1">
      <c r="A99" s="253" t="s">
        <v>198</v>
      </c>
      <c r="B99" s="314">
        <v>2621664975</v>
      </c>
      <c r="C99" s="254" t="s">
        <v>154</v>
      </c>
      <c r="D99" s="254" t="s">
        <v>83</v>
      </c>
      <c r="E99" s="254" t="s">
        <v>35</v>
      </c>
      <c r="F99" s="254" t="s">
        <v>638</v>
      </c>
      <c r="G99" s="254">
        <v>1</v>
      </c>
      <c r="H99" s="254" t="s">
        <v>347</v>
      </c>
      <c r="I99" s="254" t="s">
        <v>447</v>
      </c>
      <c r="J99" s="254" t="s">
        <v>2881</v>
      </c>
      <c r="K99" s="254" t="s">
        <v>200</v>
      </c>
      <c r="L99" s="255">
        <v>46165.291666666664</v>
      </c>
      <c r="M99" s="255">
        <v>46165.292361111111</v>
      </c>
      <c r="N99" s="254" t="s">
        <v>2838</v>
      </c>
      <c r="O99" s="155" t="s">
        <v>77</v>
      </c>
      <c r="P99" s="90"/>
      <c r="Q99" s="140" t="s">
        <v>77</v>
      </c>
      <c r="R99" s="90"/>
      <c r="S99" s="140" t="s">
        <v>77</v>
      </c>
      <c r="T99" s="90"/>
      <c r="U99" s="140" t="s">
        <v>77</v>
      </c>
      <c r="V99" s="90"/>
      <c r="W99" s="140" t="s">
        <v>77</v>
      </c>
      <c r="X99" s="90"/>
      <c r="Y99" s="140" t="s">
        <v>77</v>
      </c>
      <c r="Z99" s="90"/>
      <c r="AA99" s="140" t="s">
        <v>77</v>
      </c>
      <c r="AB99" s="62"/>
      <c r="AC99" s="140" t="s">
        <v>77</v>
      </c>
      <c r="AD99" s="62"/>
      <c r="AE99" s="140" t="s">
        <v>77</v>
      </c>
      <c r="AF99" s="189" t="str">
        <f>IF(AND(O99="",Q99="",S99="",U99="",W99="",Y99="",AA99="",AC99=""),"",
IF(OR(    AND(O99&lt;&gt;"NA",O99&lt;&gt;"C",O99&lt;&gt;"NC",O99&lt;&gt;"SF",O99&lt;&gt;""),
    AND(Q99&lt;&gt;"NA",Q99&lt;&gt;"C",Q99&lt;&gt;"NC",Q99&lt;&gt;"SF",Q99&lt;&gt;""),
    AND(S99&lt;&gt;"NA",S99&lt;&gt;"C",S99&lt;&gt;"NC",S99&lt;&gt;"SF",S99&lt;&gt;""),
    AND(U99&lt;&gt;"NA",U99&lt;&gt;"C",U99&lt;&gt;"NC",U99&lt;&gt;"SF",U99&lt;&gt;""),
    AND(W99&lt;&gt;"NA",W99&lt;&gt;"C",W99&lt;&gt;"NC",W99&lt;&gt;"SF",W99&lt;&gt;""),
    AND(Y99&lt;&gt;"NA",Y99&lt;&gt;"C",Y99&lt;&gt;"NC",Y99&lt;&gt;"SF",Y99&lt;&gt;""),
    AND(AA99&lt;&gt;"NA",AA99&lt;&gt;"C",AA99&lt;&gt;"NC",AA99&lt;&gt;"SF",AA99&lt;&gt;""),
    AND(AC99&lt;&gt;"NA",AC99&lt;&gt;"C",AC99&lt;&gt;"NC",AC99&lt;&gt;"SF",AC99&lt;&gt;"")
),"FALSO",
IF(AND(O99="NA",Q99="NA",S99="NA",U99="NA",W99="NA",Y99="NA",AA99="NA",AC99="NA"),"NA",
IF(OR(O99="NC",Q99="NC",S99="NC",U99="NC",W99="NC",Y99="NC",AA99="NC",AC99="NC",
       O99="SF",Q99="SF",S99="SF",U99="SF",W99="SF",Y99="SF",AA99="SF",AC99="SF"),"NC",
IF(SUM(IF(O99="C",1,0),IF(Q99="C",1,0),IF(S99="C",1,0),IF(U99="C",1,0),IF(W99="C",1,0),IF(Y99="C",1,0),IF(AA99="C",1,0),IF(AC99="C",1,0))=1,"C","C")))))</f>
        <v>NA</v>
      </c>
      <c r="AG99" s="304" t="str">
        <f>IF(AND(AE99="C",AF99="C"),"UTILIZOU O PDA CORRETAMENTE",IF(AND(AE99="C",AF99="NC"),"UTILIZOU O PDA CORRETAMENTE. NÃO HÁ FOTOS DE TODAS AS ETAPAS",IF(AND(AE99="NC",AF99="NC"),"NÃO UTILIZOU O PDA",IF(AND(AE99="NA",AF99="NA"),"NÃO AVALIADO POR FALHA DE SINCRONISMO"))))</f>
        <v>NÃO AVALIADO POR FALHA DE SINCRONISMO</v>
      </c>
      <c r="AH99" s="9"/>
      <c r="AI99" s="145" t="str">
        <f t="shared" si="1"/>
        <v>SÃO PAULO</v>
      </c>
      <c r="AJ99" s="147" t="s">
        <v>36</v>
      </c>
    </row>
    <row r="100" spans="1:36" ht="30" customHeight="1">
      <c r="A100" s="253" t="s">
        <v>198</v>
      </c>
      <c r="B100" s="314">
        <v>2621648200</v>
      </c>
      <c r="C100" s="254" t="s">
        <v>154</v>
      </c>
      <c r="D100" s="254" t="s">
        <v>83</v>
      </c>
      <c r="E100" s="254" t="s">
        <v>35</v>
      </c>
      <c r="F100" s="254" t="s">
        <v>703</v>
      </c>
      <c r="G100" s="254">
        <v>800</v>
      </c>
      <c r="H100" s="254" t="s">
        <v>200</v>
      </c>
      <c r="I100" s="254" t="s">
        <v>708</v>
      </c>
      <c r="J100" s="254" t="s">
        <v>2881</v>
      </c>
      <c r="K100" s="254" t="s">
        <v>200</v>
      </c>
      <c r="L100" s="255">
        <v>46165.291666666664</v>
      </c>
      <c r="M100" s="255">
        <v>46165.292361111111</v>
      </c>
      <c r="N100" s="254" t="s">
        <v>2838</v>
      </c>
      <c r="O100" s="158" t="s">
        <v>77</v>
      </c>
      <c r="P100" s="90"/>
      <c r="Q100" s="159" t="s">
        <v>77</v>
      </c>
      <c r="R100" s="90"/>
      <c r="S100" s="159" t="s">
        <v>77</v>
      </c>
      <c r="T100" s="90"/>
      <c r="U100" s="159" t="s">
        <v>77</v>
      </c>
      <c r="V100" s="90"/>
      <c r="W100" s="159" t="s">
        <v>77</v>
      </c>
      <c r="X100" s="90"/>
      <c r="Y100" s="159" t="s">
        <v>77</v>
      </c>
      <c r="Z100" s="90"/>
      <c r="AA100" s="159" t="s">
        <v>77</v>
      </c>
      <c r="AB100" s="90"/>
      <c r="AC100" s="159" t="s">
        <v>77</v>
      </c>
      <c r="AD100" s="90"/>
      <c r="AE100" s="159" t="s">
        <v>77</v>
      </c>
      <c r="AF100" s="189" t="str">
        <f>IF(AND(O100="",Q100="",S100="",U100="",W100="",Y100="",AA100="",AC100=""),"",
IF(OR(    AND(O100&lt;&gt;"NA",O100&lt;&gt;"C",O100&lt;&gt;"NC",O100&lt;&gt;"SF",O100&lt;&gt;""),
    AND(Q100&lt;&gt;"NA",Q100&lt;&gt;"C",Q100&lt;&gt;"NC",Q100&lt;&gt;"SF",Q100&lt;&gt;""),
    AND(S100&lt;&gt;"NA",S100&lt;&gt;"C",S100&lt;&gt;"NC",S100&lt;&gt;"SF",S100&lt;&gt;""),
    AND(U100&lt;&gt;"NA",U100&lt;&gt;"C",U100&lt;&gt;"NC",U100&lt;&gt;"SF",U100&lt;&gt;""),
    AND(W100&lt;&gt;"NA",W100&lt;&gt;"C",W100&lt;&gt;"NC",W100&lt;&gt;"SF",W100&lt;&gt;""),
    AND(Y100&lt;&gt;"NA",Y100&lt;&gt;"C",Y100&lt;&gt;"NC",Y100&lt;&gt;"SF",Y100&lt;&gt;""),
    AND(AA100&lt;&gt;"NA",AA100&lt;&gt;"C",AA100&lt;&gt;"NC",AA100&lt;&gt;"SF",AA100&lt;&gt;""),
    AND(AC100&lt;&gt;"NA",AC100&lt;&gt;"C",AC100&lt;&gt;"NC",AC100&lt;&gt;"SF",AC100&lt;&gt;"")
),"FALSO",
IF(AND(O100="NA",Q100="NA",S100="NA",U100="NA",W100="NA",Y100="NA",AA100="NA",AC100="NA"),"NA",
IF(OR(O100="NC",Q100="NC",S100="NC",U100="NC",W100="NC",Y100="NC",AA100="NC",AC100="NC",
       O100="SF",Q100="SF",S100="SF",U100="SF",W100="SF",Y100="SF",AA100="SF",AC100="SF"),"NC",
IF(SUM(IF(O100="C",1,0),IF(Q100="C",1,0),IF(S100="C",1,0),IF(U100="C",1,0),IF(W100="C",1,0),IF(Y100="C",1,0),IF(AA100="C",1,0),IF(AC100="C",1,0))=1,"C","C")))))</f>
        <v>NA</v>
      </c>
      <c r="AG100" s="304" t="str">
        <f>IF(AND(AE100="C",AF100="C"),"UTILIZOU O PDA CORRETAMENTE",IF(AND(AE100="C",AF100="NC"),"UTILIZOU O PDA CORRETAMENTE. NÃO HÁ FOTOS DE TODAS AS ETAPAS",IF(AND(AE100="NC",AF100="NC"),"NÃO UTILIZOU O PDA",IF(AND(AE100="NA",AF100="NA"),"NÃO AVALIADO POR FALHA DE SINCRONISMO"))))</f>
        <v>NÃO AVALIADO POR FALHA DE SINCRONISMO</v>
      </c>
      <c r="AH100" s="9"/>
      <c r="AI100" s="145" t="str">
        <f t="shared" si="1"/>
        <v>SÃO PAULO</v>
      </c>
      <c r="AJ100" s="147" t="s">
        <v>36</v>
      </c>
    </row>
    <row r="101" spans="1:36" ht="30" customHeight="1">
      <c r="A101" s="253" t="s">
        <v>198</v>
      </c>
      <c r="B101" s="314">
        <v>2621672141</v>
      </c>
      <c r="C101" s="254" t="s">
        <v>154</v>
      </c>
      <c r="D101" s="254" t="s">
        <v>83</v>
      </c>
      <c r="E101" s="254" t="s">
        <v>35</v>
      </c>
      <c r="F101" s="254" t="s">
        <v>1864</v>
      </c>
      <c r="G101" s="254">
        <v>311</v>
      </c>
      <c r="H101" s="254" t="s">
        <v>200</v>
      </c>
      <c r="I101" s="254" t="s">
        <v>1780</v>
      </c>
      <c r="J101" s="254" t="s">
        <v>2881</v>
      </c>
      <c r="K101" s="254" t="s">
        <v>200</v>
      </c>
      <c r="L101" s="255">
        <v>46165.291666666664</v>
      </c>
      <c r="M101" s="255">
        <v>46165.292361111111</v>
      </c>
      <c r="N101" s="254" t="s">
        <v>2838</v>
      </c>
      <c r="O101" s="174" t="s">
        <v>77</v>
      </c>
      <c r="P101" s="90"/>
      <c r="Q101" s="159" t="s">
        <v>77</v>
      </c>
      <c r="R101" s="90"/>
      <c r="S101" s="159" t="s">
        <v>77</v>
      </c>
      <c r="T101" s="90"/>
      <c r="U101" s="159" t="s">
        <v>77</v>
      </c>
      <c r="V101" s="90"/>
      <c r="W101" s="159" t="s">
        <v>77</v>
      </c>
      <c r="X101" s="90"/>
      <c r="Y101" s="159" t="s">
        <v>77</v>
      </c>
      <c r="Z101" s="90"/>
      <c r="AA101" s="159" t="s">
        <v>77</v>
      </c>
      <c r="AB101" s="90"/>
      <c r="AC101" s="159" t="s">
        <v>77</v>
      </c>
      <c r="AD101" s="90"/>
      <c r="AE101" s="159" t="s">
        <v>77</v>
      </c>
      <c r="AF101" s="189" t="str">
        <f>IF(AND(O101="",Q101="",S101="",U101="",W101="",Y101="",AA101="",AC101=""),"",
IF(OR(    AND(O101&lt;&gt;"NA",O101&lt;&gt;"C",O101&lt;&gt;"NC",O101&lt;&gt;"SF",O101&lt;&gt;""),
    AND(Q101&lt;&gt;"NA",Q101&lt;&gt;"C",Q101&lt;&gt;"NC",Q101&lt;&gt;"SF",Q101&lt;&gt;""),
    AND(S101&lt;&gt;"NA",S101&lt;&gt;"C",S101&lt;&gt;"NC",S101&lt;&gt;"SF",S101&lt;&gt;""),
    AND(U101&lt;&gt;"NA",U101&lt;&gt;"C",U101&lt;&gt;"NC",U101&lt;&gt;"SF",U101&lt;&gt;""),
    AND(W101&lt;&gt;"NA",W101&lt;&gt;"C",W101&lt;&gt;"NC",W101&lt;&gt;"SF",W101&lt;&gt;""),
    AND(Y101&lt;&gt;"NA",Y101&lt;&gt;"C",Y101&lt;&gt;"NC",Y101&lt;&gt;"SF",Y101&lt;&gt;""),
    AND(AA101&lt;&gt;"NA",AA101&lt;&gt;"C",AA101&lt;&gt;"NC",AA101&lt;&gt;"SF",AA101&lt;&gt;""),
    AND(AC101&lt;&gt;"NA",AC101&lt;&gt;"C",AC101&lt;&gt;"NC",AC101&lt;&gt;"SF",AC101&lt;&gt;"")
),"FALSO",
IF(AND(O101="NA",Q101="NA",S101="NA",U101="NA",W101="NA",Y101="NA",AA101="NA",AC101="NA"),"NA",
IF(OR(O101="NC",Q101="NC",S101="NC",U101="NC",W101="NC",Y101="NC",AA101="NC",AC101="NC",
       O101="SF",Q101="SF",S101="SF",U101="SF",W101="SF",Y101="SF",AA101="SF",AC101="SF"),"NC",
IF(SUM(IF(O101="C",1,0),IF(Q101="C",1,0),IF(S101="C",1,0),IF(U101="C",1,0),IF(W101="C",1,0),IF(Y101="C",1,0),IF(AA101="C",1,0),IF(AC101="C",1,0))=1,"C","C")))))</f>
        <v>NA</v>
      </c>
      <c r="AG101" s="304" t="str">
        <f>IF(AND(AE101="C",AF101="C"),"UTILIZOU O PDA CORRETAMENTE",IF(AND(AE101="C",AF101="NC"),"UTILIZOU O PDA CORRETAMENTE. NÃO HÁ FOTOS DE TODAS AS ETAPAS",IF(AND(AE101="NC",AF101="NC"),"NÃO UTILIZOU O PDA",IF(AND(AE101="NA",AF101="NA"),"NÃO AVALIADO POR FALHA DE SINCRONISMO"))))</f>
        <v>NÃO AVALIADO POR FALHA DE SINCRONISMO</v>
      </c>
      <c r="AH101" s="9" t="s">
        <v>75</v>
      </c>
      <c r="AI101" s="145" t="str">
        <f t="shared" si="1"/>
        <v>SÃO PAULO</v>
      </c>
      <c r="AJ101" s="147" t="s">
        <v>36</v>
      </c>
    </row>
    <row r="102" spans="1:36" ht="30" customHeight="1">
      <c r="A102" s="277" t="s">
        <v>198</v>
      </c>
      <c r="B102" s="315">
        <v>2621669073</v>
      </c>
      <c r="C102" s="267" t="s">
        <v>154</v>
      </c>
      <c r="D102" s="267" t="s">
        <v>83</v>
      </c>
      <c r="E102" s="267" t="s">
        <v>35</v>
      </c>
      <c r="F102" s="267" t="s">
        <v>622</v>
      </c>
      <c r="G102" s="267">
        <v>327</v>
      </c>
      <c r="H102" s="267" t="s">
        <v>200</v>
      </c>
      <c r="I102" s="267" t="s">
        <v>433</v>
      </c>
      <c r="J102" s="267" t="s">
        <v>2837</v>
      </c>
      <c r="K102" s="267" t="s">
        <v>200</v>
      </c>
      <c r="L102" s="278">
        <v>46165.463888888888</v>
      </c>
      <c r="M102" s="278">
        <v>46165.463888888888</v>
      </c>
      <c r="N102" s="267" t="s">
        <v>2838</v>
      </c>
      <c r="O102" s="174" t="s">
        <v>207</v>
      </c>
      <c r="P102" s="90"/>
      <c r="Q102" s="159" t="s">
        <v>207</v>
      </c>
      <c r="R102" s="90"/>
      <c r="S102" s="159" t="s">
        <v>207</v>
      </c>
      <c r="T102" s="90"/>
      <c r="U102" s="159" t="s">
        <v>214</v>
      </c>
      <c r="V102" s="90"/>
      <c r="W102" s="159" t="s">
        <v>207</v>
      </c>
      <c r="X102" s="90"/>
      <c r="Y102" s="159" t="s">
        <v>214</v>
      </c>
      <c r="Z102" s="90"/>
      <c r="AA102" s="159" t="s">
        <v>207</v>
      </c>
      <c r="AB102" s="90"/>
      <c r="AC102" s="159" t="s">
        <v>207</v>
      </c>
      <c r="AD102" s="90"/>
      <c r="AE102" s="159" t="s">
        <v>207</v>
      </c>
      <c r="AF102" s="189" t="str">
        <f>IF(AND(O102="",Q102="",S102="",U102="",W102="",Y102="",AA102="",AC102=""),"",
IF(OR(    AND(O102&lt;&gt;"NA",O102&lt;&gt;"C",O102&lt;&gt;"NC",O102&lt;&gt;"SF",O102&lt;&gt;""),
    AND(Q102&lt;&gt;"NA",Q102&lt;&gt;"C",Q102&lt;&gt;"NC",Q102&lt;&gt;"SF",Q102&lt;&gt;""),
    AND(S102&lt;&gt;"NA",S102&lt;&gt;"C",S102&lt;&gt;"NC",S102&lt;&gt;"SF",S102&lt;&gt;""),
    AND(U102&lt;&gt;"NA",U102&lt;&gt;"C",U102&lt;&gt;"NC",U102&lt;&gt;"SF",U102&lt;&gt;""),
    AND(W102&lt;&gt;"NA",W102&lt;&gt;"C",W102&lt;&gt;"NC",W102&lt;&gt;"SF",W102&lt;&gt;""),
    AND(Y102&lt;&gt;"NA",Y102&lt;&gt;"C",Y102&lt;&gt;"NC",Y102&lt;&gt;"SF",Y102&lt;&gt;""),
    AND(AA102&lt;&gt;"NA",AA102&lt;&gt;"C",AA102&lt;&gt;"NC",AA102&lt;&gt;"SF",AA102&lt;&gt;""),
    AND(AC102&lt;&gt;"NA",AC102&lt;&gt;"C",AC102&lt;&gt;"NC",AC102&lt;&gt;"SF",AC102&lt;&gt;"")
),"FALSO",
IF(AND(O102="NA",Q102="NA",S102="NA",U102="NA",W102="NA",Y102="NA",AA102="NA",AC102="NA"),"NA",
IF(OR(O102="NC",Q102="NC",S102="NC",U102="NC",W102="NC",Y102="NC",AA102="NC",AC102="NC",
       O102="SF",Q102="SF",S102="SF",U102="SF",W102="SF",Y102="SF",AA102="SF",AC102="SF"),"NC",
IF(SUM(IF(O102="C",1,0),IF(Q102="C",1,0),IF(S102="C",1,0),IF(U102="C",1,0),IF(W102="C",1,0),IF(Y102="C",1,0),IF(AA102="C",1,0),IF(AC102="C",1,0))=1,"C","C")))))</f>
        <v>NC</v>
      </c>
      <c r="AG102" s="304" t="str">
        <f>IF(AND(AE102="C",AF102="C"),"UTILIZOU O PDA CORRETAMENTE",IF(AND(AE102="C",AF102="NC"),"UTILIZOU O PDA CORRETAMENTE. NÃO HÁ FOTOS DE TODAS AS ETAPAS",IF(AND(AE102="NC",AF102="NC"),"NÃO UTILIZOU O PDA",IF(AND(AE102="NA",AF102="NA"),"NÃO AVALIADO POR FALHA DE SINCRONISMO"))))</f>
        <v>UTILIZOU O PDA CORRETAMENTE. NÃO HÁ FOTOS DE TODAS AS ETAPAS</v>
      </c>
      <c r="AH102" s="9" t="s">
        <v>75</v>
      </c>
      <c r="AI102" s="145" t="str">
        <f t="shared" si="1"/>
        <v>SÃO PAULO</v>
      </c>
      <c r="AJ102" s="147" t="s">
        <v>36</v>
      </c>
    </row>
    <row r="103" spans="1:36" ht="30" customHeight="1">
      <c r="A103" s="197" t="s">
        <v>198</v>
      </c>
      <c r="B103" s="308">
        <v>2621699008</v>
      </c>
      <c r="C103" s="197" t="s">
        <v>154</v>
      </c>
      <c r="D103" s="197" t="s">
        <v>83</v>
      </c>
      <c r="E103" s="197" t="s">
        <v>35</v>
      </c>
      <c r="F103" s="197" t="s">
        <v>1649</v>
      </c>
      <c r="G103" s="197">
        <v>74</v>
      </c>
      <c r="H103" s="197" t="s">
        <v>200</v>
      </c>
      <c r="I103" s="197" t="s">
        <v>281</v>
      </c>
      <c r="J103" s="197" t="s">
        <v>2837</v>
      </c>
      <c r="K103" s="197" t="s">
        <v>200</v>
      </c>
      <c r="L103" s="203">
        <v>46168.361111111109</v>
      </c>
      <c r="M103" s="203">
        <v>46168.361805555556</v>
      </c>
      <c r="N103" s="197" t="s">
        <v>2838</v>
      </c>
      <c r="O103" s="174" t="s">
        <v>207</v>
      </c>
      <c r="P103" s="90"/>
      <c r="Q103" s="159" t="s">
        <v>207</v>
      </c>
      <c r="R103" s="90"/>
      <c r="S103" s="159" t="s">
        <v>207</v>
      </c>
      <c r="T103" s="90"/>
      <c r="U103" s="159" t="s">
        <v>214</v>
      </c>
      <c r="V103" s="90"/>
      <c r="W103" s="159" t="s">
        <v>207</v>
      </c>
      <c r="X103" s="90"/>
      <c r="Y103" s="159" t="s">
        <v>214</v>
      </c>
      <c r="Z103" s="90"/>
      <c r="AA103" s="159" t="s">
        <v>207</v>
      </c>
      <c r="AB103" s="90"/>
      <c r="AC103" s="159" t="s">
        <v>215</v>
      </c>
      <c r="AD103" s="90" t="s">
        <v>2896</v>
      </c>
      <c r="AE103" s="159" t="s">
        <v>207</v>
      </c>
      <c r="AF103" s="189" t="str">
        <f>IF(AND(O103="",Q103="",S103="",U103="",W103="",Y103="",AA103="",AC103=""),"",
IF(OR(    AND(O103&lt;&gt;"NA",O103&lt;&gt;"C",O103&lt;&gt;"NC",O103&lt;&gt;"SF",O103&lt;&gt;""),
    AND(Q103&lt;&gt;"NA",Q103&lt;&gt;"C",Q103&lt;&gt;"NC",Q103&lt;&gt;"SF",Q103&lt;&gt;""),
    AND(S103&lt;&gt;"NA",S103&lt;&gt;"C",S103&lt;&gt;"NC",S103&lt;&gt;"SF",S103&lt;&gt;""),
    AND(U103&lt;&gt;"NA",U103&lt;&gt;"C",U103&lt;&gt;"NC",U103&lt;&gt;"SF",U103&lt;&gt;""),
    AND(W103&lt;&gt;"NA",W103&lt;&gt;"C",W103&lt;&gt;"NC",W103&lt;&gt;"SF",W103&lt;&gt;""),
    AND(Y103&lt;&gt;"NA",Y103&lt;&gt;"C",Y103&lt;&gt;"NC",Y103&lt;&gt;"SF",Y103&lt;&gt;""),
    AND(AA103&lt;&gt;"NA",AA103&lt;&gt;"C",AA103&lt;&gt;"NC",AA103&lt;&gt;"SF",AA103&lt;&gt;""),
    AND(AC103&lt;&gt;"NA",AC103&lt;&gt;"C",AC103&lt;&gt;"NC",AC103&lt;&gt;"SF",AC103&lt;&gt;"")
),"FALSO",
IF(AND(O103="NA",Q103="NA",S103="NA",U103="NA",W103="NA",Y103="NA",AA103="NA",AC103="NA"),"NA",
IF(OR(O103="NC",Q103="NC",S103="NC",U103="NC",W103="NC",Y103="NC",AA103="NC",AC103="NC",
       O103="SF",Q103="SF",S103="SF",U103="SF",W103="SF",Y103="SF",AA103="SF",AC103="SF"),"NC",
IF(SUM(IF(O103="C",1,0),IF(Q103="C",1,0),IF(S103="C",1,0),IF(U103="C",1,0),IF(W103="C",1,0),IF(Y103="C",1,0),IF(AA103="C",1,0),IF(AC103="C",1,0))=1,"C","C")))))</f>
        <v>NC</v>
      </c>
      <c r="AG103" s="304" t="str">
        <f>IF(AND(AE103="C",AF103="C"),"UTILIZOU O PDA CORRETAMENTE",IF(AND(AE103="C",AF103="NC"),"UTILIZOU O PDA CORRETAMENTE. NÃO HÁ FOTOS DE TODAS AS ETAPAS",IF(AND(AE103="NC",AF103="NC"),"NÃO UTILIZOU O PDA",IF(AND(AE103="NA",AF103="NA"),"NÃO AVALIADO POR FALHA DE SINCRONISMO"))))</f>
        <v>UTILIZOU O PDA CORRETAMENTE. NÃO HÁ FOTOS DE TODAS AS ETAPAS</v>
      </c>
      <c r="AH103" s="9"/>
      <c r="AI103" s="145" t="str">
        <f t="shared" si="1"/>
        <v>SÃO PAULO</v>
      </c>
      <c r="AJ103" s="147" t="s">
        <v>36</v>
      </c>
    </row>
    <row r="104" spans="1:36" ht="30" customHeight="1">
      <c r="A104" s="197" t="s">
        <v>198</v>
      </c>
      <c r="B104" s="308">
        <v>2621698951</v>
      </c>
      <c r="C104" s="197" t="s">
        <v>154</v>
      </c>
      <c r="D104" s="197" t="s">
        <v>83</v>
      </c>
      <c r="E104" s="197" t="s">
        <v>35</v>
      </c>
      <c r="F104" s="197" t="s">
        <v>1649</v>
      </c>
      <c r="G104" s="197">
        <v>177</v>
      </c>
      <c r="H104" s="197"/>
      <c r="I104" s="197" t="s">
        <v>281</v>
      </c>
      <c r="J104" s="197" t="s">
        <v>2837</v>
      </c>
      <c r="K104" s="197"/>
      <c r="L104" s="203">
        <v>46168.385416666664</v>
      </c>
      <c r="M104" s="203">
        <v>46168.386111111111</v>
      </c>
      <c r="N104" s="197" t="s">
        <v>2838</v>
      </c>
      <c r="O104" s="174" t="s">
        <v>207</v>
      </c>
      <c r="P104" s="90"/>
      <c r="Q104" s="159" t="s">
        <v>207</v>
      </c>
      <c r="R104" s="90"/>
      <c r="S104" s="159" t="s">
        <v>207</v>
      </c>
      <c r="T104" s="90"/>
      <c r="U104" s="159" t="s">
        <v>214</v>
      </c>
      <c r="V104" s="90"/>
      <c r="W104" s="159" t="s">
        <v>207</v>
      </c>
      <c r="X104" s="90"/>
      <c r="Y104" s="159" t="s">
        <v>214</v>
      </c>
      <c r="Z104" s="90"/>
      <c r="AA104" s="159" t="s">
        <v>207</v>
      </c>
      <c r="AB104" s="90"/>
      <c r="AC104" s="159" t="s">
        <v>215</v>
      </c>
      <c r="AD104" s="90" t="s">
        <v>2896</v>
      </c>
      <c r="AE104" s="159" t="s">
        <v>207</v>
      </c>
      <c r="AF104" s="189" t="str">
        <f>IF(AND(O104="",Q104="",S104="",U104="",W104="",Y104="",AA104="",AC104=""),"",
IF(OR(    AND(O104&lt;&gt;"NA",O104&lt;&gt;"C",O104&lt;&gt;"NC",O104&lt;&gt;"SF",O104&lt;&gt;""),
    AND(Q104&lt;&gt;"NA",Q104&lt;&gt;"C",Q104&lt;&gt;"NC",Q104&lt;&gt;"SF",Q104&lt;&gt;""),
    AND(S104&lt;&gt;"NA",S104&lt;&gt;"C",S104&lt;&gt;"NC",S104&lt;&gt;"SF",S104&lt;&gt;""),
    AND(U104&lt;&gt;"NA",U104&lt;&gt;"C",U104&lt;&gt;"NC",U104&lt;&gt;"SF",U104&lt;&gt;""),
    AND(W104&lt;&gt;"NA",W104&lt;&gt;"C",W104&lt;&gt;"NC",W104&lt;&gt;"SF",W104&lt;&gt;""),
    AND(Y104&lt;&gt;"NA",Y104&lt;&gt;"C",Y104&lt;&gt;"NC",Y104&lt;&gt;"SF",Y104&lt;&gt;""),
    AND(AA104&lt;&gt;"NA",AA104&lt;&gt;"C",AA104&lt;&gt;"NC",AA104&lt;&gt;"SF",AA104&lt;&gt;""),
    AND(AC104&lt;&gt;"NA",AC104&lt;&gt;"C",AC104&lt;&gt;"NC",AC104&lt;&gt;"SF",AC104&lt;&gt;"")
),"FALSO",
IF(AND(O104="NA",Q104="NA",S104="NA",U104="NA",W104="NA",Y104="NA",AA104="NA",AC104="NA"),"NA",
IF(OR(O104="NC",Q104="NC",S104="NC",U104="NC",W104="NC",Y104="NC",AA104="NC",AC104="NC",
       O104="SF",Q104="SF",S104="SF",U104="SF",W104="SF",Y104="SF",AA104="SF",AC104="SF"),"NC",
IF(SUM(IF(O104="C",1,0),IF(Q104="C",1,0),IF(S104="C",1,0),IF(U104="C",1,0),IF(W104="C",1,0),IF(Y104="C",1,0),IF(AA104="C",1,0),IF(AC104="C",1,0))=1,"C","C")))))</f>
        <v>NC</v>
      </c>
      <c r="AG104" s="304" t="str">
        <f>IF(AND(AE104="C",AF104="C"),"UTILIZOU O PDA CORRETAMENTE",IF(AND(AE104="C",AF104="NC"),"UTILIZOU O PDA CORRETAMENTE. NÃO HÁ FOTOS DE TODAS AS ETAPAS",IF(AND(AE104="NC",AF104="NC"),"NÃO UTILIZOU O PDA",IF(AND(AE104="NA",AF104="NA"),"NÃO AVALIADO POR FALHA DE SINCRONISMO"))))</f>
        <v>UTILIZOU O PDA CORRETAMENTE. NÃO HÁ FOTOS DE TODAS AS ETAPAS</v>
      </c>
      <c r="AH104" s="9"/>
      <c r="AI104" s="145" t="str">
        <f t="shared" si="1"/>
        <v>SÃO PAULO</v>
      </c>
      <c r="AJ104" s="147" t="s">
        <v>36</v>
      </c>
    </row>
    <row r="105" spans="1:36" ht="30" customHeight="1">
      <c r="A105" s="197" t="s">
        <v>198</v>
      </c>
      <c r="B105" s="308">
        <v>2621699156</v>
      </c>
      <c r="C105" s="197" t="s">
        <v>154</v>
      </c>
      <c r="D105" s="197" t="s">
        <v>83</v>
      </c>
      <c r="E105" s="197" t="s">
        <v>35</v>
      </c>
      <c r="F105" s="197" t="s">
        <v>1649</v>
      </c>
      <c r="G105" s="197">
        <v>208</v>
      </c>
      <c r="H105" s="197" t="s">
        <v>200</v>
      </c>
      <c r="I105" s="197" t="s">
        <v>281</v>
      </c>
      <c r="J105" s="197" t="s">
        <v>2837</v>
      </c>
      <c r="K105" s="197" t="s">
        <v>200</v>
      </c>
      <c r="L105" s="203">
        <v>46168.375694444447</v>
      </c>
      <c r="M105" s="203">
        <v>46168.375694444447</v>
      </c>
      <c r="N105" s="197" t="s">
        <v>2838</v>
      </c>
      <c r="O105" s="174" t="s">
        <v>207</v>
      </c>
      <c r="P105" s="90"/>
      <c r="Q105" s="159" t="s">
        <v>207</v>
      </c>
      <c r="R105" s="90"/>
      <c r="S105" s="159" t="s">
        <v>207</v>
      </c>
      <c r="T105" s="90"/>
      <c r="U105" s="159" t="s">
        <v>214</v>
      </c>
      <c r="V105" s="90"/>
      <c r="W105" s="159" t="s">
        <v>207</v>
      </c>
      <c r="X105" s="90"/>
      <c r="Y105" s="159" t="s">
        <v>214</v>
      </c>
      <c r="Z105" s="90"/>
      <c r="AA105" s="159" t="s">
        <v>207</v>
      </c>
      <c r="AB105" s="90"/>
      <c r="AC105" s="159" t="s">
        <v>215</v>
      </c>
      <c r="AD105" s="90" t="s">
        <v>2896</v>
      </c>
      <c r="AE105" s="159" t="s">
        <v>207</v>
      </c>
      <c r="AF105" s="189" t="str">
        <f>IF(AND(O105="",Q105="",S105="",U105="",W105="",Y105="",AA105="",AC105=""),"",
IF(OR(    AND(O105&lt;&gt;"NA",O105&lt;&gt;"C",O105&lt;&gt;"NC",O105&lt;&gt;"SF",O105&lt;&gt;""),
    AND(Q105&lt;&gt;"NA",Q105&lt;&gt;"C",Q105&lt;&gt;"NC",Q105&lt;&gt;"SF",Q105&lt;&gt;""),
    AND(S105&lt;&gt;"NA",S105&lt;&gt;"C",S105&lt;&gt;"NC",S105&lt;&gt;"SF",S105&lt;&gt;""),
    AND(U105&lt;&gt;"NA",U105&lt;&gt;"C",U105&lt;&gt;"NC",U105&lt;&gt;"SF",U105&lt;&gt;""),
    AND(W105&lt;&gt;"NA",W105&lt;&gt;"C",W105&lt;&gt;"NC",W105&lt;&gt;"SF",W105&lt;&gt;""),
    AND(Y105&lt;&gt;"NA",Y105&lt;&gt;"C",Y105&lt;&gt;"NC",Y105&lt;&gt;"SF",Y105&lt;&gt;""),
    AND(AA105&lt;&gt;"NA",AA105&lt;&gt;"C",AA105&lt;&gt;"NC",AA105&lt;&gt;"SF",AA105&lt;&gt;""),
    AND(AC105&lt;&gt;"NA",AC105&lt;&gt;"C",AC105&lt;&gt;"NC",AC105&lt;&gt;"SF",AC105&lt;&gt;"")
),"FALSO",
IF(AND(O105="NA",Q105="NA",S105="NA",U105="NA",W105="NA",Y105="NA",AA105="NA",AC105="NA"),"NA",
IF(OR(O105="NC",Q105="NC",S105="NC",U105="NC",W105="NC",Y105="NC",AA105="NC",AC105="NC",
       O105="SF",Q105="SF",S105="SF",U105="SF",W105="SF",Y105="SF",AA105="SF",AC105="SF"),"NC",
IF(SUM(IF(O105="C",1,0),IF(Q105="C",1,0),IF(S105="C",1,0),IF(U105="C",1,0),IF(W105="C",1,0),IF(Y105="C",1,0),IF(AA105="C",1,0),IF(AC105="C",1,0))=1,"C","C")))))</f>
        <v>NC</v>
      </c>
      <c r="AG105" s="304" t="str">
        <f>IF(AND(AE105="C",AF105="C"),"UTILIZOU O PDA CORRETAMENTE",IF(AND(AE105="C",AF105="NC"),"UTILIZOU O PDA CORRETAMENTE. NÃO HÁ FOTOS DE TODAS AS ETAPAS",IF(AND(AE105="NC",AF105="NC"),"NÃO UTILIZOU O PDA",IF(AND(AE105="NA",AF105="NA"),"NÃO AVALIADO POR FALHA DE SINCRONISMO"))))</f>
        <v>UTILIZOU O PDA CORRETAMENTE. NÃO HÁ FOTOS DE TODAS AS ETAPAS</v>
      </c>
      <c r="AH105" s="9"/>
      <c r="AI105" s="145" t="str">
        <f t="shared" si="1"/>
        <v>SÃO PAULO</v>
      </c>
      <c r="AJ105" s="147" t="s">
        <v>36</v>
      </c>
    </row>
    <row r="106" spans="1:36" ht="30" customHeight="1">
      <c r="A106" s="197" t="s">
        <v>198</v>
      </c>
      <c r="B106" s="308">
        <v>2621859215</v>
      </c>
      <c r="C106" s="197" t="s">
        <v>154</v>
      </c>
      <c r="D106" s="197" t="s">
        <v>83</v>
      </c>
      <c r="E106" s="197" t="s">
        <v>35</v>
      </c>
      <c r="F106" s="197" t="s">
        <v>2897</v>
      </c>
      <c r="G106" s="197">
        <v>42</v>
      </c>
      <c r="H106" s="197"/>
      <c r="I106" s="197" t="s">
        <v>634</v>
      </c>
      <c r="J106" s="197" t="s">
        <v>2837</v>
      </c>
      <c r="K106" s="197"/>
      <c r="L106" s="203">
        <v>46168.291666666664</v>
      </c>
      <c r="M106" s="203">
        <v>46168.292361111111</v>
      </c>
      <c r="N106" s="197" t="s">
        <v>2838</v>
      </c>
      <c r="O106" s="174" t="s">
        <v>77</v>
      </c>
      <c r="P106" s="90"/>
      <c r="Q106" s="159" t="s">
        <v>77</v>
      </c>
      <c r="R106" s="90"/>
      <c r="S106" s="159" t="s">
        <v>77</v>
      </c>
      <c r="T106" s="90"/>
      <c r="U106" s="159" t="s">
        <v>77</v>
      </c>
      <c r="V106" s="90"/>
      <c r="W106" s="159" t="s">
        <v>77</v>
      </c>
      <c r="X106" s="90"/>
      <c r="Y106" s="159" t="s">
        <v>77</v>
      </c>
      <c r="Z106" s="90"/>
      <c r="AA106" s="159" t="s">
        <v>77</v>
      </c>
      <c r="AB106" s="90"/>
      <c r="AC106" s="159" t="s">
        <v>77</v>
      </c>
      <c r="AD106" s="90"/>
      <c r="AE106" s="159" t="s">
        <v>77</v>
      </c>
      <c r="AF106" s="189" t="str">
        <f>IF(AND(O106="",Q106="",S106="",U106="",W106="",Y106="",AA106="",AC106=""),"",
IF(OR(    AND(O106&lt;&gt;"NA",O106&lt;&gt;"C",O106&lt;&gt;"NC",O106&lt;&gt;"SF",O106&lt;&gt;""),
    AND(Q106&lt;&gt;"NA",Q106&lt;&gt;"C",Q106&lt;&gt;"NC",Q106&lt;&gt;"SF",Q106&lt;&gt;""),
    AND(S106&lt;&gt;"NA",S106&lt;&gt;"C",S106&lt;&gt;"NC",S106&lt;&gt;"SF",S106&lt;&gt;""),
    AND(U106&lt;&gt;"NA",U106&lt;&gt;"C",U106&lt;&gt;"NC",U106&lt;&gt;"SF",U106&lt;&gt;""),
    AND(W106&lt;&gt;"NA",W106&lt;&gt;"C",W106&lt;&gt;"NC",W106&lt;&gt;"SF",W106&lt;&gt;""),
    AND(Y106&lt;&gt;"NA",Y106&lt;&gt;"C",Y106&lt;&gt;"NC",Y106&lt;&gt;"SF",Y106&lt;&gt;""),
    AND(AA106&lt;&gt;"NA",AA106&lt;&gt;"C",AA106&lt;&gt;"NC",AA106&lt;&gt;"SF",AA106&lt;&gt;""),
    AND(AC106&lt;&gt;"NA",AC106&lt;&gt;"C",AC106&lt;&gt;"NC",AC106&lt;&gt;"SF",AC106&lt;&gt;"")
),"FALSO",
IF(AND(O106="NA",Q106="NA",S106="NA",U106="NA",W106="NA",Y106="NA",AA106="NA",AC106="NA"),"NA",
IF(OR(O106="NC",Q106="NC",S106="NC",U106="NC",W106="NC",Y106="NC",AA106="NC",AC106="NC",
       O106="SF",Q106="SF",S106="SF",U106="SF",W106="SF",Y106="SF",AA106="SF",AC106="SF"),"NC",
IF(SUM(IF(O106="C",1,0),IF(Q106="C",1,0),IF(S106="C",1,0),IF(U106="C",1,0),IF(W106="C",1,0),IF(Y106="C",1,0),IF(AA106="C",1,0),IF(AC106="C",1,0))=1,"C","C")))))</f>
        <v>NA</v>
      </c>
      <c r="AG106" s="304" t="str">
        <f>IF(AND(AE106="C",AF106="C"),"UTILIZOU O PDA CORRETAMENTE",IF(AND(AE106="C",AF106="NC"),"UTILIZOU O PDA CORRETAMENTE. NÃO HÁ FOTOS DE TODAS AS ETAPAS",IF(AND(AE106="NC",AF106="NC"),"NÃO UTILIZOU O PDA",IF(AND(AE106="NA",AF106="NA"),"NÃO AVALIADO POR FALHA DE SINCRONISMO"))))</f>
        <v>NÃO AVALIADO POR FALHA DE SINCRONISMO</v>
      </c>
      <c r="AH106" s="9"/>
      <c r="AI106" s="145" t="str">
        <f t="shared" si="1"/>
        <v>SÃO PAULO</v>
      </c>
      <c r="AJ106" s="147" t="s">
        <v>36</v>
      </c>
    </row>
    <row r="107" spans="1:36" ht="30" customHeight="1">
      <c r="A107" s="197" t="s">
        <v>198</v>
      </c>
      <c r="B107" s="308">
        <v>2621656889</v>
      </c>
      <c r="C107" s="197" t="s">
        <v>154</v>
      </c>
      <c r="D107" s="197" t="s">
        <v>83</v>
      </c>
      <c r="E107" s="197" t="s">
        <v>35</v>
      </c>
      <c r="F107" s="197" t="s">
        <v>1871</v>
      </c>
      <c r="G107" s="197">
        <v>290</v>
      </c>
      <c r="H107" s="197" t="s">
        <v>200</v>
      </c>
      <c r="I107" s="197" t="s">
        <v>467</v>
      </c>
      <c r="J107" s="197" t="s">
        <v>2837</v>
      </c>
      <c r="K107" s="197" t="s">
        <v>200</v>
      </c>
      <c r="L107" s="203">
        <v>46168.518750000003</v>
      </c>
      <c r="M107" s="203">
        <v>46168.520138888889</v>
      </c>
      <c r="N107" s="197" t="s">
        <v>2838</v>
      </c>
      <c r="O107" s="174" t="s">
        <v>207</v>
      </c>
      <c r="P107" s="90"/>
      <c r="Q107" s="159" t="s">
        <v>207</v>
      </c>
      <c r="R107" s="90"/>
      <c r="S107" s="159" t="s">
        <v>207</v>
      </c>
      <c r="T107" s="90"/>
      <c r="U107" s="159" t="s">
        <v>214</v>
      </c>
      <c r="V107" s="90"/>
      <c r="W107" s="159" t="s">
        <v>207</v>
      </c>
      <c r="X107" s="90"/>
      <c r="Y107" s="159" t="s">
        <v>214</v>
      </c>
      <c r="Z107" s="90"/>
      <c r="AA107" s="159" t="s">
        <v>207</v>
      </c>
      <c r="AB107" s="90"/>
      <c r="AC107" s="159" t="s">
        <v>215</v>
      </c>
      <c r="AD107" s="90" t="s">
        <v>2896</v>
      </c>
      <c r="AE107" s="159" t="s">
        <v>207</v>
      </c>
      <c r="AF107" s="189" t="str">
        <f>IF(AND(O107="",Q107="",S107="",U107="",W107="",Y107="",AA107="",AC107=""),"",
IF(OR(    AND(O107&lt;&gt;"NA",O107&lt;&gt;"C",O107&lt;&gt;"NC",O107&lt;&gt;"SF",O107&lt;&gt;""),
    AND(Q107&lt;&gt;"NA",Q107&lt;&gt;"C",Q107&lt;&gt;"NC",Q107&lt;&gt;"SF",Q107&lt;&gt;""),
    AND(S107&lt;&gt;"NA",S107&lt;&gt;"C",S107&lt;&gt;"NC",S107&lt;&gt;"SF",S107&lt;&gt;""),
    AND(U107&lt;&gt;"NA",U107&lt;&gt;"C",U107&lt;&gt;"NC",U107&lt;&gt;"SF",U107&lt;&gt;""),
    AND(W107&lt;&gt;"NA",W107&lt;&gt;"C",W107&lt;&gt;"NC",W107&lt;&gt;"SF",W107&lt;&gt;""),
    AND(Y107&lt;&gt;"NA",Y107&lt;&gt;"C",Y107&lt;&gt;"NC",Y107&lt;&gt;"SF",Y107&lt;&gt;""),
    AND(AA107&lt;&gt;"NA",AA107&lt;&gt;"C",AA107&lt;&gt;"NC",AA107&lt;&gt;"SF",AA107&lt;&gt;""),
    AND(AC107&lt;&gt;"NA",AC107&lt;&gt;"C",AC107&lt;&gt;"NC",AC107&lt;&gt;"SF",AC107&lt;&gt;"")
),"FALSO",
IF(AND(O107="NA",Q107="NA",S107="NA",U107="NA",W107="NA",Y107="NA",AA107="NA",AC107="NA"),"NA",
IF(OR(O107="NC",Q107="NC",S107="NC",U107="NC",W107="NC",Y107="NC",AA107="NC",AC107="NC",
       O107="SF",Q107="SF",S107="SF",U107="SF",W107="SF",Y107="SF",AA107="SF",AC107="SF"),"NC",
IF(SUM(IF(O107="C",1,0),IF(Q107="C",1,0),IF(S107="C",1,0),IF(U107="C",1,0),IF(W107="C",1,0),IF(Y107="C",1,0),IF(AA107="C",1,0),IF(AC107="C",1,0))=1,"C","C")))))</f>
        <v>NC</v>
      </c>
      <c r="AG107" s="304" t="str">
        <f>IF(AND(AE107="C",AF107="C"),"UTILIZOU O PDA CORRETAMENTE",IF(AND(AE107="C",AF107="NC"),"UTILIZOU O PDA CORRETAMENTE. NÃO HÁ FOTOS DE TODAS AS ETAPAS",IF(AND(AE107="NC",AF107="NC"),"NÃO UTILIZOU O PDA",IF(AND(AE107="NA",AF107="NA"),"NÃO AVALIADO POR FALHA DE SINCRONISMO"))))</f>
        <v>UTILIZOU O PDA CORRETAMENTE. NÃO HÁ FOTOS DE TODAS AS ETAPAS</v>
      </c>
      <c r="AH107" s="9" t="s">
        <v>75</v>
      </c>
      <c r="AI107" s="145" t="str">
        <f t="shared" si="1"/>
        <v>SÃO PAULO</v>
      </c>
      <c r="AJ107" s="147" t="s">
        <v>36</v>
      </c>
    </row>
    <row r="108" spans="1:36" ht="30" customHeight="1">
      <c r="A108" s="197" t="s">
        <v>198</v>
      </c>
      <c r="B108" s="308">
        <v>2621672391</v>
      </c>
      <c r="C108" s="197" t="s">
        <v>154</v>
      </c>
      <c r="D108" s="197" t="s">
        <v>83</v>
      </c>
      <c r="E108" s="197" t="s">
        <v>35</v>
      </c>
      <c r="F108" s="197" t="s">
        <v>1864</v>
      </c>
      <c r="G108" s="197">
        <v>311</v>
      </c>
      <c r="H108" s="197"/>
      <c r="I108" s="197" t="s">
        <v>1780</v>
      </c>
      <c r="J108" s="197" t="s">
        <v>2837</v>
      </c>
      <c r="K108" s="197"/>
      <c r="L108" s="203">
        <v>46168.462500000001</v>
      </c>
      <c r="M108" s="203">
        <v>46168.463888888888</v>
      </c>
      <c r="N108" s="197" t="s">
        <v>2838</v>
      </c>
      <c r="O108" s="174" t="s">
        <v>207</v>
      </c>
      <c r="P108" s="90"/>
      <c r="Q108" s="159" t="s">
        <v>207</v>
      </c>
      <c r="R108" s="90"/>
      <c r="S108" s="159" t="s">
        <v>207</v>
      </c>
      <c r="T108" s="90"/>
      <c r="U108" s="159" t="s">
        <v>214</v>
      </c>
      <c r="V108" s="90"/>
      <c r="W108" s="159" t="s">
        <v>207</v>
      </c>
      <c r="X108" s="90"/>
      <c r="Y108" s="159" t="s">
        <v>214</v>
      </c>
      <c r="Z108" s="90"/>
      <c r="AA108" s="159" t="s">
        <v>207</v>
      </c>
      <c r="AB108" s="90"/>
      <c r="AC108" s="159" t="s">
        <v>215</v>
      </c>
      <c r="AD108" s="90" t="s">
        <v>2896</v>
      </c>
      <c r="AE108" s="159" t="s">
        <v>207</v>
      </c>
      <c r="AF108" s="189" t="str">
        <f>IF(AND(O108="",Q108="",S108="",U108="",W108="",Y108="",AA108="",AC108=""),"",
IF(OR(    AND(O108&lt;&gt;"NA",O108&lt;&gt;"C",O108&lt;&gt;"NC",O108&lt;&gt;"SF",O108&lt;&gt;""),
    AND(Q108&lt;&gt;"NA",Q108&lt;&gt;"C",Q108&lt;&gt;"NC",Q108&lt;&gt;"SF",Q108&lt;&gt;""),
    AND(S108&lt;&gt;"NA",S108&lt;&gt;"C",S108&lt;&gt;"NC",S108&lt;&gt;"SF",S108&lt;&gt;""),
    AND(U108&lt;&gt;"NA",U108&lt;&gt;"C",U108&lt;&gt;"NC",U108&lt;&gt;"SF",U108&lt;&gt;""),
    AND(W108&lt;&gt;"NA",W108&lt;&gt;"C",W108&lt;&gt;"NC",W108&lt;&gt;"SF",W108&lt;&gt;""),
    AND(Y108&lt;&gt;"NA",Y108&lt;&gt;"C",Y108&lt;&gt;"NC",Y108&lt;&gt;"SF",Y108&lt;&gt;""),
    AND(AA108&lt;&gt;"NA",AA108&lt;&gt;"C",AA108&lt;&gt;"NC",AA108&lt;&gt;"SF",AA108&lt;&gt;""),
    AND(AC108&lt;&gt;"NA",AC108&lt;&gt;"C",AC108&lt;&gt;"NC",AC108&lt;&gt;"SF",AC108&lt;&gt;"")
),"FALSO",
IF(AND(O108="NA",Q108="NA",S108="NA",U108="NA",W108="NA",Y108="NA",AA108="NA",AC108="NA"),"NA",
IF(OR(O108="NC",Q108="NC",S108="NC",U108="NC",W108="NC",Y108="NC",AA108="NC",AC108="NC",
       O108="SF",Q108="SF",S108="SF",U108="SF",W108="SF",Y108="SF",AA108="SF",AC108="SF"),"NC",
IF(SUM(IF(O108="C",1,0),IF(Q108="C",1,0),IF(S108="C",1,0),IF(U108="C",1,0),IF(W108="C",1,0),IF(Y108="C",1,0),IF(AA108="C",1,0),IF(AC108="C",1,0))=1,"C","C")))))</f>
        <v>NC</v>
      </c>
      <c r="AG108" s="304" t="str">
        <f>IF(AND(AE108="C",AF108="C"),"UTILIZOU O PDA CORRETAMENTE",IF(AND(AE108="C",AF108="NC"),"UTILIZOU O PDA CORRETAMENTE. NÃO HÁ FOTOS DE TODAS AS ETAPAS",IF(AND(AE108="NC",AF108="NC"),"NÃO UTILIZOU O PDA",IF(AND(AE108="NA",AF108="NA"),"NÃO AVALIADO POR FALHA DE SINCRONISMO"))))</f>
        <v>UTILIZOU O PDA CORRETAMENTE. NÃO HÁ FOTOS DE TODAS AS ETAPAS</v>
      </c>
      <c r="AH108" s="9" t="s">
        <v>75</v>
      </c>
      <c r="AI108" s="145" t="str">
        <f t="shared" si="1"/>
        <v>SÃO PAULO</v>
      </c>
      <c r="AJ108" s="147" t="s">
        <v>36</v>
      </c>
    </row>
    <row r="109" spans="1:36" ht="30" customHeight="1">
      <c r="A109" s="197" t="s">
        <v>198</v>
      </c>
      <c r="B109" s="308">
        <v>2621667655</v>
      </c>
      <c r="C109" s="197" t="s">
        <v>154</v>
      </c>
      <c r="D109" s="197" t="s">
        <v>83</v>
      </c>
      <c r="E109" s="197" t="s">
        <v>35</v>
      </c>
      <c r="F109" s="197" t="s">
        <v>1639</v>
      </c>
      <c r="G109" s="197">
        <v>152</v>
      </c>
      <c r="H109" s="197" t="s">
        <v>200</v>
      </c>
      <c r="I109" s="197" t="s">
        <v>501</v>
      </c>
      <c r="J109" s="197" t="s">
        <v>2837</v>
      </c>
      <c r="K109" s="197" t="s">
        <v>200</v>
      </c>
      <c r="L109" s="203">
        <v>46168.486805555556</v>
      </c>
      <c r="M109" s="203">
        <v>46168.486805555556</v>
      </c>
      <c r="N109" s="197" t="s">
        <v>2838</v>
      </c>
      <c r="O109" s="174" t="s">
        <v>207</v>
      </c>
      <c r="P109" s="90"/>
      <c r="Q109" s="159" t="s">
        <v>207</v>
      </c>
      <c r="R109" s="90"/>
      <c r="S109" s="159" t="s">
        <v>207</v>
      </c>
      <c r="T109" s="90"/>
      <c r="U109" s="159" t="s">
        <v>214</v>
      </c>
      <c r="V109" s="90"/>
      <c r="W109" s="159" t="s">
        <v>207</v>
      </c>
      <c r="X109" s="90"/>
      <c r="Y109" s="159" t="s">
        <v>214</v>
      </c>
      <c r="Z109" s="90"/>
      <c r="AA109" s="159" t="s">
        <v>207</v>
      </c>
      <c r="AB109" s="90"/>
      <c r="AC109" s="159" t="s">
        <v>215</v>
      </c>
      <c r="AD109" s="90" t="s">
        <v>2896</v>
      </c>
      <c r="AE109" s="159" t="s">
        <v>207</v>
      </c>
      <c r="AF109" s="189" t="str">
        <f>IF(AND(O109="",Q109="",S109="",U109="",W109="",Y109="",AA109="",AC109=""),"",
IF(OR(    AND(O109&lt;&gt;"NA",O109&lt;&gt;"C",O109&lt;&gt;"NC",O109&lt;&gt;"SF",O109&lt;&gt;""),
    AND(Q109&lt;&gt;"NA",Q109&lt;&gt;"C",Q109&lt;&gt;"NC",Q109&lt;&gt;"SF",Q109&lt;&gt;""),
    AND(S109&lt;&gt;"NA",S109&lt;&gt;"C",S109&lt;&gt;"NC",S109&lt;&gt;"SF",S109&lt;&gt;""),
    AND(U109&lt;&gt;"NA",U109&lt;&gt;"C",U109&lt;&gt;"NC",U109&lt;&gt;"SF",U109&lt;&gt;""),
    AND(W109&lt;&gt;"NA",W109&lt;&gt;"C",W109&lt;&gt;"NC",W109&lt;&gt;"SF",W109&lt;&gt;""),
    AND(Y109&lt;&gt;"NA",Y109&lt;&gt;"C",Y109&lt;&gt;"NC",Y109&lt;&gt;"SF",Y109&lt;&gt;""),
    AND(AA109&lt;&gt;"NA",AA109&lt;&gt;"C",AA109&lt;&gt;"NC",AA109&lt;&gt;"SF",AA109&lt;&gt;""),
    AND(AC109&lt;&gt;"NA",AC109&lt;&gt;"C",AC109&lt;&gt;"NC",AC109&lt;&gt;"SF",AC109&lt;&gt;"")
),"FALSO",
IF(AND(O109="NA",Q109="NA",S109="NA",U109="NA",W109="NA",Y109="NA",AA109="NA",AC109="NA"),"NA",
IF(OR(O109="NC",Q109="NC",S109="NC",U109="NC",W109="NC",Y109="NC",AA109="NC",AC109="NC",
       O109="SF",Q109="SF",S109="SF",U109="SF",W109="SF",Y109="SF",AA109="SF",AC109="SF"),"NC",
IF(SUM(IF(O109="C",1,0),IF(Q109="C",1,0),IF(S109="C",1,0),IF(U109="C",1,0),IF(W109="C",1,0),IF(Y109="C",1,0),IF(AA109="C",1,0),IF(AC109="C",1,0))=1,"C","C")))))</f>
        <v>NC</v>
      </c>
      <c r="AG109" s="304" t="str">
        <f>IF(AND(AE109="C",AF109="C"),"UTILIZOU O PDA CORRETAMENTE",IF(AND(AE109="C",AF109="NC"),"UTILIZOU O PDA CORRETAMENTE. NÃO HÁ FOTOS DE TODAS AS ETAPAS",IF(AND(AE109="NC",AF109="NC"),"NÃO UTILIZOU O PDA",IF(AND(AE109="NA",AF109="NA"),"NÃO AVALIADO POR FALHA DE SINCRONISMO"))))</f>
        <v>UTILIZOU O PDA CORRETAMENTE. NÃO HÁ FOTOS DE TODAS AS ETAPAS</v>
      </c>
      <c r="AH109" s="9" t="s">
        <v>75</v>
      </c>
      <c r="AI109" s="145" t="str">
        <f t="shared" si="1"/>
        <v>SÃO PAULO</v>
      </c>
      <c r="AJ109" s="147" t="s">
        <v>36</v>
      </c>
    </row>
    <row r="110" spans="1:36" ht="30" customHeight="1">
      <c r="A110" s="285" t="s">
        <v>198</v>
      </c>
      <c r="B110" s="307">
        <v>2621685428</v>
      </c>
      <c r="C110" s="285" t="s">
        <v>154</v>
      </c>
      <c r="D110" s="285" t="s">
        <v>83</v>
      </c>
      <c r="E110" s="285" t="s">
        <v>35</v>
      </c>
      <c r="F110" s="285" t="s">
        <v>1869</v>
      </c>
      <c r="G110" s="285">
        <v>0</v>
      </c>
      <c r="H110" s="285"/>
      <c r="I110" s="285" t="s">
        <v>433</v>
      </c>
      <c r="J110" s="285" t="s">
        <v>2837</v>
      </c>
      <c r="K110" s="285"/>
      <c r="L110" s="286">
        <v>46168.435416666667</v>
      </c>
      <c r="M110" s="286">
        <v>46168.435416666667</v>
      </c>
      <c r="N110" s="285" t="s">
        <v>2838</v>
      </c>
      <c r="O110" s="174" t="s">
        <v>207</v>
      </c>
      <c r="P110" s="90"/>
      <c r="Q110" s="159" t="s">
        <v>207</v>
      </c>
      <c r="R110" s="90"/>
      <c r="S110" s="159" t="s">
        <v>207</v>
      </c>
      <c r="T110" s="90"/>
      <c r="U110" s="159" t="s">
        <v>214</v>
      </c>
      <c r="V110" s="90"/>
      <c r="W110" s="159" t="s">
        <v>207</v>
      </c>
      <c r="X110" s="90"/>
      <c r="Y110" s="159" t="s">
        <v>214</v>
      </c>
      <c r="Z110" s="90"/>
      <c r="AA110" s="159" t="s">
        <v>207</v>
      </c>
      <c r="AB110" s="90"/>
      <c r="AC110" s="159" t="s">
        <v>215</v>
      </c>
      <c r="AD110" s="90" t="s">
        <v>2896</v>
      </c>
      <c r="AE110" s="159" t="s">
        <v>207</v>
      </c>
      <c r="AF110" s="189" t="str">
        <f>IF(AND(O110="",Q110="",S110="",U110="",W110="",Y110="",AA110="",AC110=""),"",
IF(OR(    AND(O110&lt;&gt;"NA",O110&lt;&gt;"C",O110&lt;&gt;"NC",O110&lt;&gt;"SF",O110&lt;&gt;""),
    AND(Q110&lt;&gt;"NA",Q110&lt;&gt;"C",Q110&lt;&gt;"NC",Q110&lt;&gt;"SF",Q110&lt;&gt;""),
    AND(S110&lt;&gt;"NA",S110&lt;&gt;"C",S110&lt;&gt;"NC",S110&lt;&gt;"SF",S110&lt;&gt;""),
    AND(U110&lt;&gt;"NA",U110&lt;&gt;"C",U110&lt;&gt;"NC",U110&lt;&gt;"SF",U110&lt;&gt;""),
    AND(W110&lt;&gt;"NA",W110&lt;&gt;"C",W110&lt;&gt;"NC",W110&lt;&gt;"SF",W110&lt;&gt;""),
    AND(Y110&lt;&gt;"NA",Y110&lt;&gt;"C",Y110&lt;&gt;"NC",Y110&lt;&gt;"SF",Y110&lt;&gt;""),
    AND(AA110&lt;&gt;"NA",AA110&lt;&gt;"C",AA110&lt;&gt;"NC",AA110&lt;&gt;"SF",AA110&lt;&gt;""),
    AND(AC110&lt;&gt;"NA",AC110&lt;&gt;"C",AC110&lt;&gt;"NC",AC110&lt;&gt;"SF",AC110&lt;&gt;"")
),"FALSO",
IF(AND(O110="NA",Q110="NA",S110="NA",U110="NA",W110="NA",Y110="NA",AA110="NA",AC110="NA"),"NA",
IF(OR(O110="NC",Q110="NC",S110="NC",U110="NC",W110="NC",Y110="NC",AA110="NC",AC110="NC",
       O110="SF",Q110="SF",S110="SF",U110="SF",W110="SF",Y110="SF",AA110="SF",AC110="SF"),"NC",
IF(SUM(IF(O110="C",1,0),IF(Q110="C",1,0),IF(S110="C",1,0),IF(U110="C",1,0),IF(W110="C",1,0),IF(Y110="C",1,0),IF(AA110="C",1,0),IF(AC110="C",1,0))=1,"C","C")))))</f>
        <v>NC</v>
      </c>
      <c r="AG110" s="304" t="str">
        <f>IF(AND(AE110="C",AF110="C"),"UTILIZOU O PDA CORRETAMENTE",IF(AND(AE110="C",AF110="NC"),"UTILIZOU O PDA CORRETAMENTE. NÃO HÁ FOTOS DE TODAS AS ETAPAS",IF(AND(AE110="NC",AF110="NC"),"NÃO UTILIZOU O PDA",IF(AND(AE110="NA",AF110="NA"),"NÃO AVALIADO POR FALHA DE SINCRONISMO"))))</f>
        <v>UTILIZOU O PDA CORRETAMENTE. NÃO HÁ FOTOS DE TODAS AS ETAPAS</v>
      </c>
      <c r="AH110" s="9" t="s">
        <v>75</v>
      </c>
      <c r="AI110" s="145" t="str">
        <f t="shared" si="1"/>
        <v>SÃO PAULO</v>
      </c>
      <c r="AJ110" s="147" t="s">
        <v>36</v>
      </c>
    </row>
    <row r="111" spans="1:36" ht="30" customHeight="1">
      <c r="A111" s="197" t="s">
        <v>198</v>
      </c>
      <c r="B111" s="308">
        <v>2621863705</v>
      </c>
      <c r="C111" s="197" t="s">
        <v>154</v>
      </c>
      <c r="D111" s="197" t="s">
        <v>83</v>
      </c>
      <c r="E111" s="197" t="s">
        <v>35</v>
      </c>
      <c r="F111" s="197" t="s">
        <v>1883</v>
      </c>
      <c r="G111" s="197">
        <v>115</v>
      </c>
      <c r="H111" s="197"/>
      <c r="I111" s="197" t="s">
        <v>598</v>
      </c>
      <c r="J111" s="197" t="s">
        <v>2837</v>
      </c>
      <c r="K111" s="197"/>
      <c r="L111" s="203">
        <v>46169.50277777778</v>
      </c>
      <c r="M111" s="203">
        <v>46169.503472222219</v>
      </c>
      <c r="N111" s="197" t="s">
        <v>2838</v>
      </c>
      <c r="O111" s="174" t="s">
        <v>207</v>
      </c>
      <c r="P111" s="90"/>
      <c r="Q111" s="159" t="s">
        <v>207</v>
      </c>
      <c r="R111" s="90"/>
      <c r="S111" s="159" t="s">
        <v>207</v>
      </c>
      <c r="T111" s="90"/>
      <c r="U111" s="159" t="s">
        <v>214</v>
      </c>
      <c r="V111" s="90"/>
      <c r="W111" s="159" t="s">
        <v>207</v>
      </c>
      <c r="X111" s="90"/>
      <c r="Y111" s="159" t="s">
        <v>214</v>
      </c>
      <c r="Z111" s="90"/>
      <c r="AA111" s="159" t="s">
        <v>207</v>
      </c>
      <c r="AB111" s="90"/>
      <c r="AC111" s="159" t="s">
        <v>215</v>
      </c>
      <c r="AD111" s="90" t="s">
        <v>2896</v>
      </c>
      <c r="AE111" s="159" t="s">
        <v>207</v>
      </c>
      <c r="AF111" s="189" t="str">
        <f>IF(AND(O111="",Q111="",S111="",U111="",W111="",Y111="",AA111="",AC111=""),"",
IF(OR(    AND(O111&lt;&gt;"NA",O111&lt;&gt;"C",O111&lt;&gt;"NC",O111&lt;&gt;"SF",O111&lt;&gt;""),
    AND(Q111&lt;&gt;"NA",Q111&lt;&gt;"C",Q111&lt;&gt;"NC",Q111&lt;&gt;"SF",Q111&lt;&gt;""),
    AND(S111&lt;&gt;"NA",S111&lt;&gt;"C",S111&lt;&gt;"NC",S111&lt;&gt;"SF",S111&lt;&gt;""),
    AND(U111&lt;&gt;"NA",U111&lt;&gt;"C",U111&lt;&gt;"NC",U111&lt;&gt;"SF",U111&lt;&gt;""),
    AND(W111&lt;&gt;"NA",W111&lt;&gt;"C",W111&lt;&gt;"NC",W111&lt;&gt;"SF",W111&lt;&gt;""),
    AND(Y111&lt;&gt;"NA",Y111&lt;&gt;"C",Y111&lt;&gt;"NC",Y111&lt;&gt;"SF",Y111&lt;&gt;""),
    AND(AA111&lt;&gt;"NA",AA111&lt;&gt;"C",AA111&lt;&gt;"NC",AA111&lt;&gt;"SF",AA111&lt;&gt;""),
    AND(AC111&lt;&gt;"NA",AC111&lt;&gt;"C",AC111&lt;&gt;"NC",AC111&lt;&gt;"SF",AC111&lt;&gt;"")
),"FALSO",
IF(AND(O111="NA",Q111="NA",S111="NA",U111="NA",W111="NA",Y111="NA",AA111="NA",AC111="NA"),"NA",
IF(OR(O111="NC",Q111="NC",S111="NC",U111="NC",W111="NC",Y111="NC",AA111="NC",AC111="NC",
       O111="SF",Q111="SF",S111="SF",U111="SF",W111="SF",Y111="SF",AA111="SF",AC111="SF"),"NC",
IF(SUM(IF(O111="C",1,0),IF(Q111="C",1,0),IF(S111="C",1,0),IF(U111="C",1,0),IF(W111="C",1,0),IF(Y111="C",1,0),IF(AA111="C",1,0),IF(AC111="C",1,0))=1,"C","C")))))</f>
        <v>NC</v>
      </c>
      <c r="AG111" s="304" t="str">
        <f>IF(AND(AE111="C",AF111="C"),"UTILIZOU O PDA CORRETAMENTE",IF(AND(AE111="C",AF111="NC"),"UTILIZOU O PDA CORRETAMENTE. NÃO HÁ FOTOS DE TODAS AS ETAPAS",IF(AND(AE111="NC",AF111="NC"),"NÃO UTILIZOU O PDA",IF(AND(AE111="NA",AF111="NA"),"NÃO AVALIADO POR FALHA DE SINCRONISMO"))))</f>
        <v>UTILIZOU O PDA CORRETAMENTE. NÃO HÁ FOTOS DE TODAS AS ETAPAS</v>
      </c>
      <c r="AH111" s="9"/>
      <c r="AI111" s="145" t="str">
        <f t="shared" si="1"/>
        <v>SÃO PAULO</v>
      </c>
      <c r="AJ111" s="147" t="s">
        <v>36</v>
      </c>
    </row>
    <row r="112" spans="1:36" ht="30" customHeight="1">
      <c r="A112" s="197" t="s">
        <v>198</v>
      </c>
      <c r="B112" s="308">
        <v>2621857521</v>
      </c>
      <c r="C112" s="197" t="s">
        <v>154</v>
      </c>
      <c r="D112" s="197" t="s">
        <v>83</v>
      </c>
      <c r="E112" s="197" t="s">
        <v>35</v>
      </c>
      <c r="F112" s="197" t="s">
        <v>1884</v>
      </c>
      <c r="G112" s="197">
        <v>149</v>
      </c>
      <c r="H112" s="197" t="s">
        <v>200</v>
      </c>
      <c r="I112" s="197" t="s">
        <v>598</v>
      </c>
      <c r="J112" s="197" t="s">
        <v>2837</v>
      </c>
      <c r="K112" s="197" t="s">
        <v>200</v>
      </c>
      <c r="L112" s="203">
        <v>46169.478472222225</v>
      </c>
      <c r="M112" s="203">
        <v>46169.479166666664</v>
      </c>
      <c r="N112" s="197" t="s">
        <v>2838</v>
      </c>
      <c r="O112" s="174" t="s">
        <v>207</v>
      </c>
      <c r="P112" s="90"/>
      <c r="Q112" s="159" t="s">
        <v>207</v>
      </c>
      <c r="R112" s="90"/>
      <c r="S112" s="159" t="s">
        <v>207</v>
      </c>
      <c r="T112" s="90"/>
      <c r="U112" s="159" t="s">
        <v>214</v>
      </c>
      <c r="V112" s="90"/>
      <c r="W112" s="159" t="s">
        <v>207</v>
      </c>
      <c r="X112" s="90"/>
      <c r="Y112" s="159" t="s">
        <v>214</v>
      </c>
      <c r="Z112" s="90"/>
      <c r="AA112" s="159" t="s">
        <v>207</v>
      </c>
      <c r="AB112" s="90"/>
      <c r="AC112" s="159" t="s">
        <v>215</v>
      </c>
      <c r="AD112" s="90" t="s">
        <v>2896</v>
      </c>
      <c r="AE112" s="159" t="s">
        <v>207</v>
      </c>
      <c r="AF112" s="189" t="str">
        <f>IF(AND(O112="",Q112="",S112="",U112="",W112="",Y112="",AA112="",AC112=""),"",
IF(OR(    AND(O112&lt;&gt;"NA",O112&lt;&gt;"C",O112&lt;&gt;"NC",O112&lt;&gt;"SF",O112&lt;&gt;""),
    AND(Q112&lt;&gt;"NA",Q112&lt;&gt;"C",Q112&lt;&gt;"NC",Q112&lt;&gt;"SF",Q112&lt;&gt;""),
    AND(S112&lt;&gt;"NA",S112&lt;&gt;"C",S112&lt;&gt;"NC",S112&lt;&gt;"SF",S112&lt;&gt;""),
    AND(U112&lt;&gt;"NA",U112&lt;&gt;"C",U112&lt;&gt;"NC",U112&lt;&gt;"SF",U112&lt;&gt;""),
    AND(W112&lt;&gt;"NA",W112&lt;&gt;"C",W112&lt;&gt;"NC",W112&lt;&gt;"SF",W112&lt;&gt;""),
    AND(Y112&lt;&gt;"NA",Y112&lt;&gt;"C",Y112&lt;&gt;"NC",Y112&lt;&gt;"SF",Y112&lt;&gt;""),
    AND(AA112&lt;&gt;"NA",AA112&lt;&gt;"C",AA112&lt;&gt;"NC",AA112&lt;&gt;"SF",AA112&lt;&gt;""),
    AND(AC112&lt;&gt;"NA",AC112&lt;&gt;"C",AC112&lt;&gt;"NC",AC112&lt;&gt;"SF",AC112&lt;&gt;"")
),"FALSO",
IF(AND(O112="NA",Q112="NA",S112="NA",U112="NA",W112="NA",Y112="NA",AA112="NA",AC112="NA"),"NA",
IF(OR(O112="NC",Q112="NC",S112="NC",U112="NC",W112="NC",Y112="NC",AA112="NC",AC112="NC",
       O112="SF",Q112="SF",S112="SF",U112="SF",W112="SF",Y112="SF",AA112="SF",AC112="SF"),"NC",
IF(SUM(IF(O112="C",1,0),IF(Q112="C",1,0),IF(S112="C",1,0),IF(U112="C",1,0),IF(W112="C",1,0),IF(Y112="C",1,0),IF(AA112="C",1,0),IF(AC112="C",1,0))=1,"C","C")))))</f>
        <v>NC</v>
      </c>
      <c r="AG112" s="304" t="str">
        <f>IF(AND(AE112="C",AF112="C"),"UTILIZOU O PDA CORRETAMENTE",IF(AND(AE112="C",AF112="NC"),"UTILIZOU O PDA CORRETAMENTE. NÃO HÁ FOTOS DE TODAS AS ETAPAS",IF(AND(AE112="NC",AF112="NC"),"NÃO UTILIZOU O PDA",IF(AND(AE112="NA",AF112="NA"),"NÃO AVALIADO POR FALHA DE SINCRONISMO"))))</f>
        <v>UTILIZOU O PDA CORRETAMENTE. NÃO HÁ FOTOS DE TODAS AS ETAPAS</v>
      </c>
      <c r="AH112" s="9"/>
      <c r="AI112" s="145" t="str">
        <f t="shared" si="1"/>
        <v>SÃO PAULO</v>
      </c>
      <c r="AJ112" s="147" t="s">
        <v>36</v>
      </c>
    </row>
    <row r="113" spans="1:36" ht="30" customHeight="1">
      <c r="A113" s="197" t="s">
        <v>198</v>
      </c>
      <c r="B113" s="308">
        <v>2621885957</v>
      </c>
      <c r="C113" s="197" t="s">
        <v>154</v>
      </c>
      <c r="D113" s="197" t="s">
        <v>83</v>
      </c>
      <c r="E113" s="197" t="s">
        <v>35</v>
      </c>
      <c r="F113" s="197" t="s">
        <v>1887</v>
      </c>
      <c r="G113" s="197">
        <v>50</v>
      </c>
      <c r="H113" s="197"/>
      <c r="I113" s="197" t="s">
        <v>567</v>
      </c>
      <c r="J113" s="197" t="s">
        <v>2837</v>
      </c>
      <c r="K113" s="197"/>
      <c r="L113" s="203">
        <v>46169.614583333336</v>
      </c>
      <c r="M113" s="203">
        <v>46169.615277777775</v>
      </c>
      <c r="N113" s="197" t="s">
        <v>2838</v>
      </c>
      <c r="O113" s="174" t="s">
        <v>207</v>
      </c>
      <c r="P113" s="90"/>
      <c r="Q113" s="159" t="s">
        <v>207</v>
      </c>
      <c r="R113" s="90"/>
      <c r="S113" s="159" t="s">
        <v>207</v>
      </c>
      <c r="T113" s="90"/>
      <c r="U113" s="159" t="s">
        <v>214</v>
      </c>
      <c r="V113" s="90"/>
      <c r="W113" s="159" t="s">
        <v>207</v>
      </c>
      <c r="X113" s="90"/>
      <c r="Y113" s="159" t="s">
        <v>214</v>
      </c>
      <c r="Z113" s="90"/>
      <c r="AA113" s="159" t="s">
        <v>207</v>
      </c>
      <c r="AB113" s="90"/>
      <c r="AC113" s="159" t="s">
        <v>215</v>
      </c>
      <c r="AD113" s="90" t="s">
        <v>2896</v>
      </c>
      <c r="AE113" s="159" t="s">
        <v>207</v>
      </c>
      <c r="AF113" s="189" t="str">
        <f>IF(AND(O113="",Q113="",S113="",U113="",W113="",Y113="",AA113="",AC113=""),"",
IF(OR(    AND(O113&lt;&gt;"NA",O113&lt;&gt;"C",O113&lt;&gt;"NC",O113&lt;&gt;"SF",O113&lt;&gt;""),
    AND(Q113&lt;&gt;"NA",Q113&lt;&gt;"C",Q113&lt;&gt;"NC",Q113&lt;&gt;"SF",Q113&lt;&gt;""),
    AND(S113&lt;&gt;"NA",S113&lt;&gt;"C",S113&lt;&gt;"NC",S113&lt;&gt;"SF",S113&lt;&gt;""),
    AND(U113&lt;&gt;"NA",U113&lt;&gt;"C",U113&lt;&gt;"NC",U113&lt;&gt;"SF",U113&lt;&gt;""),
    AND(W113&lt;&gt;"NA",W113&lt;&gt;"C",W113&lt;&gt;"NC",W113&lt;&gt;"SF",W113&lt;&gt;""),
    AND(Y113&lt;&gt;"NA",Y113&lt;&gt;"C",Y113&lt;&gt;"NC",Y113&lt;&gt;"SF",Y113&lt;&gt;""),
    AND(AA113&lt;&gt;"NA",AA113&lt;&gt;"C",AA113&lt;&gt;"NC",AA113&lt;&gt;"SF",AA113&lt;&gt;""),
    AND(AC113&lt;&gt;"NA",AC113&lt;&gt;"C",AC113&lt;&gt;"NC",AC113&lt;&gt;"SF",AC113&lt;&gt;"")
),"FALSO",
IF(AND(O113="NA",Q113="NA",S113="NA",U113="NA",W113="NA",Y113="NA",AA113="NA",AC113="NA"),"NA",
IF(OR(O113="NC",Q113="NC",S113="NC",U113="NC",W113="NC",Y113="NC",AA113="NC",AC113="NC",
       O113="SF",Q113="SF",S113="SF",U113="SF",W113="SF",Y113="SF",AA113="SF",AC113="SF"),"NC",
IF(SUM(IF(O113="C",1,0),IF(Q113="C",1,0),IF(S113="C",1,0),IF(U113="C",1,0),IF(W113="C",1,0),IF(Y113="C",1,0),IF(AA113="C",1,0),IF(AC113="C",1,0))=1,"C","C")))))</f>
        <v>NC</v>
      </c>
      <c r="AG113" s="304" t="str">
        <f>IF(AND(AE113="C",AF113="C"),"UTILIZOU O PDA CORRETAMENTE",IF(AND(AE113="C",AF113="NC"),"UTILIZOU O PDA CORRETAMENTE. NÃO HÁ FOTOS DE TODAS AS ETAPAS",IF(AND(AE113="NC",AF113="NC"),"NÃO UTILIZOU O PDA",IF(AND(AE113="NA",AF113="NA"),"NÃO AVALIADO POR FALHA DE SINCRONISMO"))))</f>
        <v>UTILIZOU O PDA CORRETAMENTE. NÃO HÁ FOTOS DE TODAS AS ETAPAS</v>
      </c>
      <c r="AH113" s="9" t="s">
        <v>75</v>
      </c>
      <c r="AI113" s="145" t="str">
        <f t="shared" si="1"/>
        <v>SÃO PAULO</v>
      </c>
      <c r="AJ113" s="147" t="s">
        <v>36</v>
      </c>
    </row>
    <row r="114" spans="1:36" ht="30" customHeight="1">
      <c r="A114" s="197" t="s">
        <v>198</v>
      </c>
      <c r="B114" s="308">
        <v>2621650681</v>
      </c>
      <c r="C114" s="197" t="s">
        <v>154</v>
      </c>
      <c r="D114" s="197" t="s">
        <v>83</v>
      </c>
      <c r="E114" s="197" t="s">
        <v>35</v>
      </c>
      <c r="F114" s="197" t="s">
        <v>638</v>
      </c>
      <c r="G114" s="197">
        <v>200</v>
      </c>
      <c r="H114" s="197" t="s">
        <v>200</v>
      </c>
      <c r="I114" s="197" t="s">
        <v>447</v>
      </c>
      <c r="J114" s="197" t="s">
        <v>2837</v>
      </c>
      <c r="K114" s="197" t="s">
        <v>200</v>
      </c>
      <c r="L114" s="203">
        <v>46169.630555555559</v>
      </c>
      <c r="M114" s="203">
        <v>46169.630555555559</v>
      </c>
      <c r="N114" s="197" t="s">
        <v>2838</v>
      </c>
      <c r="O114" s="174" t="s">
        <v>207</v>
      </c>
      <c r="P114" s="90"/>
      <c r="Q114" s="159" t="s">
        <v>207</v>
      </c>
      <c r="R114" s="90"/>
      <c r="S114" s="159" t="s">
        <v>207</v>
      </c>
      <c r="T114" s="90"/>
      <c r="U114" s="159" t="s">
        <v>214</v>
      </c>
      <c r="V114" s="90"/>
      <c r="W114" s="159" t="s">
        <v>207</v>
      </c>
      <c r="X114" s="90"/>
      <c r="Y114" s="159" t="s">
        <v>214</v>
      </c>
      <c r="Z114" s="90"/>
      <c r="AA114" s="159" t="s">
        <v>207</v>
      </c>
      <c r="AB114" s="90"/>
      <c r="AC114" s="159" t="s">
        <v>215</v>
      </c>
      <c r="AD114" s="90" t="s">
        <v>2896</v>
      </c>
      <c r="AE114" s="159" t="s">
        <v>207</v>
      </c>
      <c r="AF114" s="189" t="str">
        <f>IF(AND(O114="",Q114="",S114="",U114="",W114="",Y114="",AA114="",AC114=""),"",
IF(OR(    AND(O114&lt;&gt;"NA",O114&lt;&gt;"C",O114&lt;&gt;"NC",O114&lt;&gt;"SF",O114&lt;&gt;""),
    AND(Q114&lt;&gt;"NA",Q114&lt;&gt;"C",Q114&lt;&gt;"NC",Q114&lt;&gt;"SF",Q114&lt;&gt;""),
    AND(S114&lt;&gt;"NA",S114&lt;&gt;"C",S114&lt;&gt;"NC",S114&lt;&gt;"SF",S114&lt;&gt;""),
    AND(U114&lt;&gt;"NA",U114&lt;&gt;"C",U114&lt;&gt;"NC",U114&lt;&gt;"SF",U114&lt;&gt;""),
    AND(W114&lt;&gt;"NA",W114&lt;&gt;"C",W114&lt;&gt;"NC",W114&lt;&gt;"SF",W114&lt;&gt;""),
    AND(Y114&lt;&gt;"NA",Y114&lt;&gt;"C",Y114&lt;&gt;"NC",Y114&lt;&gt;"SF",Y114&lt;&gt;""),
    AND(AA114&lt;&gt;"NA",AA114&lt;&gt;"C",AA114&lt;&gt;"NC",AA114&lt;&gt;"SF",AA114&lt;&gt;""),
    AND(AC114&lt;&gt;"NA",AC114&lt;&gt;"C",AC114&lt;&gt;"NC",AC114&lt;&gt;"SF",AC114&lt;&gt;"")
),"FALSO",
IF(AND(O114="NA",Q114="NA",S114="NA",U114="NA",W114="NA",Y114="NA",AA114="NA",AC114="NA"),"NA",
IF(OR(O114="NC",Q114="NC",S114="NC",U114="NC",W114="NC",Y114="NC",AA114="NC",AC114="NC",
       O114="SF",Q114="SF",S114="SF",U114="SF",W114="SF",Y114="SF",AA114="SF",AC114="SF"),"NC",
IF(SUM(IF(O114="C",1,0),IF(Q114="C",1,0),IF(S114="C",1,0),IF(U114="C",1,0),IF(W114="C",1,0),IF(Y114="C",1,0),IF(AA114="C",1,0),IF(AC114="C",1,0))=1,"C","C")))))</f>
        <v>NC</v>
      </c>
      <c r="AG114" s="304" t="str">
        <f>IF(AND(AE114="C",AF114="C"),"UTILIZOU O PDA CORRETAMENTE",IF(AND(AE114="C",AF114="NC"),"UTILIZOU O PDA CORRETAMENTE. NÃO HÁ FOTOS DE TODAS AS ETAPAS",IF(AND(AE114="NC",AF114="NC"),"NÃO UTILIZOU O PDA",IF(AND(AE114="NA",AF114="NA"),"NÃO AVALIADO POR FALHA DE SINCRONISMO"))))</f>
        <v>UTILIZOU O PDA CORRETAMENTE. NÃO HÁ FOTOS DE TODAS AS ETAPAS</v>
      </c>
      <c r="AH114" s="9"/>
      <c r="AI114" s="145" t="str">
        <f t="shared" si="1"/>
        <v>SÃO PAULO</v>
      </c>
      <c r="AJ114" s="147" t="s">
        <v>36</v>
      </c>
    </row>
    <row r="115" spans="1:36" ht="30" customHeight="1">
      <c r="A115" s="197" t="s">
        <v>198</v>
      </c>
      <c r="B115" s="308">
        <v>2622259049</v>
      </c>
      <c r="C115" s="197" t="s">
        <v>154</v>
      </c>
      <c r="D115" s="197" t="s">
        <v>83</v>
      </c>
      <c r="E115" s="197" t="s">
        <v>35</v>
      </c>
      <c r="F115" s="197" t="s">
        <v>1454</v>
      </c>
      <c r="G115" s="197">
        <v>8</v>
      </c>
      <c r="H115" s="197" t="s">
        <v>347</v>
      </c>
      <c r="I115" s="197" t="s">
        <v>287</v>
      </c>
      <c r="J115" s="197" t="s">
        <v>2837</v>
      </c>
      <c r="K115" s="197"/>
      <c r="L115" s="203">
        <v>46169.424305555556</v>
      </c>
      <c r="M115" s="203">
        <v>46169.438888888886</v>
      </c>
      <c r="N115" s="197" t="s">
        <v>2838</v>
      </c>
      <c r="O115" s="152" t="s">
        <v>207</v>
      </c>
      <c r="P115" s="90"/>
      <c r="Q115" s="140" t="s">
        <v>207</v>
      </c>
      <c r="R115" s="90"/>
      <c r="S115" s="140" t="s">
        <v>207</v>
      </c>
      <c r="T115" s="90"/>
      <c r="U115" s="140" t="s">
        <v>214</v>
      </c>
      <c r="V115" s="90"/>
      <c r="W115" s="140" t="s">
        <v>207</v>
      </c>
      <c r="X115" s="90"/>
      <c r="Y115" s="140" t="s">
        <v>214</v>
      </c>
      <c r="Z115" s="90"/>
      <c r="AA115" s="140" t="s">
        <v>214</v>
      </c>
      <c r="AB115" s="62"/>
      <c r="AC115" s="140" t="s">
        <v>207</v>
      </c>
      <c r="AD115" s="62"/>
      <c r="AE115" s="140" t="s">
        <v>207</v>
      </c>
      <c r="AF115" s="189" t="str">
        <f>IF(AND(O115="",Q115="",S115="",U115="",W115="",Y115="",AA115="",AC115=""),"",
IF(OR(    AND(O115&lt;&gt;"NA",O115&lt;&gt;"C",O115&lt;&gt;"NC",O115&lt;&gt;"SF",O115&lt;&gt;""),
    AND(Q115&lt;&gt;"NA",Q115&lt;&gt;"C",Q115&lt;&gt;"NC",Q115&lt;&gt;"SF",Q115&lt;&gt;""),
    AND(S115&lt;&gt;"NA",S115&lt;&gt;"C",S115&lt;&gt;"NC",S115&lt;&gt;"SF",S115&lt;&gt;""),
    AND(U115&lt;&gt;"NA",U115&lt;&gt;"C",U115&lt;&gt;"NC",U115&lt;&gt;"SF",U115&lt;&gt;""),
    AND(W115&lt;&gt;"NA",W115&lt;&gt;"C",W115&lt;&gt;"NC",W115&lt;&gt;"SF",W115&lt;&gt;""),
    AND(Y115&lt;&gt;"NA",Y115&lt;&gt;"C",Y115&lt;&gt;"NC",Y115&lt;&gt;"SF",Y115&lt;&gt;""),
    AND(AA115&lt;&gt;"NA",AA115&lt;&gt;"C",AA115&lt;&gt;"NC",AA115&lt;&gt;"SF",AA115&lt;&gt;""),
    AND(AC115&lt;&gt;"NA",AC115&lt;&gt;"C",AC115&lt;&gt;"NC",AC115&lt;&gt;"SF",AC115&lt;&gt;"")
),"FALSO",
IF(AND(O115="NA",Q115="NA",S115="NA",U115="NA",W115="NA",Y115="NA",AA115="NA",AC115="NA"),"NA",
IF(OR(O115="NC",Q115="NC",S115="NC",U115="NC",W115="NC",Y115="NC",AA115="NC",AC115="NC",
       O115="SF",Q115="SF",S115="SF",U115="SF",W115="SF",Y115="SF",AA115="SF",AC115="SF"),"NC",
IF(SUM(IF(O115="C",1,0),IF(Q115="C",1,0),IF(S115="C",1,0),IF(U115="C",1,0),IF(W115="C",1,0),IF(Y115="C",1,0),IF(AA115="C",1,0),IF(AC115="C",1,0))=1,"C","C")))))</f>
        <v>NC</v>
      </c>
      <c r="AG115" s="304" t="str">
        <f>IF(AND(AE115="C",AF115="C"),"UTILIZOU O PDA CORRETAMENTE",IF(AND(AE115="C",AF115="NC"),"UTILIZOU O PDA CORRETAMENTE. NÃO HÁ FOTOS DE TODAS AS ETAPAS",IF(AND(AE115="NC",AF115="NC"),"NÃO UTILIZOU O PDA",IF(AND(AE115="NA",AF115="NA"),"NÃO AVALIADO POR FALHA DE SINCRONISMO"))))</f>
        <v>UTILIZOU O PDA CORRETAMENTE. NÃO HÁ FOTOS DE TODAS AS ETAPAS</v>
      </c>
      <c r="AH115" s="9"/>
      <c r="AI115" s="145" t="str">
        <f t="shared" si="1"/>
        <v>SÃO PAULO</v>
      </c>
      <c r="AJ115" s="147" t="s">
        <v>36</v>
      </c>
    </row>
    <row r="116" spans="1:36" ht="30" customHeight="1">
      <c r="A116" s="197" t="s">
        <v>198</v>
      </c>
      <c r="B116" s="308">
        <v>2621675414</v>
      </c>
      <c r="C116" s="197" t="s">
        <v>154</v>
      </c>
      <c r="D116" s="197" t="s">
        <v>83</v>
      </c>
      <c r="E116" s="197" t="s">
        <v>35</v>
      </c>
      <c r="F116" s="197" t="s">
        <v>204</v>
      </c>
      <c r="G116" s="197">
        <v>1652</v>
      </c>
      <c r="H116" s="197"/>
      <c r="I116" s="197" t="s">
        <v>209</v>
      </c>
      <c r="J116" s="197" t="s">
        <v>2837</v>
      </c>
      <c r="K116" s="197"/>
      <c r="L116" s="203">
        <v>46169.4375</v>
      </c>
      <c r="M116" s="203">
        <v>46169.438194444447</v>
      </c>
      <c r="N116" s="197" t="s">
        <v>309</v>
      </c>
      <c r="O116" s="152" t="s">
        <v>77</v>
      </c>
      <c r="P116" s="90"/>
      <c r="Q116" s="140" t="s">
        <v>77</v>
      </c>
      <c r="R116" s="90"/>
      <c r="S116" s="140" t="s">
        <v>77</v>
      </c>
      <c r="T116" s="90"/>
      <c r="U116" s="140" t="s">
        <v>77</v>
      </c>
      <c r="V116" s="90"/>
      <c r="W116" s="140" t="s">
        <v>77</v>
      </c>
      <c r="X116" s="90"/>
      <c r="Y116" s="140" t="s">
        <v>77</v>
      </c>
      <c r="Z116" s="90"/>
      <c r="AA116" s="140" t="s">
        <v>77</v>
      </c>
      <c r="AB116" s="62"/>
      <c r="AC116" s="140" t="s">
        <v>77</v>
      </c>
      <c r="AD116" s="62"/>
      <c r="AE116" s="140" t="s">
        <v>77</v>
      </c>
      <c r="AF116" s="189" t="str">
        <f>IF(AND(O116="",Q116="",S116="",U116="",W116="",Y116="",AA116="",AC116=""),"",
IF(OR(    AND(O116&lt;&gt;"NA",O116&lt;&gt;"C",O116&lt;&gt;"NC",O116&lt;&gt;"SF",O116&lt;&gt;""),
    AND(Q116&lt;&gt;"NA",Q116&lt;&gt;"C",Q116&lt;&gt;"NC",Q116&lt;&gt;"SF",Q116&lt;&gt;""),
    AND(S116&lt;&gt;"NA",S116&lt;&gt;"C",S116&lt;&gt;"NC",S116&lt;&gt;"SF",S116&lt;&gt;""),
    AND(U116&lt;&gt;"NA",U116&lt;&gt;"C",U116&lt;&gt;"NC",U116&lt;&gt;"SF",U116&lt;&gt;""),
    AND(W116&lt;&gt;"NA",W116&lt;&gt;"C",W116&lt;&gt;"NC",W116&lt;&gt;"SF",W116&lt;&gt;""),
    AND(Y116&lt;&gt;"NA",Y116&lt;&gt;"C",Y116&lt;&gt;"NC",Y116&lt;&gt;"SF",Y116&lt;&gt;""),
    AND(AA116&lt;&gt;"NA",AA116&lt;&gt;"C",AA116&lt;&gt;"NC",AA116&lt;&gt;"SF",AA116&lt;&gt;""),
    AND(AC116&lt;&gt;"NA",AC116&lt;&gt;"C",AC116&lt;&gt;"NC",AC116&lt;&gt;"SF",AC116&lt;&gt;"")
),"FALSO",
IF(AND(O116="NA",Q116="NA",S116="NA",U116="NA",W116="NA",Y116="NA",AA116="NA",AC116="NA"),"NA",
IF(OR(O116="NC",Q116="NC",S116="NC",U116="NC",W116="NC",Y116="NC",AA116="NC",AC116="NC",
       O116="SF",Q116="SF",S116="SF",U116="SF",W116="SF",Y116="SF",AA116="SF",AC116="SF"),"NC",
IF(SUM(IF(O116="C",1,0),IF(Q116="C",1,0),IF(S116="C",1,0),IF(U116="C",1,0),IF(W116="C",1,0),IF(Y116="C",1,0),IF(AA116="C",1,0),IF(AC116="C",1,0))=1,"C","C")))))</f>
        <v>NA</v>
      </c>
      <c r="AG116" s="304" t="str">
        <f>IF(AND(AE116="C",AF116="C"),"UTILIZOU O PDA CORRETAMENTE",IF(AND(AE116="C",AF116="NC"),"UTILIZOU O PDA CORRETAMENTE. NÃO HÁ FOTOS DE TODAS AS ETAPAS",IF(AND(AE116="NC",AF116="NC"),"NÃO UTILIZOU O PDA",IF(AND(AE116="NA",AF116="NA"),"NÃO AVALIADO POR FALHA DE SINCRONISMO"))))</f>
        <v>NÃO AVALIADO POR FALHA DE SINCRONISMO</v>
      </c>
      <c r="AH116" s="9" t="s">
        <v>75</v>
      </c>
      <c r="AI116" s="145" t="str">
        <f t="shared" si="1"/>
        <v>SÃO PAULO</v>
      </c>
      <c r="AJ116" s="147" t="s">
        <v>36</v>
      </c>
    </row>
    <row r="117" spans="1:36" ht="30" customHeight="1">
      <c r="A117" s="161"/>
      <c r="B117" s="161"/>
      <c r="C117" s="161"/>
      <c r="D117" s="161"/>
      <c r="E117" s="161"/>
      <c r="F117" s="161"/>
      <c r="G117" s="161"/>
      <c r="H117" s="161"/>
      <c r="I117" s="161"/>
      <c r="J117" s="161"/>
      <c r="K117" s="161"/>
      <c r="L117" s="279"/>
      <c r="M117" s="279"/>
      <c r="N117" s="161"/>
      <c r="O117" s="152"/>
      <c r="P117" s="90"/>
      <c r="Q117" s="140"/>
      <c r="R117" s="90"/>
      <c r="S117" s="140"/>
      <c r="T117" s="90"/>
      <c r="U117" s="140"/>
      <c r="V117" s="90"/>
      <c r="W117" s="140"/>
      <c r="X117" s="90"/>
      <c r="Y117" s="140"/>
      <c r="Z117" s="90"/>
      <c r="AA117" s="140"/>
      <c r="AB117" s="62"/>
      <c r="AC117" s="140"/>
      <c r="AD117" s="62"/>
      <c r="AE117" s="140"/>
      <c r="AF117" s="189" t="str">
        <f>IF(AND(O117="",Q117="",S117="",U117="",W117="",Y117="",AA117="",AC117=""),"",
IF(OR(    AND(O117&lt;&gt;"NA",O117&lt;&gt;"C",O117&lt;&gt;"NC",O117&lt;&gt;"SF",O117&lt;&gt;""),
    AND(Q117&lt;&gt;"NA",Q117&lt;&gt;"C",Q117&lt;&gt;"NC",Q117&lt;&gt;"SF",Q117&lt;&gt;""),
    AND(S117&lt;&gt;"NA",S117&lt;&gt;"C",S117&lt;&gt;"NC",S117&lt;&gt;"SF",S117&lt;&gt;""),
    AND(U117&lt;&gt;"NA",U117&lt;&gt;"C",U117&lt;&gt;"NC",U117&lt;&gt;"SF",U117&lt;&gt;""),
    AND(W117&lt;&gt;"NA",W117&lt;&gt;"C",W117&lt;&gt;"NC",W117&lt;&gt;"SF",W117&lt;&gt;""),
    AND(Y117&lt;&gt;"NA",Y117&lt;&gt;"C",Y117&lt;&gt;"NC",Y117&lt;&gt;"SF",Y117&lt;&gt;""),
    AND(AA117&lt;&gt;"NA",AA117&lt;&gt;"C",AA117&lt;&gt;"NC",AA117&lt;&gt;"SF",AA117&lt;&gt;""),
    AND(AC117&lt;&gt;"NA",AC117&lt;&gt;"C",AC117&lt;&gt;"NC",AC117&lt;&gt;"SF",AC117&lt;&gt;"")
),"FALSO",
IF(AND(O117="NA",Q117="NA",S117="NA",U117="NA",W117="NA",Y117="NA",AA117="NA",AC117="NA"),"NA",
IF(OR(O117="NC",Q117="NC",S117="NC",U117="NC",W117="NC",Y117="NC",AA117="NC",AC117="NC",
       O117="SF",Q117="SF",S117="SF",U117="SF",W117="SF",Y117="SF",AA117="SF",AC117="SF"),"NC",
IF(SUM(IF(O117="C",1,0),IF(Q117="C",1,0),IF(S117="C",1,0),IF(U117="C",1,0),IF(W117="C",1,0),IF(Y117="C",1,0),IF(AA117="C",1,0),IF(AC117="C",1,0))=1,"C","C")))))</f>
        <v/>
      </c>
      <c r="AG117" s="304" t="b">
        <f>IF(AND(AE117="C",AF117="C"),"UTILIZOU O PDA CORRETAMENTE",IF(AND(AE117="C",AF117="NC"),"UTILIZOU O PDA CORRETAMENTE. NÃO HÁ FOTOS DE TODAS AS ETAPAS",IF(AND(AE117="NC",AF117="NC"),"NÃO UTILIZOU O PDA",IF(AND(AE117="NA",AF117="NA"),"NÃO AVALIADO POR FALHA DE SINCRONISMO"))))</f>
        <v>0</v>
      </c>
      <c r="AH117" s="9"/>
      <c r="AI117" s="145">
        <f t="shared" si="1"/>
        <v>0</v>
      </c>
      <c r="AJ117" s="147" t="s">
        <v>36</v>
      </c>
    </row>
    <row r="118" spans="1:36" ht="30" customHeight="1">
      <c r="A118" s="176"/>
      <c r="B118" s="176"/>
      <c r="C118" s="176"/>
      <c r="D118" s="176"/>
      <c r="E118" s="176"/>
      <c r="F118" s="176"/>
      <c r="G118" s="176"/>
      <c r="H118" s="176"/>
      <c r="I118" s="176"/>
      <c r="J118" s="176"/>
      <c r="K118" s="176"/>
      <c r="L118" s="185"/>
      <c r="M118" s="185"/>
      <c r="N118" s="176"/>
      <c r="O118" s="152"/>
      <c r="P118" s="90"/>
      <c r="Q118" s="140"/>
      <c r="R118" s="90"/>
      <c r="S118" s="140"/>
      <c r="T118" s="90"/>
      <c r="U118" s="140"/>
      <c r="V118" s="90"/>
      <c r="W118" s="140"/>
      <c r="X118" s="90"/>
      <c r="Y118" s="140"/>
      <c r="Z118" s="90"/>
      <c r="AA118" s="140"/>
      <c r="AB118" s="62"/>
      <c r="AC118" s="140"/>
      <c r="AD118" s="62"/>
      <c r="AE118" s="140"/>
      <c r="AF118" s="189" t="str">
        <f>IF(AND(O118="",Q118="",S118="",U118="",W118="",Y118="",AA118="",AC118=""),"",
IF(OR(    AND(O118&lt;&gt;"NA",O118&lt;&gt;"C",O118&lt;&gt;"NC",O118&lt;&gt;"SF",O118&lt;&gt;""),
    AND(Q118&lt;&gt;"NA",Q118&lt;&gt;"C",Q118&lt;&gt;"NC",Q118&lt;&gt;"SF",Q118&lt;&gt;""),
    AND(S118&lt;&gt;"NA",S118&lt;&gt;"C",S118&lt;&gt;"NC",S118&lt;&gt;"SF",S118&lt;&gt;""),
    AND(U118&lt;&gt;"NA",U118&lt;&gt;"C",U118&lt;&gt;"NC",U118&lt;&gt;"SF",U118&lt;&gt;""),
    AND(W118&lt;&gt;"NA",W118&lt;&gt;"C",W118&lt;&gt;"NC",W118&lt;&gt;"SF",W118&lt;&gt;""),
    AND(Y118&lt;&gt;"NA",Y118&lt;&gt;"C",Y118&lt;&gt;"NC",Y118&lt;&gt;"SF",Y118&lt;&gt;""),
    AND(AA118&lt;&gt;"NA",AA118&lt;&gt;"C",AA118&lt;&gt;"NC",AA118&lt;&gt;"SF",AA118&lt;&gt;""),
    AND(AC118&lt;&gt;"NA",AC118&lt;&gt;"C",AC118&lt;&gt;"NC",AC118&lt;&gt;"SF",AC118&lt;&gt;"")
),"FALSO",
IF(AND(O118="NA",Q118="NA",S118="NA",U118="NA",W118="NA",Y118="NA",AA118="NA",AC118="NA"),"NA",
IF(OR(O118="NC",Q118="NC",S118="NC",U118="NC",W118="NC",Y118="NC",AA118="NC",AC118="NC",
       O118="SF",Q118="SF",S118="SF",U118="SF",W118="SF",Y118="SF",AA118="SF",AC118="SF"),"NC",
IF(SUM(IF(O118="C",1,0),IF(Q118="C",1,0),IF(S118="C",1,0),IF(U118="C",1,0),IF(W118="C",1,0),IF(Y118="C",1,0),IF(AA118="C",1,0),IF(AC118="C",1,0))=1,"C","C")))))</f>
        <v/>
      </c>
      <c r="AG118" s="304" t="b">
        <f>IF(AND(AE118="C",AF118="C"),"UTILIZOU O PDA CORRETAMENTE",IF(AND(AE118="C",AF118="NC"),"UTILIZOU O PDA CORRETAMENTE. NÃO HÁ FOTOS DE TODAS AS ETAPAS",IF(AND(AE118="NC",AF118="NC"),"NÃO UTILIZOU O PDA",IF(AND(AE118="NA",AF118="NA"),"NÃO AVALIADO POR FALHA DE SINCRONISMO"))))</f>
        <v>0</v>
      </c>
      <c r="AH118" s="9"/>
      <c r="AI118" s="145">
        <f t="shared" si="1"/>
        <v>0</v>
      </c>
      <c r="AJ118" s="147" t="s">
        <v>36</v>
      </c>
    </row>
    <row r="119" spans="1:36" ht="30" customHeight="1">
      <c r="A119" s="176"/>
      <c r="B119" s="176"/>
      <c r="C119" s="176"/>
      <c r="D119" s="176"/>
      <c r="E119" s="176"/>
      <c r="F119" s="176"/>
      <c r="G119" s="176"/>
      <c r="H119" s="176"/>
      <c r="I119" s="176"/>
      <c r="J119" s="176"/>
      <c r="K119" s="176"/>
      <c r="L119" s="185"/>
      <c r="M119" s="185"/>
      <c r="N119" s="176"/>
      <c r="O119" s="152"/>
      <c r="P119" s="90"/>
      <c r="Q119" s="140"/>
      <c r="R119" s="90"/>
      <c r="S119" s="140"/>
      <c r="T119" s="90"/>
      <c r="U119" s="140"/>
      <c r="V119" s="90"/>
      <c r="W119" s="140"/>
      <c r="X119" s="90"/>
      <c r="Y119" s="140"/>
      <c r="Z119" s="90"/>
      <c r="AA119" s="140"/>
      <c r="AB119" s="62"/>
      <c r="AC119" s="140"/>
      <c r="AD119" s="62"/>
      <c r="AE119" s="140"/>
      <c r="AF119" s="189" t="str">
        <f>IF(AND(O119="",Q119="",S119="",U119="",W119="",Y119="",AA119="",AC119=""),"",
IF(OR(    AND(O119&lt;&gt;"NA",O119&lt;&gt;"C",O119&lt;&gt;"NC",O119&lt;&gt;"SF",O119&lt;&gt;""),
    AND(Q119&lt;&gt;"NA",Q119&lt;&gt;"C",Q119&lt;&gt;"NC",Q119&lt;&gt;"SF",Q119&lt;&gt;""),
    AND(S119&lt;&gt;"NA",S119&lt;&gt;"C",S119&lt;&gt;"NC",S119&lt;&gt;"SF",S119&lt;&gt;""),
    AND(U119&lt;&gt;"NA",U119&lt;&gt;"C",U119&lt;&gt;"NC",U119&lt;&gt;"SF",U119&lt;&gt;""),
    AND(W119&lt;&gt;"NA",W119&lt;&gt;"C",W119&lt;&gt;"NC",W119&lt;&gt;"SF",W119&lt;&gt;""),
    AND(Y119&lt;&gt;"NA",Y119&lt;&gt;"C",Y119&lt;&gt;"NC",Y119&lt;&gt;"SF",Y119&lt;&gt;""),
    AND(AA119&lt;&gt;"NA",AA119&lt;&gt;"C",AA119&lt;&gt;"NC",AA119&lt;&gt;"SF",AA119&lt;&gt;""),
    AND(AC119&lt;&gt;"NA",AC119&lt;&gt;"C",AC119&lt;&gt;"NC",AC119&lt;&gt;"SF",AC119&lt;&gt;"")
),"FALSO",
IF(AND(O119="NA",Q119="NA",S119="NA",U119="NA",W119="NA",Y119="NA",AA119="NA",AC119="NA"),"NA",
IF(OR(O119="NC",Q119="NC",S119="NC",U119="NC",W119="NC",Y119="NC",AA119="NC",AC119="NC",
       O119="SF",Q119="SF",S119="SF",U119="SF",W119="SF",Y119="SF",AA119="SF",AC119="SF"),"NC",
IF(SUM(IF(O119="C",1,0),IF(Q119="C",1,0),IF(S119="C",1,0),IF(U119="C",1,0),IF(W119="C",1,0),IF(Y119="C",1,0),IF(AA119="C",1,0),IF(AC119="C",1,0))=1,"C","C")))))</f>
        <v/>
      </c>
      <c r="AG119" s="304" t="b">
        <f>IF(AND(AE119="C",AF119="C"),"UTILIZOU O PDA CORRETAMENTE",IF(AND(AE119="C",AF119="NC"),"UTILIZOU O PDA CORRETAMENTE. NÃO HÁ FOTOS DE TODAS AS ETAPAS",IF(AND(AE119="NC",AF119="NC"),"NÃO UTILIZOU O PDA",IF(AND(AE119="NA",AF119="NA"),"NÃO AVALIADO POR FALHA DE SINCRONISMO"))))</f>
        <v>0</v>
      </c>
      <c r="AH119" s="9"/>
      <c r="AI119" s="145">
        <f t="shared" si="1"/>
        <v>0</v>
      </c>
      <c r="AJ119" s="147" t="s">
        <v>36</v>
      </c>
    </row>
    <row r="120" spans="1:36" ht="30" customHeight="1">
      <c r="A120" s="176"/>
      <c r="B120" s="176"/>
      <c r="C120" s="176"/>
      <c r="D120" s="176"/>
      <c r="E120" s="176"/>
      <c r="F120" s="176"/>
      <c r="G120" s="176"/>
      <c r="H120" s="176"/>
      <c r="I120" s="176"/>
      <c r="J120" s="176"/>
      <c r="K120" s="176"/>
      <c r="L120" s="185"/>
      <c r="M120" s="185"/>
      <c r="N120" s="176"/>
      <c r="O120" s="152"/>
      <c r="P120" s="90"/>
      <c r="Q120" s="140"/>
      <c r="R120" s="90"/>
      <c r="S120" s="140"/>
      <c r="T120" s="90"/>
      <c r="U120" s="140"/>
      <c r="V120" s="90"/>
      <c r="W120" s="140"/>
      <c r="X120" s="90"/>
      <c r="Y120" s="140"/>
      <c r="Z120" s="90"/>
      <c r="AA120" s="140"/>
      <c r="AB120" s="62"/>
      <c r="AC120" s="140"/>
      <c r="AD120" s="62"/>
      <c r="AE120" s="140"/>
      <c r="AF120" s="189" t="str">
        <f>IF(AND(O120="",Q120="",S120="",U120="",W120="",Y120="",AA120="",AC120=""),"",
IF(OR(    AND(O120&lt;&gt;"NA",O120&lt;&gt;"C",O120&lt;&gt;"NC",O120&lt;&gt;"SF",O120&lt;&gt;""),
    AND(Q120&lt;&gt;"NA",Q120&lt;&gt;"C",Q120&lt;&gt;"NC",Q120&lt;&gt;"SF",Q120&lt;&gt;""),
    AND(S120&lt;&gt;"NA",S120&lt;&gt;"C",S120&lt;&gt;"NC",S120&lt;&gt;"SF",S120&lt;&gt;""),
    AND(U120&lt;&gt;"NA",U120&lt;&gt;"C",U120&lt;&gt;"NC",U120&lt;&gt;"SF",U120&lt;&gt;""),
    AND(W120&lt;&gt;"NA",W120&lt;&gt;"C",W120&lt;&gt;"NC",W120&lt;&gt;"SF",W120&lt;&gt;""),
    AND(Y120&lt;&gt;"NA",Y120&lt;&gt;"C",Y120&lt;&gt;"NC",Y120&lt;&gt;"SF",Y120&lt;&gt;""),
    AND(AA120&lt;&gt;"NA",AA120&lt;&gt;"C",AA120&lt;&gt;"NC",AA120&lt;&gt;"SF",AA120&lt;&gt;""),
    AND(AC120&lt;&gt;"NA",AC120&lt;&gt;"C",AC120&lt;&gt;"NC",AC120&lt;&gt;"SF",AC120&lt;&gt;"")
),"FALSO",
IF(AND(O120="NA",Q120="NA",S120="NA",U120="NA",W120="NA",Y120="NA",AA120="NA",AC120="NA"),"NA",
IF(OR(O120="NC",Q120="NC",S120="NC",U120="NC",W120="NC",Y120="NC",AA120="NC",AC120="NC",
       O120="SF",Q120="SF",S120="SF",U120="SF",W120="SF",Y120="SF",AA120="SF",AC120="SF"),"NC",
IF(SUM(IF(O120="C",1,0),IF(Q120="C",1,0),IF(S120="C",1,0),IF(U120="C",1,0),IF(W120="C",1,0),IF(Y120="C",1,0),IF(AA120="C",1,0),IF(AC120="C",1,0))=1,"C","C")))))</f>
        <v/>
      </c>
      <c r="AG120" s="304" t="b">
        <f>IF(AND(AE120="C",AF120="C"),"UTILIZOU O PDA CORRETAMENTE",IF(AND(AE120="C",AF120="NC"),"UTILIZOU O PDA CORRETAMENTE. NÃO HÁ FOTOS DE TODAS AS ETAPAS",IF(AND(AE120="NC",AF120="NC"),"NÃO UTILIZOU O PDA",IF(AND(AE120="NA",AF120="NA"),"NÃO AVALIADO POR FALHA DE SINCRONISMO"))))</f>
        <v>0</v>
      </c>
      <c r="AH120" s="9"/>
      <c r="AI120" s="145">
        <f t="shared" ref="AI120:AI183" si="2">E120</f>
        <v>0</v>
      </c>
      <c r="AJ120" s="147" t="s">
        <v>36</v>
      </c>
    </row>
    <row r="121" spans="1:36" ht="30" customHeight="1">
      <c r="A121" s="176"/>
      <c r="B121" s="176"/>
      <c r="C121" s="176"/>
      <c r="D121" s="176"/>
      <c r="E121" s="176"/>
      <c r="F121" s="176"/>
      <c r="G121" s="176"/>
      <c r="H121" s="176"/>
      <c r="I121" s="176"/>
      <c r="J121" s="176"/>
      <c r="K121" s="176"/>
      <c r="L121" s="185"/>
      <c r="M121" s="185"/>
      <c r="N121" s="176"/>
      <c r="O121" s="152"/>
      <c r="P121" s="90"/>
      <c r="Q121" s="140"/>
      <c r="R121" s="90"/>
      <c r="S121" s="140"/>
      <c r="T121" s="90"/>
      <c r="U121" s="140"/>
      <c r="V121" s="90"/>
      <c r="W121" s="140"/>
      <c r="X121" s="90"/>
      <c r="Y121" s="140"/>
      <c r="Z121" s="90"/>
      <c r="AA121" s="140"/>
      <c r="AB121" s="62"/>
      <c r="AC121" s="140"/>
      <c r="AD121" s="62"/>
      <c r="AE121" s="140"/>
      <c r="AF121" s="189" t="str">
        <f>IF(AND(O121="",Q121="",S121="",U121="",W121="",Y121="",AA121="",AC121=""),"",
IF(OR(    AND(O121&lt;&gt;"NA",O121&lt;&gt;"C",O121&lt;&gt;"NC",O121&lt;&gt;"SF",O121&lt;&gt;""),
    AND(Q121&lt;&gt;"NA",Q121&lt;&gt;"C",Q121&lt;&gt;"NC",Q121&lt;&gt;"SF",Q121&lt;&gt;""),
    AND(S121&lt;&gt;"NA",S121&lt;&gt;"C",S121&lt;&gt;"NC",S121&lt;&gt;"SF",S121&lt;&gt;""),
    AND(U121&lt;&gt;"NA",U121&lt;&gt;"C",U121&lt;&gt;"NC",U121&lt;&gt;"SF",U121&lt;&gt;""),
    AND(W121&lt;&gt;"NA",W121&lt;&gt;"C",W121&lt;&gt;"NC",W121&lt;&gt;"SF",W121&lt;&gt;""),
    AND(Y121&lt;&gt;"NA",Y121&lt;&gt;"C",Y121&lt;&gt;"NC",Y121&lt;&gt;"SF",Y121&lt;&gt;""),
    AND(AA121&lt;&gt;"NA",AA121&lt;&gt;"C",AA121&lt;&gt;"NC",AA121&lt;&gt;"SF",AA121&lt;&gt;""),
    AND(AC121&lt;&gt;"NA",AC121&lt;&gt;"C",AC121&lt;&gt;"NC",AC121&lt;&gt;"SF",AC121&lt;&gt;"")
),"FALSO",
IF(AND(O121="NA",Q121="NA",S121="NA",U121="NA",W121="NA",Y121="NA",AA121="NA",AC121="NA"),"NA",
IF(OR(O121="NC",Q121="NC",S121="NC",U121="NC",W121="NC",Y121="NC",AA121="NC",AC121="NC",
       O121="SF",Q121="SF",S121="SF",U121="SF",W121="SF",Y121="SF",AA121="SF",AC121="SF"),"NC",
IF(SUM(IF(O121="C",1,0),IF(Q121="C",1,0),IF(S121="C",1,0),IF(U121="C",1,0),IF(W121="C",1,0),IF(Y121="C",1,0),IF(AA121="C",1,0),IF(AC121="C",1,0))=1,"C","C")))))</f>
        <v/>
      </c>
      <c r="AG121" s="304" t="b">
        <f>IF(AND(AE121="C",AF121="C"),"UTILIZOU O PDA CORRETAMENTE",IF(AND(AE121="C",AF121="NC"),"UTILIZOU O PDA CORRETAMENTE. NÃO HÁ FOTOS DE TODAS AS ETAPAS",IF(AND(AE121="NC",AF121="NC"),"NÃO UTILIZOU O PDA",IF(AND(AE121="NA",AF121="NA"),"NÃO AVALIADO POR FALHA DE SINCRONISMO"))))</f>
        <v>0</v>
      </c>
      <c r="AH121" s="9"/>
      <c r="AI121" s="145">
        <f t="shared" si="2"/>
        <v>0</v>
      </c>
      <c r="AJ121" s="147" t="s">
        <v>36</v>
      </c>
    </row>
    <row r="122" spans="1:36" ht="30" customHeight="1">
      <c r="A122" s="176"/>
      <c r="B122" s="176"/>
      <c r="C122" s="176"/>
      <c r="D122" s="176"/>
      <c r="E122" s="176"/>
      <c r="F122" s="176"/>
      <c r="G122" s="176"/>
      <c r="H122" s="176"/>
      <c r="I122" s="176"/>
      <c r="J122" s="176"/>
      <c r="K122" s="176"/>
      <c r="L122" s="185"/>
      <c r="M122" s="185"/>
      <c r="N122" s="176"/>
      <c r="O122" s="152"/>
      <c r="P122" s="90"/>
      <c r="Q122" s="140"/>
      <c r="R122" s="90"/>
      <c r="S122" s="140"/>
      <c r="T122" s="90"/>
      <c r="U122" s="140"/>
      <c r="V122" s="90"/>
      <c r="W122" s="140"/>
      <c r="X122" s="90"/>
      <c r="Y122" s="140"/>
      <c r="Z122" s="90"/>
      <c r="AA122" s="140"/>
      <c r="AB122" s="62"/>
      <c r="AC122" s="140"/>
      <c r="AD122" s="62"/>
      <c r="AE122" s="140"/>
      <c r="AF122" s="189" t="str">
        <f>IF(AND(O122="",Q122="",S122="",U122="",W122="",Y122="",AA122="",AC122=""),"",
IF(OR(    AND(O122&lt;&gt;"NA",O122&lt;&gt;"C",O122&lt;&gt;"NC",O122&lt;&gt;"SF",O122&lt;&gt;""),
    AND(Q122&lt;&gt;"NA",Q122&lt;&gt;"C",Q122&lt;&gt;"NC",Q122&lt;&gt;"SF",Q122&lt;&gt;""),
    AND(S122&lt;&gt;"NA",S122&lt;&gt;"C",S122&lt;&gt;"NC",S122&lt;&gt;"SF",S122&lt;&gt;""),
    AND(U122&lt;&gt;"NA",U122&lt;&gt;"C",U122&lt;&gt;"NC",U122&lt;&gt;"SF",U122&lt;&gt;""),
    AND(W122&lt;&gt;"NA",W122&lt;&gt;"C",W122&lt;&gt;"NC",W122&lt;&gt;"SF",W122&lt;&gt;""),
    AND(Y122&lt;&gt;"NA",Y122&lt;&gt;"C",Y122&lt;&gt;"NC",Y122&lt;&gt;"SF",Y122&lt;&gt;""),
    AND(AA122&lt;&gt;"NA",AA122&lt;&gt;"C",AA122&lt;&gt;"NC",AA122&lt;&gt;"SF",AA122&lt;&gt;""),
    AND(AC122&lt;&gt;"NA",AC122&lt;&gt;"C",AC122&lt;&gt;"NC",AC122&lt;&gt;"SF",AC122&lt;&gt;"")
),"FALSO",
IF(AND(O122="NA",Q122="NA",S122="NA",U122="NA",W122="NA",Y122="NA",AA122="NA",AC122="NA"),"NA",
IF(OR(O122="NC",Q122="NC",S122="NC",U122="NC",W122="NC",Y122="NC",AA122="NC",AC122="NC",
       O122="SF",Q122="SF",S122="SF",U122="SF",W122="SF",Y122="SF",AA122="SF",AC122="SF"),"NC",
IF(SUM(IF(O122="C",1,0),IF(Q122="C",1,0),IF(S122="C",1,0),IF(U122="C",1,0),IF(W122="C",1,0),IF(Y122="C",1,0),IF(AA122="C",1,0),IF(AC122="C",1,0))=1,"C","C")))))</f>
        <v/>
      </c>
      <c r="AG122" s="304" t="b">
        <f>IF(AND(AE122="C",AF122="C"),"UTILIZOU O PDA CORRETAMENTE",IF(AND(AE122="C",AF122="NC"),"UTILIZOU O PDA CORRETAMENTE. NÃO HÁ FOTOS DE TODAS AS ETAPAS",IF(AND(AE122="NC",AF122="NC"),"NÃO UTILIZOU O PDA",IF(AND(AE122="NA",AF122="NA"),"NÃO AVALIADO POR FALHA DE SINCRONISMO"))))</f>
        <v>0</v>
      </c>
      <c r="AH122" s="9"/>
      <c r="AI122" s="145">
        <f t="shared" si="2"/>
        <v>0</v>
      </c>
      <c r="AJ122" s="147" t="s">
        <v>36</v>
      </c>
    </row>
    <row r="123" spans="1:36" ht="30" customHeight="1">
      <c r="A123" s="176"/>
      <c r="B123" s="176"/>
      <c r="C123" s="176"/>
      <c r="D123" s="176"/>
      <c r="E123" s="176"/>
      <c r="F123" s="176"/>
      <c r="G123" s="176"/>
      <c r="H123" s="176"/>
      <c r="I123" s="176"/>
      <c r="J123" s="176"/>
      <c r="K123" s="176"/>
      <c r="L123" s="185"/>
      <c r="M123" s="185"/>
      <c r="N123" s="176"/>
      <c r="O123" s="152"/>
      <c r="P123" s="90"/>
      <c r="Q123" s="140"/>
      <c r="R123" s="90"/>
      <c r="S123" s="140"/>
      <c r="T123" s="90"/>
      <c r="U123" s="140"/>
      <c r="V123" s="90"/>
      <c r="W123" s="140"/>
      <c r="X123" s="90"/>
      <c r="Y123" s="140"/>
      <c r="Z123" s="90"/>
      <c r="AA123" s="140"/>
      <c r="AB123" s="62"/>
      <c r="AC123" s="140"/>
      <c r="AD123" s="62"/>
      <c r="AE123" s="140"/>
      <c r="AF123" s="189" t="str">
        <f>IF(AND(O123="",Q123="",S123="",U123="",W123="",Y123="",AA123="",AC123=""),"",
IF(OR(    AND(O123&lt;&gt;"NA",O123&lt;&gt;"C",O123&lt;&gt;"NC",O123&lt;&gt;"SF",O123&lt;&gt;""),
    AND(Q123&lt;&gt;"NA",Q123&lt;&gt;"C",Q123&lt;&gt;"NC",Q123&lt;&gt;"SF",Q123&lt;&gt;""),
    AND(S123&lt;&gt;"NA",S123&lt;&gt;"C",S123&lt;&gt;"NC",S123&lt;&gt;"SF",S123&lt;&gt;""),
    AND(U123&lt;&gt;"NA",U123&lt;&gt;"C",U123&lt;&gt;"NC",U123&lt;&gt;"SF",U123&lt;&gt;""),
    AND(W123&lt;&gt;"NA",W123&lt;&gt;"C",W123&lt;&gt;"NC",W123&lt;&gt;"SF",W123&lt;&gt;""),
    AND(Y123&lt;&gt;"NA",Y123&lt;&gt;"C",Y123&lt;&gt;"NC",Y123&lt;&gt;"SF",Y123&lt;&gt;""),
    AND(AA123&lt;&gt;"NA",AA123&lt;&gt;"C",AA123&lt;&gt;"NC",AA123&lt;&gt;"SF",AA123&lt;&gt;""),
    AND(AC123&lt;&gt;"NA",AC123&lt;&gt;"C",AC123&lt;&gt;"NC",AC123&lt;&gt;"SF",AC123&lt;&gt;"")
),"FALSO",
IF(AND(O123="NA",Q123="NA",S123="NA",U123="NA",W123="NA",Y123="NA",AA123="NA",AC123="NA"),"NA",
IF(OR(O123="NC",Q123="NC",S123="NC",U123="NC",W123="NC",Y123="NC",AA123="NC",AC123="NC",
       O123="SF",Q123="SF",S123="SF",U123="SF",W123="SF",Y123="SF",AA123="SF",AC123="SF"),"NC",
IF(SUM(IF(O123="C",1,0),IF(Q123="C",1,0),IF(S123="C",1,0),IF(U123="C",1,0),IF(W123="C",1,0),IF(Y123="C",1,0),IF(AA123="C",1,0),IF(AC123="C",1,0))=1,"C","C")))))</f>
        <v/>
      </c>
      <c r="AG123" s="304" t="b">
        <f>IF(AND(AE123="C",AF123="C"),"UTILIZOU O PDA CORRETAMENTE",IF(AND(AE123="C",AF123="NC"),"UTILIZOU O PDA CORRETAMENTE. NÃO HÁ FOTOS DE TODAS AS ETAPAS",IF(AND(AE123="NC",AF123="NC"),"NÃO UTILIZOU O PDA",IF(AND(AE123="NA",AF123="NA"),"NÃO AVALIADO POR FALHA DE SINCRONISMO"))))</f>
        <v>0</v>
      </c>
      <c r="AH123" s="9"/>
      <c r="AI123" s="145">
        <f t="shared" si="2"/>
        <v>0</v>
      </c>
      <c r="AJ123" s="147" t="s">
        <v>36</v>
      </c>
    </row>
    <row r="124" spans="1:36" ht="30" customHeight="1">
      <c r="A124" s="176"/>
      <c r="B124" s="176"/>
      <c r="C124" s="176"/>
      <c r="D124" s="176"/>
      <c r="E124" s="176"/>
      <c r="F124" s="176"/>
      <c r="G124" s="176"/>
      <c r="H124" s="176"/>
      <c r="I124" s="176"/>
      <c r="J124" s="176"/>
      <c r="K124" s="176"/>
      <c r="L124" s="185"/>
      <c r="M124" s="185"/>
      <c r="N124" s="176"/>
      <c r="O124" s="152"/>
      <c r="P124" s="90"/>
      <c r="Q124" s="140"/>
      <c r="R124" s="90"/>
      <c r="S124" s="140"/>
      <c r="T124" s="90"/>
      <c r="U124" s="140"/>
      <c r="V124" s="90"/>
      <c r="W124" s="140"/>
      <c r="X124" s="90"/>
      <c r="Y124" s="140"/>
      <c r="Z124" s="90"/>
      <c r="AA124" s="140"/>
      <c r="AB124" s="62"/>
      <c r="AC124" s="140"/>
      <c r="AD124" s="62"/>
      <c r="AE124" s="140"/>
      <c r="AF124" s="189" t="str">
        <f>IF(AND(O124="",Q124="",S124="",U124="",W124="",Y124="",AA124="",AC124=""),"",
IF(OR(    AND(O124&lt;&gt;"NA",O124&lt;&gt;"C",O124&lt;&gt;"NC",O124&lt;&gt;"SF",O124&lt;&gt;""),
    AND(Q124&lt;&gt;"NA",Q124&lt;&gt;"C",Q124&lt;&gt;"NC",Q124&lt;&gt;"SF",Q124&lt;&gt;""),
    AND(S124&lt;&gt;"NA",S124&lt;&gt;"C",S124&lt;&gt;"NC",S124&lt;&gt;"SF",S124&lt;&gt;""),
    AND(U124&lt;&gt;"NA",U124&lt;&gt;"C",U124&lt;&gt;"NC",U124&lt;&gt;"SF",U124&lt;&gt;""),
    AND(W124&lt;&gt;"NA",W124&lt;&gt;"C",W124&lt;&gt;"NC",W124&lt;&gt;"SF",W124&lt;&gt;""),
    AND(Y124&lt;&gt;"NA",Y124&lt;&gt;"C",Y124&lt;&gt;"NC",Y124&lt;&gt;"SF",Y124&lt;&gt;""),
    AND(AA124&lt;&gt;"NA",AA124&lt;&gt;"C",AA124&lt;&gt;"NC",AA124&lt;&gt;"SF",AA124&lt;&gt;""),
    AND(AC124&lt;&gt;"NA",AC124&lt;&gt;"C",AC124&lt;&gt;"NC",AC124&lt;&gt;"SF",AC124&lt;&gt;"")
),"FALSO",
IF(AND(O124="NA",Q124="NA",S124="NA",U124="NA",W124="NA",Y124="NA",AA124="NA",AC124="NA"),"NA",
IF(OR(O124="NC",Q124="NC",S124="NC",U124="NC",W124="NC",Y124="NC",AA124="NC",AC124="NC",
       O124="SF",Q124="SF",S124="SF",U124="SF",W124="SF",Y124="SF",AA124="SF",AC124="SF"),"NC",
IF(SUM(IF(O124="C",1,0),IF(Q124="C",1,0),IF(S124="C",1,0),IF(U124="C",1,0),IF(W124="C",1,0),IF(Y124="C",1,0),IF(AA124="C",1,0),IF(AC124="C",1,0))=1,"C","C")))))</f>
        <v/>
      </c>
      <c r="AG124" s="304" t="b">
        <f>IF(AND(AE124="C",AF124="C"),"UTILIZOU O PDA CORRETAMENTE",IF(AND(AE124="C",AF124="NC"),"UTILIZOU O PDA CORRETAMENTE. NÃO HÁ FOTOS DE TODAS AS ETAPAS",IF(AND(AE124="NC",AF124="NC"),"NÃO UTILIZOU O PDA",IF(AND(AE124="NA",AF124="NA"),"NÃO AVALIADO POR FALHA DE SINCRONISMO"))))</f>
        <v>0</v>
      </c>
      <c r="AH124" s="9"/>
      <c r="AI124" s="145">
        <f t="shared" si="2"/>
        <v>0</v>
      </c>
      <c r="AJ124" s="147" t="s">
        <v>36</v>
      </c>
    </row>
    <row r="125" spans="1:36" ht="30" customHeight="1">
      <c r="A125" s="176"/>
      <c r="B125" s="176"/>
      <c r="C125" s="176"/>
      <c r="D125" s="176"/>
      <c r="E125" s="176"/>
      <c r="F125" s="176"/>
      <c r="G125" s="176"/>
      <c r="H125" s="176"/>
      <c r="I125" s="176"/>
      <c r="J125" s="176"/>
      <c r="K125" s="176"/>
      <c r="L125" s="185"/>
      <c r="M125" s="185"/>
      <c r="N125" s="176"/>
      <c r="O125" s="152"/>
      <c r="P125" s="90"/>
      <c r="Q125" s="140"/>
      <c r="R125" s="90"/>
      <c r="S125" s="140"/>
      <c r="T125" s="90"/>
      <c r="U125" s="140"/>
      <c r="V125" s="90"/>
      <c r="W125" s="140"/>
      <c r="X125" s="90"/>
      <c r="Y125" s="140"/>
      <c r="Z125" s="90"/>
      <c r="AA125" s="140"/>
      <c r="AB125" s="62"/>
      <c r="AC125" s="140"/>
      <c r="AD125" s="62"/>
      <c r="AE125" s="140"/>
      <c r="AF125" s="189" t="str">
        <f>IF(AND(O125="",Q125="",S125="",U125="",W125="",Y125="",AA125="",AC125=""),"",
IF(OR(    AND(O125&lt;&gt;"NA",O125&lt;&gt;"C",O125&lt;&gt;"NC",O125&lt;&gt;"SF",O125&lt;&gt;""),
    AND(Q125&lt;&gt;"NA",Q125&lt;&gt;"C",Q125&lt;&gt;"NC",Q125&lt;&gt;"SF",Q125&lt;&gt;""),
    AND(S125&lt;&gt;"NA",S125&lt;&gt;"C",S125&lt;&gt;"NC",S125&lt;&gt;"SF",S125&lt;&gt;""),
    AND(U125&lt;&gt;"NA",U125&lt;&gt;"C",U125&lt;&gt;"NC",U125&lt;&gt;"SF",U125&lt;&gt;""),
    AND(W125&lt;&gt;"NA",W125&lt;&gt;"C",W125&lt;&gt;"NC",W125&lt;&gt;"SF",W125&lt;&gt;""),
    AND(Y125&lt;&gt;"NA",Y125&lt;&gt;"C",Y125&lt;&gt;"NC",Y125&lt;&gt;"SF",Y125&lt;&gt;""),
    AND(AA125&lt;&gt;"NA",AA125&lt;&gt;"C",AA125&lt;&gt;"NC",AA125&lt;&gt;"SF",AA125&lt;&gt;""),
    AND(AC125&lt;&gt;"NA",AC125&lt;&gt;"C",AC125&lt;&gt;"NC",AC125&lt;&gt;"SF",AC125&lt;&gt;"")
),"FALSO",
IF(AND(O125="NA",Q125="NA",S125="NA",U125="NA",W125="NA",Y125="NA",AA125="NA",AC125="NA"),"NA",
IF(OR(O125="NC",Q125="NC",S125="NC",U125="NC",W125="NC",Y125="NC",AA125="NC",AC125="NC",
       O125="SF",Q125="SF",S125="SF",U125="SF",W125="SF",Y125="SF",AA125="SF",AC125="SF"),"NC",
IF(SUM(IF(O125="C",1,0),IF(Q125="C",1,0),IF(S125="C",1,0),IF(U125="C",1,0),IF(W125="C",1,0),IF(Y125="C",1,0),IF(AA125="C",1,0),IF(AC125="C",1,0))=1,"C","C")))))</f>
        <v/>
      </c>
      <c r="AG125" s="304" t="b">
        <f>IF(AND(AE125="C",AF125="C"),"UTILIZOU O PDA CORRETAMENTE",IF(AND(AE125="C",AF125="NC"),"UTILIZOU O PDA CORRETAMENTE. NÃO HÁ FOTOS DE TODAS AS ETAPAS",IF(AND(AE125="NC",AF125="NC"),"NÃO UTILIZOU O PDA",IF(AND(AE125="NA",AF125="NA"),"NÃO AVALIADO POR FALHA DE SINCRONISMO"))))</f>
        <v>0</v>
      </c>
      <c r="AH125" s="9"/>
      <c r="AI125" s="145">
        <f t="shared" si="2"/>
        <v>0</v>
      </c>
      <c r="AJ125" s="147" t="s">
        <v>36</v>
      </c>
    </row>
    <row r="126" spans="1:36" ht="30" customHeight="1">
      <c r="A126" s="176"/>
      <c r="B126" s="176"/>
      <c r="C126" s="176"/>
      <c r="D126" s="176"/>
      <c r="E126" s="176"/>
      <c r="F126" s="176"/>
      <c r="G126" s="176"/>
      <c r="H126" s="176"/>
      <c r="I126" s="176"/>
      <c r="J126" s="176"/>
      <c r="K126" s="176"/>
      <c r="L126" s="185"/>
      <c r="M126" s="185"/>
      <c r="N126" s="176"/>
      <c r="O126" s="152"/>
      <c r="P126" s="90"/>
      <c r="Q126" s="140"/>
      <c r="R126" s="90"/>
      <c r="S126" s="140"/>
      <c r="T126" s="90"/>
      <c r="U126" s="140"/>
      <c r="V126" s="90"/>
      <c r="W126" s="140"/>
      <c r="X126" s="90"/>
      <c r="Y126" s="140"/>
      <c r="Z126" s="90"/>
      <c r="AA126" s="140"/>
      <c r="AB126" s="62"/>
      <c r="AC126" s="140"/>
      <c r="AD126" s="62"/>
      <c r="AE126" s="140"/>
      <c r="AF126" s="189" t="str">
        <f>IF(AND(O126="",Q126="",S126="",U126="",W126="",Y126="",AA126="",AC126=""),"",
IF(OR(    AND(O126&lt;&gt;"NA",O126&lt;&gt;"C",O126&lt;&gt;"NC",O126&lt;&gt;"SF",O126&lt;&gt;""),
    AND(Q126&lt;&gt;"NA",Q126&lt;&gt;"C",Q126&lt;&gt;"NC",Q126&lt;&gt;"SF",Q126&lt;&gt;""),
    AND(S126&lt;&gt;"NA",S126&lt;&gt;"C",S126&lt;&gt;"NC",S126&lt;&gt;"SF",S126&lt;&gt;""),
    AND(U126&lt;&gt;"NA",U126&lt;&gt;"C",U126&lt;&gt;"NC",U126&lt;&gt;"SF",U126&lt;&gt;""),
    AND(W126&lt;&gt;"NA",W126&lt;&gt;"C",W126&lt;&gt;"NC",W126&lt;&gt;"SF",W126&lt;&gt;""),
    AND(Y126&lt;&gt;"NA",Y126&lt;&gt;"C",Y126&lt;&gt;"NC",Y126&lt;&gt;"SF",Y126&lt;&gt;""),
    AND(AA126&lt;&gt;"NA",AA126&lt;&gt;"C",AA126&lt;&gt;"NC",AA126&lt;&gt;"SF",AA126&lt;&gt;""),
    AND(AC126&lt;&gt;"NA",AC126&lt;&gt;"C",AC126&lt;&gt;"NC",AC126&lt;&gt;"SF",AC126&lt;&gt;"")
),"FALSO",
IF(AND(O126="NA",Q126="NA",S126="NA",U126="NA",W126="NA",Y126="NA",AA126="NA",AC126="NA"),"NA",
IF(OR(O126="NC",Q126="NC",S126="NC",U126="NC",W126="NC",Y126="NC",AA126="NC",AC126="NC",
       O126="SF",Q126="SF",S126="SF",U126="SF",W126="SF",Y126="SF",AA126="SF",AC126="SF"),"NC",
IF(SUM(IF(O126="C",1,0),IF(Q126="C",1,0),IF(S126="C",1,0),IF(U126="C",1,0),IF(W126="C",1,0),IF(Y126="C",1,0),IF(AA126="C",1,0),IF(AC126="C",1,0))=1,"C","C")))))</f>
        <v/>
      </c>
      <c r="AG126" s="304" t="b">
        <f>IF(AND(AE126="C",AF126="C"),"UTILIZOU O PDA CORRETAMENTE",IF(AND(AE126="C",AF126="NC"),"UTILIZOU O PDA CORRETAMENTE. NÃO HÁ FOTOS DE TODAS AS ETAPAS",IF(AND(AE126="NC",AF126="NC"),"NÃO UTILIZOU O PDA",IF(AND(AE126="NA",AF126="NA"),"NÃO AVALIADO POR FALHA DE SINCRONISMO"))))</f>
        <v>0</v>
      </c>
      <c r="AH126" s="9"/>
      <c r="AI126" s="145">
        <f t="shared" si="2"/>
        <v>0</v>
      </c>
      <c r="AJ126" s="147" t="s">
        <v>36</v>
      </c>
    </row>
    <row r="127" spans="1:36" ht="30" customHeight="1">
      <c r="A127" s="176"/>
      <c r="B127" s="176"/>
      <c r="C127" s="176"/>
      <c r="D127" s="176"/>
      <c r="E127" s="176"/>
      <c r="F127" s="176"/>
      <c r="G127" s="176"/>
      <c r="H127" s="176"/>
      <c r="I127" s="176"/>
      <c r="J127" s="176"/>
      <c r="K127" s="176"/>
      <c r="L127" s="185"/>
      <c r="M127" s="185"/>
      <c r="N127" s="176"/>
      <c r="O127" s="152"/>
      <c r="P127" s="90"/>
      <c r="Q127" s="140"/>
      <c r="R127" s="90"/>
      <c r="S127" s="140"/>
      <c r="T127" s="90"/>
      <c r="U127" s="140"/>
      <c r="V127" s="90"/>
      <c r="W127" s="140"/>
      <c r="X127" s="90"/>
      <c r="Y127" s="140"/>
      <c r="Z127" s="90"/>
      <c r="AA127" s="140"/>
      <c r="AB127" s="62"/>
      <c r="AC127" s="140"/>
      <c r="AD127" s="62"/>
      <c r="AE127" s="140"/>
      <c r="AF127" s="189" t="str">
        <f>IF(AND(O127="",Q127="",S127="",U127="",W127="",Y127="",AA127="",AC127=""),"",
IF(OR(    AND(O127&lt;&gt;"NA",O127&lt;&gt;"C",O127&lt;&gt;"NC",O127&lt;&gt;"SF",O127&lt;&gt;""),
    AND(Q127&lt;&gt;"NA",Q127&lt;&gt;"C",Q127&lt;&gt;"NC",Q127&lt;&gt;"SF",Q127&lt;&gt;""),
    AND(S127&lt;&gt;"NA",S127&lt;&gt;"C",S127&lt;&gt;"NC",S127&lt;&gt;"SF",S127&lt;&gt;""),
    AND(U127&lt;&gt;"NA",U127&lt;&gt;"C",U127&lt;&gt;"NC",U127&lt;&gt;"SF",U127&lt;&gt;""),
    AND(W127&lt;&gt;"NA",W127&lt;&gt;"C",W127&lt;&gt;"NC",W127&lt;&gt;"SF",W127&lt;&gt;""),
    AND(Y127&lt;&gt;"NA",Y127&lt;&gt;"C",Y127&lt;&gt;"NC",Y127&lt;&gt;"SF",Y127&lt;&gt;""),
    AND(AA127&lt;&gt;"NA",AA127&lt;&gt;"C",AA127&lt;&gt;"NC",AA127&lt;&gt;"SF",AA127&lt;&gt;""),
    AND(AC127&lt;&gt;"NA",AC127&lt;&gt;"C",AC127&lt;&gt;"NC",AC127&lt;&gt;"SF",AC127&lt;&gt;"")
),"FALSO",
IF(AND(O127="NA",Q127="NA",S127="NA",U127="NA",W127="NA",Y127="NA",AA127="NA",AC127="NA"),"NA",
IF(OR(O127="NC",Q127="NC",S127="NC",U127="NC",W127="NC",Y127="NC",AA127="NC",AC127="NC",
       O127="SF",Q127="SF",S127="SF",U127="SF",W127="SF",Y127="SF",AA127="SF",AC127="SF"),"NC",
IF(SUM(IF(O127="C",1,0),IF(Q127="C",1,0),IF(S127="C",1,0),IF(U127="C",1,0),IF(W127="C",1,0),IF(Y127="C",1,0),IF(AA127="C",1,0),IF(AC127="C",1,0))=1,"C","C")))))</f>
        <v/>
      </c>
      <c r="AG127" s="304" t="b">
        <f>IF(AND(AE127="C",AF127="C"),"UTILIZOU O PDA CORRETAMENTE",IF(AND(AE127="C",AF127="NC"),"UTILIZOU O PDA CORRETAMENTE. NÃO HÁ FOTOS DE TODAS AS ETAPAS",IF(AND(AE127="NC",AF127="NC"),"NÃO UTILIZOU O PDA",IF(AND(AE127="NA",AF127="NA"),"NÃO AVALIADO POR FALHA DE SINCRONISMO"))))</f>
        <v>0</v>
      </c>
      <c r="AH127" s="9"/>
      <c r="AI127" s="145">
        <f t="shared" si="2"/>
        <v>0</v>
      </c>
      <c r="AJ127" s="147" t="s">
        <v>36</v>
      </c>
    </row>
    <row r="128" spans="1:36" ht="30" customHeight="1">
      <c r="A128" s="176"/>
      <c r="B128" s="176"/>
      <c r="C128" s="176"/>
      <c r="D128" s="176"/>
      <c r="E128" s="176"/>
      <c r="F128" s="176"/>
      <c r="G128" s="176"/>
      <c r="H128" s="176"/>
      <c r="I128" s="176"/>
      <c r="J128" s="176"/>
      <c r="K128" s="176"/>
      <c r="L128" s="185"/>
      <c r="M128" s="185"/>
      <c r="N128" s="176"/>
      <c r="O128" s="152"/>
      <c r="P128" s="90"/>
      <c r="Q128" s="140"/>
      <c r="R128" s="90"/>
      <c r="S128" s="140"/>
      <c r="T128" s="90"/>
      <c r="U128" s="140"/>
      <c r="V128" s="90"/>
      <c r="W128" s="140"/>
      <c r="X128" s="90"/>
      <c r="Y128" s="140"/>
      <c r="Z128" s="90"/>
      <c r="AA128" s="140"/>
      <c r="AB128" s="62"/>
      <c r="AC128" s="140"/>
      <c r="AD128" s="62"/>
      <c r="AE128" s="140"/>
      <c r="AF128" s="189" t="str">
        <f>IF(AND(O128="",Q128="",S128="",U128="",W128="",Y128="",AA128="",AC128=""),"",
IF(OR(    AND(O128&lt;&gt;"NA",O128&lt;&gt;"C",O128&lt;&gt;"NC",O128&lt;&gt;"SF",O128&lt;&gt;""),
    AND(Q128&lt;&gt;"NA",Q128&lt;&gt;"C",Q128&lt;&gt;"NC",Q128&lt;&gt;"SF",Q128&lt;&gt;""),
    AND(S128&lt;&gt;"NA",S128&lt;&gt;"C",S128&lt;&gt;"NC",S128&lt;&gt;"SF",S128&lt;&gt;""),
    AND(U128&lt;&gt;"NA",U128&lt;&gt;"C",U128&lt;&gt;"NC",U128&lt;&gt;"SF",U128&lt;&gt;""),
    AND(W128&lt;&gt;"NA",W128&lt;&gt;"C",W128&lt;&gt;"NC",W128&lt;&gt;"SF",W128&lt;&gt;""),
    AND(Y128&lt;&gt;"NA",Y128&lt;&gt;"C",Y128&lt;&gt;"NC",Y128&lt;&gt;"SF",Y128&lt;&gt;""),
    AND(AA128&lt;&gt;"NA",AA128&lt;&gt;"C",AA128&lt;&gt;"NC",AA128&lt;&gt;"SF",AA128&lt;&gt;""),
    AND(AC128&lt;&gt;"NA",AC128&lt;&gt;"C",AC128&lt;&gt;"NC",AC128&lt;&gt;"SF",AC128&lt;&gt;"")
),"FALSO",
IF(AND(O128="NA",Q128="NA",S128="NA",U128="NA",W128="NA",Y128="NA",AA128="NA",AC128="NA"),"NA",
IF(OR(O128="NC",Q128="NC",S128="NC",U128="NC",W128="NC",Y128="NC",AA128="NC",AC128="NC",
       O128="SF",Q128="SF",S128="SF",U128="SF",W128="SF",Y128="SF",AA128="SF",AC128="SF"),"NC",
IF(SUM(IF(O128="C",1,0),IF(Q128="C",1,0),IF(S128="C",1,0),IF(U128="C",1,0),IF(W128="C",1,0),IF(Y128="C",1,0),IF(AA128="C",1,0),IF(AC128="C",1,0))=1,"C","C")))))</f>
        <v/>
      </c>
      <c r="AG128" s="304" t="b">
        <f>IF(AND(AE128="C",AF128="C"),"UTILIZOU O PDA CORRETAMENTE",IF(AND(AE128="C",AF128="NC"),"UTILIZOU O PDA CORRETAMENTE. NÃO HÁ FOTOS DE TODAS AS ETAPAS",IF(AND(AE128="NC",AF128="NC"),"NÃO UTILIZOU O PDA",IF(AND(AE128="NA",AF128="NA"),"NÃO AVALIADO POR FALHA DE SINCRONISMO"))))</f>
        <v>0</v>
      </c>
      <c r="AH128" s="9"/>
      <c r="AI128" s="145">
        <f t="shared" si="2"/>
        <v>0</v>
      </c>
      <c r="AJ128" s="147" t="s">
        <v>36</v>
      </c>
    </row>
    <row r="129" spans="1:36" ht="30" customHeight="1">
      <c r="A129" s="176"/>
      <c r="B129" s="176"/>
      <c r="C129" s="176"/>
      <c r="D129" s="176"/>
      <c r="E129" s="176"/>
      <c r="F129" s="176"/>
      <c r="G129" s="176"/>
      <c r="H129" s="176"/>
      <c r="I129" s="176"/>
      <c r="J129" s="176"/>
      <c r="K129" s="176"/>
      <c r="L129" s="185"/>
      <c r="M129" s="185"/>
      <c r="N129" s="176"/>
      <c r="O129" s="152"/>
      <c r="P129" s="90"/>
      <c r="Q129" s="140"/>
      <c r="R129" s="90"/>
      <c r="S129" s="140"/>
      <c r="T129" s="90"/>
      <c r="U129" s="140"/>
      <c r="V129" s="90"/>
      <c r="W129" s="140"/>
      <c r="X129" s="90"/>
      <c r="Y129" s="140"/>
      <c r="Z129" s="90"/>
      <c r="AA129" s="140"/>
      <c r="AB129" s="62"/>
      <c r="AC129" s="140"/>
      <c r="AD129" s="62"/>
      <c r="AE129" s="140"/>
      <c r="AF129" s="189" t="str">
        <f>IF(AND(O129="",Q129="",S129="",U129="",W129="",Y129="",AA129="",AC129=""),"",
IF(OR(    AND(O129&lt;&gt;"NA",O129&lt;&gt;"C",O129&lt;&gt;"NC",O129&lt;&gt;"SF",O129&lt;&gt;""),
    AND(Q129&lt;&gt;"NA",Q129&lt;&gt;"C",Q129&lt;&gt;"NC",Q129&lt;&gt;"SF",Q129&lt;&gt;""),
    AND(S129&lt;&gt;"NA",S129&lt;&gt;"C",S129&lt;&gt;"NC",S129&lt;&gt;"SF",S129&lt;&gt;""),
    AND(U129&lt;&gt;"NA",U129&lt;&gt;"C",U129&lt;&gt;"NC",U129&lt;&gt;"SF",U129&lt;&gt;""),
    AND(W129&lt;&gt;"NA",W129&lt;&gt;"C",W129&lt;&gt;"NC",W129&lt;&gt;"SF",W129&lt;&gt;""),
    AND(Y129&lt;&gt;"NA",Y129&lt;&gt;"C",Y129&lt;&gt;"NC",Y129&lt;&gt;"SF",Y129&lt;&gt;""),
    AND(AA129&lt;&gt;"NA",AA129&lt;&gt;"C",AA129&lt;&gt;"NC",AA129&lt;&gt;"SF",AA129&lt;&gt;""),
    AND(AC129&lt;&gt;"NA",AC129&lt;&gt;"C",AC129&lt;&gt;"NC",AC129&lt;&gt;"SF",AC129&lt;&gt;"")
),"FALSO",
IF(AND(O129="NA",Q129="NA",S129="NA",U129="NA",W129="NA",Y129="NA",AA129="NA",AC129="NA"),"NA",
IF(OR(O129="NC",Q129="NC",S129="NC",U129="NC",W129="NC",Y129="NC",AA129="NC",AC129="NC",
       O129="SF",Q129="SF",S129="SF",U129="SF",W129="SF",Y129="SF",AA129="SF",AC129="SF"),"NC",
IF(SUM(IF(O129="C",1,0),IF(Q129="C",1,0),IF(S129="C",1,0),IF(U129="C",1,0),IF(W129="C",1,0),IF(Y129="C",1,0),IF(AA129="C",1,0),IF(AC129="C",1,0))=1,"C","C")))))</f>
        <v/>
      </c>
      <c r="AG129" s="304" t="b">
        <f>IF(AND(AE129="C",AF129="C"),"UTILIZOU O PDA CORRETAMENTE",IF(AND(AE129="C",AF129="NC"),"UTILIZOU O PDA CORRETAMENTE. NÃO HÁ FOTOS DE TODAS AS ETAPAS",IF(AND(AE129="NC",AF129="NC"),"NÃO UTILIZOU O PDA",IF(AND(AE129="NA",AF129="NA"),"NÃO AVALIADO POR FALHA DE SINCRONISMO"))))</f>
        <v>0</v>
      </c>
      <c r="AH129" s="9"/>
      <c r="AI129" s="145">
        <f t="shared" si="2"/>
        <v>0</v>
      </c>
      <c r="AJ129" s="147" t="s">
        <v>36</v>
      </c>
    </row>
    <row r="130" spans="1:36" ht="30" customHeight="1">
      <c r="A130" s="176"/>
      <c r="B130" s="176"/>
      <c r="C130" s="176"/>
      <c r="D130" s="176"/>
      <c r="E130" s="176"/>
      <c r="F130" s="176"/>
      <c r="G130" s="176"/>
      <c r="H130" s="176"/>
      <c r="I130" s="176"/>
      <c r="J130" s="176"/>
      <c r="K130" s="176"/>
      <c r="L130" s="185"/>
      <c r="M130" s="185"/>
      <c r="N130" s="176"/>
      <c r="O130" s="152"/>
      <c r="P130" s="90"/>
      <c r="Q130" s="140"/>
      <c r="R130" s="90"/>
      <c r="S130" s="140"/>
      <c r="T130" s="90"/>
      <c r="U130" s="140"/>
      <c r="V130" s="90"/>
      <c r="W130" s="140"/>
      <c r="X130" s="90"/>
      <c r="Y130" s="140"/>
      <c r="Z130" s="90"/>
      <c r="AA130" s="140"/>
      <c r="AB130" s="62"/>
      <c r="AC130" s="140"/>
      <c r="AD130" s="62"/>
      <c r="AE130" s="140"/>
      <c r="AF130" s="189" t="str">
        <f>IF(AND(O130="",Q130="",S130="",U130="",W130="",Y130="",AA130="",AC130=""),"",
IF(OR(    AND(O130&lt;&gt;"NA",O130&lt;&gt;"C",O130&lt;&gt;"NC",O130&lt;&gt;"SF",O130&lt;&gt;""),
    AND(Q130&lt;&gt;"NA",Q130&lt;&gt;"C",Q130&lt;&gt;"NC",Q130&lt;&gt;"SF",Q130&lt;&gt;""),
    AND(S130&lt;&gt;"NA",S130&lt;&gt;"C",S130&lt;&gt;"NC",S130&lt;&gt;"SF",S130&lt;&gt;""),
    AND(U130&lt;&gt;"NA",U130&lt;&gt;"C",U130&lt;&gt;"NC",U130&lt;&gt;"SF",U130&lt;&gt;""),
    AND(W130&lt;&gt;"NA",W130&lt;&gt;"C",W130&lt;&gt;"NC",W130&lt;&gt;"SF",W130&lt;&gt;""),
    AND(Y130&lt;&gt;"NA",Y130&lt;&gt;"C",Y130&lt;&gt;"NC",Y130&lt;&gt;"SF",Y130&lt;&gt;""),
    AND(AA130&lt;&gt;"NA",AA130&lt;&gt;"C",AA130&lt;&gt;"NC",AA130&lt;&gt;"SF",AA130&lt;&gt;""),
    AND(AC130&lt;&gt;"NA",AC130&lt;&gt;"C",AC130&lt;&gt;"NC",AC130&lt;&gt;"SF",AC130&lt;&gt;"")
),"FALSO",
IF(AND(O130="NA",Q130="NA",S130="NA",U130="NA",W130="NA",Y130="NA",AA130="NA",AC130="NA"),"NA",
IF(OR(O130="NC",Q130="NC",S130="NC",U130="NC",W130="NC",Y130="NC",AA130="NC",AC130="NC",
       O130="SF",Q130="SF",S130="SF",U130="SF",W130="SF",Y130="SF",AA130="SF",AC130="SF"),"NC",
IF(SUM(IF(O130="C",1,0),IF(Q130="C",1,0),IF(S130="C",1,0),IF(U130="C",1,0),IF(W130="C",1,0),IF(Y130="C",1,0),IF(AA130="C",1,0),IF(AC130="C",1,0))=1,"C","C")))))</f>
        <v/>
      </c>
      <c r="AG130" s="304" t="b">
        <f>IF(AND(AE130="C",AF130="C"),"UTILIZOU O PDA CORRETAMENTE",IF(AND(AE130="C",AF130="NC"),"UTILIZOU O PDA CORRETAMENTE. NÃO HÁ FOTOS DE TODAS AS ETAPAS",IF(AND(AE130="NC",AF130="NC"),"NÃO UTILIZOU O PDA",IF(AND(AE130="NA",AF130="NA"),"NÃO AVALIADO POR FALHA DE SINCRONISMO"))))</f>
        <v>0</v>
      </c>
      <c r="AH130" s="9"/>
      <c r="AI130" s="145">
        <f t="shared" si="2"/>
        <v>0</v>
      </c>
      <c r="AJ130" s="147" t="s">
        <v>36</v>
      </c>
    </row>
    <row r="131" spans="1:36" ht="30" customHeight="1">
      <c r="A131" s="176"/>
      <c r="B131" s="176"/>
      <c r="C131" s="176"/>
      <c r="D131" s="176"/>
      <c r="E131" s="176"/>
      <c r="F131" s="176"/>
      <c r="G131" s="176"/>
      <c r="H131" s="176"/>
      <c r="I131" s="176"/>
      <c r="J131" s="176"/>
      <c r="K131" s="176"/>
      <c r="L131" s="185"/>
      <c r="M131" s="185"/>
      <c r="N131" s="176"/>
      <c r="O131" s="152"/>
      <c r="P131" s="90"/>
      <c r="Q131" s="140"/>
      <c r="R131" s="90"/>
      <c r="S131" s="140"/>
      <c r="T131" s="90"/>
      <c r="U131" s="140"/>
      <c r="V131" s="90"/>
      <c r="W131" s="140"/>
      <c r="X131" s="90"/>
      <c r="Y131" s="140"/>
      <c r="Z131" s="90"/>
      <c r="AA131" s="140"/>
      <c r="AB131" s="62"/>
      <c r="AC131" s="140"/>
      <c r="AD131" s="62"/>
      <c r="AE131" s="140"/>
      <c r="AF131" s="189" t="str">
        <f>IF(AND(O131="",Q131="",S131="",U131="",W131="",Y131="",AA131="",AC131=""),"",
IF(OR(    AND(O131&lt;&gt;"NA",O131&lt;&gt;"C",O131&lt;&gt;"NC",O131&lt;&gt;"SF",O131&lt;&gt;""),
    AND(Q131&lt;&gt;"NA",Q131&lt;&gt;"C",Q131&lt;&gt;"NC",Q131&lt;&gt;"SF",Q131&lt;&gt;""),
    AND(S131&lt;&gt;"NA",S131&lt;&gt;"C",S131&lt;&gt;"NC",S131&lt;&gt;"SF",S131&lt;&gt;""),
    AND(U131&lt;&gt;"NA",U131&lt;&gt;"C",U131&lt;&gt;"NC",U131&lt;&gt;"SF",U131&lt;&gt;""),
    AND(W131&lt;&gt;"NA",W131&lt;&gt;"C",W131&lt;&gt;"NC",W131&lt;&gt;"SF",W131&lt;&gt;""),
    AND(Y131&lt;&gt;"NA",Y131&lt;&gt;"C",Y131&lt;&gt;"NC",Y131&lt;&gt;"SF",Y131&lt;&gt;""),
    AND(AA131&lt;&gt;"NA",AA131&lt;&gt;"C",AA131&lt;&gt;"NC",AA131&lt;&gt;"SF",AA131&lt;&gt;""),
    AND(AC131&lt;&gt;"NA",AC131&lt;&gt;"C",AC131&lt;&gt;"NC",AC131&lt;&gt;"SF",AC131&lt;&gt;"")
),"FALSO",
IF(AND(O131="NA",Q131="NA",S131="NA",U131="NA",W131="NA",Y131="NA",AA131="NA",AC131="NA"),"NA",
IF(OR(O131="NC",Q131="NC",S131="NC",U131="NC",W131="NC",Y131="NC",AA131="NC",AC131="NC",
       O131="SF",Q131="SF",S131="SF",U131="SF",W131="SF",Y131="SF",AA131="SF",AC131="SF"),"NC",
IF(SUM(IF(O131="C",1,0),IF(Q131="C",1,0),IF(S131="C",1,0),IF(U131="C",1,0),IF(W131="C",1,0),IF(Y131="C",1,0),IF(AA131="C",1,0),IF(AC131="C",1,0))=1,"C","C")))))</f>
        <v/>
      </c>
      <c r="AG131" s="304" t="b">
        <f>IF(AND(AE131="C",AF131="C"),"UTILIZOU O PDA CORRETAMENTE",IF(AND(AE131="C",AF131="NC"),"UTILIZOU O PDA CORRETAMENTE. NÃO HÁ FOTOS DE TODAS AS ETAPAS",IF(AND(AE131="NC",AF131="NC"),"NÃO UTILIZOU O PDA",IF(AND(AE131="NA",AF131="NA"),"NÃO AVALIADO POR FALHA DE SINCRONISMO"))))</f>
        <v>0</v>
      </c>
      <c r="AH131" s="9"/>
      <c r="AI131" s="145">
        <f t="shared" si="2"/>
        <v>0</v>
      </c>
      <c r="AJ131" s="147" t="s">
        <v>36</v>
      </c>
    </row>
    <row r="132" spans="1:36" ht="30" customHeight="1">
      <c r="A132" s="176"/>
      <c r="B132" s="176"/>
      <c r="C132" s="176"/>
      <c r="D132" s="176"/>
      <c r="E132" s="176"/>
      <c r="F132" s="176"/>
      <c r="G132" s="176"/>
      <c r="H132" s="176"/>
      <c r="I132" s="176"/>
      <c r="J132" s="176"/>
      <c r="K132" s="176"/>
      <c r="L132" s="185"/>
      <c r="M132" s="185"/>
      <c r="N132" s="176"/>
      <c r="O132" s="152"/>
      <c r="P132" s="90"/>
      <c r="Q132" s="140"/>
      <c r="R132" s="90"/>
      <c r="S132" s="140"/>
      <c r="T132" s="90"/>
      <c r="U132" s="140"/>
      <c r="V132" s="90"/>
      <c r="W132" s="140"/>
      <c r="X132" s="90"/>
      <c r="Y132" s="140"/>
      <c r="Z132" s="90"/>
      <c r="AA132" s="140"/>
      <c r="AB132" s="62"/>
      <c r="AC132" s="140"/>
      <c r="AD132" s="62"/>
      <c r="AE132" s="140"/>
      <c r="AF132" s="189" t="str">
        <f>IF(AND(O132="",Q132="",S132="",U132="",W132="",Y132="",AA132="",AC132=""),"",
IF(OR(    AND(O132&lt;&gt;"NA",O132&lt;&gt;"C",O132&lt;&gt;"NC",O132&lt;&gt;"SF",O132&lt;&gt;""),
    AND(Q132&lt;&gt;"NA",Q132&lt;&gt;"C",Q132&lt;&gt;"NC",Q132&lt;&gt;"SF",Q132&lt;&gt;""),
    AND(S132&lt;&gt;"NA",S132&lt;&gt;"C",S132&lt;&gt;"NC",S132&lt;&gt;"SF",S132&lt;&gt;""),
    AND(U132&lt;&gt;"NA",U132&lt;&gt;"C",U132&lt;&gt;"NC",U132&lt;&gt;"SF",U132&lt;&gt;""),
    AND(W132&lt;&gt;"NA",W132&lt;&gt;"C",W132&lt;&gt;"NC",W132&lt;&gt;"SF",W132&lt;&gt;""),
    AND(Y132&lt;&gt;"NA",Y132&lt;&gt;"C",Y132&lt;&gt;"NC",Y132&lt;&gt;"SF",Y132&lt;&gt;""),
    AND(AA132&lt;&gt;"NA",AA132&lt;&gt;"C",AA132&lt;&gt;"NC",AA132&lt;&gt;"SF",AA132&lt;&gt;""),
    AND(AC132&lt;&gt;"NA",AC132&lt;&gt;"C",AC132&lt;&gt;"NC",AC132&lt;&gt;"SF",AC132&lt;&gt;"")
),"FALSO",
IF(AND(O132="NA",Q132="NA",S132="NA",U132="NA",W132="NA",Y132="NA",AA132="NA",AC132="NA"),"NA",
IF(OR(O132="NC",Q132="NC",S132="NC",U132="NC",W132="NC",Y132="NC",AA132="NC",AC132="NC",
       O132="SF",Q132="SF",S132="SF",U132="SF",W132="SF",Y132="SF",AA132="SF",AC132="SF"),"NC",
IF(SUM(IF(O132="C",1,0),IF(Q132="C",1,0),IF(S132="C",1,0),IF(U132="C",1,0),IF(W132="C",1,0),IF(Y132="C",1,0),IF(AA132="C",1,0),IF(AC132="C",1,0))=1,"C","C")))))</f>
        <v/>
      </c>
      <c r="AG132" s="304" t="b">
        <f>IF(AND(AE132="C",AF132="C"),"UTILIZOU O PDA CORRETAMENTE",IF(AND(AE132="C",AF132="NC"),"UTILIZOU O PDA CORRETAMENTE. NÃO HÁ FOTOS DE TODAS AS ETAPAS",IF(AND(AE132="NC",AF132="NC"),"NÃO UTILIZOU O PDA",IF(AND(AE132="NA",AF132="NA"),"NÃO AVALIADO POR FALHA DE SINCRONISMO"))))</f>
        <v>0</v>
      </c>
      <c r="AH132" s="9"/>
      <c r="AI132" s="145">
        <f t="shared" si="2"/>
        <v>0</v>
      </c>
      <c r="AJ132" s="147" t="s">
        <v>36</v>
      </c>
    </row>
    <row r="133" spans="1:36" ht="30" customHeight="1">
      <c r="A133" s="176"/>
      <c r="B133" s="176"/>
      <c r="C133" s="176"/>
      <c r="D133" s="176"/>
      <c r="E133" s="176"/>
      <c r="F133" s="176"/>
      <c r="G133" s="176"/>
      <c r="H133" s="176"/>
      <c r="I133" s="176"/>
      <c r="J133" s="176"/>
      <c r="K133" s="176"/>
      <c r="L133" s="185"/>
      <c r="M133" s="185"/>
      <c r="N133" s="176"/>
      <c r="O133" s="152"/>
      <c r="P133" s="90"/>
      <c r="Q133" s="140"/>
      <c r="R133" s="90"/>
      <c r="S133" s="140"/>
      <c r="T133" s="90"/>
      <c r="U133" s="140"/>
      <c r="V133" s="90"/>
      <c r="W133" s="140"/>
      <c r="X133" s="90"/>
      <c r="Y133" s="140"/>
      <c r="Z133" s="90"/>
      <c r="AA133" s="140"/>
      <c r="AB133" s="62"/>
      <c r="AC133" s="140"/>
      <c r="AD133" s="62"/>
      <c r="AE133" s="140"/>
      <c r="AF133" s="189" t="str">
        <f>IF(AND(O133="",Q133="",S133="",U133="",W133="",Y133="",AA133="",AC133=""),"",
IF(OR(    AND(O133&lt;&gt;"NA",O133&lt;&gt;"C",O133&lt;&gt;"NC",O133&lt;&gt;"SF",O133&lt;&gt;""),
    AND(Q133&lt;&gt;"NA",Q133&lt;&gt;"C",Q133&lt;&gt;"NC",Q133&lt;&gt;"SF",Q133&lt;&gt;""),
    AND(S133&lt;&gt;"NA",S133&lt;&gt;"C",S133&lt;&gt;"NC",S133&lt;&gt;"SF",S133&lt;&gt;""),
    AND(U133&lt;&gt;"NA",U133&lt;&gt;"C",U133&lt;&gt;"NC",U133&lt;&gt;"SF",U133&lt;&gt;""),
    AND(W133&lt;&gt;"NA",W133&lt;&gt;"C",W133&lt;&gt;"NC",W133&lt;&gt;"SF",W133&lt;&gt;""),
    AND(Y133&lt;&gt;"NA",Y133&lt;&gt;"C",Y133&lt;&gt;"NC",Y133&lt;&gt;"SF",Y133&lt;&gt;""),
    AND(AA133&lt;&gt;"NA",AA133&lt;&gt;"C",AA133&lt;&gt;"NC",AA133&lt;&gt;"SF",AA133&lt;&gt;""),
    AND(AC133&lt;&gt;"NA",AC133&lt;&gt;"C",AC133&lt;&gt;"NC",AC133&lt;&gt;"SF",AC133&lt;&gt;"")
),"FALSO",
IF(AND(O133="NA",Q133="NA",S133="NA",U133="NA",W133="NA",Y133="NA",AA133="NA",AC133="NA"),"NA",
IF(OR(O133="NC",Q133="NC",S133="NC",U133="NC",W133="NC",Y133="NC",AA133="NC",AC133="NC",
       O133="SF",Q133="SF",S133="SF",U133="SF",W133="SF",Y133="SF",AA133="SF",AC133="SF"),"NC",
IF(SUM(IF(O133="C",1,0),IF(Q133="C",1,0),IF(S133="C",1,0),IF(U133="C",1,0),IF(W133="C",1,0),IF(Y133="C",1,0),IF(AA133="C",1,0),IF(AC133="C",1,0))=1,"C","C")))))</f>
        <v/>
      </c>
      <c r="AG133" s="304" t="b">
        <f>IF(AND(AE133="C",AF133="C"),"UTILIZOU O PDA CORRETAMENTE",IF(AND(AE133="C",AF133="NC"),"UTILIZOU O PDA CORRETAMENTE. NÃO HÁ FOTOS DE TODAS AS ETAPAS",IF(AND(AE133="NC",AF133="NC"),"NÃO UTILIZOU O PDA",IF(AND(AE133="NA",AF133="NA"),"NÃO AVALIADO POR FALHA DE SINCRONISMO"))))</f>
        <v>0</v>
      </c>
      <c r="AH133" s="9"/>
      <c r="AI133" s="145">
        <f t="shared" si="2"/>
        <v>0</v>
      </c>
      <c r="AJ133" s="147" t="s">
        <v>36</v>
      </c>
    </row>
    <row r="134" spans="1:36" ht="30" customHeight="1">
      <c r="A134" s="176"/>
      <c r="B134" s="176"/>
      <c r="C134" s="176"/>
      <c r="D134" s="176"/>
      <c r="E134" s="176"/>
      <c r="F134" s="176"/>
      <c r="G134" s="176"/>
      <c r="H134" s="176"/>
      <c r="I134" s="176"/>
      <c r="J134" s="176"/>
      <c r="K134" s="176"/>
      <c r="L134" s="185"/>
      <c r="M134" s="185"/>
      <c r="N134" s="176"/>
      <c r="O134" s="152"/>
      <c r="P134" s="90"/>
      <c r="Q134" s="140"/>
      <c r="R134" s="90"/>
      <c r="S134" s="140"/>
      <c r="T134" s="90"/>
      <c r="U134" s="140"/>
      <c r="V134" s="90"/>
      <c r="W134" s="140"/>
      <c r="X134" s="90"/>
      <c r="Y134" s="140"/>
      <c r="Z134" s="90"/>
      <c r="AA134" s="140"/>
      <c r="AB134" s="62"/>
      <c r="AC134" s="140"/>
      <c r="AD134" s="62"/>
      <c r="AE134" s="140"/>
      <c r="AF134" s="189" t="str">
        <f>IF(AND(O134="",Q134="",S134="",U134="",W134="",Y134="",AA134="",AC134=""),"",
IF(OR(    AND(O134&lt;&gt;"NA",O134&lt;&gt;"C",O134&lt;&gt;"NC",O134&lt;&gt;"SF",O134&lt;&gt;""),
    AND(Q134&lt;&gt;"NA",Q134&lt;&gt;"C",Q134&lt;&gt;"NC",Q134&lt;&gt;"SF",Q134&lt;&gt;""),
    AND(S134&lt;&gt;"NA",S134&lt;&gt;"C",S134&lt;&gt;"NC",S134&lt;&gt;"SF",S134&lt;&gt;""),
    AND(U134&lt;&gt;"NA",U134&lt;&gt;"C",U134&lt;&gt;"NC",U134&lt;&gt;"SF",U134&lt;&gt;""),
    AND(W134&lt;&gt;"NA",W134&lt;&gt;"C",W134&lt;&gt;"NC",W134&lt;&gt;"SF",W134&lt;&gt;""),
    AND(Y134&lt;&gt;"NA",Y134&lt;&gt;"C",Y134&lt;&gt;"NC",Y134&lt;&gt;"SF",Y134&lt;&gt;""),
    AND(AA134&lt;&gt;"NA",AA134&lt;&gt;"C",AA134&lt;&gt;"NC",AA134&lt;&gt;"SF",AA134&lt;&gt;""),
    AND(AC134&lt;&gt;"NA",AC134&lt;&gt;"C",AC134&lt;&gt;"NC",AC134&lt;&gt;"SF",AC134&lt;&gt;"")
),"FALSO",
IF(AND(O134="NA",Q134="NA",S134="NA",U134="NA",W134="NA",Y134="NA",AA134="NA",AC134="NA"),"NA",
IF(OR(O134="NC",Q134="NC",S134="NC",U134="NC",W134="NC",Y134="NC",AA134="NC",AC134="NC",
       O134="SF",Q134="SF",S134="SF",U134="SF",W134="SF",Y134="SF",AA134="SF",AC134="SF"),"NC",
IF(SUM(IF(O134="C",1,0),IF(Q134="C",1,0),IF(S134="C",1,0),IF(U134="C",1,0),IF(W134="C",1,0),IF(Y134="C",1,0),IF(AA134="C",1,0),IF(AC134="C",1,0))=1,"C","C")))))</f>
        <v/>
      </c>
      <c r="AG134" s="304" t="b">
        <f>IF(AND(AE134="C",AF134="C"),"UTILIZOU O PDA CORRETAMENTE",IF(AND(AE134="C",AF134="NC"),"UTILIZOU O PDA CORRETAMENTE. NÃO HÁ FOTOS DE TODAS AS ETAPAS",IF(AND(AE134="NC",AF134="NC"),"NÃO UTILIZOU O PDA",IF(AND(AE134="NA",AF134="NA"),"NÃO AVALIADO POR FALHA DE SINCRONISMO"))))</f>
        <v>0</v>
      </c>
      <c r="AH134" s="9"/>
      <c r="AI134" s="145">
        <f t="shared" si="2"/>
        <v>0</v>
      </c>
      <c r="AJ134" s="147" t="s">
        <v>36</v>
      </c>
    </row>
    <row r="135" spans="1:36" ht="30" customHeight="1">
      <c r="A135" s="176"/>
      <c r="B135" s="176"/>
      <c r="C135" s="176"/>
      <c r="D135" s="176"/>
      <c r="E135" s="176"/>
      <c r="F135" s="176"/>
      <c r="G135" s="176"/>
      <c r="H135" s="176"/>
      <c r="I135" s="176"/>
      <c r="J135" s="176"/>
      <c r="K135" s="176"/>
      <c r="L135" s="185"/>
      <c r="M135" s="185"/>
      <c r="N135" s="176"/>
      <c r="O135" s="152"/>
      <c r="P135" s="90"/>
      <c r="Q135" s="140"/>
      <c r="R135" s="90"/>
      <c r="S135" s="140"/>
      <c r="T135" s="90"/>
      <c r="U135" s="140"/>
      <c r="V135" s="90"/>
      <c r="W135" s="140"/>
      <c r="X135" s="90"/>
      <c r="Y135" s="140"/>
      <c r="Z135" s="90"/>
      <c r="AA135" s="140"/>
      <c r="AB135" s="62"/>
      <c r="AC135" s="140"/>
      <c r="AD135" s="62"/>
      <c r="AE135" s="140"/>
      <c r="AF135" s="189" t="str">
        <f>IF(AND(O135="",Q135="",S135="",U135="",W135="",Y135="",AA135="",AC135=""),"",
IF(OR(    AND(O135&lt;&gt;"NA",O135&lt;&gt;"C",O135&lt;&gt;"NC",O135&lt;&gt;"SF",O135&lt;&gt;""),
    AND(Q135&lt;&gt;"NA",Q135&lt;&gt;"C",Q135&lt;&gt;"NC",Q135&lt;&gt;"SF",Q135&lt;&gt;""),
    AND(S135&lt;&gt;"NA",S135&lt;&gt;"C",S135&lt;&gt;"NC",S135&lt;&gt;"SF",S135&lt;&gt;""),
    AND(U135&lt;&gt;"NA",U135&lt;&gt;"C",U135&lt;&gt;"NC",U135&lt;&gt;"SF",U135&lt;&gt;""),
    AND(W135&lt;&gt;"NA",W135&lt;&gt;"C",W135&lt;&gt;"NC",W135&lt;&gt;"SF",W135&lt;&gt;""),
    AND(Y135&lt;&gt;"NA",Y135&lt;&gt;"C",Y135&lt;&gt;"NC",Y135&lt;&gt;"SF",Y135&lt;&gt;""),
    AND(AA135&lt;&gt;"NA",AA135&lt;&gt;"C",AA135&lt;&gt;"NC",AA135&lt;&gt;"SF",AA135&lt;&gt;""),
    AND(AC135&lt;&gt;"NA",AC135&lt;&gt;"C",AC135&lt;&gt;"NC",AC135&lt;&gt;"SF",AC135&lt;&gt;"")
),"FALSO",
IF(AND(O135="NA",Q135="NA",S135="NA",U135="NA",W135="NA",Y135="NA",AA135="NA",AC135="NA"),"NA",
IF(OR(O135="NC",Q135="NC",S135="NC",U135="NC",W135="NC",Y135="NC",AA135="NC",AC135="NC",
       O135="SF",Q135="SF",S135="SF",U135="SF",W135="SF",Y135="SF",AA135="SF",AC135="SF"),"NC",
IF(SUM(IF(O135="C",1,0),IF(Q135="C",1,0),IF(S135="C",1,0),IF(U135="C",1,0),IF(W135="C",1,0),IF(Y135="C",1,0),IF(AA135="C",1,0),IF(AC135="C",1,0))=1,"C","C")))))</f>
        <v/>
      </c>
      <c r="AG135" s="304" t="b">
        <f>IF(AND(AE135="C",AF135="C"),"UTILIZOU O PDA CORRETAMENTE",IF(AND(AE135="C",AF135="NC"),"UTILIZOU O PDA CORRETAMENTE. NÃO HÁ FOTOS DE TODAS AS ETAPAS",IF(AND(AE135="NC",AF135="NC"),"NÃO UTILIZOU O PDA",IF(AND(AE135="NA",AF135="NA"),"NÃO AVALIADO POR FALHA DE SINCRONISMO"))))</f>
        <v>0</v>
      </c>
      <c r="AH135" s="9"/>
      <c r="AI135" s="145">
        <f t="shared" si="2"/>
        <v>0</v>
      </c>
      <c r="AJ135" s="147" t="s">
        <v>36</v>
      </c>
    </row>
    <row r="136" spans="1:36" ht="30" customHeight="1">
      <c r="A136" s="176"/>
      <c r="B136" s="176"/>
      <c r="C136" s="176"/>
      <c r="D136" s="176"/>
      <c r="E136" s="176"/>
      <c r="F136" s="176"/>
      <c r="G136" s="176"/>
      <c r="H136" s="176"/>
      <c r="I136" s="176"/>
      <c r="J136" s="176"/>
      <c r="K136" s="176"/>
      <c r="L136" s="185"/>
      <c r="M136" s="185"/>
      <c r="N136" s="176"/>
      <c r="O136" s="152"/>
      <c r="P136" s="90"/>
      <c r="Q136" s="140"/>
      <c r="R136" s="90"/>
      <c r="S136" s="140"/>
      <c r="T136" s="90"/>
      <c r="U136" s="140"/>
      <c r="V136" s="90"/>
      <c r="W136" s="140"/>
      <c r="X136" s="90"/>
      <c r="Y136" s="140"/>
      <c r="Z136" s="90"/>
      <c r="AA136" s="140"/>
      <c r="AB136" s="62"/>
      <c r="AC136" s="140"/>
      <c r="AD136" s="62"/>
      <c r="AE136" s="140"/>
      <c r="AF136" s="189" t="str">
        <f>IF(AND(O136="",Q136="",S136="",U136="",W136="",Y136="",AA136="",AC136=""),"",
IF(OR(    AND(O136&lt;&gt;"NA",O136&lt;&gt;"C",O136&lt;&gt;"NC",O136&lt;&gt;"SF",O136&lt;&gt;""),
    AND(Q136&lt;&gt;"NA",Q136&lt;&gt;"C",Q136&lt;&gt;"NC",Q136&lt;&gt;"SF",Q136&lt;&gt;""),
    AND(S136&lt;&gt;"NA",S136&lt;&gt;"C",S136&lt;&gt;"NC",S136&lt;&gt;"SF",S136&lt;&gt;""),
    AND(U136&lt;&gt;"NA",U136&lt;&gt;"C",U136&lt;&gt;"NC",U136&lt;&gt;"SF",U136&lt;&gt;""),
    AND(W136&lt;&gt;"NA",W136&lt;&gt;"C",W136&lt;&gt;"NC",W136&lt;&gt;"SF",W136&lt;&gt;""),
    AND(Y136&lt;&gt;"NA",Y136&lt;&gt;"C",Y136&lt;&gt;"NC",Y136&lt;&gt;"SF",Y136&lt;&gt;""),
    AND(AA136&lt;&gt;"NA",AA136&lt;&gt;"C",AA136&lt;&gt;"NC",AA136&lt;&gt;"SF",AA136&lt;&gt;""),
    AND(AC136&lt;&gt;"NA",AC136&lt;&gt;"C",AC136&lt;&gt;"NC",AC136&lt;&gt;"SF",AC136&lt;&gt;"")
),"FALSO",
IF(AND(O136="NA",Q136="NA",S136="NA",U136="NA",W136="NA",Y136="NA",AA136="NA",AC136="NA"),"NA",
IF(OR(O136="NC",Q136="NC",S136="NC",U136="NC",W136="NC",Y136="NC",AA136="NC",AC136="NC",
       O136="SF",Q136="SF",S136="SF",U136="SF",W136="SF",Y136="SF",AA136="SF",AC136="SF"),"NC",
IF(SUM(IF(O136="C",1,0),IF(Q136="C",1,0),IF(S136="C",1,0),IF(U136="C",1,0),IF(W136="C",1,0),IF(Y136="C",1,0),IF(AA136="C",1,0),IF(AC136="C",1,0))=1,"C","C")))))</f>
        <v/>
      </c>
      <c r="AG136" s="304" t="b">
        <f>IF(AND(AE136="C",AF136="C"),"UTILIZOU O PDA CORRETAMENTE",IF(AND(AE136="C",AF136="NC"),"UTILIZOU O PDA CORRETAMENTE. NÃO HÁ FOTOS DE TODAS AS ETAPAS",IF(AND(AE136="NC",AF136="NC"),"NÃO UTILIZOU O PDA",IF(AND(AE136="NA",AF136="NA"),"NÃO AVALIADO POR FALHA DE SINCRONISMO"))))</f>
        <v>0</v>
      </c>
      <c r="AH136" s="9"/>
      <c r="AI136" s="145">
        <f t="shared" si="2"/>
        <v>0</v>
      </c>
      <c r="AJ136" s="147" t="s">
        <v>36</v>
      </c>
    </row>
    <row r="137" spans="1:36" ht="30" customHeight="1">
      <c r="A137" s="176"/>
      <c r="B137" s="176"/>
      <c r="C137" s="176"/>
      <c r="D137" s="176"/>
      <c r="E137" s="176"/>
      <c r="F137" s="176"/>
      <c r="G137" s="176"/>
      <c r="H137" s="176"/>
      <c r="I137" s="176"/>
      <c r="J137" s="176"/>
      <c r="K137" s="176"/>
      <c r="L137" s="185"/>
      <c r="M137" s="185"/>
      <c r="N137" s="176"/>
      <c r="O137" s="152"/>
      <c r="P137" s="90"/>
      <c r="Q137" s="140"/>
      <c r="R137" s="90"/>
      <c r="S137" s="140"/>
      <c r="T137" s="90"/>
      <c r="U137" s="140"/>
      <c r="V137" s="90"/>
      <c r="W137" s="140"/>
      <c r="X137" s="90"/>
      <c r="Y137" s="140"/>
      <c r="Z137" s="90"/>
      <c r="AA137" s="140"/>
      <c r="AB137" s="62"/>
      <c r="AC137" s="140"/>
      <c r="AD137" s="62"/>
      <c r="AE137" s="140"/>
      <c r="AF137" s="189" t="str">
        <f>IF(AND(O137="",Q137="",S137="",U137="",W137="",Y137="",AA137="",AC137=""),"",
IF(OR(    AND(O137&lt;&gt;"NA",O137&lt;&gt;"C",O137&lt;&gt;"NC",O137&lt;&gt;"SF",O137&lt;&gt;""),
    AND(Q137&lt;&gt;"NA",Q137&lt;&gt;"C",Q137&lt;&gt;"NC",Q137&lt;&gt;"SF",Q137&lt;&gt;""),
    AND(S137&lt;&gt;"NA",S137&lt;&gt;"C",S137&lt;&gt;"NC",S137&lt;&gt;"SF",S137&lt;&gt;""),
    AND(U137&lt;&gt;"NA",U137&lt;&gt;"C",U137&lt;&gt;"NC",U137&lt;&gt;"SF",U137&lt;&gt;""),
    AND(W137&lt;&gt;"NA",W137&lt;&gt;"C",W137&lt;&gt;"NC",W137&lt;&gt;"SF",W137&lt;&gt;""),
    AND(Y137&lt;&gt;"NA",Y137&lt;&gt;"C",Y137&lt;&gt;"NC",Y137&lt;&gt;"SF",Y137&lt;&gt;""),
    AND(AA137&lt;&gt;"NA",AA137&lt;&gt;"C",AA137&lt;&gt;"NC",AA137&lt;&gt;"SF",AA137&lt;&gt;""),
    AND(AC137&lt;&gt;"NA",AC137&lt;&gt;"C",AC137&lt;&gt;"NC",AC137&lt;&gt;"SF",AC137&lt;&gt;"")
),"FALSO",
IF(AND(O137="NA",Q137="NA",S137="NA",U137="NA",W137="NA",Y137="NA",AA137="NA",AC137="NA"),"NA",
IF(OR(O137="NC",Q137="NC",S137="NC",U137="NC",W137="NC",Y137="NC",AA137="NC",AC137="NC",
       O137="SF",Q137="SF",S137="SF",U137="SF",W137="SF",Y137="SF",AA137="SF",AC137="SF"),"NC",
IF(SUM(IF(O137="C",1,0),IF(Q137="C",1,0),IF(S137="C",1,0),IF(U137="C",1,0),IF(W137="C",1,0),IF(Y137="C",1,0),IF(AA137="C",1,0),IF(AC137="C",1,0))=1,"C","C")))))</f>
        <v/>
      </c>
      <c r="AG137" s="304" t="b">
        <f>IF(AND(AE137="C",AF137="C"),"UTILIZOU O PDA CORRETAMENTE",IF(AND(AE137="C",AF137="NC"),"UTILIZOU O PDA CORRETAMENTE. NÃO HÁ FOTOS DE TODAS AS ETAPAS",IF(AND(AE137="NC",AF137="NC"),"NÃO UTILIZOU O PDA",IF(AND(AE137="NA",AF137="NA"),"NÃO AVALIADO POR FALHA DE SINCRONISMO"))))</f>
        <v>0</v>
      </c>
      <c r="AH137" s="9"/>
      <c r="AI137" s="145">
        <f t="shared" si="2"/>
        <v>0</v>
      </c>
      <c r="AJ137" s="147" t="s">
        <v>36</v>
      </c>
    </row>
    <row r="138" spans="1:36" ht="30" customHeight="1">
      <c r="A138" s="176"/>
      <c r="B138" s="176"/>
      <c r="C138" s="176"/>
      <c r="D138" s="176"/>
      <c r="E138" s="176"/>
      <c r="F138" s="176"/>
      <c r="G138" s="176"/>
      <c r="H138" s="176"/>
      <c r="I138" s="176"/>
      <c r="J138" s="176"/>
      <c r="K138" s="176"/>
      <c r="L138" s="185"/>
      <c r="M138" s="185"/>
      <c r="N138" s="176"/>
      <c r="O138" s="152"/>
      <c r="P138" s="90"/>
      <c r="Q138" s="140"/>
      <c r="R138" s="90"/>
      <c r="S138" s="140"/>
      <c r="T138" s="90"/>
      <c r="U138" s="140"/>
      <c r="V138" s="90"/>
      <c r="W138" s="140"/>
      <c r="X138" s="90"/>
      <c r="Y138" s="140"/>
      <c r="Z138" s="90"/>
      <c r="AA138" s="140"/>
      <c r="AB138" s="62"/>
      <c r="AC138" s="140"/>
      <c r="AD138" s="62"/>
      <c r="AE138" s="140"/>
      <c r="AF138" s="189" t="str">
        <f>IF(AND(O138="",Q138="",S138="",U138="",W138="",Y138="",AA138="",AC138=""),"",
IF(OR(    AND(O138&lt;&gt;"NA",O138&lt;&gt;"C",O138&lt;&gt;"NC",O138&lt;&gt;"SF",O138&lt;&gt;""),
    AND(Q138&lt;&gt;"NA",Q138&lt;&gt;"C",Q138&lt;&gt;"NC",Q138&lt;&gt;"SF",Q138&lt;&gt;""),
    AND(S138&lt;&gt;"NA",S138&lt;&gt;"C",S138&lt;&gt;"NC",S138&lt;&gt;"SF",S138&lt;&gt;""),
    AND(U138&lt;&gt;"NA",U138&lt;&gt;"C",U138&lt;&gt;"NC",U138&lt;&gt;"SF",U138&lt;&gt;""),
    AND(W138&lt;&gt;"NA",W138&lt;&gt;"C",W138&lt;&gt;"NC",W138&lt;&gt;"SF",W138&lt;&gt;""),
    AND(Y138&lt;&gt;"NA",Y138&lt;&gt;"C",Y138&lt;&gt;"NC",Y138&lt;&gt;"SF",Y138&lt;&gt;""),
    AND(AA138&lt;&gt;"NA",AA138&lt;&gt;"C",AA138&lt;&gt;"NC",AA138&lt;&gt;"SF",AA138&lt;&gt;""),
    AND(AC138&lt;&gt;"NA",AC138&lt;&gt;"C",AC138&lt;&gt;"NC",AC138&lt;&gt;"SF",AC138&lt;&gt;"")
),"FALSO",
IF(AND(O138="NA",Q138="NA",S138="NA",U138="NA",W138="NA",Y138="NA",AA138="NA",AC138="NA"),"NA",
IF(OR(O138="NC",Q138="NC",S138="NC",U138="NC",W138="NC",Y138="NC",AA138="NC",AC138="NC",
       O138="SF",Q138="SF",S138="SF",U138="SF",W138="SF",Y138="SF",AA138="SF",AC138="SF"),"NC",
IF(SUM(IF(O138="C",1,0),IF(Q138="C",1,0),IF(S138="C",1,0),IF(U138="C",1,0),IF(W138="C",1,0),IF(Y138="C",1,0),IF(AA138="C",1,0),IF(AC138="C",1,0))=1,"C","C")))))</f>
        <v/>
      </c>
      <c r="AG138" s="304" t="b">
        <f>IF(AND(AE138="C",AF138="C"),"UTILIZOU O PDA CORRETAMENTE",IF(AND(AE138="C",AF138="NC"),"UTILIZOU O PDA CORRETAMENTE. NÃO HÁ FOTOS DE TODAS AS ETAPAS",IF(AND(AE138="NC",AF138="NC"),"NÃO UTILIZOU O PDA",IF(AND(AE138="NA",AF138="NA"),"NÃO AVALIADO POR FALHA DE SINCRONISMO"))))</f>
        <v>0</v>
      </c>
      <c r="AH138" s="9"/>
      <c r="AI138" s="145">
        <f t="shared" si="2"/>
        <v>0</v>
      </c>
      <c r="AJ138" s="147" t="s">
        <v>36</v>
      </c>
    </row>
    <row r="139" spans="1:36" ht="30" customHeight="1">
      <c r="A139" s="176"/>
      <c r="B139" s="176"/>
      <c r="C139" s="176"/>
      <c r="D139" s="176"/>
      <c r="E139" s="176"/>
      <c r="F139" s="176"/>
      <c r="G139" s="176"/>
      <c r="H139" s="176"/>
      <c r="I139" s="176"/>
      <c r="J139" s="176"/>
      <c r="K139" s="176"/>
      <c r="L139" s="185"/>
      <c r="M139" s="185"/>
      <c r="N139" s="176"/>
      <c r="O139" s="152"/>
      <c r="P139" s="90"/>
      <c r="Q139" s="140"/>
      <c r="R139" s="90"/>
      <c r="S139" s="140"/>
      <c r="T139" s="90"/>
      <c r="U139" s="140"/>
      <c r="V139" s="90"/>
      <c r="W139" s="140"/>
      <c r="X139" s="90"/>
      <c r="Y139" s="140"/>
      <c r="Z139" s="90"/>
      <c r="AA139" s="140"/>
      <c r="AB139" s="62"/>
      <c r="AC139" s="140"/>
      <c r="AD139" s="62"/>
      <c r="AE139" s="140"/>
      <c r="AF139" s="189" t="str">
        <f>IF(AND(O139="",Q139="",S139="",U139="",W139="",Y139="",AA139="",AC139=""),"",
IF(OR(    AND(O139&lt;&gt;"NA",O139&lt;&gt;"C",O139&lt;&gt;"NC",O139&lt;&gt;"SF",O139&lt;&gt;""),
    AND(Q139&lt;&gt;"NA",Q139&lt;&gt;"C",Q139&lt;&gt;"NC",Q139&lt;&gt;"SF",Q139&lt;&gt;""),
    AND(S139&lt;&gt;"NA",S139&lt;&gt;"C",S139&lt;&gt;"NC",S139&lt;&gt;"SF",S139&lt;&gt;""),
    AND(U139&lt;&gt;"NA",U139&lt;&gt;"C",U139&lt;&gt;"NC",U139&lt;&gt;"SF",U139&lt;&gt;""),
    AND(W139&lt;&gt;"NA",W139&lt;&gt;"C",W139&lt;&gt;"NC",W139&lt;&gt;"SF",W139&lt;&gt;""),
    AND(Y139&lt;&gt;"NA",Y139&lt;&gt;"C",Y139&lt;&gt;"NC",Y139&lt;&gt;"SF",Y139&lt;&gt;""),
    AND(AA139&lt;&gt;"NA",AA139&lt;&gt;"C",AA139&lt;&gt;"NC",AA139&lt;&gt;"SF",AA139&lt;&gt;""),
    AND(AC139&lt;&gt;"NA",AC139&lt;&gt;"C",AC139&lt;&gt;"NC",AC139&lt;&gt;"SF",AC139&lt;&gt;"")
),"FALSO",
IF(AND(O139="NA",Q139="NA",S139="NA",U139="NA",W139="NA",Y139="NA",AA139="NA",AC139="NA"),"NA",
IF(OR(O139="NC",Q139="NC",S139="NC",U139="NC",W139="NC",Y139="NC",AA139="NC",AC139="NC",
       O139="SF",Q139="SF",S139="SF",U139="SF",W139="SF",Y139="SF",AA139="SF",AC139="SF"),"NC",
IF(SUM(IF(O139="C",1,0),IF(Q139="C",1,0),IF(S139="C",1,0),IF(U139="C",1,0),IF(W139="C",1,0),IF(Y139="C",1,0),IF(AA139="C",1,0),IF(AC139="C",1,0))=1,"C","C")))))</f>
        <v/>
      </c>
      <c r="AG139" s="304" t="b">
        <f>IF(AND(AE139="C",AF139="C"),"UTILIZOU O PDA CORRETAMENTE",IF(AND(AE139="C",AF139="NC"),"UTILIZOU O PDA CORRETAMENTE. NÃO HÁ FOTOS DE TODAS AS ETAPAS",IF(AND(AE139="NC",AF139="NC"),"NÃO UTILIZOU O PDA",IF(AND(AE139="NA",AF139="NA"),"NÃO AVALIADO POR FALHA DE SINCRONISMO"))))</f>
        <v>0</v>
      </c>
      <c r="AH139" s="9"/>
      <c r="AI139" s="145">
        <f t="shared" si="2"/>
        <v>0</v>
      </c>
      <c r="AJ139" s="147" t="s">
        <v>36</v>
      </c>
    </row>
    <row r="140" spans="1:36" ht="30" customHeight="1">
      <c r="A140" s="176"/>
      <c r="B140" s="176"/>
      <c r="C140" s="176"/>
      <c r="D140" s="176"/>
      <c r="E140" s="176"/>
      <c r="F140" s="176"/>
      <c r="G140" s="176"/>
      <c r="H140" s="176"/>
      <c r="I140" s="176"/>
      <c r="J140" s="176"/>
      <c r="K140" s="176"/>
      <c r="L140" s="185"/>
      <c r="M140" s="185"/>
      <c r="N140" s="176"/>
      <c r="O140" s="152"/>
      <c r="P140" s="90"/>
      <c r="Q140" s="140"/>
      <c r="R140" s="90"/>
      <c r="S140" s="140"/>
      <c r="T140" s="90"/>
      <c r="U140" s="140"/>
      <c r="V140" s="90"/>
      <c r="W140" s="140"/>
      <c r="X140" s="90"/>
      <c r="Y140" s="140"/>
      <c r="Z140" s="90"/>
      <c r="AA140" s="140"/>
      <c r="AB140" s="62"/>
      <c r="AC140" s="140"/>
      <c r="AD140" s="62"/>
      <c r="AE140" s="140"/>
      <c r="AF140" s="189" t="str">
        <f>IF(AND(O140="",Q140="",S140="",U140="",W140="",Y140="",AA140="",AC140=""),"",
IF(OR(    AND(O140&lt;&gt;"NA",O140&lt;&gt;"C",O140&lt;&gt;"NC",O140&lt;&gt;"SF",O140&lt;&gt;""),
    AND(Q140&lt;&gt;"NA",Q140&lt;&gt;"C",Q140&lt;&gt;"NC",Q140&lt;&gt;"SF",Q140&lt;&gt;""),
    AND(S140&lt;&gt;"NA",S140&lt;&gt;"C",S140&lt;&gt;"NC",S140&lt;&gt;"SF",S140&lt;&gt;""),
    AND(U140&lt;&gt;"NA",U140&lt;&gt;"C",U140&lt;&gt;"NC",U140&lt;&gt;"SF",U140&lt;&gt;""),
    AND(W140&lt;&gt;"NA",W140&lt;&gt;"C",W140&lt;&gt;"NC",W140&lt;&gt;"SF",W140&lt;&gt;""),
    AND(Y140&lt;&gt;"NA",Y140&lt;&gt;"C",Y140&lt;&gt;"NC",Y140&lt;&gt;"SF",Y140&lt;&gt;""),
    AND(AA140&lt;&gt;"NA",AA140&lt;&gt;"C",AA140&lt;&gt;"NC",AA140&lt;&gt;"SF",AA140&lt;&gt;""),
    AND(AC140&lt;&gt;"NA",AC140&lt;&gt;"C",AC140&lt;&gt;"NC",AC140&lt;&gt;"SF",AC140&lt;&gt;"")
),"FALSO",
IF(AND(O140="NA",Q140="NA",S140="NA",U140="NA",W140="NA",Y140="NA",AA140="NA",AC140="NA"),"NA",
IF(OR(O140="NC",Q140="NC",S140="NC",U140="NC",W140="NC",Y140="NC",AA140="NC",AC140="NC",
       O140="SF",Q140="SF",S140="SF",U140="SF",W140="SF",Y140="SF",AA140="SF",AC140="SF"),"NC",
IF(SUM(IF(O140="C",1,0),IF(Q140="C",1,0),IF(S140="C",1,0),IF(U140="C",1,0),IF(W140="C",1,0),IF(Y140="C",1,0),IF(AA140="C",1,0),IF(AC140="C",1,0))=1,"C","C")))))</f>
        <v/>
      </c>
      <c r="AG140" s="304" t="b">
        <f>IF(AND(AE140="C",AF140="C"),"UTILIZOU O PDA CORRETAMENTE",IF(AND(AE140="C",AF140="NC"),"UTILIZOU O PDA CORRETAMENTE. NÃO HÁ FOTOS DE TODAS AS ETAPAS",IF(AND(AE140="NC",AF140="NC"),"NÃO UTILIZOU O PDA",IF(AND(AE140="NA",AF140="NA"),"NÃO AVALIADO POR FALHA DE SINCRONISMO"))))</f>
        <v>0</v>
      </c>
      <c r="AH140" s="9"/>
      <c r="AI140" s="145">
        <f t="shared" si="2"/>
        <v>0</v>
      </c>
      <c r="AJ140" s="147" t="s">
        <v>36</v>
      </c>
    </row>
    <row r="141" spans="1:36" ht="30" customHeight="1">
      <c r="A141" s="176"/>
      <c r="B141" s="176"/>
      <c r="C141" s="176"/>
      <c r="D141" s="176"/>
      <c r="E141" s="176"/>
      <c r="F141" s="176"/>
      <c r="G141" s="176"/>
      <c r="H141" s="176"/>
      <c r="I141" s="176"/>
      <c r="J141" s="176"/>
      <c r="K141" s="176"/>
      <c r="L141" s="185"/>
      <c r="M141" s="185"/>
      <c r="N141" s="176"/>
      <c r="O141" s="152"/>
      <c r="P141" s="90"/>
      <c r="Q141" s="140"/>
      <c r="R141" s="90"/>
      <c r="S141" s="140"/>
      <c r="T141" s="90"/>
      <c r="U141" s="140"/>
      <c r="V141" s="90"/>
      <c r="W141" s="140"/>
      <c r="X141" s="90"/>
      <c r="Y141" s="140"/>
      <c r="Z141" s="90"/>
      <c r="AA141" s="140"/>
      <c r="AB141" s="62"/>
      <c r="AC141" s="140"/>
      <c r="AD141" s="62"/>
      <c r="AE141" s="140"/>
      <c r="AF141" s="189" t="str">
        <f>IF(AND(O141="",Q141="",S141="",U141="",W141="",Y141="",AA141="",AC141=""),"",
IF(OR(    AND(O141&lt;&gt;"NA",O141&lt;&gt;"C",O141&lt;&gt;"NC",O141&lt;&gt;"SF",O141&lt;&gt;""),
    AND(Q141&lt;&gt;"NA",Q141&lt;&gt;"C",Q141&lt;&gt;"NC",Q141&lt;&gt;"SF",Q141&lt;&gt;""),
    AND(S141&lt;&gt;"NA",S141&lt;&gt;"C",S141&lt;&gt;"NC",S141&lt;&gt;"SF",S141&lt;&gt;""),
    AND(U141&lt;&gt;"NA",U141&lt;&gt;"C",U141&lt;&gt;"NC",U141&lt;&gt;"SF",U141&lt;&gt;""),
    AND(W141&lt;&gt;"NA",W141&lt;&gt;"C",W141&lt;&gt;"NC",W141&lt;&gt;"SF",W141&lt;&gt;""),
    AND(Y141&lt;&gt;"NA",Y141&lt;&gt;"C",Y141&lt;&gt;"NC",Y141&lt;&gt;"SF",Y141&lt;&gt;""),
    AND(AA141&lt;&gt;"NA",AA141&lt;&gt;"C",AA141&lt;&gt;"NC",AA141&lt;&gt;"SF",AA141&lt;&gt;""),
    AND(AC141&lt;&gt;"NA",AC141&lt;&gt;"C",AC141&lt;&gt;"NC",AC141&lt;&gt;"SF",AC141&lt;&gt;"")
),"FALSO",
IF(AND(O141="NA",Q141="NA",S141="NA",U141="NA",W141="NA",Y141="NA",AA141="NA",AC141="NA"),"NA",
IF(OR(O141="NC",Q141="NC",S141="NC",U141="NC",W141="NC",Y141="NC",AA141="NC",AC141="NC",
       O141="SF",Q141="SF",S141="SF",U141="SF",W141="SF",Y141="SF",AA141="SF",AC141="SF"),"NC",
IF(SUM(IF(O141="C",1,0),IF(Q141="C",1,0),IF(S141="C",1,0),IF(U141="C",1,0),IF(W141="C",1,0),IF(Y141="C",1,0),IF(AA141="C",1,0),IF(AC141="C",1,0))=1,"C","C")))))</f>
        <v/>
      </c>
      <c r="AG141" s="304" t="b">
        <f>IF(AND(AE141="C",AF141="C"),"UTILIZOU O PDA CORRETAMENTE",IF(AND(AE141="C",AF141="NC"),"UTILIZOU O PDA CORRETAMENTE. NÃO HÁ FOTOS DE TODAS AS ETAPAS",IF(AND(AE141="NC",AF141="NC"),"NÃO UTILIZOU O PDA",IF(AND(AE141="NA",AF141="NA"),"NÃO AVALIADO POR FALHA DE SINCRONISMO"))))</f>
        <v>0</v>
      </c>
      <c r="AH141" s="9"/>
      <c r="AI141" s="145">
        <f t="shared" si="2"/>
        <v>0</v>
      </c>
      <c r="AJ141" s="147" t="s">
        <v>36</v>
      </c>
    </row>
    <row r="142" spans="1:36" ht="30" customHeight="1">
      <c r="A142" s="176"/>
      <c r="B142" s="176"/>
      <c r="C142" s="176"/>
      <c r="D142" s="176"/>
      <c r="E142" s="176"/>
      <c r="F142" s="176"/>
      <c r="G142" s="176"/>
      <c r="H142" s="176"/>
      <c r="I142" s="176"/>
      <c r="J142" s="176"/>
      <c r="K142" s="176"/>
      <c r="L142" s="185"/>
      <c r="M142" s="185"/>
      <c r="N142" s="176"/>
      <c r="O142" s="152"/>
      <c r="P142" s="90"/>
      <c r="Q142" s="140"/>
      <c r="R142" s="90"/>
      <c r="S142" s="140"/>
      <c r="T142" s="90"/>
      <c r="U142" s="140"/>
      <c r="V142" s="90"/>
      <c r="W142" s="140"/>
      <c r="X142" s="90"/>
      <c r="Y142" s="140"/>
      <c r="Z142" s="90"/>
      <c r="AA142" s="140"/>
      <c r="AB142" s="62"/>
      <c r="AC142" s="140"/>
      <c r="AD142" s="62"/>
      <c r="AE142" s="140"/>
      <c r="AF142" s="189" t="str">
        <f>IF(AND(O142="",Q142="",S142="",U142="",W142="",Y142="",AA142="",AC142=""),"",
IF(OR(    AND(O142&lt;&gt;"NA",O142&lt;&gt;"C",O142&lt;&gt;"NC",O142&lt;&gt;"SF",O142&lt;&gt;""),
    AND(Q142&lt;&gt;"NA",Q142&lt;&gt;"C",Q142&lt;&gt;"NC",Q142&lt;&gt;"SF",Q142&lt;&gt;""),
    AND(S142&lt;&gt;"NA",S142&lt;&gt;"C",S142&lt;&gt;"NC",S142&lt;&gt;"SF",S142&lt;&gt;""),
    AND(U142&lt;&gt;"NA",U142&lt;&gt;"C",U142&lt;&gt;"NC",U142&lt;&gt;"SF",U142&lt;&gt;""),
    AND(W142&lt;&gt;"NA",W142&lt;&gt;"C",W142&lt;&gt;"NC",W142&lt;&gt;"SF",W142&lt;&gt;""),
    AND(Y142&lt;&gt;"NA",Y142&lt;&gt;"C",Y142&lt;&gt;"NC",Y142&lt;&gt;"SF",Y142&lt;&gt;""),
    AND(AA142&lt;&gt;"NA",AA142&lt;&gt;"C",AA142&lt;&gt;"NC",AA142&lt;&gt;"SF",AA142&lt;&gt;""),
    AND(AC142&lt;&gt;"NA",AC142&lt;&gt;"C",AC142&lt;&gt;"NC",AC142&lt;&gt;"SF",AC142&lt;&gt;"")
),"FALSO",
IF(AND(O142="NA",Q142="NA",S142="NA",U142="NA",W142="NA",Y142="NA",AA142="NA",AC142="NA"),"NA",
IF(OR(O142="NC",Q142="NC",S142="NC",U142="NC",W142="NC",Y142="NC",AA142="NC",AC142="NC",
       O142="SF",Q142="SF",S142="SF",U142="SF",W142="SF",Y142="SF",AA142="SF",AC142="SF"),"NC",
IF(SUM(IF(O142="C",1,0),IF(Q142="C",1,0),IF(S142="C",1,0),IF(U142="C",1,0),IF(W142="C",1,0),IF(Y142="C",1,0),IF(AA142="C",1,0),IF(AC142="C",1,0))=1,"C","C")))))</f>
        <v/>
      </c>
      <c r="AG142" s="304" t="b">
        <f>IF(AND(AE142="C",AF142="C"),"UTILIZOU O PDA CORRETAMENTE",IF(AND(AE142="C",AF142="NC"),"UTILIZOU O PDA CORRETAMENTE. NÃO HÁ FOTOS DE TODAS AS ETAPAS",IF(AND(AE142="NC",AF142="NC"),"NÃO UTILIZOU O PDA",IF(AND(AE142="NA",AF142="NA"),"NÃO AVALIADO POR FALHA DE SINCRONISMO"))))</f>
        <v>0</v>
      </c>
      <c r="AH142" s="9"/>
      <c r="AI142" s="145">
        <f t="shared" si="2"/>
        <v>0</v>
      </c>
      <c r="AJ142" s="147" t="s">
        <v>36</v>
      </c>
    </row>
    <row r="143" spans="1:36" ht="30" customHeight="1">
      <c r="A143" s="176"/>
      <c r="B143" s="176"/>
      <c r="C143" s="176"/>
      <c r="D143" s="176"/>
      <c r="E143" s="176"/>
      <c r="F143" s="176"/>
      <c r="G143" s="176"/>
      <c r="H143" s="176"/>
      <c r="I143" s="176"/>
      <c r="J143" s="176"/>
      <c r="K143" s="176"/>
      <c r="L143" s="176"/>
      <c r="M143" s="176"/>
      <c r="N143" s="176"/>
      <c r="O143" s="152"/>
      <c r="P143" s="90"/>
      <c r="Q143" s="140"/>
      <c r="R143" s="90"/>
      <c r="S143" s="140"/>
      <c r="T143" s="90"/>
      <c r="U143" s="140"/>
      <c r="V143" s="90"/>
      <c r="W143" s="140"/>
      <c r="X143" s="90"/>
      <c r="Y143" s="140"/>
      <c r="Z143" s="90"/>
      <c r="AA143" s="140"/>
      <c r="AB143" s="62"/>
      <c r="AC143" s="140"/>
      <c r="AD143" s="62"/>
      <c r="AE143" s="140"/>
      <c r="AF143" s="189" t="str">
        <f>IF(AND(O143="",Q143="",S143="",U143="",W143="",Y143="",AA143="",AC143=""),"",
IF(OR(    AND(O143&lt;&gt;"NA",O143&lt;&gt;"C",O143&lt;&gt;"NC",O143&lt;&gt;"SF",O143&lt;&gt;""),
    AND(Q143&lt;&gt;"NA",Q143&lt;&gt;"C",Q143&lt;&gt;"NC",Q143&lt;&gt;"SF",Q143&lt;&gt;""),
    AND(S143&lt;&gt;"NA",S143&lt;&gt;"C",S143&lt;&gt;"NC",S143&lt;&gt;"SF",S143&lt;&gt;""),
    AND(U143&lt;&gt;"NA",U143&lt;&gt;"C",U143&lt;&gt;"NC",U143&lt;&gt;"SF",U143&lt;&gt;""),
    AND(W143&lt;&gt;"NA",W143&lt;&gt;"C",W143&lt;&gt;"NC",W143&lt;&gt;"SF",W143&lt;&gt;""),
    AND(Y143&lt;&gt;"NA",Y143&lt;&gt;"C",Y143&lt;&gt;"NC",Y143&lt;&gt;"SF",Y143&lt;&gt;""),
    AND(AA143&lt;&gt;"NA",AA143&lt;&gt;"C",AA143&lt;&gt;"NC",AA143&lt;&gt;"SF",AA143&lt;&gt;""),
    AND(AC143&lt;&gt;"NA",AC143&lt;&gt;"C",AC143&lt;&gt;"NC",AC143&lt;&gt;"SF",AC143&lt;&gt;"")
),"FALSO",
IF(AND(O143="NA",Q143="NA",S143="NA",U143="NA",W143="NA",Y143="NA",AA143="NA",AC143="NA"),"NA",
IF(OR(O143="NC",Q143="NC",S143="NC",U143="NC",W143="NC",Y143="NC",AA143="NC",AC143="NC",
       O143="SF",Q143="SF",S143="SF",U143="SF",W143="SF",Y143="SF",AA143="SF",AC143="SF"),"NC",
IF(SUM(IF(O143="C",1,0),IF(Q143="C",1,0),IF(S143="C",1,0),IF(U143="C",1,0),IF(W143="C",1,0),IF(Y143="C",1,0),IF(AA143="C",1,0),IF(AC143="C",1,0))=1,"C","C")))))</f>
        <v/>
      </c>
      <c r="AG143" s="304" t="b">
        <f>IF(AND(AE143="C",AF143="C"),"UTILIZOU O PDA CORRETAMENTE",IF(AND(AE143="C",AF143="NC"),"UTILIZOU O PDA CORRETAMENTE. NÃO HÁ FOTOS DE TODAS AS ETAPAS",IF(AND(AE143="NC",AF143="NC"),"NÃO UTILIZOU O PDA",IF(AND(AE143="NA",AF143="NA"),"NÃO AVALIADO POR FALHA DE SINCRONISMO"))))</f>
        <v>0</v>
      </c>
      <c r="AH143" s="9"/>
      <c r="AI143" s="145">
        <f t="shared" si="2"/>
        <v>0</v>
      </c>
      <c r="AJ143" s="147" t="s">
        <v>36</v>
      </c>
    </row>
    <row r="144" spans="1:36" ht="30" customHeight="1">
      <c r="A144" s="176"/>
      <c r="B144" s="176"/>
      <c r="C144" s="176"/>
      <c r="D144" s="176"/>
      <c r="E144" s="176"/>
      <c r="F144" s="176"/>
      <c r="G144" s="176"/>
      <c r="H144" s="176"/>
      <c r="I144" s="176"/>
      <c r="J144" s="176"/>
      <c r="K144" s="176"/>
      <c r="L144" s="176"/>
      <c r="M144" s="176"/>
      <c r="N144" s="176"/>
      <c r="O144" s="152"/>
      <c r="P144" s="90"/>
      <c r="Q144" s="140"/>
      <c r="R144" s="90"/>
      <c r="S144" s="140"/>
      <c r="T144" s="90"/>
      <c r="U144" s="140"/>
      <c r="V144" s="90"/>
      <c r="W144" s="140"/>
      <c r="X144" s="90"/>
      <c r="Y144" s="140"/>
      <c r="Z144" s="90"/>
      <c r="AA144" s="140"/>
      <c r="AB144" s="62"/>
      <c r="AC144" s="140"/>
      <c r="AD144" s="62"/>
      <c r="AE144" s="140"/>
      <c r="AF144" s="189" t="str">
        <f t="shared" ref="AF131:AF194" si="3">IF(AND(O144="",Q144="",S144="",U144="",W144="",Y144="",AA144="",AC144=""),"",
IF(OR(    AND(O144&lt;&gt;"NA",O144&lt;&gt;"C",O144&lt;&gt;"NC",O144&lt;&gt;"SF",O144&lt;&gt;""),
    AND(Q144&lt;&gt;"NA",Q144&lt;&gt;"C",Q144&lt;&gt;"NC",Q144&lt;&gt;"SF",Q144&lt;&gt;""),
    AND(S144&lt;&gt;"NA",S144&lt;&gt;"C",S144&lt;&gt;"NC",S144&lt;&gt;"SF",S144&lt;&gt;""),
    AND(U144&lt;&gt;"NA",U144&lt;&gt;"C",U144&lt;&gt;"NC",U144&lt;&gt;"SF",U144&lt;&gt;""),
    AND(W144&lt;&gt;"NA",W144&lt;&gt;"C",W144&lt;&gt;"NC",W144&lt;&gt;"SF",W144&lt;&gt;""),
    AND(Y144&lt;&gt;"NA",Y144&lt;&gt;"C",Y144&lt;&gt;"NC",Y144&lt;&gt;"SF",Y144&lt;&gt;""),
    AND(AA144&lt;&gt;"NA",AA144&lt;&gt;"C",AA144&lt;&gt;"NC",AA144&lt;&gt;"SF",AA144&lt;&gt;""),
    AND(AC144&lt;&gt;"NA",AC144&lt;&gt;"C",AC144&lt;&gt;"NC",AC144&lt;&gt;"SF",AC144&lt;&gt;"")
),"FALSO",
IF(AND(O144="NA",Q144="NA",S144="NA",U144="NA",W144="NA",Y144="NA",AA144="NA",AC144="NA"),"NA",
IF(OR(O144="NC",Q144="NC",S144="NC",U144="NC",W144="NC",Y144="NC",AA144="NC",AC144="NC",
       O144="SF",Q144="SF",S144="SF",U144="SF",W144="SF",Y144="SF",AA144="SF",AC144="SF"),"NC",
IF(SUM(IF(O144="C",1,0),IF(Q144="C",1,0),IF(S144="C",1,0),IF(U144="C",1,0),IF(W144="C",1,0),IF(Y144="C",1,0),IF(AA144="C",1,0),IF(AC144="C",1,0))=1,"C","C")))))</f>
        <v/>
      </c>
      <c r="AG144" s="304" t="b">
        <f t="shared" ref="AG130:AG193" si="4">IF(AND(AE144="C",AF144="C"),"UTILIZOU O PDA CORRETAMENTE",IF(AND(AE144="C",AF144="NC"),"UTILIZOU O PDA CORRETAMENTE. NÃO HÁ FOTOS DE TODAS AS ETAPAS",IF(AND(AE144="NC",AF144="NC"),"NÃO UTILIZOU O PDA",IF(AND(AE144="NA",AF144="NA"),"NÃO AVALIADO POR FALHA DE SINCRONISMO"))))</f>
        <v>0</v>
      </c>
      <c r="AH144" s="9"/>
      <c r="AI144" s="145">
        <f t="shared" si="2"/>
        <v>0</v>
      </c>
      <c r="AJ144" s="147" t="s">
        <v>36</v>
      </c>
    </row>
    <row r="145" spans="1:36" ht="30" customHeight="1">
      <c r="A145" s="176"/>
      <c r="B145" s="176"/>
      <c r="C145" s="176"/>
      <c r="D145" s="176"/>
      <c r="E145" s="176"/>
      <c r="F145" s="176"/>
      <c r="G145" s="176"/>
      <c r="H145" s="176"/>
      <c r="I145" s="176"/>
      <c r="J145" s="176"/>
      <c r="K145" s="176"/>
      <c r="L145" s="176"/>
      <c r="M145" s="176"/>
      <c r="N145" s="176"/>
      <c r="O145" s="152"/>
      <c r="P145" s="90"/>
      <c r="Q145" s="140"/>
      <c r="R145" s="90"/>
      <c r="S145" s="140"/>
      <c r="T145" s="90"/>
      <c r="U145" s="140"/>
      <c r="V145" s="90"/>
      <c r="W145" s="140"/>
      <c r="X145" s="90"/>
      <c r="Y145" s="140"/>
      <c r="Z145" s="90"/>
      <c r="AA145" s="140"/>
      <c r="AB145" s="62"/>
      <c r="AC145" s="140"/>
      <c r="AD145" s="62"/>
      <c r="AE145" s="140"/>
      <c r="AF145" s="189" t="str">
        <f t="shared" si="3"/>
        <v/>
      </c>
      <c r="AG145" s="304" t="b">
        <f t="shared" si="4"/>
        <v>0</v>
      </c>
      <c r="AH145" s="9"/>
      <c r="AI145" s="145">
        <f t="shared" si="2"/>
        <v>0</v>
      </c>
      <c r="AJ145" s="147" t="s">
        <v>36</v>
      </c>
    </row>
    <row r="146" spans="1:36" ht="30" customHeight="1">
      <c r="A146" s="176"/>
      <c r="B146" s="176"/>
      <c r="C146" s="176"/>
      <c r="D146" s="176"/>
      <c r="E146" s="176"/>
      <c r="F146" s="176"/>
      <c r="G146" s="176"/>
      <c r="H146" s="176"/>
      <c r="I146" s="176"/>
      <c r="J146" s="176"/>
      <c r="K146" s="176"/>
      <c r="L146" s="176"/>
      <c r="M146" s="176"/>
      <c r="N146" s="176"/>
      <c r="O146" s="152"/>
      <c r="P146" s="90"/>
      <c r="Q146" s="140"/>
      <c r="R146" s="90"/>
      <c r="S146" s="140"/>
      <c r="T146" s="90"/>
      <c r="U146" s="140"/>
      <c r="V146" s="90"/>
      <c r="W146" s="140"/>
      <c r="X146" s="90"/>
      <c r="Y146" s="140"/>
      <c r="Z146" s="90"/>
      <c r="AA146" s="140"/>
      <c r="AB146" s="62"/>
      <c r="AC146" s="140"/>
      <c r="AD146" s="62"/>
      <c r="AE146" s="140"/>
      <c r="AF146" s="189" t="str">
        <f t="shared" si="3"/>
        <v/>
      </c>
      <c r="AG146" s="304" t="b">
        <f t="shared" si="4"/>
        <v>0</v>
      </c>
      <c r="AH146" s="9"/>
      <c r="AI146" s="145">
        <f t="shared" si="2"/>
        <v>0</v>
      </c>
      <c r="AJ146" s="147" t="s">
        <v>36</v>
      </c>
    </row>
    <row r="147" spans="1:36" ht="30" customHeight="1">
      <c r="A147" s="176"/>
      <c r="B147" s="176"/>
      <c r="C147" s="176"/>
      <c r="D147" s="176"/>
      <c r="E147" s="176"/>
      <c r="F147" s="176"/>
      <c r="G147" s="176"/>
      <c r="H147" s="176"/>
      <c r="I147" s="176"/>
      <c r="J147" s="176"/>
      <c r="K147" s="176"/>
      <c r="L147" s="176"/>
      <c r="M147" s="176"/>
      <c r="N147" s="176"/>
      <c r="O147" s="152"/>
      <c r="P147" s="90"/>
      <c r="Q147" s="140"/>
      <c r="R147" s="90"/>
      <c r="S147" s="140"/>
      <c r="T147" s="90"/>
      <c r="U147" s="140"/>
      <c r="V147" s="90"/>
      <c r="W147" s="140"/>
      <c r="X147" s="90"/>
      <c r="Y147" s="140"/>
      <c r="Z147" s="90"/>
      <c r="AA147" s="140"/>
      <c r="AB147" s="62"/>
      <c r="AC147" s="140"/>
      <c r="AD147" s="62"/>
      <c r="AE147" s="140"/>
      <c r="AF147" s="189" t="str">
        <f t="shared" si="3"/>
        <v/>
      </c>
      <c r="AG147" s="304" t="b">
        <f t="shared" si="4"/>
        <v>0</v>
      </c>
      <c r="AH147" s="9"/>
      <c r="AI147" s="145">
        <f t="shared" si="2"/>
        <v>0</v>
      </c>
      <c r="AJ147" s="147" t="s">
        <v>36</v>
      </c>
    </row>
    <row r="148" spans="1:36" ht="30" customHeight="1">
      <c r="A148" s="176"/>
      <c r="B148" s="176"/>
      <c r="C148" s="176"/>
      <c r="D148" s="176"/>
      <c r="E148" s="176"/>
      <c r="F148" s="176"/>
      <c r="G148" s="176"/>
      <c r="H148" s="176"/>
      <c r="I148" s="176"/>
      <c r="J148" s="176"/>
      <c r="K148" s="176"/>
      <c r="L148" s="176"/>
      <c r="M148" s="176"/>
      <c r="N148" s="176"/>
      <c r="O148" s="152"/>
      <c r="P148" s="90"/>
      <c r="Q148" s="140"/>
      <c r="R148" s="90"/>
      <c r="S148" s="140"/>
      <c r="T148" s="90"/>
      <c r="U148" s="140"/>
      <c r="V148" s="90"/>
      <c r="W148" s="140"/>
      <c r="X148" s="90"/>
      <c r="Y148" s="140"/>
      <c r="Z148" s="90"/>
      <c r="AA148" s="140"/>
      <c r="AB148" s="62"/>
      <c r="AC148" s="140"/>
      <c r="AD148" s="62"/>
      <c r="AE148" s="140"/>
      <c r="AF148" s="189" t="str">
        <f t="shared" si="3"/>
        <v/>
      </c>
      <c r="AG148" s="304" t="b">
        <f t="shared" si="4"/>
        <v>0</v>
      </c>
      <c r="AH148" s="9"/>
      <c r="AI148" s="145">
        <f t="shared" si="2"/>
        <v>0</v>
      </c>
      <c r="AJ148" s="147" t="s">
        <v>36</v>
      </c>
    </row>
    <row r="149" spans="1:36" ht="30" customHeight="1">
      <c r="A149" s="176"/>
      <c r="B149" s="176"/>
      <c r="C149" s="176"/>
      <c r="D149" s="176"/>
      <c r="E149" s="176"/>
      <c r="F149" s="176"/>
      <c r="G149" s="176"/>
      <c r="H149" s="176"/>
      <c r="I149" s="176"/>
      <c r="J149" s="176"/>
      <c r="K149" s="176"/>
      <c r="L149" s="176"/>
      <c r="M149" s="176"/>
      <c r="N149" s="176"/>
      <c r="O149" s="152"/>
      <c r="P149" s="90"/>
      <c r="Q149" s="140"/>
      <c r="R149" s="90"/>
      <c r="S149" s="140"/>
      <c r="T149" s="90"/>
      <c r="U149" s="140"/>
      <c r="V149" s="90"/>
      <c r="W149" s="140"/>
      <c r="X149" s="90"/>
      <c r="Y149" s="140"/>
      <c r="Z149" s="90"/>
      <c r="AA149" s="140"/>
      <c r="AB149" s="62"/>
      <c r="AC149" s="140"/>
      <c r="AD149" s="62"/>
      <c r="AE149" s="140"/>
      <c r="AF149" s="189" t="str">
        <f t="shared" si="3"/>
        <v/>
      </c>
      <c r="AG149" s="304" t="b">
        <f t="shared" si="4"/>
        <v>0</v>
      </c>
      <c r="AH149" s="9"/>
      <c r="AI149" s="145">
        <f t="shared" si="2"/>
        <v>0</v>
      </c>
      <c r="AJ149" s="147" t="s">
        <v>36</v>
      </c>
    </row>
    <row r="150" spans="1:36" ht="30" customHeight="1">
      <c r="A150" s="176"/>
      <c r="B150" s="176"/>
      <c r="C150" s="176"/>
      <c r="D150" s="176"/>
      <c r="E150" s="176"/>
      <c r="F150" s="176"/>
      <c r="G150" s="176"/>
      <c r="H150" s="176"/>
      <c r="I150" s="176"/>
      <c r="J150" s="176"/>
      <c r="K150" s="176"/>
      <c r="L150" s="176"/>
      <c r="M150" s="176"/>
      <c r="N150" s="176"/>
      <c r="O150" s="152"/>
      <c r="P150" s="90"/>
      <c r="Q150" s="140"/>
      <c r="R150" s="90"/>
      <c r="S150" s="140"/>
      <c r="T150" s="90"/>
      <c r="U150" s="140"/>
      <c r="V150" s="90"/>
      <c r="W150" s="140"/>
      <c r="X150" s="90"/>
      <c r="Y150" s="140"/>
      <c r="Z150" s="90"/>
      <c r="AA150" s="140"/>
      <c r="AB150" s="62"/>
      <c r="AC150" s="140"/>
      <c r="AD150" s="62"/>
      <c r="AE150" s="140"/>
      <c r="AF150" s="189" t="str">
        <f t="shared" si="3"/>
        <v/>
      </c>
      <c r="AG150" s="304" t="b">
        <f t="shared" si="4"/>
        <v>0</v>
      </c>
      <c r="AH150" s="9"/>
      <c r="AI150" s="145">
        <f t="shared" si="2"/>
        <v>0</v>
      </c>
      <c r="AJ150" s="147" t="s">
        <v>36</v>
      </c>
    </row>
    <row r="151" spans="1:36" ht="30" customHeight="1">
      <c r="A151" s="176"/>
      <c r="B151" s="176"/>
      <c r="C151" s="176"/>
      <c r="D151" s="176"/>
      <c r="E151" s="176"/>
      <c r="F151" s="176"/>
      <c r="G151" s="176"/>
      <c r="H151" s="176"/>
      <c r="I151" s="176"/>
      <c r="J151" s="176"/>
      <c r="K151" s="176"/>
      <c r="L151" s="176"/>
      <c r="M151" s="176"/>
      <c r="N151" s="176"/>
      <c r="O151" s="152"/>
      <c r="P151" s="90"/>
      <c r="Q151" s="140"/>
      <c r="R151" s="90"/>
      <c r="S151" s="140"/>
      <c r="T151" s="90"/>
      <c r="U151" s="140"/>
      <c r="V151" s="90"/>
      <c r="W151" s="140"/>
      <c r="X151" s="90"/>
      <c r="Y151" s="140"/>
      <c r="Z151" s="90"/>
      <c r="AA151" s="140"/>
      <c r="AB151" s="62"/>
      <c r="AC151" s="140"/>
      <c r="AD151" s="62"/>
      <c r="AE151" s="140"/>
      <c r="AF151" s="189" t="str">
        <f t="shared" si="3"/>
        <v/>
      </c>
      <c r="AG151" s="304" t="b">
        <f t="shared" si="4"/>
        <v>0</v>
      </c>
      <c r="AH151" s="9"/>
      <c r="AI151" s="145">
        <f t="shared" si="2"/>
        <v>0</v>
      </c>
      <c r="AJ151" s="147" t="s">
        <v>36</v>
      </c>
    </row>
    <row r="152" spans="1:36" ht="30" customHeight="1">
      <c r="A152" s="176"/>
      <c r="B152" s="176"/>
      <c r="C152" s="176"/>
      <c r="D152" s="176"/>
      <c r="E152" s="176"/>
      <c r="F152" s="176"/>
      <c r="G152" s="176"/>
      <c r="H152" s="176"/>
      <c r="I152" s="176"/>
      <c r="J152" s="176"/>
      <c r="K152" s="176"/>
      <c r="L152" s="176"/>
      <c r="M152" s="176"/>
      <c r="N152" s="176"/>
      <c r="O152" s="152"/>
      <c r="P152" s="90"/>
      <c r="Q152" s="140"/>
      <c r="R152" s="90"/>
      <c r="S152" s="140"/>
      <c r="T152" s="90"/>
      <c r="U152" s="140"/>
      <c r="V152" s="90"/>
      <c r="W152" s="140"/>
      <c r="X152" s="90"/>
      <c r="Y152" s="140"/>
      <c r="Z152" s="90"/>
      <c r="AA152" s="140"/>
      <c r="AB152" s="62"/>
      <c r="AC152" s="140"/>
      <c r="AD152" s="62"/>
      <c r="AE152" s="140"/>
      <c r="AF152" s="189" t="str">
        <f t="shared" si="3"/>
        <v/>
      </c>
      <c r="AG152" s="304" t="b">
        <f t="shared" si="4"/>
        <v>0</v>
      </c>
      <c r="AH152" s="9"/>
      <c r="AI152" s="145">
        <f t="shared" si="2"/>
        <v>0</v>
      </c>
      <c r="AJ152" s="147" t="s">
        <v>36</v>
      </c>
    </row>
    <row r="153" spans="1:36" ht="30" customHeight="1">
      <c r="A153" s="176"/>
      <c r="B153" s="176"/>
      <c r="C153" s="176"/>
      <c r="D153" s="176"/>
      <c r="E153" s="176"/>
      <c r="F153" s="176"/>
      <c r="G153" s="176"/>
      <c r="H153" s="176"/>
      <c r="I153" s="176"/>
      <c r="J153" s="176"/>
      <c r="K153" s="176"/>
      <c r="L153" s="176"/>
      <c r="M153" s="176"/>
      <c r="N153" s="176"/>
      <c r="O153" s="152"/>
      <c r="P153" s="90"/>
      <c r="Q153" s="140"/>
      <c r="R153" s="90"/>
      <c r="S153" s="140"/>
      <c r="T153" s="90"/>
      <c r="U153" s="140"/>
      <c r="V153" s="90"/>
      <c r="W153" s="140"/>
      <c r="X153" s="90"/>
      <c r="Y153" s="140"/>
      <c r="Z153" s="90"/>
      <c r="AA153" s="140"/>
      <c r="AB153" s="62"/>
      <c r="AC153" s="140"/>
      <c r="AD153" s="62"/>
      <c r="AE153" s="140"/>
      <c r="AF153" s="189" t="str">
        <f t="shared" si="3"/>
        <v/>
      </c>
      <c r="AG153" s="304" t="b">
        <f t="shared" si="4"/>
        <v>0</v>
      </c>
      <c r="AH153" s="9"/>
      <c r="AI153" s="145">
        <f t="shared" si="2"/>
        <v>0</v>
      </c>
      <c r="AJ153" s="147" t="s">
        <v>36</v>
      </c>
    </row>
    <row r="154" spans="1:36" ht="30" customHeight="1">
      <c r="A154" s="176"/>
      <c r="B154" s="176"/>
      <c r="C154" s="176"/>
      <c r="D154" s="176"/>
      <c r="E154" s="176"/>
      <c r="F154" s="176"/>
      <c r="G154" s="176"/>
      <c r="H154" s="176"/>
      <c r="I154" s="176"/>
      <c r="J154" s="176"/>
      <c r="K154" s="176"/>
      <c r="L154" s="176"/>
      <c r="M154" s="176"/>
      <c r="N154" s="176"/>
      <c r="O154" s="152"/>
      <c r="P154" s="90"/>
      <c r="Q154" s="140"/>
      <c r="R154" s="90"/>
      <c r="S154" s="140"/>
      <c r="T154" s="90"/>
      <c r="U154" s="140"/>
      <c r="V154" s="90"/>
      <c r="W154" s="140"/>
      <c r="X154" s="90"/>
      <c r="Y154" s="140"/>
      <c r="Z154" s="90"/>
      <c r="AA154" s="140"/>
      <c r="AB154" s="62"/>
      <c r="AC154" s="140"/>
      <c r="AD154" s="62"/>
      <c r="AE154" s="140"/>
      <c r="AF154" s="189" t="str">
        <f t="shared" si="3"/>
        <v/>
      </c>
      <c r="AG154" s="304" t="b">
        <f t="shared" si="4"/>
        <v>0</v>
      </c>
      <c r="AH154" s="9"/>
      <c r="AI154" s="145">
        <f t="shared" si="2"/>
        <v>0</v>
      </c>
      <c r="AJ154" s="147" t="s">
        <v>36</v>
      </c>
    </row>
    <row r="155" spans="1:36" ht="30" customHeight="1">
      <c r="A155" s="176"/>
      <c r="B155" s="176"/>
      <c r="C155" s="176"/>
      <c r="D155" s="176"/>
      <c r="E155" s="176"/>
      <c r="F155" s="176"/>
      <c r="G155" s="176"/>
      <c r="H155" s="176"/>
      <c r="I155" s="176"/>
      <c r="J155" s="176"/>
      <c r="K155" s="176"/>
      <c r="L155" s="176"/>
      <c r="M155" s="176"/>
      <c r="N155" s="176"/>
      <c r="O155" s="152"/>
      <c r="P155" s="90"/>
      <c r="Q155" s="140"/>
      <c r="R155" s="90"/>
      <c r="S155" s="140"/>
      <c r="T155" s="90"/>
      <c r="U155" s="140"/>
      <c r="V155" s="90"/>
      <c r="W155" s="140"/>
      <c r="X155" s="90"/>
      <c r="Y155" s="140"/>
      <c r="Z155" s="90"/>
      <c r="AA155" s="140"/>
      <c r="AB155" s="62"/>
      <c r="AC155" s="140"/>
      <c r="AD155" s="62"/>
      <c r="AE155" s="140"/>
      <c r="AF155" s="189" t="str">
        <f t="shared" si="3"/>
        <v/>
      </c>
      <c r="AG155" s="304" t="b">
        <f t="shared" si="4"/>
        <v>0</v>
      </c>
      <c r="AH155" s="9"/>
      <c r="AI155" s="145">
        <f t="shared" si="2"/>
        <v>0</v>
      </c>
      <c r="AJ155" s="147" t="s">
        <v>36</v>
      </c>
    </row>
    <row r="156" spans="1:36" ht="30" customHeight="1">
      <c r="A156" s="176"/>
      <c r="B156" s="176"/>
      <c r="C156" s="176"/>
      <c r="D156" s="176"/>
      <c r="E156" s="176"/>
      <c r="F156" s="176"/>
      <c r="G156" s="176"/>
      <c r="H156" s="176"/>
      <c r="I156" s="176"/>
      <c r="J156" s="176"/>
      <c r="K156" s="176"/>
      <c r="L156" s="176"/>
      <c r="M156" s="176"/>
      <c r="N156" s="176"/>
      <c r="O156" s="152"/>
      <c r="P156" s="90"/>
      <c r="Q156" s="140"/>
      <c r="R156" s="90"/>
      <c r="S156" s="140"/>
      <c r="T156" s="90"/>
      <c r="U156" s="140"/>
      <c r="V156" s="90"/>
      <c r="W156" s="140"/>
      <c r="X156" s="90"/>
      <c r="Y156" s="140"/>
      <c r="Z156" s="90"/>
      <c r="AA156" s="140"/>
      <c r="AB156" s="62"/>
      <c r="AC156" s="140"/>
      <c r="AD156" s="62"/>
      <c r="AE156" s="140"/>
      <c r="AF156" s="189" t="str">
        <f t="shared" si="3"/>
        <v/>
      </c>
      <c r="AG156" s="304" t="b">
        <f t="shared" si="4"/>
        <v>0</v>
      </c>
      <c r="AH156" s="9"/>
      <c r="AI156" s="145">
        <f t="shared" si="2"/>
        <v>0</v>
      </c>
      <c r="AJ156" s="147" t="s">
        <v>36</v>
      </c>
    </row>
    <row r="157" spans="1:36" ht="30" customHeight="1">
      <c r="A157" s="176"/>
      <c r="B157" s="176"/>
      <c r="C157" s="176"/>
      <c r="D157" s="176"/>
      <c r="E157" s="176"/>
      <c r="F157" s="176"/>
      <c r="G157" s="176"/>
      <c r="H157" s="176"/>
      <c r="I157" s="176"/>
      <c r="J157" s="176"/>
      <c r="K157" s="176"/>
      <c r="L157" s="176"/>
      <c r="M157" s="176"/>
      <c r="N157" s="176"/>
      <c r="O157" s="152"/>
      <c r="P157" s="90"/>
      <c r="Q157" s="140"/>
      <c r="R157" s="90"/>
      <c r="S157" s="140"/>
      <c r="T157" s="90"/>
      <c r="U157" s="140"/>
      <c r="V157" s="90"/>
      <c r="W157" s="140"/>
      <c r="X157" s="90"/>
      <c r="Y157" s="140"/>
      <c r="Z157" s="90"/>
      <c r="AA157" s="140"/>
      <c r="AB157" s="62"/>
      <c r="AC157" s="140"/>
      <c r="AD157" s="62"/>
      <c r="AE157" s="140"/>
      <c r="AF157" s="189" t="str">
        <f t="shared" si="3"/>
        <v/>
      </c>
      <c r="AG157" s="304" t="b">
        <f t="shared" si="4"/>
        <v>0</v>
      </c>
      <c r="AH157" s="9"/>
      <c r="AI157" s="145">
        <f t="shared" si="2"/>
        <v>0</v>
      </c>
      <c r="AJ157" s="147" t="s">
        <v>36</v>
      </c>
    </row>
    <row r="158" spans="1:36" ht="30" customHeight="1">
      <c r="A158" s="176"/>
      <c r="B158" s="176"/>
      <c r="C158" s="176"/>
      <c r="D158" s="176"/>
      <c r="E158" s="176"/>
      <c r="F158" s="176"/>
      <c r="G158" s="176"/>
      <c r="H158" s="176"/>
      <c r="I158" s="176"/>
      <c r="J158" s="176"/>
      <c r="K158" s="176"/>
      <c r="L158" s="176"/>
      <c r="M158" s="176"/>
      <c r="N158" s="176"/>
      <c r="O158" s="152"/>
      <c r="P158" s="90"/>
      <c r="Q158" s="140"/>
      <c r="R158" s="90"/>
      <c r="S158" s="140"/>
      <c r="T158" s="90"/>
      <c r="U158" s="140"/>
      <c r="V158" s="90"/>
      <c r="W158" s="140"/>
      <c r="X158" s="90"/>
      <c r="Y158" s="140"/>
      <c r="Z158" s="90"/>
      <c r="AA158" s="140"/>
      <c r="AB158" s="62"/>
      <c r="AC158" s="140"/>
      <c r="AD158" s="62"/>
      <c r="AE158" s="140"/>
      <c r="AF158" s="189" t="str">
        <f t="shared" si="3"/>
        <v/>
      </c>
      <c r="AG158" s="304" t="b">
        <f t="shared" si="4"/>
        <v>0</v>
      </c>
      <c r="AH158" s="9"/>
      <c r="AI158" s="145">
        <f t="shared" si="2"/>
        <v>0</v>
      </c>
      <c r="AJ158" s="147" t="s">
        <v>36</v>
      </c>
    </row>
    <row r="159" spans="1:36" ht="30" customHeight="1">
      <c r="A159" s="176"/>
      <c r="B159" s="176"/>
      <c r="C159" s="176"/>
      <c r="D159" s="176"/>
      <c r="E159" s="176"/>
      <c r="F159" s="176"/>
      <c r="G159" s="176"/>
      <c r="H159" s="176"/>
      <c r="I159" s="176"/>
      <c r="J159" s="176"/>
      <c r="K159" s="176"/>
      <c r="L159" s="176"/>
      <c r="M159" s="176"/>
      <c r="N159" s="176"/>
      <c r="O159" s="152"/>
      <c r="P159" s="90"/>
      <c r="Q159" s="140"/>
      <c r="R159" s="90"/>
      <c r="S159" s="140"/>
      <c r="T159" s="90"/>
      <c r="U159" s="140"/>
      <c r="V159" s="90"/>
      <c r="W159" s="140"/>
      <c r="X159" s="90"/>
      <c r="Y159" s="140"/>
      <c r="Z159" s="90"/>
      <c r="AA159" s="140"/>
      <c r="AB159" s="62"/>
      <c r="AC159" s="140"/>
      <c r="AD159" s="62"/>
      <c r="AE159" s="140"/>
      <c r="AF159" s="189" t="str">
        <f t="shared" si="3"/>
        <v/>
      </c>
      <c r="AG159" s="304" t="b">
        <f t="shared" si="4"/>
        <v>0</v>
      </c>
      <c r="AH159" s="9"/>
      <c r="AI159" s="145">
        <f t="shared" si="2"/>
        <v>0</v>
      </c>
      <c r="AJ159" s="147" t="s">
        <v>36</v>
      </c>
    </row>
    <row r="160" spans="1:36" ht="30" customHeight="1">
      <c r="A160" s="176"/>
      <c r="B160" s="176"/>
      <c r="C160" s="176"/>
      <c r="D160" s="176"/>
      <c r="E160" s="176"/>
      <c r="F160" s="176"/>
      <c r="G160" s="176"/>
      <c r="H160" s="176"/>
      <c r="I160" s="176"/>
      <c r="J160" s="176"/>
      <c r="K160" s="176"/>
      <c r="L160" s="176"/>
      <c r="M160" s="176"/>
      <c r="N160" s="176"/>
      <c r="O160" s="152"/>
      <c r="P160" s="90"/>
      <c r="Q160" s="140"/>
      <c r="R160" s="90"/>
      <c r="S160" s="140"/>
      <c r="T160" s="90"/>
      <c r="U160" s="140"/>
      <c r="V160" s="90"/>
      <c r="W160" s="140"/>
      <c r="X160" s="90"/>
      <c r="Y160" s="140"/>
      <c r="Z160" s="90"/>
      <c r="AA160" s="140"/>
      <c r="AB160" s="62"/>
      <c r="AC160" s="140"/>
      <c r="AD160" s="62"/>
      <c r="AE160" s="140"/>
      <c r="AF160" s="189" t="str">
        <f t="shared" si="3"/>
        <v/>
      </c>
      <c r="AG160" s="304" t="b">
        <f t="shared" si="4"/>
        <v>0</v>
      </c>
      <c r="AH160" s="9"/>
      <c r="AI160" s="145">
        <f t="shared" si="2"/>
        <v>0</v>
      </c>
      <c r="AJ160" s="147" t="s">
        <v>36</v>
      </c>
    </row>
    <row r="161" spans="1:36" ht="30" customHeight="1">
      <c r="A161" s="176"/>
      <c r="B161" s="176"/>
      <c r="C161" s="176"/>
      <c r="D161" s="176"/>
      <c r="E161" s="176"/>
      <c r="F161" s="176"/>
      <c r="G161" s="176"/>
      <c r="H161" s="176"/>
      <c r="I161" s="176"/>
      <c r="J161" s="176"/>
      <c r="K161" s="176"/>
      <c r="L161" s="176"/>
      <c r="M161" s="176"/>
      <c r="N161" s="176"/>
      <c r="O161" s="152"/>
      <c r="P161" s="90"/>
      <c r="Q161" s="140"/>
      <c r="R161" s="90"/>
      <c r="S161" s="140"/>
      <c r="T161" s="90"/>
      <c r="U161" s="140"/>
      <c r="V161" s="90"/>
      <c r="W161" s="140"/>
      <c r="X161" s="90"/>
      <c r="Y161" s="140"/>
      <c r="Z161" s="90"/>
      <c r="AA161" s="140"/>
      <c r="AB161" s="62"/>
      <c r="AC161" s="140"/>
      <c r="AD161" s="62"/>
      <c r="AE161" s="140"/>
      <c r="AF161" s="189" t="str">
        <f t="shared" si="3"/>
        <v/>
      </c>
      <c r="AG161" s="304" t="b">
        <f t="shared" si="4"/>
        <v>0</v>
      </c>
      <c r="AH161" s="9"/>
      <c r="AI161" s="145">
        <f t="shared" si="2"/>
        <v>0</v>
      </c>
      <c r="AJ161" s="147" t="s">
        <v>36</v>
      </c>
    </row>
    <row r="162" spans="1:36" ht="30" customHeight="1">
      <c r="A162" s="176"/>
      <c r="B162" s="176"/>
      <c r="C162" s="176"/>
      <c r="D162" s="176"/>
      <c r="E162" s="176"/>
      <c r="F162" s="176"/>
      <c r="G162" s="176"/>
      <c r="H162" s="176"/>
      <c r="I162" s="176"/>
      <c r="J162" s="176"/>
      <c r="K162" s="176"/>
      <c r="L162" s="176"/>
      <c r="M162" s="176"/>
      <c r="N162" s="176"/>
      <c r="O162" s="152"/>
      <c r="P162" s="90"/>
      <c r="Q162" s="140"/>
      <c r="R162" s="90"/>
      <c r="S162" s="140"/>
      <c r="T162" s="90"/>
      <c r="U162" s="140"/>
      <c r="V162" s="90"/>
      <c r="W162" s="140"/>
      <c r="X162" s="90"/>
      <c r="Y162" s="140"/>
      <c r="Z162" s="90"/>
      <c r="AA162" s="140"/>
      <c r="AB162" s="62"/>
      <c r="AC162" s="140"/>
      <c r="AD162" s="62"/>
      <c r="AE162" s="140"/>
      <c r="AF162" s="189" t="str">
        <f t="shared" si="3"/>
        <v/>
      </c>
      <c r="AG162" s="304" t="b">
        <f t="shared" si="4"/>
        <v>0</v>
      </c>
      <c r="AH162" s="9"/>
      <c r="AI162" s="145">
        <f t="shared" si="2"/>
        <v>0</v>
      </c>
      <c r="AJ162" s="147" t="s">
        <v>36</v>
      </c>
    </row>
    <row r="163" spans="1:36" ht="30" customHeight="1">
      <c r="A163" s="176"/>
      <c r="B163" s="176"/>
      <c r="C163" s="176"/>
      <c r="D163" s="176"/>
      <c r="E163" s="176"/>
      <c r="F163" s="176"/>
      <c r="G163" s="176"/>
      <c r="H163" s="176"/>
      <c r="I163" s="176"/>
      <c r="J163" s="176"/>
      <c r="K163" s="176"/>
      <c r="L163" s="176"/>
      <c r="M163" s="176"/>
      <c r="N163" s="176"/>
      <c r="O163" s="152"/>
      <c r="P163" s="90"/>
      <c r="Q163" s="140"/>
      <c r="R163" s="90"/>
      <c r="S163" s="140"/>
      <c r="T163" s="90"/>
      <c r="U163" s="140"/>
      <c r="V163" s="90"/>
      <c r="W163" s="140"/>
      <c r="X163" s="90"/>
      <c r="Y163" s="140"/>
      <c r="Z163" s="90"/>
      <c r="AA163" s="140"/>
      <c r="AB163" s="62"/>
      <c r="AC163" s="140"/>
      <c r="AD163" s="62"/>
      <c r="AE163" s="140"/>
      <c r="AF163" s="189" t="str">
        <f t="shared" si="3"/>
        <v/>
      </c>
      <c r="AG163" s="304" t="b">
        <f t="shared" si="4"/>
        <v>0</v>
      </c>
      <c r="AH163" s="9"/>
      <c r="AI163" s="145">
        <f t="shared" si="2"/>
        <v>0</v>
      </c>
      <c r="AJ163" s="147" t="s">
        <v>36</v>
      </c>
    </row>
    <row r="164" spans="1:36" ht="30" customHeight="1">
      <c r="A164" s="176"/>
      <c r="B164" s="176"/>
      <c r="C164" s="176"/>
      <c r="D164" s="176"/>
      <c r="E164" s="176"/>
      <c r="F164" s="176"/>
      <c r="G164" s="176"/>
      <c r="H164" s="176"/>
      <c r="I164" s="176"/>
      <c r="J164" s="176"/>
      <c r="K164" s="176"/>
      <c r="L164" s="176"/>
      <c r="M164" s="176"/>
      <c r="N164" s="176"/>
      <c r="O164" s="152"/>
      <c r="P164" s="90"/>
      <c r="Q164" s="140"/>
      <c r="R164" s="90"/>
      <c r="S164" s="140"/>
      <c r="T164" s="90"/>
      <c r="U164" s="140"/>
      <c r="V164" s="90"/>
      <c r="W164" s="140"/>
      <c r="X164" s="90"/>
      <c r="Y164" s="140"/>
      <c r="Z164" s="90"/>
      <c r="AA164" s="140"/>
      <c r="AB164" s="62"/>
      <c r="AC164" s="140"/>
      <c r="AD164" s="62"/>
      <c r="AE164" s="140"/>
      <c r="AF164" s="189" t="str">
        <f t="shared" si="3"/>
        <v/>
      </c>
      <c r="AG164" s="304" t="b">
        <f t="shared" si="4"/>
        <v>0</v>
      </c>
      <c r="AH164" s="9"/>
      <c r="AI164" s="145">
        <f t="shared" si="2"/>
        <v>0</v>
      </c>
      <c r="AJ164" s="147" t="s">
        <v>36</v>
      </c>
    </row>
    <row r="165" spans="1:36" ht="30" customHeight="1">
      <c r="A165" s="176"/>
      <c r="B165" s="176"/>
      <c r="C165" s="176"/>
      <c r="D165" s="176"/>
      <c r="E165" s="176"/>
      <c r="F165" s="176"/>
      <c r="G165" s="176"/>
      <c r="H165" s="176"/>
      <c r="I165" s="176"/>
      <c r="J165" s="176"/>
      <c r="K165" s="176"/>
      <c r="L165" s="176"/>
      <c r="M165" s="176"/>
      <c r="N165" s="176"/>
      <c r="O165" s="152"/>
      <c r="P165" s="90"/>
      <c r="Q165" s="140"/>
      <c r="R165" s="90"/>
      <c r="S165" s="140"/>
      <c r="T165" s="90"/>
      <c r="U165" s="140"/>
      <c r="V165" s="90"/>
      <c r="W165" s="140"/>
      <c r="X165" s="90"/>
      <c r="Y165" s="140"/>
      <c r="Z165" s="90"/>
      <c r="AA165" s="140"/>
      <c r="AB165" s="62"/>
      <c r="AC165" s="140"/>
      <c r="AD165" s="62"/>
      <c r="AE165" s="140"/>
      <c r="AF165" s="189" t="str">
        <f t="shared" si="3"/>
        <v/>
      </c>
      <c r="AG165" s="304" t="b">
        <f t="shared" si="4"/>
        <v>0</v>
      </c>
      <c r="AH165" s="9"/>
      <c r="AI165" s="145">
        <f t="shared" si="2"/>
        <v>0</v>
      </c>
      <c r="AJ165" s="147" t="s">
        <v>36</v>
      </c>
    </row>
    <row r="166" spans="1:36" ht="30" customHeight="1">
      <c r="A166" s="176"/>
      <c r="B166" s="176"/>
      <c r="C166" s="176"/>
      <c r="D166" s="176"/>
      <c r="E166" s="176"/>
      <c r="F166" s="176"/>
      <c r="G166" s="176"/>
      <c r="H166" s="176"/>
      <c r="I166" s="176"/>
      <c r="J166" s="176"/>
      <c r="K166" s="176"/>
      <c r="L166" s="176"/>
      <c r="M166" s="176"/>
      <c r="N166" s="176"/>
      <c r="O166" s="152"/>
      <c r="P166" s="90"/>
      <c r="Q166" s="140"/>
      <c r="R166" s="90"/>
      <c r="S166" s="140"/>
      <c r="T166" s="90"/>
      <c r="U166" s="140"/>
      <c r="V166" s="90"/>
      <c r="W166" s="140"/>
      <c r="X166" s="90"/>
      <c r="Y166" s="140"/>
      <c r="Z166" s="90"/>
      <c r="AA166" s="140"/>
      <c r="AB166" s="62"/>
      <c r="AC166" s="140"/>
      <c r="AD166" s="62"/>
      <c r="AE166" s="140"/>
      <c r="AF166" s="189" t="str">
        <f t="shared" si="3"/>
        <v/>
      </c>
      <c r="AG166" s="304" t="b">
        <f t="shared" si="4"/>
        <v>0</v>
      </c>
      <c r="AH166" s="9"/>
      <c r="AI166" s="145">
        <f t="shared" si="2"/>
        <v>0</v>
      </c>
      <c r="AJ166" s="147" t="s">
        <v>36</v>
      </c>
    </row>
    <row r="167" spans="1:36" ht="30" customHeight="1">
      <c r="A167" s="176"/>
      <c r="B167" s="176"/>
      <c r="C167" s="176"/>
      <c r="D167" s="176"/>
      <c r="E167" s="176"/>
      <c r="F167" s="176"/>
      <c r="G167" s="176"/>
      <c r="H167" s="176"/>
      <c r="I167" s="176"/>
      <c r="J167" s="176"/>
      <c r="K167" s="176"/>
      <c r="L167" s="176"/>
      <c r="M167" s="176"/>
      <c r="N167" s="176"/>
      <c r="O167" s="152"/>
      <c r="P167" s="90"/>
      <c r="Q167" s="140"/>
      <c r="R167" s="90"/>
      <c r="S167" s="140"/>
      <c r="T167" s="90"/>
      <c r="U167" s="140"/>
      <c r="V167" s="90"/>
      <c r="W167" s="140"/>
      <c r="X167" s="90"/>
      <c r="Y167" s="140"/>
      <c r="Z167" s="90"/>
      <c r="AA167" s="140"/>
      <c r="AB167" s="62"/>
      <c r="AC167" s="140"/>
      <c r="AD167" s="62"/>
      <c r="AE167" s="140"/>
      <c r="AF167" s="189" t="str">
        <f t="shared" si="3"/>
        <v/>
      </c>
      <c r="AG167" s="304" t="b">
        <f t="shared" si="4"/>
        <v>0</v>
      </c>
      <c r="AH167" s="9"/>
      <c r="AI167" s="145">
        <f t="shared" si="2"/>
        <v>0</v>
      </c>
      <c r="AJ167" s="147" t="s">
        <v>36</v>
      </c>
    </row>
    <row r="168" spans="1:36" ht="30" customHeight="1">
      <c r="A168" s="176"/>
      <c r="B168" s="176"/>
      <c r="C168" s="176"/>
      <c r="D168" s="176"/>
      <c r="E168" s="176"/>
      <c r="F168" s="176"/>
      <c r="G168" s="176"/>
      <c r="H168" s="176"/>
      <c r="I168" s="176"/>
      <c r="J168" s="176"/>
      <c r="K168" s="184"/>
      <c r="L168" s="176"/>
      <c r="M168" s="176"/>
      <c r="N168" s="176"/>
      <c r="O168" s="152"/>
      <c r="P168" s="90"/>
      <c r="Q168" s="140"/>
      <c r="R168" s="90"/>
      <c r="S168" s="140"/>
      <c r="T168" s="90"/>
      <c r="U168" s="140"/>
      <c r="V168" s="90"/>
      <c r="W168" s="140"/>
      <c r="X168" s="90"/>
      <c r="Y168" s="140"/>
      <c r="Z168" s="90"/>
      <c r="AA168" s="140"/>
      <c r="AB168" s="62"/>
      <c r="AC168" s="140"/>
      <c r="AD168" s="62"/>
      <c r="AE168" s="140"/>
      <c r="AF168" s="189" t="str">
        <f t="shared" si="3"/>
        <v/>
      </c>
      <c r="AG168" s="304" t="b">
        <f t="shared" si="4"/>
        <v>0</v>
      </c>
      <c r="AH168" s="9"/>
      <c r="AI168" s="145">
        <f t="shared" si="2"/>
        <v>0</v>
      </c>
      <c r="AJ168" s="147" t="s">
        <v>36</v>
      </c>
    </row>
    <row r="169" spans="1:36" ht="30" customHeight="1">
      <c r="A169" s="176"/>
      <c r="B169" s="176"/>
      <c r="C169" s="176"/>
      <c r="D169" s="176"/>
      <c r="E169" s="176"/>
      <c r="F169" s="176"/>
      <c r="G169" s="176"/>
      <c r="H169" s="176"/>
      <c r="I169" s="176"/>
      <c r="J169" s="176"/>
      <c r="K169" s="176"/>
      <c r="L169" s="176"/>
      <c r="M169" s="176"/>
      <c r="N169" s="176"/>
      <c r="O169" s="152"/>
      <c r="P169" s="90"/>
      <c r="Q169" s="140"/>
      <c r="R169" s="90"/>
      <c r="S169" s="140"/>
      <c r="T169" s="90"/>
      <c r="U169" s="140"/>
      <c r="V169" s="90"/>
      <c r="W169" s="140"/>
      <c r="X169" s="90"/>
      <c r="Y169" s="140"/>
      <c r="Z169" s="90"/>
      <c r="AA169" s="140"/>
      <c r="AB169" s="62"/>
      <c r="AC169" s="140"/>
      <c r="AD169" s="62"/>
      <c r="AE169" s="140"/>
      <c r="AF169" s="189" t="str">
        <f t="shared" si="3"/>
        <v/>
      </c>
      <c r="AG169" s="304" t="b">
        <f t="shared" si="4"/>
        <v>0</v>
      </c>
      <c r="AH169" s="9"/>
      <c r="AI169" s="145">
        <f t="shared" si="2"/>
        <v>0</v>
      </c>
      <c r="AJ169" s="147" t="s">
        <v>36</v>
      </c>
    </row>
    <row r="170" spans="1:36" ht="30" customHeight="1">
      <c r="A170" s="176"/>
      <c r="B170" s="176"/>
      <c r="C170" s="176"/>
      <c r="D170" s="176"/>
      <c r="E170" s="176"/>
      <c r="F170" s="176"/>
      <c r="G170" s="176"/>
      <c r="H170" s="176"/>
      <c r="I170" s="176"/>
      <c r="J170" s="176"/>
      <c r="K170" s="176"/>
      <c r="L170" s="176"/>
      <c r="M170" s="176"/>
      <c r="N170" s="176"/>
      <c r="O170" s="152"/>
      <c r="P170" s="90"/>
      <c r="Q170" s="140"/>
      <c r="R170" s="90"/>
      <c r="S170" s="140"/>
      <c r="T170" s="90"/>
      <c r="U170" s="140"/>
      <c r="V170" s="90"/>
      <c r="W170" s="140"/>
      <c r="X170" s="90"/>
      <c r="Y170" s="140"/>
      <c r="Z170" s="90"/>
      <c r="AA170" s="140"/>
      <c r="AB170" s="62"/>
      <c r="AC170" s="140"/>
      <c r="AD170" s="62"/>
      <c r="AE170" s="140"/>
      <c r="AF170" s="189" t="str">
        <f t="shared" si="3"/>
        <v/>
      </c>
      <c r="AG170" s="304" t="b">
        <f t="shared" si="4"/>
        <v>0</v>
      </c>
      <c r="AH170" s="9"/>
      <c r="AI170" s="145">
        <f t="shared" si="2"/>
        <v>0</v>
      </c>
      <c r="AJ170" s="147" t="s">
        <v>36</v>
      </c>
    </row>
    <row r="171" spans="1:36" ht="30" customHeight="1">
      <c r="A171" s="176"/>
      <c r="B171" s="176"/>
      <c r="C171" s="176"/>
      <c r="D171" s="176"/>
      <c r="E171" s="176"/>
      <c r="F171" s="176"/>
      <c r="G171" s="176"/>
      <c r="H171" s="176"/>
      <c r="I171" s="176"/>
      <c r="J171" s="176"/>
      <c r="K171" s="176"/>
      <c r="L171" s="176"/>
      <c r="M171" s="176"/>
      <c r="N171" s="176"/>
      <c r="O171" s="152"/>
      <c r="P171" s="90"/>
      <c r="Q171" s="140"/>
      <c r="R171" s="90"/>
      <c r="S171" s="140"/>
      <c r="T171" s="90"/>
      <c r="U171" s="140"/>
      <c r="V171" s="90"/>
      <c r="W171" s="140"/>
      <c r="X171" s="90"/>
      <c r="Y171" s="140"/>
      <c r="Z171" s="90"/>
      <c r="AA171" s="140"/>
      <c r="AB171" s="62"/>
      <c r="AC171" s="140"/>
      <c r="AD171" s="62"/>
      <c r="AE171" s="140"/>
      <c r="AF171" s="189" t="str">
        <f t="shared" si="3"/>
        <v/>
      </c>
      <c r="AG171" s="304" t="b">
        <f t="shared" si="4"/>
        <v>0</v>
      </c>
      <c r="AH171" s="9"/>
      <c r="AI171" s="145">
        <f t="shared" si="2"/>
        <v>0</v>
      </c>
      <c r="AJ171" s="147" t="s">
        <v>36</v>
      </c>
    </row>
    <row r="172" spans="1:36" ht="30" customHeight="1">
      <c r="A172" s="176"/>
      <c r="B172" s="176"/>
      <c r="C172" s="176"/>
      <c r="D172" s="176"/>
      <c r="E172" s="176"/>
      <c r="F172" s="176"/>
      <c r="G172" s="176"/>
      <c r="H172" s="176"/>
      <c r="I172" s="176"/>
      <c r="J172" s="176"/>
      <c r="K172" s="176"/>
      <c r="L172" s="176"/>
      <c r="M172" s="176"/>
      <c r="N172" s="176"/>
      <c r="O172" s="152"/>
      <c r="P172" s="90"/>
      <c r="Q172" s="140"/>
      <c r="R172" s="90"/>
      <c r="S172" s="140"/>
      <c r="T172" s="90"/>
      <c r="U172" s="140"/>
      <c r="V172" s="90"/>
      <c r="W172" s="140"/>
      <c r="X172" s="90"/>
      <c r="Y172" s="140"/>
      <c r="Z172" s="90"/>
      <c r="AA172" s="140"/>
      <c r="AB172" s="62"/>
      <c r="AC172" s="140"/>
      <c r="AD172" s="62"/>
      <c r="AE172" s="140"/>
      <c r="AF172" s="189" t="str">
        <f t="shared" si="3"/>
        <v/>
      </c>
      <c r="AG172" s="304" t="b">
        <f t="shared" si="4"/>
        <v>0</v>
      </c>
      <c r="AH172" s="9"/>
      <c r="AI172" s="145">
        <f t="shared" si="2"/>
        <v>0</v>
      </c>
      <c r="AJ172" s="147" t="s">
        <v>36</v>
      </c>
    </row>
    <row r="173" spans="1:36" ht="30" customHeight="1">
      <c r="A173" s="176"/>
      <c r="B173" s="176"/>
      <c r="C173" s="176"/>
      <c r="D173" s="176"/>
      <c r="E173" s="176"/>
      <c r="F173" s="176"/>
      <c r="G173" s="176"/>
      <c r="H173" s="176"/>
      <c r="I173" s="176"/>
      <c r="J173" s="176"/>
      <c r="K173" s="176"/>
      <c r="L173" s="176"/>
      <c r="M173" s="176"/>
      <c r="N173" s="176"/>
      <c r="O173" s="152"/>
      <c r="P173" s="90"/>
      <c r="Q173" s="140"/>
      <c r="R173" s="90"/>
      <c r="S173" s="140"/>
      <c r="T173" s="90"/>
      <c r="U173" s="140"/>
      <c r="V173" s="90"/>
      <c r="W173" s="140"/>
      <c r="X173" s="90"/>
      <c r="Y173" s="140"/>
      <c r="Z173" s="90"/>
      <c r="AA173" s="140"/>
      <c r="AB173" s="62"/>
      <c r="AC173" s="140"/>
      <c r="AD173" s="62"/>
      <c r="AE173" s="140"/>
      <c r="AF173" s="189" t="str">
        <f t="shared" si="3"/>
        <v/>
      </c>
      <c r="AG173" s="304" t="b">
        <f t="shared" si="4"/>
        <v>0</v>
      </c>
      <c r="AH173" s="9"/>
      <c r="AI173" s="145">
        <f t="shared" si="2"/>
        <v>0</v>
      </c>
      <c r="AJ173" s="147" t="s">
        <v>36</v>
      </c>
    </row>
    <row r="174" spans="1:36" ht="30" customHeight="1">
      <c r="A174" s="176"/>
      <c r="B174" s="176"/>
      <c r="C174" s="176"/>
      <c r="D174" s="176"/>
      <c r="E174" s="176"/>
      <c r="F174" s="176"/>
      <c r="G174" s="176"/>
      <c r="H174" s="176"/>
      <c r="I174" s="176"/>
      <c r="J174" s="176"/>
      <c r="K174" s="176"/>
      <c r="L174" s="176"/>
      <c r="M174" s="176"/>
      <c r="N174" s="176"/>
      <c r="O174" s="152"/>
      <c r="P174" s="90"/>
      <c r="Q174" s="140"/>
      <c r="R174" s="90"/>
      <c r="S174" s="140"/>
      <c r="T174" s="90"/>
      <c r="U174" s="140"/>
      <c r="V174" s="90"/>
      <c r="W174" s="140"/>
      <c r="X174" s="90"/>
      <c r="Y174" s="140"/>
      <c r="Z174" s="90"/>
      <c r="AA174" s="140"/>
      <c r="AB174" s="62"/>
      <c r="AC174" s="140"/>
      <c r="AD174" s="62"/>
      <c r="AE174" s="140"/>
      <c r="AF174" s="189" t="str">
        <f t="shared" si="3"/>
        <v/>
      </c>
      <c r="AG174" s="304" t="b">
        <f t="shared" si="4"/>
        <v>0</v>
      </c>
      <c r="AH174" s="9"/>
      <c r="AI174" s="145">
        <f t="shared" si="2"/>
        <v>0</v>
      </c>
      <c r="AJ174" s="147" t="s">
        <v>36</v>
      </c>
    </row>
    <row r="175" spans="1:36" ht="30" customHeight="1">
      <c r="A175" s="176"/>
      <c r="B175" s="176"/>
      <c r="C175" s="176"/>
      <c r="D175" s="176"/>
      <c r="E175" s="176"/>
      <c r="F175" s="176"/>
      <c r="G175" s="176"/>
      <c r="H175" s="176"/>
      <c r="I175" s="176"/>
      <c r="J175" s="176"/>
      <c r="K175" s="176"/>
      <c r="L175" s="176"/>
      <c r="M175" s="176"/>
      <c r="N175" s="176"/>
      <c r="O175" s="152"/>
      <c r="P175" s="90"/>
      <c r="Q175" s="140"/>
      <c r="R175" s="90"/>
      <c r="S175" s="140"/>
      <c r="T175" s="90"/>
      <c r="U175" s="140"/>
      <c r="V175" s="90"/>
      <c r="W175" s="140"/>
      <c r="X175" s="90"/>
      <c r="Y175" s="140"/>
      <c r="Z175" s="90"/>
      <c r="AA175" s="140"/>
      <c r="AB175" s="62"/>
      <c r="AC175" s="140"/>
      <c r="AD175" s="62"/>
      <c r="AE175" s="140"/>
      <c r="AF175" s="189" t="str">
        <f t="shared" si="3"/>
        <v/>
      </c>
      <c r="AG175" s="304" t="b">
        <f t="shared" si="4"/>
        <v>0</v>
      </c>
      <c r="AH175" s="9"/>
      <c r="AI175" s="145">
        <f t="shared" si="2"/>
        <v>0</v>
      </c>
      <c r="AJ175" s="147" t="s">
        <v>36</v>
      </c>
    </row>
    <row r="176" spans="1:36" ht="30" customHeight="1">
      <c r="A176" s="176"/>
      <c r="B176" s="176"/>
      <c r="C176" s="176"/>
      <c r="D176" s="176"/>
      <c r="E176" s="176"/>
      <c r="F176" s="176"/>
      <c r="G176" s="176"/>
      <c r="H176" s="176"/>
      <c r="I176" s="176"/>
      <c r="J176" s="176"/>
      <c r="K176" s="176"/>
      <c r="L176" s="176"/>
      <c r="M176" s="176"/>
      <c r="N176" s="176"/>
      <c r="O176" s="152"/>
      <c r="P176" s="90"/>
      <c r="Q176" s="140"/>
      <c r="R176" s="90"/>
      <c r="S176" s="140"/>
      <c r="T176" s="90"/>
      <c r="U176" s="140"/>
      <c r="V176" s="90"/>
      <c r="W176" s="140"/>
      <c r="X176" s="90"/>
      <c r="Y176" s="140"/>
      <c r="Z176" s="90"/>
      <c r="AA176" s="140"/>
      <c r="AB176" s="62"/>
      <c r="AC176" s="140"/>
      <c r="AD176" s="62"/>
      <c r="AE176" s="140"/>
      <c r="AF176" s="189" t="str">
        <f t="shared" si="3"/>
        <v/>
      </c>
      <c r="AG176" s="304" t="b">
        <f t="shared" si="4"/>
        <v>0</v>
      </c>
      <c r="AH176" s="9"/>
      <c r="AI176" s="145">
        <f t="shared" si="2"/>
        <v>0</v>
      </c>
      <c r="AJ176" s="147" t="s">
        <v>36</v>
      </c>
    </row>
    <row r="177" spans="1:36" ht="30" customHeight="1">
      <c r="A177" s="176"/>
      <c r="B177" s="176"/>
      <c r="C177" s="176"/>
      <c r="D177" s="176"/>
      <c r="E177" s="176"/>
      <c r="F177" s="176"/>
      <c r="G177" s="176"/>
      <c r="H177" s="176"/>
      <c r="I177" s="176"/>
      <c r="J177" s="176"/>
      <c r="K177" s="176"/>
      <c r="L177" s="176"/>
      <c r="M177" s="176"/>
      <c r="N177" s="176"/>
      <c r="O177" s="152"/>
      <c r="P177" s="90"/>
      <c r="Q177" s="140"/>
      <c r="R177" s="90"/>
      <c r="S177" s="140"/>
      <c r="T177" s="90"/>
      <c r="U177" s="140"/>
      <c r="V177" s="90"/>
      <c r="W177" s="140"/>
      <c r="X177" s="90"/>
      <c r="Y177" s="140"/>
      <c r="Z177" s="90"/>
      <c r="AA177" s="140"/>
      <c r="AB177" s="62"/>
      <c r="AC177" s="140"/>
      <c r="AD177" s="62"/>
      <c r="AE177" s="140"/>
      <c r="AF177" s="189" t="str">
        <f t="shared" si="3"/>
        <v/>
      </c>
      <c r="AG177" s="304" t="b">
        <f t="shared" si="4"/>
        <v>0</v>
      </c>
      <c r="AH177" s="9"/>
      <c r="AI177" s="145">
        <f t="shared" si="2"/>
        <v>0</v>
      </c>
      <c r="AJ177" s="147" t="s">
        <v>36</v>
      </c>
    </row>
    <row r="178" spans="1:36" ht="30" customHeight="1">
      <c r="A178" s="176"/>
      <c r="B178" s="176"/>
      <c r="C178" s="176"/>
      <c r="D178" s="176"/>
      <c r="E178" s="176"/>
      <c r="F178" s="176"/>
      <c r="G178" s="176"/>
      <c r="H178" s="176"/>
      <c r="I178" s="176"/>
      <c r="J178" s="176"/>
      <c r="K178" s="176"/>
      <c r="L178" s="176"/>
      <c r="M178" s="176"/>
      <c r="N178" s="176"/>
      <c r="O178" s="152"/>
      <c r="P178" s="90"/>
      <c r="Q178" s="140"/>
      <c r="R178" s="90"/>
      <c r="S178" s="140"/>
      <c r="T178" s="90"/>
      <c r="U178" s="140"/>
      <c r="V178" s="90"/>
      <c r="W178" s="140"/>
      <c r="X178" s="90"/>
      <c r="Y178" s="140"/>
      <c r="Z178" s="90"/>
      <c r="AA178" s="140"/>
      <c r="AB178" s="62"/>
      <c r="AC178" s="140"/>
      <c r="AD178" s="62"/>
      <c r="AE178" s="140"/>
      <c r="AF178" s="189" t="str">
        <f t="shared" si="3"/>
        <v/>
      </c>
      <c r="AG178" s="304" t="b">
        <f t="shared" si="4"/>
        <v>0</v>
      </c>
      <c r="AH178" s="9"/>
      <c r="AI178" s="145">
        <f t="shared" si="2"/>
        <v>0</v>
      </c>
      <c r="AJ178" s="147" t="s">
        <v>36</v>
      </c>
    </row>
    <row r="179" spans="1:36" ht="30" customHeight="1">
      <c r="A179" s="176"/>
      <c r="B179" s="176"/>
      <c r="C179" s="176"/>
      <c r="D179" s="176"/>
      <c r="E179" s="176"/>
      <c r="F179" s="176"/>
      <c r="G179" s="176"/>
      <c r="H179" s="176"/>
      <c r="I179" s="176"/>
      <c r="J179" s="176"/>
      <c r="K179" s="176"/>
      <c r="L179" s="176"/>
      <c r="M179" s="176"/>
      <c r="N179" s="176"/>
      <c r="O179" s="152"/>
      <c r="P179" s="90"/>
      <c r="Q179" s="140"/>
      <c r="R179" s="90"/>
      <c r="S179" s="140"/>
      <c r="T179" s="90"/>
      <c r="U179" s="140"/>
      <c r="V179" s="90"/>
      <c r="W179" s="140"/>
      <c r="X179" s="90"/>
      <c r="Y179" s="140"/>
      <c r="Z179" s="90"/>
      <c r="AA179" s="140"/>
      <c r="AB179" s="62"/>
      <c r="AC179" s="140"/>
      <c r="AD179" s="62"/>
      <c r="AE179" s="140"/>
      <c r="AF179" s="189" t="str">
        <f t="shared" si="3"/>
        <v/>
      </c>
      <c r="AG179" s="304" t="b">
        <f t="shared" si="4"/>
        <v>0</v>
      </c>
      <c r="AH179" s="9"/>
      <c r="AI179" s="145">
        <f t="shared" si="2"/>
        <v>0</v>
      </c>
      <c r="AJ179" s="147" t="s">
        <v>36</v>
      </c>
    </row>
    <row r="180" spans="1:36" ht="30" customHeight="1">
      <c r="A180" s="176"/>
      <c r="B180" s="176"/>
      <c r="C180" s="176"/>
      <c r="D180" s="176"/>
      <c r="E180" s="176"/>
      <c r="F180" s="176"/>
      <c r="G180" s="176"/>
      <c r="H180" s="176"/>
      <c r="I180" s="176"/>
      <c r="J180" s="176"/>
      <c r="K180" s="176"/>
      <c r="L180" s="176"/>
      <c r="M180" s="176"/>
      <c r="N180" s="176"/>
      <c r="O180" s="152"/>
      <c r="P180" s="90"/>
      <c r="Q180" s="140"/>
      <c r="R180" s="90"/>
      <c r="S180" s="140"/>
      <c r="T180" s="90"/>
      <c r="U180" s="140"/>
      <c r="V180" s="90"/>
      <c r="W180" s="140"/>
      <c r="X180" s="90"/>
      <c r="Y180" s="140"/>
      <c r="Z180" s="90"/>
      <c r="AA180" s="140"/>
      <c r="AB180" s="62"/>
      <c r="AC180" s="140"/>
      <c r="AD180" s="62"/>
      <c r="AE180" s="140"/>
      <c r="AF180" s="189" t="str">
        <f t="shared" si="3"/>
        <v/>
      </c>
      <c r="AG180" s="304" t="b">
        <f t="shared" si="4"/>
        <v>0</v>
      </c>
      <c r="AH180" s="9"/>
      <c r="AI180" s="145">
        <f t="shared" si="2"/>
        <v>0</v>
      </c>
      <c r="AJ180" s="147" t="s">
        <v>36</v>
      </c>
    </row>
    <row r="181" spans="1:36" ht="30" customHeight="1">
      <c r="A181" s="176"/>
      <c r="B181" s="176"/>
      <c r="C181" s="176"/>
      <c r="D181" s="176"/>
      <c r="E181" s="176"/>
      <c r="F181" s="176"/>
      <c r="G181" s="176"/>
      <c r="H181" s="176"/>
      <c r="I181" s="176"/>
      <c r="J181" s="176"/>
      <c r="K181" s="176"/>
      <c r="L181" s="176"/>
      <c r="M181" s="176"/>
      <c r="N181" s="176"/>
      <c r="O181" s="152"/>
      <c r="P181" s="90"/>
      <c r="Q181" s="140"/>
      <c r="R181" s="90"/>
      <c r="S181" s="140"/>
      <c r="T181" s="90"/>
      <c r="U181" s="140"/>
      <c r="V181" s="90"/>
      <c r="W181" s="140"/>
      <c r="X181" s="90"/>
      <c r="Y181" s="140"/>
      <c r="Z181" s="90"/>
      <c r="AA181" s="140"/>
      <c r="AB181" s="62"/>
      <c r="AC181" s="140"/>
      <c r="AD181" s="62"/>
      <c r="AE181" s="140"/>
      <c r="AF181" s="189" t="str">
        <f t="shared" si="3"/>
        <v/>
      </c>
      <c r="AG181" s="304" t="b">
        <f t="shared" si="4"/>
        <v>0</v>
      </c>
      <c r="AH181" s="9"/>
      <c r="AI181" s="145">
        <f t="shared" si="2"/>
        <v>0</v>
      </c>
      <c r="AJ181" s="147" t="s">
        <v>36</v>
      </c>
    </row>
    <row r="182" spans="1:36" ht="30" customHeight="1">
      <c r="A182" s="176"/>
      <c r="B182" s="176"/>
      <c r="C182" s="176"/>
      <c r="D182" s="176"/>
      <c r="E182" s="176"/>
      <c r="F182" s="176"/>
      <c r="G182" s="176"/>
      <c r="H182" s="176"/>
      <c r="I182" s="176"/>
      <c r="J182" s="176"/>
      <c r="K182" s="176"/>
      <c r="L182" s="176"/>
      <c r="M182" s="176"/>
      <c r="N182" s="176"/>
      <c r="O182" s="152"/>
      <c r="P182" s="90"/>
      <c r="Q182" s="140"/>
      <c r="R182" s="90"/>
      <c r="S182" s="140"/>
      <c r="T182" s="90"/>
      <c r="U182" s="140"/>
      <c r="V182" s="90"/>
      <c r="W182" s="140"/>
      <c r="X182" s="90"/>
      <c r="Y182" s="140"/>
      <c r="Z182" s="90"/>
      <c r="AA182" s="140"/>
      <c r="AB182" s="62"/>
      <c r="AC182" s="140"/>
      <c r="AD182" s="62"/>
      <c r="AE182" s="140"/>
      <c r="AF182" s="189" t="str">
        <f t="shared" si="3"/>
        <v/>
      </c>
      <c r="AG182" s="304" t="b">
        <f t="shared" si="4"/>
        <v>0</v>
      </c>
      <c r="AH182" s="9"/>
      <c r="AI182" s="145">
        <f t="shared" si="2"/>
        <v>0</v>
      </c>
      <c r="AJ182" s="147" t="s">
        <v>36</v>
      </c>
    </row>
    <row r="183" spans="1:36" ht="30" customHeight="1">
      <c r="A183" s="176"/>
      <c r="B183" s="176"/>
      <c r="C183" s="176"/>
      <c r="D183" s="176"/>
      <c r="E183" s="176"/>
      <c r="F183" s="176"/>
      <c r="G183" s="176"/>
      <c r="H183" s="176"/>
      <c r="I183" s="176"/>
      <c r="J183" s="176"/>
      <c r="K183" s="176"/>
      <c r="L183" s="176"/>
      <c r="M183" s="176"/>
      <c r="N183" s="176"/>
      <c r="O183" s="152"/>
      <c r="P183" s="90"/>
      <c r="Q183" s="140"/>
      <c r="R183" s="90"/>
      <c r="S183" s="140"/>
      <c r="T183" s="90"/>
      <c r="U183" s="140"/>
      <c r="V183" s="90"/>
      <c r="W183" s="140"/>
      <c r="X183" s="90"/>
      <c r="Y183" s="140"/>
      <c r="Z183" s="90"/>
      <c r="AA183" s="140"/>
      <c r="AB183" s="62"/>
      <c r="AC183" s="140"/>
      <c r="AD183" s="62"/>
      <c r="AE183" s="140"/>
      <c r="AF183" s="189" t="str">
        <f t="shared" si="3"/>
        <v/>
      </c>
      <c r="AG183" s="304" t="b">
        <f t="shared" si="4"/>
        <v>0</v>
      </c>
      <c r="AH183" s="9"/>
      <c r="AI183" s="145">
        <f t="shared" si="2"/>
        <v>0</v>
      </c>
      <c r="AJ183" s="147" t="s">
        <v>36</v>
      </c>
    </row>
    <row r="184" spans="1:36" ht="30" customHeight="1">
      <c r="A184" s="90"/>
      <c r="B184" s="90"/>
      <c r="C184" s="90"/>
      <c r="D184" s="90"/>
      <c r="E184" s="90"/>
      <c r="F184" s="90"/>
      <c r="G184" s="90"/>
      <c r="H184" s="90"/>
      <c r="I184" s="90"/>
      <c r="J184" s="90"/>
      <c r="K184" s="90"/>
      <c r="L184" s="90"/>
      <c r="M184" s="90"/>
      <c r="N184" s="150"/>
      <c r="O184" s="152"/>
      <c r="P184" s="90"/>
      <c r="Q184" s="140"/>
      <c r="R184" s="90"/>
      <c r="S184" s="140"/>
      <c r="T184" s="90"/>
      <c r="U184" s="140"/>
      <c r="V184" s="90"/>
      <c r="W184" s="140"/>
      <c r="X184" s="90"/>
      <c r="Y184" s="140"/>
      <c r="Z184" s="90"/>
      <c r="AA184" s="140"/>
      <c r="AB184" s="62"/>
      <c r="AC184" s="140"/>
      <c r="AD184" s="62"/>
      <c r="AE184" s="140"/>
      <c r="AF184" s="189" t="str">
        <f t="shared" si="3"/>
        <v/>
      </c>
      <c r="AG184" s="304" t="b">
        <f t="shared" si="4"/>
        <v>0</v>
      </c>
      <c r="AH184" s="9"/>
      <c r="AI184" s="145">
        <f t="shared" ref="AI184:AI247" si="5">E184</f>
        <v>0</v>
      </c>
      <c r="AJ184" s="147" t="s">
        <v>36</v>
      </c>
    </row>
    <row r="185" spans="1:36" ht="30" customHeight="1">
      <c r="A185" s="90"/>
      <c r="B185" s="90"/>
      <c r="C185" s="90"/>
      <c r="D185" s="90"/>
      <c r="E185" s="90"/>
      <c r="F185" s="90"/>
      <c r="G185" s="90"/>
      <c r="H185" s="90"/>
      <c r="I185" s="90"/>
      <c r="J185" s="90"/>
      <c r="K185" s="90"/>
      <c r="L185" s="90"/>
      <c r="M185" s="90"/>
      <c r="N185" s="150"/>
      <c r="O185" s="152"/>
      <c r="P185" s="90"/>
      <c r="Q185" s="140"/>
      <c r="R185" s="90"/>
      <c r="S185" s="140"/>
      <c r="T185" s="90"/>
      <c r="U185" s="140"/>
      <c r="V185" s="90"/>
      <c r="W185" s="140"/>
      <c r="X185" s="90"/>
      <c r="Y185" s="140"/>
      <c r="Z185" s="90"/>
      <c r="AA185" s="140"/>
      <c r="AB185" s="62"/>
      <c r="AC185" s="140"/>
      <c r="AD185" s="62"/>
      <c r="AE185" s="140"/>
      <c r="AF185" s="189" t="str">
        <f t="shared" si="3"/>
        <v/>
      </c>
      <c r="AG185" s="304" t="b">
        <f t="shared" si="4"/>
        <v>0</v>
      </c>
      <c r="AH185" s="9"/>
      <c r="AI185" s="145">
        <f t="shared" si="5"/>
        <v>0</v>
      </c>
      <c r="AJ185" s="147" t="s">
        <v>36</v>
      </c>
    </row>
    <row r="186" spans="1:36" ht="30" customHeight="1">
      <c r="A186" s="90"/>
      <c r="B186" s="90"/>
      <c r="C186" s="90"/>
      <c r="D186" s="90"/>
      <c r="E186" s="90"/>
      <c r="F186" s="90"/>
      <c r="G186" s="90"/>
      <c r="H186" s="90"/>
      <c r="I186" s="90"/>
      <c r="J186" s="90"/>
      <c r="K186" s="90"/>
      <c r="L186" s="90"/>
      <c r="M186" s="90"/>
      <c r="N186" s="150"/>
      <c r="O186" s="152"/>
      <c r="P186" s="90"/>
      <c r="Q186" s="140"/>
      <c r="R186" s="90"/>
      <c r="S186" s="140"/>
      <c r="T186" s="90"/>
      <c r="U186" s="140"/>
      <c r="V186" s="90"/>
      <c r="W186" s="140"/>
      <c r="X186" s="90"/>
      <c r="Y186" s="140"/>
      <c r="Z186" s="90"/>
      <c r="AA186" s="140"/>
      <c r="AB186" s="62"/>
      <c r="AC186" s="140"/>
      <c r="AD186" s="62"/>
      <c r="AE186" s="140"/>
      <c r="AF186" s="189" t="str">
        <f t="shared" si="3"/>
        <v/>
      </c>
      <c r="AG186" s="304" t="b">
        <f t="shared" si="4"/>
        <v>0</v>
      </c>
      <c r="AH186" s="9"/>
      <c r="AI186" s="145">
        <f t="shared" si="5"/>
        <v>0</v>
      </c>
      <c r="AJ186" s="147" t="s">
        <v>36</v>
      </c>
    </row>
    <row r="187" spans="1:36" ht="30" customHeight="1">
      <c r="A187" s="90"/>
      <c r="B187" s="90"/>
      <c r="C187" s="90"/>
      <c r="D187" s="90"/>
      <c r="E187" s="90"/>
      <c r="F187" s="90"/>
      <c r="G187" s="90"/>
      <c r="H187" s="90"/>
      <c r="I187" s="90"/>
      <c r="J187" s="90"/>
      <c r="K187" s="90"/>
      <c r="L187" s="90"/>
      <c r="M187" s="90"/>
      <c r="N187" s="150"/>
      <c r="O187" s="152"/>
      <c r="P187" s="90"/>
      <c r="Q187" s="140"/>
      <c r="R187" s="90"/>
      <c r="S187" s="140"/>
      <c r="T187" s="90"/>
      <c r="U187" s="140"/>
      <c r="V187" s="90"/>
      <c r="W187" s="140"/>
      <c r="X187" s="90"/>
      <c r="Y187" s="140"/>
      <c r="Z187" s="90"/>
      <c r="AA187" s="140"/>
      <c r="AB187" s="62"/>
      <c r="AC187" s="140"/>
      <c r="AD187" s="62"/>
      <c r="AE187" s="140"/>
      <c r="AF187" s="189" t="str">
        <f t="shared" si="3"/>
        <v/>
      </c>
      <c r="AG187" s="304" t="b">
        <f t="shared" si="4"/>
        <v>0</v>
      </c>
      <c r="AH187" s="9"/>
      <c r="AI187" s="145">
        <f t="shared" si="5"/>
        <v>0</v>
      </c>
      <c r="AJ187" s="147" t="s">
        <v>36</v>
      </c>
    </row>
    <row r="188" spans="1:36" ht="30" customHeight="1">
      <c r="A188" s="90"/>
      <c r="B188" s="90"/>
      <c r="C188" s="90"/>
      <c r="D188" s="90"/>
      <c r="E188" s="90"/>
      <c r="F188" s="90"/>
      <c r="G188" s="90"/>
      <c r="H188" s="90"/>
      <c r="I188" s="90"/>
      <c r="J188" s="90"/>
      <c r="K188" s="90"/>
      <c r="L188" s="90"/>
      <c r="M188" s="90"/>
      <c r="N188" s="150"/>
      <c r="O188" s="152"/>
      <c r="P188" s="90"/>
      <c r="Q188" s="140"/>
      <c r="R188" s="90"/>
      <c r="S188" s="140"/>
      <c r="T188" s="90"/>
      <c r="U188" s="140"/>
      <c r="V188" s="90"/>
      <c r="W188" s="140"/>
      <c r="X188" s="90"/>
      <c r="Y188" s="140"/>
      <c r="Z188" s="90"/>
      <c r="AA188" s="140"/>
      <c r="AB188" s="62"/>
      <c r="AC188" s="140"/>
      <c r="AD188" s="62"/>
      <c r="AE188" s="140"/>
      <c r="AF188" s="189" t="str">
        <f t="shared" si="3"/>
        <v/>
      </c>
      <c r="AG188" s="304" t="b">
        <f t="shared" si="4"/>
        <v>0</v>
      </c>
      <c r="AH188" s="9"/>
      <c r="AI188" s="145">
        <f t="shared" si="5"/>
        <v>0</v>
      </c>
      <c r="AJ188" s="147" t="s">
        <v>36</v>
      </c>
    </row>
    <row r="189" spans="1:36" ht="30" customHeight="1">
      <c r="A189" s="90"/>
      <c r="B189" s="90"/>
      <c r="C189" s="90"/>
      <c r="D189" s="90"/>
      <c r="E189" s="90"/>
      <c r="F189" s="90"/>
      <c r="G189" s="90"/>
      <c r="H189" s="90"/>
      <c r="I189" s="90"/>
      <c r="J189" s="90"/>
      <c r="K189" s="90"/>
      <c r="L189" s="90"/>
      <c r="M189" s="90"/>
      <c r="N189" s="150"/>
      <c r="O189" s="152"/>
      <c r="P189" s="90"/>
      <c r="Q189" s="140"/>
      <c r="R189" s="90"/>
      <c r="S189" s="140"/>
      <c r="T189" s="90"/>
      <c r="U189" s="140"/>
      <c r="V189" s="90"/>
      <c r="W189" s="140"/>
      <c r="X189" s="90"/>
      <c r="Y189" s="140"/>
      <c r="Z189" s="90"/>
      <c r="AA189" s="140"/>
      <c r="AB189" s="62"/>
      <c r="AC189" s="140"/>
      <c r="AD189" s="62"/>
      <c r="AE189" s="140"/>
      <c r="AF189" s="189" t="str">
        <f t="shared" si="3"/>
        <v/>
      </c>
      <c r="AG189" s="304" t="b">
        <f t="shared" si="4"/>
        <v>0</v>
      </c>
      <c r="AH189" s="9"/>
      <c r="AI189" s="145">
        <f t="shared" si="5"/>
        <v>0</v>
      </c>
      <c r="AJ189" s="147" t="s">
        <v>36</v>
      </c>
    </row>
    <row r="190" spans="1:36" ht="30" customHeight="1">
      <c r="A190" s="90"/>
      <c r="B190" s="90"/>
      <c r="C190" s="90"/>
      <c r="D190" s="90"/>
      <c r="E190" s="90"/>
      <c r="F190" s="90"/>
      <c r="G190" s="90"/>
      <c r="H190" s="90"/>
      <c r="I190" s="90"/>
      <c r="J190" s="90"/>
      <c r="K190" s="90"/>
      <c r="L190" s="90"/>
      <c r="M190" s="90"/>
      <c r="N190" s="150"/>
      <c r="O190" s="152"/>
      <c r="P190" s="90"/>
      <c r="Q190" s="140"/>
      <c r="R190" s="90"/>
      <c r="S190" s="140"/>
      <c r="T190" s="90"/>
      <c r="U190" s="140"/>
      <c r="V190" s="90"/>
      <c r="W190" s="140"/>
      <c r="X190" s="90"/>
      <c r="Y190" s="140"/>
      <c r="Z190" s="90"/>
      <c r="AA190" s="140"/>
      <c r="AB190" s="62"/>
      <c r="AC190" s="140"/>
      <c r="AD190" s="62"/>
      <c r="AE190" s="140"/>
      <c r="AF190" s="189" t="str">
        <f t="shared" si="3"/>
        <v/>
      </c>
      <c r="AG190" s="304" t="b">
        <f t="shared" si="4"/>
        <v>0</v>
      </c>
      <c r="AH190" s="9"/>
      <c r="AI190" s="145">
        <f t="shared" si="5"/>
        <v>0</v>
      </c>
      <c r="AJ190" s="147" t="s">
        <v>36</v>
      </c>
    </row>
    <row r="191" spans="1:36" ht="30" customHeight="1">
      <c r="A191" s="90"/>
      <c r="B191" s="90"/>
      <c r="C191" s="90"/>
      <c r="D191" s="90"/>
      <c r="E191" s="90"/>
      <c r="F191" s="90"/>
      <c r="G191" s="90"/>
      <c r="H191" s="90"/>
      <c r="I191" s="90"/>
      <c r="J191" s="90"/>
      <c r="K191" s="90"/>
      <c r="L191" s="90"/>
      <c r="M191" s="90"/>
      <c r="N191" s="150"/>
      <c r="O191" s="152"/>
      <c r="P191" s="90"/>
      <c r="Q191" s="140"/>
      <c r="R191" s="90"/>
      <c r="S191" s="140"/>
      <c r="T191" s="90"/>
      <c r="U191" s="140"/>
      <c r="V191" s="90"/>
      <c r="W191" s="140"/>
      <c r="X191" s="90"/>
      <c r="Y191" s="140"/>
      <c r="Z191" s="90"/>
      <c r="AA191" s="140"/>
      <c r="AB191" s="62"/>
      <c r="AC191" s="140"/>
      <c r="AD191" s="62"/>
      <c r="AE191" s="140"/>
      <c r="AF191" s="189" t="str">
        <f t="shared" si="3"/>
        <v/>
      </c>
      <c r="AG191" s="304" t="b">
        <f t="shared" si="4"/>
        <v>0</v>
      </c>
      <c r="AH191" s="9"/>
      <c r="AI191" s="145">
        <f t="shared" si="5"/>
        <v>0</v>
      </c>
      <c r="AJ191" s="147" t="s">
        <v>36</v>
      </c>
    </row>
    <row r="192" spans="1:36" ht="30" customHeight="1">
      <c r="A192" s="90"/>
      <c r="B192" s="90"/>
      <c r="C192" s="90"/>
      <c r="D192" s="90"/>
      <c r="E192" s="90"/>
      <c r="F192" s="90"/>
      <c r="G192" s="90"/>
      <c r="H192" s="90"/>
      <c r="I192" s="90"/>
      <c r="J192" s="90"/>
      <c r="K192" s="90"/>
      <c r="L192" s="90"/>
      <c r="M192" s="90"/>
      <c r="N192" s="150"/>
      <c r="O192" s="152"/>
      <c r="P192" s="90"/>
      <c r="Q192" s="140"/>
      <c r="R192" s="90"/>
      <c r="S192" s="140"/>
      <c r="T192" s="90"/>
      <c r="U192" s="140"/>
      <c r="V192" s="90"/>
      <c r="W192" s="140"/>
      <c r="X192" s="90"/>
      <c r="Y192" s="140"/>
      <c r="Z192" s="90"/>
      <c r="AA192" s="140"/>
      <c r="AB192" s="62"/>
      <c r="AC192" s="140"/>
      <c r="AD192" s="62"/>
      <c r="AE192" s="140"/>
      <c r="AF192" s="189" t="str">
        <f t="shared" si="3"/>
        <v/>
      </c>
      <c r="AG192" s="304" t="b">
        <f t="shared" si="4"/>
        <v>0</v>
      </c>
      <c r="AH192" s="9"/>
      <c r="AI192" s="145">
        <f t="shared" si="5"/>
        <v>0</v>
      </c>
      <c r="AJ192" s="147" t="s">
        <v>36</v>
      </c>
    </row>
    <row r="193" spans="1:36" ht="30" customHeight="1">
      <c r="A193" s="90"/>
      <c r="B193" s="90"/>
      <c r="C193" s="90"/>
      <c r="D193" s="90"/>
      <c r="E193" s="90"/>
      <c r="F193" s="90"/>
      <c r="G193" s="90"/>
      <c r="H193" s="90"/>
      <c r="I193" s="90"/>
      <c r="J193" s="90"/>
      <c r="K193" s="90"/>
      <c r="L193" s="90"/>
      <c r="M193" s="90"/>
      <c r="N193" s="150"/>
      <c r="O193" s="152"/>
      <c r="P193" s="90"/>
      <c r="Q193" s="140"/>
      <c r="R193" s="90"/>
      <c r="S193" s="140"/>
      <c r="T193" s="90"/>
      <c r="U193" s="140"/>
      <c r="V193" s="90"/>
      <c r="W193" s="140"/>
      <c r="X193" s="90"/>
      <c r="Y193" s="140"/>
      <c r="Z193" s="90"/>
      <c r="AA193" s="140"/>
      <c r="AB193" s="62"/>
      <c r="AC193" s="140"/>
      <c r="AD193" s="62"/>
      <c r="AE193" s="140"/>
      <c r="AF193" s="189" t="str">
        <f t="shared" si="3"/>
        <v/>
      </c>
      <c r="AG193" s="304" t="b">
        <f t="shared" si="4"/>
        <v>0</v>
      </c>
      <c r="AH193" s="9"/>
      <c r="AI193" s="145">
        <f t="shared" si="5"/>
        <v>0</v>
      </c>
      <c r="AJ193" s="147" t="s">
        <v>36</v>
      </c>
    </row>
    <row r="194" spans="1:36" ht="30" customHeight="1">
      <c r="A194" s="90"/>
      <c r="B194" s="90"/>
      <c r="C194" s="90"/>
      <c r="D194" s="90"/>
      <c r="E194" s="90"/>
      <c r="F194" s="90"/>
      <c r="G194" s="90"/>
      <c r="H194" s="90"/>
      <c r="I194" s="90"/>
      <c r="J194" s="90"/>
      <c r="K194" s="90"/>
      <c r="L194" s="90"/>
      <c r="M194" s="90"/>
      <c r="N194" s="150"/>
      <c r="O194" s="152"/>
      <c r="P194" s="90"/>
      <c r="Q194" s="140"/>
      <c r="R194" s="90"/>
      <c r="S194" s="140"/>
      <c r="T194" s="90"/>
      <c r="U194" s="140"/>
      <c r="V194" s="90"/>
      <c r="W194" s="140"/>
      <c r="X194" s="90"/>
      <c r="Y194" s="140"/>
      <c r="Z194" s="90"/>
      <c r="AA194" s="140"/>
      <c r="AB194" s="62"/>
      <c r="AC194" s="140"/>
      <c r="AD194" s="62"/>
      <c r="AE194" s="140"/>
      <c r="AF194" s="189" t="str">
        <f t="shared" si="3"/>
        <v/>
      </c>
      <c r="AG194" s="304" t="b">
        <f t="shared" ref="AG194:AG257" si="6">IF(AND(AE194="C",AF194="C"),"UTILIZOU O PDA CORRETAMENTE",IF(AND(AE194="C",AF194="NC"),"UTILIZOU O PDA CORRETAMENTE. NÃO HÁ FOTOS DE TODAS AS ETAPAS",IF(AND(AE194="NC",AF194="NC"),"NÃO UTILIZOU O PDA",IF(AND(AE194="NA",AF194="NA"),"NÃO AVALIADO POR FALHA DE SINCRONISMO"))))</f>
        <v>0</v>
      </c>
      <c r="AH194" s="9"/>
      <c r="AI194" s="145">
        <f t="shared" si="5"/>
        <v>0</v>
      </c>
      <c r="AJ194" s="147" t="s">
        <v>36</v>
      </c>
    </row>
    <row r="195" spans="1:36" ht="30" customHeight="1">
      <c r="A195" s="90"/>
      <c r="B195" s="90"/>
      <c r="C195" s="90"/>
      <c r="D195" s="90"/>
      <c r="E195" s="90"/>
      <c r="F195" s="90"/>
      <c r="G195" s="90"/>
      <c r="H195" s="90"/>
      <c r="I195" s="90"/>
      <c r="J195" s="90"/>
      <c r="K195" s="90"/>
      <c r="L195" s="90"/>
      <c r="M195" s="90"/>
      <c r="N195" s="150"/>
      <c r="O195" s="152"/>
      <c r="P195" s="90"/>
      <c r="Q195" s="140"/>
      <c r="R195" s="90"/>
      <c r="S195" s="140"/>
      <c r="T195" s="90"/>
      <c r="U195" s="140"/>
      <c r="V195" s="90"/>
      <c r="W195" s="140"/>
      <c r="X195" s="90"/>
      <c r="Y195" s="140"/>
      <c r="Z195" s="90"/>
      <c r="AA195" s="140"/>
      <c r="AB195" s="62"/>
      <c r="AC195" s="140"/>
      <c r="AD195" s="62"/>
      <c r="AE195" s="140"/>
      <c r="AF195" s="189" t="str">
        <f t="shared" ref="AF195:AF258" si="7">IF(AND(O195="",Q195="",S195="",U195="",W195="",Y195="",AA195="",AC195=""),"",
IF(OR(    AND(O195&lt;&gt;"NA",O195&lt;&gt;"C",O195&lt;&gt;"NC",O195&lt;&gt;"SF",O195&lt;&gt;""),
    AND(Q195&lt;&gt;"NA",Q195&lt;&gt;"C",Q195&lt;&gt;"NC",Q195&lt;&gt;"SF",Q195&lt;&gt;""),
    AND(S195&lt;&gt;"NA",S195&lt;&gt;"C",S195&lt;&gt;"NC",S195&lt;&gt;"SF",S195&lt;&gt;""),
    AND(U195&lt;&gt;"NA",U195&lt;&gt;"C",U195&lt;&gt;"NC",U195&lt;&gt;"SF",U195&lt;&gt;""),
    AND(W195&lt;&gt;"NA",W195&lt;&gt;"C",W195&lt;&gt;"NC",W195&lt;&gt;"SF",W195&lt;&gt;""),
    AND(Y195&lt;&gt;"NA",Y195&lt;&gt;"C",Y195&lt;&gt;"NC",Y195&lt;&gt;"SF",Y195&lt;&gt;""),
    AND(AA195&lt;&gt;"NA",AA195&lt;&gt;"C",AA195&lt;&gt;"NC",AA195&lt;&gt;"SF",AA195&lt;&gt;""),
    AND(AC195&lt;&gt;"NA",AC195&lt;&gt;"C",AC195&lt;&gt;"NC",AC195&lt;&gt;"SF",AC195&lt;&gt;"")
),"FALSO",
IF(AND(O195="NA",Q195="NA",S195="NA",U195="NA",W195="NA",Y195="NA",AA195="NA",AC195="NA"),"NA",
IF(OR(O195="NC",Q195="NC",S195="NC",U195="NC",W195="NC",Y195="NC",AA195="NC",AC195="NC",
       O195="SF",Q195="SF",S195="SF",U195="SF",W195="SF",Y195="SF",AA195="SF",AC195="SF"),"NC",
IF(SUM(IF(O195="C",1,0),IF(Q195="C",1,0),IF(S195="C",1,0),IF(U195="C",1,0),IF(W195="C",1,0),IF(Y195="C",1,0),IF(AA195="C",1,0),IF(AC195="C",1,0))=1,"C","C")))))</f>
        <v/>
      </c>
      <c r="AG195" s="304" t="b">
        <f t="shared" si="6"/>
        <v>0</v>
      </c>
      <c r="AH195" s="9"/>
      <c r="AI195" s="145">
        <f t="shared" si="5"/>
        <v>0</v>
      </c>
      <c r="AJ195" s="147" t="s">
        <v>36</v>
      </c>
    </row>
    <row r="196" spans="1:36" ht="30" customHeight="1">
      <c r="A196" s="90"/>
      <c r="B196" s="90"/>
      <c r="C196" s="90"/>
      <c r="D196" s="90"/>
      <c r="E196" s="90"/>
      <c r="F196" s="90"/>
      <c r="G196" s="90"/>
      <c r="H196" s="90"/>
      <c r="I196" s="90"/>
      <c r="J196" s="90"/>
      <c r="K196" s="90"/>
      <c r="L196" s="90"/>
      <c r="M196" s="90"/>
      <c r="N196" s="150"/>
      <c r="O196" s="152"/>
      <c r="P196" s="90"/>
      <c r="Q196" s="140"/>
      <c r="R196" s="90"/>
      <c r="S196" s="140"/>
      <c r="T196" s="90"/>
      <c r="U196" s="140"/>
      <c r="V196" s="90"/>
      <c r="W196" s="140"/>
      <c r="X196" s="90"/>
      <c r="Y196" s="140"/>
      <c r="Z196" s="90"/>
      <c r="AA196" s="140"/>
      <c r="AB196" s="62"/>
      <c r="AC196" s="140"/>
      <c r="AD196" s="62"/>
      <c r="AE196" s="140"/>
      <c r="AF196" s="189" t="str">
        <f t="shared" si="7"/>
        <v/>
      </c>
      <c r="AG196" s="304" t="b">
        <f t="shared" si="6"/>
        <v>0</v>
      </c>
      <c r="AH196" s="9"/>
      <c r="AI196" s="145">
        <f t="shared" si="5"/>
        <v>0</v>
      </c>
      <c r="AJ196" s="147" t="s">
        <v>36</v>
      </c>
    </row>
    <row r="197" spans="1:36" ht="30" customHeight="1">
      <c r="A197" s="90"/>
      <c r="B197" s="90"/>
      <c r="C197" s="90"/>
      <c r="D197" s="90"/>
      <c r="E197" s="90"/>
      <c r="F197" s="90"/>
      <c r="G197" s="90"/>
      <c r="H197" s="90"/>
      <c r="I197" s="90"/>
      <c r="J197" s="90"/>
      <c r="K197" s="90"/>
      <c r="L197" s="90"/>
      <c r="M197" s="90"/>
      <c r="N197" s="150"/>
      <c r="O197" s="152"/>
      <c r="P197" s="90"/>
      <c r="Q197" s="140"/>
      <c r="R197" s="90"/>
      <c r="S197" s="140"/>
      <c r="T197" s="90"/>
      <c r="U197" s="140"/>
      <c r="V197" s="90"/>
      <c r="W197" s="140"/>
      <c r="X197" s="90"/>
      <c r="Y197" s="140"/>
      <c r="Z197" s="90"/>
      <c r="AA197" s="140"/>
      <c r="AB197" s="62"/>
      <c r="AC197" s="140"/>
      <c r="AD197" s="62"/>
      <c r="AE197" s="140"/>
      <c r="AF197" s="189" t="str">
        <f t="shared" si="7"/>
        <v/>
      </c>
      <c r="AG197" s="304" t="b">
        <f t="shared" si="6"/>
        <v>0</v>
      </c>
      <c r="AH197" s="9"/>
      <c r="AI197" s="145">
        <f t="shared" si="5"/>
        <v>0</v>
      </c>
      <c r="AJ197" s="147" t="s">
        <v>36</v>
      </c>
    </row>
    <row r="198" spans="1:36" ht="30" customHeight="1">
      <c r="A198" s="90"/>
      <c r="B198" s="90"/>
      <c r="C198" s="90"/>
      <c r="D198" s="90"/>
      <c r="E198" s="90"/>
      <c r="F198" s="90"/>
      <c r="G198" s="90"/>
      <c r="H198" s="90"/>
      <c r="I198" s="90"/>
      <c r="J198" s="90"/>
      <c r="K198" s="90"/>
      <c r="L198" s="90"/>
      <c r="M198" s="90"/>
      <c r="N198" s="150"/>
      <c r="O198" s="152"/>
      <c r="P198" s="90"/>
      <c r="Q198" s="140"/>
      <c r="R198" s="90"/>
      <c r="S198" s="140"/>
      <c r="T198" s="90"/>
      <c r="U198" s="140"/>
      <c r="V198" s="90"/>
      <c r="W198" s="140"/>
      <c r="X198" s="90"/>
      <c r="Y198" s="140"/>
      <c r="Z198" s="90"/>
      <c r="AA198" s="140"/>
      <c r="AB198" s="62"/>
      <c r="AC198" s="140"/>
      <c r="AD198" s="62"/>
      <c r="AE198" s="140"/>
      <c r="AF198" s="189" t="str">
        <f t="shared" si="7"/>
        <v/>
      </c>
      <c r="AG198" s="304" t="b">
        <f t="shared" si="6"/>
        <v>0</v>
      </c>
      <c r="AH198" s="9"/>
      <c r="AI198" s="145">
        <f t="shared" si="5"/>
        <v>0</v>
      </c>
      <c r="AJ198" s="147" t="s">
        <v>36</v>
      </c>
    </row>
    <row r="199" spans="1:36" ht="30" customHeight="1">
      <c r="A199" s="90"/>
      <c r="B199" s="90"/>
      <c r="C199" s="90"/>
      <c r="D199" s="90"/>
      <c r="E199" s="90"/>
      <c r="F199" s="90"/>
      <c r="G199" s="90"/>
      <c r="H199" s="90"/>
      <c r="I199" s="90"/>
      <c r="J199" s="90"/>
      <c r="K199" s="90"/>
      <c r="L199" s="90"/>
      <c r="M199" s="90"/>
      <c r="N199" s="150"/>
      <c r="O199" s="152"/>
      <c r="P199" s="90"/>
      <c r="Q199" s="140"/>
      <c r="R199" s="90"/>
      <c r="S199" s="140"/>
      <c r="T199" s="90"/>
      <c r="U199" s="140"/>
      <c r="V199" s="90"/>
      <c r="W199" s="140"/>
      <c r="X199" s="90"/>
      <c r="Y199" s="140"/>
      <c r="Z199" s="90"/>
      <c r="AA199" s="140"/>
      <c r="AB199" s="62"/>
      <c r="AC199" s="140"/>
      <c r="AD199" s="62"/>
      <c r="AE199" s="140"/>
      <c r="AF199" s="189" t="str">
        <f t="shared" si="7"/>
        <v/>
      </c>
      <c r="AG199" s="304" t="b">
        <f t="shared" si="6"/>
        <v>0</v>
      </c>
      <c r="AH199" s="9"/>
      <c r="AI199" s="145">
        <f t="shared" si="5"/>
        <v>0</v>
      </c>
      <c r="AJ199" s="147" t="s">
        <v>36</v>
      </c>
    </row>
    <row r="200" spans="1:36" ht="30" customHeight="1">
      <c r="A200" s="90"/>
      <c r="B200" s="90"/>
      <c r="C200" s="90"/>
      <c r="D200" s="90"/>
      <c r="E200" s="90"/>
      <c r="F200" s="90"/>
      <c r="G200" s="90"/>
      <c r="H200" s="90"/>
      <c r="I200" s="90"/>
      <c r="J200" s="90"/>
      <c r="K200" s="90"/>
      <c r="L200" s="90"/>
      <c r="M200" s="90"/>
      <c r="N200" s="150"/>
      <c r="O200" s="152"/>
      <c r="P200" s="90"/>
      <c r="Q200" s="140"/>
      <c r="R200" s="90"/>
      <c r="S200" s="140"/>
      <c r="T200" s="90"/>
      <c r="U200" s="140"/>
      <c r="V200" s="90"/>
      <c r="W200" s="140"/>
      <c r="X200" s="90"/>
      <c r="Y200" s="140"/>
      <c r="Z200" s="90"/>
      <c r="AA200" s="140"/>
      <c r="AB200" s="62"/>
      <c r="AC200" s="140"/>
      <c r="AD200" s="62"/>
      <c r="AE200" s="140"/>
      <c r="AF200" s="189" t="str">
        <f t="shared" si="7"/>
        <v/>
      </c>
      <c r="AG200" s="304" t="b">
        <f t="shared" si="6"/>
        <v>0</v>
      </c>
      <c r="AH200" s="9"/>
      <c r="AI200" s="145">
        <f t="shared" si="5"/>
        <v>0</v>
      </c>
      <c r="AJ200" s="147" t="s">
        <v>36</v>
      </c>
    </row>
    <row r="201" spans="1:36" ht="30" customHeight="1">
      <c r="A201" s="90"/>
      <c r="B201" s="90"/>
      <c r="C201" s="90"/>
      <c r="D201" s="90"/>
      <c r="E201" s="90"/>
      <c r="F201" s="90"/>
      <c r="G201" s="90"/>
      <c r="H201" s="90"/>
      <c r="I201" s="90"/>
      <c r="J201" s="90"/>
      <c r="K201" s="90"/>
      <c r="L201" s="90"/>
      <c r="M201" s="90"/>
      <c r="N201" s="150"/>
      <c r="O201" s="152"/>
      <c r="P201" s="90"/>
      <c r="Q201" s="140"/>
      <c r="R201" s="90"/>
      <c r="S201" s="140"/>
      <c r="T201" s="90"/>
      <c r="U201" s="140"/>
      <c r="V201" s="90"/>
      <c r="W201" s="140"/>
      <c r="X201" s="90"/>
      <c r="Y201" s="140"/>
      <c r="Z201" s="90"/>
      <c r="AA201" s="140"/>
      <c r="AB201" s="62"/>
      <c r="AC201" s="140"/>
      <c r="AD201" s="62"/>
      <c r="AE201" s="140"/>
      <c r="AF201" s="189" t="str">
        <f t="shared" si="7"/>
        <v/>
      </c>
      <c r="AG201" s="304" t="b">
        <f t="shared" si="6"/>
        <v>0</v>
      </c>
      <c r="AH201" s="9"/>
      <c r="AI201" s="145">
        <f t="shared" si="5"/>
        <v>0</v>
      </c>
      <c r="AJ201" s="147" t="s">
        <v>36</v>
      </c>
    </row>
    <row r="202" spans="1:36" ht="30" customHeight="1">
      <c r="A202" s="90"/>
      <c r="B202" s="90"/>
      <c r="C202" s="90"/>
      <c r="D202" s="90"/>
      <c r="E202" s="90"/>
      <c r="F202" s="90"/>
      <c r="G202" s="90"/>
      <c r="H202" s="90"/>
      <c r="I202" s="90"/>
      <c r="J202" s="90"/>
      <c r="K202" s="90"/>
      <c r="L202" s="90"/>
      <c r="M202" s="90"/>
      <c r="N202" s="150"/>
      <c r="O202" s="152"/>
      <c r="P202" s="90"/>
      <c r="Q202" s="140"/>
      <c r="R202" s="90"/>
      <c r="S202" s="140"/>
      <c r="T202" s="90"/>
      <c r="U202" s="140"/>
      <c r="V202" s="90"/>
      <c r="W202" s="140"/>
      <c r="X202" s="90"/>
      <c r="Y202" s="140"/>
      <c r="Z202" s="90"/>
      <c r="AA202" s="140"/>
      <c r="AB202" s="62"/>
      <c r="AC202" s="140"/>
      <c r="AD202" s="62"/>
      <c r="AE202" s="140"/>
      <c r="AF202" s="189" t="str">
        <f t="shared" si="7"/>
        <v/>
      </c>
      <c r="AG202" s="304" t="b">
        <f t="shared" si="6"/>
        <v>0</v>
      </c>
      <c r="AH202" s="9"/>
      <c r="AI202" s="145">
        <f t="shared" si="5"/>
        <v>0</v>
      </c>
      <c r="AJ202" s="147" t="s">
        <v>36</v>
      </c>
    </row>
    <row r="203" spans="1:36" ht="30" customHeight="1">
      <c r="A203" s="90"/>
      <c r="B203" s="90"/>
      <c r="C203" s="90"/>
      <c r="D203" s="90"/>
      <c r="E203" s="90"/>
      <c r="F203" s="90"/>
      <c r="G203" s="90"/>
      <c r="H203" s="90"/>
      <c r="I203" s="90"/>
      <c r="J203" s="90"/>
      <c r="K203" s="90"/>
      <c r="L203" s="90"/>
      <c r="M203" s="90"/>
      <c r="N203" s="150"/>
      <c r="O203" s="152"/>
      <c r="P203" s="90"/>
      <c r="Q203" s="140"/>
      <c r="R203" s="90"/>
      <c r="S203" s="140"/>
      <c r="T203" s="90"/>
      <c r="U203" s="140"/>
      <c r="V203" s="90"/>
      <c r="W203" s="140"/>
      <c r="X203" s="90"/>
      <c r="Y203" s="140"/>
      <c r="Z203" s="90"/>
      <c r="AA203" s="140"/>
      <c r="AB203" s="62"/>
      <c r="AC203" s="140"/>
      <c r="AD203" s="62"/>
      <c r="AE203" s="140"/>
      <c r="AF203" s="189" t="str">
        <f t="shared" si="7"/>
        <v/>
      </c>
      <c r="AG203" s="304" t="b">
        <f t="shared" si="6"/>
        <v>0</v>
      </c>
      <c r="AH203" s="9"/>
      <c r="AI203" s="145">
        <f t="shared" si="5"/>
        <v>0</v>
      </c>
      <c r="AJ203" s="147" t="s">
        <v>36</v>
      </c>
    </row>
    <row r="204" spans="1:36" ht="30" customHeight="1">
      <c r="A204" s="90"/>
      <c r="B204" s="90"/>
      <c r="C204" s="90"/>
      <c r="D204" s="90"/>
      <c r="E204" s="90"/>
      <c r="F204" s="90"/>
      <c r="G204" s="90"/>
      <c r="H204" s="90"/>
      <c r="I204" s="90"/>
      <c r="J204" s="90"/>
      <c r="K204" s="90"/>
      <c r="L204" s="90"/>
      <c r="M204" s="90"/>
      <c r="N204" s="150"/>
      <c r="O204" s="152"/>
      <c r="P204" s="90"/>
      <c r="Q204" s="140"/>
      <c r="R204" s="90"/>
      <c r="S204" s="140"/>
      <c r="T204" s="90"/>
      <c r="U204" s="140"/>
      <c r="V204" s="90"/>
      <c r="W204" s="140"/>
      <c r="X204" s="90"/>
      <c r="Y204" s="140"/>
      <c r="Z204" s="90"/>
      <c r="AA204" s="140"/>
      <c r="AB204" s="62"/>
      <c r="AC204" s="140"/>
      <c r="AD204" s="62"/>
      <c r="AE204" s="140"/>
      <c r="AF204" s="189" t="str">
        <f t="shared" si="7"/>
        <v/>
      </c>
      <c r="AG204" s="304" t="b">
        <f t="shared" si="6"/>
        <v>0</v>
      </c>
      <c r="AH204" s="9"/>
      <c r="AI204" s="145">
        <f t="shared" si="5"/>
        <v>0</v>
      </c>
      <c r="AJ204" s="147" t="s">
        <v>36</v>
      </c>
    </row>
    <row r="205" spans="1:36" ht="30" customHeight="1">
      <c r="A205" s="90"/>
      <c r="B205" s="90"/>
      <c r="C205" s="90"/>
      <c r="D205" s="90"/>
      <c r="E205" s="90"/>
      <c r="F205" s="90"/>
      <c r="G205" s="90"/>
      <c r="H205" s="90"/>
      <c r="I205" s="90"/>
      <c r="J205" s="90"/>
      <c r="K205" s="90"/>
      <c r="L205" s="90"/>
      <c r="M205" s="90"/>
      <c r="N205" s="150"/>
      <c r="O205" s="152"/>
      <c r="P205" s="90"/>
      <c r="Q205" s="140"/>
      <c r="R205" s="90"/>
      <c r="S205" s="140"/>
      <c r="T205" s="90"/>
      <c r="U205" s="140"/>
      <c r="V205" s="90"/>
      <c r="W205" s="140"/>
      <c r="X205" s="90"/>
      <c r="Y205" s="140"/>
      <c r="Z205" s="90"/>
      <c r="AA205" s="140"/>
      <c r="AB205" s="62"/>
      <c r="AC205" s="140"/>
      <c r="AD205" s="62"/>
      <c r="AE205" s="140"/>
      <c r="AF205" s="189" t="str">
        <f t="shared" si="7"/>
        <v/>
      </c>
      <c r="AG205" s="304" t="b">
        <f t="shared" si="6"/>
        <v>0</v>
      </c>
      <c r="AH205" s="9"/>
      <c r="AI205" s="145">
        <f t="shared" si="5"/>
        <v>0</v>
      </c>
      <c r="AJ205" s="147" t="s">
        <v>36</v>
      </c>
    </row>
    <row r="206" spans="1:36" ht="30" customHeight="1">
      <c r="A206" s="90"/>
      <c r="B206" s="90"/>
      <c r="C206" s="90"/>
      <c r="D206" s="90"/>
      <c r="E206" s="90"/>
      <c r="F206" s="90"/>
      <c r="G206" s="90"/>
      <c r="H206" s="90"/>
      <c r="I206" s="90"/>
      <c r="J206" s="90"/>
      <c r="K206" s="90"/>
      <c r="L206" s="90"/>
      <c r="M206" s="90"/>
      <c r="N206" s="150"/>
      <c r="O206" s="152"/>
      <c r="P206" s="90"/>
      <c r="Q206" s="140"/>
      <c r="R206" s="90"/>
      <c r="S206" s="140"/>
      <c r="T206" s="90"/>
      <c r="U206" s="140"/>
      <c r="V206" s="90"/>
      <c r="W206" s="140"/>
      <c r="X206" s="90"/>
      <c r="Y206" s="140"/>
      <c r="Z206" s="90"/>
      <c r="AA206" s="140"/>
      <c r="AB206" s="62"/>
      <c r="AC206" s="140"/>
      <c r="AD206" s="62"/>
      <c r="AE206" s="140"/>
      <c r="AF206" s="189" t="str">
        <f t="shared" si="7"/>
        <v/>
      </c>
      <c r="AG206" s="304" t="b">
        <f t="shared" si="6"/>
        <v>0</v>
      </c>
      <c r="AH206" s="9"/>
      <c r="AI206" s="145">
        <f t="shared" si="5"/>
        <v>0</v>
      </c>
      <c r="AJ206" s="147" t="s">
        <v>36</v>
      </c>
    </row>
    <row r="207" spans="1:36" ht="30" customHeight="1">
      <c r="A207" s="90"/>
      <c r="B207" s="90"/>
      <c r="C207" s="90"/>
      <c r="D207" s="90"/>
      <c r="E207" s="90"/>
      <c r="F207" s="90"/>
      <c r="G207" s="90"/>
      <c r="H207" s="90"/>
      <c r="I207" s="90"/>
      <c r="J207" s="90"/>
      <c r="K207" s="90"/>
      <c r="L207" s="90"/>
      <c r="M207" s="90"/>
      <c r="N207" s="150"/>
      <c r="O207" s="152"/>
      <c r="P207" s="90"/>
      <c r="Q207" s="140"/>
      <c r="R207" s="90"/>
      <c r="S207" s="140"/>
      <c r="T207" s="90"/>
      <c r="U207" s="140"/>
      <c r="V207" s="90"/>
      <c r="W207" s="140"/>
      <c r="X207" s="90"/>
      <c r="Y207" s="140"/>
      <c r="Z207" s="90"/>
      <c r="AA207" s="140"/>
      <c r="AB207" s="62"/>
      <c r="AC207" s="140"/>
      <c r="AD207" s="62"/>
      <c r="AE207" s="140"/>
      <c r="AF207" s="189" t="str">
        <f t="shared" si="7"/>
        <v/>
      </c>
      <c r="AG207" s="304" t="b">
        <f t="shared" si="6"/>
        <v>0</v>
      </c>
      <c r="AH207" s="9"/>
      <c r="AI207" s="145">
        <f t="shared" si="5"/>
        <v>0</v>
      </c>
      <c r="AJ207" s="147" t="s">
        <v>36</v>
      </c>
    </row>
    <row r="208" spans="1:36" ht="30" customHeight="1">
      <c r="A208" s="90"/>
      <c r="B208" s="90"/>
      <c r="C208" s="90"/>
      <c r="D208" s="90"/>
      <c r="E208" s="90"/>
      <c r="F208" s="90"/>
      <c r="G208" s="90"/>
      <c r="H208" s="90"/>
      <c r="I208" s="90"/>
      <c r="J208" s="90"/>
      <c r="K208" s="90"/>
      <c r="L208" s="90"/>
      <c r="M208" s="90"/>
      <c r="N208" s="150"/>
      <c r="O208" s="152"/>
      <c r="P208" s="90"/>
      <c r="Q208" s="140"/>
      <c r="R208" s="90"/>
      <c r="S208" s="140"/>
      <c r="T208" s="90"/>
      <c r="U208" s="140"/>
      <c r="V208" s="90"/>
      <c r="W208" s="140"/>
      <c r="X208" s="90"/>
      <c r="Y208" s="140"/>
      <c r="Z208" s="90"/>
      <c r="AA208" s="140"/>
      <c r="AB208" s="62"/>
      <c r="AC208" s="140"/>
      <c r="AD208" s="62"/>
      <c r="AE208" s="140"/>
      <c r="AF208" s="189" t="str">
        <f t="shared" si="7"/>
        <v/>
      </c>
      <c r="AG208" s="304" t="b">
        <f t="shared" si="6"/>
        <v>0</v>
      </c>
      <c r="AH208" s="9"/>
      <c r="AI208" s="145">
        <f t="shared" si="5"/>
        <v>0</v>
      </c>
      <c r="AJ208" s="147" t="s">
        <v>36</v>
      </c>
    </row>
    <row r="209" spans="1:36" ht="30" customHeight="1">
      <c r="A209" s="90"/>
      <c r="B209" s="90"/>
      <c r="C209" s="90"/>
      <c r="D209" s="90"/>
      <c r="E209" s="90"/>
      <c r="F209" s="90"/>
      <c r="G209" s="90"/>
      <c r="H209" s="90"/>
      <c r="I209" s="90"/>
      <c r="J209" s="90"/>
      <c r="K209" s="90"/>
      <c r="L209" s="90"/>
      <c r="M209" s="90"/>
      <c r="N209" s="150"/>
      <c r="O209" s="152"/>
      <c r="P209" s="90"/>
      <c r="Q209" s="140"/>
      <c r="R209" s="90"/>
      <c r="S209" s="140"/>
      <c r="T209" s="90"/>
      <c r="U209" s="140"/>
      <c r="V209" s="90"/>
      <c r="W209" s="140"/>
      <c r="X209" s="90"/>
      <c r="Y209" s="140"/>
      <c r="Z209" s="90"/>
      <c r="AA209" s="140"/>
      <c r="AB209" s="62"/>
      <c r="AC209" s="140"/>
      <c r="AD209" s="62"/>
      <c r="AE209" s="140"/>
      <c r="AF209" s="189" t="str">
        <f t="shared" si="7"/>
        <v/>
      </c>
      <c r="AG209" s="304" t="b">
        <f t="shared" si="6"/>
        <v>0</v>
      </c>
      <c r="AH209" s="9"/>
      <c r="AI209" s="145">
        <f t="shared" si="5"/>
        <v>0</v>
      </c>
      <c r="AJ209" s="147" t="s">
        <v>36</v>
      </c>
    </row>
    <row r="210" spans="1:36" ht="30" customHeight="1">
      <c r="A210" s="90"/>
      <c r="B210" s="90"/>
      <c r="C210" s="90"/>
      <c r="D210" s="90"/>
      <c r="E210" s="90"/>
      <c r="F210" s="90"/>
      <c r="G210" s="90"/>
      <c r="H210" s="90"/>
      <c r="I210" s="90"/>
      <c r="J210" s="90"/>
      <c r="K210" s="90"/>
      <c r="L210" s="90"/>
      <c r="M210" s="90"/>
      <c r="N210" s="150"/>
      <c r="O210" s="152"/>
      <c r="P210" s="90"/>
      <c r="Q210" s="140"/>
      <c r="R210" s="90"/>
      <c r="S210" s="140"/>
      <c r="T210" s="90"/>
      <c r="U210" s="140"/>
      <c r="V210" s="90"/>
      <c r="W210" s="140"/>
      <c r="X210" s="90"/>
      <c r="Y210" s="140"/>
      <c r="Z210" s="90"/>
      <c r="AA210" s="140"/>
      <c r="AB210" s="62"/>
      <c r="AC210" s="140"/>
      <c r="AD210" s="62"/>
      <c r="AE210" s="140"/>
      <c r="AF210" s="189" t="str">
        <f t="shared" si="7"/>
        <v/>
      </c>
      <c r="AG210" s="304" t="b">
        <f t="shared" si="6"/>
        <v>0</v>
      </c>
      <c r="AH210" s="9"/>
      <c r="AI210" s="145">
        <f t="shared" si="5"/>
        <v>0</v>
      </c>
      <c r="AJ210" s="147" t="s">
        <v>36</v>
      </c>
    </row>
    <row r="211" spans="1:36" ht="30" customHeight="1">
      <c r="A211" s="90"/>
      <c r="B211" s="90"/>
      <c r="C211" s="90"/>
      <c r="D211" s="90"/>
      <c r="E211" s="90"/>
      <c r="F211" s="90"/>
      <c r="G211" s="90"/>
      <c r="H211" s="90"/>
      <c r="I211" s="90"/>
      <c r="J211" s="90"/>
      <c r="K211" s="90"/>
      <c r="L211" s="90"/>
      <c r="M211" s="90"/>
      <c r="N211" s="150"/>
      <c r="O211" s="152"/>
      <c r="P211" s="90"/>
      <c r="Q211" s="140"/>
      <c r="R211" s="90"/>
      <c r="S211" s="140"/>
      <c r="T211" s="90"/>
      <c r="U211" s="140"/>
      <c r="V211" s="90"/>
      <c r="W211" s="140"/>
      <c r="X211" s="90"/>
      <c r="Y211" s="140"/>
      <c r="Z211" s="90"/>
      <c r="AA211" s="140"/>
      <c r="AB211" s="62"/>
      <c r="AC211" s="140"/>
      <c r="AD211" s="62"/>
      <c r="AE211" s="140"/>
      <c r="AF211" s="189" t="str">
        <f t="shared" si="7"/>
        <v/>
      </c>
      <c r="AG211" s="304" t="b">
        <f t="shared" si="6"/>
        <v>0</v>
      </c>
      <c r="AH211" s="9"/>
      <c r="AI211" s="145">
        <f t="shared" si="5"/>
        <v>0</v>
      </c>
      <c r="AJ211" s="147" t="s">
        <v>36</v>
      </c>
    </row>
    <row r="212" spans="1:36" ht="30" customHeight="1">
      <c r="A212" s="90"/>
      <c r="B212" s="90"/>
      <c r="C212" s="90"/>
      <c r="D212" s="90"/>
      <c r="E212" s="90"/>
      <c r="F212" s="90"/>
      <c r="G212" s="90"/>
      <c r="H212" s="90"/>
      <c r="I212" s="90"/>
      <c r="J212" s="90"/>
      <c r="K212" s="90"/>
      <c r="L212" s="90"/>
      <c r="M212" s="90"/>
      <c r="N212" s="150"/>
      <c r="O212" s="152"/>
      <c r="P212" s="90"/>
      <c r="Q212" s="140"/>
      <c r="R212" s="90"/>
      <c r="S212" s="140"/>
      <c r="T212" s="90"/>
      <c r="U212" s="140"/>
      <c r="V212" s="90"/>
      <c r="W212" s="140"/>
      <c r="X212" s="90"/>
      <c r="Y212" s="140"/>
      <c r="Z212" s="90"/>
      <c r="AA212" s="140"/>
      <c r="AB212" s="62"/>
      <c r="AC212" s="140"/>
      <c r="AD212" s="62"/>
      <c r="AE212" s="140"/>
      <c r="AF212" s="189" t="str">
        <f t="shared" si="7"/>
        <v/>
      </c>
      <c r="AG212" s="304" t="b">
        <f t="shared" si="6"/>
        <v>0</v>
      </c>
      <c r="AH212" s="9"/>
      <c r="AI212" s="145">
        <f t="shared" si="5"/>
        <v>0</v>
      </c>
      <c r="AJ212" s="147" t="s">
        <v>36</v>
      </c>
    </row>
    <row r="213" spans="1:36" ht="30" customHeight="1">
      <c r="A213" s="90"/>
      <c r="B213" s="90"/>
      <c r="C213" s="90"/>
      <c r="D213" s="90"/>
      <c r="E213" s="90"/>
      <c r="F213" s="90"/>
      <c r="G213" s="90"/>
      <c r="H213" s="90"/>
      <c r="I213" s="90"/>
      <c r="J213" s="90"/>
      <c r="K213" s="90"/>
      <c r="L213" s="90"/>
      <c r="M213" s="90"/>
      <c r="N213" s="150"/>
      <c r="O213" s="152"/>
      <c r="P213" s="90"/>
      <c r="Q213" s="140"/>
      <c r="R213" s="90"/>
      <c r="S213" s="140"/>
      <c r="T213" s="90"/>
      <c r="U213" s="140"/>
      <c r="V213" s="90"/>
      <c r="W213" s="140"/>
      <c r="X213" s="90"/>
      <c r="Y213" s="140"/>
      <c r="Z213" s="90"/>
      <c r="AA213" s="140"/>
      <c r="AB213" s="62"/>
      <c r="AC213" s="140"/>
      <c r="AD213" s="62"/>
      <c r="AE213" s="140"/>
      <c r="AF213" s="189" t="str">
        <f t="shared" si="7"/>
        <v/>
      </c>
      <c r="AG213" s="304" t="b">
        <f t="shared" si="6"/>
        <v>0</v>
      </c>
      <c r="AH213" s="9"/>
      <c r="AI213" s="145">
        <f t="shared" si="5"/>
        <v>0</v>
      </c>
      <c r="AJ213" s="147" t="s">
        <v>36</v>
      </c>
    </row>
    <row r="214" spans="1:36" ht="30" customHeight="1">
      <c r="A214" s="90"/>
      <c r="B214" s="90"/>
      <c r="C214" s="90"/>
      <c r="D214" s="90"/>
      <c r="E214" s="90"/>
      <c r="F214" s="90"/>
      <c r="G214" s="90"/>
      <c r="H214" s="90"/>
      <c r="I214" s="90"/>
      <c r="J214" s="90"/>
      <c r="K214" s="90"/>
      <c r="L214" s="90"/>
      <c r="M214" s="90"/>
      <c r="N214" s="150"/>
      <c r="O214" s="152"/>
      <c r="P214" s="90"/>
      <c r="Q214" s="140"/>
      <c r="R214" s="90"/>
      <c r="S214" s="140"/>
      <c r="T214" s="90"/>
      <c r="U214" s="140"/>
      <c r="V214" s="90"/>
      <c r="W214" s="140"/>
      <c r="X214" s="90"/>
      <c r="Y214" s="140"/>
      <c r="Z214" s="90"/>
      <c r="AA214" s="140"/>
      <c r="AB214" s="62"/>
      <c r="AC214" s="140"/>
      <c r="AD214" s="62"/>
      <c r="AE214" s="140"/>
      <c r="AF214" s="189" t="str">
        <f t="shared" si="7"/>
        <v/>
      </c>
      <c r="AG214" s="304" t="b">
        <f t="shared" si="6"/>
        <v>0</v>
      </c>
      <c r="AH214" s="9"/>
      <c r="AI214" s="145">
        <f t="shared" si="5"/>
        <v>0</v>
      </c>
      <c r="AJ214" s="147" t="s">
        <v>36</v>
      </c>
    </row>
    <row r="215" spans="1:36" ht="30" customHeight="1">
      <c r="A215" s="90"/>
      <c r="B215" s="90"/>
      <c r="C215" s="90"/>
      <c r="D215" s="90"/>
      <c r="E215" s="90"/>
      <c r="F215" s="90"/>
      <c r="G215" s="90"/>
      <c r="H215" s="90"/>
      <c r="I215" s="90"/>
      <c r="J215" s="90"/>
      <c r="K215" s="90"/>
      <c r="L215" s="90"/>
      <c r="M215" s="90"/>
      <c r="N215" s="150"/>
      <c r="O215" s="152"/>
      <c r="P215" s="90"/>
      <c r="Q215" s="140"/>
      <c r="R215" s="90"/>
      <c r="S215" s="140"/>
      <c r="T215" s="90"/>
      <c r="U215" s="140"/>
      <c r="V215" s="90"/>
      <c r="W215" s="140"/>
      <c r="X215" s="90"/>
      <c r="Y215" s="140"/>
      <c r="Z215" s="90"/>
      <c r="AA215" s="140"/>
      <c r="AB215" s="62"/>
      <c r="AC215" s="140"/>
      <c r="AD215" s="62"/>
      <c r="AE215" s="140"/>
      <c r="AF215" s="189" t="str">
        <f t="shared" si="7"/>
        <v/>
      </c>
      <c r="AG215" s="304" t="b">
        <f t="shared" si="6"/>
        <v>0</v>
      </c>
      <c r="AH215" s="9"/>
      <c r="AI215" s="145">
        <f t="shared" si="5"/>
        <v>0</v>
      </c>
      <c r="AJ215" s="147" t="s">
        <v>36</v>
      </c>
    </row>
    <row r="216" spans="1:36" ht="30" customHeight="1">
      <c r="A216" s="90"/>
      <c r="B216" s="90"/>
      <c r="C216" s="90"/>
      <c r="D216" s="90"/>
      <c r="E216" s="90"/>
      <c r="F216" s="90"/>
      <c r="G216" s="90"/>
      <c r="H216" s="90"/>
      <c r="I216" s="90"/>
      <c r="J216" s="90"/>
      <c r="K216" s="90"/>
      <c r="L216" s="90"/>
      <c r="M216" s="90"/>
      <c r="N216" s="150"/>
      <c r="O216" s="152"/>
      <c r="P216" s="90"/>
      <c r="Q216" s="140"/>
      <c r="R216" s="90"/>
      <c r="S216" s="140"/>
      <c r="T216" s="90"/>
      <c r="U216" s="140"/>
      <c r="V216" s="90"/>
      <c r="W216" s="140"/>
      <c r="X216" s="90"/>
      <c r="Y216" s="140"/>
      <c r="Z216" s="90"/>
      <c r="AA216" s="140"/>
      <c r="AB216" s="62"/>
      <c r="AC216" s="140"/>
      <c r="AD216" s="62"/>
      <c r="AE216" s="140"/>
      <c r="AF216" s="189" t="str">
        <f t="shared" si="7"/>
        <v/>
      </c>
      <c r="AG216" s="304" t="b">
        <f t="shared" si="6"/>
        <v>0</v>
      </c>
      <c r="AH216" s="9"/>
      <c r="AI216" s="145">
        <f t="shared" si="5"/>
        <v>0</v>
      </c>
      <c r="AJ216" s="147" t="s">
        <v>36</v>
      </c>
    </row>
    <row r="217" spans="1:36" ht="30" customHeight="1">
      <c r="A217" s="90"/>
      <c r="B217" s="90"/>
      <c r="C217" s="90"/>
      <c r="D217" s="90"/>
      <c r="E217" s="90"/>
      <c r="F217" s="90"/>
      <c r="G217" s="90"/>
      <c r="H217" s="90"/>
      <c r="I217" s="90"/>
      <c r="J217" s="90"/>
      <c r="K217" s="90"/>
      <c r="L217" s="90"/>
      <c r="M217" s="90"/>
      <c r="N217" s="150"/>
      <c r="O217" s="152"/>
      <c r="P217" s="90"/>
      <c r="Q217" s="140"/>
      <c r="R217" s="90"/>
      <c r="S217" s="140"/>
      <c r="T217" s="90"/>
      <c r="U217" s="140"/>
      <c r="V217" s="90"/>
      <c r="W217" s="140"/>
      <c r="X217" s="90"/>
      <c r="Y217" s="140"/>
      <c r="Z217" s="90"/>
      <c r="AA217" s="140"/>
      <c r="AB217" s="62"/>
      <c r="AC217" s="140"/>
      <c r="AD217" s="62"/>
      <c r="AE217" s="140"/>
      <c r="AF217" s="189" t="str">
        <f t="shared" si="7"/>
        <v/>
      </c>
      <c r="AG217" s="304" t="b">
        <f t="shared" si="6"/>
        <v>0</v>
      </c>
      <c r="AH217" s="9"/>
      <c r="AI217" s="145">
        <f t="shared" si="5"/>
        <v>0</v>
      </c>
      <c r="AJ217" s="147" t="s">
        <v>36</v>
      </c>
    </row>
    <row r="218" spans="1:36" ht="30" customHeight="1">
      <c r="A218" s="90"/>
      <c r="B218" s="90"/>
      <c r="C218" s="90"/>
      <c r="D218" s="90"/>
      <c r="E218" s="90"/>
      <c r="F218" s="90"/>
      <c r="G218" s="90"/>
      <c r="H218" s="90"/>
      <c r="I218" s="90"/>
      <c r="J218" s="90"/>
      <c r="K218" s="90"/>
      <c r="L218" s="90"/>
      <c r="M218" s="90"/>
      <c r="N218" s="150"/>
      <c r="O218" s="152"/>
      <c r="P218" s="90"/>
      <c r="Q218" s="140"/>
      <c r="R218" s="90"/>
      <c r="S218" s="140"/>
      <c r="T218" s="90"/>
      <c r="U218" s="140"/>
      <c r="V218" s="90"/>
      <c r="W218" s="140"/>
      <c r="X218" s="90"/>
      <c r="Y218" s="140"/>
      <c r="Z218" s="90"/>
      <c r="AA218" s="140"/>
      <c r="AB218" s="62"/>
      <c r="AC218" s="140"/>
      <c r="AD218" s="62"/>
      <c r="AE218" s="140"/>
      <c r="AF218" s="189" t="str">
        <f t="shared" si="7"/>
        <v/>
      </c>
      <c r="AG218" s="304" t="b">
        <f t="shared" si="6"/>
        <v>0</v>
      </c>
      <c r="AH218" s="9"/>
      <c r="AI218" s="145">
        <f t="shared" si="5"/>
        <v>0</v>
      </c>
      <c r="AJ218" s="147" t="s">
        <v>36</v>
      </c>
    </row>
    <row r="219" spans="1:36" ht="30" customHeight="1">
      <c r="A219" s="90"/>
      <c r="B219" s="90"/>
      <c r="C219" s="90"/>
      <c r="D219" s="90"/>
      <c r="E219" s="90"/>
      <c r="F219" s="90"/>
      <c r="G219" s="90"/>
      <c r="H219" s="90"/>
      <c r="I219" s="90"/>
      <c r="J219" s="90"/>
      <c r="K219" s="90"/>
      <c r="L219" s="90"/>
      <c r="M219" s="90"/>
      <c r="N219" s="150"/>
      <c r="O219" s="152"/>
      <c r="P219" s="90"/>
      <c r="Q219" s="140"/>
      <c r="R219" s="90"/>
      <c r="S219" s="140"/>
      <c r="T219" s="90"/>
      <c r="U219" s="140"/>
      <c r="V219" s="90"/>
      <c r="W219" s="140"/>
      <c r="X219" s="90"/>
      <c r="Y219" s="140"/>
      <c r="Z219" s="90"/>
      <c r="AA219" s="140"/>
      <c r="AB219" s="62"/>
      <c r="AC219" s="140"/>
      <c r="AD219" s="62"/>
      <c r="AE219" s="140"/>
      <c r="AF219" s="189" t="str">
        <f t="shared" si="7"/>
        <v/>
      </c>
      <c r="AG219" s="304" t="b">
        <f t="shared" si="6"/>
        <v>0</v>
      </c>
      <c r="AH219" s="9"/>
      <c r="AI219" s="145">
        <f t="shared" si="5"/>
        <v>0</v>
      </c>
      <c r="AJ219" s="147" t="s">
        <v>36</v>
      </c>
    </row>
    <row r="220" spans="1:36" ht="30" customHeight="1">
      <c r="A220" s="90"/>
      <c r="B220" s="90"/>
      <c r="C220" s="90"/>
      <c r="D220" s="90"/>
      <c r="E220" s="90"/>
      <c r="F220" s="90"/>
      <c r="G220" s="90"/>
      <c r="H220" s="90"/>
      <c r="I220" s="90"/>
      <c r="J220" s="90"/>
      <c r="K220" s="90"/>
      <c r="L220" s="90"/>
      <c r="M220" s="90"/>
      <c r="N220" s="150"/>
      <c r="O220" s="152"/>
      <c r="P220" s="90"/>
      <c r="Q220" s="140"/>
      <c r="R220" s="90"/>
      <c r="S220" s="140"/>
      <c r="T220" s="90"/>
      <c r="U220" s="140"/>
      <c r="V220" s="90"/>
      <c r="W220" s="140"/>
      <c r="X220" s="90"/>
      <c r="Y220" s="140"/>
      <c r="Z220" s="90"/>
      <c r="AA220" s="140"/>
      <c r="AB220" s="62"/>
      <c r="AC220" s="140"/>
      <c r="AD220" s="62"/>
      <c r="AE220" s="140"/>
      <c r="AF220" s="189" t="str">
        <f t="shared" si="7"/>
        <v/>
      </c>
      <c r="AG220" s="304" t="b">
        <f t="shared" si="6"/>
        <v>0</v>
      </c>
      <c r="AH220" s="9"/>
      <c r="AI220" s="145">
        <f t="shared" si="5"/>
        <v>0</v>
      </c>
      <c r="AJ220" s="147" t="s">
        <v>36</v>
      </c>
    </row>
    <row r="221" spans="1:36" ht="30" customHeight="1">
      <c r="A221" s="90"/>
      <c r="B221" s="90"/>
      <c r="C221" s="90"/>
      <c r="D221" s="90"/>
      <c r="E221" s="90"/>
      <c r="F221" s="90"/>
      <c r="G221" s="90"/>
      <c r="H221" s="90"/>
      <c r="I221" s="90"/>
      <c r="J221" s="90"/>
      <c r="K221" s="90"/>
      <c r="L221" s="90"/>
      <c r="M221" s="90"/>
      <c r="N221" s="150"/>
      <c r="O221" s="152"/>
      <c r="P221" s="90"/>
      <c r="Q221" s="140"/>
      <c r="R221" s="90"/>
      <c r="S221" s="140"/>
      <c r="T221" s="90"/>
      <c r="U221" s="140"/>
      <c r="V221" s="90"/>
      <c r="W221" s="140"/>
      <c r="X221" s="90"/>
      <c r="Y221" s="140"/>
      <c r="Z221" s="90"/>
      <c r="AA221" s="140"/>
      <c r="AB221" s="62"/>
      <c r="AC221" s="140"/>
      <c r="AD221" s="62"/>
      <c r="AE221" s="140"/>
      <c r="AF221" s="189" t="str">
        <f t="shared" si="7"/>
        <v/>
      </c>
      <c r="AG221" s="304" t="b">
        <f t="shared" si="6"/>
        <v>0</v>
      </c>
      <c r="AH221" s="9"/>
      <c r="AI221" s="145">
        <f t="shared" si="5"/>
        <v>0</v>
      </c>
      <c r="AJ221" s="147" t="s">
        <v>36</v>
      </c>
    </row>
    <row r="222" spans="1:36" ht="30" customHeight="1">
      <c r="A222" s="90"/>
      <c r="B222" s="90"/>
      <c r="C222" s="90"/>
      <c r="D222" s="90"/>
      <c r="E222" s="90"/>
      <c r="F222" s="90"/>
      <c r="G222" s="90"/>
      <c r="H222" s="90"/>
      <c r="I222" s="90"/>
      <c r="J222" s="90"/>
      <c r="K222" s="90"/>
      <c r="L222" s="90"/>
      <c r="M222" s="90"/>
      <c r="N222" s="150"/>
      <c r="O222" s="152"/>
      <c r="P222" s="90"/>
      <c r="Q222" s="140"/>
      <c r="R222" s="90"/>
      <c r="S222" s="140"/>
      <c r="T222" s="90"/>
      <c r="U222" s="140"/>
      <c r="V222" s="90"/>
      <c r="W222" s="140"/>
      <c r="X222" s="90"/>
      <c r="Y222" s="140"/>
      <c r="Z222" s="90"/>
      <c r="AA222" s="140"/>
      <c r="AB222" s="62"/>
      <c r="AC222" s="140"/>
      <c r="AD222" s="62"/>
      <c r="AE222" s="140"/>
      <c r="AF222" s="189" t="str">
        <f t="shared" si="7"/>
        <v/>
      </c>
      <c r="AG222" s="304" t="b">
        <f t="shared" si="6"/>
        <v>0</v>
      </c>
      <c r="AH222" s="9"/>
      <c r="AI222" s="145">
        <f t="shared" si="5"/>
        <v>0</v>
      </c>
      <c r="AJ222" s="147" t="s">
        <v>36</v>
      </c>
    </row>
    <row r="223" spans="1:36" ht="30" customHeight="1">
      <c r="A223" s="90"/>
      <c r="B223" s="90"/>
      <c r="C223" s="90"/>
      <c r="D223" s="90"/>
      <c r="E223" s="90"/>
      <c r="F223" s="90"/>
      <c r="G223" s="90"/>
      <c r="H223" s="90"/>
      <c r="I223" s="90"/>
      <c r="J223" s="90"/>
      <c r="K223" s="90"/>
      <c r="L223" s="90"/>
      <c r="M223" s="90"/>
      <c r="N223" s="150"/>
      <c r="O223" s="152"/>
      <c r="P223" s="90"/>
      <c r="Q223" s="140"/>
      <c r="R223" s="90"/>
      <c r="S223" s="140"/>
      <c r="T223" s="90"/>
      <c r="U223" s="140"/>
      <c r="V223" s="90"/>
      <c r="W223" s="140"/>
      <c r="X223" s="90"/>
      <c r="Y223" s="140"/>
      <c r="Z223" s="90"/>
      <c r="AA223" s="140"/>
      <c r="AB223" s="62"/>
      <c r="AC223" s="140"/>
      <c r="AD223" s="62"/>
      <c r="AE223" s="140"/>
      <c r="AF223" s="189" t="str">
        <f t="shared" si="7"/>
        <v/>
      </c>
      <c r="AG223" s="304" t="b">
        <f t="shared" si="6"/>
        <v>0</v>
      </c>
      <c r="AH223" s="9"/>
      <c r="AI223" s="145">
        <f t="shared" si="5"/>
        <v>0</v>
      </c>
      <c r="AJ223" s="147" t="s">
        <v>36</v>
      </c>
    </row>
    <row r="224" spans="1:36" ht="30" customHeight="1">
      <c r="A224" s="90"/>
      <c r="B224" s="90"/>
      <c r="C224" s="90"/>
      <c r="D224" s="90"/>
      <c r="E224" s="90"/>
      <c r="F224" s="90"/>
      <c r="G224" s="90"/>
      <c r="H224" s="90"/>
      <c r="I224" s="90"/>
      <c r="J224" s="90"/>
      <c r="K224" s="90"/>
      <c r="L224" s="90"/>
      <c r="M224" s="90"/>
      <c r="N224" s="150"/>
      <c r="O224" s="152"/>
      <c r="P224" s="90"/>
      <c r="Q224" s="140"/>
      <c r="R224" s="90"/>
      <c r="S224" s="140"/>
      <c r="T224" s="90"/>
      <c r="U224" s="140"/>
      <c r="V224" s="90"/>
      <c r="W224" s="140"/>
      <c r="X224" s="90"/>
      <c r="Y224" s="140"/>
      <c r="Z224" s="90"/>
      <c r="AA224" s="140"/>
      <c r="AB224" s="62"/>
      <c r="AC224" s="140"/>
      <c r="AD224" s="62"/>
      <c r="AE224" s="140"/>
      <c r="AF224" s="189" t="str">
        <f t="shared" si="7"/>
        <v/>
      </c>
      <c r="AG224" s="304" t="b">
        <f t="shared" si="6"/>
        <v>0</v>
      </c>
      <c r="AH224" s="9"/>
      <c r="AI224" s="145">
        <f t="shared" si="5"/>
        <v>0</v>
      </c>
      <c r="AJ224" s="147" t="s">
        <v>36</v>
      </c>
    </row>
    <row r="225" spans="1:36" ht="30" customHeight="1">
      <c r="A225" s="90"/>
      <c r="B225" s="90"/>
      <c r="C225" s="90"/>
      <c r="D225" s="90"/>
      <c r="E225" s="90"/>
      <c r="F225" s="90"/>
      <c r="G225" s="90"/>
      <c r="H225" s="90"/>
      <c r="I225" s="90"/>
      <c r="J225" s="90"/>
      <c r="K225" s="90"/>
      <c r="L225" s="90"/>
      <c r="M225" s="90"/>
      <c r="N225" s="150"/>
      <c r="O225" s="152"/>
      <c r="P225" s="90"/>
      <c r="Q225" s="140"/>
      <c r="R225" s="90"/>
      <c r="S225" s="140"/>
      <c r="T225" s="90"/>
      <c r="U225" s="140"/>
      <c r="V225" s="90"/>
      <c r="W225" s="140"/>
      <c r="X225" s="90"/>
      <c r="Y225" s="140"/>
      <c r="Z225" s="90"/>
      <c r="AA225" s="140"/>
      <c r="AB225" s="62"/>
      <c r="AC225" s="140"/>
      <c r="AD225" s="62"/>
      <c r="AE225" s="140"/>
      <c r="AF225" s="189" t="str">
        <f t="shared" si="7"/>
        <v/>
      </c>
      <c r="AG225" s="304" t="b">
        <f t="shared" si="6"/>
        <v>0</v>
      </c>
      <c r="AH225" s="9"/>
      <c r="AI225" s="145">
        <f t="shared" si="5"/>
        <v>0</v>
      </c>
      <c r="AJ225" s="147" t="s">
        <v>36</v>
      </c>
    </row>
    <row r="226" spans="1:36" ht="30" customHeight="1">
      <c r="A226" s="90"/>
      <c r="B226" s="90"/>
      <c r="C226" s="90"/>
      <c r="D226" s="90"/>
      <c r="E226" s="90"/>
      <c r="F226" s="90"/>
      <c r="G226" s="90"/>
      <c r="H226" s="90"/>
      <c r="I226" s="90"/>
      <c r="J226" s="90"/>
      <c r="K226" s="90"/>
      <c r="L226" s="90"/>
      <c r="M226" s="90"/>
      <c r="N226" s="150"/>
      <c r="O226" s="152"/>
      <c r="P226" s="90"/>
      <c r="Q226" s="140"/>
      <c r="R226" s="90"/>
      <c r="S226" s="140"/>
      <c r="T226" s="90"/>
      <c r="U226" s="140"/>
      <c r="V226" s="90"/>
      <c r="W226" s="140"/>
      <c r="X226" s="90"/>
      <c r="Y226" s="140"/>
      <c r="Z226" s="90"/>
      <c r="AA226" s="140"/>
      <c r="AB226" s="62"/>
      <c r="AC226" s="140"/>
      <c r="AD226" s="62"/>
      <c r="AE226" s="140"/>
      <c r="AF226" s="189" t="str">
        <f t="shared" si="7"/>
        <v/>
      </c>
      <c r="AG226" s="304" t="b">
        <f t="shared" si="6"/>
        <v>0</v>
      </c>
      <c r="AH226" s="9"/>
      <c r="AI226" s="145">
        <f t="shared" si="5"/>
        <v>0</v>
      </c>
      <c r="AJ226" s="147" t="s">
        <v>36</v>
      </c>
    </row>
    <row r="227" spans="1:36" ht="30" customHeight="1">
      <c r="A227" s="90"/>
      <c r="B227" s="90"/>
      <c r="C227" s="90"/>
      <c r="D227" s="90"/>
      <c r="E227" s="90"/>
      <c r="F227" s="90"/>
      <c r="G227" s="90"/>
      <c r="H227" s="90"/>
      <c r="I227" s="90"/>
      <c r="J227" s="90"/>
      <c r="K227" s="90"/>
      <c r="L227" s="90"/>
      <c r="M227" s="90"/>
      <c r="N227" s="150"/>
      <c r="O227" s="152"/>
      <c r="P227" s="90"/>
      <c r="Q227" s="140"/>
      <c r="R227" s="90"/>
      <c r="S227" s="140"/>
      <c r="T227" s="90"/>
      <c r="U227" s="140"/>
      <c r="V227" s="90"/>
      <c r="W227" s="140"/>
      <c r="X227" s="90"/>
      <c r="Y227" s="140"/>
      <c r="Z227" s="90"/>
      <c r="AA227" s="140"/>
      <c r="AB227" s="62"/>
      <c r="AC227" s="140"/>
      <c r="AD227" s="62"/>
      <c r="AE227" s="140"/>
      <c r="AF227" s="189" t="str">
        <f t="shared" si="7"/>
        <v/>
      </c>
      <c r="AG227" s="304" t="b">
        <f t="shared" si="6"/>
        <v>0</v>
      </c>
      <c r="AH227" s="9"/>
      <c r="AI227" s="145">
        <f t="shared" si="5"/>
        <v>0</v>
      </c>
      <c r="AJ227" s="147" t="s">
        <v>36</v>
      </c>
    </row>
    <row r="228" spans="1:36" ht="30" customHeight="1">
      <c r="A228" s="90"/>
      <c r="B228" s="90"/>
      <c r="C228" s="90"/>
      <c r="D228" s="90"/>
      <c r="E228" s="90"/>
      <c r="F228" s="90"/>
      <c r="G228" s="90"/>
      <c r="H228" s="90"/>
      <c r="I228" s="90"/>
      <c r="J228" s="90"/>
      <c r="K228" s="90"/>
      <c r="L228" s="90"/>
      <c r="M228" s="90"/>
      <c r="N228" s="150"/>
      <c r="O228" s="152"/>
      <c r="P228" s="90"/>
      <c r="Q228" s="140"/>
      <c r="R228" s="90"/>
      <c r="S228" s="140"/>
      <c r="T228" s="90"/>
      <c r="U228" s="140"/>
      <c r="V228" s="90"/>
      <c r="W228" s="140"/>
      <c r="X228" s="90"/>
      <c r="Y228" s="140"/>
      <c r="Z228" s="90"/>
      <c r="AA228" s="140"/>
      <c r="AB228" s="62"/>
      <c r="AC228" s="140"/>
      <c r="AD228" s="62"/>
      <c r="AE228" s="140"/>
      <c r="AF228" s="189" t="str">
        <f t="shared" si="7"/>
        <v/>
      </c>
      <c r="AG228" s="304" t="b">
        <f t="shared" si="6"/>
        <v>0</v>
      </c>
      <c r="AH228" s="9"/>
      <c r="AI228" s="145">
        <f t="shared" si="5"/>
        <v>0</v>
      </c>
      <c r="AJ228" s="147" t="s">
        <v>36</v>
      </c>
    </row>
    <row r="229" spans="1:36" ht="30" customHeight="1">
      <c r="A229" s="90"/>
      <c r="B229" s="90"/>
      <c r="C229" s="90"/>
      <c r="D229" s="90"/>
      <c r="E229" s="90"/>
      <c r="F229" s="90"/>
      <c r="G229" s="90"/>
      <c r="H229" s="90"/>
      <c r="I229" s="90"/>
      <c r="J229" s="90"/>
      <c r="K229" s="90"/>
      <c r="L229" s="90"/>
      <c r="M229" s="90"/>
      <c r="N229" s="150"/>
      <c r="O229" s="152"/>
      <c r="P229" s="90"/>
      <c r="Q229" s="140"/>
      <c r="R229" s="90"/>
      <c r="S229" s="140"/>
      <c r="T229" s="90"/>
      <c r="U229" s="140"/>
      <c r="V229" s="90"/>
      <c r="W229" s="140"/>
      <c r="X229" s="90"/>
      <c r="Y229" s="140"/>
      <c r="Z229" s="90"/>
      <c r="AA229" s="140"/>
      <c r="AB229" s="62"/>
      <c r="AC229" s="140"/>
      <c r="AD229" s="62"/>
      <c r="AE229" s="140"/>
      <c r="AF229" s="189" t="str">
        <f t="shared" si="7"/>
        <v/>
      </c>
      <c r="AG229" s="304" t="b">
        <f t="shared" si="6"/>
        <v>0</v>
      </c>
      <c r="AH229" s="9"/>
      <c r="AI229" s="145">
        <f t="shared" si="5"/>
        <v>0</v>
      </c>
      <c r="AJ229" s="147" t="s">
        <v>36</v>
      </c>
    </row>
    <row r="230" spans="1:36" ht="30" customHeight="1">
      <c r="A230" s="90"/>
      <c r="B230" s="90"/>
      <c r="C230" s="90"/>
      <c r="D230" s="90"/>
      <c r="E230" s="90"/>
      <c r="F230" s="90"/>
      <c r="G230" s="90"/>
      <c r="H230" s="90"/>
      <c r="I230" s="90"/>
      <c r="J230" s="90"/>
      <c r="K230" s="90"/>
      <c r="L230" s="90"/>
      <c r="M230" s="90"/>
      <c r="N230" s="150"/>
      <c r="O230" s="152"/>
      <c r="P230" s="90"/>
      <c r="Q230" s="140"/>
      <c r="R230" s="90"/>
      <c r="S230" s="140"/>
      <c r="T230" s="90"/>
      <c r="U230" s="140"/>
      <c r="V230" s="90"/>
      <c r="W230" s="140"/>
      <c r="X230" s="90"/>
      <c r="Y230" s="140"/>
      <c r="Z230" s="90"/>
      <c r="AA230" s="140"/>
      <c r="AB230" s="62"/>
      <c r="AC230" s="140"/>
      <c r="AD230" s="62"/>
      <c r="AE230" s="140"/>
      <c r="AF230" s="189" t="str">
        <f t="shared" si="7"/>
        <v/>
      </c>
      <c r="AG230" s="304" t="b">
        <f t="shared" si="6"/>
        <v>0</v>
      </c>
      <c r="AH230" s="9"/>
      <c r="AI230" s="145">
        <f t="shared" si="5"/>
        <v>0</v>
      </c>
      <c r="AJ230" s="147" t="s">
        <v>36</v>
      </c>
    </row>
    <row r="231" spans="1:36" ht="30" customHeight="1">
      <c r="A231" s="90"/>
      <c r="B231" s="90"/>
      <c r="C231" s="90"/>
      <c r="D231" s="90"/>
      <c r="E231" s="90"/>
      <c r="F231" s="90"/>
      <c r="G231" s="90"/>
      <c r="H231" s="90"/>
      <c r="I231" s="90"/>
      <c r="J231" s="90"/>
      <c r="K231" s="90"/>
      <c r="L231" s="90"/>
      <c r="M231" s="90"/>
      <c r="N231" s="150"/>
      <c r="O231" s="152"/>
      <c r="P231" s="90"/>
      <c r="Q231" s="140"/>
      <c r="R231" s="90"/>
      <c r="S231" s="140"/>
      <c r="T231" s="90"/>
      <c r="U231" s="140"/>
      <c r="V231" s="90"/>
      <c r="W231" s="140"/>
      <c r="X231" s="90"/>
      <c r="Y231" s="140"/>
      <c r="Z231" s="90"/>
      <c r="AA231" s="140"/>
      <c r="AB231" s="62"/>
      <c r="AC231" s="140"/>
      <c r="AD231" s="62"/>
      <c r="AE231" s="140"/>
      <c r="AF231" s="189" t="str">
        <f t="shared" si="7"/>
        <v/>
      </c>
      <c r="AG231" s="304" t="b">
        <f t="shared" si="6"/>
        <v>0</v>
      </c>
      <c r="AH231" s="9"/>
      <c r="AI231" s="145">
        <f t="shared" si="5"/>
        <v>0</v>
      </c>
      <c r="AJ231" s="147" t="s">
        <v>36</v>
      </c>
    </row>
    <row r="232" spans="1:36" ht="30" customHeight="1">
      <c r="A232" s="90"/>
      <c r="B232" s="90"/>
      <c r="C232" s="90"/>
      <c r="D232" s="90"/>
      <c r="E232" s="90"/>
      <c r="F232" s="90"/>
      <c r="G232" s="90"/>
      <c r="H232" s="90"/>
      <c r="I232" s="90"/>
      <c r="J232" s="90"/>
      <c r="K232" s="90"/>
      <c r="L232" s="90"/>
      <c r="M232" s="90"/>
      <c r="N232" s="150"/>
      <c r="O232" s="152"/>
      <c r="P232" s="90"/>
      <c r="Q232" s="140"/>
      <c r="R232" s="90"/>
      <c r="S232" s="140"/>
      <c r="T232" s="90"/>
      <c r="U232" s="140"/>
      <c r="V232" s="90"/>
      <c r="W232" s="140"/>
      <c r="X232" s="90"/>
      <c r="Y232" s="140"/>
      <c r="Z232" s="90"/>
      <c r="AA232" s="140"/>
      <c r="AB232" s="62"/>
      <c r="AC232" s="140"/>
      <c r="AD232" s="62"/>
      <c r="AE232" s="140"/>
      <c r="AF232" s="189" t="str">
        <f t="shared" si="7"/>
        <v/>
      </c>
      <c r="AG232" s="304" t="b">
        <f t="shared" si="6"/>
        <v>0</v>
      </c>
      <c r="AH232" s="9"/>
      <c r="AI232" s="145">
        <f t="shared" si="5"/>
        <v>0</v>
      </c>
      <c r="AJ232" s="147" t="s">
        <v>36</v>
      </c>
    </row>
    <row r="233" spans="1:36" ht="30" customHeight="1">
      <c r="A233" s="90"/>
      <c r="B233" s="90"/>
      <c r="C233" s="90"/>
      <c r="D233" s="90"/>
      <c r="E233" s="90"/>
      <c r="F233" s="90"/>
      <c r="G233" s="90"/>
      <c r="H233" s="90"/>
      <c r="I233" s="90"/>
      <c r="J233" s="90"/>
      <c r="K233" s="90"/>
      <c r="L233" s="90"/>
      <c r="M233" s="90"/>
      <c r="N233" s="150"/>
      <c r="O233" s="152"/>
      <c r="P233" s="90"/>
      <c r="Q233" s="140"/>
      <c r="R233" s="90"/>
      <c r="S233" s="140"/>
      <c r="T233" s="90"/>
      <c r="U233" s="140"/>
      <c r="V233" s="90"/>
      <c r="W233" s="140"/>
      <c r="X233" s="90"/>
      <c r="Y233" s="140"/>
      <c r="Z233" s="90"/>
      <c r="AA233" s="140"/>
      <c r="AB233" s="62"/>
      <c r="AC233" s="140"/>
      <c r="AD233" s="62"/>
      <c r="AE233" s="140"/>
      <c r="AF233" s="189" t="str">
        <f t="shared" si="7"/>
        <v/>
      </c>
      <c r="AG233" s="304" t="b">
        <f t="shared" si="6"/>
        <v>0</v>
      </c>
      <c r="AH233" s="9"/>
      <c r="AI233" s="145">
        <f t="shared" si="5"/>
        <v>0</v>
      </c>
      <c r="AJ233" s="147" t="s">
        <v>36</v>
      </c>
    </row>
    <row r="234" spans="1:36" ht="30" customHeight="1">
      <c r="A234" s="90"/>
      <c r="B234" s="90"/>
      <c r="C234" s="90"/>
      <c r="D234" s="90"/>
      <c r="E234" s="90"/>
      <c r="F234" s="90"/>
      <c r="G234" s="90"/>
      <c r="H234" s="90"/>
      <c r="I234" s="90"/>
      <c r="J234" s="90"/>
      <c r="K234" s="90"/>
      <c r="L234" s="90"/>
      <c r="M234" s="90"/>
      <c r="N234" s="150"/>
      <c r="O234" s="152"/>
      <c r="P234" s="90"/>
      <c r="Q234" s="140"/>
      <c r="R234" s="90"/>
      <c r="S234" s="140"/>
      <c r="T234" s="90"/>
      <c r="U234" s="140"/>
      <c r="V234" s="90"/>
      <c r="W234" s="140"/>
      <c r="X234" s="90"/>
      <c r="Y234" s="140"/>
      <c r="Z234" s="90"/>
      <c r="AA234" s="140"/>
      <c r="AB234" s="62"/>
      <c r="AC234" s="140"/>
      <c r="AD234" s="62"/>
      <c r="AE234" s="140"/>
      <c r="AF234" s="189" t="str">
        <f t="shared" si="7"/>
        <v/>
      </c>
      <c r="AG234" s="304" t="b">
        <f t="shared" si="6"/>
        <v>0</v>
      </c>
      <c r="AH234" s="9"/>
      <c r="AI234" s="145">
        <f t="shared" si="5"/>
        <v>0</v>
      </c>
      <c r="AJ234" s="147" t="s">
        <v>36</v>
      </c>
    </row>
    <row r="235" spans="1:36" ht="30" customHeight="1">
      <c r="A235" s="90"/>
      <c r="B235" s="90"/>
      <c r="C235" s="90"/>
      <c r="D235" s="90"/>
      <c r="E235" s="90"/>
      <c r="F235" s="90"/>
      <c r="G235" s="90"/>
      <c r="H235" s="90"/>
      <c r="I235" s="90"/>
      <c r="J235" s="90"/>
      <c r="K235" s="90"/>
      <c r="L235" s="90"/>
      <c r="M235" s="90"/>
      <c r="N235" s="150"/>
      <c r="O235" s="152"/>
      <c r="P235" s="90"/>
      <c r="Q235" s="140"/>
      <c r="R235" s="90"/>
      <c r="S235" s="140"/>
      <c r="T235" s="90"/>
      <c r="U235" s="140"/>
      <c r="V235" s="90"/>
      <c r="W235" s="140"/>
      <c r="X235" s="90"/>
      <c r="Y235" s="140"/>
      <c r="Z235" s="90"/>
      <c r="AA235" s="140"/>
      <c r="AB235" s="62"/>
      <c r="AC235" s="140"/>
      <c r="AD235" s="62"/>
      <c r="AE235" s="140"/>
      <c r="AF235" s="189" t="str">
        <f t="shared" si="7"/>
        <v/>
      </c>
      <c r="AG235" s="304" t="b">
        <f t="shared" si="6"/>
        <v>0</v>
      </c>
      <c r="AH235" s="9"/>
      <c r="AI235" s="145">
        <f t="shared" si="5"/>
        <v>0</v>
      </c>
      <c r="AJ235" s="147" t="s">
        <v>36</v>
      </c>
    </row>
    <row r="236" spans="1:36" ht="30" customHeight="1">
      <c r="A236" s="90"/>
      <c r="B236" s="90"/>
      <c r="C236" s="90"/>
      <c r="D236" s="90"/>
      <c r="E236" s="90"/>
      <c r="F236" s="90"/>
      <c r="G236" s="90"/>
      <c r="H236" s="90"/>
      <c r="I236" s="90"/>
      <c r="J236" s="90"/>
      <c r="K236" s="90"/>
      <c r="L236" s="90"/>
      <c r="M236" s="90"/>
      <c r="N236" s="150"/>
      <c r="O236" s="152"/>
      <c r="P236" s="90"/>
      <c r="Q236" s="140"/>
      <c r="R236" s="90"/>
      <c r="S236" s="140"/>
      <c r="T236" s="90"/>
      <c r="U236" s="140"/>
      <c r="V236" s="90"/>
      <c r="W236" s="140"/>
      <c r="X236" s="90"/>
      <c r="Y236" s="140"/>
      <c r="Z236" s="90"/>
      <c r="AA236" s="140"/>
      <c r="AB236" s="62"/>
      <c r="AC236" s="140"/>
      <c r="AD236" s="62"/>
      <c r="AE236" s="140"/>
      <c r="AF236" s="189" t="str">
        <f t="shared" si="7"/>
        <v/>
      </c>
      <c r="AG236" s="304" t="b">
        <f t="shared" si="6"/>
        <v>0</v>
      </c>
      <c r="AH236" s="9"/>
      <c r="AI236" s="145">
        <f t="shared" si="5"/>
        <v>0</v>
      </c>
      <c r="AJ236" s="147" t="s">
        <v>36</v>
      </c>
    </row>
    <row r="237" spans="1:36" ht="30" customHeight="1">
      <c r="A237" s="90"/>
      <c r="B237" s="90"/>
      <c r="C237" s="90"/>
      <c r="D237" s="90"/>
      <c r="E237" s="90"/>
      <c r="F237" s="90"/>
      <c r="G237" s="90"/>
      <c r="H237" s="90"/>
      <c r="I237" s="90"/>
      <c r="J237" s="90"/>
      <c r="K237" s="90"/>
      <c r="L237" s="90"/>
      <c r="M237" s="90"/>
      <c r="N237" s="150"/>
      <c r="O237" s="152"/>
      <c r="P237" s="90"/>
      <c r="Q237" s="140"/>
      <c r="R237" s="90"/>
      <c r="S237" s="140"/>
      <c r="T237" s="90"/>
      <c r="U237" s="140"/>
      <c r="V237" s="90"/>
      <c r="W237" s="140"/>
      <c r="X237" s="90"/>
      <c r="Y237" s="140"/>
      <c r="Z237" s="90"/>
      <c r="AA237" s="140"/>
      <c r="AB237" s="62"/>
      <c r="AC237" s="140"/>
      <c r="AD237" s="62"/>
      <c r="AE237" s="140"/>
      <c r="AF237" s="189" t="str">
        <f t="shared" si="7"/>
        <v/>
      </c>
      <c r="AG237" s="304" t="b">
        <f t="shared" si="6"/>
        <v>0</v>
      </c>
      <c r="AH237" s="9"/>
      <c r="AI237" s="145">
        <f t="shared" si="5"/>
        <v>0</v>
      </c>
      <c r="AJ237" s="147" t="s">
        <v>36</v>
      </c>
    </row>
    <row r="238" spans="1:36" ht="30" customHeight="1">
      <c r="A238" s="90"/>
      <c r="B238" s="90"/>
      <c r="C238" s="90"/>
      <c r="D238" s="90"/>
      <c r="E238" s="90"/>
      <c r="F238" s="90"/>
      <c r="G238" s="90"/>
      <c r="H238" s="90"/>
      <c r="I238" s="90"/>
      <c r="J238" s="90"/>
      <c r="K238" s="90"/>
      <c r="L238" s="90"/>
      <c r="M238" s="90"/>
      <c r="N238" s="150"/>
      <c r="O238" s="152"/>
      <c r="P238" s="90"/>
      <c r="Q238" s="140"/>
      <c r="R238" s="90"/>
      <c r="S238" s="140"/>
      <c r="T238" s="90"/>
      <c r="U238" s="140"/>
      <c r="V238" s="90"/>
      <c r="W238" s="140"/>
      <c r="X238" s="90"/>
      <c r="Y238" s="140"/>
      <c r="Z238" s="90"/>
      <c r="AA238" s="140"/>
      <c r="AB238" s="62"/>
      <c r="AC238" s="140"/>
      <c r="AD238" s="62"/>
      <c r="AE238" s="140"/>
      <c r="AF238" s="189" t="str">
        <f t="shared" si="7"/>
        <v/>
      </c>
      <c r="AG238" s="304" t="b">
        <f t="shared" si="6"/>
        <v>0</v>
      </c>
      <c r="AH238" s="9"/>
      <c r="AI238" s="145">
        <f t="shared" si="5"/>
        <v>0</v>
      </c>
      <c r="AJ238" s="147" t="s">
        <v>36</v>
      </c>
    </row>
    <row r="239" spans="1:36" ht="30" customHeight="1">
      <c r="A239" s="90"/>
      <c r="B239" s="90"/>
      <c r="C239" s="90"/>
      <c r="D239" s="90"/>
      <c r="E239" s="90"/>
      <c r="F239" s="90"/>
      <c r="G239" s="90"/>
      <c r="H239" s="90"/>
      <c r="I239" s="90"/>
      <c r="J239" s="90"/>
      <c r="K239" s="90"/>
      <c r="L239" s="90"/>
      <c r="M239" s="90"/>
      <c r="N239" s="150"/>
      <c r="O239" s="152"/>
      <c r="P239" s="90"/>
      <c r="Q239" s="140"/>
      <c r="R239" s="90"/>
      <c r="S239" s="140"/>
      <c r="T239" s="90"/>
      <c r="U239" s="140"/>
      <c r="V239" s="90"/>
      <c r="W239" s="140"/>
      <c r="X239" s="90"/>
      <c r="Y239" s="140"/>
      <c r="Z239" s="90"/>
      <c r="AA239" s="140"/>
      <c r="AB239" s="62"/>
      <c r="AC239" s="140"/>
      <c r="AD239" s="62"/>
      <c r="AE239" s="140"/>
      <c r="AF239" s="189" t="str">
        <f t="shared" si="7"/>
        <v/>
      </c>
      <c r="AG239" s="304" t="b">
        <f t="shared" si="6"/>
        <v>0</v>
      </c>
      <c r="AH239" s="9"/>
      <c r="AI239" s="145">
        <f t="shared" si="5"/>
        <v>0</v>
      </c>
      <c r="AJ239" s="147" t="s">
        <v>36</v>
      </c>
    </row>
    <row r="240" spans="1:36" ht="30" customHeight="1">
      <c r="A240" s="90"/>
      <c r="B240" s="90"/>
      <c r="C240" s="90"/>
      <c r="D240" s="90"/>
      <c r="E240" s="90"/>
      <c r="F240" s="90"/>
      <c r="G240" s="90"/>
      <c r="H240" s="90"/>
      <c r="I240" s="90"/>
      <c r="J240" s="90"/>
      <c r="K240" s="90"/>
      <c r="L240" s="90"/>
      <c r="M240" s="90"/>
      <c r="N240" s="150"/>
      <c r="O240" s="152"/>
      <c r="P240" s="90"/>
      <c r="Q240" s="140"/>
      <c r="R240" s="90"/>
      <c r="S240" s="140"/>
      <c r="T240" s="90"/>
      <c r="U240" s="140"/>
      <c r="V240" s="90"/>
      <c r="W240" s="140"/>
      <c r="X240" s="90"/>
      <c r="Y240" s="140"/>
      <c r="Z240" s="90"/>
      <c r="AA240" s="140"/>
      <c r="AB240" s="62"/>
      <c r="AC240" s="140"/>
      <c r="AD240" s="62"/>
      <c r="AE240" s="140"/>
      <c r="AF240" s="189" t="str">
        <f t="shared" si="7"/>
        <v/>
      </c>
      <c r="AG240" s="304" t="b">
        <f t="shared" si="6"/>
        <v>0</v>
      </c>
      <c r="AH240" s="9"/>
      <c r="AI240" s="145">
        <f t="shared" si="5"/>
        <v>0</v>
      </c>
      <c r="AJ240" s="147" t="s">
        <v>36</v>
      </c>
    </row>
    <row r="241" spans="1:36" ht="30" customHeight="1">
      <c r="A241" s="90"/>
      <c r="B241" s="90"/>
      <c r="C241" s="90"/>
      <c r="D241" s="90"/>
      <c r="E241" s="90"/>
      <c r="F241" s="90"/>
      <c r="G241" s="90"/>
      <c r="H241" s="90"/>
      <c r="I241" s="90"/>
      <c r="J241" s="90"/>
      <c r="K241" s="90"/>
      <c r="L241" s="90"/>
      <c r="M241" s="90"/>
      <c r="N241" s="150"/>
      <c r="O241" s="152"/>
      <c r="P241" s="90"/>
      <c r="Q241" s="140"/>
      <c r="R241" s="90"/>
      <c r="S241" s="140"/>
      <c r="T241" s="90"/>
      <c r="U241" s="140"/>
      <c r="V241" s="90"/>
      <c r="W241" s="140"/>
      <c r="X241" s="90"/>
      <c r="Y241" s="140"/>
      <c r="Z241" s="90"/>
      <c r="AA241" s="140"/>
      <c r="AB241" s="62"/>
      <c r="AC241" s="140"/>
      <c r="AD241" s="62"/>
      <c r="AE241" s="140"/>
      <c r="AF241" s="189" t="str">
        <f t="shared" si="7"/>
        <v/>
      </c>
      <c r="AG241" s="304" t="b">
        <f t="shared" si="6"/>
        <v>0</v>
      </c>
      <c r="AH241" s="9"/>
      <c r="AI241" s="145">
        <f t="shared" si="5"/>
        <v>0</v>
      </c>
      <c r="AJ241" s="147" t="s">
        <v>36</v>
      </c>
    </row>
    <row r="242" spans="1:36" ht="30" customHeight="1">
      <c r="A242" s="90"/>
      <c r="B242" s="90"/>
      <c r="C242" s="90"/>
      <c r="D242" s="90"/>
      <c r="E242" s="90"/>
      <c r="F242" s="90"/>
      <c r="G242" s="90"/>
      <c r="H242" s="90"/>
      <c r="I242" s="90"/>
      <c r="J242" s="90"/>
      <c r="K242" s="90"/>
      <c r="L242" s="90"/>
      <c r="M242" s="90"/>
      <c r="N242" s="150"/>
      <c r="O242" s="152"/>
      <c r="P242" s="90"/>
      <c r="Q242" s="140"/>
      <c r="R242" s="90"/>
      <c r="S242" s="140"/>
      <c r="T242" s="90"/>
      <c r="U242" s="140"/>
      <c r="V242" s="90"/>
      <c r="W242" s="140"/>
      <c r="X242" s="90"/>
      <c r="Y242" s="140"/>
      <c r="Z242" s="90"/>
      <c r="AA242" s="140"/>
      <c r="AB242" s="62"/>
      <c r="AC242" s="140"/>
      <c r="AD242" s="62"/>
      <c r="AE242" s="140"/>
      <c r="AF242" s="189" t="str">
        <f t="shared" si="7"/>
        <v/>
      </c>
      <c r="AG242" s="304" t="b">
        <f t="shared" si="6"/>
        <v>0</v>
      </c>
      <c r="AH242" s="9"/>
      <c r="AI242" s="145">
        <f t="shared" si="5"/>
        <v>0</v>
      </c>
      <c r="AJ242" s="147" t="s">
        <v>36</v>
      </c>
    </row>
    <row r="243" spans="1:36" ht="30" customHeight="1">
      <c r="A243" s="90"/>
      <c r="B243" s="90"/>
      <c r="C243" s="90"/>
      <c r="D243" s="90"/>
      <c r="E243" s="90"/>
      <c r="F243" s="90"/>
      <c r="G243" s="90"/>
      <c r="H243" s="90"/>
      <c r="I243" s="90"/>
      <c r="J243" s="90"/>
      <c r="K243" s="90"/>
      <c r="L243" s="90"/>
      <c r="M243" s="90"/>
      <c r="N243" s="150"/>
      <c r="O243" s="152"/>
      <c r="P243" s="90"/>
      <c r="Q243" s="140"/>
      <c r="R243" s="90"/>
      <c r="S243" s="140"/>
      <c r="T243" s="90"/>
      <c r="U243" s="140"/>
      <c r="V243" s="90"/>
      <c r="W243" s="140"/>
      <c r="X243" s="90"/>
      <c r="Y243" s="140"/>
      <c r="Z243" s="90"/>
      <c r="AA243" s="140"/>
      <c r="AB243" s="62"/>
      <c r="AC243" s="140"/>
      <c r="AD243" s="62"/>
      <c r="AE243" s="140"/>
      <c r="AF243" s="189" t="str">
        <f t="shared" si="7"/>
        <v/>
      </c>
      <c r="AG243" s="304" t="b">
        <f t="shared" si="6"/>
        <v>0</v>
      </c>
      <c r="AH243" s="9"/>
      <c r="AI243" s="145">
        <f t="shared" si="5"/>
        <v>0</v>
      </c>
      <c r="AJ243" s="147" t="s">
        <v>36</v>
      </c>
    </row>
    <row r="244" spans="1:36" ht="30" customHeight="1">
      <c r="A244" s="90"/>
      <c r="B244" s="90"/>
      <c r="C244" s="90"/>
      <c r="D244" s="90"/>
      <c r="E244" s="90"/>
      <c r="F244" s="90"/>
      <c r="G244" s="90"/>
      <c r="H244" s="90"/>
      <c r="I244" s="90"/>
      <c r="J244" s="90"/>
      <c r="K244" s="90"/>
      <c r="L244" s="90"/>
      <c r="M244" s="90"/>
      <c r="N244" s="150"/>
      <c r="O244" s="152"/>
      <c r="P244" s="90"/>
      <c r="Q244" s="140"/>
      <c r="R244" s="90"/>
      <c r="S244" s="140"/>
      <c r="T244" s="90"/>
      <c r="U244" s="140"/>
      <c r="V244" s="90"/>
      <c r="W244" s="140"/>
      <c r="X244" s="90"/>
      <c r="Y244" s="140"/>
      <c r="Z244" s="90"/>
      <c r="AA244" s="140"/>
      <c r="AB244" s="62"/>
      <c r="AC244" s="140"/>
      <c r="AD244" s="62"/>
      <c r="AE244" s="140"/>
      <c r="AF244" s="189" t="str">
        <f t="shared" si="7"/>
        <v/>
      </c>
      <c r="AG244" s="304" t="b">
        <f t="shared" si="6"/>
        <v>0</v>
      </c>
      <c r="AH244" s="9"/>
      <c r="AI244" s="145">
        <f t="shared" si="5"/>
        <v>0</v>
      </c>
      <c r="AJ244" s="147" t="s">
        <v>36</v>
      </c>
    </row>
    <row r="245" spans="1:36" ht="30" customHeight="1">
      <c r="A245" s="90"/>
      <c r="B245" s="90"/>
      <c r="C245" s="90"/>
      <c r="D245" s="90"/>
      <c r="E245" s="90"/>
      <c r="F245" s="90"/>
      <c r="G245" s="90"/>
      <c r="H245" s="90"/>
      <c r="I245" s="90"/>
      <c r="J245" s="90"/>
      <c r="K245" s="90"/>
      <c r="L245" s="90"/>
      <c r="M245" s="90"/>
      <c r="N245" s="150"/>
      <c r="O245" s="152"/>
      <c r="P245" s="90"/>
      <c r="Q245" s="140"/>
      <c r="R245" s="90"/>
      <c r="S245" s="140"/>
      <c r="T245" s="90"/>
      <c r="U245" s="140"/>
      <c r="V245" s="90"/>
      <c r="W245" s="140"/>
      <c r="X245" s="90"/>
      <c r="Y245" s="140"/>
      <c r="Z245" s="90"/>
      <c r="AA245" s="140"/>
      <c r="AB245" s="62"/>
      <c r="AC245" s="140"/>
      <c r="AD245" s="62"/>
      <c r="AE245" s="140"/>
      <c r="AF245" s="189" t="str">
        <f t="shared" si="7"/>
        <v/>
      </c>
      <c r="AG245" s="304" t="b">
        <f t="shared" si="6"/>
        <v>0</v>
      </c>
      <c r="AH245" s="9"/>
      <c r="AI245" s="145">
        <f t="shared" si="5"/>
        <v>0</v>
      </c>
      <c r="AJ245" s="147" t="s">
        <v>36</v>
      </c>
    </row>
    <row r="246" spans="1:36" ht="30" customHeight="1">
      <c r="A246" s="90"/>
      <c r="B246" s="90"/>
      <c r="C246" s="90"/>
      <c r="D246" s="90"/>
      <c r="E246" s="90"/>
      <c r="F246" s="90"/>
      <c r="G246" s="90"/>
      <c r="H246" s="90"/>
      <c r="I246" s="90"/>
      <c r="J246" s="90"/>
      <c r="K246" s="90"/>
      <c r="L246" s="90"/>
      <c r="M246" s="90"/>
      <c r="N246" s="150"/>
      <c r="O246" s="152"/>
      <c r="P246" s="90"/>
      <c r="Q246" s="140"/>
      <c r="R246" s="90"/>
      <c r="S246" s="140"/>
      <c r="T246" s="90"/>
      <c r="U246" s="140"/>
      <c r="V246" s="90"/>
      <c r="W246" s="140"/>
      <c r="X246" s="90"/>
      <c r="Y246" s="140"/>
      <c r="Z246" s="90"/>
      <c r="AA246" s="140"/>
      <c r="AB246" s="62"/>
      <c r="AC246" s="140"/>
      <c r="AD246" s="62"/>
      <c r="AE246" s="140"/>
      <c r="AF246" s="189" t="str">
        <f t="shared" si="7"/>
        <v/>
      </c>
      <c r="AG246" s="304" t="b">
        <f t="shared" si="6"/>
        <v>0</v>
      </c>
      <c r="AH246" s="9"/>
      <c r="AI246" s="145">
        <f t="shared" si="5"/>
        <v>0</v>
      </c>
      <c r="AJ246" s="147" t="s">
        <v>36</v>
      </c>
    </row>
    <row r="247" spans="1:36" ht="30" customHeight="1">
      <c r="A247" s="90"/>
      <c r="B247" s="90"/>
      <c r="C247" s="90"/>
      <c r="D247" s="90"/>
      <c r="E247" s="90"/>
      <c r="F247" s="90"/>
      <c r="G247" s="90"/>
      <c r="H247" s="90"/>
      <c r="I247" s="90"/>
      <c r="J247" s="90"/>
      <c r="K247" s="90"/>
      <c r="L247" s="90"/>
      <c r="M247" s="90"/>
      <c r="N247" s="150"/>
      <c r="O247" s="152"/>
      <c r="P247" s="90"/>
      <c r="Q247" s="140"/>
      <c r="R247" s="90"/>
      <c r="S247" s="140"/>
      <c r="T247" s="90"/>
      <c r="U247" s="140"/>
      <c r="V247" s="90"/>
      <c r="W247" s="140"/>
      <c r="X247" s="90"/>
      <c r="Y247" s="140"/>
      <c r="Z247" s="90"/>
      <c r="AA247" s="140"/>
      <c r="AB247" s="62"/>
      <c r="AC247" s="140"/>
      <c r="AD247" s="62"/>
      <c r="AE247" s="140"/>
      <c r="AF247" s="189" t="str">
        <f t="shared" si="7"/>
        <v/>
      </c>
      <c r="AG247" s="304" t="b">
        <f t="shared" si="6"/>
        <v>0</v>
      </c>
      <c r="AH247" s="9"/>
      <c r="AI247" s="145">
        <f t="shared" si="5"/>
        <v>0</v>
      </c>
      <c r="AJ247" s="147" t="s">
        <v>36</v>
      </c>
    </row>
    <row r="248" spans="1:36" ht="30" customHeight="1">
      <c r="A248" s="90"/>
      <c r="B248" s="90"/>
      <c r="C248" s="90"/>
      <c r="D248" s="90"/>
      <c r="E248" s="90"/>
      <c r="F248" s="90"/>
      <c r="G248" s="90"/>
      <c r="H248" s="90"/>
      <c r="I248" s="90"/>
      <c r="J248" s="90"/>
      <c r="K248" s="90"/>
      <c r="L248" s="90"/>
      <c r="M248" s="90"/>
      <c r="N248" s="150"/>
      <c r="O248" s="152"/>
      <c r="P248" s="90"/>
      <c r="Q248" s="140"/>
      <c r="R248" s="90"/>
      <c r="S248" s="140"/>
      <c r="T248" s="90"/>
      <c r="U248" s="140"/>
      <c r="V248" s="90"/>
      <c r="W248" s="140"/>
      <c r="X248" s="90"/>
      <c r="Y248" s="140"/>
      <c r="Z248" s="90"/>
      <c r="AA248" s="140"/>
      <c r="AB248" s="62"/>
      <c r="AC248" s="140"/>
      <c r="AD248" s="62"/>
      <c r="AE248" s="140"/>
      <c r="AF248" s="189" t="str">
        <f t="shared" si="7"/>
        <v/>
      </c>
      <c r="AG248" s="304" t="b">
        <f t="shared" si="6"/>
        <v>0</v>
      </c>
      <c r="AH248" s="9"/>
      <c r="AI248" s="145">
        <f t="shared" ref="AI248:AI311" si="8">E248</f>
        <v>0</v>
      </c>
      <c r="AJ248" s="147" t="s">
        <v>36</v>
      </c>
    </row>
    <row r="249" spans="1:36" ht="30" customHeight="1">
      <c r="A249" s="90"/>
      <c r="B249" s="90"/>
      <c r="C249" s="90"/>
      <c r="D249" s="90"/>
      <c r="E249" s="90"/>
      <c r="F249" s="90"/>
      <c r="G249" s="90"/>
      <c r="H249" s="90"/>
      <c r="I249" s="90"/>
      <c r="J249" s="90"/>
      <c r="K249" s="90"/>
      <c r="L249" s="90"/>
      <c r="M249" s="90"/>
      <c r="N249" s="150"/>
      <c r="O249" s="152"/>
      <c r="P249" s="90"/>
      <c r="Q249" s="140"/>
      <c r="R249" s="90"/>
      <c r="S249" s="140"/>
      <c r="T249" s="90"/>
      <c r="U249" s="140"/>
      <c r="V249" s="90"/>
      <c r="W249" s="140"/>
      <c r="X249" s="90"/>
      <c r="Y249" s="140"/>
      <c r="Z249" s="90"/>
      <c r="AA249" s="140"/>
      <c r="AB249" s="62"/>
      <c r="AC249" s="140"/>
      <c r="AD249" s="62"/>
      <c r="AE249" s="140"/>
      <c r="AF249" s="189" t="str">
        <f t="shared" si="7"/>
        <v/>
      </c>
      <c r="AG249" s="304" t="b">
        <f t="shared" si="6"/>
        <v>0</v>
      </c>
      <c r="AH249" s="9"/>
      <c r="AI249" s="145">
        <f t="shared" si="8"/>
        <v>0</v>
      </c>
      <c r="AJ249" s="147" t="s">
        <v>36</v>
      </c>
    </row>
    <row r="250" spans="1:36" ht="30" customHeight="1">
      <c r="A250" s="90"/>
      <c r="B250" s="90"/>
      <c r="C250" s="90"/>
      <c r="D250" s="90"/>
      <c r="E250" s="90"/>
      <c r="F250" s="90"/>
      <c r="G250" s="90"/>
      <c r="H250" s="90"/>
      <c r="I250" s="90"/>
      <c r="J250" s="90"/>
      <c r="K250" s="90"/>
      <c r="L250" s="90"/>
      <c r="M250" s="90"/>
      <c r="N250" s="150"/>
      <c r="O250" s="152"/>
      <c r="P250" s="90"/>
      <c r="Q250" s="140"/>
      <c r="R250" s="90"/>
      <c r="S250" s="140"/>
      <c r="T250" s="90"/>
      <c r="U250" s="140"/>
      <c r="V250" s="90"/>
      <c r="W250" s="140"/>
      <c r="X250" s="90"/>
      <c r="Y250" s="140"/>
      <c r="Z250" s="90"/>
      <c r="AA250" s="140"/>
      <c r="AB250" s="62"/>
      <c r="AC250" s="140"/>
      <c r="AD250" s="62"/>
      <c r="AE250" s="140"/>
      <c r="AF250" s="189" t="str">
        <f t="shared" si="7"/>
        <v/>
      </c>
      <c r="AG250" s="304" t="b">
        <f t="shared" si="6"/>
        <v>0</v>
      </c>
      <c r="AH250" s="9"/>
      <c r="AI250" s="145">
        <f t="shared" si="8"/>
        <v>0</v>
      </c>
      <c r="AJ250" s="147" t="s">
        <v>36</v>
      </c>
    </row>
    <row r="251" spans="1:36" ht="30" customHeight="1">
      <c r="A251" s="90"/>
      <c r="B251" s="90"/>
      <c r="C251" s="90"/>
      <c r="D251" s="90"/>
      <c r="E251" s="90"/>
      <c r="F251" s="90"/>
      <c r="G251" s="90"/>
      <c r="H251" s="90"/>
      <c r="I251" s="90"/>
      <c r="J251" s="90"/>
      <c r="K251" s="90"/>
      <c r="L251" s="90"/>
      <c r="M251" s="90"/>
      <c r="N251" s="150"/>
      <c r="O251" s="152"/>
      <c r="P251" s="90"/>
      <c r="Q251" s="140"/>
      <c r="R251" s="90"/>
      <c r="S251" s="140"/>
      <c r="T251" s="90"/>
      <c r="U251" s="140"/>
      <c r="V251" s="90"/>
      <c r="W251" s="140"/>
      <c r="X251" s="90"/>
      <c r="Y251" s="140"/>
      <c r="Z251" s="90"/>
      <c r="AA251" s="140"/>
      <c r="AB251" s="62"/>
      <c r="AC251" s="140"/>
      <c r="AD251" s="62"/>
      <c r="AE251" s="140"/>
      <c r="AF251" s="189" t="str">
        <f t="shared" si="7"/>
        <v/>
      </c>
      <c r="AG251" s="304" t="b">
        <f t="shared" si="6"/>
        <v>0</v>
      </c>
      <c r="AH251" s="9"/>
      <c r="AI251" s="145">
        <f t="shared" si="8"/>
        <v>0</v>
      </c>
      <c r="AJ251" s="147" t="s">
        <v>36</v>
      </c>
    </row>
    <row r="252" spans="1:36" ht="30" customHeight="1">
      <c r="A252" s="90"/>
      <c r="B252" s="90"/>
      <c r="C252" s="90"/>
      <c r="D252" s="90"/>
      <c r="E252" s="90"/>
      <c r="F252" s="90"/>
      <c r="G252" s="90"/>
      <c r="H252" s="90"/>
      <c r="I252" s="90"/>
      <c r="J252" s="90"/>
      <c r="K252" s="90"/>
      <c r="L252" s="90"/>
      <c r="M252" s="90"/>
      <c r="N252" s="150"/>
      <c r="O252" s="152"/>
      <c r="P252" s="90"/>
      <c r="Q252" s="140"/>
      <c r="R252" s="90"/>
      <c r="S252" s="140"/>
      <c r="T252" s="90"/>
      <c r="U252" s="140"/>
      <c r="V252" s="90"/>
      <c r="W252" s="140"/>
      <c r="X252" s="90"/>
      <c r="Y252" s="140"/>
      <c r="Z252" s="90"/>
      <c r="AA252" s="140"/>
      <c r="AB252" s="62"/>
      <c r="AC252" s="140"/>
      <c r="AD252" s="62"/>
      <c r="AE252" s="140"/>
      <c r="AF252" s="189" t="str">
        <f t="shared" si="7"/>
        <v/>
      </c>
      <c r="AG252" s="304" t="b">
        <f t="shared" si="6"/>
        <v>0</v>
      </c>
      <c r="AH252" s="9"/>
      <c r="AI252" s="145">
        <f t="shared" si="8"/>
        <v>0</v>
      </c>
      <c r="AJ252" s="147" t="s">
        <v>36</v>
      </c>
    </row>
    <row r="253" spans="1:36" ht="30" customHeight="1">
      <c r="A253" s="90"/>
      <c r="B253" s="90"/>
      <c r="C253" s="90"/>
      <c r="D253" s="90"/>
      <c r="E253" s="90"/>
      <c r="F253" s="90"/>
      <c r="G253" s="90"/>
      <c r="H253" s="90"/>
      <c r="I253" s="90"/>
      <c r="J253" s="90"/>
      <c r="K253" s="90"/>
      <c r="L253" s="90"/>
      <c r="M253" s="90"/>
      <c r="N253" s="150"/>
      <c r="O253" s="152"/>
      <c r="P253" s="90"/>
      <c r="Q253" s="140"/>
      <c r="R253" s="90"/>
      <c r="S253" s="140"/>
      <c r="T253" s="90"/>
      <c r="U253" s="140"/>
      <c r="V253" s="90"/>
      <c r="W253" s="140"/>
      <c r="X253" s="90"/>
      <c r="Y253" s="140"/>
      <c r="Z253" s="90"/>
      <c r="AA253" s="140"/>
      <c r="AB253" s="62"/>
      <c r="AC253" s="140"/>
      <c r="AD253" s="62"/>
      <c r="AE253" s="140"/>
      <c r="AF253" s="189" t="str">
        <f t="shared" si="7"/>
        <v/>
      </c>
      <c r="AG253" s="304" t="b">
        <f t="shared" si="6"/>
        <v>0</v>
      </c>
      <c r="AH253" s="9"/>
      <c r="AI253" s="145">
        <f t="shared" si="8"/>
        <v>0</v>
      </c>
      <c r="AJ253" s="147" t="s">
        <v>36</v>
      </c>
    </row>
    <row r="254" spans="1:36" ht="30" customHeight="1">
      <c r="A254" s="90"/>
      <c r="B254" s="90"/>
      <c r="C254" s="90"/>
      <c r="D254" s="90"/>
      <c r="E254" s="90"/>
      <c r="F254" s="90"/>
      <c r="G254" s="90"/>
      <c r="H254" s="90"/>
      <c r="I254" s="90"/>
      <c r="J254" s="90"/>
      <c r="K254" s="90"/>
      <c r="L254" s="90"/>
      <c r="M254" s="90"/>
      <c r="N254" s="150"/>
      <c r="O254" s="152"/>
      <c r="P254" s="90"/>
      <c r="Q254" s="140"/>
      <c r="R254" s="90"/>
      <c r="S254" s="140"/>
      <c r="T254" s="90"/>
      <c r="U254" s="140"/>
      <c r="V254" s="90"/>
      <c r="W254" s="140"/>
      <c r="X254" s="90"/>
      <c r="Y254" s="140"/>
      <c r="Z254" s="90"/>
      <c r="AA254" s="140"/>
      <c r="AB254" s="62"/>
      <c r="AC254" s="140"/>
      <c r="AD254" s="62"/>
      <c r="AE254" s="140"/>
      <c r="AF254" s="189" t="str">
        <f t="shared" si="7"/>
        <v/>
      </c>
      <c r="AG254" s="304" t="b">
        <f t="shared" si="6"/>
        <v>0</v>
      </c>
      <c r="AH254" s="9"/>
      <c r="AI254" s="145">
        <f t="shared" si="8"/>
        <v>0</v>
      </c>
      <c r="AJ254" s="147" t="s">
        <v>36</v>
      </c>
    </row>
    <row r="255" spans="1:36" ht="30" customHeight="1">
      <c r="A255" s="90"/>
      <c r="B255" s="90"/>
      <c r="C255" s="90"/>
      <c r="D255" s="90"/>
      <c r="E255" s="90"/>
      <c r="F255" s="90"/>
      <c r="G255" s="90"/>
      <c r="H255" s="90"/>
      <c r="I255" s="90"/>
      <c r="J255" s="90"/>
      <c r="K255" s="90"/>
      <c r="L255" s="90"/>
      <c r="M255" s="90"/>
      <c r="N255" s="150"/>
      <c r="O255" s="152"/>
      <c r="P255" s="90"/>
      <c r="Q255" s="140"/>
      <c r="R255" s="90"/>
      <c r="S255" s="140"/>
      <c r="T255" s="90"/>
      <c r="U255" s="140"/>
      <c r="V255" s="90"/>
      <c r="W255" s="140"/>
      <c r="X255" s="90"/>
      <c r="Y255" s="140"/>
      <c r="Z255" s="90"/>
      <c r="AA255" s="140"/>
      <c r="AB255" s="62"/>
      <c r="AC255" s="140"/>
      <c r="AD255" s="62"/>
      <c r="AE255" s="140"/>
      <c r="AF255" s="189" t="str">
        <f t="shared" si="7"/>
        <v/>
      </c>
      <c r="AG255" s="304" t="b">
        <f t="shared" si="6"/>
        <v>0</v>
      </c>
      <c r="AH255" s="9"/>
      <c r="AI255" s="145">
        <f t="shared" si="8"/>
        <v>0</v>
      </c>
      <c r="AJ255" s="147" t="s">
        <v>36</v>
      </c>
    </row>
    <row r="256" spans="1:36" ht="30" customHeight="1">
      <c r="A256" s="90"/>
      <c r="B256" s="90"/>
      <c r="C256" s="90"/>
      <c r="D256" s="90"/>
      <c r="E256" s="90"/>
      <c r="F256" s="90"/>
      <c r="G256" s="90"/>
      <c r="H256" s="90"/>
      <c r="I256" s="90"/>
      <c r="J256" s="90"/>
      <c r="K256" s="90"/>
      <c r="L256" s="90"/>
      <c r="M256" s="90"/>
      <c r="N256" s="150"/>
      <c r="O256" s="152"/>
      <c r="P256" s="90"/>
      <c r="Q256" s="140"/>
      <c r="R256" s="90"/>
      <c r="S256" s="140"/>
      <c r="T256" s="90"/>
      <c r="U256" s="140"/>
      <c r="V256" s="90"/>
      <c r="W256" s="140"/>
      <c r="X256" s="90"/>
      <c r="Y256" s="140"/>
      <c r="Z256" s="90"/>
      <c r="AA256" s="140"/>
      <c r="AB256" s="62"/>
      <c r="AC256" s="140"/>
      <c r="AD256" s="62"/>
      <c r="AE256" s="140"/>
      <c r="AF256" s="189" t="str">
        <f t="shared" si="7"/>
        <v/>
      </c>
      <c r="AG256" s="304" t="b">
        <f t="shared" si="6"/>
        <v>0</v>
      </c>
      <c r="AH256" s="9"/>
      <c r="AI256" s="145">
        <f t="shared" si="8"/>
        <v>0</v>
      </c>
      <c r="AJ256" s="147" t="s">
        <v>36</v>
      </c>
    </row>
    <row r="257" spans="1:36" ht="30" customHeight="1">
      <c r="A257" s="90"/>
      <c r="B257" s="90"/>
      <c r="C257" s="90"/>
      <c r="D257" s="90"/>
      <c r="E257" s="90"/>
      <c r="F257" s="90"/>
      <c r="G257" s="90"/>
      <c r="H257" s="90"/>
      <c r="I257" s="90"/>
      <c r="J257" s="90"/>
      <c r="K257" s="90"/>
      <c r="L257" s="90"/>
      <c r="M257" s="90"/>
      <c r="N257" s="150"/>
      <c r="O257" s="152"/>
      <c r="P257" s="90"/>
      <c r="Q257" s="140"/>
      <c r="R257" s="90"/>
      <c r="S257" s="140"/>
      <c r="T257" s="90"/>
      <c r="U257" s="140"/>
      <c r="V257" s="90"/>
      <c r="W257" s="140"/>
      <c r="X257" s="90"/>
      <c r="Y257" s="140"/>
      <c r="Z257" s="90"/>
      <c r="AA257" s="140"/>
      <c r="AB257" s="62"/>
      <c r="AC257" s="140"/>
      <c r="AD257" s="62"/>
      <c r="AE257" s="140"/>
      <c r="AF257" s="189" t="str">
        <f t="shared" si="7"/>
        <v/>
      </c>
      <c r="AG257" s="304" t="b">
        <f t="shared" si="6"/>
        <v>0</v>
      </c>
      <c r="AH257" s="9"/>
      <c r="AI257" s="145">
        <f t="shared" si="8"/>
        <v>0</v>
      </c>
      <c r="AJ257" s="147" t="s">
        <v>36</v>
      </c>
    </row>
    <row r="258" spans="1:36" ht="30" customHeight="1">
      <c r="A258" s="90"/>
      <c r="B258" s="90"/>
      <c r="C258" s="90"/>
      <c r="D258" s="90"/>
      <c r="E258" s="90"/>
      <c r="F258" s="90"/>
      <c r="G258" s="90"/>
      <c r="H258" s="90"/>
      <c r="I258" s="90"/>
      <c r="J258" s="90"/>
      <c r="K258" s="90"/>
      <c r="L258" s="90"/>
      <c r="M258" s="90"/>
      <c r="N258" s="150"/>
      <c r="O258" s="152"/>
      <c r="P258" s="90"/>
      <c r="Q258" s="140"/>
      <c r="R258" s="90"/>
      <c r="S258" s="140"/>
      <c r="T258" s="90"/>
      <c r="U258" s="140"/>
      <c r="V258" s="90"/>
      <c r="W258" s="140"/>
      <c r="X258" s="90"/>
      <c r="Y258" s="140"/>
      <c r="Z258" s="90"/>
      <c r="AA258" s="140"/>
      <c r="AB258" s="62"/>
      <c r="AC258" s="140"/>
      <c r="AD258" s="62"/>
      <c r="AE258" s="140"/>
      <c r="AF258" s="189" t="str">
        <f t="shared" si="7"/>
        <v/>
      </c>
      <c r="AG258" s="304" t="b">
        <f t="shared" ref="AG258:AG321" si="9">IF(AND(AE258="C",AF258="C"),"UTILIZOU O PDA CORRETAMENTE",IF(AND(AE258="C",AF258="NC"),"UTILIZOU O PDA CORRETAMENTE. NÃO HÁ FOTOS DE TODAS AS ETAPAS",IF(AND(AE258="NC",AF258="NC"),"NÃO UTILIZOU O PDA",IF(AND(AE258="NA",AF258="NA"),"NÃO AVALIADO POR FALHA DE SINCRONISMO"))))</f>
        <v>0</v>
      </c>
      <c r="AH258" s="9"/>
      <c r="AI258" s="145">
        <f t="shared" si="8"/>
        <v>0</v>
      </c>
      <c r="AJ258" s="147" t="s">
        <v>36</v>
      </c>
    </row>
    <row r="259" spans="1:36" ht="30" customHeight="1">
      <c r="A259" s="90"/>
      <c r="B259" s="90"/>
      <c r="C259" s="90"/>
      <c r="D259" s="90"/>
      <c r="E259" s="90"/>
      <c r="F259" s="90"/>
      <c r="G259" s="90"/>
      <c r="H259" s="90"/>
      <c r="I259" s="90"/>
      <c r="J259" s="90"/>
      <c r="K259" s="90"/>
      <c r="L259" s="90"/>
      <c r="M259" s="90"/>
      <c r="N259" s="150"/>
      <c r="O259" s="152"/>
      <c r="P259" s="90"/>
      <c r="Q259" s="140"/>
      <c r="R259" s="90"/>
      <c r="S259" s="140"/>
      <c r="T259" s="90"/>
      <c r="U259" s="140"/>
      <c r="V259" s="90"/>
      <c r="W259" s="140"/>
      <c r="X259" s="90"/>
      <c r="Y259" s="140"/>
      <c r="Z259" s="90"/>
      <c r="AA259" s="140"/>
      <c r="AB259" s="62"/>
      <c r="AC259" s="140"/>
      <c r="AD259" s="62"/>
      <c r="AE259" s="140"/>
      <c r="AF259" s="189" t="str">
        <f t="shared" ref="AF259:AF322" si="10">IF(AND(O259="",Q259="",S259="",U259="",W259="",Y259="",AA259="",AC259=""),"",
IF(OR(    AND(O259&lt;&gt;"NA",O259&lt;&gt;"C",O259&lt;&gt;"NC",O259&lt;&gt;"SF",O259&lt;&gt;""),
    AND(Q259&lt;&gt;"NA",Q259&lt;&gt;"C",Q259&lt;&gt;"NC",Q259&lt;&gt;"SF",Q259&lt;&gt;""),
    AND(S259&lt;&gt;"NA",S259&lt;&gt;"C",S259&lt;&gt;"NC",S259&lt;&gt;"SF",S259&lt;&gt;""),
    AND(U259&lt;&gt;"NA",U259&lt;&gt;"C",U259&lt;&gt;"NC",U259&lt;&gt;"SF",U259&lt;&gt;""),
    AND(W259&lt;&gt;"NA",W259&lt;&gt;"C",W259&lt;&gt;"NC",W259&lt;&gt;"SF",W259&lt;&gt;""),
    AND(Y259&lt;&gt;"NA",Y259&lt;&gt;"C",Y259&lt;&gt;"NC",Y259&lt;&gt;"SF",Y259&lt;&gt;""),
    AND(AA259&lt;&gt;"NA",AA259&lt;&gt;"C",AA259&lt;&gt;"NC",AA259&lt;&gt;"SF",AA259&lt;&gt;""),
    AND(AC259&lt;&gt;"NA",AC259&lt;&gt;"C",AC259&lt;&gt;"NC",AC259&lt;&gt;"SF",AC259&lt;&gt;"")
),"FALSO",
IF(AND(O259="NA",Q259="NA",S259="NA",U259="NA",W259="NA",Y259="NA",AA259="NA",AC259="NA"),"NA",
IF(OR(O259="NC",Q259="NC",S259="NC",U259="NC",W259="NC",Y259="NC",AA259="NC",AC259="NC",
       O259="SF",Q259="SF",S259="SF",U259="SF",W259="SF",Y259="SF",AA259="SF",AC259="SF"),"NC",
IF(SUM(IF(O259="C",1,0),IF(Q259="C",1,0),IF(S259="C",1,0),IF(U259="C",1,0),IF(W259="C",1,0),IF(Y259="C",1,0),IF(AA259="C",1,0),IF(AC259="C",1,0))=1,"C","C")))))</f>
        <v/>
      </c>
      <c r="AG259" s="304" t="b">
        <f t="shared" si="9"/>
        <v>0</v>
      </c>
      <c r="AH259" s="9"/>
      <c r="AI259" s="145">
        <f t="shared" si="8"/>
        <v>0</v>
      </c>
      <c r="AJ259" s="147" t="s">
        <v>36</v>
      </c>
    </row>
    <row r="260" spans="1:36" ht="30" customHeight="1">
      <c r="A260" s="90"/>
      <c r="B260" s="90"/>
      <c r="C260" s="90"/>
      <c r="D260" s="90"/>
      <c r="E260" s="90"/>
      <c r="F260" s="90"/>
      <c r="G260" s="90"/>
      <c r="H260" s="90"/>
      <c r="I260" s="90"/>
      <c r="J260" s="90"/>
      <c r="K260" s="90"/>
      <c r="L260" s="90"/>
      <c r="M260" s="90"/>
      <c r="N260" s="150"/>
      <c r="O260" s="152"/>
      <c r="P260" s="90"/>
      <c r="Q260" s="140"/>
      <c r="R260" s="90"/>
      <c r="S260" s="140"/>
      <c r="T260" s="90"/>
      <c r="U260" s="140"/>
      <c r="V260" s="90"/>
      <c r="W260" s="140"/>
      <c r="X260" s="90"/>
      <c r="Y260" s="140"/>
      <c r="Z260" s="90"/>
      <c r="AA260" s="140"/>
      <c r="AB260" s="62"/>
      <c r="AC260" s="140"/>
      <c r="AD260" s="62"/>
      <c r="AE260" s="140"/>
      <c r="AF260" s="189" t="str">
        <f t="shared" si="10"/>
        <v/>
      </c>
      <c r="AG260" s="304" t="b">
        <f t="shared" si="9"/>
        <v>0</v>
      </c>
      <c r="AH260" s="9"/>
      <c r="AI260" s="145">
        <f t="shared" si="8"/>
        <v>0</v>
      </c>
      <c r="AJ260" s="147" t="s">
        <v>36</v>
      </c>
    </row>
    <row r="261" spans="1:36" ht="30" customHeight="1">
      <c r="A261" s="90"/>
      <c r="B261" s="90"/>
      <c r="C261" s="90"/>
      <c r="D261" s="90"/>
      <c r="E261" s="90"/>
      <c r="F261" s="90"/>
      <c r="G261" s="90"/>
      <c r="H261" s="90"/>
      <c r="I261" s="90"/>
      <c r="J261" s="90"/>
      <c r="K261" s="90"/>
      <c r="L261" s="90"/>
      <c r="M261" s="90"/>
      <c r="N261" s="150"/>
      <c r="O261" s="152"/>
      <c r="P261" s="90"/>
      <c r="Q261" s="140"/>
      <c r="R261" s="90"/>
      <c r="S261" s="140"/>
      <c r="T261" s="90"/>
      <c r="U261" s="140"/>
      <c r="V261" s="90"/>
      <c r="W261" s="140"/>
      <c r="X261" s="90"/>
      <c r="Y261" s="140"/>
      <c r="Z261" s="90"/>
      <c r="AA261" s="140"/>
      <c r="AB261" s="62"/>
      <c r="AC261" s="140"/>
      <c r="AD261" s="62"/>
      <c r="AE261" s="140"/>
      <c r="AF261" s="189" t="str">
        <f t="shared" si="10"/>
        <v/>
      </c>
      <c r="AG261" s="304" t="b">
        <f t="shared" si="9"/>
        <v>0</v>
      </c>
      <c r="AH261" s="9"/>
      <c r="AI261" s="145">
        <f t="shared" si="8"/>
        <v>0</v>
      </c>
      <c r="AJ261" s="147" t="s">
        <v>36</v>
      </c>
    </row>
    <row r="262" spans="1:36" ht="30" customHeight="1">
      <c r="A262" s="90"/>
      <c r="B262" s="90"/>
      <c r="C262" s="90"/>
      <c r="D262" s="90"/>
      <c r="E262" s="90"/>
      <c r="F262" s="90"/>
      <c r="G262" s="90"/>
      <c r="H262" s="90"/>
      <c r="I262" s="90"/>
      <c r="J262" s="90"/>
      <c r="K262" s="90"/>
      <c r="L262" s="90"/>
      <c r="M262" s="90"/>
      <c r="N262" s="150"/>
      <c r="O262" s="152"/>
      <c r="P262" s="90"/>
      <c r="Q262" s="140"/>
      <c r="R262" s="90"/>
      <c r="S262" s="140"/>
      <c r="T262" s="90"/>
      <c r="U262" s="140"/>
      <c r="V262" s="90"/>
      <c r="W262" s="140"/>
      <c r="X262" s="90"/>
      <c r="Y262" s="140"/>
      <c r="Z262" s="90"/>
      <c r="AA262" s="140"/>
      <c r="AB262" s="62"/>
      <c r="AC262" s="140"/>
      <c r="AD262" s="62"/>
      <c r="AE262" s="140"/>
      <c r="AF262" s="189" t="str">
        <f t="shared" si="10"/>
        <v/>
      </c>
      <c r="AG262" s="304" t="b">
        <f t="shared" si="9"/>
        <v>0</v>
      </c>
      <c r="AH262" s="9"/>
      <c r="AI262" s="145">
        <f t="shared" si="8"/>
        <v>0</v>
      </c>
      <c r="AJ262" s="147" t="s">
        <v>36</v>
      </c>
    </row>
    <row r="263" spans="1:36" ht="30" customHeight="1">
      <c r="A263" s="90"/>
      <c r="B263" s="90"/>
      <c r="C263" s="90"/>
      <c r="D263" s="90"/>
      <c r="E263" s="90"/>
      <c r="F263" s="90"/>
      <c r="G263" s="90"/>
      <c r="H263" s="90"/>
      <c r="I263" s="90"/>
      <c r="J263" s="90"/>
      <c r="K263" s="90"/>
      <c r="L263" s="90"/>
      <c r="M263" s="90"/>
      <c r="N263" s="150"/>
      <c r="O263" s="152"/>
      <c r="P263" s="90"/>
      <c r="Q263" s="140"/>
      <c r="R263" s="90"/>
      <c r="S263" s="140"/>
      <c r="T263" s="90"/>
      <c r="U263" s="140"/>
      <c r="V263" s="90"/>
      <c r="W263" s="140"/>
      <c r="X263" s="90"/>
      <c r="Y263" s="140"/>
      <c r="Z263" s="90"/>
      <c r="AA263" s="140"/>
      <c r="AB263" s="62"/>
      <c r="AC263" s="140"/>
      <c r="AD263" s="62"/>
      <c r="AE263" s="140"/>
      <c r="AF263" s="189" t="str">
        <f t="shared" si="10"/>
        <v/>
      </c>
      <c r="AG263" s="304" t="b">
        <f t="shared" si="9"/>
        <v>0</v>
      </c>
      <c r="AH263" s="9"/>
      <c r="AI263" s="145">
        <f t="shared" si="8"/>
        <v>0</v>
      </c>
      <c r="AJ263" s="147" t="s">
        <v>36</v>
      </c>
    </row>
    <row r="264" spans="1:36" ht="30" customHeight="1">
      <c r="A264" s="90"/>
      <c r="B264" s="90"/>
      <c r="C264" s="90"/>
      <c r="D264" s="90"/>
      <c r="E264" s="90"/>
      <c r="F264" s="90"/>
      <c r="G264" s="90"/>
      <c r="H264" s="90"/>
      <c r="I264" s="90"/>
      <c r="J264" s="90"/>
      <c r="K264" s="90"/>
      <c r="L264" s="90"/>
      <c r="M264" s="90"/>
      <c r="N264" s="150"/>
      <c r="O264" s="152"/>
      <c r="P264" s="90"/>
      <c r="Q264" s="140"/>
      <c r="R264" s="90"/>
      <c r="S264" s="140"/>
      <c r="T264" s="90"/>
      <c r="U264" s="140"/>
      <c r="V264" s="90"/>
      <c r="W264" s="140"/>
      <c r="X264" s="90"/>
      <c r="Y264" s="140"/>
      <c r="Z264" s="90"/>
      <c r="AA264" s="140"/>
      <c r="AB264" s="62"/>
      <c r="AC264" s="140"/>
      <c r="AD264" s="62"/>
      <c r="AE264" s="140"/>
      <c r="AF264" s="189" t="str">
        <f t="shared" si="10"/>
        <v/>
      </c>
      <c r="AG264" s="304" t="b">
        <f t="shared" si="9"/>
        <v>0</v>
      </c>
      <c r="AH264" s="9"/>
      <c r="AI264" s="145">
        <f t="shared" si="8"/>
        <v>0</v>
      </c>
      <c r="AJ264" s="147" t="s">
        <v>36</v>
      </c>
    </row>
    <row r="265" spans="1:36" ht="30" customHeight="1">
      <c r="A265" s="90"/>
      <c r="B265" s="90"/>
      <c r="C265" s="90"/>
      <c r="D265" s="90"/>
      <c r="E265" s="90"/>
      <c r="F265" s="90"/>
      <c r="G265" s="90"/>
      <c r="H265" s="90"/>
      <c r="I265" s="90"/>
      <c r="J265" s="90"/>
      <c r="K265" s="90"/>
      <c r="L265" s="90"/>
      <c r="M265" s="90"/>
      <c r="N265" s="150"/>
      <c r="O265" s="152"/>
      <c r="P265" s="90"/>
      <c r="Q265" s="140"/>
      <c r="R265" s="90"/>
      <c r="S265" s="140"/>
      <c r="T265" s="90"/>
      <c r="U265" s="140"/>
      <c r="V265" s="90"/>
      <c r="W265" s="140"/>
      <c r="X265" s="90"/>
      <c r="Y265" s="140"/>
      <c r="Z265" s="90"/>
      <c r="AA265" s="140"/>
      <c r="AB265" s="62"/>
      <c r="AC265" s="140"/>
      <c r="AD265" s="62"/>
      <c r="AE265" s="140"/>
      <c r="AF265" s="189" t="str">
        <f t="shared" si="10"/>
        <v/>
      </c>
      <c r="AG265" s="304" t="b">
        <f t="shared" si="9"/>
        <v>0</v>
      </c>
      <c r="AH265" s="9"/>
      <c r="AI265" s="145">
        <f t="shared" si="8"/>
        <v>0</v>
      </c>
      <c r="AJ265" s="147" t="s">
        <v>36</v>
      </c>
    </row>
    <row r="266" spans="1:36" ht="30" customHeight="1">
      <c r="A266" s="90"/>
      <c r="B266" s="90"/>
      <c r="C266" s="90"/>
      <c r="D266" s="90"/>
      <c r="E266" s="90"/>
      <c r="F266" s="90"/>
      <c r="G266" s="90"/>
      <c r="H266" s="90"/>
      <c r="I266" s="90"/>
      <c r="J266" s="90"/>
      <c r="K266" s="90"/>
      <c r="L266" s="90"/>
      <c r="M266" s="90"/>
      <c r="N266" s="150"/>
      <c r="O266" s="152"/>
      <c r="P266" s="90"/>
      <c r="Q266" s="140"/>
      <c r="R266" s="90"/>
      <c r="S266" s="140"/>
      <c r="T266" s="90"/>
      <c r="U266" s="140"/>
      <c r="V266" s="90"/>
      <c r="W266" s="140"/>
      <c r="X266" s="90"/>
      <c r="Y266" s="140"/>
      <c r="Z266" s="90"/>
      <c r="AA266" s="140"/>
      <c r="AB266" s="62"/>
      <c r="AC266" s="140"/>
      <c r="AD266" s="62"/>
      <c r="AE266" s="140"/>
      <c r="AF266" s="189" t="str">
        <f t="shared" si="10"/>
        <v/>
      </c>
      <c r="AG266" s="304" t="b">
        <f t="shared" si="9"/>
        <v>0</v>
      </c>
      <c r="AH266" s="9"/>
      <c r="AI266" s="145">
        <f t="shared" si="8"/>
        <v>0</v>
      </c>
      <c r="AJ266" s="147" t="s">
        <v>36</v>
      </c>
    </row>
    <row r="267" spans="1:36" ht="30" customHeight="1">
      <c r="A267" s="90"/>
      <c r="B267" s="90"/>
      <c r="C267" s="90"/>
      <c r="D267" s="90"/>
      <c r="E267" s="90"/>
      <c r="F267" s="90"/>
      <c r="G267" s="90"/>
      <c r="H267" s="90"/>
      <c r="I267" s="90"/>
      <c r="J267" s="90"/>
      <c r="K267" s="90"/>
      <c r="L267" s="90"/>
      <c r="M267" s="90"/>
      <c r="N267" s="150"/>
      <c r="O267" s="152"/>
      <c r="P267" s="90"/>
      <c r="Q267" s="140"/>
      <c r="R267" s="90"/>
      <c r="S267" s="140"/>
      <c r="T267" s="90"/>
      <c r="U267" s="140"/>
      <c r="V267" s="90"/>
      <c r="W267" s="140"/>
      <c r="X267" s="90"/>
      <c r="Y267" s="140"/>
      <c r="Z267" s="90"/>
      <c r="AA267" s="140"/>
      <c r="AB267" s="62"/>
      <c r="AC267" s="140"/>
      <c r="AD267" s="62"/>
      <c r="AE267" s="140"/>
      <c r="AF267" s="189" t="str">
        <f t="shared" si="10"/>
        <v/>
      </c>
      <c r="AG267" s="304" t="b">
        <f t="shared" si="9"/>
        <v>0</v>
      </c>
      <c r="AH267" s="9"/>
      <c r="AI267" s="145">
        <f t="shared" si="8"/>
        <v>0</v>
      </c>
      <c r="AJ267" s="147" t="s">
        <v>36</v>
      </c>
    </row>
    <row r="268" spans="1:36" ht="30" customHeight="1">
      <c r="A268" s="90"/>
      <c r="B268" s="90"/>
      <c r="C268" s="90"/>
      <c r="D268" s="90"/>
      <c r="E268" s="90"/>
      <c r="F268" s="90"/>
      <c r="G268" s="90"/>
      <c r="H268" s="90"/>
      <c r="I268" s="90"/>
      <c r="J268" s="90"/>
      <c r="K268" s="90"/>
      <c r="L268" s="90"/>
      <c r="M268" s="90"/>
      <c r="N268" s="150"/>
      <c r="O268" s="152"/>
      <c r="P268" s="90"/>
      <c r="Q268" s="140"/>
      <c r="R268" s="90"/>
      <c r="S268" s="140"/>
      <c r="T268" s="90"/>
      <c r="U268" s="140"/>
      <c r="V268" s="90"/>
      <c r="W268" s="140"/>
      <c r="X268" s="90"/>
      <c r="Y268" s="140"/>
      <c r="Z268" s="90"/>
      <c r="AA268" s="140"/>
      <c r="AB268" s="62"/>
      <c r="AC268" s="140"/>
      <c r="AD268" s="62"/>
      <c r="AE268" s="140"/>
      <c r="AF268" s="189" t="str">
        <f t="shared" si="10"/>
        <v/>
      </c>
      <c r="AG268" s="304" t="b">
        <f t="shared" si="9"/>
        <v>0</v>
      </c>
      <c r="AH268" s="9"/>
      <c r="AI268" s="145">
        <f t="shared" si="8"/>
        <v>0</v>
      </c>
      <c r="AJ268" s="147" t="s">
        <v>36</v>
      </c>
    </row>
    <row r="269" spans="1:36" ht="30" customHeight="1">
      <c r="A269" s="90"/>
      <c r="B269" s="90"/>
      <c r="C269" s="90"/>
      <c r="D269" s="90"/>
      <c r="E269" s="90"/>
      <c r="F269" s="90"/>
      <c r="G269" s="90"/>
      <c r="H269" s="90"/>
      <c r="I269" s="90"/>
      <c r="J269" s="90"/>
      <c r="K269" s="90"/>
      <c r="L269" s="90"/>
      <c r="M269" s="90"/>
      <c r="N269" s="150"/>
      <c r="O269" s="152"/>
      <c r="P269" s="90"/>
      <c r="Q269" s="140"/>
      <c r="R269" s="90"/>
      <c r="S269" s="140"/>
      <c r="T269" s="90"/>
      <c r="U269" s="140"/>
      <c r="V269" s="90"/>
      <c r="W269" s="140"/>
      <c r="X269" s="90"/>
      <c r="Y269" s="140"/>
      <c r="Z269" s="90"/>
      <c r="AA269" s="140"/>
      <c r="AB269" s="62"/>
      <c r="AC269" s="140"/>
      <c r="AD269" s="62"/>
      <c r="AE269" s="140"/>
      <c r="AF269" s="189" t="str">
        <f t="shared" si="10"/>
        <v/>
      </c>
      <c r="AG269" s="304" t="b">
        <f t="shared" si="9"/>
        <v>0</v>
      </c>
      <c r="AH269" s="9"/>
      <c r="AI269" s="145">
        <f t="shared" si="8"/>
        <v>0</v>
      </c>
      <c r="AJ269" s="147" t="s">
        <v>36</v>
      </c>
    </row>
    <row r="270" spans="1:36" ht="30" customHeight="1">
      <c r="A270" s="90"/>
      <c r="B270" s="90"/>
      <c r="C270" s="90"/>
      <c r="D270" s="90"/>
      <c r="E270" s="90"/>
      <c r="F270" s="90"/>
      <c r="G270" s="90"/>
      <c r="H270" s="90"/>
      <c r="I270" s="90"/>
      <c r="J270" s="90"/>
      <c r="K270" s="90"/>
      <c r="L270" s="90"/>
      <c r="M270" s="90"/>
      <c r="N270" s="150"/>
      <c r="O270" s="152"/>
      <c r="P270" s="90"/>
      <c r="Q270" s="140"/>
      <c r="R270" s="90"/>
      <c r="S270" s="140"/>
      <c r="T270" s="90"/>
      <c r="U270" s="140"/>
      <c r="V270" s="90"/>
      <c r="W270" s="140"/>
      <c r="X270" s="90"/>
      <c r="Y270" s="140"/>
      <c r="Z270" s="90"/>
      <c r="AA270" s="140"/>
      <c r="AB270" s="62"/>
      <c r="AC270" s="140"/>
      <c r="AD270" s="62"/>
      <c r="AE270" s="140"/>
      <c r="AF270" s="189" t="str">
        <f t="shared" si="10"/>
        <v/>
      </c>
      <c r="AG270" s="304" t="b">
        <f t="shared" si="9"/>
        <v>0</v>
      </c>
      <c r="AH270" s="9"/>
      <c r="AI270" s="145">
        <f t="shared" si="8"/>
        <v>0</v>
      </c>
      <c r="AJ270" s="147" t="s">
        <v>36</v>
      </c>
    </row>
    <row r="271" spans="1:36" ht="30" customHeight="1">
      <c r="A271" s="90"/>
      <c r="B271" s="90"/>
      <c r="C271" s="90"/>
      <c r="D271" s="90"/>
      <c r="E271" s="90"/>
      <c r="F271" s="90"/>
      <c r="G271" s="90"/>
      <c r="H271" s="90"/>
      <c r="I271" s="90"/>
      <c r="J271" s="90"/>
      <c r="K271" s="90"/>
      <c r="L271" s="90"/>
      <c r="M271" s="90"/>
      <c r="N271" s="150"/>
      <c r="O271" s="152"/>
      <c r="P271" s="90"/>
      <c r="Q271" s="140"/>
      <c r="R271" s="90"/>
      <c r="S271" s="140"/>
      <c r="T271" s="90"/>
      <c r="U271" s="140"/>
      <c r="V271" s="90"/>
      <c r="W271" s="140"/>
      <c r="X271" s="90"/>
      <c r="Y271" s="140"/>
      <c r="Z271" s="90"/>
      <c r="AA271" s="140"/>
      <c r="AB271" s="62"/>
      <c r="AC271" s="140"/>
      <c r="AD271" s="62"/>
      <c r="AE271" s="140"/>
      <c r="AF271" s="189" t="str">
        <f t="shared" si="10"/>
        <v/>
      </c>
      <c r="AG271" s="304" t="b">
        <f t="shared" si="9"/>
        <v>0</v>
      </c>
      <c r="AH271" s="9"/>
      <c r="AI271" s="145">
        <f t="shared" si="8"/>
        <v>0</v>
      </c>
      <c r="AJ271" s="147" t="s">
        <v>36</v>
      </c>
    </row>
    <row r="272" spans="1:36" ht="30" customHeight="1">
      <c r="A272" s="90"/>
      <c r="B272" s="90"/>
      <c r="C272" s="90"/>
      <c r="D272" s="90"/>
      <c r="E272" s="90"/>
      <c r="F272" s="90"/>
      <c r="G272" s="90"/>
      <c r="H272" s="90"/>
      <c r="I272" s="90"/>
      <c r="J272" s="90"/>
      <c r="K272" s="90"/>
      <c r="L272" s="90"/>
      <c r="M272" s="90"/>
      <c r="N272" s="150"/>
      <c r="O272" s="152"/>
      <c r="P272" s="90"/>
      <c r="Q272" s="140"/>
      <c r="R272" s="90"/>
      <c r="S272" s="140"/>
      <c r="T272" s="90"/>
      <c r="U272" s="140"/>
      <c r="V272" s="90"/>
      <c r="W272" s="140"/>
      <c r="X272" s="90"/>
      <c r="Y272" s="140"/>
      <c r="Z272" s="90"/>
      <c r="AA272" s="140"/>
      <c r="AB272" s="62"/>
      <c r="AC272" s="140"/>
      <c r="AD272" s="62"/>
      <c r="AE272" s="140"/>
      <c r="AF272" s="189" t="str">
        <f t="shared" si="10"/>
        <v/>
      </c>
      <c r="AG272" s="304" t="b">
        <f t="shared" si="9"/>
        <v>0</v>
      </c>
      <c r="AH272" s="9"/>
      <c r="AI272" s="145">
        <f t="shared" si="8"/>
        <v>0</v>
      </c>
      <c r="AJ272" s="147" t="s">
        <v>36</v>
      </c>
    </row>
    <row r="273" spans="1:36" ht="30" customHeight="1">
      <c r="A273" s="90"/>
      <c r="B273" s="90"/>
      <c r="C273" s="90"/>
      <c r="D273" s="90"/>
      <c r="E273" s="90"/>
      <c r="F273" s="90"/>
      <c r="G273" s="90"/>
      <c r="H273" s="90"/>
      <c r="I273" s="90"/>
      <c r="J273" s="90"/>
      <c r="K273" s="90"/>
      <c r="L273" s="90"/>
      <c r="M273" s="90"/>
      <c r="N273" s="150"/>
      <c r="O273" s="152"/>
      <c r="P273" s="90"/>
      <c r="Q273" s="140"/>
      <c r="R273" s="90"/>
      <c r="S273" s="140"/>
      <c r="T273" s="90"/>
      <c r="U273" s="140"/>
      <c r="V273" s="90"/>
      <c r="W273" s="140"/>
      <c r="X273" s="90"/>
      <c r="Y273" s="140"/>
      <c r="Z273" s="90"/>
      <c r="AA273" s="140"/>
      <c r="AB273" s="62"/>
      <c r="AC273" s="140"/>
      <c r="AD273" s="62"/>
      <c r="AE273" s="140"/>
      <c r="AF273" s="189" t="str">
        <f t="shared" si="10"/>
        <v/>
      </c>
      <c r="AG273" s="304" t="b">
        <f t="shared" si="9"/>
        <v>0</v>
      </c>
      <c r="AH273" s="9"/>
      <c r="AI273" s="145">
        <f t="shared" si="8"/>
        <v>0</v>
      </c>
      <c r="AJ273" s="147" t="s">
        <v>36</v>
      </c>
    </row>
    <row r="274" spans="1:36" ht="30" customHeight="1">
      <c r="A274" s="90"/>
      <c r="B274" s="90"/>
      <c r="C274" s="90"/>
      <c r="D274" s="90"/>
      <c r="E274" s="90"/>
      <c r="F274" s="90"/>
      <c r="G274" s="90"/>
      <c r="H274" s="90"/>
      <c r="I274" s="90"/>
      <c r="J274" s="90"/>
      <c r="K274" s="90"/>
      <c r="L274" s="90"/>
      <c r="M274" s="90"/>
      <c r="N274" s="150"/>
      <c r="O274" s="152"/>
      <c r="P274" s="90"/>
      <c r="Q274" s="140"/>
      <c r="R274" s="90"/>
      <c r="S274" s="140"/>
      <c r="T274" s="90"/>
      <c r="U274" s="140"/>
      <c r="V274" s="90"/>
      <c r="W274" s="140"/>
      <c r="X274" s="90"/>
      <c r="Y274" s="140"/>
      <c r="Z274" s="90"/>
      <c r="AA274" s="140"/>
      <c r="AB274" s="62"/>
      <c r="AC274" s="140"/>
      <c r="AD274" s="62"/>
      <c r="AE274" s="140"/>
      <c r="AF274" s="189" t="str">
        <f t="shared" si="10"/>
        <v/>
      </c>
      <c r="AG274" s="304" t="b">
        <f t="shared" si="9"/>
        <v>0</v>
      </c>
      <c r="AH274" s="9"/>
      <c r="AI274" s="145">
        <f t="shared" si="8"/>
        <v>0</v>
      </c>
      <c r="AJ274" s="147" t="s">
        <v>36</v>
      </c>
    </row>
    <row r="275" spans="1:36" ht="30" customHeight="1">
      <c r="A275" s="90"/>
      <c r="B275" s="90"/>
      <c r="C275" s="90"/>
      <c r="D275" s="90"/>
      <c r="E275" s="90"/>
      <c r="F275" s="90"/>
      <c r="G275" s="90"/>
      <c r="H275" s="90"/>
      <c r="I275" s="90"/>
      <c r="J275" s="90"/>
      <c r="K275" s="90"/>
      <c r="L275" s="90"/>
      <c r="M275" s="90"/>
      <c r="N275" s="150"/>
      <c r="O275" s="152"/>
      <c r="P275" s="90"/>
      <c r="Q275" s="140"/>
      <c r="R275" s="90"/>
      <c r="S275" s="140"/>
      <c r="T275" s="90"/>
      <c r="U275" s="140"/>
      <c r="V275" s="90"/>
      <c r="W275" s="140"/>
      <c r="X275" s="90"/>
      <c r="Y275" s="140"/>
      <c r="Z275" s="90"/>
      <c r="AA275" s="140"/>
      <c r="AB275" s="62"/>
      <c r="AC275" s="140"/>
      <c r="AD275" s="62"/>
      <c r="AE275" s="140"/>
      <c r="AF275" s="189" t="str">
        <f t="shared" si="10"/>
        <v/>
      </c>
      <c r="AG275" s="304" t="b">
        <f t="shared" si="9"/>
        <v>0</v>
      </c>
      <c r="AH275" s="9"/>
      <c r="AI275" s="145">
        <f t="shared" si="8"/>
        <v>0</v>
      </c>
      <c r="AJ275" s="147" t="s">
        <v>36</v>
      </c>
    </row>
    <row r="276" spans="1:36" ht="30" customHeight="1">
      <c r="A276" s="90"/>
      <c r="B276" s="90"/>
      <c r="C276" s="90"/>
      <c r="D276" s="90"/>
      <c r="E276" s="90"/>
      <c r="F276" s="90"/>
      <c r="G276" s="90"/>
      <c r="H276" s="90"/>
      <c r="I276" s="90"/>
      <c r="J276" s="90"/>
      <c r="K276" s="90"/>
      <c r="L276" s="90"/>
      <c r="M276" s="90"/>
      <c r="N276" s="150"/>
      <c r="O276" s="152"/>
      <c r="P276" s="90"/>
      <c r="Q276" s="140"/>
      <c r="R276" s="90"/>
      <c r="S276" s="140"/>
      <c r="T276" s="90"/>
      <c r="U276" s="140"/>
      <c r="V276" s="90"/>
      <c r="W276" s="140"/>
      <c r="X276" s="90"/>
      <c r="Y276" s="140"/>
      <c r="Z276" s="90"/>
      <c r="AA276" s="140"/>
      <c r="AB276" s="62"/>
      <c r="AC276" s="140"/>
      <c r="AD276" s="62"/>
      <c r="AE276" s="140"/>
      <c r="AF276" s="189" t="str">
        <f t="shared" si="10"/>
        <v/>
      </c>
      <c r="AG276" s="304" t="b">
        <f t="shared" si="9"/>
        <v>0</v>
      </c>
      <c r="AH276" s="9"/>
      <c r="AI276" s="145">
        <f t="shared" si="8"/>
        <v>0</v>
      </c>
      <c r="AJ276" s="147" t="s">
        <v>36</v>
      </c>
    </row>
    <row r="277" spans="1:36" ht="30" customHeight="1">
      <c r="A277" s="90"/>
      <c r="B277" s="90"/>
      <c r="C277" s="90"/>
      <c r="D277" s="90"/>
      <c r="E277" s="90"/>
      <c r="F277" s="90"/>
      <c r="G277" s="90"/>
      <c r="H277" s="90"/>
      <c r="I277" s="90"/>
      <c r="J277" s="90"/>
      <c r="K277" s="90"/>
      <c r="L277" s="90"/>
      <c r="M277" s="90"/>
      <c r="N277" s="150"/>
      <c r="O277" s="152"/>
      <c r="P277" s="90"/>
      <c r="Q277" s="140"/>
      <c r="R277" s="90"/>
      <c r="S277" s="140"/>
      <c r="T277" s="90"/>
      <c r="U277" s="140"/>
      <c r="V277" s="90"/>
      <c r="W277" s="140"/>
      <c r="X277" s="90"/>
      <c r="Y277" s="140"/>
      <c r="Z277" s="90"/>
      <c r="AA277" s="140"/>
      <c r="AB277" s="62"/>
      <c r="AC277" s="140"/>
      <c r="AD277" s="62"/>
      <c r="AE277" s="140"/>
      <c r="AF277" s="189" t="str">
        <f t="shared" si="10"/>
        <v/>
      </c>
      <c r="AG277" s="304" t="b">
        <f t="shared" si="9"/>
        <v>0</v>
      </c>
      <c r="AH277" s="9"/>
      <c r="AI277" s="145">
        <f t="shared" si="8"/>
        <v>0</v>
      </c>
      <c r="AJ277" s="147" t="s">
        <v>36</v>
      </c>
    </row>
    <row r="278" spans="1:36" ht="30" customHeight="1">
      <c r="A278" s="90"/>
      <c r="B278" s="90"/>
      <c r="C278" s="90"/>
      <c r="D278" s="90"/>
      <c r="E278" s="90"/>
      <c r="F278" s="90"/>
      <c r="G278" s="90"/>
      <c r="H278" s="90"/>
      <c r="I278" s="90"/>
      <c r="J278" s="90"/>
      <c r="K278" s="90"/>
      <c r="L278" s="90"/>
      <c r="M278" s="90"/>
      <c r="N278" s="150"/>
      <c r="O278" s="152"/>
      <c r="P278" s="90"/>
      <c r="Q278" s="140"/>
      <c r="R278" s="90"/>
      <c r="S278" s="140"/>
      <c r="T278" s="90"/>
      <c r="U278" s="140"/>
      <c r="V278" s="90"/>
      <c r="W278" s="140"/>
      <c r="X278" s="90"/>
      <c r="Y278" s="140"/>
      <c r="Z278" s="90"/>
      <c r="AA278" s="140"/>
      <c r="AB278" s="62"/>
      <c r="AC278" s="140"/>
      <c r="AD278" s="62"/>
      <c r="AE278" s="140"/>
      <c r="AF278" s="189" t="str">
        <f t="shared" si="10"/>
        <v/>
      </c>
      <c r="AG278" s="304" t="b">
        <f t="shared" si="9"/>
        <v>0</v>
      </c>
      <c r="AH278" s="9"/>
      <c r="AI278" s="145">
        <f t="shared" si="8"/>
        <v>0</v>
      </c>
      <c r="AJ278" s="147" t="s">
        <v>36</v>
      </c>
    </row>
    <row r="279" spans="1:36" ht="30" customHeight="1">
      <c r="A279" s="90"/>
      <c r="B279" s="90"/>
      <c r="C279" s="90"/>
      <c r="D279" s="90"/>
      <c r="E279" s="90"/>
      <c r="F279" s="90"/>
      <c r="G279" s="90"/>
      <c r="H279" s="90"/>
      <c r="I279" s="90"/>
      <c r="J279" s="90"/>
      <c r="K279" s="90"/>
      <c r="L279" s="90"/>
      <c r="M279" s="90"/>
      <c r="N279" s="150"/>
      <c r="O279" s="152"/>
      <c r="P279" s="90"/>
      <c r="Q279" s="140"/>
      <c r="R279" s="90"/>
      <c r="S279" s="140"/>
      <c r="T279" s="90"/>
      <c r="U279" s="140"/>
      <c r="V279" s="90"/>
      <c r="W279" s="140"/>
      <c r="X279" s="90"/>
      <c r="Y279" s="140"/>
      <c r="Z279" s="90"/>
      <c r="AA279" s="140"/>
      <c r="AB279" s="62"/>
      <c r="AC279" s="140"/>
      <c r="AD279" s="62"/>
      <c r="AE279" s="140"/>
      <c r="AF279" s="189" t="str">
        <f t="shared" si="10"/>
        <v/>
      </c>
      <c r="AG279" s="304" t="b">
        <f t="shared" si="9"/>
        <v>0</v>
      </c>
      <c r="AH279" s="9"/>
      <c r="AI279" s="145">
        <f t="shared" si="8"/>
        <v>0</v>
      </c>
      <c r="AJ279" s="147" t="s">
        <v>36</v>
      </c>
    </row>
    <row r="280" spans="1:36" ht="30" customHeight="1">
      <c r="A280" s="90"/>
      <c r="B280" s="90"/>
      <c r="C280" s="90"/>
      <c r="D280" s="90"/>
      <c r="E280" s="90"/>
      <c r="F280" s="90"/>
      <c r="G280" s="90"/>
      <c r="H280" s="90"/>
      <c r="I280" s="90"/>
      <c r="J280" s="90"/>
      <c r="K280" s="90"/>
      <c r="L280" s="90"/>
      <c r="M280" s="90"/>
      <c r="N280" s="150"/>
      <c r="O280" s="152"/>
      <c r="P280" s="90"/>
      <c r="Q280" s="140"/>
      <c r="R280" s="90"/>
      <c r="S280" s="140"/>
      <c r="T280" s="90"/>
      <c r="U280" s="140"/>
      <c r="V280" s="90"/>
      <c r="W280" s="140"/>
      <c r="X280" s="90"/>
      <c r="Y280" s="140"/>
      <c r="Z280" s="90"/>
      <c r="AA280" s="140"/>
      <c r="AB280" s="62"/>
      <c r="AC280" s="140"/>
      <c r="AD280" s="62"/>
      <c r="AE280" s="140"/>
      <c r="AF280" s="189" t="str">
        <f t="shared" si="10"/>
        <v/>
      </c>
      <c r="AG280" s="304" t="b">
        <f t="shared" si="9"/>
        <v>0</v>
      </c>
      <c r="AH280" s="9"/>
      <c r="AI280" s="145">
        <f t="shared" si="8"/>
        <v>0</v>
      </c>
      <c r="AJ280" s="147" t="s">
        <v>36</v>
      </c>
    </row>
    <row r="281" spans="1:36" ht="30" customHeight="1">
      <c r="A281" s="90"/>
      <c r="B281" s="90"/>
      <c r="C281" s="90"/>
      <c r="D281" s="90"/>
      <c r="E281" s="90"/>
      <c r="F281" s="90"/>
      <c r="G281" s="90"/>
      <c r="H281" s="90"/>
      <c r="I281" s="90"/>
      <c r="J281" s="90"/>
      <c r="K281" s="90"/>
      <c r="L281" s="90"/>
      <c r="M281" s="90"/>
      <c r="N281" s="150"/>
      <c r="O281" s="152"/>
      <c r="P281" s="90"/>
      <c r="Q281" s="140"/>
      <c r="R281" s="90"/>
      <c r="S281" s="140"/>
      <c r="T281" s="90"/>
      <c r="U281" s="140"/>
      <c r="V281" s="90"/>
      <c r="W281" s="140"/>
      <c r="X281" s="90"/>
      <c r="Y281" s="140"/>
      <c r="Z281" s="90"/>
      <c r="AA281" s="140"/>
      <c r="AB281" s="62"/>
      <c r="AC281" s="140"/>
      <c r="AD281" s="62"/>
      <c r="AE281" s="140"/>
      <c r="AF281" s="189" t="str">
        <f t="shared" si="10"/>
        <v/>
      </c>
      <c r="AG281" s="304" t="b">
        <f t="shared" si="9"/>
        <v>0</v>
      </c>
      <c r="AH281" s="9"/>
      <c r="AI281" s="145">
        <f t="shared" si="8"/>
        <v>0</v>
      </c>
      <c r="AJ281" s="147" t="s">
        <v>36</v>
      </c>
    </row>
    <row r="282" spans="1:36" ht="30" customHeight="1">
      <c r="A282" s="90"/>
      <c r="B282" s="90"/>
      <c r="C282" s="90"/>
      <c r="D282" s="90"/>
      <c r="E282" s="90"/>
      <c r="F282" s="90"/>
      <c r="G282" s="90"/>
      <c r="H282" s="90"/>
      <c r="I282" s="90"/>
      <c r="J282" s="90"/>
      <c r="K282" s="90"/>
      <c r="L282" s="90"/>
      <c r="M282" s="90"/>
      <c r="N282" s="150"/>
      <c r="O282" s="152"/>
      <c r="P282" s="90"/>
      <c r="Q282" s="140"/>
      <c r="R282" s="90"/>
      <c r="S282" s="140"/>
      <c r="T282" s="90"/>
      <c r="U282" s="140"/>
      <c r="V282" s="90"/>
      <c r="W282" s="140"/>
      <c r="X282" s="90"/>
      <c r="Y282" s="140"/>
      <c r="Z282" s="90"/>
      <c r="AA282" s="140"/>
      <c r="AB282" s="62"/>
      <c r="AC282" s="140"/>
      <c r="AD282" s="62"/>
      <c r="AE282" s="140"/>
      <c r="AF282" s="189" t="str">
        <f t="shared" si="10"/>
        <v/>
      </c>
      <c r="AG282" s="304" t="b">
        <f t="shared" si="9"/>
        <v>0</v>
      </c>
      <c r="AH282" s="9"/>
      <c r="AI282" s="145">
        <f t="shared" si="8"/>
        <v>0</v>
      </c>
      <c r="AJ282" s="147" t="s">
        <v>36</v>
      </c>
    </row>
    <row r="283" spans="1:36" ht="30" customHeight="1">
      <c r="A283" s="90"/>
      <c r="B283" s="90"/>
      <c r="C283" s="90"/>
      <c r="D283" s="90"/>
      <c r="E283" s="90"/>
      <c r="F283" s="90"/>
      <c r="G283" s="90"/>
      <c r="H283" s="90"/>
      <c r="I283" s="90"/>
      <c r="J283" s="90"/>
      <c r="K283" s="90"/>
      <c r="L283" s="90"/>
      <c r="M283" s="90"/>
      <c r="N283" s="150"/>
      <c r="O283" s="152"/>
      <c r="P283" s="90"/>
      <c r="Q283" s="140"/>
      <c r="R283" s="90"/>
      <c r="S283" s="140"/>
      <c r="T283" s="90"/>
      <c r="U283" s="140"/>
      <c r="V283" s="90"/>
      <c r="W283" s="140"/>
      <c r="X283" s="90"/>
      <c r="Y283" s="140"/>
      <c r="Z283" s="90"/>
      <c r="AA283" s="140"/>
      <c r="AB283" s="62"/>
      <c r="AC283" s="140"/>
      <c r="AD283" s="62"/>
      <c r="AE283" s="140"/>
      <c r="AF283" s="189" t="str">
        <f t="shared" si="10"/>
        <v/>
      </c>
      <c r="AG283" s="304" t="b">
        <f t="shared" si="9"/>
        <v>0</v>
      </c>
      <c r="AH283" s="9"/>
      <c r="AI283" s="145">
        <f t="shared" si="8"/>
        <v>0</v>
      </c>
      <c r="AJ283" s="147" t="s">
        <v>36</v>
      </c>
    </row>
    <row r="284" spans="1:36" ht="30" customHeight="1">
      <c r="A284" s="90"/>
      <c r="B284" s="90"/>
      <c r="C284" s="90"/>
      <c r="D284" s="90"/>
      <c r="E284" s="90"/>
      <c r="F284" s="90"/>
      <c r="G284" s="90"/>
      <c r="H284" s="90"/>
      <c r="I284" s="90"/>
      <c r="J284" s="90"/>
      <c r="K284" s="90"/>
      <c r="L284" s="90"/>
      <c r="M284" s="90"/>
      <c r="N284" s="150"/>
      <c r="O284" s="152"/>
      <c r="P284" s="90"/>
      <c r="Q284" s="140"/>
      <c r="R284" s="90"/>
      <c r="S284" s="140"/>
      <c r="T284" s="90"/>
      <c r="U284" s="140"/>
      <c r="V284" s="90"/>
      <c r="W284" s="140"/>
      <c r="X284" s="90"/>
      <c r="Y284" s="140"/>
      <c r="Z284" s="90"/>
      <c r="AA284" s="140"/>
      <c r="AB284" s="62"/>
      <c r="AC284" s="140"/>
      <c r="AD284" s="62"/>
      <c r="AE284" s="140"/>
      <c r="AF284" s="189" t="str">
        <f t="shared" si="10"/>
        <v/>
      </c>
      <c r="AG284" s="304" t="b">
        <f t="shared" si="9"/>
        <v>0</v>
      </c>
      <c r="AH284" s="9"/>
      <c r="AI284" s="145">
        <f t="shared" si="8"/>
        <v>0</v>
      </c>
      <c r="AJ284" s="147" t="s">
        <v>36</v>
      </c>
    </row>
    <row r="285" spans="1:36" ht="30" customHeight="1">
      <c r="A285" s="90"/>
      <c r="B285" s="90"/>
      <c r="C285" s="90"/>
      <c r="D285" s="90"/>
      <c r="E285" s="90"/>
      <c r="F285" s="90"/>
      <c r="G285" s="90"/>
      <c r="H285" s="90"/>
      <c r="I285" s="90"/>
      <c r="J285" s="90"/>
      <c r="K285" s="90"/>
      <c r="L285" s="90"/>
      <c r="M285" s="90"/>
      <c r="N285" s="150"/>
      <c r="O285" s="152"/>
      <c r="P285" s="90"/>
      <c r="Q285" s="140"/>
      <c r="R285" s="90"/>
      <c r="S285" s="140"/>
      <c r="T285" s="90"/>
      <c r="U285" s="140"/>
      <c r="V285" s="90"/>
      <c r="W285" s="140"/>
      <c r="X285" s="90"/>
      <c r="Y285" s="140"/>
      <c r="Z285" s="90"/>
      <c r="AA285" s="140"/>
      <c r="AB285" s="62"/>
      <c r="AC285" s="140"/>
      <c r="AD285" s="62"/>
      <c r="AE285" s="140"/>
      <c r="AF285" s="189" t="str">
        <f t="shared" si="10"/>
        <v/>
      </c>
      <c r="AG285" s="304" t="b">
        <f t="shared" si="9"/>
        <v>0</v>
      </c>
      <c r="AH285" s="9"/>
      <c r="AI285" s="145">
        <f t="shared" si="8"/>
        <v>0</v>
      </c>
      <c r="AJ285" s="147" t="s">
        <v>36</v>
      </c>
    </row>
    <row r="286" spans="1:36" ht="30" customHeight="1">
      <c r="A286" s="90"/>
      <c r="B286" s="90"/>
      <c r="C286" s="90"/>
      <c r="D286" s="90"/>
      <c r="E286" s="90"/>
      <c r="F286" s="90"/>
      <c r="G286" s="90"/>
      <c r="H286" s="90"/>
      <c r="I286" s="90"/>
      <c r="J286" s="90"/>
      <c r="K286" s="90"/>
      <c r="L286" s="90"/>
      <c r="M286" s="90"/>
      <c r="N286" s="150"/>
      <c r="O286" s="152"/>
      <c r="P286" s="90"/>
      <c r="Q286" s="140"/>
      <c r="R286" s="90"/>
      <c r="S286" s="140"/>
      <c r="T286" s="90"/>
      <c r="U286" s="140"/>
      <c r="V286" s="90"/>
      <c r="W286" s="140"/>
      <c r="X286" s="90"/>
      <c r="Y286" s="140"/>
      <c r="Z286" s="90"/>
      <c r="AA286" s="140"/>
      <c r="AB286" s="62"/>
      <c r="AC286" s="140"/>
      <c r="AD286" s="62"/>
      <c r="AE286" s="140"/>
      <c r="AF286" s="189" t="str">
        <f t="shared" si="10"/>
        <v/>
      </c>
      <c r="AG286" s="304" t="b">
        <f t="shared" si="9"/>
        <v>0</v>
      </c>
      <c r="AH286" s="9"/>
      <c r="AI286" s="145">
        <f t="shared" si="8"/>
        <v>0</v>
      </c>
      <c r="AJ286" s="147" t="s">
        <v>36</v>
      </c>
    </row>
    <row r="287" spans="1:36" ht="30" customHeight="1">
      <c r="A287" s="90"/>
      <c r="B287" s="90"/>
      <c r="C287" s="90"/>
      <c r="D287" s="90"/>
      <c r="E287" s="90"/>
      <c r="F287" s="90"/>
      <c r="G287" s="90"/>
      <c r="H287" s="90"/>
      <c r="I287" s="90"/>
      <c r="J287" s="90"/>
      <c r="K287" s="90"/>
      <c r="L287" s="90"/>
      <c r="M287" s="90"/>
      <c r="N287" s="150"/>
      <c r="O287" s="152"/>
      <c r="P287" s="90"/>
      <c r="Q287" s="140"/>
      <c r="R287" s="90"/>
      <c r="S287" s="140"/>
      <c r="T287" s="90"/>
      <c r="U287" s="140"/>
      <c r="V287" s="90"/>
      <c r="W287" s="140"/>
      <c r="X287" s="90"/>
      <c r="Y287" s="140"/>
      <c r="Z287" s="90"/>
      <c r="AA287" s="140"/>
      <c r="AB287" s="62"/>
      <c r="AC287" s="140"/>
      <c r="AD287" s="62"/>
      <c r="AE287" s="140"/>
      <c r="AF287" s="189" t="str">
        <f t="shared" si="10"/>
        <v/>
      </c>
      <c r="AG287" s="304" t="b">
        <f t="shared" si="9"/>
        <v>0</v>
      </c>
      <c r="AH287" s="9"/>
      <c r="AI287" s="145">
        <f t="shared" si="8"/>
        <v>0</v>
      </c>
      <c r="AJ287" s="147" t="s">
        <v>36</v>
      </c>
    </row>
    <row r="288" spans="1:36" ht="30" customHeight="1">
      <c r="A288" s="90"/>
      <c r="B288" s="90"/>
      <c r="C288" s="90"/>
      <c r="D288" s="90"/>
      <c r="E288" s="90"/>
      <c r="F288" s="90"/>
      <c r="G288" s="90"/>
      <c r="H288" s="90"/>
      <c r="I288" s="90"/>
      <c r="J288" s="90"/>
      <c r="K288" s="90"/>
      <c r="L288" s="90"/>
      <c r="M288" s="90"/>
      <c r="N288" s="150"/>
      <c r="O288" s="152"/>
      <c r="P288" s="90"/>
      <c r="Q288" s="140"/>
      <c r="R288" s="90"/>
      <c r="S288" s="140"/>
      <c r="T288" s="90"/>
      <c r="U288" s="140"/>
      <c r="V288" s="90"/>
      <c r="W288" s="140"/>
      <c r="X288" s="90"/>
      <c r="Y288" s="140"/>
      <c r="Z288" s="90"/>
      <c r="AA288" s="140"/>
      <c r="AB288" s="62"/>
      <c r="AC288" s="140"/>
      <c r="AD288" s="62"/>
      <c r="AE288" s="140"/>
      <c r="AF288" s="189" t="str">
        <f t="shared" si="10"/>
        <v/>
      </c>
      <c r="AG288" s="304" t="b">
        <f t="shared" si="9"/>
        <v>0</v>
      </c>
      <c r="AH288" s="9"/>
      <c r="AI288" s="145">
        <f t="shared" si="8"/>
        <v>0</v>
      </c>
      <c r="AJ288" s="147" t="s">
        <v>36</v>
      </c>
    </row>
    <row r="289" spans="1:36" ht="30" customHeight="1">
      <c r="A289" s="90"/>
      <c r="B289" s="90"/>
      <c r="C289" s="90"/>
      <c r="D289" s="90"/>
      <c r="E289" s="90"/>
      <c r="F289" s="90"/>
      <c r="G289" s="90"/>
      <c r="H289" s="90"/>
      <c r="I289" s="90"/>
      <c r="J289" s="90"/>
      <c r="K289" s="90"/>
      <c r="L289" s="90"/>
      <c r="M289" s="90"/>
      <c r="N289" s="150"/>
      <c r="O289" s="152"/>
      <c r="P289" s="90"/>
      <c r="Q289" s="140"/>
      <c r="R289" s="90"/>
      <c r="S289" s="140"/>
      <c r="T289" s="90"/>
      <c r="U289" s="140"/>
      <c r="V289" s="90"/>
      <c r="W289" s="140"/>
      <c r="X289" s="90"/>
      <c r="Y289" s="140"/>
      <c r="Z289" s="90"/>
      <c r="AA289" s="140"/>
      <c r="AB289" s="62"/>
      <c r="AC289" s="140"/>
      <c r="AD289" s="62"/>
      <c r="AE289" s="140"/>
      <c r="AF289" s="189" t="str">
        <f t="shared" si="10"/>
        <v/>
      </c>
      <c r="AG289" s="304" t="b">
        <f t="shared" si="9"/>
        <v>0</v>
      </c>
      <c r="AH289" s="9"/>
      <c r="AI289" s="145">
        <f t="shared" si="8"/>
        <v>0</v>
      </c>
      <c r="AJ289" s="147" t="s">
        <v>36</v>
      </c>
    </row>
    <row r="290" spans="1:36" ht="30" customHeight="1">
      <c r="A290" s="90"/>
      <c r="B290" s="90"/>
      <c r="C290" s="90"/>
      <c r="D290" s="90"/>
      <c r="E290" s="90"/>
      <c r="F290" s="90"/>
      <c r="G290" s="90"/>
      <c r="H290" s="90"/>
      <c r="I290" s="90"/>
      <c r="J290" s="90"/>
      <c r="K290" s="90"/>
      <c r="L290" s="90"/>
      <c r="M290" s="90"/>
      <c r="N290" s="150"/>
      <c r="O290" s="152"/>
      <c r="P290" s="90"/>
      <c r="Q290" s="140"/>
      <c r="R290" s="90"/>
      <c r="S290" s="140"/>
      <c r="T290" s="90"/>
      <c r="U290" s="140"/>
      <c r="V290" s="90"/>
      <c r="W290" s="140"/>
      <c r="X290" s="90"/>
      <c r="Y290" s="140"/>
      <c r="Z290" s="90"/>
      <c r="AA290" s="140"/>
      <c r="AB290" s="62"/>
      <c r="AC290" s="140"/>
      <c r="AD290" s="62"/>
      <c r="AE290" s="140"/>
      <c r="AF290" s="189" t="str">
        <f t="shared" si="10"/>
        <v/>
      </c>
      <c r="AG290" s="304" t="b">
        <f t="shared" si="9"/>
        <v>0</v>
      </c>
      <c r="AH290" s="9"/>
      <c r="AI290" s="145">
        <f t="shared" si="8"/>
        <v>0</v>
      </c>
      <c r="AJ290" s="147" t="s">
        <v>36</v>
      </c>
    </row>
    <row r="291" spans="1:36" ht="30" customHeight="1">
      <c r="A291" s="90"/>
      <c r="B291" s="90"/>
      <c r="C291" s="90"/>
      <c r="D291" s="90"/>
      <c r="E291" s="90"/>
      <c r="F291" s="90"/>
      <c r="G291" s="90"/>
      <c r="H291" s="90"/>
      <c r="I291" s="90"/>
      <c r="J291" s="90"/>
      <c r="K291" s="90"/>
      <c r="L291" s="90"/>
      <c r="M291" s="90"/>
      <c r="N291" s="150"/>
      <c r="O291" s="152"/>
      <c r="P291" s="90"/>
      <c r="Q291" s="140"/>
      <c r="R291" s="90"/>
      <c r="S291" s="140"/>
      <c r="T291" s="90"/>
      <c r="U291" s="140"/>
      <c r="V291" s="90"/>
      <c r="W291" s="140"/>
      <c r="X291" s="90"/>
      <c r="Y291" s="140"/>
      <c r="Z291" s="90"/>
      <c r="AA291" s="140"/>
      <c r="AB291" s="62"/>
      <c r="AC291" s="140"/>
      <c r="AD291" s="62"/>
      <c r="AE291" s="140"/>
      <c r="AF291" s="189" t="str">
        <f t="shared" si="10"/>
        <v/>
      </c>
      <c r="AG291" s="304" t="b">
        <f t="shared" si="9"/>
        <v>0</v>
      </c>
      <c r="AH291" s="9"/>
      <c r="AI291" s="145">
        <f t="shared" si="8"/>
        <v>0</v>
      </c>
      <c r="AJ291" s="147" t="s">
        <v>36</v>
      </c>
    </row>
    <row r="292" spans="1:36" ht="30" customHeight="1">
      <c r="A292" s="90"/>
      <c r="B292" s="90"/>
      <c r="C292" s="90"/>
      <c r="D292" s="90"/>
      <c r="E292" s="90"/>
      <c r="F292" s="90"/>
      <c r="G292" s="90"/>
      <c r="H292" s="90"/>
      <c r="I292" s="90"/>
      <c r="J292" s="90"/>
      <c r="K292" s="90"/>
      <c r="L292" s="90"/>
      <c r="M292" s="90"/>
      <c r="N292" s="150"/>
      <c r="O292" s="152"/>
      <c r="P292" s="90"/>
      <c r="Q292" s="140"/>
      <c r="R292" s="90"/>
      <c r="S292" s="140"/>
      <c r="T292" s="90"/>
      <c r="U292" s="140"/>
      <c r="V292" s="90"/>
      <c r="W292" s="140"/>
      <c r="X292" s="90"/>
      <c r="Y292" s="140"/>
      <c r="Z292" s="90"/>
      <c r="AA292" s="140"/>
      <c r="AB292" s="62"/>
      <c r="AC292" s="140"/>
      <c r="AD292" s="62"/>
      <c r="AE292" s="140"/>
      <c r="AF292" s="189" t="str">
        <f t="shared" si="10"/>
        <v/>
      </c>
      <c r="AG292" s="304" t="b">
        <f t="shared" si="9"/>
        <v>0</v>
      </c>
      <c r="AH292" s="9"/>
      <c r="AI292" s="145">
        <f t="shared" si="8"/>
        <v>0</v>
      </c>
      <c r="AJ292" s="147" t="s">
        <v>36</v>
      </c>
    </row>
    <row r="293" spans="1:36" ht="30" customHeight="1">
      <c r="A293" s="90"/>
      <c r="B293" s="90"/>
      <c r="C293" s="90"/>
      <c r="D293" s="90"/>
      <c r="E293" s="90"/>
      <c r="F293" s="90"/>
      <c r="G293" s="90"/>
      <c r="H293" s="90"/>
      <c r="I293" s="90"/>
      <c r="J293" s="90"/>
      <c r="K293" s="90"/>
      <c r="L293" s="90"/>
      <c r="M293" s="90"/>
      <c r="N293" s="150"/>
      <c r="O293" s="152"/>
      <c r="P293" s="90"/>
      <c r="Q293" s="140"/>
      <c r="R293" s="90"/>
      <c r="S293" s="140"/>
      <c r="T293" s="90"/>
      <c r="U293" s="140"/>
      <c r="V293" s="90"/>
      <c r="W293" s="140"/>
      <c r="X293" s="90"/>
      <c r="Y293" s="140"/>
      <c r="Z293" s="90"/>
      <c r="AA293" s="140"/>
      <c r="AB293" s="62"/>
      <c r="AC293" s="140"/>
      <c r="AD293" s="62"/>
      <c r="AE293" s="140"/>
      <c r="AF293" s="189" t="str">
        <f t="shared" si="10"/>
        <v/>
      </c>
      <c r="AG293" s="304" t="b">
        <f t="shared" si="9"/>
        <v>0</v>
      </c>
      <c r="AH293" s="9"/>
      <c r="AI293" s="145">
        <f t="shared" si="8"/>
        <v>0</v>
      </c>
      <c r="AJ293" s="147" t="s">
        <v>36</v>
      </c>
    </row>
    <row r="294" spans="1:36" ht="30" customHeight="1">
      <c r="A294" s="90"/>
      <c r="B294" s="90"/>
      <c r="C294" s="90"/>
      <c r="D294" s="90"/>
      <c r="E294" s="90"/>
      <c r="F294" s="90"/>
      <c r="G294" s="90"/>
      <c r="H294" s="90"/>
      <c r="I294" s="90"/>
      <c r="J294" s="90"/>
      <c r="K294" s="90"/>
      <c r="L294" s="90"/>
      <c r="M294" s="90"/>
      <c r="N294" s="150"/>
      <c r="O294" s="152"/>
      <c r="P294" s="90"/>
      <c r="Q294" s="140"/>
      <c r="R294" s="90"/>
      <c r="S294" s="140"/>
      <c r="T294" s="90"/>
      <c r="U294" s="140"/>
      <c r="V294" s="90"/>
      <c r="W294" s="140"/>
      <c r="X294" s="90"/>
      <c r="Y294" s="140"/>
      <c r="Z294" s="90"/>
      <c r="AA294" s="140"/>
      <c r="AB294" s="62"/>
      <c r="AC294" s="140"/>
      <c r="AD294" s="62"/>
      <c r="AE294" s="140"/>
      <c r="AF294" s="189" t="str">
        <f t="shared" si="10"/>
        <v/>
      </c>
      <c r="AG294" s="304" t="b">
        <f t="shared" si="9"/>
        <v>0</v>
      </c>
      <c r="AH294" s="9"/>
      <c r="AI294" s="145">
        <f t="shared" si="8"/>
        <v>0</v>
      </c>
      <c r="AJ294" s="147" t="s">
        <v>36</v>
      </c>
    </row>
    <row r="295" spans="1:36" ht="30" customHeight="1">
      <c r="A295" s="90"/>
      <c r="B295" s="90"/>
      <c r="C295" s="90"/>
      <c r="D295" s="90"/>
      <c r="E295" s="90"/>
      <c r="F295" s="90"/>
      <c r="G295" s="90"/>
      <c r="H295" s="90"/>
      <c r="I295" s="90"/>
      <c r="J295" s="90"/>
      <c r="K295" s="90"/>
      <c r="L295" s="90"/>
      <c r="M295" s="90"/>
      <c r="N295" s="150"/>
      <c r="O295" s="152"/>
      <c r="P295" s="90"/>
      <c r="Q295" s="140"/>
      <c r="R295" s="90"/>
      <c r="S295" s="140"/>
      <c r="T295" s="90"/>
      <c r="U295" s="140"/>
      <c r="V295" s="90"/>
      <c r="W295" s="140"/>
      <c r="X295" s="90"/>
      <c r="Y295" s="140"/>
      <c r="Z295" s="90"/>
      <c r="AA295" s="140"/>
      <c r="AB295" s="62"/>
      <c r="AC295" s="140"/>
      <c r="AD295" s="62"/>
      <c r="AE295" s="140"/>
      <c r="AF295" s="189" t="str">
        <f t="shared" si="10"/>
        <v/>
      </c>
      <c r="AG295" s="304" t="b">
        <f t="shared" si="9"/>
        <v>0</v>
      </c>
      <c r="AH295" s="9"/>
      <c r="AI295" s="145">
        <f t="shared" si="8"/>
        <v>0</v>
      </c>
      <c r="AJ295" s="147" t="s">
        <v>36</v>
      </c>
    </row>
    <row r="296" spans="1:36" ht="30" customHeight="1">
      <c r="A296" s="90"/>
      <c r="B296" s="90"/>
      <c r="C296" s="90"/>
      <c r="D296" s="90"/>
      <c r="E296" s="90"/>
      <c r="F296" s="90"/>
      <c r="G296" s="90"/>
      <c r="H296" s="90"/>
      <c r="I296" s="90"/>
      <c r="J296" s="90"/>
      <c r="K296" s="90"/>
      <c r="L296" s="90"/>
      <c r="M296" s="90"/>
      <c r="N296" s="150"/>
      <c r="O296" s="152"/>
      <c r="P296" s="90"/>
      <c r="Q296" s="140"/>
      <c r="R296" s="90"/>
      <c r="S296" s="140"/>
      <c r="T296" s="90"/>
      <c r="U296" s="140"/>
      <c r="V296" s="90"/>
      <c r="W296" s="140"/>
      <c r="X296" s="90"/>
      <c r="Y296" s="140"/>
      <c r="Z296" s="90"/>
      <c r="AA296" s="140"/>
      <c r="AB296" s="62"/>
      <c r="AC296" s="140"/>
      <c r="AD296" s="62"/>
      <c r="AE296" s="140"/>
      <c r="AF296" s="189" t="str">
        <f t="shared" si="10"/>
        <v/>
      </c>
      <c r="AG296" s="304" t="b">
        <f t="shared" si="9"/>
        <v>0</v>
      </c>
      <c r="AH296" s="9"/>
      <c r="AI296" s="145">
        <f t="shared" si="8"/>
        <v>0</v>
      </c>
      <c r="AJ296" s="147" t="s">
        <v>36</v>
      </c>
    </row>
    <row r="297" spans="1:36" ht="30" customHeight="1">
      <c r="A297" s="90"/>
      <c r="B297" s="90"/>
      <c r="C297" s="90"/>
      <c r="D297" s="90"/>
      <c r="E297" s="90"/>
      <c r="F297" s="90"/>
      <c r="G297" s="90"/>
      <c r="H297" s="90"/>
      <c r="I297" s="90"/>
      <c r="J297" s="90"/>
      <c r="K297" s="90"/>
      <c r="L297" s="90"/>
      <c r="M297" s="90"/>
      <c r="N297" s="150"/>
      <c r="O297" s="152"/>
      <c r="P297" s="90"/>
      <c r="Q297" s="140"/>
      <c r="R297" s="90"/>
      <c r="S297" s="140"/>
      <c r="T297" s="90"/>
      <c r="U297" s="140"/>
      <c r="V297" s="90"/>
      <c r="W297" s="140"/>
      <c r="X297" s="90"/>
      <c r="Y297" s="140"/>
      <c r="Z297" s="90"/>
      <c r="AA297" s="140"/>
      <c r="AB297" s="62"/>
      <c r="AC297" s="140"/>
      <c r="AD297" s="62"/>
      <c r="AE297" s="140"/>
      <c r="AF297" s="189" t="str">
        <f t="shared" si="10"/>
        <v/>
      </c>
      <c r="AG297" s="304" t="b">
        <f t="shared" si="9"/>
        <v>0</v>
      </c>
      <c r="AH297" s="9"/>
      <c r="AI297" s="145">
        <f t="shared" si="8"/>
        <v>0</v>
      </c>
      <c r="AJ297" s="147" t="s">
        <v>36</v>
      </c>
    </row>
    <row r="298" spans="1:36" ht="30" customHeight="1">
      <c r="A298" s="90"/>
      <c r="B298" s="90"/>
      <c r="C298" s="90"/>
      <c r="D298" s="90"/>
      <c r="E298" s="90"/>
      <c r="F298" s="90"/>
      <c r="G298" s="90"/>
      <c r="H298" s="90"/>
      <c r="I298" s="90"/>
      <c r="J298" s="90"/>
      <c r="K298" s="90"/>
      <c r="L298" s="90"/>
      <c r="M298" s="90"/>
      <c r="N298" s="150"/>
      <c r="O298" s="152"/>
      <c r="P298" s="90"/>
      <c r="Q298" s="140"/>
      <c r="R298" s="90"/>
      <c r="S298" s="140"/>
      <c r="T298" s="90"/>
      <c r="U298" s="140"/>
      <c r="V298" s="90"/>
      <c r="W298" s="140"/>
      <c r="X298" s="90"/>
      <c r="Y298" s="140"/>
      <c r="Z298" s="90"/>
      <c r="AA298" s="140"/>
      <c r="AB298" s="62"/>
      <c r="AC298" s="140"/>
      <c r="AD298" s="62"/>
      <c r="AE298" s="140"/>
      <c r="AF298" s="189" t="str">
        <f t="shared" si="10"/>
        <v/>
      </c>
      <c r="AG298" s="304" t="b">
        <f t="shared" si="9"/>
        <v>0</v>
      </c>
      <c r="AH298" s="9"/>
      <c r="AI298" s="145">
        <f t="shared" si="8"/>
        <v>0</v>
      </c>
      <c r="AJ298" s="147" t="s">
        <v>36</v>
      </c>
    </row>
    <row r="299" spans="1:36" ht="30" customHeight="1">
      <c r="A299" s="90"/>
      <c r="B299" s="90"/>
      <c r="C299" s="90"/>
      <c r="D299" s="90"/>
      <c r="E299" s="90"/>
      <c r="F299" s="90"/>
      <c r="G299" s="90"/>
      <c r="H299" s="90"/>
      <c r="I299" s="90"/>
      <c r="J299" s="90"/>
      <c r="K299" s="90"/>
      <c r="L299" s="90"/>
      <c r="M299" s="90"/>
      <c r="N299" s="150"/>
      <c r="O299" s="152"/>
      <c r="P299" s="90"/>
      <c r="Q299" s="140"/>
      <c r="R299" s="90"/>
      <c r="S299" s="140"/>
      <c r="T299" s="90"/>
      <c r="U299" s="140"/>
      <c r="V299" s="90"/>
      <c r="W299" s="140"/>
      <c r="X299" s="90"/>
      <c r="Y299" s="140"/>
      <c r="Z299" s="90"/>
      <c r="AA299" s="140"/>
      <c r="AB299" s="62"/>
      <c r="AC299" s="140"/>
      <c r="AD299" s="62"/>
      <c r="AE299" s="140"/>
      <c r="AF299" s="189" t="str">
        <f t="shared" si="10"/>
        <v/>
      </c>
      <c r="AG299" s="304" t="b">
        <f t="shared" si="9"/>
        <v>0</v>
      </c>
      <c r="AH299" s="9"/>
      <c r="AI299" s="145">
        <f t="shared" si="8"/>
        <v>0</v>
      </c>
      <c r="AJ299" s="147" t="s">
        <v>36</v>
      </c>
    </row>
    <row r="300" spans="1:36" ht="30" customHeight="1">
      <c r="A300" s="90"/>
      <c r="B300" s="90"/>
      <c r="C300" s="90"/>
      <c r="D300" s="90"/>
      <c r="E300" s="90"/>
      <c r="F300" s="90"/>
      <c r="G300" s="90"/>
      <c r="H300" s="90"/>
      <c r="I300" s="90"/>
      <c r="J300" s="90"/>
      <c r="K300" s="90"/>
      <c r="L300" s="90"/>
      <c r="M300" s="90"/>
      <c r="N300" s="150"/>
      <c r="O300" s="152"/>
      <c r="P300" s="90"/>
      <c r="Q300" s="140"/>
      <c r="R300" s="90"/>
      <c r="S300" s="140"/>
      <c r="T300" s="90"/>
      <c r="U300" s="140"/>
      <c r="V300" s="90"/>
      <c r="W300" s="140"/>
      <c r="X300" s="90"/>
      <c r="Y300" s="140"/>
      <c r="Z300" s="90"/>
      <c r="AA300" s="140"/>
      <c r="AB300" s="62"/>
      <c r="AC300" s="140"/>
      <c r="AD300" s="62"/>
      <c r="AE300" s="140"/>
      <c r="AF300" s="189" t="str">
        <f t="shared" si="10"/>
        <v/>
      </c>
      <c r="AG300" s="304" t="b">
        <f t="shared" si="9"/>
        <v>0</v>
      </c>
      <c r="AH300" s="9"/>
      <c r="AI300" s="145">
        <f t="shared" si="8"/>
        <v>0</v>
      </c>
      <c r="AJ300" s="147" t="s">
        <v>36</v>
      </c>
    </row>
    <row r="301" spans="1:36" ht="30" customHeight="1">
      <c r="A301" s="90"/>
      <c r="B301" s="90"/>
      <c r="C301" s="90"/>
      <c r="D301" s="90"/>
      <c r="E301" s="90"/>
      <c r="F301" s="90"/>
      <c r="G301" s="90"/>
      <c r="H301" s="90"/>
      <c r="I301" s="90"/>
      <c r="J301" s="90"/>
      <c r="K301" s="90"/>
      <c r="L301" s="90"/>
      <c r="M301" s="90"/>
      <c r="N301" s="150"/>
      <c r="O301" s="152"/>
      <c r="P301" s="90"/>
      <c r="Q301" s="140"/>
      <c r="R301" s="90"/>
      <c r="S301" s="140"/>
      <c r="T301" s="90"/>
      <c r="U301" s="140"/>
      <c r="V301" s="90"/>
      <c r="W301" s="140"/>
      <c r="X301" s="90"/>
      <c r="Y301" s="140"/>
      <c r="Z301" s="90"/>
      <c r="AA301" s="140"/>
      <c r="AB301" s="62"/>
      <c r="AC301" s="140"/>
      <c r="AD301" s="62"/>
      <c r="AE301" s="140"/>
      <c r="AF301" s="189" t="str">
        <f t="shared" si="10"/>
        <v/>
      </c>
      <c r="AG301" s="304" t="b">
        <f t="shared" si="9"/>
        <v>0</v>
      </c>
      <c r="AH301" s="9"/>
      <c r="AI301" s="145">
        <f t="shared" si="8"/>
        <v>0</v>
      </c>
      <c r="AJ301" s="147" t="s">
        <v>36</v>
      </c>
    </row>
    <row r="302" spans="1:36" ht="30" customHeight="1">
      <c r="A302" s="90"/>
      <c r="B302" s="90"/>
      <c r="C302" s="90"/>
      <c r="D302" s="90"/>
      <c r="E302" s="90"/>
      <c r="F302" s="90"/>
      <c r="G302" s="90"/>
      <c r="H302" s="90"/>
      <c r="I302" s="90"/>
      <c r="J302" s="90"/>
      <c r="K302" s="90"/>
      <c r="L302" s="90"/>
      <c r="M302" s="90"/>
      <c r="N302" s="150"/>
      <c r="O302" s="152"/>
      <c r="P302" s="90"/>
      <c r="Q302" s="140"/>
      <c r="R302" s="90"/>
      <c r="S302" s="140"/>
      <c r="T302" s="90"/>
      <c r="U302" s="140"/>
      <c r="V302" s="90"/>
      <c r="W302" s="140"/>
      <c r="X302" s="90"/>
      <c r="Y302" s="140"/>
      <c r="Z302" s="90"/>
      <c r="AA302" s="140"/>
      <c r="AB302" s="62"/>
      <c r="AC302" s="140"/>
      <c r="AD302" s="62"/>
      <c r="AE302" s="140"/>
      <c r="AF302" s="189" t="str">
        <f t="shared" si="10"/>
        <v/>
      </c>
      <c r="AG302" s="304" t="b">
        <f t="shared" si="9"/>
        <v>0</v>
      </c>
      <c r="AH302" s="9"/>
      <c r="AI302" s="145">
        <f t="shared" si="8"/>
        <v>0</v>
      </c>
      <c r="AJ302" s="147" t="s">
        <v>36</v>
      </c>
    </row>
    <row r="303" spans="1:36" ht="30" customHeight="1">
      <c r="A303" s="90"/>
      <c r="B303" s="90"/>
      <c r="C303" s="90"/>
      <c r="D303" s="90"/>
      <c r="E303" s="90"/>
      <c r="F303" s="90"/>
      <c r="G303" s="90"/>
      <c r="H303" s="90"/>
      <c r="I303" s="90"/>
      <c r="J303" s="90"/>
      <c r="K303" s="90"/>
      <c r="L303" s="90"/>
      <c r="M303" s="90"/>
      <c r="N303" s="150"/>
      <c r="O303" s="152"/>
      <c r="P303" s="90"/>
      <c r="Q303" s="140"/>
      <c r="R303" s="90"/>
      <c r="S303" s="140"/>
      <c r="T303" s="90"/>
      <c r="U303" s="140"/>
      <c r="V303" s="90"/>
      <c r="W303" s="140"/>
      <c r="X303" s="90"/>
      <c r="Y303" s="140"/>
      <c r="Z303" s="90"/>
      <c r="AA303" s="140"/>
      <c r="AB303" s="62"/>
      <c r="AC303" s="140"/>
      <c r="AD303" s="62"/>
      <c r="AE303" s="140"/>
      <c r="AF303" s="189" t="str">
        <f t="shared" si="10"/>
        <v/>
      </c>
      <c r="AG303" s="304" t="b">
        <f t="shared" si="9"/>
        <v>0</v>
      </c>
      <c r="AH303" s="9"/>
      <c r="AI303" s="145">
        <f t="shared" si="8"/>
        <v>0</v>
      </c>
      <c r="AJ303" s="147" t="s">
        <v>36</v>
      </c>
    </row>
    <row r="304" spans="1:36" ht="30" customHeight="1">
      <c r="A304" s="90"/>
      <c r="B304" s="90"/>
      <c r="C304" s="90"/>
      <c r="D304" s="90"/>
      <c r="E304" s="90"/>
      <c r="F304" s="90"/>
      <c r="G304" s="90"/>
      <c r="H304" s="90"/>
      <c r="I304" s="90"/>
      <c r="J304" s="90"/>
      <c r="K304" s="90"/>
      <c r="L304" s="90"/>
      <c r="M304" s="90"/>
      <c r="N304" s="150"/>
      <c r="O304" s="152"/>
      <c r="P304" s="90"/>
      <c r="Q304" s="140"/>
      <c r="R304" s="90"/>
      <c r="S304" s="140"/>
      <c r="T304" s="90"/>
      <c r="U304" s="140"/>
      <c r="V304" s="90"/>
      <c r="W304" s="140"/>
      <c r="X304" s="90"/>
      <c r="Y304" s="140"/>
      <c r="Z304" s="90"/>
      <c r="AA304" s="140"/>
      <c r="AB304" s="62"/>
      <c r="AC304" s="140"/>
      <c r="AD304" s="62"/>
      <c r="AE304" s="140"/>
      <c r="AF304" s="189" t="str">
        <f t="shared" si="10"/>
        <v/>
      </c>
      <c r="AG304" s="304" t="b">
        <f t="shared" si="9"/>
        <v>0</v>
      </c>
      <c r="AH304" s="9"/>
      <c r="AI304" s="145">
        <f t="shared" si="8"/>
        <v>0</v>
      </c>
      <c r="AJ304" s="147" t="s">
        <v>36</v>
      </c>
    </row>
    <row r="305" spans="1:36" ht="30" customHeight="1">
      <c r="A305" s="90"/>
      <c r="B305" s="90"/>
      <c r="C305" s="90"/>
      <c r="D305" s="90"/>
      <c r="E305" s="90"/>
      <c r="F305" s="90"/>
      <c r="G305" s="90"/>
      <c r="H305" s="90"/>
      <c r="I305" s="90"/>
      <c r="J305" s="90"/>
      <c r="K305" s="90"/>
      <c r="L305" s="90"/>
      <c r="M305" s="90"/>
      <c r="N305" s="150"/>
      <c r="O305" s="152"/>
      <c r="P305" s="90"/>
      <c r="Q305" s="140"/>
      <c r="R305" s="90"/>
      <c r="S305" s="140"/>
      <c r="T305" s="90"/>
      <c r="U305" s="140"/>
      <c r="V305" s="90"/>
      <c r="W305" s="140"/>
      <c r="X305" s="90"/>
      <c r="Y305" s="140"/>
      <c r="Z305" s="90"/>
      <c r="AA305" s="140"/>
      <c r="AB305" s="62"/>
      <c r="AC305" s="140"/>
      <c r="AD305" s="62"/>
      <c r="AE305" s="140"/>
      <c r="AF305" s="189" t="str">
        <f t="shared" si="10"/>
        <v/>
      </c>
      <c r="AG305" s="304" t="b">
        <f t="shared" si="9"/>
        <v>0</v>
      </c>
      <c r="AH305" s="9"/>
      <c r="AI305" s="145">
        <f t="shared" si="8"/>
        <v>0</v>
      </c>
      <c r="AJ305" s="147" t="s">
        <v>36</v>
      </c>
    </row>
    <row r="306" spans="1:36" ht="30" customHeight="1">
      <c r="A306" s="90"/>
      <c r="B306" s="90"/>
      <c r="C306" s="90"/>
      <c r="D306" s="90"/>
      <c r="E306" s="90"/>
      <c r="F306" s="90"/>
      <c r="G306" s="90"/>
      <c r="H306" s="90"/>
      <c r="I306" s="90"/>
      <c r="J306" s="90"/>
      <c r="K306" s="90"/>
      <c r="L306" s="90"/>
      <c r="M306" s="90"/>
      <c r="N306" s="150"/>
      <c r="O306" s="152"/>
      <c r="P306" s="90"/>
      <c r="Q306" s="140"/>
      <c r="R306" s="90"/>
      <c r="S306" s="140"/>
      <c r="T306" s="90"/>
      <c r="U306" s="140"/>
      <c r="V306" s="90"/>
      <c r="W306" s="140"/>
      <c r="X306" s="90"/>
      <c r="Y306" s="140"/>
      <c r="Z306" s="90"/>
      <c r="AA306" s="140"/>
      <c r="AB306" s="62"/>
      <c r="AC306" s="140"/>
      <c r="AD306" s="62"/>
      <c r="AE306" s="140"/>
      <c r="AF306" s="189" t="str">
        <f t="shared" si="10"/>
        <v/>
      </c>
      <c r="AG306" s="304" t="b">
        <f t="shared" si="9"/>
        <v>0</v>
      </c>
      <c r="AH306" s="9"/>
      <c r="AI306" s="145">
        <f t="shared" si="8"/>
        <v>0</v>
      </c>
      <c r="AJ306" s="147" t="s">
        <v>36</v>
      </c>
    </row>
    <row r="307" spans="1:36" ht="30" customHeight="1">
      <c r="A307" s="90"/>
      <c r="B307" s="90"/>
      <c r="C307" s="90"/>
      <c r="D307" s="90"/>
      <c r="E307" s="90"/>
      <c r="F307" s="90"/>
      <c r="G307" s="90"/>
      <c r="H307" s="90"/>
      <c r="I307" s="90"/>
      <c r="J307" s="90"/>
      <c r="K307" s="90"/>
      <c r="L307" s="90"/>
      <c r="M307" s="90"/>
      <c r="N307" s="150"/>
      <c r="O307" s="152"/>
      <c r="P307" s="90"/>
      <c r="Q307" s="140"/>
      <c r="R307" s="90"/>
      <c r="S307" s="140"/>
      <c r="T307" s="90"/>
      <c r="U307" s="140"/>
      <c r="V307" s="90"/>
      <c r="W307" s="140"/>
      <c r="X307" s="90"/>
      <c r="Y307" s="140"/>
      <c r="Z307" s="90"/>
      <c r="AA307" s="140"/>
      <c r="AB307" s="62"/>
      <c r="AC307" s="140"/>
      <c r="AD307" s="62"/>
      <c r="AE307" s="140"/>
      <c r="AF307" s="189" t="str">
        <f t="shared" si="10"/>
        <v/>
      </c>
      <c r="AG307" s="304" t="b">
        <f t="shared" si="9"/>
        <v>0</v>
      </c>
      <c r="AH307" s="9"/>
      <c r="AI307" s="145">
        <f t="shared" si="8"/>
        <v>0</v>
      </c>
      <c r="AJ307" s="147" t="s">
        <v>36</v>
      </c>
    </row>
    <row r="308" spans="1:36" ht="30" customHeight="1">
      <c r="A308" s="90"/>
      <c r="B308" s="90"/>
      <c r="C308" s="90"/>
      <c r="D308" s="90"/>
      <c r="E308" s="90"/>
      <c r="F308" s="90"/>
      <c r="G308" s="90"/>
      <c r="H308" s="90"/>
      <c r="I308" s="90"/>
      <c r="J308" s="90"/>
      <c r="K308" s="90"/>
      <c r="L308" s="90"/>
      <c r="M308" s="90"/>
      <c r="N308" s="150"/>
      <c r="O308" s="152"/>
      <c r="P308" s="90"/>
      <c r="Q308" s="140"/>
      <c r="R308" s="90"/>
      <c r="S308" s="140"/>
      <c r="T308" s="90"/>
      <c r="U308" s="140"/>
      <c r="V308" s="90"/>
      <c r="W308" s="140"/>
      <c r="X308" s="90"/>
      <c r="Y308" s="140"/>
      <c r="Z308" s="90"/>
      <c r="AA308" s="140"/>
      <c r="AB308" s="62"/>
      <c r="AC308" s="140"/>
      <c r="AD308" s="62"/>
      <c r="AE308" s="140"/>
      <c r="AF308" s="189" t="str">
        <f t="shared" si="10"/>
        <v/>
      </c>
      <c r="AG308" s="304" t="b">
        <f t="shared" si="9"/>
        <v>0</v>
      </c>
      <c r="AH308" s="9"/>
      <c r="AI308" s="145">
        <f t="shared" si="8"/>
        <v>0</v>
      </c>
      <c r="AJ308" s="147" t="s">
        <v>36</v>
      </c>
    </row>
    <row r="309" spans="1:36" ht="30" customHeight="1">
      <c r="A309" s="90"/>
      <c r="B309" s="90"/>
      <c r="C309" s="90"/>
      <c r="D309" s="90"/>
      <c r="E309" s="90"/>
      <c r="F309" s="90"/>
      <c r="G309" s="90"/>
      <c r="H309" s="90"/>
      <c r="I309" s="90"/>
      <c r="J309" s="90"/>
      <c r="K309" s="90"/>
      <c r="L309" s="90"/>
      <c r="M309" s="90"/>
      <c r="N309" s="150"/>
      <c r="O309" s="152"/>
      <c r="P309" s="90"/>
      <c r="Q309" s="140"/>
      <c r="R309" s="90"/>
      <c r="S309" s="140"/>
      <c r="T309" s="90"/>
      <c r="U309" s="140"/>
      <c r="V309" s="90"/>
      <c r="W309" s="140"/>
      <c r="X309" s="90"/>
      <c r="Y309" s="140"/>
      <c r="Z309" s="90"/>
      <c r="AA309" s="140"/>
      <c r="AB309" s="62"/>
      <c r="AC309" s="140"/>
      <c r="AD309" s="62"/>
      <c r="AE309" s="140"/>
      <c r="AF309" s="189" t="str">
        <f t="shared" si="10"/>
        <v/>
      </c>
      <c r="AG309" s="304" t="b">
        <f t="shared" si="9"/>
        <v>0</v>
      </c>
      <c r="AH309" s="9"/>
      <c r="AI309" s="145">
        <f t="shared" si="8"/>
        <v>0</v>
      </c>
      <c r="AJ309" s="147" t="s">
        <v>36</v>
      </c>
    </row>
    <row r="310" spans="1:36" ht="30" customHeight="1">
      <c r="A310" s="90"/>
      <c r="B310" s="90"/>
      <c r="C310" s="90"/>
      <c r="D310" s="90"/>
      <c r="E310" s="90"/>
      <c r="F310" s="90"/>
      <c r="G310" s="90"/>
      <c r="H310" s="90"/>
      <c r="I310" s="90"/>
      <c r="J310" s="90"/>
      <c r="K310" s="90"/>
      <c r="L310" s="90"/>
      <c r="M310" s="90"/>
      <c r="N310" s="150"/>
      <c r="O310" s="152"/>
      <c r="P310" s="90"/>
      <c r="Q310" s="140"/>
      <c r="R310" s="90"/>
      <c r="S310" s="140"/>
      <c r="T310" s="90"/>
      <c r="U310" s="140"/>
      <c r="V310" s="90"/>
      <c r="W310" s="140"/>
      <c r="X310" s="90"/>
      <c r="Y310" s="140"/>
      <c r="Z310" s="90"/>
      <c r="AA310" s="140"/>
      <c r="AB310" s="62"/>
      <c r="AC310" s="140"/>
      <c r="AD310" s="62"/>
      <c r="AE310" s="140"/>
      <c r="AF310" s="189" t="str">
        <f t="shared" si="10"/>
        <v/>
      </c>
      <c r="AG310" s="304" t="b">
        <f t="shared" si="9"/>
        <v>0</v>
      </c>
      <c r="AH310" s="9"/>
      <c r="AI310" s="145">
        <f t="shared" si="8"/>
        <v>0</v>
      </c>
      <c r="AJ310" s="147" t="s">
        <v>36</v>
      </c>
    </row>
    <row r="311" spans="1:36" ht="30" customHeight="1">
      <c r="A311" s="90"/>
      <c r="B311" s="90"/>
      <c r="C311" s="90"/>
      <c r="D311" s="90"/>
      <c r="E311" s="90"/>
      <c r="F311" s="90"/>
      <c r="G311" s="90"/>
      <c r="H311" s="90"/>
      <c r="I311" s="90"/>
      <c r="J311" s="90"/>
      <c r="K311" s="90"/>
      <c r="L311" s="90"/>
      <c r="M311" s="90"/>
      <c r="N311" s="150"/>
      <c r="O311" s="152"/>
      <c r="P311" s="90"/>
      <c r="Q311" s="140"/>
      <c r="R311" s="90"/>
      <c r="S311" s="140"/>
      <c r="T311" s="90"/>
      <c r="U311" s="140"/>
      <c r="V311" s="90"/>
      <c r="W311" s="140"/>
      <c r="X311" s="90"/>
      <c r="Y311" s="140"/>
      <c r="Z311" s="90"/>
      <c r="AA311" s="140"/>
      <c r="AB311" s="62"/>
      <c r="AC311" s="140"/>
      <c r="AD311" s="62"/>
      <c r="AE311" s="140"/>
      <c r="AF311" s="189" t="str">
        <f t="shared" si="10"/>
        <v/>
      </c>
      <c r="AG311" s="304" t="b">
        <f t="shared" si="9"/>
        <v>0</v>
      </c>
      <c r="AH311" s="9"/>
      <c r="AI311" s="145">
        <f t="shared" si="8"/>
        <v>0</v>
      </c>
      <c r="AJ311" s="147" t="s">
        <v>36</v>
      </c>
    </row>
    <row r="312" spans="1:36" ht="30" customHeight="1">
      <c r="A312" s="90"/>
      <c r="B312" s="90"/>
      <c r="C312" s="90"/>
      <c r="D312" s="90"/>
      <c r="E312" s="90"/>
      <c r="F312" s="90"/>
      <c r="G312" s="90"/>
      <c r="H312" s="90"/>
      <c r="I312" s="90"/>
      <c r="J312" s="90"/>
      <c r="K312" s="90"/>
      <c r="L312" s="90"/>
      <c r="M312" s="90"/>
      <c r="N312" s="150"/>
      <c r="O312" s="152"/>
      <c r="P312" s="90"/>
      <c r="Q312" s="140"/>
      <c r="R312" s="90"/>
      <c r="S312" s="140"/>
      <c r="T312" s="90"/>
      <c r="U312" s="140"/>
      <c r="V312" s="90"/>
      <c r="W312" s="140"/>
      <c r="X312" s="90"/>
      <c r="Y312" s="140"/>
      <c r="Z312" s="90"/>
      <c r="AA312" s="140"/>
      <c r="AB312" s="62"/>
      <c r="AC312" s="140"/>
      <c r="AD312" s="62"/>
      <c r="AE312" s="140"/>
      <c r="AF312" s="189" t="str">
        <f t="shared" si="10"/>
        <v/>
      </c>
      <c r="AG312" s="304" t="b">
        <f t="shared" si="9"/>
        <v>0</v>
      </c>
      <c r="AH312" s="9"/>
      <c r="AI312" s="145">
        <f t="shared" ref="AI312:AI375" si="11">E312</f>
        <v>0</v>
      </c>
      <c r="AJ312" s="147" t="s">
        <v>36</v>
      </c>
    </row>
    <row r="313" spans="1:36" ht="30" customHeight="1">
      <c r="A313" s="90"/>
      <c r="B313" s="90"/>
      <c r="C313" s="90"/>
      <c r="D313" s="90"/>
      <c r="E313" s="90"/>
      <c r="F313" s="90"/>
      <c r="G313" s="90"/>
      <c r="H313" s="90"/>
      <c r="I313" s="90"/>
      <c r="J313" s="90"/>
      <c r="K313" s="90"/>
      <c r="L313" s="90"/>
      <c r="M313" s="90"/>
      <c r="N313" s="150"/>
      <c r="O313" s="152"/>
      <c r="P313" s="90"/>
      <c r="Q313" s="140"/>
      <c r="R313" s="90"/>
      <c r="S313" s="140"/>
      <c r="T313" s="90"/>
      <c r="U313" s="140"/>
      <c r="V313" s="90"/>
      <c r="W313" s="140"/>
      <c r="X313" s="90"/>
      <c r="Y313" s="140"/>
      <c r="Z313" s="90"/>
      <c r="AA313" s="140"/>
      <c r="AB313" s="62"/>
      <c r="AC313" s="140"/>
      <c r="AD313" s="62"/>
      <c r="AE313" s="140"/>
      <c r="AF313" s="189" t="str">
        <f t="shared" si="10"/>
        <v/>
      </c>
      <c r="AG313" s="304" t="b">
        <f t="shared" si="9"/>
        <v>0</v>
      </c>
      <c r="AH313" s="9"/>
      <c r="AI313" s="145">
        <f t="shared" si="11"/>
        <v>0</v>
      </c>
      <c r="AJ313" s="147" t="s">
        <v>36</v>
      </c>
    </row>
    <row r="314" spans="1:36" ht="30" customHeight="1">
      <c r="A314" s="90"/>
      <c r="B314" s="90"/>
      <c r="C314" s="90"/>
      <c r="D314" s="90"/>
      <c r="E314" s="90"/>
      <c r="F314" s="90"/>
      <c r="G314" s="90"/>
      <c r="H314" s="90"/>
      <c r="I314" s="90"/>
      <c r="J314" s="90"/>
      <c r="K314" s="90"/>
      <c r="L314" s="90"/>
      <c r="M314" s="90"/>
      <c r="N314" s="150"/>
      <c r="O314" s="152"/>
      <c r="P314" s="90"/>
      <c r="Q314" s="140"/>
      <c r="R314" s="90"/>
      <c r="S314" s="140"/>
      <c r="T314" s="90"/>
      <c r="U314" s="140"/>
      <c r="V314" s="90"/>
      <c r="W314" s="140"/>
      <c r="X314" s="90"/>
      <c r="Y314" s="140"/>
      <c r="Z314" s="90"/>
      <c r="AA314" s="140"/>
      <c r="AB314" s="62"/>
      <c r="AC314" s="140"/>
      <c r="AD314" s="62"/>
      <c r="AE314" s="140"/>
      <c r="AF314" s="189" t="str">
        <f t="shared" si="10"/>
        <v/>
      </c>
      <c r="AG314" s="304" t="b">
        <f t="shared" si="9"/>
        <v>0</v>
      </c>
      <c r="AH314" s="9"/>
      <c r="AI314" s="145">
        <f t="shared" si="11"/>
        <v>0</v>
      </c>
      <c r="AJ314" s="147" t="s">
        <v>36</v>
      </c>
    </row>
    <row r="315" spans="1:36" ht="30" customHeight="1">
      <c r="A315" s="90"/>
      <c r="B315" s="90"/>
      <c r="C315" s="90"/>
      <c r="D315" s="90"/>
      <c r="E315" s="90"/>
      <c r="F315" s="90"/>
      <c r="G315" s="90"/>
      <c r="H315" s="90"/>
      <c r="I315" s="90"/>
      <c r="J315" s="90"/>
      <c r="K315" s="90"/>
      <c r="L315" s="90"/>
      <c r="M315" s="90"/>
      <c r="N315" s="150"/>
      <c r="O315" s="152"/>
      <c r="P315" s="90"/>
      <c r="Q315" s="140"/>
      <c r="R315" s="90"/>
      <c r="S315" s="140"/>
      <c r="T315" s="90"/>
      <c r="U315" s="140"/>
      <c r="V315" s="90"/>
      <c r="W315" s="140"/>
      <c r="X315" s="90"/>
      <c r="Y315" s="140"/>
      <c r="Z315" s="90"/>
      <c r="AA315" s="140"/>
      <c r="AB315" s="62"/>
      <c r="AC315" s="140"/>
      <c r="AD315" s="62"/>
      <c r="AE315" s="140"/>
      <c r="AF315" s="189" t="str">
        <f t="shared" si="10"/>
        <v/>
      </c>
      <c r="AG315" s="304" t="b">
        <f t="shared" si="9"/>
        <v>0</v>
      </c>
      <c r="AH315" s="9"/>
      <c r="AI315" s="145">
        <f t="shared" si="11"/>
        <v>0</v>
      </c>
      <c r="AJ315" s="147" t="s">
        <v>36</v>
      </c>
    </row>
    <row r="316" spans="1:36" ht="30" customHeight="1">
      <c r="A316" s="90"/>
      <c r="B316" s="90"/>
      <c r="C316" s="90"/>
      <c r="D316" s="90"/>
      <c r="E316" s="90"/>
      <c r="F316" s="90"/>
      <c r="G316" s="90"/>
      <c r="H316" s="90"/>
      <c r="I316" s="90"/>
      <c r="J316" s="90"/>
      <c r="K316" s="90"/>
      <c r="L316" s="90"/>
      <c r="M316" s="90"/>
      <c r="N316" s="150"/>
      <c r="O316" s="152"/>
      <c r="P316" s="90"/>
      <c r="Q316" s="140"/>
      <c r="R316" s="90"/>
      <c r="S316" s="140"/>
      <c r="T316" s="90"/>
      <c r="U316" s="140"/>
      <c r="V316" s="90"/>
      <c r="W316" s="140"/>
      <c r="X316" s="90"/>
      <c r="Y316" s="140"/>
      <c r="Z316" s="90"/>
      <c r="AA316" s="140"/>
      <c r="AB316" s="62"/>
      <c r="AC316" s="140"/>
      <c r="AD316" s="62"/>
      <c r="AE316" s="140"/>
      <c r="AF316" s="189" t="str">
        <f t="shared" si="10"/>
        <v/>
      </c>
      <c r="AG316" s="304" t="b">
        <f t="shared" si="9"/>
        <v>0</v>
      </c>
      <c r="AH316" s="9"/>
      <c r="AI316" s="145">
        <f t="shared" si="11"/>
        <v>0</v>
      </c>
      <c r="AJ316" s="147" t="s">
        <v>36</v>
      </c>
    </row>
    <row r="317" spans="1:36" ht="30" customHeight="1">
      <c r="A317" s="90"/>
      <c r="B317" s="90"/>
      <c r="C317" s="90"/>
      <c r="D317" s="90"/>
      <c r="E317" s="90"/>
      <c r="F317" s="90"/>
      <c r="G317" s="90"/>
      <c r="H317" s="90"/>
      <c r="I317" s="90"/>
      <c r="J317" s="90"/>
      <c r="K317" s="90"/>
      <c r="L317" s="90"/>
      <c r="M317" s="90"/>
      <c r="N317" s="150"/>
      <c r="O317" s="152"/>
      <c r="P317" s="90"/>
      <c r="Q317" s="140"/>
      <c r="R317" s="90"/>
      <c r="S317" s="140"/>
      <c r="T317" s="90"/>
      <c r="U317" s="140"/>
      <c r="V317" s="90"/>
      <c r="W317" s="140"/>
      <c r="X317" s="90"/>
      <c r="Y317" s="140"/>
      <c r="Z317" s="90"/>
      <c r="AA317" s="140"/>
      <c r="AB317" s="62"/>
      <c r="AC317" s="140"/>
      <c r="AD317" s="62"/>
      <c r="AE317" s="140"/>
      <c r="AF317" s="189" t="str">
        <f t="shared" si="10"/>
        <v/>
      </c>
      <c r="AG317" s="304" t="b">
        <f t="shared" si="9"/>
        <v>0</v>
      </c>
      <c r="AH317" s="9"/>
      <c r="AI317" s="145">
        <f t="shared" si="11"/>
        <v>0</v>
      </c>
      <c r="AJ317" s="147" t="s">
        <v>36</v>
      </c>
    </row>
    <row r="318" spans="1:36" ht="30" customHeight="1">
      <c r="A318" s="90"/>
      <c r="B318" s="90"/>
      <c r="C318" s="90"/>
      <c r="D318" s="90"/>
      <c r="E318" s="90"/>
      <c r="F318" s="90"/>
      <c r="G318" s="90"/>
      <c r="H318" s="90"/>
      <c r="I318" s="90"/>
      <c r="J318" s="90"/>
      <c r="K318" s="90"/>
      <c r="L318" s="90"/>
      <c r="M318" s="90"/>
      <c r="N318" s="150"/>
      <c r="O318" s="152"/>
      <c r="P318" s="90"/>
      <c r="Q318" s="140"/>
      <c r="R318" s="90"/>
      <c r="S318" s="140"/>
      <c r="T318" s="90"/>
      <c r="U318" s="140"/>
      <c r="V318" s="90"/>
      <c r="W318" s="140"/>
      <c r="X318" s="90"/>
      <c r="Y318" s="140"/>
      <c r="Z318" s="90"/>
      <c r="AA318" s="140"/>
      <c r="AB318" s="62"/>
      <c r="AC318" s="140"/>
      <c r="AD318" s="62"/>
      <c r="AE318" s="140"/>
      <c r="AF318" s="189" t="str">
        <f t="shared" si="10"/>
        <v/>
      </c>
      <c r="AG318" s="304" t="b">
        <f t="shared" si="9"/>
        <v>0</v>
      </c>
      <c r="AH318" s="9"/>
      <c r="AI318" s="145">
        <f t="shared" si="11"/>
        <v>0</v>
      </c>
      <c r="AJ318" s="147" t="s">
        <v>36</v>
      </c>
    </row>
    <row r="319" spans="1:36" ht="30" customHeight="1">
      <c r="A319" s="90"/>
      <c r="B319" s="90"/>
      <c r="C319" s="90"/>
      <c r="D319" s="90"/>
      <c r="E319" s="90"/>
      <c r="F319" s="90"/>
      <c r="G319" s="90"/>
      <c r="H319" s="90"/>
      <c r="I319" s="90"/>
      <c r="J319" s="90"/>
      <c r="K319" s="90"/>
      <c r="L319" s="90"/>
      <c r="M319" s="90"/>
      <c r="N319" s="150"/>
      <c r="O319" s="152"/>
      <c r="P319" s="90"/>
      <c r="Q319" s="140"/>
      <c r="R319" s="90"/>
      <c r="S319" s="140"/>
      <c r="T319" s="90"/>
      <c r="U319" s="140"/>
      <c r="V319" s="90"/>
      <c r="W319" s="140"/>
      <c r="X319" s="90"/>
      <c r="Y319" s="140"/>
      <c r="Z319" s="90"/>
      <c r="AA319" s="140"/>
      <c r="AB319" s="62"/>
      <c r="AC319" s="140"/>
      <c r="AD319" s="62"/>
      <c r="AE319" s="140"/>
      <c r="AF319" s="189" t="str">
        <f t="shared" si="10"/>
        <v/>
      </c>
      <c r="AG319" s="304" t="b">
        <f t="shared" si="9"/>
        <v>0</v>
      </c>
      <c r="AH319" s="9"/>
      <c r="AI319" s="145">
        <f t="shared" si="11"/>
        <v>0</v>
      </c>
      <c r="AJ319" s="147" t="s">
        <v>36</v>
      </c>
    </row>
    <row r="320" spans="1:36" ht="30" customHeight="1">
      <c r="A320" s="90"/>
      <c r="B320" s="90"/>
      <c r="C320" s="90"/>
      <c r="D320" s="90"/>
      <c r="E320" s="90"/>
      <c r="F320" s="90"/>
      <c r="G320" s="90"/>
      <c r="H320" s="90"/>
      <c r="I320" s="90"/>
      <c r="J320" s="90"/>
      <c r="K320" s="90"/>
      <c r="L320" s="90"/>
      <c r="M320" s="90"/>
      <c r="N320" s="150"/>
      <c r="O320" s="152"/>
      <c r="P320" s="90"/>
      <c r="Q320" s="140"/>
      <c r="R320" s="90"/>
      <c r="S320" s="140"/>
      <c r="T320" s="90"/>
      <c r="U320" s="140"/>
      <c r="V320" s="90"/>
      <c r="W320" s="140"/>
      <c r="X320" s="90"/>
      <c r="Y320" s="140"/>
      <c r="Z320" s="90"/>
      <c r="AA320" s="140"/>
      <c r="AB320" s="62"/>
      <c r="AC320" s="140"/>
      <c r="AD320" s="62"/>
      <c r="AE320" s="140"/>
      <c r="AF320" s="189" t="str">
        <f t="shared" si="10"/>
        <v/>
      </c>
      <c r="AG320" s="304" t="b">
        <f t="shared" si="9"/>
        <v>0</v>
      </c>
      <c r="AH320" s="9"/>
      <c r="AI320" s="145">
        <f t="shared" si="11"/>
        <v>0</v>
      </c>
      <c r="AJ320" s="147" t="s">
        <v>36</v>
      </c>
    </row>
    <row r="321" spans="1:36" ht="30" customHeight="1">
      <c r="A321" s="90"/>
      <c r="B321" s="90"/>
      <c r="C321" s="90"/>
      <c r="D321" s="90"/>
      <c r="E321" s="90"/>
      <c r="F321" s="90"/>
      <c r="G321" s="90"/>
      <c r="H321" s="90"/>
      <c r="I321" s="90"/>
      <c r="J321" s="90"/>
      <c r="K321" s="90"/>
      <c r="L321" s="90"/>
      <c r="M321" s="90"/>
      <c r="N321" s="150"/>
      <c r="O321" s="152"/>
      <c r="P321" s="90"/>
      <c r="Q321" s="140"/>
      <c r="R321" s="90"/>
      <c r="S321" s="140"/>
      <c r="T321" s="90"/>
      <c r="U321" s="140"/>
      <c r="V321" s="90"/>
      <c r="W321" s="140"/>
      <c r="X321" s="90"/>
      <c r="Y321" s="140"/>
      <c r="Z321" s="90"/>
      <c r="AA321" s="140"/>
      <c r="AB321" s="62"/>
      <c r="AC321" s="140"/>
      <c r="AD321" s="62"/>
      <c r="AE321" s="140"/>
      <c r="AF321" s="189" t="str">
        <f t="shared" si="10"/>
        <v/>
      </c>
      <c r="AG321" s="304" t="b">
        <f t="shared" si="9"/>
        <v>0</v>
      </c>
      <c r="AH321" s="9"/>
      <c r="AI321" s="145">
        <f t="shared" si="11"/>
        <v>0</v>
      </c>
      <c r="AJ321" s="147" t="s">
        <v>36</v>
      </c>
    </row>
    <row r="322" spans="1:36" ht="30" customHeight="1">
      <c r="A322" s="90"/>
      <c r="B322" s="90"/>
      <c r="C322" s="90"/>
      <c r="D322" s="90"/>
      <c r="E322" s="90"/>
      <c r="F322" s="90"/>
      <c r="G322" s="90"/>
      <c r="H322" s="90"/>
      <c r="I322" s="90"/>
      <c r="J322" s="90"/>
      <c r="K322" s="90"/>
      <c r="L322" s="90"/>
      <c r="M322" s="90"/>
      <c r="N322" s="150"/>
      <c r="O322" s="152"/>
      <c r="P322" s="90"/>
      <c r="Q322" s="140"/>
      <c r="R322" s="90"/>
      <c r="S322" s="140"/>
      <c r="T322" s="90"/>
      <c r="U322" s="140"/>
      <c r="V322" s="90"/>
      <c r="W322" s="140"/>
      <c r="X322" s="90"/>
      <c r="Y322" s="140"/>
      <c r="Z322" s="90"/>
      <c r="AA322" s="140"/>
      <c r="AB322" s="62"/>
      <c r="AC322" s="140"/>
      <c r="AD322" s="62"/>
      <c r="AE322" s="140"/>
      <c r="AF322" s="189" t="str">
        <f t="shared" si="10"/>
        <v/>
      </c>
      <c r="AG322" s="304" t="b">
        <f t="shared" ref="AG322:AG385" si="12">IF(AND(AE322="C",AF322="C"),"UTILIZOU O PDA CORRETAMENTE",IF(AND(AE322="C",AF322="NC"),"UTILIZOU O PDA CORRETAMENTE. NÃO HÁ FOTOS DE TODAS AS ETAPAS",IF(AND(AE322="NC",AF322="NC"),"NÃO UTILIZOU O PDA",IF(AND(AE322="NA",AF322="NA"),"NÃO AVALIADO POR FALHA DE SINCRONISMO"))))</f>
        <v>0</v>
      </c>
      <c r="AH322" s="9"/>
      <c r="AI322" s="145">
        <f t="shared" si="11"/>
        <v>0</v>
      </c>
      <c r="AJ322" s="147" t="s">
        <v>36</v>
      </c>
    </row>
    <row r="323" spans="1:36" ht="30" customHeight="1">
      <c r="A323" s="90"/>
      <c r="B323" s="90"/>
      <c r="C323" s="90"/>
      <c r="D323" s="90"/>
      <c r="E323" s="90"/>
      <c r="F323" s="90"/>
      <c r="G323" s="90"/>
      <c r="H323" s="90"/>
      <c r="I323" s="90"/>
      <c r="J323" s="90"/>
      <c r="K323" s="90"/>
      <c r="L323" s="90"/>
      <c r="M323" s="90"/>
      <c r="N323" s="150"/>
      <c r="O323" s="152"/>
      <c r="P323" s="90"/>
      <c r="Q323" s="140"/>
      <c r="R323" s="90"/>
      <c r="S323" s="140"/>
      <c r="T323" s="90"/>
      <c r="U323" s="140"/>
      <c r="V323" s="90"/>
      <c r="W323" s="140"/>
      <c r="X323" s="90"/>
      <c r="Y323" s="140"/>
      <c r="Z323" s="90"/>
      <c r="AA323" s="140"/>
      <c r="AB323" s="62"/>
      <c r="AC323" s="140"/>
      <c r="AD323" s="62"/>
      <c r="AE323" s="140"/>
      <c r="AF323" s="189" t="str">
        <f t="shared" ref="AF323:AF386" si="13">IF(AND(O323="",Q323="",S323="",U323="",W323="",Y323="",AA323="",AC323=""),"",
IF(OR(    AND(O323&lt;&gt;"NA",O323&lt;&gt;"C",O323&lt;&gt;"NC",O323&lt;&gt;"SF",O323&lt;&gt;""),
    AND(Q323&lt;&gt;"NA",Q323&lt;&gt;"C",Q323&lt;&gt;"NC",Q323&lt;&gt;"SF",Q323&lt;&gt;""),
    AND(S323&lt;&gt;"NA",S323&lt;&gt;"C",S323&lt;&gt;"NC",S323&lt;&gt;"SF",S323&lt;&gt;""),
    AND(U323&lt;&gt;"NA",U323&lt;&gt;"C",U323&lt;&gt;"NC",U323&lt;&gt;"SF",U323&lt;&gt;""),
    AND(W323&lt;&gt;"NA",W323&lt;&gt;"C",W323&lt;&gt;"NC",W323&lt;&gt;"SF",W323&lt;&gt;""),
    AND(Y323&lt;&gt;"NA",Y323&lt;&gt;"C",Y323&lt;&gt;"NC",Y323&lt;&gt;"SF",Y323&lt;&gt;""),
    AND(AA323&lt;&gt;"NA",AA323&lt;&gt;"C",AA323&lt;&gt;"NC",AA323&lt;&gt;"SF",AA323&lt;&gt;""),
    AND(AC323&lt;&gt;"NA",AC323&lt;&gt;"C",AC323&lt;&gt;"NC",AC323&lt;&gt;"SF",AC323&lt;&gt;"")
),"FALSO",
IF(AND(O323="NA",Q323="NA",S323="NA",U323="NA",W323="NA",Y323="NA",AA323="NA",AC323="NA"),"NA",
IF(OR(O323="NC",Q323="NC",S323="NC",U323="NC",W323="NC",Y323="NC",AA323="NC",AC323="NC",
       O323="SF",Q323="SF",S323="SF",U323="SF",W323="SF",Y323="SF",AA323="SF",AC323="SF"),"NC",
IF(SUM(IF(O323="C",1,0),IF(Q323="C",1,0),IF(S323="C",1,0),IF(U323="C",1,0),IF(W323="C",1,0),IF(Y323="C",1,0),IF(AA323="C",1,0),IF(AC323="C",1,0))=1,"C","C")))))</f>
        <v/>
      </c>
      <c r="AG323" s="304" t="b">
        <f t="shared" si="12"/>
        <v>0</v>
      </c>
      <c r="AH323" s="9"/>
      <c r="AI323" s="145">
        <f t="shared" si="11"/>
        <v>0</v>
      </c>
      <c r="AJ323" s="147" t="s">
        <v>36</v>
      </c>
    </row>
    <row r="324" spans="1:36" ht="30" customHeight="1">
      <c r="A324" s="90"/>
      <c r="B324" s="90"/>
      <c r="C324" s="90"/>
      <c r="D324" s="90"/>
      <c r="E324" s="90"/>
      <c r="F324" s="90"/>
      <c r="G324" s="90"/>
      <c r="H324" s="90"/>
      <c r="I324" s="90"/>
      <c r="J324" s="90"/>
      <c r="K324" s="90"/>
      <c r="L324" s="90"/>
      <c r="M324" s="90"/>
      <c r="N324" s="150"/>
      <c r="O324" s="152"/>
      <c r="P324" s="90"/>
      <c r="Q324" s="140"/>
      <c r="R324" s="90"/>
      <c r="S324" s="140"/>
      <c r="T324" s="90"/>
      <c r="U324" s="140"/>
      <c r="V324" s="90"/>
      <c r="W324" s="140"/>
      <c r="X324" s="90"/>
      <c r="Y324" s="140"/>
      <c r="Z324" s="90"/>
      <c r="AA324" s="140"/>
      <c r="AB324" s="62"/>
      <c r="AC324" s="140"/>
      <c r="AD324" s="62"/>
      <c r="AE324" s="140"/>
      <c r="AF324" s="189" t="str">
        <f t="shared" si="13"/>
        <v/>
      </c>
      <c r="AG324" s="304" t="b">
        <f t="shared" si="12"/>
        <v>0</v>
      </c>
      <c r="AH324" s="9"/>
      <c r="AI324" s="145">
        <f t="shared" si="11"/>
        <v>0</v>
      </c>
      <c r="AJ324" s="147" t="s">
        <v>36</v>
      </c>
    </row>
    <row r="325" spans="1:36" ht="30" customHeight="1">
      <c r="A325" s="90"/>
      <c r="B325" s="90"/>
      <c r="C325" s="90"/>
      <c r="D325" s="90"/>
      <c r="E325" s="90"/>
      <c r="F325" s="90"/>
      <c r="G325" s="90"/>
      <c r="H325" s="90"/>
      <c r="I325" s="90"/>
      <c r="J325" s="90"/>
      <c r="K325" s="90"/>
      <c r="L325" s="90"/>
      <c r="M325" s="90"/>
      <c r="N325" s="150"/>
      <c r="O325" s="152"/>
      <c r="P325" s="90"/>
      <c r="Q325" s="140"/>
      <c r="R325" s="90"/>
      <c r="S325" s="140"/>
      <c r="T325" s="90"/>
      <c r="U325" s="140"/>
      <c r="V325" s="90"/>
      <c r="W325" s="140"/>
      <c r="X325" s="90"/>
      <c r="Y325" s="140"/>
      <c r="Z325" s="90"/>
      <c r="AA325" s="140"/>
      <c r="AB325" s="62"/>
      <c r="AC325" s="140"/>
      <c r="AD325" s="62"/>
      <c r="AE325" s="140"/>
      <c r="AF325" s="189" t="str">
        <f t="shared" si="13"/>
        <v/>
      </c>
      <c r="AG325" s="304" t="b">
        <f t="shared" si="12"/>
        <v>0</v>
      </c>
      <c r="AH325" s="9"/>
      <c r="AI325" s="145">
        <f t="shared" si="11"/>
        <v>0</v>
      </c>
      <c r="AJ325" s="147" t="s">
        <v>36</v>
      </c>
    </row>
    <row r="326" spans="1:36" ht="30" customHeight="1">
      <c r="A326" s="90"/>
      <c r="B326" s="90"/>
      <c r="C326" s="90"/>
      <c r="D326" s="90"/>
      <c r="E326" s="90"/>
      <c r="F326" s="90"/>
      <c r="G326" s="90"/>
      <c r="H326" s="90"/>
      <c r="I326" s="90"/>
      <c r="J326" s="90"/>
      <c r="K326" s="90"/>
      <c r="L326" s="90"/>
      <c r="M326" s="90"/>
      <c r="N326" s="150"/>
      <c r="O326" s="152"/>
      <c r="P326" s="90"/>
      <c r="Q326" s="140"/>
      <c r="R326" s="90"/>
      <c r="S326" s="140"/>
      <c r="T326" s="90"/>
      <c r="U326" s="140"/>
      <c r="V326" s="90"/>
      <c r="W326" s="140"/>
      <c r="X326" s="90"/>
      <c r="Y326" s="140"/>
      <c r="Z326" s="90"/>
      <c r="AA326" s="140"/>
      <c r="AB326" s="62"/>
      <c r="AC326" s="140"/>
      <c r="AD326" s="62"/>
      <c r="AE326" s="140"/>
      <c r="AF326" s="189" t="str">
        <f t="shared" si="13"/>
        <v/>
      </c>
      <c r="AG326" s="304" t="b">
        <f t="shared" si="12"/>
        <v>0</v>
      </c>
      <c r="AH326" s="9"/>
      <c r="AI326" s="145">
        <f t="shared" si="11"/>
        <v>0</v>
      </c>
      <c r="AJ326" s="147" t="s">
        <v>36</v>
      </c>
    </row>
    <row r="327" spans="1:36" ht="30" customHeight="1">
      <c r="A327" s="90"/>
      <c r="B327" s="90"/>
      <c r="C327" s="90"/>
      <c r="D327" s="90"/>
      <c r="E327" s="90"/>
      <c r="F327" s="90"/>
      <c r="G327" s="90"/>
      <c r="H327" s="90"/>
      <c r="I327" s="90"/>
      <c r="J327" s="90"/>
      <c r="K327" s="90"/>
      <c r="L327" s="90"/>
      <c r="M327" s="90"/>
      <c r="N327" s="150"/>
      <c r="O327" s="152"/>
      <c r="P327" s="90"/>
      <c r="Q327" s="140"/>
      <c r="R327" s="90"/>
      <c r="S327" s="140"/>
      <c r="T327" s="90"/>
      <c r="U327" s="140"/>
      <c r="V327" s="90"/>
      <c r="W327" s="140"/>
      <c r="X327" s="90"/>
      <c r="Y327" s="140"/>
      <c r="Z327" s="90"/>
      <c r="AA327" s="140"/>
      <c r="AB327" s="62"/>
      <c r="AC327" s="140"/>
      <c r="AD327" s="62"/>
      <c r="AE327" s="140"/>
      <c r="AF327" s="189" t="str">
        <f t="shared" si="13"/>
        <v/>
      </c>
      <c r="AG327" s="304" t="b">
        <f t="shared" si="12"/>
        <v>0</v>
      </c>
      <c r="AH327" s="9"/>
      <c r="AI327" s="145">
        <f t="shared" si="11"/>
        <v>0</v>
      </c>
      <c r="AJ327" s="147" t="s">
        <v>36</v>
      </c>
    </row>
    <row r="328" spans="1:36" ht="30" customHeight="1">
      <c r="A328" s="90"/>
      <c r="B328" s="90"/>
      <c r="C328" s="90"/>
      <c r="D328" s="90"/>
      <c r="E328" s="90"/>
      <c r="F328" s="90"/>
      <c r="G328" s="90"/>
      <c r="H328" s="90"/>
      <c r="I328" s="90"/>
      <c r="J328" s="90"/>
      <c r="K328" s="90"/>
      <c r="L328" s="90"/>
      <c r="M328" s="90"/>
      <c r="N328" s="150"/>
      <c r="O328" s="152"/>
      <c r="P328" s="90"/>
      <c r="Q328" s="140"/>
      <c r="R328" s="90"/>
      <c r="S328" s="140"/>
      <c r="T328" s="90"/>
      <c r="U328" s="140"/>
      <c r="V328" s="90"/>
      <c r="W328" s="140"/>
      <c r="X328" s="90"/>
      <c r="Y328" s="140"/>
      <c r="Z328" s="90"/>
      <c r="AA328" s="140"/>
      <c r="AB328" s="62"/>
      <c r="AC328" s="140"/>
      <c r="AD328" s="62"/>
      <c r="AE328" s="140"/>
      <c r="AF328" s="189" t="str">
        <f t="shared" si="13"/>
        <v/>
      </c>
      <c r="AG328" s="304" t="b">
        <f t="shared" si="12"/>
        <v>0</v>
      </c>
      <c r="AH328" s="9"/>
      <c r="AI328" s="145">
        <f t="shared" si="11"/>
        <v>0</v>
      </c>
      <c r="AJ328" s="147" t="s">
        <v>36</v>
      </c>
    </row>
    <row r="329" spans="1:36" ht="30" customHeight="1">
      <c r="A329" s="90"/>
      <c r="B329" s="90"/>
      <c r="C329" s="90"/>
      <c r="D329" s="90"/>
      <c r="E329" s="90"/>
      <c r="F329" s="90"/>
      <c r="G329" s="90"/>
      <c r="H329" s="90"/>
      <c r="I329" s="90"/>
      <c r="J329" s="90"/>
      <c r="K329" s="90"/>
      <c r="L329" s="90"/>
      <c r="M329" s="90"/>
      <c r="N329" s="150"/>
      <c r="O329" s="152"/>
      <c r="P329" s="90"/>
      <c r="Q329" s="140"/>
      <c r="R329" s="90"/>
      <c r="S329" s="140"/>
      <c r="T329" s="90"/>
      <c r="U329" s="140"/>
      <c r="V329" s="90"/>
      <c r="W329" s="140"/>
      <c r="X329" s="90"/>
      <c r="Y329" s="140"/>
      <c r="Z329" s="90"/>
      <c r="AA329" s="140"/>
      <c r="AB329" s="62"/>
      <c r="AC329" s="140"/>
      <c r="AD329" s="62"/>
      <c r="AE329" s="140"/>
      <c r="AF329" s="189" t="str">
        <f t="shared" si="13"/>
        <v/>
      </c>
      <c r="AG329" s="304" t="b">
        <f t="shared" si="12"/>
        <v>0</v>
      </c>
      <c r="AH329" s="9"/>
      <c r="AI329" s="145">
        <f t="shared" si="11"/>
        <v>0</v>
      </c>
      <c r="AJ329" s="147" t="s">
        <v>36</v>
      </c>
    </row>
    <row r="330" spans="1:36" ht="30" customHeight="1">
      <c r="A330" s="90"/>
      <c r="B330" s="90"/>
      <c r="C330" s="90"/>
      <c r="D330" s="90"/>
      <c r="E330" s="90"/>
      <c r="F330" s="90"/>
      <c r="G330" s="90"/>
      <c r="H330" s="90"/>
      <c r="I330" s="90"/>
      <c r="J330" s="90"/>
      <c r="K330" s="90"/>
      <c r="L330" s="90"/>
      <c r="M330" s="90"/>
      <c r="N330" s="150"/>
      <c r="O330" s="152"/>
      <c r="P330" s="90"/>
      <c r="Q330" s="140"/>
      <c r="R330" s="90"/>
      <c r="S330" s="140"/>
      <c r="T330" s="90"/>
      <c r="U330" s="140"/>
      <c r="V330" s="90"/>
      <c r="W330" s="140"/>
      <c r="X330" s="90"/>
      <c r="Y330" s="140"/>
      <c r="Z330" s="90"/>
      <c r="AA330" s="140"/>
      <c r="AB330" s="62"/>
      <c r="AC330" s="140"/>
      <c r="AD330" s="62"/>
      <c r="AE330" s="140"/>
      <c r="AF330" s="189" t="str">
        <f t="shared" si="13"/>
        <v/>
      </c>
      <c r="AG330" s="304" t="b">
        <f t="shared" si="12"/>
        <v>0</v>
      </c>
      <c r="AH330" s="9"/>
      <c r="AI330" s="145">
        <f t="shared" si="11"/>
        <v>0</v>
      </c>
      <c r="AJ330" s="147" t="s">
        <v>36</v>
      </c>
    </row>
    <row r="331" spans="1:36" ht="30" customHeight="1">
      <c r="A331" s="90"/>
      <c r="B331" s="90"/>
      <c r="C331" s="90"/>
      <c r="D331" s="90"/>
      <c r="E331" s="90"/>
      <c r="F331" s="90"/>
      <c r="G331" s="90"/>
      <c r="H331" s="90"/>
      <c r="I331" s="90"/>
      <c r="J331" s="90"/>
      <c r="K331" s="90"/>
      <c r="L331" s="90"/>
      <c r="M331" s="90"/>
      <c r="N331" s="150"/>
      <c r="O331" s="152"/>
      <c r="P331" s="90"/>
      <c r="Q331" s="140"/>
      <c r="R331" s="90"/>
      <c r="S331" s="140"/>
      <c r="T331" s="90"/>
      <c r="U331" s="140"/>
      <c r="V331" s="90"/>
      <c r="W331" s="140"/>
      <c r="X331" s="90"/>
      <c r="Y331" s="140"/>
      <c r="Z331" s="90"/>
      <c r="AA331" s="140"/>
      <c r="AB331" s="62"/>
      <c r="AC331" s="140"/>
      <c r="AD331" s="62"/>
      <c r="AE331" s="140"/>
      <c r="AF331" s="189" t="str">
        <f t="shared" si="13"/>
        <v/>
      </c>
      <c r="AG331" s="304" t="b">
        <f t="shared" si="12"/>
        <v>0</v>
      </c>
      <c r="AH331" s="9"/>
      <c r="AI331" s="145">
        <f t="shared" si="11"/>
        <v>0</v>
      </c>
      <c r="AJ331" s="147" t="s">
        <v>36</v>
      </c>
    </row>
    <row r="332" spans="1:36" ht="30" customHeight="1">
      <c r="A332" s="90"/>
      <c r="B332" s="90"/>
      <c r="C332" s="90"/>
      <c r="D332" s="90"/>
      <c r="E332" s="90"/>
      <c r="F332" s="90"/>
      <c r="G332" s="90"/>
      <c r="H332" s="90"/>
      <c r="I332" s="90"/>
      <c r="J332" s="90"/>
      <c r="K332" s="90"/>
      <c r="L332" s="90"/>
      <c r="M332" s="90"/>
      <c r="N332" s="150"/>
      <c r="O332" s="152"/>
      <c r="P332" s="90"/>
      <c r="Q332" s="140"/>
      <c r="R332" s="90"/>
      <c r="S332" s="140"/>
      <c r="T332" s="90"/>
      <c r="U332" s="140"/>
      <c r="V332" s="90"/>
      <c r="W332" s="140"/>
      <c r="X332" s="90"/>
      <c r="Y332" s="140"/>
      <c r="Z332" s="90"/>
      <c r="AA332" s="140"/>
      <c r="AB332" s="62"/>
      <c r="AC332" s="140"/>
      <c r="AD332" s="62"/>
      <c r="AE332" s="140"/>
      <c r="AF332" s="189" t="str">
        <f t="shared" si="13"/>
        <v/>
      </c>
      <c r="AG332" s="304" t="b">
        <f t="shared" si="12"/>
        <v>0</v>
      </c>
      <c r="AH332" s="9"/>
      <c r="AI332" s="145">
        <f t="shared" si="11"/>
        <v>0</v>
      </c>
      <c r="AJ332" s="147" t="s">
        <v>36</v>
      </c>
    </row>
    <row r="333" spans="1:36" ht="30" customHeight="1">
      <c r="A333" s="90"/>
      <c r="B333" s="90"/>
      <c r="C333" s="90"/>
      <c r="D333" s="90"/>
      <c r="E333" s="90"/>
      <c r="F333" s="90"/>
      <c r="G333" s="90"/>
      <c r="H333" s="90"/>
      <c r="I333" s="90"/>
      <c r="J333" s="90"/>
      <c r="K333" s="90"/>
      <c r="L333" s="90"/>
      <c r="M333" s="90"/>
      <c r="N333" s="150"/>
      <c r="O333" s="152"/>
      <c r="P333" s="90"/>
      <c r="Q333" s="140"/>
      <c r="R333" s="90"/>
      <c r="S333" s="140"/>
      <c r="T333" s="90"/>
      <c r="U333" s="140"/>
      <c r="V333" s="90"/>
      <c r="W333" s="140"/>
      <c r="X333" s="90"/>
      <c r="Y333" s="140"/>
      <c r="Z333" s="90"/>
      <c r="AA333" s="140"/>
      <c r="AB333" s="62"/>
      <c r="AC333" s="140"/>
      <c r="AD333" s="62"/>
      <c r="AE333" s="140"/>
      <c r="AF333" s="189" t="str">
        <f t="shared" si="13"/>
        <v/>
      </c>
      <c r="AG333" s="304" t="b">
        <f t="shared" si="12"/>
        <v>0</v>
      </c>
      <c r="AH333" s="9"/>
      <c r="AI333" s="145">
        <f t="shared" si="11"/>
        <v>0</v>
      </c>
      <c r="AJ333" s="147" t="s">
        <v>36</v>
      </c>
    </row>
    <row r="334" spans="1:36" ht="30" customHeight="1">
      <c r="A334" s="90"/>
      <c r="B334" s="90"/>
      <c r="C334" s="90"/>
      <c r="D334" s="90"/>
      <c r="E334" s="90"/>
      <c r="F334" s="90"/>
      <c r="G334" s="90"/>
      <c r="H334" s="90"/>
      <c r="I334" s="90"/>
      <c r="J334" s="90"/>
      <c r="K334" s="90"/>
      <c r="L334" s="90"/>
      <c r="M334" s="90"/>
      <c r="N334" s="150"/>
      <c r="O334" s="152"/>
      <c r="P334" s="90"/>
      <c r="Q334" s="140"/>
      <c r="R334" s="90"/>
      <c r="S334" s="140"/>
      <c r="T334" s="90"/>
      <c r="U334" s="140"/>
      <c r="V334" s="90"/>
      <c r="W334" s="140"/>
      <c r="X334" s="90"/>
      <c r="Y334" s="140"/>
      <c r="Z334" s="90"/>
      <c r="AA334" s="140"/>
      <c r="AB334" s="62"/>
      <c r="AC334" s="140"/>
      <c r="AD334" s="62"/>
      <c r="AE334" s="140"/>
      <c r="AF334" s="189" t="str">
        <f t="shared" si="13"/>
        <v/>
      </c>
      <c r="AG334" s="304" t="b">
        <f t="shared" si="12"/>
        <v>0</v>
      </c>
      <c r="AH334" s="9"/>
      <c r="AI334" s="145">
        <f t="shared" si="11"/>
        <v>0</v>
      </c>
      <c r="AJ334" s="147" t="s">
        <v>36</v>
      </c>
    </row>
    <row r="335" spans="1:36" ht="30" customHeight="1">
      <c r="A335" s="90"/>
      <c r="B335" s="90"/>
      <c r="C335" s="90"/>
      <c r="D335" s="90"/>
      <c r="E335" s="90"/>
      <c r="F335" s="90"/>
      <c r="G335" s="90"/>
      <c r="H335" s="90"/>
      <c r="I335" s="90"/>
      <c r="J335" s="90"/>
      <c r="K335" s="90"/>
      <c r="L335" s="90"/>
      <c r="M335" s="90"/>
      <c r="N335" s="150"/>
      <c r="O335" s="152"/>
      <c r="P335" s="90"/>
      <c r="Q335" s="140"/>
      <c r="R335" s="90"/>
      <c r="S335" s="140"/>
      <c r="T335" s="90"/>
      <c r="U335" s="140"/>
      <c r="V335" s="90"/>
      <c r="W335" s="140"/>
      <c r="X335" s="90"/>
      <c r="Y335" s="140"/>
      <c r="Z335" s="90"/>
      <c r="AA335" s="140"/>
      <c r="AB335" s="62"/>
      <c r="AC335" s="140"/>
      <c r="AD335" s="62"/>
      <c r="AE335" s="140"/>
      <c r="AF335" s="189" t="str">
        <f t="shared" si="13"/>
        <v/>
      </c>
      <c r="AG335" s="304" t="b">
        <f t="shared" si="12"/>
        <v>0</v>
      </c>
      <c r="AH335" s="9"/>
      <c r="AI335" s="145">
        <f t="shared" si="11"/>
        <v>0</v>
      </c>
      <c r="AJ335" s="147" t="s">
        <v>36</v>
      </c>
    </row>
    <row r="336" spans="1:36" ht="30" customHeight="1">
      <c r="A336" s="90"/>
      <c r="B336" s="90"/>
      <c r="C336" s="90"/>
      <c r="D336" s="90"/>
      <c r="E336" s="90"/>
      <c r="F336" s="90"/>
      <c r="G336" s="90"/>
      <c r="H336" s="90"/>
      <c r="I336" s="90"/>
      <c r="J336" s="90"/>
      <c r="K336" s="90"/>
      <c r="L336" s="90"/>
      <c r="M336" s="90"/>
      <c r="N336" s="150"/>
      <c r="O336" s="152"/>
      <c r="P336" s="90"/>
      <c r="Q336" s="140"/>
      <c r="R336" s="90"/>
      <c r="S336" s="140"/>
      <c r="T336" s="90"/>
      <c r="U336" s="140"/>
      <c r="V336" s="90"/>
      <c r="W336" s="140"/>
      <c r="X336" s="90"/>
      <c r="Y336" s="140"/>
      <c r="Z336" s="90"/>
      <c r="AA336" s="140"/>
      <c r="AB336" s="62"/>
      <c r="AC336" s="140"/>
      <c r="AD336" s="62"/>
      <c r="AE336" s="140"/>
      <c r="AF336" s="189" t="str">
        <f t="shared" si="13"/>
        <v/>
      </c>
      <c r="AG336" s="304" t="b">
        <f t="shared" si="12"/>
        <v>0</v>
      </c>
      <c r="AH336" s="9"/>
      <c r="AI336" s="145">
        <f t="shared" si="11"/>
        <v>0</v>
      </c>
      <c r="AJ336" s="147" t="s">
        <v>36</v>
      </c>
    </row>
    <row r="337" spans="1:36" ht="30" customHeight="1">
      <c r="A337" s="90"/>
      <c r="B337" s="90"/>
      <c r="C337" s="90"/>
      <c r="D337" s="90"/>
      <c r="E337" s="90"/>
      <c r="F337" s="90"/>
      <c r="G337" s="90"/>
      <c r="H337" s="90"/>
      <c r="I337" s="90"/>
      <c r="J337" s="90"/>
      <c r="K337" s="90"/>
      <c r="L337" s="90"/>
      <c r="M337" s="90"/>
      <c r="N337" s="150"/>
      <c r="O337" s="152"/>
      <c r="P337" s="90"/>
      <c r="Q337" s="140"/>
      <c r="R337" s="90"/>
      <c r="S337" s="140"/>
      <c r="T337" s="90"/>
      <c r="U337" s="140"/>
      <c r="V337" s="90"/>
      <c r="W337" s="140"/>
      <c r="X337" s="90"/>
      <c r="Y337" s="140"/>
      <c r="Z337" s="90"/>
      <c r="AA337" s="140"/>
      <c r="AB337" s="62"/>
      <c r="AC337" s="140"/>
      <c r="AD337" s="62"/>
      <c r="AE337" s="140"/>
      <c r="AF337" s="189" t="str">
        <f t="shared" si="13"/>
        <v/>
      </c>
      <c r="AG337" s="304" t="b">
        <f t="shared" si="12"/>
        <v>0</v>
      </c>
      <c r="AH337" s="9"/>
      <c r="AI337" s="145">
        <f t="shared" si="11"/>
        <v>0</v>
      </c>
      <c r="AJ337" s="147" t="s">
        <v>36</v>
      </c>
    </row>
    <row r="338" spans="1:36" ht="30" customHeight="1">
      <c r="A338" s="90"/>
      <c r="B338" s="90"/>
      <c r="C338" s="90"/>
      <c r="D338" s="90"/>
      <c r="E338" s="90"/>
      <c r="F338" s="90"/>
      <c r="G338" s="90"/>
      <c r="H338" s="90"/>
      <c r="I338" s="90"/>
      <c r="J338" s="90"/>
      <c r="K338" s="90"/>
      <c r="L338" s="90"/>
      <c r="M338" s="90"/>
      <c r="N338" s="150"/>
      <c r="O338" s="152"/>
      <c r="P338" s="90"/>
      <c r="Q338" s="140"/>
      <c r="R338" s="90"/>
      <c r="S338" s="140"/>
      <c r="T338" s="90"/>
      <c r="U338" s="140"/>
      <c r="V338" s="90"/>
      <c r="W338" s="140"/>
      <c r="X338" s="90"/>
      <c r="Y338" s="140"/>
      <c r="Z338" s="90"/>
      <c r="AA338" s="140"/>
      <c r="AB338" s="62"/>
      <c r="AC338" s="140"/>
      <c r="AD338" s="62"/>
      <c r="AE338" s="140"/>
      <c r="AF338" s="189" t="str">
        <f t="shared" si="13"/>
        <v/>
      </c>
      <c r="AG338" s="304" t="b">
        <f t="shared" si="12"/>
        <v>0</v>
      </c>
      <c r="AH338" s="9"/>
      <c r="AI338" s="145">
        <f t="shared" si="11"/>
        <v>0</v>
      </c>
      <c r="AJ338" s="147" t="s">
        <v>36</v>
      </c>
    </row>
    <row r="339" spans="1:36" ht="30" customHeight="1">
      <c r="A339" s="90"/>
      <c r="B339" s="90"/>
      <c r="C339" s="90"/>
      <c r="D339" s="90"/>
      <c r="E339" s="90"/>
      <c r="F339" s="90"/>
      <c r="G339" s="90"/>
      <c r="H339" s="90"/>
      <c r="I339" s="90"/>
      <c r="J339" s="90"/>
      <c r="K339" s="90"/>
      <c r="L339" s="90"/>
      <c r="M339" s="90"/>
      <c r="N339" s="150"/>
      <c r="O339" s="152"/>
      <c r="P339" s="90"/>
      <c r="Q339" s="140"/>
      <c r="R339" s="90"/>
      <c r="S339" s="140"/>
      <c r="T339" s="90"/>
      <c r="U339" s="140"/>
      <c r="V339" s="90"/>
      <c r="W339" s="140"/>
      <c r="X339" s="90"/>
      <c r="Y339" s="140"/>
      <c r="Z339" s="90"/>
      <c r="AA339" s="140"/>
      <c r="AB339" s="62"/>
      <c r="AC339" s="140"/>
      <c r="AD339" s="62"/>
      <c r="AE339" s="140"/>
      <c r="AF339" s="189" t="str">
        <f t="shared" si="13"/>
        <v/>
      </c>
      <c r="AG339" s="304" t="b">
        <f t="shared" si="12"/>
        <v>0</v>
      </c>
      <c r="AH339" s="9"/>
      <c r="AI339" s="145">
        <f t="shared" si="11"/>
        <v>0</v>
      </c>
      <c r="AJ339" s="147" t="s">
        <v>36</v>
      </c>
    </row>
    <row r="340" spans="1:36" ht="30" customHeight="1">
      <c r="A340" s="90"/>
      <c r="B340" s="90"/>
      <c r="C340" s="90"/>
      <c r="D340" s="90"/>
      <c r="E340" s="90"/>
      <c r="F340" s="90"/>
      <c r="G340" s="90"/>
      <c r="H340" s="90"/>
      <c r="I340" s="90"/>
      <c r="J340" s="90"/>
      <c r="K340" s="90"/>
      <c r="L340" s="90"/>
      <c r="M340" s="90"/>
      <c r="N340" s="150"/>
      <c r="O340" s="152"/>
      <c r="P340" s="90"/>
      <c r="Q340" s="140"/>
      <c r="R340" s="90"/>
      <c r="S340" s="140"/>
      <c r="T340" s="90"/>
      <c r="U340" s="140"/>
      <c r="V340" s="90"/>
      <c r="W340" s="140"/>
      <c r="X340" s="90"/>
      <c r="Y340" s="140"/>
      <c r="Z340" s="90"/>
      <c r="AA340" s="140"/>
      <c r="AB340" s="62"/>
      <c r="AC340" s="140"/>
      <c r="AD340" s="62"/>
      <c r="AE340" s="140"/>
      <c r="AF340" s="189" t="str">
        <f t="shared" si="13"/>
        <v/>
      </c>
      <c r="AG340" s="304" t="b">
        <f t="shared" si="12"/>
        <v>0</v>
      </c>
      <c r="AH340" s="9"/>
      <c r="AI340" s="145">
        <f t="shared" si="11"/>
        <v>0</v>
      </c>
      <c r="AJ340" s="147" t="s">
        <v>36</v>
      </c>
    </row>
    <row r="341" spans="1:36" ht="30" customHeight="1">
      <c r="A341" s="90"/>
      <c r="B341" s="90"/>
      <c r="C341" s="90"/>
      <c r="D341" s="90"/>
      <c r="E341" s="90"/>
      <c r="F341" s="90"/>
      <c r="G341" s="90"/>
      <c r="H341" s="90"/>
      <c r="I341" s="90"/>
      <c r="J341" s="90"/>
      <c r="K341" s="90"/>
      <c r="L341" s="90"/>
      <c r="M341" s="90"/>
      <c r="N341" s="150"/>
      <c r="O341" s="152"/>
      <c r="P341" s="90"/>
      <c r="Q341" s="140"/>
      <c r="R341" s="90"/>
      <c r="S341" s="140"/>
      <c r="T341" s="90"/>
      <c r="U341" s="140"/>
      <c r="V341" s="90"/>
      <c r="W341" s="140"/>
      <c r="X341" s="90"/>
      <c r="Y341" s="140"/>
      <c r="Z341" s="90"/>
      <c r="AA341" s="140"/>
      <c r="AB341" s="62"/>
      <c r="AC341" s="140"/>
      <c r="AD341" s="62"/>
      <c r="AE341" s="140"/>
      <c r="AF341" s="189" t="str">
        <f t="shared" si="13"/>
        <v/>
      </c>
      <c r="AG341" s="304" t="b">
        <f t="shared" si="12"/>
        <v>0</v>
      </c>
      <c r="AH341" s="9"/>
      <c r="AI341" s="145">
        <f t="shared" si="11"/>
        <v>0</v>
      </c>
      <c r="AJ341" s="147" t="s">
        <v>36</v>
      </c>
    </row>
    <row r="342" spans="1:36" ht="30" customHeight="1">
      <c r="A342" s="90"/>
      <c r="B342" s="90"/>
      <c r="C342" s="90"/>
      <c r="D342" s="90"/>
      <c r="E342" s="90"/>
      <c r="F342" s="90"/>
      <c r="G342" s="90"/>
      <c r="H342" s="90"/>
      <c r="I342" s="90"/>
      <c r="J342" s="90"/>
      <c r="K342" s="90"/>
      <c r="L342" s="90"/>
      <c r="M342" s="90"/>
      <c r="N342" s="150"/>
      <c r="O342" s="152"/>
      <c r="P342" s="90"/>
      <c r="Q342" s="140"/>
      <c r="R342" s="90"/>
      <c r="S342" s="140"/>
      <c r="T342" s="90"/>
      <c r="U342" s="140"/>
      <c r="V342" s="90"/>
      <c r="W342" s="140"/>
      <c r="X342" s="90"/>
      <c r="Y342" s="140"/>
      <c r="Z342" s="90"/>
      <c r="AA342" s="140"/>
      <c r="AB342" s="62"/>
      <c r="AC342" s="140"/>
      <c r="AD342" s="62"/>
      <c r="AE342" s="140"/>
      <c r="AF342" s="189" t="str">
        <f t="shared" si="13"/>
        <v/>
      </c>
      <c r="AG342" s="304" t="b">
        <f t="shared" si="12"/>
        <v>0</v>
      </c>
      <c r="AH342" s="9"/>
      <c r="AI342" s="145">
        <f t="shared" si="11"/>
        <v>0</v>
      </c>
      <c r="AJ342" s="147" t="s">
        <v>36</v>
      </c>
    </row>
    <row r="343" spans="1:36" ht="30" customHeight="1">
      <c r="A343" s="90"/>
      <c r="B343" s="90"/>
      <c r="C343" s="90"/>
      <c r="D343" s="90"/>
      <c r="E343" s="90"/>
      <c r="F343" s="90"/>
      <c r="G343" s="90"/>
      <c r="H343" s="90"/>
      <c r="I343" s="90"/>
      <c r="J343" s="90"/>
      <c r="K343" s="90"/>
      <c r="L343" s="90"/>
      <c r="M343" s="90"/>
      <c r="N343" s="150"/>
      <c r="O343" s="152"/>
      <c r="P343" s="90"/>
      <c r="Q343" s="140"/>
      <c r="R343" s="90"/>
      <c r="S343" s="140"/>
      <c r="T343" s="90"/>
      <c r="U343" s="140"/>
      <c r="V343" s="90"/>
      <c r="W343" s="140"/>
      <c r="X343" s="90"/>
      <c r="Y343" s="140"/>
      <c r="Z343" s="90"/>
      <c r="AA343" s="140"/>
      <c r="AB343" s="62"/>
      <c r="AC343" s="140"/>
      <c r="AD343" s="62"/>
      <c r="AE343" s="140"/>
      <c r="AF343" s="189" t="str">
        <f t="shared" si="13"/>
        <v/>
      </c>
      <c r="AG343" s="304" t="b">
        <f t="shared" si="12"/>
        <v>0</v>
      </c>
      <c r="AH343" s="9"/>
      <c r="AI343" s="145">
        <f t="shared" si="11"/>
        <v>0</v>
      </c>
      <c r="AJ343" s="147" t="s">
        <v>36</v>
      </c>
    </row>
    <row r="344" spans="1:36" ht="30" customHeight="1">
      <c r="A344" s="90"/>
      <c r="B344" s="90"/>
      <c r="C344" s="90"/>
      <c r="D344" s="90"/>
      <c r="E344" s="90"/>
      <c r="F344" s="90"/>
      <c r="G344" s="90"/>
      <c r="H344" s="90"/>
      <c r="I344" s="90"/>
      <c r="J344" s="90"/>
      <c r="K344" s="90"/>
      <c r="L344" s="90"/>
      <c r="M344" s="90"/>
      <c r="N344" s="150"/>
      <c r="O344" s="152"/>
      <c r="P344" s="90"/>
      <c r="Q344" s="140"/>
      <c r="R344" s="90"/>
      <c r="S344" s="140"/>
      <c r="T344" s="90"/>
      <c r="U344" s="140"/>
      <c r="V344" s="90"/>
      <c r="W344" s="140"/>
      <c r="X344" s="90"/>
      <c r="Y344" s="140"/>
      <c r="Z344" s="90"/>
      <c r="AA344" s="140"/>
      <c r="AB344" s="62"/>
      <c r="AC344" s="140"/>
      <c r="AD344" s="62"/>
      <c r="AE344" s="140"/>
      <c r="AF344" s="189" t="str">
        <f t="shared" si="13"/>
        <v/>
      </c>
      <c r="AG344" s="304" t="b">
        <f t="shared" si="12"/>
        <v>0</v>
      </c>
      <c r="AH344" s="9"/>
      <c r="AI344" s="145">
        <f t="shared" si="11"/>
        <v>0</v>
      </c>
      <c r="AJ344" s="147" t="s">
        <v>36</v>
      </c>
    </row>
    <row r="345" spans="1:36" ht="30" customHeight="1">
      <c r="A345" s="90"/>
      <c r="B345" s="90"/>
      <c r="C345" s="90"/>
      <c r="D345" s="90"/>
      <c r="E345" s="90"/>
      <c r="F345" s="90"/>
      <c r="G345" s="90"/>
      <c r="H345" s="90"/>
      <c r="I345" s="90"/>
      <c r="J345" s="90"/>
      <c r="K345" s="90"/>
      <c r="L345" s="90"/>
      <c r="M345" s="90"/>
      <c r="N345" s="150"/>
      <c r="O345" s="152"/>
      <c r="P345" s="90"/>
      <c r="Q345" s="140"/>
      <c r="R345" s="90"/>
      <c r="S345" s="140"/>
      <c r="T345" s="90"/>
      <c r="U345" s="140"/>
      <c r="V345" s="90"/>
      <c r="W345" s="140"/>
      <c r="X345" s="90"/>
      <c r="Y345" s="140"/>
      <c r="Z345" s="90"/>
      <c r="AA345" s="140"/>
      <c r="AB345" s="62"/>
      <c r="AC345" s="140"/>
      <c r="AD345" s="62"/>
      <c r="AE345" s="140"/>
      <c r="AF345" s="189" t="str">
        <f t="shared" si="13"/>
        <v/>
      </c>
      <c r="AG345" s="304" t="b">
        <f t="shared" si="12"/>
        <v>0</v>
      </c>
      <c r="AH345" s="9"/>
      <c r="AI345" s="145">
        <f t="shared" si="11"/>
        <v>0</v>
      </c>
      <c r="AJ345" s="147" t="s">
        <v>36</v>
      </c>
    </row>
    <row r="346" spans="1:36" ht="30" customHeight="1">
      <c r="A346" s="90"/>
      <c r="B346" s="90"/>
      <c r="C346" s="90"/>
      <c r="D346" s="90"/>
      <c r="E346" s="90"/>
      <c r="F346" s="90"/>
      <c r="G346" s="90"/>
      <c r="H346" s="90"/>
      <c r="I346" s="90"/>
      <c r="J346" s="90"/>
      <c r="K346" s="90"/>
      <c r="L346" s="90"/>
      <c r="M346" s="90"/>
      <c r="N346" s="150"/>
      <c r="O346" s="152"/>
      <c r="P346" s="90"/>
      <c r="Q346" s="140"/>
      <c r="R346" s="90"/>
      <c r="S346" s="140"/>
      <c r="T346" s="90"/>
      <c r="U346" s="140"/>
      <c r="V346" s="90"/>
      <c r="W346" s="140"/>
      <c r="X346" s="90"/>
      <c r="Y346" s="140"/>
      <c r="Z346" s="90"/>
      <c r="AA346" s="140"/>
      <c r="AB346" s="62"/>
      <c r="AC346" s="140"/>
      <c r="AD346" s="62"/>
      <c r="AE346" s="140"/>
      <c r="AF346" s="189" t="str">
        <f t="shared" si="13"/>
        <v/>
      </c>
      <c r="AG346" s="304" t="b">
        <f t="shared" si="12"/>
        <v>0</v>
      </c>
      <c r="AH346" s="9"/>
      <c r="AI346" s="145">
        <f t="shared" si="11"/>
        <v>0</v>
      </c>
      <c r="AJ346" s="147" t="s">
        <v>36</v>
      </c>
    </row>
    <row r="347" spans="1:36" ht="30" customHeight="1">
      <c r="A347" s="90"/>
      <c r="B347" s="90"/>
      <c r="C347" s="90"/>
      <c r="D347" s="90"/>
      <c r="E347" s="90"/>
      <c r="F347" s="90"/>
      <c r="G347" s="90"/>
      <c r="H347" s="90"/>
      <c r="I347" s="90"/>
      <c r="J347" s="90"/>
      <c r="K347" s="90"/>
      <c r="L347" s="90"/>
      <c r="M347" s="90"/>
      <c r="N347" s="150"/>
      <c r="O347" s="152"/>
      <c r="P347" s="90"/>
      <c r="Q347" s="140"/>
      <c r="R347" s="90"/>
      <c r="S347" s="140"/>
      <c r="T347" s="90"/>
      <c r="U347" s="140"/>
      <c r="V347" s="90"/>
      <c r="W347" s="140"/>
      <c r="X347" s="90"/>
      <c r="Y347" s="140"/>
      <c r="Z347" s="90"/>
      <c r="AA347" s="140"/>
      <c r="AB347" s="62"/>
      <c r="AC347" s="140"/>
      <c r="AD347" s="62"/>
      <c r="AE347" s="140"/>
      <c r="AF347" s="189" t="str">
        <f t="shared" si="13"/>
        <v/>
      </c>
      <c r="AG347" s="304" t="b">
        <f t="shared" si="12"/>
        <v>0</v>
      </c>
      <c r="AH347" s="9"/>
      <c r="AI347" s="145">
        <f t="shared" si="11"/>
        <v>0</v>
      </c>
      <c r="AJ347" s="147" t="s">
        <v>36</v>
      </c>
    </row>
    <row r="348" spans="1:36" ht="30" customHeight="1">
      <c r="A348" s="90"/>
      <c r="B348" s="90"/>
      <c r="C348" s="90"/>
      <c r="D348" s="90"/>
      <c r="E348" s="90"/>
      <c r="F348" s="90"/>
      <c r="G348" s="90"/>
      <c r="H348" s="90"/>
      <c r="I348" s="90"/>
      <c r="J348" s="90"/>
      <c r="K348" s="90"/>
      <c r="L348" s="90"/>
      <c r="M348" s="90"/>
      <c r="N348" s="150"/>
      <c r="O348" s="152"/>
      <c r="P348" s="90"/>
      <c r="Q348" s="140"/>
      <c r="R348" s="90"/>
      <c r="S348" s="140"/>
      <c r="T348" s="90"/>
      <c r="U348" s="140"/>
      <c r="V348" s="90"/>
      <c r="W348" s="140"/>
      <c r="X348" s="90"/>
      <c r="Y348" s="140"/>
      <c r="Z348" s="90"/>
      <c r="AA348" s="140"/>
      <c r="AB348" s="62"/>
      <c r="AC348" s="140"/>
      <c r="AD348" s="62"/>
      <c r="AE348" s="140"/>
      <c r="AF348" s="189" t="str">
        <f t="shared" si="13"/>
        <v/>
      </c>
      <c r="AG348" s="304" t="b">
        <f t="shared" si="12"/>
        <v>0</v>
      </c>
      <c r="AH348" s="9"/>
      <c r="AI348" s="145">
        <f t="shared" si="11"/>
        <v>0</v>
      </c>
      <c r="AJ348" s="147" t="s">
        <v>36</v>
      </c>
    </row>
    <row r="349" spans="1:36" ht="30" customHeight="1">
      <c r="A349" s="90"/>
      <c r="B349" s="90"/>
      <c r="C349" s="90"/>
      <c r="D349" s="90"/>
      <c r="E349" s="90"/>
      <c r="F349" s="90"/>
      <c r="G349" s="90"/>
      <c r="H349" s="90"/>
      <c r="I349" s="90"/>
      <c r="J349" s="90"/>
      <c r="K349" s="90"/>
      <c r="L349" s="90"/>
      <c r="M349" s="90"/>
      <c r="N349" s="150"/>
      <c r="O349" s="152"/>
      <c r="P349" s="90"/>
      <c r="Q349" s="140"/>
      <c r="R349" s="90"/>
      <c r="S349" s="140"/>
      <c r="T349" s="90"/>
      <c r="U349" s="140"/>
      <c r="V349" s="90"/>
      <c r="W349" s="140"/>
      <c r="X349" s="90"/>
      <c r="Y349" s="140"/>
      <c r="Z349" s="90"/>
      <c r="AA349" s="140"/>
      <c r="AB349" s="62"/>
      <c r="AC349" s="140"/>
      <c r="AD349" s="62"/>
      <c r="AE349" s="140"/>
      <c r="AF349" s="189" t="str">
        <f t="shared" si="13"/>
        <v/>
      </c>
      <c r="AG349" s="304" t="b">
        <f t="shared" si="12"/>
        <v>0</v>
      </c>
      <c r="AH349" s="9"/>
      <c r="AI349" s="145">
        <f t="shared" si="11"/>
        <v>0</v>
      </c>
      <c r="AJ349" s="147" t="s">
        <v>36</v>
      </c>
    </row>
    <row r="350" spans="1:36" ht="30" customHeight="1">
      <c r="A350" s="90"/>
      <c r="B350" s="90"/>
      <c r="C350" s="90"/>
      <c r="D350" s="90"/>
      <c r="E350" s="90"/>
      <c r="F350" s="90"/>
      <c r="G350" s="90"/>
      <c r="H350" s="90"/>
      <c r="I350" s="90"/>
      <c r="J350" s="90"/>
      <c r="K350" s="90"/>
      <c r="L350" s="90"/>
      <c r="M350" s="90"/>
      <c r="N350" s="150"/>
      <c r="O350" s="152"/>
      <c r="P350" s="90"/>
      <c r="Q350" s="140"/>
      <c r="R350" s="90"/>
      <c r="S350" s="140"/>
      <c r="T350" s="90"/>
      <c r="U350" s="140"/>
      <c r="V350" s="90"/>
      <c r="W350" s="140"/>
      <c r="X350" s="90"/>
      <c r="Y350" s="140"/>
      <c r="Z350" s="90"/>
      <c r="AA350" s="140"/>
      <c r="AB350" s="62"/>
      <c r="AC350" s="140"/>
      <c r="AD350" s="62"/>
      <c r="AE350" s="140"/>
      <c r="AF350" s="189" t="str">
        <f t="shared" si="13"/>
        <v/>
      </c>
      <c r="AG350" s="304" t="b">
        <f t="shared" si="12"/>
        <v>0</v>
      </c>
      <c r="AH350" s="9"/>
      <c r="AI350" s="145">
        <f t="shared" si="11"/>
        <v>0</v>
      </c>
      <c r="AJ350" s="147" t="s">
        <v>36</v>
      </c>
    </row>
    <row r="351" spans="1:36" ht="30" customHeight="1">
      <c r="A351" s="90"/>
      <c r="B351" s="90"/>
      <c r="C351" s="90"/>
      <c r="D351" s="90"/>
      <c r="E351" s="90"/>
      <c r="F351" s="90"/>
      <c r="G351" s="90"/>
      <c r="H351" s="90"/>
      <c r="I351" s="90"/>
      <c r="J351" s="90"/>
      <c r="K351" s="90"/>
      <c r="L351" s="90"/>
      <c r="M351" s="90"/>
      <c r="N351" s="150"/>
      <c r="O351" s="152"/>
      <c r="P351" s="90"/>
      <c r="Q351" s="140"/>
      <c r="R351" s="90"/>
      <c r="S351" s="140"/>
      <c r="T351" s="90"/>
      <c r="U351" s="140"/>
      <c r="V351" s="90"/>
      <c r="W351" s="140"/>
      <c r="X351" s="90"/>
      <c r="Y351" s="140"/>
      <c r="Z351" s="90"/>
      <c r="AA351" s="140"/>
      <c r="AB351" s="62"/>
      <c r="AC351" s="140"/>
      <c r="AD351" s="62"/>
      <c r="AE351" s="140"/>
      <c r="AF351" s="189" t="str">
        <f t="shared" si="13"/>
        <v/>
      </c>
      <c r="AG351" s="304" t="b">
        <f t="shared" si="12"/>
        <v>0</v>
      </c>
      <c r="AH351" s="9"/>
      <c r="AI351" s="145">
        <f t="shared" si="11"/>
        <v>0</v>
      </c>
      <c r="AJ351" s="147" t="s">
        <v>36</v>
      </c>
    </row>
    <row r="352" spans="1:36" ht="30" customHeight="1">
      <c r="A352" s="90"/>
      <c r="B352" s="90"/>
      <c r="C352" s="90"/>
      <c r="D352" s="90"/>
      <c r="E352" s="90"/>
      <c r="F352" s="90"/>
      <c r="G352" s="90"/>
      <c r="H352" s="90"/>
      <c r="I352" s="90"/>
      <c r="J352" s="90"/>
      <c r="K352" s="90"/>
      <c r="L352" s="90"/>
      <c r="M352" s="90"/>
      <c r="N352" s="150"/>
      <c r="O352" s="152"/>
      <c r="P352" s="90"/>
      <c r="Q352" s="140"/>
      <c r="R352" s="90"/>
      <c r="S352" s="140"/>
      <c r="T352" s="90"/>
      <c r="U352" s="140"/>
      <c r="V352" s="90"/>
      <c r="W352" s="140"/>
      <c r="X352" s="90"/>
      <c r="Y352" s="140"/>
      <c r="Z352" s="90"/>
      <c r="AA352" s="140"/>
      <c r="AB352" s="62"/>
      <c r="AC352" s="140"/>
      <c r="AD352" s="62"/>
      <c r="AE352" s="140"/>
      <c r="AF352" s="189" t="str">
        <f t="shared" si="13"/>
        <v/>
      </c>
      <c r="AG352" s="304" t="b">
        <f t="shared" si="12"/>
        <v>0</v>
      </c>
      <c r="AH352" s="9"/>
      <c r="AI352" s="145">
        <f t="shared" si="11"/>
        <v>0</v>
      </c>
      <c r="AJ352" s="147" t="s">
        <v>36</v>
      </c>
    </row>
    <row r="353" spans="1:36" ht="30" customHeight="1">
      <c r="A353" s="90"/>
      <c r="B353" s="90"/>
      <c r="C353" s="90"/>
      <c r="D353" s="90"/>
      <c r="E353" s="90"/>
      <c r="F353" s="90"/>
      <c r="G353" s="90"/>
      <c r="H353" s="90"/>
      <c r="I353" s="90"/>
      <c r="J353" s="90"/>
      <c r="K353" s="90"/>
      <c r="L353" s="90"/>
      <c r="M353" s="90"/>
      <c r="N353" s="150"/>
      <c r="O353" s="152"/>
      <c r="P353" s="90"/>
      <c r="Q353" s="140"/>
      <c r="R353" s="90"/>
      <c r="S353" s="140"/>
      <c r="T353" s="90"/>
      <c r="U353" s="140"/>
      <c r="V353" s="90"/>
      <c r="W353" s="140"/>
      <c r="X353" s="90"/>
      <c r="Y353" s="140"/>
      <c r="Z353" s="90"/>
      <c r="AA353" s="140"/>
      <c r="AB353" s="62"/>
      <c r="AC353" s="140"/>
      <c r="AD353" s="62"/>
      <c r="AE353" s="140"/>
      <c r="AF353" s="189" t="str">
        <f t="shared" si="13"/>
        <v/>
      </c>
      <c r="AG353" s="304" t="b">
        <f t="shared" si="12"/>
        <v>0</v>
      </c>
      <c r="AH353" s="9"/>
      <c r="AI353" s="145">
        <f t="shared" si="11"/>
        <v>0</v>
      </c>
      <c r="AJ353" s="147" t="s">
        <v>36</v>
      </c>
    </row>
    <row r="354" spans="1:36" ht="30" customHeight="1">
      <c r="A354" s="90"/>
      <c r="B354" s="90"/>
      <c r="C354" s="90"/>
      <c r="D354" s="90"/>
      <c r="E354" s="90"/>
      <c r="F354" s="90"/>
      <c r="G354" s="90"/>
      <c r="H354" s="90"/>
      <c r="I354" s="90"/>
      <c r="J354" s="90"/>
      <c r="K354" s="90"/>
      <c r="L354" s="90"/>
      <c r="M354" s="90"/>
      <c r="N354" s="150"/>
      <c r="O354" s="152"/>
      <c r="P354" s="90"/>
      <c r="Q354" s="140"/>
      <c r="R354" s="90"/>
      <c r="S354" s="140"/>
      <c r="T354" s="90"/>
      <c r="U354" s="140"/>
      <c r="V354" s="90"/>
      <c r="W354" s="140"/>
      <c r="X354" s="90"/>
      <c r="Y354" s="140"/>
      <c r="Z354" s="90"/>
      <c r="AA354" s="140"/>
      <c r="AB354" s="62"/>
      <c r="AC354" s="140"/>
      <c r="AD354" s="62"/>
      <c r="AE354" s="140"/>
      <c r="AF354" s="189" t="str">
        <f t="shared" si="13"/>
        <v/>
      </c>
      <c r="AG354" s="304" t="b">
        <f t="shared" si="12"/>
        <v>0</v>
      </c>
      <c r="AH354" s="9"/>
      <c r="AI354" s="145">
        <f t="shared" si="11"/>
        <v>0</v>
      </c>
      <c r="AJ354" s="147" t="s">
        <v>36</v>
      </c>
    </row>
    <row r="355" spans="1:36" ht="30" customHeight="1">
      <c r="A355" s="90"/>
      <c r="B355" s="90"/>
      <c r="C355" s="90"/>
      <c r="D355" s="90"/>
      <c r="E355" s="90"/>
      <c r="F355" s="90"/>
      <c r="G355" s="90"/>
      <c r="H355" s="90"/>
      <c r="I355" s="90"/>
      <c r="J355" s="90"/>
      <c r="K355" s="90"/>
      <c r="L355" s="90"/>
      <c r="M355" s="90"/>
      <c r="N355" s="150"/>
      <c r="O355" s="152"/>
      <c r="P355" s="90"/>
      <c r="Q355" s="140"/>
      <c r="R355" s="90"/>
      <c r="S355" s="140"/>
      <c r="T355" s="90"/>
      <c r="U355" s="140"/>
      <c r="V355" s="90"/>
      <c r="W355" s="140"/>
      <c r="X355" s="90"/>
      <c r="Y355" s="140"/>
      <c r="Z355" s="90"/>
      <c r="AA355" s="140"/>
      <c r="AB355" s="62"/>
      <c r="AC355" s="140"/>
      <c r="AD355" s="62"/>
      <c r="AE355" s="140"/>
      <c r="AF355" s="189" t="str">
        <f t="shared" si="13"/>
        <v/>
      </c>
      <c r="AG355" s="304" t="b">
        <f t="shared" si="12"/>
        <v>0</v>
      </c>
      <c r="AH355" s="9"/>
      <c r="AI355" s="145">
        <f t="shared" si="11"/>
        <v>0</v>
      </c>
      <c r="AJ355" s="147" t="s">
        <v>36</v>
      </c>
    </row>
    <row r="356" spans="1:36" ht="30" customHeight="1">
      <c r="A356" s="90"/>
      <c r="B356" s="90"/>
      <c r="C356" s="90"/>
      <c r="D356" s="90"/>
      <c r="E356" s="90"/>
      <c r="F356" s="90"/>
      <c r="G356" s="90"/>
      <c r="H356" s="90"/>
      <c r="I356" s="90"/>
      <c r="J356" s="90"/>
      <c r="K356" s="90"/>
      <c r="L356" s="90"/>
      <c r="M356" s="90"/>
      <c r="N356" s="150"/>
      <c r="O356" s="152"/>
      <c r="P356" s="90"/>
      <c r="Q356" s="140"/>
      <c r="R356" s="90"/>
      <c r="S356" s="140"/>
      <c r="T356" s="90"/>
      <c r="U356" s="140"/>
      <c r="V356" s="90"/>
      <c r="W356" s="140"/>
      <c r="X356" s="90"/>
      <c r="Y356" s="140"/>
      <c r="Z356" s="90"/>
      <c r="AA356" s="140"/>
      <c r="AB356" s="62"/>
      <c r="AC356" s="140"/>
      <c r="AD356" s="62"/>
      <c r="AE356" s="140"/>
      <c r="AF356" s="189" t="str">
        <f t="shared" si="13"/>
        <v/>
      </c>
      <c r="AG356" s="304" t="b">
        <f t="shared" si="12"/>
        <v>0</v>
      </c>
      <c r="AH356" s="9"/>
      <c r="AI356" s="145">
        <f t="shared" si="11"/>
        <v>0</v>
      </c>
      <c r="AJ356" s="147" t="s">
        <v>36</v>
      </c>
    </row>
    <row r="357" spans="1:36" ht="30" customHeight="1">
      <c r="A357" s="90"/>
      <c r="B357" s="90"/>
      <c r="C357" s="90"/>
      <c r="D357" s="90"/>
      <c r="E357" s="90"/>
      <c r="F357" s="90"/>
      <c r="G357" s="90"/>
      <c r="H357" s="90"/>
      <c r="I357" s="90"/>
      <c r="J357" s="90"/>
      <c r="K357" s="90"/>
      <c r="L357" s="90"/>
      <c r="M357" s="90"/>
      <c r="N357" s="150"/>
      <c r="O357" s="152"/>
      <c r="P357" s="90"/>
      <c r="Q357" s="140"/>
      <c r="R357" s="90"/>
      <c r="S357" s="140"/>
      <c r="T357" s="90"/>
      <c r="U357" s="140"/>
      <c r="V357" s="90"/>
      <c r="W357" s="140"/>
      <c r="X357" s="90"/>
      <c r="Y357" s="140"/>
      <c r="Z357" s="90"/>
      <c r="AA357" s="140"/>
      <c r="AB357" s="62"/>
      <c r="AC357" s="140"/>
      <c r="AD357" s="62"/>
      <c r="AE357" s="140"/>
      <c r="AF357" s="189" t="str">
        <f t="shared" si="13"/>
        <v/>
      </c>
      <c r="AG357" s="304" t="b">
        <f t="shared" si="12"/>
        <v>0</v>
      </c>
      <c r="AH357" s="9"/>
      <c r="AI357" s="145">
        <f t="shared" si="11"/>
        <v>0</v>
      </c>
      <c r="AJ357" s="147" t="s">
        <v>36</v>
      </c>
    </row>
    <row r="358" spans="1:36" ht="30" customHeight="1">
      <c r="A358" s="90"/>
      <c r="B358" s="90"/>
      <c r="C358" s="90"/>
      <c r="D358" s="90"/>
      <c r="E358" s="90"/>
      <c r="F358" s="90"/>
      <c r="G358" s="90"/>
      <c r="H358" s="90"/>
      <c r="I358" s="90"/>
      <c r="J358" s="90"/>
      <c r="K358" s="90"/>
      <c r="L358" s="90"/>
      <c r="M358" s="90"/>
      <c r="N358" s="150"/>
      <c r="O358" s="152"/>
      <c r="P358" s="90"/>
      <c r="Q358" s="140"/>
      <c r="R358" s="90"/>
      <c r="S358" s="140"/>
      <c r="T358" s="90"/>
      <c r="U358" s="140"/>
      <c r="V358" s="90"/>
      <c r="W358" s="140"/>
      <c r="X358" s="90"/>
      <c r="Y358" s="140"/>
      <c r="Z358" s="90"/>
      <c r="AA358" s="140"/>
      <c r="AB358" s="62"/>
      <c r="AC358" s="140"/>
      <c r="AD358" s="62"/>
      <c r="AE358" s="140"/>
      <c r="AF358" s="189" t="str">
        <f t="shared" si="13"/>
        <v/>
      </c>
      <c r="AG358" s="304" t="b">
        <f t="shared" si="12"/>
        <v>0</v>
      </c>
      <c r="AH358" s="9"/>
      <c r="AI358" s="145">
        <f t="shared" si="11"/>
        <v>0</v>
      </c>
      <c r="AJ358" s="147" t="s">
        <v>36</v>
      </c>
    </row>
    <row r="359" spans="1:36" ht="30" customHeight="1">
      <c r="A359" s="90"/>
      <c r="B359" s="90"/>
      <c r="C359" s="90"/>
      <c r="D359" s="90"/>
      <c r="E359" s="90"/>
      <c r="F359" s="90"/>
      <c r="G359" s="90"/>
      <c r="H359" s="90"/>
      <c r="I359" s="90"/>
      <c r="J359" s="90"/>
      <c r="K359" s="90"/>
      <c r="L359" s="90"/>
      <c r="M359" s="90"/>
      <c r="N359" s="150"/>
      <c r="O359" s="152"/>
      <c r="P359" s="90"/>
      <c r="Q359" s="140"/>
      <c r="R359" s="90"/>
      <c r="S359" s="140"/>
      <c r="T359" s="90"/>
      <c r="U359" s="140"/>
      <c r="V359" s="90"/>
      <c r="W359" s="140"/>
      <c r="X359" s="90"/>
      <c r="Y359" s="140"/>
      <c r="Z359" s="90"/>
      <c r="AA359" s="140"/>
      <c r="AB359" s="62"/>
      <c r="AC359" s="140"/>
      <c r="AD359" s="62"/>
      <c r="AE359" s="140"/>
      <c r="AF359" s="189" t="str">
        <f t="shared" si="13"/>
        <v/>
      </c>
      <c r="AG359" s="304" t="b">
        <f t="shared" si="12"/>
        <v>0</v>
      </c>
      <c r="AH359" s="9"/>
      <c r="AI359" s="145">
        <f t="shared" si="11"/>
        <v>0</v>
      </c>
      <c r="AJ359" s="147" t="s">
        <v>36</v>
      </c>
    </row>
    <row r="360" spans="1:36" ht="30" customHeight="1">
      <c r="A360" s="90"/>
      <c r="B360" s="90"/>
      <c r="C360" s="90"/>
      <c r="D360" s="90"/>
      <c r="E360" s="90"/>
      <c r="F360" s="90"/>
      <c r="G360" s="90"/>
      <c r="H360" s="90"/>
      <c r="I360" s="90"/>
      <c r="J360" s="90"/>
      <c r="K360" s="90"/>
      <c r="L360" s="90"/>
      <c r="M360" s="90"/>
      <c r="N360" s="150"/>
      <c r="O360" s="152"/>
      <c r="P360" s="90"/>
      <c r="Q360" s="140"/>
      <c r="R360" s="90"/>
      <c r="S360" s="140"/>
      <c r="T360" s="90"/>
      <c r="U360" s="140"/>
      <c r="V360" s="90"/>
      <c r="W360" s="140"/>
      <c r="X360" s="90"/>
      <c r="Y360" s="140"/>
      <c r="Z360" s="90"/>
      <c r="AA360" s="140"/>
      <c r="AB360" s="62"/>
      <c r="AC360" s="140"/>
      <c r="AD360" s="62"/>
      <c r="AE360" s="140"/>
      <c r="AF360" s="189" t="str">
        <f t="shared" si="13"/>
        <v/>
      </c>
      <c r="AG360" s="304" t="b">
        <f t="shared" si="12"/>
        <v>0</v>
      </c>
      <c r="AH360" s="9"/>
      <c r="AI360" s="145">
        <f t="shared" si="11"/>
        <v>0</v>
      </c>
      <c r="AJ360" s="147" t="s">
        <v>36</v>
      </c>
    </row>
    <row r="361" spans="1:36" ht="30" customHeight="1">
      <c r="A361" s="90"/>
      <c r="B361" s="90"/>
      <c r="C361" s="90"/>
      <c r="D361" s="90"/>
      <c r="E361" s="90"/>
      <c r="F361" s="90"/>
      <c r="G361" s="90"/>
      <c r="H361" s="90"/>
      <c r="I361" s="90"/>
      <c r="J361" s="90"/>
      <c r="K361" s="90"/>
      <c r="L361" s="90"/>
      <c r="M361" s="90"/>
      <c r="N361" s="150"/>
      <c r="O361" s="152"/>
      <c r="P361" s="90"/>
      <c r="Q361" s="140"/>
      <c r="R361" s="90"/>
      <c r="S361" s="140"/>
      <c r="T361" s="90"/>
      <c r="U361" s="140"/>
      <c r="V361" s="90"/>
      <c r="W361" s="140"/>
      <c r="X361" s="90"/>
      <c r="Y361" s="140"/>
      <c r="Z361" s="90"/>
      <c r="AA361" s="140"/>
      <c r="AB361" s="62"/>
      <c r="AC361" s="140"/>
      <c r="AD361" s="62"/>
      <c r="AE361" s="140"/>
      <c r="AF361" s="189" t="str">
        <f t="shared" si="13"/>
        <v/>
      </c>
      <c r="AG361" s="304" t="b">
        <f t="shared" si="12"/>
        <v>0</v>
      </c>
      <c r="AH361" s="9"/>
      <c r="AI361" s="145">
        <f t="shared" si="11"/>
        <v>0</v>
      </c>
      <c r="AJ361" s="147" t="s">
        <v>36</v>
      </c>
    </row>
    <row r="362" spans="1:36" ht="30" customHeight="1">
      <c r="A362" s="90"/>
      <c r="B362" s="90"/>
      <c r="C362" s="90"/>
      <c r="D362" s="90"/>
      <c r="E362" s="90"/>
      <c r="F362" s="90"/>
      <c r="G362" s="90"/>
      <c r="H362" s="90"/>
      <c r="I362" s="90"/>
      <c r="J362" s="90"/>
      <c r="K362" s="90"/>
      <c r="L362" s="90"/>
      <c r="M362" s="90"/>
      <c r="N362" s="150"/>
      <c r="O362" s="152"/>
      <c r="P362" s="90"/>
      <c r="Q362" s="140"/>
      <c r="R362" s="90"/>
      <c r="S362" s="140"/>
      <c r="T362" s="90"/>
      <c r="U362" s="140"/>
      <c r="V362" s="90"/>
      <c r="W362" s="140"/>
      <c r="X362" s="90"/>
      <c r="Y362" s="140"/>
      <c r="Z362" s="90"/>
      <c r="AA362" s="140"/>
      <c r="AB362" s="62"/>
      <c r="AC362" s="140"/>
      <c r="AD362" s="62"/>
      <c r="AE362" s="140"/>
      <c r="AF362" s="189" t="str">
        <f t="shared" si="13"/>
        <v/>
      </c>
      <c r="AG362" s="304" t="b">
        <f t="shared" si="12"/>
        <v>0</v>
      </c>
      <c r="AH362" s="9"/>
      <c r="AI362" s="145">
        <f t="shared" si="11"/>
        <v>0</v>
      </c>
      <c r="AJ362" s="147" t="s">
        <v>36</v>
      </c>
    </row>
    <row r="363" spans="1:36" ht="30" customHeight="1">
      <c r="A363" s="90"/>
      <c r="B363" s="90"/>
      <c r="C363" s="90"/>
      <c r="D363" s="90"/>
      <c r="E363" s="90"/>
      <c r="F363" s="90"/>
      <c r="G363" s="90"/>
      <c r="H363" s="90"/>
      <c r="I363" s="90"/>
      <c r="J363" s="90"/>
      <c r="K363" s="90"/>
      <c r="L363" s="90"/>
      <c r="M363" s="90"/>
      <c r="N363" s="150"/>
      <c r="O363" s="152"/>
      <c r="P363" s="90"/>
      <c r="Q363" s="140"/>
      <c r="R363" s="90"/>
      <c r="S363" s="140"/>
      <c r="T363" s="90"/>
      <c r="U363" s="140"/>
      <c r="V363" s="90"/>
      <c r="W363" s="140"/>
      <c r="X363" s="90"/>
      <c r="Y363" s="140"/>
      <c r="Z363" s="90"/>
      <c r="AA363" s="140"/>
      <c r="AB363" s="62"/>
      <c r="AC363" s="140"/>
      <c r="AD363" s="62"/>
      <c r="AE363" s="140"/>
      <c r="AF363" s="189" t="str">
        <f t="shared" si="13"/>
        <v/>
      </c>
      <c r="AG363" s="304" t="b">
        <f t="shared" si="12"/>
        <v>0</v>
      </c>
      <c r="AH363" s="9"/>
      <c r="AI363" s="145">
        <f t="shared" si="11"/>
        <v>0</v>
      </c>
      <c r="AJ363" s="147" t="s">
        <v>36</v>
      </c>
    </row>
    <row r="364" spans="1:36" ht="30" customHeight="1">
      <c r="A364" s="90"/>
      <c r="B364" s="90"/>
      <c r="C364" s="90"/>
      <c r="D364" s="90"/>
      <c r="E364" s="90"/>
      <c r="F364" s="90"/>
      <c r="G364" s="90"/>
      <c r="H364" s="90"/>
      <c r="I364" s="90"/>
      <c r="J364" s="90"/>
      <c r="K364" s="90"/>
      <c r="L364" s="90"/>
      <c r="M364" s="90"/>
      <c r="N364" s="150"/>
      <c r="O364" s="152"/>
      <c r="P364" s="90"/>
      <c r="Q364" s="140"/>
      <c r="R364" s="90"/>
      <c r="S364" s="140"/>
      <c r="T364" s="90"/>
      <c r="U364" s="140"/>
      <c r="V364" s="90"/>
      <c r="W364" s="140"/>
      <c r="X364" s="90"/>
      <c r="Y364" s="140"/>
      <c r="Z364" s="90"/>
      <c r="AA364" s="140"/>
      <c r="AB364" s="62"/>
      <c r="AC364" s="140"/>
      <c r="AD364" s="62"/>
      <c r="AE364" s="140"/>
      <c r="AF364" s="189" t="str">
        <f t="shared" si="13"/>
        <v/>
      </c>
      <c r="AG364" s="304" t="b">
        <f t="shared" si="12"/>
        <v>0</v>
      </c>
      <c r="AH364" s="9"/>
      <c r="AI364" s="145">
        <f t="shared" si="11"/>
        <v>0</v>
      </c>
      <c r="AJ364" s="147" t="s">
        <v>36</v>
      </c>
    </row>
    <row r="365" spans="1:36" ht="30" customHeight="1">
      <c r="A365" s="90"/>
      <c r="B365" s="90"/>
      <c r="C365" s="90"/>
      <c r="D365" s="90"/>
      <c r="E365" s="90"/>
      <c r="F365" s="90"/>
      <c r="G365" s="90"/>
      <c r="H365" s="90"/>
      <c r="I365" s="90"/>
      <c r="J365" s="90"/>
      <c r="K365" s="90"/>
      <c r="L365" s="90"/>
      <c r="M365" s="90"/>
      <c r="N365" s="150"/>
      <c r="O365" s="152"/>
      <c r="P365" s="90"/>
      <c r="Q365" s="140"/>
      <c r="R365" s="90"/>
      <c r="S365" s="140"/>
      <c r="T365" s="90"/>
      <c r="U365" s="140"/>
      <c r="V365" s="90"/>
      <c r="W365" s="140"/>
      <c r="X365" s="90"/>
      <c r="Y365" s="140"/>
      <c r="Z365" s="90"/>
      <c r="AA365" s="140"/>
      <c r="AB365" s="62"/>
      <c r="AC365" s="140"/>
      <c r="AD365" s="62"/>
      <c r="AE365" s="140"/>
      <c r="AF365" s="189" t="str">
        <f t="shared" si="13"/>
        <v/>
      </c>
      <c r="AG365" s="304" t="b">
        <f t="shared" si="12"/>
        <v>0</v>
      </c>
      <c r="AH365" s="9"/>
      <c r="AI365" s="145">
        <f t="shared" si="11"/>
        <v>0</v>
      </c>
      <c r="AJ365" s="147" t="s">
        <v>36</v>
      </c>
    </row>
    <row r="366" spans="1:36" ht="30" customHeight="1">
      <c r="A366" s="90"/>
      <c r="B366" s="90"/>
      <c r="C366" s="90"/>
      <c r="D366" s="90"/>
      <c r="E366" s="90"/>
      <c r="F366" s="90"/>
      <c r="G366" s="90"/>
      <c r="H366" s="90"/>
      <c r="I366" s="90"/>
      <c r="J366" s="90"/>
      <c r="K366" s="90"/>
      <c r="L366" s="90"/>
      <c r="M366" s="90"/>
      <c r="N366" s="150"/>
      <c r="O366" s="152"/>
      <c r="P366" s="90"/>
      <c r="Q366" s="140"/>
      <c r="R366" s="90"/>
      <c r="S366" s="140"/>
      <c r="T366" s="90"/>
      <c r="U366" s="140"/>
      <c r="V366" s="90"/>
      <c r="W366" s="140"/>
      <c r="X366" s="90"/>
      <c r="Y366" s="140"/>
      <c r="Z366" s="90"/>
      <c r="AA366" s="140"/>
      <c r="AB366" s="62"/>
      <c r="AC366" s="140"/>
      <c r="AD366" s="62"/>
      <c r="AE366" s="140"/>
      <c r="AF366" s="189" t="str">
        <f t="shared" si="13"/>
        <v/>
      </c>
      <c r="AG366" s="304" t="b">
        <f t="shared" si="12"/>
        <v>0</v>
      </c>
      <c r="AH366" s="9"/>
      <c r="AI366" s="145">
        <f t="shared" si="11"/>
        <v>0</v>
      </c>
      <c r="AJ366" s="147" t="s">
        <v>36</v>
      </c>
    </row>
    <row r="367" spans="1:36" ht="30" customHeight="1">
      <c r="A367" s="90"/>
      <c r="B367" s="90"/>
      <c r="C367" s="90"/>
      <c r="D367" s="90"/>
      <c r="E367" s="90"/>
      <c r="F367" s="90"/>
      <c r="G367" s="90"/>
      <c r="H367" s="90"/>
      <c r="I367" s="90"/>
      <c r="J367" s="90"/>
      <c r="K367" s="90"/>
      <c r="L367" s="90"/>
      <c r="M367" s="90"/>
      <c r="N367" s="150"/>
      <c r="O367" s="152"/>
      <c r="P367" s="90"/>
      <c r="Q367" s="140"/>
      <c r="R367" s="90"/>
      <c r="S367" s="140"/>
      <c r="T367" s="90"/>
      <c r="U367" s="140"/>
      <c r="V367" s="90"/>
      <c r="W367" s="140"/>
      <c r="X367" s="90"/>
      <c r="Y367" s="140"/>
      <c r="Z367" s="90"/>
      <c r="AA367" s="140"/>
      <c r="AB367" s="62"/>
      <c r="AC367" s="140"/>
      <c r="AD367" s="62"/>
      <c r="AE367" s="140"/>
      <c r="AF367" s="189" t="str">
        <f t="shared" si="13"/>
        <v/>
      </c>
      <c r="AG367" s="304" t="b">
        <f t="shared" si="12"/>
        <v>0</v>
      </c>
      <c r="AH367" s="9"/>
      <c r="AI367" s="145">
        <f t="shared" si="11"/>
        <v>0</v>
      </c>
      <c r="AJ367" s="147" t="s">
        <v>36</v>
      </c>
    </row>
    <row r="368" spans="1:36" ht="30" customHeight="1">
      <c r="A368" s="90"/>
      <c r="B368" s="90"/>
      <c r="C368" s="90"/>
      <c r="D368" s="90"/>
      <c r="E368" s="90"/>
      <c r="F368" s="90"/>
      <c r="G368" s="90"/>
      <c r="H368" s="90"/>
      <c r="I368" s="90"/>
      <c r="J368" s="90"/>
      <c r="K368" s="90"/>
      <c r="L368" s="90"/>
      <c r="M368" s="90"/>
      <c r="N368" s="150"/>
      <c r="O368" s="152"/>
      <c r="P368" s="90"/>
      <c r="Q368" s="140"/>
      <c r="R368" s="90"/>
      <c r="S368" s="140"/>
      <c r="T368" s="90"/>
      <c r="U368" s="140"/>
      <c r="V368" s="90"/>
      <c r="W368" s="140"/>
      <c r="X368" s="90"/>
      <c r="Y368" s="140"/>
      <c r="Z368" s="90"/>
      <c r="AA368" s="140"/>
      <c r="AB368" s="62"/>
      <c r="AC368" s="140"/>
      <c r="AD368" s="62"/>
      <c r="AE368" s="140"/>
      <c r="AF368" s="189" t="str">
        <f t="shared" si="13"/>
        <v/>
      </c>
      <c r="AG368" s="304" t="b">
        <f t="shared" si="12"/>
        <v>0</v>
      </c>
      <c r="AH368" s="9"/>
      <c r="AI368" s="145">
        <f t="shared" si="11"/>
        <v>0</v>
      </c>
      <c r="AJ368" s="147" t="s">
        <v>36</v>
      </c>
    </row>
    <row r="369" spans="1:36" ht="30" customHeight="1">
      <c r="A369" s="90"/>
      <c r="B369" s="90"/>
      <c r="C369" s="90"/>
      <c r="D369" s="90"/>
      <c r="E369" s="90"/>
      <c r="F369" s="90"/>
      <c r="G369" s="90"/>
      <c r="H369" s="90"/>
      <c r="I369" s="90"/>
      <c r="J369" s="90"/>
      <c r="K369" s="90"/>
      <c r="L369" s="90"/>
      <c r="M369" s="90"/>
      <c r="N369" s="150"/>
      <c r="O369" s="152"/>
      <c r="P369" s="90"/>
      <c r="Q369" s="140"/>
      <c r="R369" s="90"/>
      <c r="S369" s="140"/>
      <c r="T369" s="90"/>
      <c r="U369" s="140"/>
      <c r="V369" s="90"/>
      <c r="W369" s="140"/>
      <c r="X369" s="90"/>
      <c r="Y369" s="140"/>
      <c r="Z369" s="90"/>
      <c r="AA369" s="140"/>
      <c r="AB369" s="62"/>
      <c r="AC369" s="140"/>
      <c r="AD369" s="62"/>
      <c r="AE369" s="140"/>
      <c r="AF369" s="189" t="str">
        <f t="shared" si="13"/>
        <v/>
      </c>
      <c r="AG369" s="304" t="b">
        <f t="shared" si="12"/>
        <v>0</v>
      </c>
      <c r="AH369" s="9"/>
      <c r="AI369" s="145">
        <f t="shared" si="11"/>
        <v>0</v>
      </c>
      <c r="AJ369" s="147" t="s">
        <v>36</v>
      </c>
    </row>
    <row r="370" spans="1:36" ht="30" customHeight="1">
      <c r="A370" s="90"/>
      <c r="B370" s="90"/>
      <c r="C370" s="90"/>
      <c r="D370" s="90"/>
      <c r="E370" s="90"/>
      <c r="F370" s="90"/>
      <c r="G370" s="90"/>
      <c r="H370" s="90"/>
      <c r="I370" s="90"/>
      <c r="J370" s="90"/>
      <c r="K370" s="90"/>
      <c r="L370" s="90"/>
      <c r="M370" s="90"/>
      <c r="N370" s="150"/>
      <c r="O370" s="152"/>
      <c r="P370" s="90"/>
      <c r="Q370" s="140"/>
      <c r="R370" s="90"/>
      <c r="S370" s="140"/>
      <c r="T370" s="90"/>
      <c r="U370" s="140"/>
      <c r="V370" s="90"/>
      <c r="W370" s="140"/>
      <c r="X370" s="90"/>
      <c r="Y370" s="140"/>
      <c r="Z370" s="90"/>
      <c r="AA370" s="140"/>
      <c r="AB370" s="62"/>
      <c r="AC370" s="140"/>
      <c r="AD370" s="62"/>
      <c r="AE370" s="140"/>
      <c r="AF370" s="189" t="str">
        <f t="shared" si="13"/>
        <v/>
      </c>
      <c r="AG370" s="304" t="b">
        <f t="shared" si="12"/>
        <v>0</v>
      </c>
      <c r="AH370" s="9"/>
      <c r="AI370" s="145">
        <f t="shared" si="11"/>
        <v>0</v>
      </c>
      <c r="AJ370" s="147" t="s">
        <v>36</v>
      </c>
    </row>
    <row r="371" spans="1:36" ht="30" customHeight="1">
      <c r="A371" s="90"/>
      <c r="B371" s="90"/>
      <c r="C371" s="90"/>
      <c r="D371" s="90"/>
      <c r="E371" s="90"/>
      <c r="F371" s="90"/>
      <c r="G371" s="90"/>
      <c r="H371" s="90"/>
      <c r="I371" s="90"/>
      <c r="J371" s="90"/>
      <c r="K371" s="90"/>
      <c r="L371" s="90"/>
      <c r="M371" s="90"/>
      <c r="N371" s="150"/>
      <c r="O371" s="152"/>
      <c r="P371" s="90"/>
      <c r="Q371" s="140"/>
      <c r="R371" s="90"/>
      <c r="S371" s="140"/>
      <c r="T371" s="90"/>
      <c r="U371" s="140"/>
      <c r="V371" s="90"/>
      <c r="W371" s="140"/>
      <c r="X371" s="90"/>
      <c r="Y371" s="140"/>
      <c r="Z371" s="90"/>
      <c r="AA371" s="140"/>
      <c r="AB371" s="62"/>
      <c r="AC371" s="140"/>
      <c r="AD371" s="62"/>
      <c r="AE371" s="140"/>
      <c r="AF371" s="189" t="str">
        <f t="shared" si="13"/>
        <v/>
      </c>
      <c r="AG371" s="304" t="b">
        <f t="shared" si="12"/>
        <v>0</v>
      </c>
      <c r="AH371" s="9"/>
      <c r="AI371" s="145">
        <f t="shared" si="11"/>
        <v>0</v>
      </c>
      <c r="AJ371" s="147" t="s">
        <v>36</v>
      </c>
    </row>
    <row r="372" spans="1:36" ht="30" customHeight="1">
      <c r="A372" s="90"/>
      <c r="B372" s="90"/>
      <c r="C372" s="90"/>
      <c r="D372" s="90"/>
      <c r="E372" s="90"/>
      <c r="F372" s="90"/>
      <c r="G372" s="90"/>
      <c r="H372" s="90"/>
      <c r="I372" s="90"/>
      <c r="J372" s="90"/>
      <c r="K372" s="90"/>
      <c r="L372" s="90"/>
      <c r="M372" s="90"/>
      <c r="N372" s="150"/>
      <c r="O372" s="152"/>
      <c r="P372" s="90"/>
      <c r="Q372" s="140"/>
      <c r="R372" s="90"/>
      <c r="S372" s="140"/>
      <c r="T372" s="90"/>
      <c r="U372" s="140"/>
      <c r="V372" s="90"/>
      <c r="W372" s="140"/>
      <c r="X372" s="90"/>
      <c r="Y372" s="140"/>
      <c r="Z372" s="90"/>
      <c r="AA372" s="140"/>
      <c r="AB372" s="62"/>
      <c r="AC372" s="140"/>
      <c r="AD372" s="62"/>
      <c r="AE372" s="140"/>
      <c r="AF372" s="189" t="str">
        <f t="shared" si="13"/>
        <v/>
      </c>
      <c r="AG372" s="304" t="b">
        <f t="shared" si="12"/>
        <v>0</v>
      </c>
      <c r="AH372" s="9"/>
      <c r="AI372" s="145">
        <f t="shared" si="11"/>
        <v>0</v>
      </c>
      <c r="AJ372" s="147" t="s">
        <v>36</v>
      </c>
    </row>
    <row r="373" spans="1:36" ht="30" customHeight="1">
      <c r="A373" s="90"/>
      <c r="B373" s="90"/>
      <c r="C373" s="90"/>
      <c r="D373" s="90"/>
      <c r="E373" s="90"/>
      <c r="F373" s="90"/>
      <c r="G373" s="90"/>
      <c r="H373" s="90"/>
      <c r="I373" s="90"/>
      <c r="J373" s="90"/>
      <c r="K373" s="90"/>
      <c r="L373" s="90"/>
      <c r="M373" s="90"/>
      <c r="N373" s="150"/>
      <c r="O373" s="152"/>
      <c r="P373" s="90"/>
      <c r="Q373" s="140"/>
      <c r="R373" s="90"/>
      <c r="S373" s="140"/>
      <c r="T373" s="90"/>
      <c r="U373" s="140"/>
      <c r="V373" s="90"/>
      <c r="W373" s="140"/>
      <c r="X373" s="90"/>
      <c r="Y373" s="140"/>
      <c r="Z373" s="90"/>
      <c r="AA373" s="140"/>
      <c r="AB373" s="62"/>
      <c r="AC373" s="140"/>
      <c r="AD373" s="62"/>
      <c r="AE373" s="140"/>
      <c r="AF373" s="189" t="str">
        <f t="shared" si="13"/>
        <v/>
      </c>
      <c r="AG373" s="304" t="b">
        <f t="shared" si="12"/>
        <v>0</v>
      </c>
      <c r="AH373" s="9"/>
      <c r="AI373" s="145">
        <f t="shared" si="11"/>
        <v>0</v>
      </c>
      <c r="AJ373" s="147" t="s">
        <v>36</v>
      </c>
    </row>
    <row r="374" spans="1:36" ht="30" customHeight="1">
      <c r="A374" s="90"/>
      <c r="B374" s="90"/>
      <c r="C374" s="90"/>
      <c r="D374" s="90"/>
      <c r="E374" s="90"/>
      <c r="F374" s="90"/>
      <c r="G374" s="90"/>
      <c r="H374" s="90"/>
      <c r="I374" s="90"/>
      <c r="J374" s="90"/>
      <c r="K374" s="90"/>
      <c r="L374" s="90"/>
      <c r="M374" s="90"/>
      <c r="N374" s="150"/>
      <c r="O374" s="152"/>
      <c r="P374" s="90"/>
      <c r="Q374" s="140"/>
      <c r="R374" s="90"/>
      <c r="S374" s="140"/>
      <c r="T374" s="90"/>
      <c r="U374" s="140"/>
      <c r="V374" s="90"/>
      <c r="W374" s="140"/>
      <c r="X374" s="90"/>
      <c r="Y374" s="140"/>
      <c r="Z374" s="90"/>
      <c r="AA374" s="140"/>
      <c r="AB374" s="62"/>
      <c r="AC374" s="140"/>
      <c r="AD374" s="62"/>
      <c r="AE374" s="140"/>
      <c r="AF374" s="189" t="str">
        <f t="shared" si="13"/>
        <v/>
      </c>
      <c r="AG374" s="304" t="b">
        <f t="shared" si="12"/>
        <v>0</v>
      </c>
      <c r="AH374" s="9"/>
      <c r="AI374" s="145">
        <f t="shared" si="11"/>
        <v>0</v>
      </c>
      <c r="AJ374" s="147" t="s">
        <v>36</v>
      </c>
    </row>
    <row r="375" spans="1:36" ht="30" customHeight="1">
      <c r="A375" s="90"/>
      <c r="B375" s="90"/>
      <c r="C375" s="90"/>
      <c r="D375" s="90"/>
      <c r="E375" s="90"/>
      <c r="F375" s="90"/>
      <c r="G375" s="90"/>
      <c r="H375" s="90"/>
      <c r="I375" s="90"/>
      <c r="J375" s="90"/>
      <c r="K375" s="90"/>
      <c r="L375" s="90"/>
      <c r="M375" s="90"/>
      <c r="N375" s="150"/>
      <c r="O375" s="152"/>
      <c r="P375" s="90"/>
      <c r="Q375" s="140"/>
      <c r="R375" s="90"/>
      <c r="S375" s="140"/>
      <c r="T375" s="90"/>
      <c r="U375" s="140"/>
      <c r="V375" s="90"/>
      <c r="W375" s="140"/>
      <c r="X375" s="90"/>
      <c r="Y375" s="140"/>
      <c r="Z375" s="90"/>
      <c r="AA375" s="140"/>
      <c r="AB375" s="62"/>
      <c r="AC375" s="140"/>
      <c r="AD375" s="62"/>
      <c r="AE375" s="140"/>
      <c r="AF375" s="189" t="str">
        <f t="shared" si="13"/>
        <v/>
      </c>
      <c r="AG375" s="304" t="b">
        <f t="shared" si="12"/>
        <v>0</v>
      </c>
      <c r="AH375" s="9"/>
      <c r="AI375" s="145">
        <f t="shared" si="11"/>
        <v>0</v>
      </c>
      <c r="AJ375" s="147" t="s">
        <v>36</v>
      </c>
    </row>
    <row r="376" spans="1:36" ht="30" customHeight="1">
      <c r="A376" s="90"/>
      <c r="B376" s="90"/>
      <c r="C376" s="90"/>
      <c r="D376" s="90"/>
      <c r="E376" s="90"/>
      <c r="F376" s="90"/>
      <c r="G376" s="90"/>
      <c r="H376" s="90"/>
      <c r="I376" s="90"/>
      <c r="J376" s="90"/>
      <c r="K376" s="90"/>
      <c r="L376" s="90"/>
      <c r="M376" s="90"/>
      <c r="N376" s="150"/>
      <c r="O376" s="152"/>
      <c r="P376" s="90"/>
      <c r="Q376" s="140"/>
      <c r="R376" s="90"/>
      <c r="S376" s="140"/>
      <c r="T376" s="90"/>
      <c r="U376" s="140"/>
      <c r="V376" s="90"/>
      <c r="W376" s="140"/>
      <c r="X376" s="90"/>
      <c r="Y376" s="140"/>
      <c r="Z376" s="90"/>
      <c r="AA376" s="140"/>
      <c r="AB376" s="62"/>
      <c r="AC376" s="140"/>
      <c r="AD376" s="62"/>
      <c r="AE376" s="140"/>
      <c r="AF376" s="189" t="str">
        <f t="shared" si="13"/>
        <v/>
      </c>
      <c r="AG376" s="304" t="b">
        <f t="shared" si="12"/>
        <v>0</v>
      </c>
      <c r="AH376" s="9"/>
      <c r="AI376" s="145">
        <f t="shared" ref="AI376:AI439" si="14">E376</f>
        <v>0</v>
      </c>
      <c r="AJ376" s="147" t="s">
        <v>36</v>
      </c>
    </row>
    <row r="377" spans="1:36" ht="30" customHeight="1">
      <c r="A377" s="90"/>
      <c r="B377" s="90"/>
      <c r="C377" s="90"/>
      <c r="D377" s="90"/>
      <c r="E377" s="90"/>
      <c r="F377" s="90"/>
      <c r="G377" s="90"/>
      <c r="H377" s="90"/>
      <c r="I377" s="90"/>
      <c r="J377" s="90"/>
      <c r="K377" s="90"/>
      <c r="L377" s="90"/>
      <c r="M377" s="90"/>
      <c r="N377" s="150"/>
      <c r="O377" s="152"/>
      <c r="P377" s="90"/>
      <c r="Q377" s="140"/>
      <c r="R377" s="90"/>
      <c r="S377" s="140"/>
      <c r="T377" s="90"/>
      <c r="U377" s="140"/>
      <c r="V377" s="90"/>
      <c r="W377" s="140"/>
      <c r="X377" s="90"/>
      <c r="Y377" s="140"/>
      <c r="Z377" s="90"/>
      <c r="AA377" s="140"/>
      <c r="AB377" s="62"/>
      <c r="AC377" s="140"/>
      <c r="AD377" s="62"/>
      <c r="AE377" s="140"/>
      <c r="AF377" s="189" t="str">
        <f t="shared" si="13"/>
        <v/>
      </c>
      <c r="AG377" s="304" t="b">
        <f t="shared" si="12"/>
        <v>0</v>
      </c>
      <c r="AH377" s="9"/>
      <c r="AI377" s="145">
        <f t="shared" si="14"/>
        <v>0</v>
      </c>
      <c r="AJ377" s="147" t="s">
        <v>36</v>
      </c>
    </row>
    <row r="378" spans="1:36" ht="30" customHeight="1">
      <c r="A378" s="90"/>
      <c r="B378" s="90"/>
      <c r="C378" s="90"/>
      <c r="D378" s="90"/>
      <c r="E378" s="90"/>
      <c r="F378" s="90"/>
      <c r="G378" s="90"/>
      <c r="H378" s="90"/>
      <c r="I378" s="90"/>
      <c r="J378" s="90"/>
      <c r="K378" s="90"/>
      <c r="L378" s="90"/>
      <c r="M378" s="90"/>
      <c r="N378" s="150"/>
      <c r="O378" s="152"/>
      <c r="P378" s="90"/>
      <c r="Q378" s="140"/>
      <c r="R378" s="90"/>
      <c r="S378" s="140"/>
      <c r="T378" s="90"/>
      <c r="U378" s="140"/>
      <c r="V378" s="90"/>
      <c r="W378" s="140"/>
      <c r="X378" s="90"/>
      <c r="Y378" s="140"/>
      <c r="Z378" s="90"/>
      <c r="AA378" s="140"/>
      <c r="AB378" s="62"/>
      <c r="AC378" s="140"/>
      <c r="AD378" s="62"/>
      <c r="AE378" s="140"/>
      <c r="AF378" s="189" t="str">
        <f t="shared" si="13"/>
        <v/>
      </c>
      <c r="AG378" s="304" t="b">
        <f t="shared" si="12"/>
        <v>0</v>
      </c>
      <c r="AH378" s="9"/>
      <c r="AI378" s="145">
        <f t="shared" si="14"/>
        <v>0</v>
      </c>
      <c r="AJ378" s="147" t="s">
        <v>36</v>
      </c>
    </row>
    <row r="379" spans="1:36" ht="30" customHeight="1">
      <c r="A379" s="90"/>
      <c r="B379" s="90"/>
      <c r="C379" s="90"/>
      <c r="D379" s="90"/>
      <c r="E379" s="90"/>
      <c r="F379" s="90"/>
      <c r="G379" s="90"/>
      <c r="H379" s="90"/>
      <c r="I379" s="90"/>
      <c r="J379" s="90"/>
      <c r="K379" s="90"/>
      <c r="L379" s="90"/>
      <c r="M379" s="90"/>
      <c r="N379" s="150"/>
      <c r="O379" s="152"/>
      <c r="P379" s="90"/>
      <c r="Q379" s="140"/>
      <c r="R379" s="90"/>
      <c r="S379" s="140"/>
      <c r="T379" s="90"/>
      <c r="U379" s="140"/>
      <c r="V379" s="90"/>
      <c r="W379" s="140"/>
      <c r="X379" s="90"/>
      <c r="Y379" s="140"/>
      <c r="Z379" s="90"/>
      <c r="AA379" s="140"/>
      <c r="AB379" s="62"/>
      <c r="AC379" s="140"/>
      <c r="AD379" s="62"/>
      <c r="AE379" s="140"/>
      <c r="AF379" s="189" t="str">
        <f t="shared" si="13"/>
        <v/>
      </c>
      <c r="AG379" s="304" t="b">
        <f t="shared" si="12"/>
        <v>0</v>
      </c>
      <c r="AH379" s="9"/>
      <c r="AI379" s="145">
        <f t="shared" si="14"/>
        <v>0</v>
      </c>
      <c r="AJ379" s="147" t="s">
        <v>36</v>
      </c>
    </row>
    <row r="380" spans="1:36" ht="30" customHeight="1">
      <c r="A380" s="90"/>
      <c r="B380" s="90"/>
      <c r="C380" s="90"/>
      <c r="D380" s="90"/>
      <c r="E380" s="90"/>
      <c r="F380" s="90"/>
      <c r="G380" s="90"/>
      <c r="H380" s="90"/>
      <c r="I380" s="90"/>
      <c r="J380" s="90"/>
      <c r="K380" s="90"/>
      <c r="L380" s="90"/>
      <c r="M380" s="90"/>
      <c r="N380" s="150"/>
      <c r="O380" s="152"/>
      <c r="P380" s="90"/>
      <c r="Q380" s="140"/>
      <c r="R380" s="90"/>
      <c r="S380" s="140"/>
      <c r="T380" s="90"/>
      <c r="U380" s="140"/>
      <c r="V380" s="90"/>
      <c r="W380" s="140"/>
      <c r="X380" s="90"/>
      <c r="Y380" s="140"/>
      <c r="Z380" s="90"/>
      <c r="AA380" s="140"/>
      <c r="AB380" s="62"/>
      <c r="AC380" s="140"/>
      <c r="AD380" s="62"/>
      <c r="AE380" s="140"/>
      <c r="AF380" s="189" t="str">
        <f t="shared" si="13"/>
        <v/>
      </c>
      <c r="AG380" s="304" t="b">
        <f t="shared" si="12"/>
        <v>0</v>
      </c>
      <c r="AH380" s="9"/>
      <c r="AI380" s="145">
        <f t="shared" si="14"/>
        <v>0</v>
      </c>
      <c r="AJ380" s="147" t="s">
        <v>36</v>
      </c>
    </row>
    <row r="381" spans="1:36" ht="30" customHeight="1">
      <c r="A381" s="90"/>
      <c r="B381" s="90"/>
      <c r="C381" s="90"/>
      <c r="D381" s="90"/>
      <c r="E381" s="90"/>
      <c r="F381" s="90"/>
      <c r="G381" s="90"/>
      <c r="H381" s="90"/>
      <c r="I381" s="90"/>
      <c r="J381" s="90"/>
      <c r="K381" s="90"/>
      <c r="L381" s="90"/>
      <c r="M381" s="90"/>
      <c r="N381" s="150"/>
      <c r="O381" s="152"/>
      <c r="P381" s="90"/>
      <c r="Q381" s="140"/>
      <c r="R381" s="90"/>
      <c r="S381" s="140"/>
      <c r="T381" s="90"/>
      <c r="U381" s="140"/>
      <c r="V381" s="90"/>
      <c r="W381" s="140"/>
      <c r="X381" s="90"/>
      <c r="Y381" s="140"/>
      <c r="Z381" s="90"/>
      <c r="AA381" s="140"/>
      <c r="AB381" s="62"/>
      <c r="AC381" s="140"/>
      <c r="AD381" s="62"/>
      <c r="AE381" s="140"/>
      <c r="AF381" s="189" t="str">
        <f t="shared" si="13"/>
        <v/>
      </c>
      <c r="AG381" s="304" t="b">
        <f t="shared" si="12"/>
        <v>0</v>
      </c>
      <c r="AH381" s="9"/>
      <c r="AI381" s="145">
        <f t="shared" si="14"/>
        <v>0</v>
      </c>
      <c r="AJ381" s="147" t="s">
        <v>36</v>
      </c>
    </row>
    <row r="382" spans="1:36" ht="30" customHeight="1">
      <c r="A382" s="90"/>
      <c r="B382" s="90"/>
      <c r="C382" s="90"/>
      <c r="D382" s="90"/>
      <c r="E382" s="90"/>
      <c r="F382" s="90"/>
      <c r="G382" s="90"/>
      <c r="H382" s="90"/>
      <c r="I382" s="90"/>
      <c r="J382" s="90"/>
      <c r="K382" s="90"/>
      <c r="L382" s="90"/>
      <c r="M382" s="90"/>
      <c r="N382" s="150"/>
      <c r="O382" s="152"/>
      <c r="P382" s="90"/>
      <c r="Q382" s="140"/>
      <c r="R382" s="90"/>
      <c r="S382" s="140"/>
      <c r="T382" s="90"/>
      <c r="U382" s="140"/>
      <c r="V382" s="90"/>
      <c r="W382" s="140"/>
      <c r="X382" s="90"/>
      <c r="Y382" s="140"/>
      <c r="Z382" s="90"/>
      <c r="AA382" s="140"/>
      <c r="AB382" s="62"/>
      <c r="AC382" s="140"/>
      <c r="AD382" s="62"/>
      <c r="AE382" s="140"/>
      <c r="AF382" s="189" t="str">
        <f t="shared" si="13"/>
        <v/>
      </c>
      <c r="AG382" s="304" t="b">
        <f t="shared" si="12"/>
        <v>0</v>
      </c>
      <c r="AH382" s="9"/>
      <c r="AI382" s="145">
        <f t="shared" si="14"/>
        <v>0</v>
      </c>
      <c r="AJ382" s="147" t="s">
        <v>36</v>
      </c>
    </row>
    <row r="383" spans="1:36" ht="30" customHeight="1">
      <c r="A383" s="90"/>
      <c r="B383" s="90"/>
      <c r="C383" s="90"/>
      <c r="D383" s="90"/>
      <c r="E383" s="90"/>
      <c r="F383" s="90"/>
      <c r="G383" s="90"/>
      <c r="H383" s="90"/>
      <c r="I383" s="90"/>
      <c r="J383" s="90"/>
      <c r="K383" s="90"/>
      <c r="L383" s="90"/>
      <c r="M383" s="90"/>
      <c r="N383" s="150"/>
      <c r="O383" s="152"/>
      <c r="P383" s="90"/>
      <c r="Q383" s="140"/>
      <c r="R383" s="90"/>
      <c r="S383" s="140"/>
      <c r="T383" s="90"/>
      <c r="U383" s="140"/>
      <c r="V383" s="90"/>
      <c r="W383" s="140"/>
      <c r="X383" s="90"/>
      <c r="Y383" s="140"/>
      <c r="Z383" s="90"/>
      <c r="AA383" s="140"/>
      <c r="AB383" s="62"/>
      <c r="AC383" s="140"/>
      <c r="AD383" s="62"/>
      <c r="AE383" s="140"/>
      <c r="AF383" s="189" t="str">
        <f t="shared" si="13"/>
        <v/>
      </c>
      <c r="AG383" s="304" t="b">
        <f t="shared" si="12"/>
        <v>0</v>
      </c>
      <c r="AH383" s="9"/>
      <c r="AI383" s="145">
        <f t="shared" si="14"/>
        <v>0</v>
      </c>
      <c r="AJ383" s="147" t="s">
        <v>36</v>
      </c>
    </row>
    <row r="384" spans="1:36" ht="30" customHeight="1">
      <c r="A384" s="90"/>
      <c r="B384" s="90"/>
      <c r="C384" s="90"/>
      <c r="D384" s="90"/>
      <c r="E384" s="90"/>
      <c r="F384" s="90"/>
      <c r="G384" s="90"/>
      <c r="H384" s="90"/>
      <c r="I384" s="90"/>
      <c r="J384" s="90"/>
      <c r="K384" s="90"/>
      <c r="L384" s="90"/>
      <c r="M384" s="90"/>
      <c r="N384" s="150"/>
      <c r="O384" s="152"/>
      <c r="P384" s="90"/>
      <c r="Q384" s="140"/>
      <c r="R384" s="90"/>
      <c r="S384" s="140"/>
      <c r="T384" s="90"/>
      <c r="U384" s="140"/>
      <c r="V384" s="90"/>
      <c r="W384" s="140"/>
      <c r="X384" s="90"/>
      <c r="Y384" s="140"/>
      <c r="Z384" s="90"/>
      <c r="AA384" s="140"/>
      <c r="AB384" s="62"/>
      <c r="AC384" s="140"/>
      <c r="AD384" s="62"/>
      <c r="AE384" s="140"/>
      <c r="AF384" s="189" t="str">
        <f t="shared" si="13"/>
        <v/>
      </c>
      <c r="AG384" s="304" t="b">
        <f t="shared" si="12"/>
        <v>0</v>
      </c>
      <c r="AH384" s="9"/>
      <c r="AI384" s="145">
        <f t="shared" si="14"/>
        <v>0</v>
      </c>
      <c r="AJ384" s="147" t="s">
        <v>36</v>
      </c>
    </row>
    <row r="385" spans="1:36" ht="30" customHeight="1">
      <c r="A385" s="90"/>
      <c r="B385" s="90"/>
      <c r="C385" s="90"/>
      <c r="D385" s="90"/>
      <c r="E385" s="90"/>
      <c r="F385" s="90"/>
      <c r="G385" s="90"/>
      <c r="H385" s="90"/>
      <c r="I385" s="90"/>
      <c r="J385" s="90"/>
      <c r="K385" s="90"/>
      <c r="L385" s="90"/>
      <c r="M385" s="90"/>
      <c r="N385" s="150"/>
      <c r="O385" s="152"/>
      <c r="P385" s="90"/>
      <c r="Q385" s="140"/>
      <c r="R385" s="90"/>
      <c r="S385" s="140"/>
      <c r="T385" s="90"/>
      <c r="U385" s="140"/>
      <c r="V385" s="90"/>
      <c r="W385" s="140"/>
      <c r="X385" s="90"/>
      <c r="Y385" s="140"/>
      <c r="Z385" s="90"/>
      <c r="AA385" s="140"/>
      <c r="AB385" s="62"/>
      <c r="AC385" s="140"/>
      <c r="AD385" s="62"/>
      <c r="AE385" s="140"/>
      <c r="AF385" s="189" t="str">
        <f t="shared" si="13"/>
        <v/>
      </c>
      <c r="AG385" s="304" t="b">
        <f t="shared" si="12"/>
        <v>0</v>
      </c>
      <c r="AH385" s="9"/>
      <c r="AI385" s="145">
        <f t="shared" si="14"/>
        <v>0</v>
      </c>
      <c r="AJ385" s="147" t="s">
        <v>36</v>
      </c>
    </row>
    <row r="386" spans="1:36" ht="30" customHeight="1">
      <c r="A386" s="90"/>
      <c r="B386" s="90"/>
      <c r="C386" s="90"/>
      <c r="D386" s="90"/>
      <c r="E386" s="90"/>
      <c r="F386" s="90"/>
      <c r="G386" s="90"/>
      <c r="H386" s="90"/>
      <c r="I386" s="90"/>
      <c r="J386" s="90"/>
      <c r="K386" s="90"/>
      <c r="L386" s="90"/>
      <c r="M386" s="90"/>
      <c r="N386" s="150"/>
      <c r="O386" s="152"/>
      <c r="P386" s="90"/>
      <c r="Q386" s="140"/>
      <c r="R386" s="90"/>
      <c r="S386" s="140"/>
      <c r="T386" s="90"/>
      <c r="U386" s="140"/>
      <c r="V386" s="90"/>
      <c r="W386" s="140"/>
      <c r="X386" s="90"/>
      <c r="Y386" s="140"/>
      <c r="Z386" s="90"/>
      <c r="AA386" s="140"/>
      <c r="AB386" s="62"/>
      <c r="AC386" s="140"/>
      <c r="AD386" s="62"/>
      <c r="AE386" s="140"/>
      <c r="AF386" s="189" t="str">
        <f t="shared" si="13"/>
        <v/>
      </c>
      <c r="AG386" s="304" t="b">
        <f t="shared" ref="AG386:AG449" si="15">IF(AND(AE386="C",AF386="C"),"UTILIZOU O PDA CORRETAMENTE",IF(AND(AE386="C",AF386="NC"),"UTILIZOU O PDA CORRETAMENTE. NÃO HÁ FOTOS DE TODAS AS ETAPAS",IF(AND(AE386="NC",AF386="NC"),"NÃO UTILIZOU O PDA",IF(AND(AE386="NA",AF386="NA"),"NÃO AVALIADO POR FALHA DE SINCRONISMO"))))</f>
        <v>0</v>
      </c>
      <c r="AH386" s="9"/>
      <c r="AI386" s="145">
        <f t="shared" si="14"/>
        <v>0</v>
      </c>
      <c r="AJ386" s="147" t="s">
        <v>36</v>
      </c>
    </row>
    <row r="387" spans="1:36" ht="30" customHeight="1">
      <c r="A387" s="90"/>
      <c r="B387" s="90"/>
      <c r="C387" s="90"/>
      <c r="D387" s="90"/>
      <c r="E387" s="90"/>
      <c r="F387" s="90"/>
      <c r="G387" s="90"/>
      <c r="H387" s="90"/>
      <c r="I387" s="90"/>
      <c r="J387" s="90"/>
      <c r="K387" s="90"/>
      <c r="L387" s="90"/>
      <c r="M387" s="90"/>
      <c r="N387" s="150"/>
      <c r="O387" s="152"/>
      <c r="P387" s="90"/>
      <c r="Q387" s="140"/>
      <c r="R387" s="90"/>
      <c r="S387" s="140"/>
      <c r="T387" s="90"/>
      <c r="U387" s="140"/>
      <c r="V387" s="90"/>
      <c r="W387" s="140"/>
      <c r="X387" s="90"/>
      <c r="Y387" s="140"/>
      <c r="Z387" s="90"/>
      <c r="AA387" s="140"/>
      <c r="AB387" s="62"/>
      <c r="AC387" s="140"/>
      <c r="AD387" s="62"/>
      <c r="AE387" s="140"/>
      <c r="AF387" s="189" t="str">
        <f t="shared" ref="AF387:AF450" si="16">IF(AND(O387="",Q387="",S387="",U387="",W387="",Y387="",AA387="",AC387=""),"",
IF(OR(    AND(O387&lt;&gt;"NA",O387&lt;&gt;"C",O387&lt;&gt;"NC",O387&lt;&gt;"SF",O387&lt;&gt;""),
    AND(Q387&lt;&gt;"NA",Q387&lt;&gt;"C",Q387&lt;&gt;"NC",Q387&lt;&gt;"SF",Q387&lt;&gt;""),
    AND(S387&lt;&gt;"NA",S387&lt;&gt;"C",S387&lt;&gt;"NC",S387&lt;&gt;"SF",S387&lt;&gt;""),
    AND(U387&lt;&gt;"NA",U387&lt;&gt;"C",U387&lt;&gt;"NC",U387&lt;&gt;"SF",U387&lt;&gt;""),
    AND(W387&lt;&gt;"NA",W387&lt;&gt;"C",W387&lt;&gt;"NC",W387&lt;&gt;"SF",W387&lt;&gt;""),
    AND(Y387&lt;&gt;"NA",Y387&lt;&gt;"C",Y387&lt;&gt;"NC",Y387&lt;&gt;"SF",Y387&lt;&gt;""),
    AND(AA387&lt;&gt;"NA",AA387&lt;&gt;"C",AA387&lt;&gt;"NC",AA387&lt;&gt;"SF",AA387&lt;&gt;""),
    AND(AC387&lt;&gt;"NA",AC387&lt;&gt;"C",AC387&lt;&gt;"NC",AC387&lt;&gt;"SF",AC387&lt;&gt;"")
),"FALSO",
IF(AND(O387="NA",Q387="NA",S387="NA",U387="NA",W387="NA",Y387="NA",AA387="NA",AC387="NA"),"NA",
IF(OR(O387="NC",Q387="NC",S387="NC",U387="NC",W387="NC",Y387="NC",AA387="NC",AC387="NC",
       O387="SF",Q387="SF",S387="SF",U387="SF",W387="SF",Y387="SF",AA387="SF",AC387="SF"),"NC",
IF(SUM(IF(O387="C",1,0),IF(Q387="C",1,0),IF(S387="C",1,0),IF(U387="C",1,0),IF(W387="C",1,0),IF(Y387="C",1,0),IF(AA387="C",1,0),IF(AC387="C",1,0))=1,"C","C")))))</f>
        <v/>
      </c>
      <c r="AG387" s="304" t="b">
        <f t="shared" si="15"/>
        <v>0</v>
      </c>
      <c r="AH387" s="9"/>
      <c r="AI387" s="145">
        <f t="shared" si="14"/>
        <v>0</v>
      </c>
      <c r="AJ387" s="147" t="s">
        <v>36</v>
      </c>
    </row>
    <row r="388" spans="1:36" ht="30" customHeight="1">
      <c r="A388" s="90"/>
      <c r="B388" s="90"/>
      <c r="C388" s="90"/>
      <c r="D388" s="90"/>
      <c r="E388" s="90"/>
      <c r="F388" s="90"/>
      <c r="G388" s="90"/>
      <c r="H388" s="90"/>
      <c r="I388" s="90"/>
      <c r="J388" s="90"/>
      <c r="K388" s="90"/>
      <c r="L388" s="90"/>
      <c r="M388" s="90"/>
      <c r="N388" s="150"/>
      <c r="O388" s="152"/>
      <c r="P388" s="90"/>
      <c r="Q388" s="140"/>
      <c r="R388" s="90"/>
      <c r="S388" s="140"/>
      <c r="T388" s="90"/>
      <c r="U388" s="140"/>
      <c r="V388" s="90"/>
      <c r="W388" s="140"/>
      <c r="X388" s="90"/>
      <c r="Y388" s="140"/>
      <c r="Z388" s="90"/>
      <c r="AA388" s="140"/>
      <c r="AB388" s="62"/>
      <c r="AC388" s="140"/>
      <c r="AD388" s="62"/>
      <c r="AE388" s="140"/>
      <c r="AF388" s="189" t="str">
        <f t="shared" si="16"/>
        <v/>
      </c>
      <c r="AG388" s="304" t="b">
        <f t="shared" si="15"/>
        <v>0</v>
      </c>
      <c r="AH388" s="9"/>
      <c r="AI388" s="145">
        <f t="shared" si="14"/>
        <v>0</v>
      </c>
      <c r="AJ388" s="147" t="s">
        <v>36</v>
      </c>
    </row>
    <row r="389" spans="1:36" ht="30" customHeight="1">
      <c r="A389" s="90"/>
      <c r="B389" s="90"/>
      <c r="C389" s="90"/>
      <c r="D389" s="90"/>
      <c r="E389" s="90"/>
      <c r="F389" s="90"/>
      <c r="G389" s="90"/>
      <c r="H389" s="90"/>
      <c r="I389" s="90"/>
      <c r="J389" s="90"/>
      <c r="K389" s="90"/>
      <c r="L389" s="90"/>
      <c r="M389" s="90"/>
      <c r="N389" s="150"/>
      <c r="O389" s="152"/>
      <c r="P389" s="90"/>
      <c r="Q389" s="140"/>
      <c r="R389" s="90"/>
      <c r="S389" s="140"/>
      <c r="T389" s="90"/>
      <c r="U389" s="140"/>
      <c r="V389" s="90"/>
      <c r="W389" s="140"/>
      <c r="X389" s="90"/>
      <c r="Y389" s="140"/>
      <c r="Z389" s="90"/>
      <c r="AA389" s="140"/>
      <c r="AB389" s="62"/>
      <c r="AC389" s="140"/>
      <c r="AD389" s="62"/>
      <c r="AE389" s="140"/>
      <c r="AF389" s="189" t="str">
        <f t="shared" si="16"/>
        <v/>
      </c>
      <c r="AG389" s="304" t="b">
        <f t="shared" si="15"/>
        <v>0</v>
      </c>
      <c r="AH389" s="9"/>
      <c r="AI389" s="145">
        <f t="shared" si="14"/>
        <v>0</v>
      </c>
      <c r="AJ389" s="147" t="s">
        <v>36</v>
      </c>
    </row>
    <row r="390" spans="1:36" ht="30" customHeight="1">
      <c r="A390" s="90"/>
      <c r="B390" s="90"/>
      <c r="C390" s="90"/>
      <c r="D390" s="90"/>
      <c r="E390" s="90"/>
      <c r="F390" s="90"/>
      <c r="G390" s="90"/>
      <c r="H390" s="90"/>
      <c r="I390" s="90"/>
      <c r="J390" s="90"/>
      <c r="K390" s="90"/>
      <c r="L390" s="90"/>
      <c r="M390" s="90"/>
      <c r="N390" s="150"/>
      <c r="O390" s="152"/>
      <c r="P390" s="90"/>
      <c r="Q390" s="140"/>
      <c r="R390" s="90"/>
      <c r="S390" s="140"/>
      <c r="T390" s="90"/>
      <c r="U390" s="140"/>
      <c r="V390" s="90"/>
      <c r="W390" s="140"/>
      <c r="X390" s="90"/>
      <c r="Y390" s="140"/>
      <c r="Z390" s="90"/>
      <c r="AA390" s="140"/>
      <c r="AB390" s="62"/>
      <c r="AC390" s="140"/>
      <c r="AD390" s="62"/>
      <c r="AE390" s="140"/>
      <c r="AF390" s="189" t="str">
        <f t="shared" si="16"/>
        <v/>
      </c>
      <c r="AG390" s="304" t="b">
        <f t="shared" si="15"/>
        <v>0</v>
      </c>
      <c r="AH390" s="9"/>
      <c r="AI390" s="145">
        <f t="shared" si="14"/>
        <v>0</v>
      </c>
      <c r="AJ390" s="147" t="s">
        <v>36</v>
      </c>
    </row>
    <row r="391" spans="1:36" ht="30" customHeight="1">
      <c r="A391" s="90"/>
      <c r="B391" s="90"/>
      <c r="C391" s="90"/>
      <c r="D391" s="90"/>
      <c r="E391" s="90"/>
      <c r="F391" s="90"/>
      <c r="G391" s="90"/>
      <c r="H391" s="90"/>
      <c r="I391" s="90"/>
      <c r="J391" s="90"/>
      <c r="K391" s="90"/>
      <c r="L391" s="90"/>
      <c r="M391" s="90"/>
      <c r="N391" s="150"/>
      <c r="O391" s="152"/>
      <c r="P391" s="90"/>
      <c r="Q391" s="140"/>
      <c r="R391" s="90"/>
      <c r="S391" s="140"/>
      <c r="T391" s="90"/>
      <c r="U391" s="140"/>
      <c r="V391" s="90"/>
      <c r="W391" s="140"/>
      <c r="X391" s="90"/>
      <c r="Y391" s="140"/>
      <c r="Z391" s="90"/>
      <c r="AA391" s="140"/>
      <c r="AB391" s="62"/>
      <c r="AC391" s="140"/>
      <c r="AD391" s="62"/>
      <c r="AE391" s="140"/>
      <c r="AF391" s="189" t="str">
        <f t="shared" si="16"/>
        <v/>
      </c>
      <c r="AG391" s="304" t="b">
        <f t="shared" si="15"/>
        <v>0</v>
      </c>
      <c r="AH391" s="9"/>
      <c r="AI391" s="145">
        <f t="shared" si="14"/>
        <v>0</v>
      </c>
      <c r="AJ391" s="147" t="s">
        <v>36</v>
      </c>
    </row>
    <row r="392" spans="1:36" ht="30" customHeight="1">
      <c r="A392" s="90"/>
      <c r="B392" s="90"/>
      <c r="C392" s="90"/>
      <c r="D392" s="90"/>
      <c r="E392" s="90"/>
      <c r="F392" s="90"/>
      <c r="G392" s="90"/>
      <c r="H392" s="90"/>
      <c r="I392" s="90"/>
      <c r="J392" s="90"/>
      <c r="K392" s="90"/>
      <c r="L392" s="90"/>
      <c r="M392" s="90"/>
      <c r="N392" s="150"/>
      <c r="O392" s="152"/>
      <c r="P392" s="90"/>
      <c r="Q392" s="140"/>
      <c r="R392" s="90"/>
      <c r="S392" s="140"/>
      <c r="T392" s="90"/>
      <c r="U392" s="140"/>
      <c r="V392" s="90"/>
      <c r="W392" s="140"/>
      <c r="X392" s="90"/>
      <c r="Y392" s="140"/>
      <c r="Z392" s="90"/>
      <c r="AA392" s="140"/>
      <c r="AB392" s="62"/>
      <c r="AC392" s="140"/>
      <c r="AD392" s="62"/>
      <c r="AE392" s="140"/>
      <c r="AF392" s="189" t="str">
        <f t="shared" si="16"/>
        <v/>
      </c>
      <c r="AG392" s="304" t="b">
        <f t="shared" si="15"/>
        <v>0</v>
      </c>
      <c r="AH392" s="9"/>
      <c r="AI392" s="145">
        <f t="shared" si="14"/>
        <v>0</v>
      </c>
      <c r="AJ392" s="147" t="s">
        <v>36</v>
      </c>
    </row>
    <row r="393" spans="1:36" ht="30" customHeight="1">
      <c r="A393" s="90"/>
      <c r="B393" s="90"/>
      <c r="C393" s="90"/>
      <c r="D393" s="90"/>
      <c r="E393" s="90"/>
      <c r="F393" s="90"/>
      <c r="G393" s="90"/>
      <c r="H393" s="90"/>
      <c r="I393" s="90"/>
      <c r="J393" s="90"/>
      <c r="K393" s="90"/>
      <c r="L393" s="90"/>
      <c r="M393" s="90"/>
      <c r="N393" s="150"/>
      <c r="O393" s="152"/>
      <c r="P393" s="90"/>
      <c r="Q393" s="140"/>
      <c r="R393" s="90"/>
      <c r="S393" s="140"/>
      <c r="T393" s="90"/>
      <c r="U393" s="140"/>
      <c r="V393" s="90"/>
      <c r="W393" s="140"/>
      <c r="X393" s="90"/>
      <c r="Y393" s="140"/>
      <c r="Z393" s="90"/>
      <c r="AA393" s="140"/>
      <c r="AB393" s="62"/>
      <c r="AC393" s="140"/>
      <c r="AD393" s="62"/>
      <c r="AE393" s="140"/>
      <c r="AF393" s="189" t="str">
        <f t="shared" si="16"/>
        <v/>
      </c>
      <c r="AG393" s="304" t="b">
        <f t="shared" si="15"/>
        <v>0</v>
      </c>
      <c r="AH393" s="9"/>
      <c r="AI393" s="145">
        <f t="shared" si="14"/>
        <v>0</v>
      </c>
      <c r="AJ393" s="147" t="s">
        <v>36</v>
      </c>
    </row>
    <row r="394" spans="1:36" ht="30" customHeight="1">
      <c r="A394" s="90"/>
      <c r="B394" s="90"/>
      <c r="C394" s="90"/>
      <c r="D394" s="90"/>
      <c r="E394" s="90"/>
      <c r="F394" s="90"/>
      <c r="G394" s="90"/>
      <c r="H394" s="90"/>
      <c r="I394" s="90"/>
      <c r="J394" s="90"/>
      <c r="K394" s="90"/>
      <c r="L394" s="90"/>
      <c r="M394" s="90"/>
      <c r="N394" s="150"/>
      <c r="O394" s="152"/>
      <c r="P394" s="90"/>
      <c r="Q394" s="140"/>
      <c r="R394" s="90"/>
      <c r="S394" s="140"/>
      <c r="T394" s="90"/>
      <c r="U394" s="140"/>
      <c r="V394" s="90"/>
      <c r="W394" s="140"/>
      <c r="X394" s="90"/>
      <c r="Y394" s="140"/>
      <c r="Z394" s="90"/>
      <c r="AA394" s="140"/>
      <c r="AB394" s="62"/>
      <c r="AC394" s="140"/>
      <c r="AD394" s="62"/>
      <c r="AE394" s="140"/>
      <c r="AF394" s="189" t="str">
        <f t="shared" si="16"/>
        <v/>
      </c>
      <c r="AG394" s="304" t="b">
        <f t="shared" si="15"/>
        <v>0</v>
      </c>
      <c r="AH394" s="9"/>
      <c r="AI394" s="145">
        <f t="shared" si="14"/>
        <v>0</v>
      </c>
      <c r="AJ394" s="147" t="s">
        <v>36</v>
      </c>
    </row>
    <row r="395" spans="1:36" ht="30" customHeight="1">
      <c r="A395" s="90"/>
      <c r="B395" s="90"/>
      <c r="C395" s="90"/>
      <c r="D395" s="90"/>
      <c r="E395" s="90"/>
      <c r="F395" s="90"/>
      <c r="G395" s="90"/>
      <c r="H395" s="90"/>
      <c r="I395" s="90"/>
      <c r="J395" s="90"/>
      <c r="K395" s="90"/>
      <c r="L395" s="90"/>
      <c r="M395" s="90"/>
      <c r="N395" s="150"/>
      <c r="O395" s="152"/>
      <c r="P395" s="90"/>
      <c r="Q395" s="140"/>
      <c r="R395" s="90"/>
      <c r="S395" s="140"/>
      <c r="T395" s="90"/>
      <c r="U395" s="140"/>
      <c r="V395" s="90"/>
      <c r="W395" s="140"/>
      <c r="X395" s="90"/>
      <c r="Y395" s="140"/>
      <c r="Z395" s="90"/>
      <c r="AA395" s="140"/>
      <c r="AB395" s="62"/>
      <c r="AC395" s="140"/>
      <c r="AD395" s="62"/>
      <c r="AE395" s="140"/>
      <c r="AF395" s="189" t="str">
        <f t="shared" si="16"/>
        <v/>
      </c>
      <c r="AG395" s="304" t="b">
        <f t="shared" si="15"/>
        <v>0</v>
      </c>
      <c r="AH395" s="9"/>
      <c r="AI395" s="145">
        <f t="shared" si="14"/>
        <v>0</v>
      </c>
      <c r="AJ395" s="147" t="s">
        <v>36</v>
      </c>
    </row>
    <row r="396" spans="1:36" ht="30" customHeight="1">
      <c r="A396" s="90"/>
      <c r="B396" s="90"/>
      <c r="C396" s="90"/>
      <c r="D396" s="90"/>
      <c r="E396" s="90"/>
      <c r="F396" s="90"/>
      <c r="G396" s="90"/>
      <c r="H396" s="90"/>
      <c r="I396" s="90"/>
      <c r="J396" s="90"/>
      <c r="K396" s="90"/>
      <c r="L396" s="90"/>
      <c r="M396" s="90"/>
      <c r="N396" s="150"/>
      <c r="O396" s="152"/>
      <c r="P396" s="90"/>
      <c r="Q396" s="140"/>
      <c r="R396" s="90"/>
      <c r="S396" s="140"/>
      <c r="T396" s="90"/>
      <c r="U396" s="140"/>
      <c r="V396" s="90"/>
      <c r="W396" s="140"/>
      <c r="X396" s="90"/>
      <c r="Y396" s="140"/>
      <c r="Z396" s="90"/>
      <c r="AA396" s="140"/>
      <c r="AB396" s="62"/>
      <c r="AC396" s="140"/>
      <c r="AD396" s="62"/>
      <c r="AE396" s="140"/>
      <c r="AF396" s="189" t="str">
        <f t="shared" si="16"/>
        <v/>
      </c>
      <c r="AG396" s="304" t="b">
        <f t="shared" si="15"/>
        <v>0</v>
      </c>
      <c r="AH396" s="9"/>
      <c r="AI396" s="145">
        <f t="shared" si="14"/>
        <v>0</v>
      </c>
      <c r="AJ396" s="147" t="s">
        <v>36</v>
      </c>
    </row>
    <row r="397" spans="1:36" ht="30" customHeight="1">
      <c r="A397" s="90"/>
      <c r="B397" s="90"/>
      <c r="C397" s="90"/>
      <c r="D397" s="90"/>
      <c r="E397" s="90"/>
      <c r="F397" s="90"/>
      <c r="G397" s="90"/>
      <c r="H397" s="90"/>
      <c r="I397" s="90"/>
      <c r="J397" s="90"/>
      <c r="K397" s="90"/>
      <c r="L397" s="90"/>
      <c r="M397" s="90"/>
      <c r="N397" s="150"/>
      <c r="O397" s="152"/>
      <c r="P397" s="90"/>
      <c r="Q397" s="140"/>
      <c r="R397" s="90"/>
      <c r="S397" s="140"/>
      <c r="T397" s="90"/>
      <c r="U397" s="140"/>
      <c r="V397" s="90"/>
      <c r="W397" s="140"/>
      <c r="X397" s="90"/>
      <c r="Y397" s="140"/>
      <c r="Z397" s="90"/>
      <c r="AA397" s="140"/>
      <c r="AB397" s="62"/>
      <c r="AC397" s="140"/>
      <c r="AD397" s="62"/>
      <c r="AE397" s="140"/>
      <c r="AF397" s="189" t="str">
        <f t="shared" si="16"/>
        <v/>
      </c>
      <c r="AG397" s="304" t="b">
        <f t="shared" si="15"/>
        <v>0</v>
      </c>
      <c r="AH397" s="9"/>
      <c r="AI397" s="145">
        <f t="shared" si="14"/>
        <v>0</v>
      </c>
      <c r="AJ397" s="147" t="s">
        <v>36</v>
      </c>
    </row>
    <row r="398" spans="1:36" ht="30" customHeight="1">
      <c r="A398" s="90"/>
      <c r="B398" s="90"/>
      <c r="C398" s="90"/>
      <c r="D398" s="90"/>
      <c r="E398" s="90"/>
      <c r="F398" s="90"/>
      <c r="G398" s="90"/>
      <c r="H398" s="90"/>
      <c r="I398" s="90"/>
      <c r="J398" s="90"/>
      <c r="K398" s="90"/>
      <c r="L398" s="90"/>
      <c r="M398" s="90"/>
      <c r="N398" s="150"/>
      <c r="O398" s="152"/>
      <c r="P398" s="90"/>
      <c r="Q398" s="140"/>
      <c r="R398" s="90"/>
      <c r="S398" s="140"/>
      <c r="T398" s="90"/>
      <c r="U398" s="140"/>
      <c r="V398" s="90"/>
      <c r="W398" s="140"/>
      <c r="X398" s="90"/>
      <c r="Y398" s="140"/>
      <c r="Z398" s="90"/>
      <c r="AA398" s="140"/>
      <c r="AB398" s="62"/>
      <c r="AC398" s="140"/>
      <c r="AD398" s="62"/>
      <c r="AE398" s="140"/>
      <c r="AF398" s="189" t="str">
        <f t="shared" si="16"/>
        <v/>
      </c>
      <c r="AG398" s="304" t="b">
        <f t="shared" si="15"/>
        <v>0</v>
      </c>
      <c r="AH398" s="9"/>
      <c r="AI398" s="145">
        <f t="shared" si="14"/>
        <v>0</v>
      </c>
      <c r="AJ398" s="147" t="s">
        <v>36</v>
      </c>
    </row>
    <row r="399" spans="1:36" ht="30" customHeight="1">
      <c r="A399" s="90"/>
      <c r="B399" s="90"/>
      <c r="C399" s="90"/>
      <c r="D399" s="90"/>
      <c r="E399" s="90"/>
      <c r="F399" s="90"/>
      <c r="G399" s="90"/>
      <c r="H399" s="90"/>
      <c r="I399" s="90"/>
      <c r="J399" s="90"/>
      <c r="K399" s="90"/>
      <c r="L399" s="90"/>
      <c r="M399" s="90"/>
      <c r="N399" s="150"/>
      <c r="O399" s="152"/>
      <c r="P399" s="90"/>
      <c r="Q399" s="140"/>
      <c r="R399" s="90"/>
      <c r="S399" s="140"/>
      <c r="T399" s="90"/>
      <c r="U399" s="140"/>
      <c r="V399" s="90"/>
      <c r="W399" s="140"/>
      <c r="X399" s="90"/>
      <c r="Y399" s="140"/>
      <c r="Z399" s="90"/>
      <c r="AA399" s="140"/>
      <c r="AB399" s="62"/>
      <c r="AC399" s="140"/>
      <c r="AD399" s="62"/>
      <c r="AE399" s="140"/>
      <c r="AF399" s="189" t="str">
        <f t="shared" si="16"/>
        <v/>
      </c>
      <c r="AG399" s="304" t="b">
        <f t="shared" si="15"/>
        <v>0</v>
      </c>
      <c r="AH399" s="9"/>
      <c r="AI399" s="145">
        <f t="shared" si="14"/>
        <v>0</v>
      </c>
      <c r="AJ399" s="147" t="s">
        <v>36</v>
      </c>
    </row>
    <row r="400" spans="1:36" ht="30" customHeight="1">
      <c r="A400" s="90"/>
      <c r="B400" s="90"/>
      <c r="C400" s="90"/>
      <c r="D400" s="90"/>
      <c r="E400" s="90"/>
      <c r="F400" s="90"/>
      <c r="G400" s="90"/>
      <c r="H400" s="90"/>
      <c r="I400" s="90"/>
      <c r="J400" s="90"/>
      <c r="K400" s="90"/>
      <c r="L400" s="90"/>
      <c r="M400" s="90"/>
      <c r="N400" s="150"/>
      <c r="O400" s="152"/>
      <c r="P400" s="90"/>
      <c r="Q400" s="140"/>
      <c r="R400" s="90"/>
      <c r="S400" s="140"/>
      <c r="T400" s="90"/>
      <c r="U400" s="140"/>
      <c r="V400" s="90"/>
      <c r="W400" s="140"/>
      <c r="X400" s="90"/>
      <c r="Y400" s="140"/>
      <c r="Z400" s="90"/>
      <c r="AA400" s="140"/>
      <c r="AB400" s="62"/>
      <c r="AC400" s="140"/>
      <c r="AD400" s="62"/>
      <c r="AE400" s="140"/>
      <c r="AF400" s="189" t="str">
        <f t="shared" si="16"/>
        <v/>
      </c>
      <c r="AG400" s="304" t="b">
        <f t="shared" si="15"/>
        <v>0</v>
      </c>
      <c r="AH400" s="9"/>
      <c r="AI400" s="145">
        <f t="shared" si="14"/>
        <v>0</v>
      </c>
      <c r="AJ400" s="147" t="s">
        <v>36</v>
      </c>
    </row>
    <row r="401" spans="1:36" ht="30" customHeight="1">
      <c r="A401" s="90"/>
      <c r="B401" s="90"/>
      <c r="C401" s="90"/>
      <c r="D401" s="90"/>
      <c r="E401" s="90"/>
      <c r="F401" s="90"/>
      <c r="G401" s="90"/>
      <c r="H401" s="90"/>
      <c r="I401" s="90"/>
      <c r="J401" s="90"/>
      <c r="K401" s="90"/>
      <c r="L401" s="90"/>
      <c r="M401" s="90"/>
      <c r="N401" s="150"/>
      <c r="O401" s="152"/>
      <c r="P401" s="90"/>
      <c r="Q401" s="140"/>
      <c r="R401" s="90"/>
      <c r="S401" s="140"/>
      <c r="T401" s="90"/>
      <c r="U401" s="140"/>
      <c r="V401" s="90"/>
      <c r="W401" s="140"/>
      <c r="X401" s="90"/>
      <c r="Y401" s="140"/>
      <c r="Z401" s="90"/>
      <c r="AA401" s="140"/>
      <c r="AB401" s="62"/>
      <c r="AC401" s="140"/>
      <c r="AD401" s="62"/>
      <c r="AE401" s="140"/>
      <c r="AF401" s="189" t="str">
        <f t="shared" si="16"/>
        <v/>
      </c>
      <c r="AG401" s="304" t="b">
        <f t="shared" si="15"/>
        <v>0</v>
      </c>
      <c r="AH401" s="9"/>
      <c r="AI401" s="145">
        <f t="shared" si="14"/>
        <v>0</v>
      </c>
      <c r="AJ401" s="147" t="s">
        <v>36</v>
      </c>
    </row>
    <row r="402" spans="1:36" ht="30" customHeight="1">
      <c r="A402" s="90"/>
      <c r="B402" s="90"/>
      <c r="C402" s="90"/>
      <c r="D402" s="90"/>
      <c r="E402" s="90"/>
      <c r="F402" s="90"/>
      <c r="G402" s="90"/>
      <c r="H402" s="90"/>
      <c r="I402" s="90"/>
      <c r="J402" s="90"/>
      <c r="K402" s="90"/>
      <c r="L402" s="90"/>
      <c r="M402" s="90"/>
      <c r="N402" s="150"/>
      <c r="O402" s="152"/>
      <c r="P402" s="90"/>
      <c r="Q402" s="140"/>
      <c r="R402" s="90"/>
      <c r="S402" s="140"/>
      <c r="T402" s="90"/>
      <c r="U402" s="140"/>
      <c r="V402" s="90"/>
      <c r="W402" s="140"/>
      <c r="X402" s="90"/>
      <c r="Y402" s="140"/>
      <c r="Z402" s="90"/>
      <c r="AA402" s="140"/>
      <c r="AB402" s="62"/>
      <c r="AC402" s="140"/>
      <c r="AD402" s="62"/>
      <c r="AE402" s="140"/>
      <c r="AF402" s="189" t="str">
        <f t="shared" si="16"/>
        <v/>
      </c>
      <c r="AG402" s="304" t="b">
        <f t="shared" si="15"/>
        <v>0</v>
      </c>
      <c r="AH402" s="9"/>
      <c r="AI402" s="145">
        <f t="shared" si="14"/>
        <v>0</v>
      </c>
      <c r="AJ402" s="147" t="s">
        <v>36</v>
      </c>
    </row>
    <row r="403" spans="1:36" ht="30" customHeight="1">
      <c r="A403" s="90"/>
      <c r="B403" s="90"/>
      <c r="C403" s="90"/>
      <c r="D403" s="90"/>
      <c r="E403" s="90"/>
      <c r="F403" s="90"/>
      <c r="G403" s="90"/>
      <c r="H403" s="90"/>
      <c r="I403" s="90"/>
      <c r="J403" s="90"/>
      <c r="K403" s="90"/>
      <c r="L403" s="90"/>
      <c r="M403" s="90"/>
      <c r="N403" s="150"/>
      <c r="O403" s="152"/>
      <c r="P403" s="90"/>
      <c r="Q403" s="140"/>
      <c r="R403" s="90"/>
      <c r="S403" s="140"/>
      <c r="T403" s="90"/>
      <c r="U403" s="140"/>
      <c r="V403" s="90"/>
      <c r="W403" s="140"/>
      <c r="X403" s="90"/>
      <c r="Y403" s="140"/>
      <c r="Z403" s="90"/>
      <c r="AA403" s="140"/>
      <c r="AB403" s="62"/>
      <c r="AC403" s="140"/>
      <c r="AD403" s="62"/>
      <c r="AE403" s="140"/>
      <c r="AF403" s="189" t="str">
        <f t="shared" si="16"/>
        <v/>
      </c>
      <c r="AG403" s="304" t="b">
        <f t="shared" si="15"/>
        <v>0</v>
      </c>
      <c r="AH403" s="9"/>
      <c r="AI403" s="145">
        <f t="shared" si="14"/>
        <v>0</v>
      </c>
      <c r="AJ403" s="147" t="s">
        <v>36</v>
      </c>
    </row>
    <row r="404" spans="1:36" ht="30" customHeight="1">
      <c r="A404" s="90"/>
      <c r="B404" s="90"/>
      <c r="C404" s="90"/>
      <c r="D404" s="90"/>
      <c r="E404" s="90"/>
      <c r="F404" s="90"/>
      <c r="G404" s="90"/>
      <c r="H404" s="90"/>
      <c r="I404" s="90"/>
      <c r="J404" s="90"/>
      <c r="K404" s="90"/>
      <c r="L404" s="90"/>
      <c r="M404" s="90"/>
      <c r="N404" s="150"/>
      <c r="O404" s="152"/>
      <c r="P404" s="90"/>
      <c r="Q404" s="140"/>
      <c r="R404" s="90"/>
      <c r="S404" s="140"/>
      <c r="T404" s="90"/>
      <c r="U404" s="140"/>
      <c r="V404" s="90"/>
      <c r="W404" s="140"/>
      <c r="X404" s="90"/>
      <c r="Y404" s="140"/>
      <c r="Z404" s="90"/>
      <c r="AA404" s="140"/>
      <c r="AB404" s="62"/>
      <c r="AC404" s="140"/>
      <c r="AD404" s="62"/>
      <c r="AE404" s="140"/>
      <c r="AF404" s="189" t="str">
        <f t="shared" si="16"/>
        <v/>
      </c>
      <c r="AG404" s="304" t="b">
        <f t="shared" si="15"/>
        <v>0</v>
      </c>
      <c r="AH404" s="9"/>
      <c r="AI404" s="145">
        <f t="shared" si="14"/>
        <v>0</v>
      </c>
      <c r="AJ404" s="147" t="s">
        <v>36</v>
      </c>
    </row>
    <row r="405" spans="1:36" ht="30" customHeight="1">
      <c r="A405" s="90"/>
      <c r="B405" s="90"/>
      <c r="C405" s="90"/>
      <c r="D405" s="90"/>
      <c r="E405" s="90"/>
      <c r="F405" s="90"/>
      <c r="G405" s="90"/>
      <c r="H405" s="90"/>
      <c r="I405" s="90"/>
      <c r="J405" s="90"/>
      <c r="K405" s="90"/>
      <c r="L405" s="90"/>
      <c r="M405" s="90"/>
      <c r="N405" s="150"/>
      <c r="O405" s="152"/>
      <c r="P405" s="90"/>
      <c r="Q405" s="140"/>
      <c r="R405" s="90"/>
      <c r="S405" s="140"/>
      <c r="T405" s="90"/>
      <c r="U405" s="140"/>
      <c r="V405" s="90"/>
      <c r="W405" s="140"/>
      <c r="X405" s="90"/>
      <c r="Y405" s="140"/>
      <c r="Z405" s="90"/>
      <c r="AA405" s="140"/>
      <c r="AB405" s="62"/>
      <c r="AC405" s="140"/>
      <c r="AD405" s="62"/>
      <c r="AE405" s="140"/>
      <c r="AF405" s="189" t="str">
        <f t="shared" si="16"/>
        <v/>
      </c>
      <c r="AG405" s="304" t="b">
        <f t="shared" si="15"/>
        <v>0</v>
      </c>
      <c r="AH405" s="9"/>
      <c r="AI405" s="145">
        <f t="shared" si="14"/>
        <v>0</v>
      </c>
      <c r="AJ405" s="147" t="s">
        <v>36</v>
      </c>
    </row>
    <row r="406" spans="1:36" ht="30" customHeight="1">
      <c r="A406" s="90"/>
      <c r="B406" s="90"/>
      <c r="C406" s="90"/>
      <c r="D406" s="90"/>
      <c r="E406" s="90"/>
      <c r="F406" s="90"/>
      <c r="G406" s="90"/>
      <c r="H406" s="90"/>
      <c r="I406" s="90"/>
      <c r="J406" s="90"/>
      <c r="K406" s="90"/>
      <c r="L406" s="90"/>
      <c r="M406" s="90"/>
      <c r="N406" s="150"/>
      <c r="O406" s="152"/>
      <c r="P406" s="90"/>
      <c r="Q406" s="140"/>
      <c r="R406" s="90"/>
      <c r="S406" s="140"/>
      <c r="T406" s="90"/>
      <c r="U406" s="140"/>
      <c r="V406" s="90"/>
      <c r="W406" s="140"/>
      <c r="X406" s="90"/>
      <c r="Y406" s="140"/>
      <c r="Z406" s="90"/>
      <c r="AA406" s="140"/>
      <c r="AB406" s="62"/>
      <c r="AC406" s="140"/>
      <c r="AD406" s="62"/>
      <c r="AE406" s="140"/>
      <c r="AF406" s="189" t="str">
        <f t="shared" si="16"/>
        <v/>
      </c>
      <c r="AG406" s="304" t="b">
        <f t="shared" si="15"/>
        <v>0</v>
      </c>
      <c r="AH406" s="9"/>
      <c r="AI406" s="145">
        <f t="shared" si="14"/>
        <v>0</v>
      </c>
      <c r="AJ406" s="147" t="s">
        <v>36</v>
      </c>
    </row>
    <row r="407" spans="1:36" ht="30" customHeight="1">
      <c r="A407" s="90"/>
      <c r="B407" s="90"/>
      <c r="C407" s="90"/>
      <c r="D407" s="90"/>
      <c r="E407" s="90"/>
      <c r="F407" s="90"/>
      <c r="G407" s="90"/>
      <c r="H407" s="90"/>
      <c r="I407" s="90"/>
      <c r="J407" s="90"/>
      <c r="K407" s="90"/>
      <c r="L407" s="90"/>
      <c r="M407" s="90"/>
      <c r="N407" s="150"/>
      <c r="O407" s="152"/>
      <c r="P407" s="90"/>
      <c r="Q407" s="140"/>
      <c r="R407" s="90"/>
      <c r="S407" s="140"/>
      <c r="T407" s="90"/>
      <c r="U407" s="140"/>
      <c r="V407" s="90"/>
      <c r="W407" s="140"/>
      <c r="X407" s="90"/>
      <c r="Y407" s="140"/>
      <c r="Z407" s="90"/>
      <c r="AA407" s="140"/>
      <c r="AB407" s="62"/>
      <c r="AC407" s="140"/>
      <c r="AD407" s="62"/>
      <c r="AE407" s="140"/>
      <c r="AF407" s="189" t="str">
        <f t="shared" si="16"/>
        <v/>
      </c>
      <c r="AG407" s="304" t="b">
        <f t="shared" si="15"/>
        <v>0</v>
      </c>
      <c r="AH407" s="9"/>
      <c r="AI407" s="145">
        <f t="shared" si="14"/>
        <v>0</v>
      </c>
      <c r="AJ407" s="147" t="s">
        <v>36</v>
      </c>
    </row>
    <row r="408" spans="1:36" ht="30" customHeight="1">
      <c r="A408" s="90"/>
      <c r="B408" s="90"/>
      <c r="C408" s="90"/>
      <c r="D408" s="90"/>
      <c r="E408" s="90"/>
      <c r="F408" s="90"/>
      <c r="G408" s="90"/>
      <c r="H408" s="90"/>
      <c r="I408" s="90"/>
      <c r="J408" s="90"/>
      <c r="K408" s="90"/>
      <c r="L408" s="90"/>
      <c r="M408" s="90"/>
      <c r="N408" s="150"/>
      <c r="O408" s="152"/>
      <c r="P408" s="90"/>
      <c r="Q408" s="140"/>
      <c r="R408" s="90"/>
      <c r="S408" s="140"/>
      <c r="T408" s="90"/>
      <c r="U408" s="140"/>
      <c r="V408" s="90"/>
      <c r="W408" s="140"/>
      <c r="X408" s="90"/>
      <c r="Y408" s="140"/>
      <c r="Z408" s="90"/>
      <c r="AA408" s="140"/>
      <c r="AB408" s="62"/>
      <c r="AC408" s="140"/>
      <c r="AD408" s="62"/>
      <c r="AE408" s="140"/>
      <c r="AF408" s="189" t="str">
        <f t="shared" si="16"/>
        <v/>
      </c>
      <c r="AG408" s="304" t="b">
        <f t="shared" si="15"/>
        <v>0</v>
      </c>
      <c r="AH408" s="9"/>
      <c r="AI408" s="145">
        <f t="shared" si="14"/>
        <v>0</v>
      </c>
      <c r="AJ408" s="147" t="s">
        <v>36</v>
      </c>
    </row>
    <row r="409" spans="1:36" ht="30" customHeight="1">
      <c r="A409" s="90"/>
      <c r="B409" s="90"/>
      <c r="C409" s="90"/>
      <c r="D409" s="90"/>
      <c r="E409" s="90"/>
      <c r="F409" s="90"/>
      <c r="G409" s="90"/>
      <c r="H409" s="90"/>
      <c r="I409" s="90"/>
      <c r="J409" s="90"/>
      <c r="K409" s="90"/>
      <c r="L409" s="90"/>
      <c r="M409" s="90"/>
      <c r="N409" s="150"/>
      <c r="O409" s="152"/>
      <c r="P409" s="90"/>
      <c r="Q409" s="140"/>
      <c r="R409" s="90"/>
      <c r="S409" s="140"/>
      <c r="T409" s="90"/>
      <c r="U409" s="140"/>
      <c r="V409" s="90"/>
      <c r="W409" s="140"/>
      <c r="X409" s="90"/>
      <c r="Y409" s="140"/>
      <c r="Z409" s="90"/>
      <c r="AA409" s="140"/>
      <c r="AB409" s="62"/>
      <c r="AC409" s="140"/>
      <c r="AD409" s="62"/>
      <c r="AE409" s="140"/>
      <c r="AF409" s="189" t="str">
        <f t="shared" si="16"/>
        <v/>
      </c>
      <c r="AG409" s="304" t="b">
        <f t="shared" si="15"/>
        <v>0</v>
      </c>
      <c r="AH409" s="9"/>
      <c r="AI409" s="145">
        <f t="shared" si="14"/>
        <v>0</v>
      </c>
      <c r="AJ409" s="147" t="s">
        <v>36</v>
      </c>
    </row>
    <row r="410" spans="1:36" ht="30" customHeight="1">
      <c r="A410" s="90"/>
      <c r="B410" s="90"/>
      <c r="C410" s="90"/>
      <c r="D410" s="90"/>
      <c r="E410" s="90"/>
      <c r="F410" s="90"/>
      <c r="G410" s="90"/>
      <c r="H410" s="90"/>
      <c r="I410" s="90"/>
      <c r="J410" s="90"/>
      <c r="K410" s="90"/>
      <c r="L410" s="90"/>
      <c r="M410" s="90"/>
      <c r="N410" s="150"/>
      <c r="O410" s="152"/>
      <c r="P410" s="90"/>
      <c r="Q410" s="140"/>
      <c r="R410" s="90"/>
      <c r="S410" s="140"/>
      <c r="T410" s="90"/>
      <c r="U410" s="140"/>
      <c r="V410" s="90"/>
      <c r="W410" s="140"/>
      <c r="X410" s="90"/>
      <c r="Y410" s="140"/>
      <c r="Z410" s="90"/>
      <c r="AA410" s="140"/>
      <c r="AB410" s="62"/>
      <c r="AC410" s="140"/>
      <c r="AD410" s="62"/>
      <c r="AE410" s="140"/>
      <c r="AF410" s="189" t="str">
        <f t="shared" si="16"/>
        <v/>
      </c>
      <c r="AG410" s="304" t="b">
        <f t="shared" si="15"/>
        <v>0</v>
      </c>
      <c r="AH410" s="9"/>
      <c r="AI410" s="145">
        <f t="shared" si="14"/>
        <v>0</v>
      </c>
      <c r="AJ410" s="147" t="s">
        <v>36</v>
      </c>
    </row>
    <row r="411" spans="1:36" ht="30" customHeight="1">
      <c r="A411" s="90"/>
      <c r="B411" s="90"/>
      <c r="C411" s="90"/>
      <c r="D411" s="90"/>
      <c r="E411" s="90"/>
      <c r="F411" s="90"/>
      <c r="G411" s="90"/>
      <c r="H411" s="90"/>
      <c r="I411" s="90"/>
      <c r="J411" s="90"/>
      <c r="K411" s="90"/>
      <c r="L411" s="90"/>
      <c r="M411" s="90"/>
      <c r="N411" s="150"/>
      <c r="O411" s="152"/>
      <c r="P411" s="90"/>
      <c r="Q411" s="140"/>
      <c r="R411" s="90"/>
      <c r="S411" s="140"/>
      <c r="T411" s="90"/>
      <c r="U411" s="140"/>
      <c r="V411" s="90"/>
      <c r="W411" s="140"/>
      <c r="X411" s="90"/>
      <c r="Y411" s="140"/>
      <c r="Z411" s="90"/>
      <c r="AA411" s="140"/>
      <c r="AB411" s="62"/>
      <c r="AC411" s="140"/>
      <c r="AD411" s="62"/>
      <c r="AE411" s="140"/>
      <c r="AF411" s="189" t="str">
        <f t="shared" si="16"/>
        <v/>
      </c>
      <c r="AG411" s="304" t="b">
        <f t="shared" si="15"/>
        <v>0</v>
      </c>
      <c r="AH411" s="9"/>
      <c r="AI411" s="145">
        <f t="shared" si="14"/>
        <v>0</v>
      </c>
      <c r="AJ411" s="147" t="s">
        <v>36</v>
      </c>
    </row>
    <row r="412" spans="1:36" ht="30" customHeight="1">
      <c r="A412" s="90"/>
      <c r="B412" s="90"/>
      <c r="C412" s="90"/>
      <c r="D412" s="90"/>
      <c r="E412" s="90"/>
      <c r="F412" s="90"/>
      <c r="G412" s="90"/>
      <c r="H412" s="90"/>
      <c r="I412" s="90"/>
      <c r="J412" s="90"/>
      <c r="K412" s="90"/>
      <c r="L412" s="90"/>
      <c r="M412" s="90"/>
      <c r="N412" s="150"/>
      <c r="O412" s="152"/>
      <c r="P412" s="90"/>
      <c r="Q412" s="140"/>
      <c r="R412" s="90"/>
      <c r="S412" s="140"/>
      <c r="T412" s="90"/>
      <c r="U412" s="140"/>
      <c r="V412" s="90"/>
      <c r="W412" s="140"/>
      <c r="X412" s="90"/>
      <c r="Y412" s="140"/>
      <c r="Z412" s="90"/>
      <c r="AA412" s="140"/>
      <c r="AB412" s="62"/>
      <c r="AC412" s="140"/>
      <c r="AD412" s="62"/>
      <c r="AE412" s="140"/>
      <c r="AF412" s="189" t="str">
        <f t="shared" si="16"/>
        <v/>
      </c>
      <c r="AG412" s="304" t="b">
        <f t="shared" si="15"/>
        <v>0</v>
      </c>
      <c r="AH412" s="9"/>
      <c r="AI412" s="145">
        <f t="shared" si="14"/>
        <v>0</v>
      </c>
      <c r="AJ412" s="147" t="s">
        <v>36</v>
      </c>
    </row>
    <row r="413" spans="1:36" ht="30" customHeight="1">
      <c r="A413" s="90"/>
      <c r="B413" s="90"/>
      <c r="C413" s="90"/>
      <c r="D413" s="90"/>
      <c r="E413" s="90"/>
      <c r="F413" s="90"/>
      <c r="G413" s="90"/>
      <c r="H413" s="90"/>
      <c r="I413" s="90"/>
      <c r="J413" s="90"/>
      <c r="K413" s="90"/>
      <c r="L413" s="90"/>
      <c r="M413" s="90"/>
      <c r="N413" s="150"/>
      <c r="O413" s="152"/>
      <c r="P413" s="90"/>
      <c r="Q413" s="140"/>
      <c r="R413" s="90"/>
      <c r="S413" s="140"/>
      <c r="T413" s="90"/>
      <c r="U413" s="140"/>
      <c r="V413" s="90"/>
      <c r="W413" s="140"/>
      <c r="X413" s="90"/>
      <c r="Y413" s="140"/>
      <c r="Z413" s="90"/>
      <c r="AA413" s="140"/>
      <c r="AB413" s="62"/>
      <c r="AC413" s="140"/>
      <c r="AD413" s="62"/>
      <c r="AE413" s="140"/>
      <c r="AF413" s="189" t="str">
        <f t="shared" si="16"/>
        <v/>
      </c>
      <c r="AG413" s="304" t="b">
        <f t="shared" si="15"/>
        <v>0</v>
      </c>
      <c r="AH413" s="9"/>
      <c r="AI413" s="145">
        <f t="shared" si="14"/>
        <v>0</v>
      </c>
      <c r="AJ413" s="147" t="s">
        <v>36</v>
      </c>
    </row>
    <row r="414" spans="1:36" ht="30" customHeight="1">
      <c r="A414" s="90"/>
      <c r="B414" s="90"/>
      <c r="C414" s="90"/>
      <c r="D414" s="90"/>
      <c r="E414" s="90"/>
      <c r="F414" s="90"/>
      <c r="G414" s="90"/>
      <c r="H414" s="90"/>
      <c r="I414" s="90"/>
      <c r="J414" s="90"/>
      <c r="K414" s="90"/>
      <c r="L414" s="90"/>
      <c r="M414" s="90"/>
      <c r="N414" s="150"/>
      <c r="O414" s="152"/>
      <c r="P414" s="90"/>
      <c r="Q414" s="140"/>
      <c r="R414" s="90"/>
      <c r="S414" s="140"/>
      <c r="T414" s="90"/>
      <c r="U414" s="140"/>
      <c r="V414" s="90"/>
      <c r="W414" s="140"/>
      <c r="X414" s="90"/>
      <c r="Y414" s="140"/>
      <c r="Z414" s="90"/>
      <c r="AA414" s="140"/>
      <c r="AB414" s="62"/>
      <c r="AC414" s="140"/>
      <c r="AD414" s="62"/>
      <c r="AE414" s="140"/>
      <c r="AF414" s="189" t="str">
        <f t="shared" si="16"/>
        <v/>
      </c>
      <c r="AG414" s="304" t="b">
        <f t="shared" si="15"/>
        <v>0</v>
      </c>
      <c r="AH414" s="9"/>
      <c r="AI414" s="145">
        <f t="shared" si="14"/>
        <v>0</v>
      </c>
      <c r="AJ414" s="147" t="s">
        <v>36</v>
      </c>
    </row>
    <row r="415" spans="1:36" ht="30" customHeight="1">
      <c r="A415" s="90"/>
      <c r="B415" s="90"/>
      <c r="C415" s="90"/>
      <c r="D415" s="90"/>
      <c r="E415" s="90"/>
      <c r="F415" s="90"/>
      <c r="G415" s="90"/>
      <c r="H415" s="90"/>
      <c r="I415" s="90"/>
      <c r="J415" s="90"/>
      <c r="K415" s="90"/>
      <c r="L415" s="90"/>
      <c r="M415" s="90"/>
      <c r="N415" s="150"/>
      <c r="O415" s="152"/>
      <c r="P415" s="90"/>
      <c r="Q415" s="140"/>
      <c r="R415" s="90"/>
      <c r="S415" s="140"/>
      <c r="T415" s="90"/>
      <c r="U415" s="140"/>
      <c r="V415" s="90"/>
      <c r="W415" s="140"/>
      <c r="X415" s="90"/>
      <c r="Y415" s="140"/>
      <c r="Z415" s="90"/>
      <c r="AA415" s="140"/>
      <c r="AB415" s="62"/>
      <c r="AC415" s="140"/>
      <c r="AD415" s="62"/>
      <c r="AE415" s="140"/>
      <c r="AF415" s="189" t="str">
        <f t="shared" si="16"/>
        <v/>
      </c>
      <c r="AG415" s="304" t="b">
        <f t="shared" si="15"/>
        <v>0</v>
      </c>
      <c r="AH415" s="9"/>
      <c r="AI415" s="145">
        <f t="shared" si="14"/>
        <v>0</v>
      </c>
      <c r="AJ415" s="147" t="s">
        <v>36</v>
      </c>
    </row>
    <row r="416" spans="1:36" ht="30" customHeight="1">
      <c r="A416" s="90"/>
      <c r="B416" s="90"/>
      <c r="C416" s="90"/>
      <c r="D416" s="90"/>
      <c r="E416" s="90"/>
      <c r="F416" s="90"/>
      <c r="G416" s="90"/>
      <c r="H416" s="90"/>
      <c r="I416" s="90"/>
      <c r="J416" s="90"/>
      <c r="K416" s="90"/>
      <c r="L416" s="90"/>
      <c r="M416" s="90"/>
      <c r="N416" s="150"/>
      <c r="O416" s="152"/>
      <c r="P416" s="90"/>
      <c r="Q416" s="140"/>
      <c r="R416" s="90"/>
      <c r="S416" s="140"/>
      <c r="T416" s="90"/>
      <c r="U416" s="140"/>
      <c r="V416" s="90"/>
      <c r="W416" s="140"/>
      <c r="X416" s="90"/>
      <c r="Y416" s="140"/>
      <c r="Z416" s="90"/>
      <c r="AA416" s="140"/>
      <c r="AB416" s="62"/>
      <c r="AC416" s="140"/>
      <c r="AD416" s="62"/>
      <c r="AE416" s="140"/>
      <c r="AF416" s="189" t="str">
        <f t="shared" si="16"/>
        <v/>
      </c>
      <c r="AG416" s="304" t="b">
        <f t="shared" si="15"/>
        <v>0</v>
      </c>
      <c r="AH416" s="9"/>
      <c r="AI416" s="145">
        <f t="shared" si="14"/>
        <v>0</v>
      </c>
      <c r="AJ416" s="147" t="s">
        <v>36</v>
      </c>
    </row>
    <row r="417" spans="1:36" ht="30" customHeight="1">
      <c r="A417" s="90"/>
      <c r="B417" s="90"/>
      <c r="C417" s="90"/>
      <c r="D417" s="90"/>
      <c r="E417" s="90"/>
      <c r="F417" s="90"/>
      <c r="G417" s="90"/>
      <c r="H417" s="90"/>
      <c r="I417" s="90"/>
      <c r="J417" s="90"/>
      <c r="K417" s="90"/>
      <c r="L417" s="90"/>
      <c r="M417" s="90"/>
      <c r="N417" s="150"/>
      <c r="O417" s="152"/>
      <c r="P417" s="90"/>
      <c r="Q417" s="140"/>
      <c r="R417" s="90"/>
      <c r="S417" s="140"/>
      <c r="T417" s="90"/>
      <c r="U417" s="140"/>
      <c r="V417" s="90"/>
      <c r="W417" s="140"/>
      <c r="X417" s="90"/>
      <c r="Y417" s="140"/>
      <c r="Z417" s="90"/>
      <c r="AA417" s="140"/>
      <c r="AB417" s="62"/>
      <c r="AC417" s="140"/>
      <c r="AD417" s="62"/>
      <c r="AE417" s="140"/>
      <c r="AF417" s="189" t="str">
        <f t="shared" si="16"/>
        <v/>
      </c>
      <c r="AG417" s="304" t="b">
        <f t="shared" si="15"/>
        <v>0</v>
      </c>
      <c r="AH417" s="9"/>
      <c r="AI417" s="145">
        <f t="shared" si="14"/>
        <v>0</v>
      </c>
      <c r="AJ417" s="147" t="s">
        <v>36</v>
      </c>
    </row>
    <row r="418" spans="1:36" ht="30" customHeight="1">
      <c r="A418" s="90"/>
      <c r="B418" s="90"/>
      <c r="C418" s="90"/>
      <c r="D418" s="90"/>
      <c r="E418" s="90"/>
      <c r="F418" s="90"/>
      <c r="G418" s="90"/>
      <c r="H418" s="90"/>
      <c r="I418" s="90"/>
      <c r="J418" s="90"/>
      <c r="K418" s="90"/>
      <c r="L418" s="90"/>
      <c r="M418" s="90"/>
      <c r="N418" s="150"/>
      <c r="O418" s="152"/>
      <c r="P418" s="90"/>
      <c r="Q418" s="140"/>
      <c r="R418" s="90"/>
      <c r="S418" s="140"/>
      <c r="T418" s="90"/>
      <c r="U418" s="140"/>
      <c r="V418" s="90"/>
      <c r="W418" s="140"/>
      <c r="X418" s="90"/>
      <c r="Y418" s="140"/>
      <c r="Z418" s="90"/>
      <c r="AA418" s="140"/>
      <c r="AB418" s="62"/>
      <c r="AC418" s="140"/>
      <c r="AD418" s="62"/>
      <c r="AE418" s="140"/>
      <c r="AF418" s="189" t="str">
        <f t="shared" si="16"/>
        <v/>
      </c>
      <c r="AG418" s="304" t="b">
        <f t="shared" si="15"/>
        <v>0</v>
      </c>
      <c r="AH418" s="9"/>
      <c r="AI418" s="145">
        <f t="shared" si="14"/>
        <v>0</v>
      </c>
      <c r="AJ418" s="147" t="s">
        <v>36</v>
      </c>
    </row>
    <row r="419" spans="1:36" ht="30" customHeight="1">
      <c r="A419" s="90"/>
      <c r="B419" s="90"/>
      <c r="C419" s="90"/>
      <c r="D419" s="90"/>
      <c r="E419" s="90"/>
      <c r="F419" s="90"/>
      <c r="G419" s="90"/>
      <c r="H419" s="90"/>
      <c r="I419" s="90"/>
      <c r="J419" s="90"/>
      <c r="K419" s="90"/>
      <c r="L419" s="90"/>
      <c r="M419" s="90"/>
      <c r="N419" s="150"/>
      <c r="O419" s="152"/>
      <c r="P419" s="90"/>
      <c r="Q419" s="140"/>
      <c r="R419" s="90"/>
      <c r="S419" s="140"/>
      <c r="T419" s="90"/>
      <c r="U419" s="140"/>
      <c r="V419" s="90"/>
      <c r="W419" s="140"/>
      <c r="X419" s="90"/>
      <c r="Y419" s="140"/>
      <c r="Z419" s="90"/>
      <c r="AA419" s="140"/>
      <c r="AB419" s="62"/>
      <c r="AC419" s="140"/>
      <c r="AD419" s="62"/>
      <c r="AE419" s="140"/>
      <c r="AF419" s="189" t="str">
        <f t="shared" si="16"/>
        <v/>
      </c>
      <c r="AG419" s="304" t="b">
        <f t="shared" si="15"/>
        <v>0</v>
      </c>
      <c r="AH419" s="9"/>
      <c r="AI419" s="145">
        <f t="shared" si="14"/>
        <v>0</v>
      </c>
      <c r="AJ419" s="147" t="s">
        <v>36</v>
      </c>
    </row>
    <row r="420" spans="1:36" ht="30" customHeight="1">
      <c r="A420" s="90"/>
      <c r="B420" s="90"/>
      <c r="C420" s="90"/>
      <c r="D420" s="90"/>
      <c r="E420" s="90"/>
      <c r="F420" s="90"/>
      <c r="G420" s="90"/>
      <c r="H420" s="90"/>
      <c r="I420" s="90"/>
      <c r="J420" s="90"/>
      <c r="K420" s="90"/>
      <c r="L420" s="90"/>
      <c r="M420" s="90"/>
      <c r="N420" s="150"/>
      <c r="O420" s="152"/>
      <c r="P420" s="90"/>
      <c r="Q420" s="140"/>
      <c r="R420" s="90"/>
      <c r="S420" s="140"/>
      <c r="T420" s="90"/>
      <c r="U420" s="140"/>
      <c r="V420" s="90"/>
      <c r="W420" s="140"/>
      <c r="X420" s="90"/>
      <c r="Y420" s="140"/>
      <c r="Z420" s="90"/>
      <c r="AA420" s="140"/>
      <c r="AB420" s="62"/>
      <c r="AC420" s="140"/>
      <c r="AD420" s="62"/>
      <c r="AE420" s="140"/>
      <c r="AF420" s="189" t="str">
        <f t="shared" si="16"/>
        <v/>
      </c>
      <c r="AG420" s="304" t="b">
        <f t="shared" si="15"/>
        <v>0</v>
      </c>
      <c r="AH420" s="9"/>
      <c r="AI420" s="145">
        <f t="shared" si="14"/>
        <v>0</v>
      </c>
      <c r="AJ420" s="147" t="s">
        <v>36</v>
      </c>
    </row>
    <row r="421" spans="1:36" ht="30" customHeight="1">
      <c r="A421" s="90"/>
      <c r="B421" s="90"/>
      <c r="C421" s="90"/>
      <c r="D421" s="90"/>
      <c r="E421" s="90"/>
      <c r="F421" s="90"/>
      <c r="G421" s="90"/>
      <c r="H421" s="90"/>
      <c r="I421" s="90"/>
      <c r="J421" s="90"/>
      <c r="K421" s="90"/>
      <c r="L421" s="90"/>
      <c r="M421" s="90"/>
      <c r="N421" s="150"/>
      <c r="O421" s="152"/>
      <c r="P421" s="90"/>
      <c r="Q421" s="140"/>
      <c r="R421" s="90"/>
      <c r="S421" s="140"/>
      <c r="T421" s="90"/>
      <c r="U421" s="140"/>
      <c r="V421" s="90"/>
      <c r="W421" s="140"/>
      <c r="X421" s="90"/>
      <c r="Y421" s="140"/>
      <c r="Z421" s="90"/>
      <c r="AA421" s="140"/>
      <c r="AB421" s="62"/>
      <c r="AC421" s="140"/>
      <c r="AD421" s="62"/>
      <c r="AE421" s="140"/>
      <c r="AF421" s="189" t="str">
        <f t="shared" si="16"/>
        <v/>
      </c>
      <c r="AG421" s="304" t="b">
        <f t="shared" si="15"/>
        <v>0</v>
      </c>
      <c r="AH421" s="9"/>
      <c r="AI421" s="145">
        <f t="shared" si="14"/>
        <v>0</v>
      </c>
      <c r="AJ421" s="147" t="s">
        <v>36</v>
      </c>
    </row>
    <row r="422" spans="1:36" ht="30" customHeight="1">
      <c r="A422" s="90"/>
      <c r="B422" s="90"/>
      <c r="C422" s="90"/>
      <c r="D422" s="90"/>
      <c r="E422" s="90"/>
      <c r="F422" s="90"/>
      <c r="G422" s="90"/>
      <c r="H422" s="90"/>
      <c r="I422" s="90"/>
      <c r="J422" s="90"/>
      <c r="K422" s="90"/>
      <c r="L422" s="90"/>
      <c r="M422" s="90"/>
      <c r="N422" s="150"/>
      <c r="O422" s="152"/>
      <c r="P422" s="90"/>
      <c r="Q422" s="140"/>
      <c r="R422" s="90"/>
      <c r="S422" s="140"/>
      <c r="T422" s="90"/>
      <c r="U422" s="140"/>
      <c r="V422" s="90"/>
      <c r="W422" s="140"/>
      <c r="X422" s="90"/>
      <c r="Y422" s="140"/>
      <c r="Z422" s="90"/>
      <c r="AA422" s="140"/>
      <c r="AB422" s="62"/>
      <c r="AC422" s="140"/>
      <c r="AD422" s="62"/>
      <c r="AE422" s="140"/>
      <c r="AF422" s="189" t="str">
        <f t="shared" si="16"/>
        <v/>
      </c>
      <c r="AG422" s="304" t="b">
        <f t="shared" si="15"/>
        <v>0</v>
      </c>
      <c r="AH422" s="9"/>
      <c r="AI422" s="145">
        <f t="shared" si="14"/>
        <v>0</v>
      </c>
      <c r="AJ422" s="147" t="s">
        <v>36</v>
      </c>
    </row>
    <row r="423" spans="1:36" ht="30" customHeight="1">
      <c r="A423" s="90"/>
      <c r="B423" s="90"/>
      <c r="C423" s="90"/>
      <c r="D423" s="90"/>
      <c r="E423" s="90"/>
      <c r="F423" s="90"/>
      <c r="G423" s="90"/>
      <c r="H423" s="90"/>
      <c r="I423" s="90"/>
      <c r="J423" s="90"/>
      <c r="K423" s="90"/>
      <c r="L423" s="90"/>
      <c r="M423" s="90"/>
      <c r="N423" s="150"/>
      <c r="O423" s="152"/>
      <c r="P423" s="90"/>
      <c r="Q423" s="140"/>
      <c r="R423" s="90"/>
      <c r="S423" s="140"/>
      <c r="T423" s="90"/>
      <c r="U423" s="140"/>
      <c r="V423" s="90"/>
      <c r="W423" s="140"/>
      <c r="X423" s="90"/>
      <c r="Y423" s="140"/>
      <c r="Z423" s="90"/>
      <c r="AA423" s="140"/>
      <c r="AB423" s="62"/>
      <c r="AC423" s="140"/>
      <c r="AD423" s="62"/>
      <c r="AE423" s="140"/>
      <c r="AF423" s="189" t="str">
        <f t="shared" si="16"/>
        <v/>
      </c>
      <c r="AG423" s="304" t="b">
        <f t="shared" si="15"/>
        <v>0</v>
      </c>
      <c r="AH423" s="9"/>
      <c r="AI423" s="145">
        <f t="shared" si="14"/>
        <v>0</v>
      </c>
      <c r="AJ423" s="147" t="s">
        <v>36</v>
      </c>
    </row>
    <row r="424" spans="1:36" ht="30" customHeight="1">
      <c r="A424" s="90"/>
      <c r="B424" s="90"/>
      <c r="C424" s="90"/>
      <c r="D424" s="90"/>
      <c r="E424" s="90"/>
      <c r="F424" s="90"/>
      <c r="G424" s="90"/>
      <c r="H424" s="90"/>
      <c r="I424" s="90"/>
      <c r="J424" s="90"/>
      <c r="K424" s="90"/>
      <c r="L424" s="90"/>
      <c r="M424" s="90"/>
      <c r="N424" s="150"/>
      <c r="O424" s="152"/>
      <c r="P424" s="90"/>
      <c r="Q424" s="140"/>
      <c r="R424" s="90"/>
      <c r="S424" s="140"/>
      <c r="T424" s="90"/>
      <c r="U424" s="140"/>
      <c r="V424" s="90"/>
      <c r="W424" s="140"/>
      <c r="X424" s="90"/>
      <c r="Y424" s="140"/>
      <c r="Z424" s="90"/>
      <c r="AA424" s="140"/>
      <c r="AB424" s="62"/>
      <c r="AC424" s="140"/>
      <c r="AD424" s="62"/>
      <c r="AE424" s="140"/>
      <c r="AF424" s="189" t="str">
        <f t="shared" si="16"/>
        <v/>
      </c>
      <c r="AG424" s="304" t="b">
        <f t="shared" si="15"/>
        <v>0</v>
      </c>
      <c r="AH424" s="9"/>
      <c r="AI424" s="145">
        <f t="shared" si="14"/>
        <v>0</v>
      </c>
      <c r="AJ424" s="147" t="s">
        <v>36</v>
      </c>
    </row>
    <row r="425" spans="1:36" ht="30" customHeight="1">
      <c r="A425" s="90"/>
      <c r="B425" s="90"/>
      <c r="C425" s="90"/>
      <c r="D425" s="90"/>
      <c r="E425" s="90"/>
      <c r="F425" s="90"/>
      <c r="G425" s="90"/>
      <c r="H425" s="90"/>
      <c r="I425" s="90"/>
      <c r="J425" s="90"/>
      <c r="K425" s="90"/>
      <c r="L425" s="90"/>
      <c r="M425" s="90"/>
      <c r="N425" s="150"/>
      <c r="O425" s="152"/>
      <c r="P425" s="90"/>
      <c r="Q425" s="140"/>
      <c r="R425" s="90"/>
      <c r="S425" s="140"/>
      <c r="T425" s="90"/>
      <c r="U425" s="140"/>
      <c r="V425" s="90"/>
      <c r="W425" s="140"/>
      <c r="X425" s="90"/>
      <c r="Y425" s="140"/>
      <c r="Z425" s="90"/>
      <c r="AA425" s="140"/>
      <c r="AB425" s="62"/>
      <c r="AC425" s="140"/>
      <c r="AD425" s="62"/>
      <c r="AE425" s="140"/>
      <c r="AF425" s="189" t="str">
        <f t="shared" si="16"/>
        <v/>
      </c>
      <c r="AG425" s="304" t="b">
        <f t="shared" si="15"/>
        <v>0</v>
      </c>
      <c r="AH425" s="9"/>
      <c r="AI425" s="145">
        <f t="shared" si="14"/>
        <v>0</v>
      </c>
      <c r="AJ425" s="147" t="s">
        <v>36</v>
      </c>
    </row>
    <row r="426" spans="1:36" ht="30" customHeight="1">
      <c r="A426" s="90"/>
      <c r="B426" s="90"/>
      <c r="C426" s="90"/>
      <c r="D426" s="90"/>
      <c r="E426" s="90"/>
      <c r="F426" s="90"/>
      <c r="G426" s="90"/>
      <c r="H426" s="90"/>
      <c r="I426" s="90"/>
      <c r="J426" s="90"/>
      <c r="K426" s="90"/>
      <c r="L426" s="90"/>
      <c r="M426" s="90"/>
      <c r="N426" s="150"/>
      <c r="O426" s="152"/>
      <c r="P426" s="90"/>
      <c r="Q426" s="140"/>
      <c r="R426" s="90"/>
      <c r="S426" s="140"/>
      <c r="T426" s="90"/>
      <c r="U426" s="140"/>
      <c r="V426" s="90"/>
      <c r="W426" s="140"/>
      <c r="X426" s="90"/>
      <c r="Y426" s="140"/>
      <c r="Z426" s="90"/>
      <c r="AA426" s="140"/>
      <c r="AB426" s="62"/>
      <c r="AC426" s="140"/>
      <c r="AD426" s="62"/>
      <c r="AE426" s="140"/>
      <c r="AF426" s="189" t="str">
        <f t="shared" si="16"/>
        <v/>
      </c>
      <c r="AG426" s="304" t="b">
        <f t="shared" si="15"/>
        <v>0</v>
      </c>
      <c r="AH426" s="9"/>
      <c r="AI426" s="145">
        <f t="shared" si="14"/>
        <v>0</v>
      </c>
      <c r="AJ426" s="147" t="s">
        <v>36</v>
      </c>
    </row>
    <row r="427" spans="1:36" ht="30" customHeight="1">
      <c r="A427" s="90"/>
      <c r="B427" s="90"/>
      <c r="C427" s="90"/>
      <c r="D427" s="90"/>
      <c r="E427" s="90"/>
      <c r="F427" s="90"/>
      <c r="G427" s="90"/>
      <c r="H427" s="90"/>
      <c r="I427" s="90"/>
      <c r="J427" s="90"/>
      <c r="K427" s="90"/>
      <c r="L427" s="90"/>
      <c r="M427" s="90"/>
      <c r="N427" s="150"/>
      <c r="O427" s="152"/>
      <c r="P427" s="90"/>
      <c r="Q427" s="140"/>
      <c r="R427" s="90"/>
      <c r="S427" s="140"/>
      <c r="T427" s="90"/>
      <c r="U427" s="140"/>
      <c r="V427" s="90"/>
      <c r="W427" s="140"/>
      <c r="X427" s="90"/>
      <c r="Y427" s="140"/>
      <c r="Z427" s="90"/>
      <c r="AA427" s="140"/>
      <c r="AB427" s="62"/>
      <c r="AC427" s="140"/>
      <c r="AD427" s="62"/>
      <c r="AE427" s="140"/>
      <c r="AF427" s="189" t="str">
        <f t="shared" si="16"/>
        <v/>
      </c>
      <c r="AG427" s="304" t="b">
        <f t="shared" si="15"/>
        <v>0</v>
      </c>
      <c r="AH427" s="9"/>
      <c r="AI427" s="145">
        <f t="shared" si="14"/>
        <v>0</v>
      </c>
      <c r="AJ427" s="147" t="s">
        <v>36</v>
      </c>
    </row>
    <row r="428" spans="1:36" ht="30" customHeight="1">
      <c r="A428" s="90"/>
      <c r="B428" s="90"/>
      <c r="C428" s="90"/>
      <c r="D428" s="90"/>
      <c r="E428" s="90"/>
      <c r="F428" s="90"/>
      <c r="G428" s="90"/>
      <c r="H428" s="90"/>
      <c r="I428" s="90"/>
      <c r="J428" s="90"/>
      <c r="K428" s="90"/>
      <c r="L428" s="90"/>
      <c r="M428" s="90"/>
      <c r="N428" s="150"/>
      <c r="O428" s="152"/>
      <c r="P428" s="90"/>
      <c r="Q428" s="140"/>
      <c r="R428" s="90"/>
      <c r="S428" s="140"/>
      <c r="T428" s="90"/>
      <c r="U428" s="140"/>
      <c r="V428" s="90"/>
      <c r="W428" s="140"/>
      <c r="X428" s="90"/>
      <c r="Y428" s="140"/>
      <c r="Z428" s="90"/>
      <c r="AA428" s="140"/>
      <c r="AB428" s="62"/>
      <c r="AC428" s="140"/>
      <c r="AD428" s="62"/>
      <c r="AE428" s="140"/>
      <c r="AF428" s="189" t="str">
        <f t="shared" si="16"/>
        <v/>
      </c>
      <c r="AG428" s="304" t="b">
        <f t="shared" si="15"/>
        <v>0</v>
      </c>
      <c r="AH428" s="9"/>
      <c r="AI428" s="145">
        <f t="shared" si="14"/>
        <v>0</v>
      </c>
      <c r="AJ428" s="147" t="s">
        <v>36</v>
      </c>
    </row>
    <row r="429" spans="1:36" ht="30" customHeight="1">
      <c r="A429" s="90"/>
      <c r="B429" s="90"/>
      <c r="C429" s="90"/>
      <c r="D429" s="90"/>
      <c r="E429" s="90"/>
      <c r="F429" s="90"/>
      <c r="G429" s="90"/>
      <c r="H429" s="90"/>
      <c r="I429" s="90"/>
      <c r="J429" s="90"/>
      <c r="K429" s="90"/>
      <c r="L429" s="90"/>
      <c r="M429" s="90"/>
      <c r="N429" s="150"/>
      <c r="O429" s="152"/>
      <c r="P429" s="90"/>
      <c r="Q429" s="140"/>
      <c r="R429" s="90"/>
      <c r="S429" s="140"/>
      <c r="T429" s="90"/>
      <c r="U429" s="140"/>
      <c r="V429" s="90"/>
      <c r="W429" s="140"/>
      <c r="X429" s="90"/>
      <c r="Y429" s="140"/>
      <c r="Z429" s="90"/>
      <c r="AA429" s="140"/>
      <c r="AB429" s="62"/>
      <c r="AC429" s="140"/>
      <c r="AD429" s="62"/>
      <c r="AE429" s="140"/>
      <c r="AF429" s="189" t="str">
        <f t="shared" si="16"/>
        <v/>
      </c>
      <c r="AG429" s="304" t="b">
        <f t="shared" si="15"/>
        <v>0</v>
      </c>
      <c r="AH429" s="9"/>
      <c r="AI429" s="145">
        <f t="shared" si="14"/>
        <v>0</v>
      </c>
      <c r="AJ429" s="147" t="s">
        <v>36</v>
      </c>
    </row>
    <row r="430" spans="1:36" ht="30" customHeight="1">
      <c r="A430" s="90"/>
      <c r="B430" s="90"/>
      <c r="C430" s="90"/>
      <c r="D430" s="90"/>
      <c r="E430" s="90"/>
      <c r="F430" s="90"/>
      <c r="G430" s="90"/>
      <c r="H430" s="90"/>
      <c r="I430" s="90"/>
      <c r="J430" s="90"/>
      <c r="K430" s="90"/>
      <c r="L430" s="90"/>
      <c r="M430" s="90"/>
      <c r="N430" s="150"/>
      <c r="O430" s="152"/>
      <c r="P430" s="90"/>
      <c r="Q430" s="140"/>
      <c r="R430" s="90"/>
      <c r="S430" s="140"/>
      <c r="T430" s="90"/>
      <c r="U430" s="140"/>
      <c r="V430" s="90"/>
      <c r="W430" s="140"/>
      <c r="X430" s="90"/>
      <c r="Y430" s="140"/>
      <c r="Z430" s="90"/>
      <c r="AA430" s="140"/>
      <c r="AB430" s="62"/>
      <c r="AC430" s="140"/>
      <c r="AD430" s="62"/>
      <c r="AE430" s="140"/>
      <c r="AF430" s="189" t="str">
        <f t="shared" si="16"/>
        <v/>
      </c>
      <c r="AG430" s="304" t="b">
        <f t="shared" si="15"/>
        <v>0</v>
      </c>
      <c r="AH430" s="9"/>
      <c r="AI430" s="145">
        <f t="shared" si="14"/>
        <v>0</v>
      </c>
      <c r="AJ430" s="147" t="s">
        <v>36</v>
      </c>
    </row>
    <row r="431" spans="1:36" ht="30" customHeight="1">
      <c r="A431" s="90"/>
      <c r="B431" s="90"/>
      <c r="C431" s="90"/>
      <c r="D431" s="90"/>
      <c r="E431" s="90"/>
      <c r="F431" s="90"/>
      <c r="G431" s="90"/>
      <c r="H431" s="90"/>
      <c r="I431" s="90"/>
      <c r="J431" s="90"/>
      <c r="K431" s="90"/>
      <c r="L431" s="90"/>
      <c r="M431" s="90"/>
      <c r="N431" s="150"/>
      <c r="O431" s="152"/>
      <c r="P431" s="90"/>
      <c r="Q431" s="140"/>
      <c r="R431" s="90"/>
      <c r="S431" s="140"/>
      <c r="T431" s="90"/>
      <c r="U431" s="140"/>
      <c r="V431" s="90"/>
      <c r="W431" s="140"/>
      <c r="X431" s="90"/>
      <c r="Y431" s="140"/>
      <c r="Z431" s="90"/>
      <c r="AA431" s="140"/>
      <c r="AB431" s="62"/>
      <c r="AC431" s="140"/>
      <c r="AD431" s="62"/>
      <c r="AE431" s="140"/>
      <c r="AF431" s="189" t="str">
        <f t="shared" si="16"/>
        <v/>
      </c>
      <c r="AG431" s="304" t="b">
        <f t="shared" si="15"/>
        <v>0</v>
      </c>
      <c r="AH431" s="9"/>
      <c r="AI431" s="145">
        <f t="shared" si="14"/>
        <v>0</v>
      </c>
      <c r="AJ431" s="147" t="s">
        <v>36</v>
      </c>
    </row>
    <row r="432" spans="1:36" ht="30" customHeight="1">
      <c r="A432" s="90"/>
      <c r="B432" s="90"/>
      <c r="C432" s="90"/>
      <c r="D432" s="90"/>
      <c r="E432" s="90"/>
      <c r="F432" s="90"/>
      <c r="G432" s="90"/>
      <c r="H432" s="90"/>
      <c r="I432" s="90"/>
      <c r="J432" s="90"/>
      <c r="K432" s="90"/>
      <c r="L432" s="90"/>
      <c r="M432" s="90"/>
      <c r="N432" s="150"/>
      <c r="O432" s="152"/>
      <c r="P432" s="90"/>
      <c r="Q432" s="140"/>
      <c r="R432" s="90"/>
      <c r="S432" s="140"/>
      <c r="T432" s="90"/>
      <c r="U432" s="140"/>
      <c r="V432" s="90"/>
      <c r="W432" s="140"/>
      <c r="X432" s="90"/>
      <c r="Y432" s="140"/>
      <c r="Z432" s="90"/>
      <c r="AA432" s="140"/>
      <c r="AB432" s="62"/>
      <c r="AC432" s="140"/>
      <c r="AD432" s="62"/>
      <c r="AE432" s="140"/>
      <c r="AF432" s="189" t="str">
        <f t="shared" si="16"/>
        <v/>
      </c>
      <c r="AG432" s="304" t="b">
        <f t="shared" si="15"/>
        <v>0</v>
      </c>
      <c r="AH432" s="9"/>
      <c r="AI432" s="145">
        <f t="shared" si="14"/>
        <v>0</v>
      </c>
      <c r="AJ432" s="147" t="s">
        <v>36</v>
      </c>
    </row>
    <row r="433" spans="1:36" ht="30" customHeight="1">
      <c r="A433" s="90"/>
      <c r="B433" s="90"/>
      <c r="C433" s="90"/>
      <c r="D433" s="90"/>
      <c r="E433" s="90"/>
      <c r="F433" s="90"/>
      <c r="G433" s="90"/>
      <c r="H433" s="90"/>
      <c r="I433" s="90"/>
      <c r="J433" s="90"/>
      <c r="K433" s="90"/>
      <c r="L433" s="90"/>
      <c r="M433" s="90"/>
      <c r="N433" s="150"/>
      <c r="O433" s="152"/>
      <c r="P433" s="90"/>
      <c r="Q433" s="140"/>
      <c r="R433" s="90"/>
      <c r="S433" s="140"/>
      <c r="T433" s="90"/>
      <c r="U433" s="140"/>
      <c r="V433" s="90"/>
      <c r="W433" s="140"/>
      <c r="X433" s="90"/>
      <c r="Y433" s="140"/>
      <c r="Z433" s="90"/>
      <c r="AA433" s="140"/>
      <c r="AB433" s="62"/>
      <c r="AC433" s="140"/>
      <c r="AD433" s="62"/>
      <c r="AE433" s="140"/>
      <c r="AF433" s="189" t="str">
        <f t="shared" si="16"/>
        <v/>
      </c>
      <c r="AG433" s="304" t="b">
        <f t="shared" si="15"/>
        <v>0</v>
      </c>
      <c r="AH433" s="9"/>
      <c r="AI433" s="145">
        <f t="shared" si="14"/>
        <v>0</v>
      </c>
      <c r="AJ433" s="147" t="s">
        <v>36</v>
      </c>
    </row>
    <row r="434" spans="1:36" ht="30" customHeight="1">
      <c r="A434" s="90"/>
      <c r="B434" s="90"/>
      <c r="C434" s="90"/>
      <c r="D434" s="90"/>
      <c r="E434" s="90"/>
      <c r="F434" s="90"/>
      <c r="G434" s="90"/>
      <c r="H434" s="90"/>
      <c r="I434" s="90"/>
      <c r="J434" s="90"/>
      <c r="K434" s="90"/>
      <c r="L434" s="90"/>
      <c r="M434" s="90"/>
      <c r="N434" s="150"/>
      <c r="O434" s="152"/>
      <c r="P434" s="90"/>
      <c r="Q434" s="140"/>
      <c r="R434" s="90"/>
      <c r="S434" s="140"/>
      <c r="T434" s="90"/>
      <c r="U434" s="140"/>
      <c r="V434" s="90"/>
      <c r="W434" s="140"/>
      <c r="X434" s="90"/>
      <c r="Y434" s="140"/>
      <c r="Z434" s="90"/>
      <c r="AA434" s="140"/>
      <c r="AB434" s="62"/>
      <c r="AC434" s="140"/>
      <c r="AD434" s="62"/>
      <c r="AE434" s="140"/>
      <c r="AF434" s="189" t="str">
        <f t="shared" si="16"/>
        <v/>
      </c>
      <c r="AG434" s="304" t="b">
        <f t="shared" si="15"/>
        <v>0</v>
      </c>
      <c r="AH434" s="9"/>
      <c r="AI434" s="145">
        <f t="shared" si="14"/>
        <v>0</v>
      </c>
      <c r="AJ434" s="147" t="s">
        <v>36</v>
      </c>
    </row>
    <row r="435" spans="1:36" ht="30" customHeight="1">
      <c r="A435" s="90"/>
      <c r="B435" s="90"/>
      <c r="C435" s="90"/>
      <c r="D435" s="90"/>
      <c r="E435" s="90"/>
      <c r="F435" s="90"/>
      <c r="G435" s="90"/>
      <c r="H435" s="90"/>
      <c r="I435" s="90"/>
      <c r="J435" s="90"/>
      <c r="K435" s="90"/>
      <c r="L435" s="90"/>
      <c r="M435" s="90"/>
      <c r="N435" s="150"/>
      <c r="O435" s="152"/>
      <c r="P435" s="90"/>
      <c r="Q435" s="140"/>
      <c r="R435" s="90"/>
      <c r="S435" s="140"/>
      <c r="T435" s="90"/>
      <c r="U435" s="140"/>
      <c r="V435" s="90"/>
      <c r="W435" s="140"/>
      <c r="X435" s="90"/>
      <c r="Y435" s="140"/>
      <c r="Z435" s="90"/>
      <c r="AA435" s="140"/>
      <c r="AB435" s="62"/>
      <c r="AC435" s="140"/>
      <c r="AD435" s="62"/>
      <c r="AE435" s="140"/>
      <c r="AF435" s="189" t="str">
        <f t="shared" si="16"/>
        <v/>
      </c>
      <c r="AG435" s="304" t="b">
        <f t="shared" si="15"/>
        <v>0</v>
      </c>
      <c r="AH435" s="9"/>
      <c r="AI435" s="145">
        <f t="shared" si="14"/>
        <v>0</v>
      </c>
      <c r="AJ435" s="147" t="s">
        <v>36</v>
      </c>
    </row>
    <row r="436" spans="1:36" ht="30" customHeight="1">
      <c r="A436" s="90"/>
      <c r="B436" s="90"/>
      <c r="C436" s="90"/>
      <c r="D436" s="90"/>
      <c r="E436" s="90"/>
      <c r="F436" s="90"/>
      <c r="G436" s="90"/>
      <c r="H436" s="90"/>
      <c r="I436" s="90"/>
      <c r="J436" s="90"/>
      <c r="K436" s="90"/>
      <c r="L436" s="90"/>
      <c r="M436" s="90"/>
      <c r="N436" s="150"/>
      <c r="O436" s="152"/>
      <c r="P436" s="90"/>
      <c r="Q436" s="140"/>
      <c r="R436" s="90"/>
      <c r="S436" s="140"/>
      <c r="T436" s="90"/>
      <c r="U436" s="140"/>
      <c r="V436" s="90"/>
      <c r="W436" s="140"/>
      <c r="X436" s="90"/>
      <c r="Y436" s="140"/>
      <c r="Z436" s="90"/>
      <c r="AA436" s="140"/>
      <c r="AB436" s="62"/>
      <c r="AC436" s="140"/>
      <c r="AD436" s="62"/>
      <c r="AE436" s="140"/>
      <c r="AF436" s="189" t="str">
        <f t="shared" si="16"/>
        <v/>
      </c>
      <c r="AG436" s="304" t="b">
        <f t="shared" si="15"/>
        <v>0</v>
      </c>
      <c r="AH436" s="9"/>
      <c r="AI436" s="145">
        <f t="shared" si="14"/>
        <v>0</v>
      </c>
      <c r="AJ436" s="147" t="s">
        <v>36</v>
      </c>
    </row>
    <row r="437" spans="1:36" ht="30" customHeight="1">
      <c r="A437" s="90"/>
      <c r="B437" s="90"/>
      <c r="C437" s="90"/>
      <c r="D437" s="90"/>
      <c r="E437" s="90"/>
      <c r="F437" s="90"/>
      <c r="G437" s="90"/>
      <c r="H437" s="90"/>
      <c r="I437" s="90"/>
      <c r="J437" s="90"/>
      <c r="K437" s="90"/>
      <c r="L437" s="90"/>
      <c r="M437" s="90"/>
      <c r="N437" s="150"/>
      <c r="O437" s="152"/>
      <c r="P437" s="90"/>
      <c r="Q437" s="140"/>
      <c r="R437" s="90"/>
      <c r="S437" s="140"/>
      <c r="T437" s="90"/>
      <c r="U437" s="140"/>
      <c r="V437" s="90"/>
      <c r="W437" s="140"/>
      <c r="X437" s="90"/>
      <c r="Y437" s="140"/>
      <c r="Z437" s="90"/>
      <c r="AA437" s="140"/>
      <c r="AB437" s="62"/>
      <c r="AC437" s="140"/>
      <c r="AD437" s="62"/>
      <c r="AE437" s="140"/>
      <c r="AF437" s="189" t="str">
        <f t="shared" si="16"/>
        <v/>
      </c>
      <c r="AG437" s="304" t="b">
        <f t="shared" si="15"/>
        <v>0</v>
      </c>
      <c r="AH437" s="9"/>
      <c r="AI437" s="145">
        <f t="shared" si="14"/>
        <v>0</v>
      </c>
      <c r="AJ437" s="147" t="s">
        <v>36</v>
      </c>
    </row>
    <row r="438" spans="1:36" ht="30" customHeight="1">
      <c r="A438" s="90"/>
      <c r="B438" s="90"/>
      <c r="C438" s="90"/>
      <c r="D438" s="90"/>
      <c r="E438" s="90"/>
      <c r="F438" s="90"/>
      <c r="G438" s="90"/>
      <c r="H438" s="90"/>
      <c r="I438" s="90"/>
      <c r="J438" s="90"/>
      <c r="K438" s="90"/>
      <c r="L438" s="90"/>
      <c r="M438" s="90"/>
      <c r="N438" s="150"/>
      <c r="O438" s="152"/>
      <c r="P438" s="90"/>
      <c r="Q438" s="140"/>
      <c r="R438" s="90"/>
      <c r="S438" s="140"/>
      <c r="T438" s="90"/>
      <c r="U438" s="140"/>
      <c r="V438" s="90"/>
      <c r="W438" s="140"/>
      <c r="X438" s="90"/>
      <c r="Y438" s="140"/>
      <c r="Z438" s="90"/>
      <c r="AA438" s="140"/>
      <c r="AB438" s="62"/>
      <c r="AC438" s="140"/>
      <c r="AD438" s="62"/>
      <c r="AE438" s="140"/>
      <c r="AF438" s="189" t="str">
        <f t="shared" si="16"/>
        <v/>
      </c>
      <c r="AG438" s="304" t="b">
        <f t="shared" si="15"/>
        <v>0</v>
      </c>
      <c r="AH438" s="9"/>
      <c r="AI438" s="145">
        <f t="shared" si="14"/>
        <v>0</v>
      </c>
      <c r="AJ438" s="147" t="s">
        <v>36</v>
      </c>
    </row>
    <row r="439" spans="1:36" ht="30" customHeight="1">
      <c r="A439" s="90"/>
      <c r="B439" s="90"/>
      <c r="C439" s="90"/>
      <c r="D439" s="90"/>
      <c r="E439" s="90"/>
      <c r="F439" s="90"/>
      <c r="G439" s="90"/>
      <c r="H439" s="90"/>
      <c r="I439" s="90"/>
      <c r="J439" s="90"/>
      <c r="K439" s="90"/>
      <c r="L439" s="90"/>
      <c r="M439" s="90"/>
      <c r="N439" s="150"/>
      <c r="O439" s="152"/>
      <c r="P439" s="90"/>
      <c r="Q439" s="140"/>
      <c r="R439" s="90"/>
      <c r="S439" s="140"/>
      <c r="T439" s="90"/>
      <c r="U439" s="140"/>
      <c r="V439" s="90"/>
      <c r="W439" s="140"/>
      <c r="X439" s="90"/>
      <c r="Y439" s="140"/>
      <c r="Z439" s="90"/>
      <c r="AA439" s="140"/>
      <c r="AB439" s="62"/>
      <c r="AC439" s="140"/>
      <c r="AD439" s="62"/>
      <c r="AE439" s="140"/>
      <c r="AF439" s="189" t="str">
        <f t="shared" si="16"/>
        <v/>
      </c>
      <c r="AG439" s="304" t="b">
        <f t="shared" si="15"/>
        <v>0</v>
      </c>
      <c r="AH439" s="9"/>
      <c r="AI439" s="145">
        <f t="shared" si="14"/>
        <v>0</v>
      </c>
      <c r="AJ439" s="147" t="s">
        <v>36</v>
      </c>
    </row>
    <row r="440" spans="1:36" ht="30" customHeight="1">
      <c r="A440" s="90"/>
      <c r="B440" s="90"/>
      <c r="C440" s="90"/>
      <c r="D440" s="90"/>
      <c r="E440" s="90"/>
      <c r="F440" s="90"/>
      <c r="G440" s="90"/>
      <c r="H440" s="90"/>
      <c r="I440" s="90"/>
      <c r="J440" s="90"/>
      <c r="K440" s="90"/>
      <c r="L440" s="90"/>
      <c r="M440" s="90"/>
      <c r="N440" s="150"/>
      <c r="O440" s="152"/>
      <c r="P440" s="90"/>
      <c r="Q440" s="140"/>
      <c r="R440" s="90"/>
      <c r="S440" s="140"/>
      <c r="T440" s="90"/>
      <c r="U440" s="140"/>
      <c r="V440" s="90"/>
      <c r="W440" s="140"/>
      <c r="X440" s="90"/>
      <c r="Y440" s="140"/>
      <c r="Z440" s="90"/>
      <c r="AA440" s="140"/>
      <c r="AB440" s="62"/>
      <c r="AC440" s="140"/>
      <c r="AD440" s="62"/>
      <c r="AE440" s="140"/>
      <c r="AF440" s="189" t="str">
        <f t="shared" si="16"/>
        <v/>
      </c>
      <c r="AG440" s="304" t="b">
        <f t="shared" si="15"/>
        <v>0</v>
      </c>
      <c r="AH440" s="9"/>
      <c r="AI440" s="145">
        <f t="shared" ref="AI440:AI503" si="17">E440</f>
        <v>0</v>
      </c>
      <c r="AJ440" s="147" t="s">
        <v>36</v>
      </c>
    </row>
    <row r="441" spans="1:36" ht="30" customHeight="1">
      <c r="A441" s="90"/>
      <c r="B441" s="90"/>
      <c r="C441" s="90"/>
      <c r="D441" s="90"/>
      <c r="E441" s="90"/>
      <c r="F441" s="90"/>
      <c r="G441" s="90"/>
      <c r="H441" s="90"/>
      <c r="I441" s="90"/>
      <c r="J441" s="90"/>
      <c r="K441" s="90"/>
      <c r="L441" s="90"/>
      <c r="M441" s="90"/>
      <c r="N441" s="150"/>
      <c r="O441" s="152"/>
      <c r="P441" s="90"/>
      <c r="Q441" s="140"/>
      <c r="R441" s="90"/>
      <c r="S441" s="140"/>
      <c r="T441" s="90"/>
      <c r="U441" s="140"/>
      <c r="V441" s="90"/>
      <c r="W441" s="140"/>
      <c r="X441" s="90"/>
      <c r="Y441" s="140"/>
      <c r="Z441" s="90"/>
      <c r="AA441" s="140"/>
      <c r="AB441" s="62"/>
      <c r="AC441" s="140"/>
      <c r="AD441" s="62"/>
      <c r="AE441" s="140"/>
      <c r="AF441" s="189" t="str">
        <f t="shared" si="16"/>
        <v/>
      </c>
      <c r="AG441" s="304" t="b">
        <f t="shared" si="15"/>
        <v>0</v>
      </c>
      <c r="AH441" s="9"/>
      <c r="AI441" s="145">
        <f t="shared" si="17"/>
        <v>0</v>
      </c>
      <c r="AJ441" s="147" t="s">
        <v>36</v>
      </c>
    </row>
    <row r="442" spans="1:36" ht="30" customHeight="1">
      <c r="A442" s="90"/>
      <c r="B442" s="90"/>
      <c r="C442" s="90"/>
      <c r="D442" s="90"/>
      <c r="E442" s="90"/>
      <c r="F442" s="90"/>
      <c r="G442" s="90"/>
      <c r="H442" s="90"/>
      <c r="I442" s="90"/>
      <c r="J442" s="90"/>
      <c r="K442" s="90"/>
      <c r="L442" s="90"/>
      <c r="M442" s="90"/>
      <c r="N442" s="150"/>
      <c r="O442" s="152"/>
      <c r="P442" s="90"/>
      <c r="Q442" s="140"/>
      <c r="R442" s="90"/>
      <c r="S442" s="140"/>
      <c r="T442" s="90"/>
      <c r="U442" s="140"/>
      <c r="V442" s="90"/>
      <c r="W442" s="140"/>
      <c r="X442" s="90"/>
      <c r="Y442" s="140"/>
      <c r="Z442" s="90"/>
      <c r="AA442" s="140"/>
      <c r="AB442" s="62"/>
      <c r="AC442" s="140"/>
      <c r="AD442" s="62"/>
      <c r="AE442" s="140"/>
      <c r="AF442" s="189" t="str">
        <f t="shared" si="16"/>
        <v/>
      </c>
      <c r="AG442" s="304" t="b">
        <f t="shared" si="15"/>
        <v>0</v>
      </c>
      <c r="AH442" s="9"/>
      <c r="AI442" s="145">
        <f t="shared" si="17"/>
        <v>0</v>
      </c>
      <c r="AJ442" s="147" t="s">
        <v>36</v>
      </c>
    </row>
    <row r="443" spans="1:36" ht="30" customHeight="1">
      <c r="A443" s="90"/>
      <c r="B443" s="90"/>
      <c r="C443" s="90"/>
      <c r="D443" s="90"/>
      <c r="E443" s="90"/>
      <c r="F443" s="90"/>
      <c r="G443" s="90"/>
      <c r="H443" s="90"/>
      <c r="I443" s="90"/>
      <c r="J443" s="90"/>
      <c r="K443" s="90"/>
      <c r="L443" s="90"/>
      <c r="M443" s="90"/>
      <c r="N443" s="150"/>
      <c r="O443" s="152"/>
      <c r="P443" s="90"/>
      <c r="Q443" s="140"/>
      <c r="R443" s="90"/>
      <c r="S443" s="140"/>
      <c r="T443" s="90"/>
      <c r="U443" s="140"/>
      <c r="V443" s="90"/>
      <c r="W443" s="140"/>
      <c r="X443" s="90"/>
      <c r="Y443" s="140"/>
      <c r="Z443" s="90"/>
      <c r="AA443" s="140"/>
      <c r="AB443" s="62"/>
      <c r="AC443" s="140"/>
      <c r="AD443" s="62"/>
      <c r="AE443" s="140"/>
      <c r="AF443" s="189" t="str">
        <f t="shared" si="16"/>
        <v/>
      </c>
      <c r="AG443" s="304" t="b">
        <f t="shared" si="15"/>
        <v>0</v>
      </c>
      <c r="AH443" s="9"/>
      <c r="AI443" s="145">
        <f t="shared" si="17"/>
        <v>0</v>
      </c>
      <c r="AJ443" s="147" t="s">
        <v>36</v>
      </c>
    </row>
    <row r="444" spans="1:36" ht="30" customHeight="1">
      <c r="A444" s="90"/>
      <c r="B444" s="90"/>
      <c r="C444" s="90"/>
      <c r="D444" s="90"/>
      <c r="E444" s="90"/>
      <c r="F444" s="90"/>
      <c r="G444" s="90"/>
      <c r="H444" s="90"/>
      <c r="I444" s="90"/>
      <c r="J444" s="90"/>
      <c r="K444" s="90"/>
      <c r="L444" s="90"/>
      <c r="M444" s="90"/>
      <c r="N444" s="150"/>
      <c r="O444" s="152"/>
      <c r="P444" s="90"/>
      <c r="Q444" s="140"/>
      <c r="R444" s="90"/>
      <c r="S444" s="140"/>
      <c r="T444" s="90"/>
      <c r="U444" s="140"/>
      <c r="V444" s="90"/>
      <c r="W444" s="140"/>
      <c r="X444" s="90"/>
      <c r="Y444" s="140"/>
      <c r="Z444" s="90"/>
      <c r="AA444" s="140"/>
      <c r="AB444" s="62"/>
      <c r="AC444" s="140"/>
      <c r="AD444" s="62"/>
      <c r="AE444" s="140"/>
      <c r="AF444" s="189" t="str">
        <f t="shared" si="16"/>
        <v/>
      </c>
      <c r="AG444" s="304" t="b">
        <f t="shared" si="15"/>
        <v>0</v>
      </c>
      <c r="AH444" s="9"/>
      <c r="AI444" s="145">
        <f t="shared" si="17"/>
        <v>0</v>
      </c>
      <c r="AJ444" s="147" t="s">
        <v>36</v>
      </c>
    </row>
    <row r="445" spans="1:36" ht="30" customHeight="1">
      <c r="A445" s="90"/>
      <c r="B445" s="90"/>
      <c r="C445" s="90"/>
      <c r="D445" s="90"/>
      <c r="E445" s="90"/>
      <c r="F445" s="90"/>
      <c r="G445" s="90"/>
      <c r="H445" s="90"/>
      <c r="I445" s="90"/>
      <c r="J445" s="90"/>
      <c r="K445" s="90"/>
      <c r="L445" s="90"/>
      <c r="M445" s="90"/>
      <c r="N445" s="150"/>
      <c r="O445" s="152"/>
      <c r="P445" s="90"/>
      <c r="Q445" s="140"/>
      <c r="R445" s="90"/>
      <c r="S445" s="140"/>
      <c r="T445" s="90"/>
      <c r="U445" s="140"/>
      <c r="V445" s="90"/>
      <c r="W445" s="140"/>
      <c r="X445" s="90"/>
      <c r="Y445" s="140"/>
      <c r="Z445" s="90"/>
      <c r="AA445" s="140"/>
      <c r="AB445" s="62"/>
      <c r="AC445" s="140"/>
      <c r="AD445" s="62"/>
      <c r="AE445" s="140"/>
      <c r="AF445" s="189" t="str">
        <f t="shared" si="16"/>
        <v/>
      </c>
      <c r="AG445" s="304" t="b">
        <f t="shared" si="15"/>
        <v>0</v>
      </c>
      <c r="AH445" s="9"/>
      <c r="AI445" s="145">
        <f t="shared" si="17"/>
        <v>0</v>
      </c>
      <c r="AJ445" s="147" t="s">
        <v>36</v>
      </c>
    </row>
    <row r="446" spans="1:36" ht="30" customHeight="1">
      <c r="A446" s="90"/>
      <c r="B446" s="90"/>
      <c r="C446" s="90"/>
      <c r="D446" s="90"/>
      <c r="E446" s="90"/>
      <c r="F446" s="90"/>
      <c r="G446" s="90"/>
      <c r="H446" s="90"/>
      <c r="I446" s="90"/>
      <c r="J446" s="90"/>
      <c r="K446" s="90"/>
      <c r="L446" s="90"/>
      <c r="M446" s="90"/>
      <c r="N446" s="150"/>
      <c r="O446" s="152"/>
      <c r="P446" s="90"/>
      <c r="Q446" s="140"/>
      <c r="R446" s="90"/>
      <c r="S446" s="140"/>
      <c r="T446" s="90"/>
      <c r="U446" s="140"/>
      <c r="V446" s="90"/>
      <c r="W446" s="140"/>
      <c r="X446" s="90"/>
      <c r="Y446" s="140"/>
      <c r="Z446" s="90"/>
      <c r="AA446" s="140"/>
      <c r="AB446" s="62"/>
      <c r="AC446" s="140"/>
      <c r="AD446" s="62"/>
      <c r="AE446" s="140"/>
      <c r="AF446" s="189" t="str">
        <f t="shared" si="16"/>
        <v/>
      </c>
      <c r="AG446" s="304" t="b">
        <f t="shared" si="15"/>
        <v>0</v>
      </c>
      <c r="AH446" s="9"/>
      <c r="AI446" s="145">
        <f t="shared" si="17"/>
        <v>0</v>
      </c>
      <c r="AJ446" s="147" t="s">
        <v>36</v>
      </c>
    </row>
    <row r="447" spans="1:36" ht="30" customHeight="1">
      <c r="A447" s="90"/>
      <c r="B447" s="90"/>
      <c r="C447" s="90"/>
      <c r="D447" s="90"/>
      <c r="E447" s="90"/>
      <c r="F447" s="90"/>
      <c r="G447" s="90"/>
      <c r="H447" s="90"/>
      <c r="I447" s="90"/>
      <c r="J447" s="90"/>
      <c r="K447" s="90"/>
      <c r="L447" s="90"/>
      <c r="M447" s="90"/>
      <c r="N447" s="150"/>
      <c r="O447" s="152"/>
      <c r="P447" s="90"/>
      <c r="Q447" s="140"/>
      <c r="R447" s="90"/>
      <c r="S447" s="140"/>
      <c r="T447" s="90"/>
      <c r="U447" s="140"/>
      <c r="V447" s="90"/>
      <c r="W447" s="140"/>
      <c r="X447" s="90"/>
      <c r="Y447" s="140"/>
      <c r="Z447" s="90"/>
      <c r="AA447" s="140"/>
      <c r="AB447" s="62"/>
      <c r="AC447" s="140"/>
      <c r="AD447" s="62"/>
      <c r="AE447" s="140"/>
      <c r="AF447" s="189" t="str">
        <f t="shared" si="16"/>
        <v/>
      </c>
      <c r="AG447" s="304" t="b">
        <f t="shared" si="15"/>
        <v>0</v>
      </c>
      <c r="AH447" s="9"/>
      <c r="AI447" s="145">
        <f t="shared" si="17"/>
        <v>0</v>
      </c>
      <c r="AJ447" s="147" t="s">
        <v>36</v>
      </c>
    </row>
    <row r="448" spans="1:36" ht="30" customHeight="1">
      <c r="A448" s="90"/>
      <c r="B448" s="90"/>
      <c r="C448" s="90"/>
      <c r="D448" s="90"/>
      <c r="E448" s="90"/>
      <c r="F448" s="90"/>
      <c r="G448" s="90"/>
      <c r="H448" s="90"/>
      <c r="I448" s="90"/>
      <c r="J448" s="90"/>
      <c r="K448" s="90"/>
      <c r="L448" s="90"/>
      <c r="M448" s="90"/>
      <c r="N448" s="150"/>
      <c r="O448" s="152"/>
      <c r="P448" s="90"/>
      <c r="Q448" s="140"/>
      <c r="R448" s="90"/>
      <c r="S448" s="140"/>
      <c r="T448" s="90"/>
      <c r="U448" s="140"/>
      <c r="V448" s="90"/>
      <c r="W448" s="140"/>
      <c r="X448" s="90"/>
      <c r="Y448" s="140"/>
      <c r="Z448" s="90"/>
      <c r="AA448" s="140"/>
      <c r="AB448" s="62"/>
      <c r="AC448" s="140"/>
      <c r="AD448" s="62"/>
      <c r="AE448" s="140"/>
      <c r="AF448" s="189" t="str">
        <f t="shared" si="16"/>
        <v/>
      </c>
      <c r="AG448" s="304" t="b">
        <f t="shared" si="15"/>
        <v>0</v>
      </c>
      <c r="AH448" s="9"/>
      <c r="AI448" s="145">
        <f t="shared" si="17"/>
        <v>0</v>
      </c>
      <c r="AJ448" s="147" t="s">
        <v>36</v>
      </c>
    </row>
    <row r="449" spans="1:36" ht="30" customHeight="1">
      <c r="A449" s="90"/>
      <c r="B449" s="90"/>
      <c r="C449" s="90"/>
      <c r="D449" s="90"/>
      <c r="E449" s="90"/>
      <c r="F449" s="90"/>
      <c r="G449" s="90"/>
      <c r="H449" s="90"/>
      <c r="I449" s="90"/>
      <c r="J449" s="90"/>
      <c r="K449" s="90"/>
      <c r="L449" s="90"/>
      <c r="M449" s="90"/>
      <c r="N449" s="150"/>
      <c r="O449" s="152"/>
      <c r="P449" s="90"/>
      <c r="Q449" s="140"/>
      <c r="R449" s="90"/>
      <c r="S449" s="140"/>
      <c r="T449" s="90"/>
      <c r="U449" s="140"/>
      <c r="V449" s="90"/>
      <c r="W449" s="140"/>
      <c r="X449" s="90"/>
      <c r="Y449" s="140"/>
      <c r="Z449" s="90"/>
      <c r="AA449" s="140"/>
      <c r="AB449" s="62"/>
      <c r="AC449" s="140"/>
      <c r="AD449" s="62"/>
      <c r="AE449" s="140"/>
      <c r="AF449" s="189" t="str">
        <f t="shared" si="16"/>
        <v/>
      </c>
      <c r="AG449" s="304" t="b">
        <f t="shared" si="15"/>
        <v>0</v>
      </c>
      <c r="AH449" s="9"/>
      <c r="AI449" s="145">
        <f t="shared" si="17"/>
        <v>0</v>
      </c>
      <c r="AJ449" s="147" t="s">
        <v>36</v>
      </c>
    </row>
    <row r="450" spans="1:36" ht="30" customHeight="1">
      <c r="A450" s="90"/>
      <c r="B450" s="90"/>
      <c r="C450" s="90"/>
      <c r="D450" s="90"/>
      <c r="E450" s="90"/>
      <c r="F450" s="90"/>
      <c r="G450" s="90"/>
      <c r="H450" s="90"/>
      <c r="I450" s="90"/>
      <c r="J450" s="90"/>
      <c r="K450" s="90"/>
      <c r="L450" s="90"/>
      <c r="M450" s="90"/>
      <c r="N450" s="150"/>
      <c r="O450" s="152"/>
      <c r="P450" s="90"/>
      <c r="Q450" s="140"/>
      <c r="R450" s="90"/>
      <c r="S450" s="140"/>
      <c r="T450" s="90"/>
      <c r="U450" s="140"/>
      <c r="V450" s="90"/>
      <c r="W450" s="140"/>
      <c r="X450" s="90"/>
      <c r="Y450" s="140"/>
      <c r="Z450" s="90"/>
      <c r="AA450" s="140"/>
      <c r="AB450" s="62"/>
      <c r="AC450" s="140"/>
      <c r="AD450" s="62"/>
      <c r="AE450" s="140"/>
      <c r="AF450" s="189" t="str">
        <f t="shared" si="16"/>
        <v/>
      </c>
      <c r="AG450" s="304" t="b">
        <f t="shared" ref="AG450:AG513" si="18">IF(AND(AE450="C",AF450="C"),"UTILIZOU O PDA CORRETAMENTE",IF(AND(AE450="C",AF450="NC"),"UTILIZOU O PDA CORRETAMENTE. NÃO HÁ FOTOS DE TODAS AS ETAPAS",IF(AND(AE450="NC",AF450="NC"),"NÃO UTILIZOU O PDA",IF(AND(AE450="NA",AF450="NA"),"NÃO AVALIADO POR FALHA DE SINCRONISMO"))))</f>
        <v>0</v>
      </c>
      <c r="AH450" s="9"/>
      <c r="AI450" s="145">
        <f t="shared" si="17"/>
        <v>0</v>
      </c>
      <c r="AJ450" s="147" t="s">
        <v>36</v>
      </c>
    </row>
    <row r="451" spans="1:36" ht="30" customHeight="1">
      <c r="A451" s="90"/>
      <c r="B451" s="90"/>
      <c r="C451" s="90"/>
      <c r="D451" s="90"/>
      <c r="E451" s="90"/>
      <c r="F451" s="90"/>
      <c r="G451" s="90"/>
      <c r="H451" s="90"/>
      <c r="I451" s="90"/>
      <c r="J451" s="90"/>
      <c r="K451" s="90"/>
      <c r="L451" s="90"/>
      <c r="M451" s="90"/>
      <c r="N451" s="150"/>
      <c r="O451" s="152"/>
      <c r="P451" s="90"/>
      <c r="Q451" s="140"/>
      <c r="R451" s="90"/>
      <c r="S451" s="140"/>
      <c r="T451" s="90"/>
      <c r="U451" s="140"/>
      <c r="V451" s="90"/>
      <c r="W451" s="140"/>
      <c r="X451" s="90"/>
      <c r="Y451" s="140"/>
      <c r="Z451" s="90"/>
      <c r="AA451" s="140"/>
      <c r="AB451" s="62"/>
      <c r="AC451" s="140"/>
      <c r="AD451" s="62"/>
      <c r="AE451" s="140"/>
      <c r="AF451" s="189" t="str">
        <f t="shared" ref="AF451:AF514" si="19">IF(AND(O451="",Q451="",S451="",U451="",W451="",Y451="",AA451="",AC451=""),"",
IF(OR(    AND(O451&lt;&gt;"NA",O451&lt;&gt;"C",O451&lt;&gt;"NC",O451&lt;&gt;"SF",O451&lt;&gt;""),
    AND(Q451&lt;&gt;"NA",Q451&lt;&gt;"C",Q451&lt;&gt;"NC",Q451&lt;&gt;"SF",Q451&lt;&gt;""),
    AND(S451&lt;&gt;"NA",S451&lt;&gt;"C",S451&lt;&gt;"NC",S451&lt;&gt;"SF",S451&lt;&gt;""),
    AND(U451&lt;&gt;"NA",U451&lt;&gt;"C",U451&lt;&gt;"NC",U451&lt;&gt;"SF",U451&lt;&gt;""),
    AND(W451&lt;&gt;"NA",W451&lt;&gt;"C",W451&lt;&gt;"NC",W451&lt;&gt;"SF",W451&lt;&gt;""),
    AND(Y451&lt;&gt;"NA",Y451&lt;&gt;"C",Y451&lt;&gt;"NC",Y451&lt;&gt;"SF",Y451&lt;&gt;""),
    AND(AA451&lt;&gt;"NA",AA451&lt;&gt;"C",AA451&lt;&gt;"NC",AA451&lt;&gt;"SF",AA451&lt;&gt;""),
    AND(AC451&lt;&gt;"NA",AC451&lt;&gt;"C",AC451&lt;&gt;"NC",AC451&lt;&gt;"SF",AC451&lt;&gt;"")
),"FALSO",
IF(AND(O451="NA",Q451="NA",S451="NA",U451="NA",W451="NA",Y451="NA",AA451="NA",AC451="NA"),"NA",
IF(OR(O451="NC",Q451="NC",S451="NC",U451="NC",W451="NC",Y451="NC",AA451="NC",AC451="NC",
       O451="SF",Q451="SF",S451="SF",U451="SF",W451="SF",Y451="SF",AA451="SF",AC451="SF"),"NC",
IF(SUM(IF(O451="C",1,0),IF(Q451="C",1,0),IF(S451="C",1,0),IF(U451="C",1,0),IF(W451="C",1,0),IF(Y451="C",1,0),IF(AA451="C",1,0),IF(AC451="C",1,0))=1,"C","C")))))</f>
        <v/>
      </c>
      <c r="AG451" s="304" t="b">
        <f t="shared" si="18"/>
        <v>0</v>
      </c>
      <c r="AH451" s="9"/>
      <c r="AI451" s="145">
        <f t="shared" si="17"/>
        <v>0</v>
      </c>
      <c r="AJ451" s="147" t="s">
        <v>36</v>
      </c>
    </row>
    <row r="452" spans="1:36" ht="30" customHeight="1">
      <c r="A452" s="90"/>
      <c r="B452" s="90"/>
      <c r="C452" s="90"/>
      <c r="D452" s="90"/>
      <c r="E452" s="90"/>
      <c r="F452" s="90"/>
      <c r="G452" s="90"/>
      <c r="H452" s="90"/>
      <c r="I452" s="90"/>
      <c r="J452" s="90"/>
      <c r="K452" s="90"/>
      <c r="L452" s="90"/>
      <c r="M452" s="90"/>
      <c r="N452" s="150"/>
      <c r="O452" s="152"/>
      <c r="P452" s="90"/>
      <c r="Q452" s="140"/>
      <c r="R452" s="90"/>
      <c r="S452" s="140"/>
      <c r="T452" s="90"/>
      <c r="U452" s="140"/>
      <c r="V452" s="90"/>
      <c r="W452" s="140"/>
      <c r="X452" s="90"/>
      <c r="Y452" s="140"/>
      <c r="Z452" s="90"/>
      <c r="AA452" s="140"/>
      <c r="AB452" s="62"/>
      <c r="AC452" s="140"/>
      <c r="AD452" s="62"/>
      <c r="AE452" s="140"/>
      <c r="AF452" s="189" t="str">
        <f t="shared" si="19"/>
        <v/>
      </c>
      <c r="AG452" s="304" t="b">
        <f t="shared" si="18"/>
        <v>0</v>
      </c>
      <c r="AH452" s="9"/>
      <c r="AI452" s="145">
        <f t="shared" si="17"/>
        <v>0</v>
      </c>
      <c r="AJ452" s="147" t="s">
        <v>36</v>
      </c>
    </row>
    <row r="453" spans="1:36" ht="30" customHeight="1">
      <c r="A453" s="90"/>
      <c r="B453" s="90"/>
      <c r="C453" s="90"/>
      <c r="D453" s="90"/>
      <c r="E453" s="90"/>
      <c r="F453" s="90"/>
      <c r="G453" s="90"/>
      <c r="H453" s="90"/>
      <c r="I453" s="90"/>
      <c r="J453" s="90"/>
      <c r="K453" s="90"/>
      <c r="L453" s="90"/>
      <c r="M453" s="90"/>
      <c r="N453" s="150"/>
      <c r="O453" s="152"/>
      <c r="P453" s="90"/>
      <c r="Q453" s="140"/>
      <c r="R453" s="90"/>
      <c r="S453" s="140"/>
      <c r="T453" s="90"/>
      <c r="U453" s="140"/>
      <c r="V453" s="90"/>
      <c r="W453" s="140"/>
      <c r="X453" s="90"/>
      <c r="Y453" s="140"/>
      <c r="Z453" s="90"/>
      <c r="AA453" s="140"/>
      <c r="AB453" s="62"/>
      <c r="AC453" s="140"/>
      <c r="AD453" s="62"/>
      <c r="AE453" s="140"/>
      <c r="AF453" s="189" t="str">
        <f t="shared" si="19"/>
        <v/>
      </c>
      <c r="AG453" s="304" t="b">
        <f t="shared" si="18"/>
        <v>0</v>
      </c>
      <c r="AH453" s="9"/>
      <c r="AI453" s="145">
        <f t="shared" si="17"/>
        <v>0</v>
      </c>
      <c r="AJ453" s="147" t="s">
        <v>36</v>
      </c>
    </row>
    <row r="454" spans="1:36" ht="30" customHeight="1">
      <c r="A454" s="90"/>
      <c r="B454" s="90"/>
      <c r="C454" s="90"/>
      <c r="D454" s="90"/>
      <c r="E454" s="90"/>
      <c r="F454" s="90"/>
      <c r="G454" s="90"/>
      <c r="H454" s="90"/>
      <c r="I454" s="90"/>
      <c r="J454" s="90"/>
      <c r="K454" s="90"/>
      <c r="L454" s="90"/>
      <c r="M454" s="90"/>
      <c r="N454" s="150"/>
      <c r="O454" s="152"/>
      <c r="P454" s="90"/>
      <c r="Q454" s="140"/>
      <c r="R454" s="90"/>
      <c r="S454" s="140"/>
      <c r="T454" s="90"/>
      <c r="U454" s="140"/>
      <c r="V454" s="90"/>
      <c r="W454" s="140"/>
      <c r="X454" s="90"/>
      <c r="Y454" s="140"/>
      <c r="Z454" s="90"/>
      <c r="AA454" s="140"/>
      <c r="AB454" s="62"/>
      <c r="AC454" s="140"/>
      <c r="AD454" s="62"/>
      <c r="AE454" s="140"/>
      <c r="AF454" s="189" t="str">
        <f t="shared" si="19"/>
        <v/>
      </c>
      <c r="AG454" s="304" t="b">
        <f t="shared" si="18"/>
        <v>0</v>
      </c>
      <c r="AH454" s="9"/>
      <c r="AI454" s="145">
        <f t="shared" si="17"/>
        <v>0</v>
      </c>
      <c r="AJ454" s="147" t="s">
        <v>36</v>
      </c>
    </row>
    <row r="455" spans="1:36" ht="30" customHeight="1">
      <c r="A455" s="90"/>
      <c r="B455" s="90"/>
      <c r="C455" s="90"/>
      <c r="D455" s="90"/>
      <c r="E455" s="90"/>
      <c r="F455" s="90"/>
      <c r="G455" s="90"/>
      <c r="H455" s="90"/>
      <c r="I455" s="90"/>
      <c r="J455" s="90"/>
      <c r="K455" s="90"/>
      <c r="L455" s="90"/>
      <c r="M455" s="90"/>
      <c r="N455" s="150"/>
      <c r="O455" s="152"/>
      <c r="P455" s="90"/>
      <c r="Q455" s="140"/>
      <c r="R455" s="90"/>
      <c r="S455" s="140"/>
      <c r="T455" s="90"/>
      <c r="U455" s="140"/>
      <c r="V455" s="90"/>
      <c r="W455" s="140"/>
      <c r="X455" s="90"/>
      <c r="Y455" s="140"/>
      <c r="Z455" s="90"/>
      <c r="AA455" s="140"/>
      <c r="AB455" s="62"/>
      <c r="AC455" s="140"/>
      <c r="AD455" s="62"/>
      <c r="AE455" s="140"/>
      <c r="AF455" s="189" t="str">
        <f t="shared" si="19"/>
        <v/>
      </c>
      <c r="AG455" s="304" t="b">
        <f t="shared" si="18"/>
        <v>0</v>
      </c>
      <c r="AH455" s="9"/>
      <c r="AI455" s="145">
        <f t="shared" si="17"/>
        <v>0</v>
      </c>
      <c r="AJ455" s="147" t="s">
        <v>36</v>
      </c>
    </row>
    <row r="456" spans="1:36" ht="30" customHeight="1">
      <c r="A456" s="90"/>
      <c r="B456" s="90"/>
      <c r="C456" s="90"/>
      <c r="D456" s="90"/>
      <c r="E456" s="90"/>
      <c r="F456" s="90"/>
      <c r="G456" s="90"/>
      <c r="H456" s="90"/>
      <c r="I456" s="90"/>
      <c r="J456" s="90"/>
      <c r="K456" s="90"/>
      <c r="L456" s="90"/>
      <c r="M456" s="90"/>
      <c r="N456" s="150"/>
      <c r="O456" s="152"/>
      <c r="P456" s="90"/>
      <c r="Q456" s="140"/>
      <c r="R456" s="90"/>
      <c r="S456" s="140"/>
      <c r="T456" s="90"/>
      <c r="U456" s="140"/>
      <c r="V456" s="90"/>
      <c r="W456" s="140"/>
      <c r="X456" s="90"/>
      <c r="Y456" s="140"/>
      <c r="Z456" s="90"/>
      <c r="AA456" s="140"/>
      <c r="AB456" s="62"/>
      <c r="AC456" s="140"/>
      <c r="AD456" s="62"/>
      <c r="AE456" s="140"/>
      <c r="AF456" s="189" t="str">
        <f t="shared" si="19"/>
        <v/>
      </c>
      <c r="AG456" s="304" t="b">
        <f t="shared" si="18"/>
        <v>0</v>
      </c>
      <c r="AH456" s="9"/>
      <c r="AI456" s="145">
        <f t="shared" si="17"/>
        <v>0</v>
      </c>
      <c r="AJ456" s="147" t="s">
        <v>36</v>
      </c>
    </row>
    <row r="457" spans="1:36" ht="30" customHeight="1">
      <c r="A457" s="90"/>
      <c r="B457" s="90"/>
      <c r="C457" s="90"/>
      <c r="D457" s="90"/>
      <c r="E457" s="90"/>
      <c r="F457" s="90"/>
      <c r="G457" s="90"/>
      <c r="H457" s="90"/>
      <c r="I457" s="90"/>
      <c r="J457" s="90"/>
      <c r="K457" s="90"/>
      <c r="L457" s="90"/>
      <c r="M457" s="90"/>
      <c r="N457" s="150"/>
      <c r="O457" s="152"/>
      <c r="P457" s="90"/>
      <c r="Q457" s="140"/>
      <c r="R457" s="90"/>
      <c r="S457" s="140"/>
      <c r="T457" s="90"/>
      <c r="U457" s="140"/>
      <c r="V457" s="90"/>
      <c r="W457" s="140"/>
      <c r="X457" s="90"/>
      <c r="Y457" s="140"/>
      <c r="Z457" s="90"/>
      <c r="AA457" s="140"/>
      <c r="AB457" s="62"/>
      <c r="AC457" s="140"/>
      <c r="AD457" s="62"/>
      <c r="AE457" s="140"/>
      <c r="AF457" s="189" t="str">
        <f t="shared" si="19"/>
        <v/>
      </c>
      <c r="AG457" s="304" t="b">
        <f t="shared" si="18"/>
        <v>0</v>
      </c>
      <c r="AH457" s="9"/>
      <c r="AI457" s="145">
        <f t="shared" si="17"/>
        <v>0</v>
      </c>
      <c r="AJ457" s="147" t="s">
        <v>36</v>
      </c>
    </row>
    <row r="458" spans="1:36" ht="30" customHeight="1">
      <c r="A458" s="90"/>
      <c r="B458" s="90"/>
      <c r="C458" s="90"/>
      <c r="D458" s="90"/>
      <c r="E458" s="90"/>
      <c r="F458" s="90"/>
      <c r="G458" s="90"/>
      <c r="H458" s="90"/>
      <c r="I458" s="90"/>
      <c r="J458" s="90"/>
      <c r="K458" s="90"/>
      <c r="L458" s="90"/>
      <c r="M458" s="90"/>
      <c r="N458" s="150"/>
      <c r="O458" s="152"/>
      <c r="P458" s="90"/>
      <c r="Q458" s="140"/>
      <c r="R458" s="90"/>
      <c r="S458" s="140"/>
      <c r="T458" s="90"/>
      <c r="U458" s="140"/>
      <c r="V458" s="90"/>
      <c r="W458" s="140"/>
      <c r="X458" s="90"/>
      <c r="Y458" s="140"/>
      <c r="Z458" s="90"/>
      <c r="AA458" s="140"/>
      <c r="AB458" s="62"/>
      <c r="AC458" s="140"/>
      <c r="AD458" s="62"/>
      <c r="AE458" s="140"/>
      <c r="AF458" s="189" t="str">
        <f t="shared" si="19"/>
        <v/>
      </c>
      <c r="AG458" s="304" t="b">
        <f t="shared" si="18"/>
        <v>0</v>
      </c>
      <c r="AH458" s="9"/>
      <c r="AI458" s="145">
        <f t="shared" si="17"/>
        <v>0</v>
      </c>
      <c r="AJ458" s="147" t="s">
        <v>36</v>
      </c>
    </row>
    <row r="459" spans="1:36" ht="30" customHeight="1">
      <c r="A459" s="90"/>
      <c r="B459" s="90"/>
      <c r="C459" s="90"/>
      <c r="D459" s="90"/>
      <c r="E459" s="90"/>
      <c r="F459" s="90"/>
      <c r="G459" s="90"/>
      <c r="H459" s="90"/>
      <c r="I459" s="90"/>
      <c r="J459" s="90"/>
      <c r="K459" s="90"/>
      <c r="L459" s="90"/>
      <c r="M459" s="90"/>
      <c r="N459" s="150"/>
      <c r="O459" s="152"/>
      <c r="P459" s="90"/>
      <c r="Q459" s="140"/>
      <c r="R459" s="90"/>
      <c r="S459" s="140"/>
      <c r="T459" s="90"/>
      <c r="U459" s="140"/>
      <c r="V459" s="90"/>
      <c r="W459" s="140"/>
      <c r="X459" s="90"/>
      <c r="Y459" s="140"/>
      <c r="Z459" s="90"/>
      <c r="AA459" s="140"/>
      <c r="AB459" s="62"/>
      <c r="AC459" s="140"/>
      <c r="AD459" s="62"/>
      <c r="AE459" s="140"/>
      <c r="AF459" s="189" t="str">
        <f t="shared" si="19"/>
        <v/>
      </c>
      <c r="AG459" s="304" t="b">
        <f t="shared" si="18"/>
        <v>0</v>
      </c>
      <c r="AH459" s="9"/>
      <c r="AI459" s="145">
        <f t="shared" si="17"/>
        <v>0</v>
      </c>
      <c r="AJ459" s="147" t="s">
        <v>36</v>
      </c>
    </row>
    <row r="460" spans="1:36" ht="30" customHeight="1">
      <c r="A460" s="90"/>
      <c r="B460" s="90"/>
      <c r="C460" s="90"/>
      <c r="D460" s="90"/>
      <c r="E460" s="90"/>
      <c r="F460" s="90"/>
      <c r="G460" s="90"/>
      <c r="H460" s="90"/>
      <c r="I460" s="90"/>
      <c r="J460" s="90"/>
      <c r="K460" s="90"/>
      <c r="L460" s="90"/>
      <c r="M460" s="90"/>
      <c r="N460" s="150"/>
      <c r="O460" s="152"/>
      <c r="P460" s="90"/>
      <c r="Q460" s="140"/>
      <c r="R460" s="90"/>
      <c r="S460" s="140"/>
      <c r="T460" s="90"/>
      <c r="U460" s="140"/>
      <c r="V460" s="90"/>
      <c r="W460" s="140"/>
      <c r="X460" s="90"/>
      <c r="Y460" s="140"/>
      <c r="Z460" s="90"/>
      <c r="AA460" s="140"/>
      <c r="AB460" s="62"/>
      <c r="AC460" s="140"/>
      <c r="AD460" s="62"/>
      <c r="AE460" s="140"/>
      <c r="AF460" s="189" t="str">
        <f t="shared" si="19"/>
        <v/>
      </c>
      <c r="AG460" s="304" t="b">
        <f t="shared" si="18"/>
        <v>0</v>
      </c>
      <c r="AH460" s="9"/>
      <c r="AI460" s="145">
        <f t="shared" si="17"/>
        <v>0</v>
      </c>
      <c r="AJ460" s="147" t="s">
        <v>36</v>
      </c>
    </row>
    <row r="461" spans="1:36" ht="30" customHeight="1">
      <c r="A461" s="90"/>
      <c r="B461" s="90"/>
      <c r="C461" s="90"/>
      <c r="D461" s="90"/>
      <c r="E461" s="90"/>
      <c r="F461" s="90"/>
      <c r="G461" s="90"/>
      <c r="H461" s="90"/>
      <c r="I461" s="90"/>
      <c r="J461" s="90"/>
      <c r="K461" s="90"/>
      <c r="L461" s="90"/>
      <c r="M461" s="90"/>
      <c r="N461" s="150"/>
      <c r="O461" s="152"/>
      <c r="P461" s="90"/>
      <c r="Q461" s="140"/>
      <c r="R461" s="90"/>
      <c r="S461" s="140"/>
      <c r="T461" s="90"/>
      <c r="U461" s="140"/>
      <c r="V461" s="90"/>
      <c r="W461" s="140"/>
      <c r="X461" s="90"/>
      <c r="Y461" s="140"/>
      <c r="Z461" s="90"/>
      <c r="AA461" s="140"/>
      <c r="AB461" s="62"/>
      <c r="AC461" s="140"/>
      <c r="AD461" s="62"/>
      <c r="AE461" s="140"/>
      <c r="AF461" s="189" t="str">
        <f t="shared" si="19"/>
        <v/>
      </c>
      <c r="AG461" s="304" t="b">
        <f t="shared" si="18"/>
        <v>0</v>
      </c>
      <c r="AH461" s="9"/>
      <c r="AI461" s="145">
        <f t="shared" si="17"/>
        <v>0</v>
      </c>
      <c r="AJ461" s="147" t="s">
        <v>36</v>
      </c>
    </row>
    <row r="462" spans="1:36" ht="30" customHeight="1">
      <c r="A462" s="90"/>
      <c r="B462" s="90"/>
      <c r="C462" s="90"/>
      <c r="D462" s="90"/>
      <c r="E462" s="90"/>
      <c r="F462" s="90"/>
      <c r="G462" s="90"/>
      <c r="H462" s="90"/>
      <c r="I462" s="90"/>
      <c r="J462" s="90"/>
      <c r="K462" s="90"/>
      <c r="L462" s="90"/>
      <c r="M462" s="90"/>
      <c r="N462" s="150"/>
      <c r="O462" s="152"/>
      <c r="P462" s="90"/>
      <c r="Q462" s="140"/>
      <c r="R462" s="90"/>
      <c r="S462" s="140"/>
      <c r="T462" s="90"/>
      <c r="U462" s="140"/>
      <c r="V462" s="90"/>
      <c r="W462" s="140"/>
      <c r="X462" s="90"/>
      <c r="Y462" s="140"/>
      <c r="Z462" s="90"/>
      <c r="AA462" s="140"/>
      <c r="AB462" s="62"/>
      <c r="AC462" s="140"/>
      <c r="AD462" s="62"/>
      <c r="AE462" s="140"/>
      <c r="AF462" s="189" t="str">
        <f t="shared" si="19"/>
        <v/>
      </c>
      <c r="AG462" s="304" t="b">
        <f t="shared" si="18"/>
        <v>0</v>
      </c>
      <c r="AH462" s="9"/>
      <c r="AI462" s="145">
        <f t="shared" si="17"/>
        <v>0</v>
      </c>
      <c r="AJ462" s="147" t="s">
        <v>36</v>
      </c>
    </row>
    <row r="463" spans="1:36" ht="30" customHeight="1">
      <c r="A463" s="90"/>
      <c r="B463" s="90"/>
      <c r="C463" s="90"/>
      <c r="D463" s="90"/>
      <c r="E463" s="90"/>
      <c r="F463" s="90"/>
      <c r="G463" s="90"/>
      <c r="H463" s="90"/>
      <c r="I463" s="90"/>
      <c r="J463" s="90"/>
      <c r="K463" s="90"/>
      <c r="L463" s="90"/>
      <c r="M463" s="90"/>
      <c r="N463" s="150"/>
      <c r="O463" s="152"/>
      <c r="P463" s="90"/>
      <c r="Q463" s="140"/>
      <c r="R463" s="90"/>
      <c r="S463" s="140"/>
      <c r="T463" s="90"/>
      <c r="U463" s="140"/>
      <c r="V463" s="90"/>
      <c r="W463" s="140"/>
      <c r="X463" s="90"/>
      <c r="Y463" s="140"/>
      <c r="Z463" s="90"/>
      <c r="AA463" s="140"/>
      <c r="AB463" s="62"/>
      <c r="AC463" s="140"/>
      <c r="AD463" s="62"/>
      <c r="AE463" s="140"/>
      <c r="AF463" s="189" t="str">
        <f t="shared" si="19"/>
        <v/>
      </c>
      <c r="AG463" s="304" t="b">
        <f t="shared" si="18"/>
        <v>0</v>
      </c>
      <c r="AH463" s="9"/>
      <c r="AI463" s="145">
        <f t="shared" si="17"/>
        <v>0</v>
      </c>
      <c r="AJ463" s="147" t="s">
        <v>36</v>
      </c>
    </row>
    <row r="464" spans="1:36" ht="30" customHeight="1">
      <c r="A464" s="90"/>
      <c r="B464" s="90"/>
      <c r="C464" s="90"/>
      <c r="D464" s="90"/>
      <c r="E464" s="90"/>
      <c r="F464" s="90"/>
      <c r="G464" s="90"/>
      <c r="H464" s="90"/>
      <c r="I464" s="90"/>
      <c r="J464" s="90"/>
      <c r="K464" s="90"/>
      <c r="L464" s="90"/>
      <c r="M464" s="90"/>
      <c r="N464" s="150"/>
      <c r="O464" s="152"/>
      <c r="P464" s="90"/>
      <c r="Q464" s="140"/>
      <c r="R464" s="90"/>
      <c r="S464" s="140"/>
      <c r="T464" s="90"/>
      <c r="U464" s="140"/>
      <c r="V464" s="90"/>
      <c r="W464" s="140"/>
      <c r="X464" s="90"/>
      <c r="Y464" s="140"/>
      <c r="Z464" s="90"/>
      <c r="AA464" s="140"/>
      <c r="AB464" s="62"/>
      <c r="AC464" s="140"/>
      <c r="AD464" s="62"/>
      <c r="AE464" s="140"/>
      <c r="AF464" s="189" t="str">
        <f t="shared" si="19"/>
        <v/>
      </c>
      <c r="AG464" s="304" t="b">
        <f t="shared" si="18"/>
        <v>0</v>
      </c>
      <c r="AH464" s="9"/>
      <c r="AI464" s="145">
        <f t="shared" si="17"/>
        <v>0</v>
      </c>
      <c r="AJ464" s="147" t="s">
        <v>36</v>
      </c>
    </row>
    <row r="465" spans="1:36" ht="30" customHeight="1">
      <c r="A465" s="90"/>
      <c r="B465" s="90"/>
      <c r="C465" s="90"/>
      <c r="D465" s="90"/>
      <c r="E465" s="90"/>
      <c r="F465" s="90"/>
      <c r="G465" s="90"/>
      <c r="H465" s="90"/>
      <c r="I465" s="90"/>
      <c r="J465" s="90"/>
      <c r="K465" s="90"/>
      <c r="L465" s="90"/>
      <c r="M465" s="90"/>
      <c r="N465" s="150"/>
      <c r="O465" s="152"/>
      <c r="P465" s="90"/>
      <c r="Q465" s="140"/>
      <c r="R465" s="90"/>
      <c r="S465" s="140"/>
      <c r="T465" s="90"/>
      <c r="U465" s="140"/>
      <c r="V465" s="90"/>
      <c r="W465" s="140"/>
      <c r="X465" s="90"/>
      <c r="Y465" s="140"/>
      <c r="Z465" s="90"/>
      <c r="AA465" s="140"/>
      <c r="AB465" s="62"/>
      <c r="AC465" s="140"/>
      <c r="AD465" s="62"/>
      <c r="AE465" s="140"/>
      <c r="AF465" s="189" t="str">
        <f t="shared" si="19"/>
        <v/>
      </c>
      <c r="AG465" s="304" t="b">
        <f t="shared" si="18"/>
        <v>0</v>
      </c>
      <c r="AH465" s="9"/>
      <c r="AI465" s="145">
        <f t="shared" si="17"/>
        <v>0</v>
      </c>
      <c r="AJ465" s="147" t="s">
        <v>36</v>
      </c>
    </row>
    <row r="466" spans="1:36" ht="30" customHeight="1">
      <c r="A466" s="90"/>
      <c r="B466" s="90"/>
      <c r="C466" s="90"/>
      <c r="D466" s="90"/>
      <c r="E466" s="90"/>
      <c r="F466" s="90"/>
      <c r="G466" s="90"/>
      <c r="H466" s="90"/>
      <c r="I466" s="90"/>
      <c r="J466" s="90"/>
      <c r="K466" s="90"/>
      <c r="L466" s="90"/>
      <c r="M466" s="90"/>
      <c r="N466" s="150"/>
      <c r="O466" s="152"/>
      <c r="P466" s="90"/>
      <c r="Q466" s="140"/>
      <c r="R466" s="90"/>
      <c r="S466" s="140"/>
      <c r="T466" s="90"/>
      <c r="U466" s="140"/>
      <c r="V466" s="90"/>
      <c r="W466" s="140"/>
      <c r="X466" s="90"/>
      <c r="Y466" s="140"/>
      <c r="Z466" s="90"/>
      <c r="AA466" s="140"/>
      <c r="AB466" s="62"/>
      <c r="AC466" s="140"/>
      <c r="AD466" s="62"/>
      <c r="AE466" s="140"/>
      <c r="AF466" s="189" t="str">
        <f t="shared" si="19"/>
        <v/>
      </c>
      <c r="AG466" s="304" t="b">
        <f t="shared" si="18"/>
        <v>0</v>
      </c>
      <c r="AH466" s="9"/>
      <c r="AI466" s="145">
        <f t="shared" si="17"/>
        <v>0</v>
      </c>
      <c r="AJ466" s="147" t="s">
        <v>36</v>
      </c>
    </row>
    <row r="467" spans="1:36" ht="30" customHeight="1">
      <c r="A467" s="90"/>
      <c r="B467" s="90"/>
      <c r="C467" s="90"/>
      <c r="D467" s="90"/>
      <c r="E467" s="90"/>
      <c r="F467" s="90"/>
      <c r="G467" s="90"/>
      <c r="H467" s="90"/>
      <c r="I467" s="90"/>
      <c r="J467" s="90"/>
      <c r="K467" s="90"/>
      <c r="L467" s="90"/>
      <c r="M467" s="90"/>
      <c r="N467" s="150"/>
      <c r="O467" s="152"/>
      <c r="P467" s="90"/>
      <c r="Q467" s="140"/>
      <c r="R467" s="90"/>
      <c r="S467" s="140"/>
      <c r="T467" s="90"/>
      <c r="U467" s="140"/>
      <c r="V467" s="90"/>
      <c r="W467" s="140"/>
      <c r="X467" s="90"/>
      <c r="Y467" s="140"/>
      <c r="Z467" s="90"/>
      <c r="AA467" s="140"/>
      <c r="AB467" s="62"/>
      <c r="AC467" s="140"/>
      <c r="AD467" s="62"/>
      <c r="AE467" s="140"/>
      <c r="AF467" s="189" t="str">
        <f t="shared" si="19"/>
        <v/>
      </c>
      <c r="AG467" s="304" t="b">
        <f t="shared" si="18"/>
        <v>0</v>
      </c>
      <c r="AH467" s="9"/>
      <c r="AI467" s="145">
        <f t="shared" si="17"/>
        <v>0</v>
      </c>
      <c r="AJ467" s="147" t="s">
        <v>36</v>
      </c>
    </row>
    <row r="468" spans="1:36" ht="30" customHeight="1">
      <c r="A468" s="90"/>
      <c r="B468" s="90"/>
      <c r="C468" s="90"/>
      <c r="D468" s="90"/>
      <c r="E468" s="90"/>
      <c r="F468" s="90"/>
      <c r="G468" s="90"/>
      <c r="H468" s="90"/>
      <c r="I468" s="90"/>
      <c r="J468" s="90"/>
      <c r="K468" s="90"/>
      <c r="L468" s="90"/>
      <c r="M468" s="90"/>
      <c r="N468" s="150"/>
      <c r="O468" s="152"/>
      <c r="P468" s="90"/>
      <c r="Q468" s="140"/>
      <c r="R468" s="90"/>
      <c r="S468" s="140"/>
      <c r="T468" s="90"/>
      <c r="U468" s="140"/>
      <c r="V468" s="90"/>
      <c r="W468" s="140"/>
      <c r="X468" s="90"/>
      <c r="Y468" s="140"/>
      <c r="Z468" s="90"/>
      <c r="AA468" s="140"/>
      <c r="AB468" s="62"/>
      <c r="AC468" s="140"/>
      <c r="AD468" s="62"/>
      <c r="AE468" s="140"/>
      <c r="AF468" s="189" t="str">
        <f t="shared" si="19"/>
        <v/>
      </c>
      <c r="AG468" s="304" t="b">
        <f t="shared" si="18"/>
        <v>0</v>
      </c>
      <c r="AH468" s="9"/>
      <c r="AI468" s="145">
        <f t="shared" si="17"/>
        <v>0</v>
      </c>
      <c r="AJ468" s="147" t="s">
        <v>36</v>
      </c>
    </row>
    <row r="469" spans="1:36" ht="30" customHeight="1">
      <c r="A469" s="90"/>
      <c r="B469" s="90"/>
      <c r="C469" s="90"/>
      <c r="D469" s="90"/>
      <c r="E469" s="90"/>
      <c r="F469" s="90"/>
      <c r="G469" s="90"/>
      <c r="H469" s="90"/>
      <c r="I469" s="90"/>
      <c r="J469" s="90"/>
      <c r="K469" s="90"/>
      <c r="L469" s="90"/>
      <c r="M469" s="90"/>
      <c r="N469" s="150"/>
      <c r="O469" s="152"/>
      <c r="P469" s="90"/>
      <c r="Q469" s="140"/>
      <c r="R469" s="90"/>
      <c r="S469" s="140"/>
      <c r="T469" s="90"/>
      <c r="U469" s="140"/>
      <c r="V469" s="90"/>
      <c r="W469" s="140"/>
      <c r="X469" s="90"/>
      <c r="Y469" s="140"/>
      <c r="Z469" s="90"/>
      <c r="AA469" s="140"/>
      <c r="AB469" s="62"/>
      <c r="AC469" s="140"/>
      <c r="AD469" s="62"/>
      <c r="AE469" s="140"/>
      <c r="AF469" s="189" t="str">
        <f t="shared" si="19"/>
        <v/>
      </c>
      <c r="AG469" s="304" t="b">
        <f t="shared" si="18"/>
        <v>0</v>
      </c>
      <c r="AH469" s="9"/>
      <c r="AI469" s="145">
        <f t="shared" si="17"/>
        <v>0</v>
      </c>
      <c r="AJ469" s="147" t="s">
        <v>36</v>
      </c>
    </row>
    <row r="470" spans="1:36" ht="30" customHeight="1">
      <c r="A470" s="90"/>
      <c r="B470" s="90"/>
      <c r="C470" s="90"/>
      <c r="D470" s="90"/>
      <c r="E470" s="90"/>
      <c r="F470" s="90"/>
      <c r="G470" s="90"/>
      <c r="H470" s="90"/>
      <c r="I470" s="90"/>
      <c r="J470" s="90"/>
      <c r="K470" s="90"/>
      <c r="L470" s="90"/>
      <c r="M470" s="90"/>
      <c r="N470" s="150"/>
      <c r="O470" s="152"/>
      <c r="P470" s="90"/>
      <c r="Q470" s="140"/>
      <c r="R470" s="90"/>
      <c r="S470" s="140"/>
      <c r="T470" s="90"/>
      <c r="U470" s="140"/>
      <c r="V470" s="90"/>
      <c r="W470" s="140"/>
      <c r="X470" s="90"/>
      <c r="Y470" s="140"/>
      <c r="Z470" s="90"/>
      <c r="AA470" s="140"/>
      <c r="AB470" s="62"/>
      <c r="AC470" s="140"/>
      <c r="AD470" s="62"/>
      <c r="AE470" s="140"/>
      <c r="AF470" s="189" t="str">
        <f t="shared" si="19"/>
        <v/>
      </c>
      <c r="AG470" s="304" t="b">
        <f t="shared" si="18"/>
        <v>0</v>
      </c>
      <c r="AH470" s="9"/>
      <c r="AI470" s="145">
        <f t="shared" si="17"/>
        <v>0</v>
      </c>
      <c r="AJ470" s="147" t="s">
        <v>36</v>
      </c>
    </row>
    <row r="471" spans="1:36" ht="30" customHeight="1">
      <c r="A471" s="90"/>
      <c r="B471" s="90"/>
      <c r="C471" s="90"/>
      <c r="D471" s="90"/>
      <c r="E471" s="90"/>
      <c r="F471" s="90"/>
      <c r="G471" s="90"/>
      <c r="H471" s="90"/>
      <c r="I471" s="90"/>
      <c r="J471" s="90"/>
      <c r="K471" s="90"/>
      <c r="L471" s="90"/>
      <c r="M471" s="90"/>
      <c r="N471" s="150"/>
      <c r="O471" s="152"/>
      <c r="P471" s="90"/>
      <c r="Q471" s="140"/>
      <c r="R471" s="90"/>
      <c r="S471" s="140"/>
      <c r="T471" s="90"/>
      <c r="U471" s="140"/>
      <c r="V471" s="90"/>
      <c r="W471" s="140"/>
      <c r="X471" s="90"/>
      <c r="Y471" s="140"/>
      <c r="Z471" s="90"/>
      <c r="AA471" s="140"/>
      <c r="AB471" s="62"/>
      <c r="AC471" s="140"/>
      <c r="AD471" s="62"/>
      <c r="AE471" s="140"/>
      <c r="AF471" s="189" t="str">
        <f t="shared" si="19"/>
        <v/>
      </c>
      <c r="AG471" s="304" t="b">
        <f t="shared" si="18"/>
        <v>0</v>
      </c>
      <c r="AH471" s="9"/>
      <c r="AI471" s="145">
        <f t="shared" si="17"/>
        <v>0</v>
      </c>
      <c r="AJ471" s="147" t="s">
        <v>36</v>
      </c>
    </row>
    <row r="472" spans="1:36" ht="30" customHeight="1">
      <c r="A472" s="90"/>
      <c r="B472" s="90"/>
      <c r="C472" s="90"/>
      <c r="D472" s="90"/>
      <c r="E472" s="90"/>
      <c r="F472" s="90"/>
      <c r="G472" s="90"/>
      <c r="H472" s="90"/>
      <c r="I472" s="90"/>
      <c r="J472" s="90"/>
      <c r="K472" s="90"/>
      <c r="L472" s="90"/>
      <c r="M472" s="90"/>
      <c r="N472" s="150"/>
      <c r="O472" s="152"/>
      <c r="P472" s="90"/>
      <c r="Q472" s="140"/>
      <c r="R472" s="90"/>
      <c r="S472" s="140"/>
      <c r="T472" s="90"/>
      <c r="U472" s="140"/>
      <c r="V472" s="90"/>
      <c r="W472" s="140"/>
      <c r="X472" s="90"/>
      <c r="Y472" s="140"/>
      <c r="Z472" s="90"/>
      <c r="AA472" s="140"/>
      <c r="AB472" s="62"/>
      <c r="AC472" s="140"/>
      <c r="AD472" s="62"/>
      <c r="AE472" s="140"/>
      <c r="AF472" s="189" t="str">
        <f t="shared" si="19"/>
        <v/>
      </c>
      <c r="AG472" s="304" t="b">
        <f t="shared" si="18"/>
        <v>0</v>
      </c>
      <c r="AH472" s="9"/>
      <c r="AI472" s="145">
        <f t="shared" si="17"/>
        <v>0</v>
      </c>
      <c r="AJ472" s="147" t="s">
        <v>36</v>
      </c>
    </row>
    <row r="473" spans="1:36" ht="30" customHeight="1">
      <c r="A473" s="90"/>
      <c r="B473" s="90"/>
      <c r="C473" s="90"/>
      <c r="D473" s="90"/>
      <c r="E473" s="90"/>
      <c r="F473" s="90"/>
      <c r="G473" s="90"/>
      <c r="H473" s="90"/>
      <c r="I473" s="90"/>
      <c r="J473" s="90"/>
      <c r="K473" s="90"/>
      <c r="L473" s="90"/>
      <c r="M473" s="90"/>
      <c r="N473" s="150"/>
      <c r="O473" s="152"/>
      <c r="P473" s="90"/>
      <c r="Q473" s="140"/>
      <c r="R473" s="90"/>
      <c r="S473" s="140"/>
      <c r="T473" s="90"/>
      <c r="U473" s="140"/>
      <c r="V473" s="90"/>
      <c r="W473" s="140"/>
      <c r="X473" s="90"/>
      <c r="Y473" s="140"/>
      <c r="Z473" s="90"/>
      <c r="AA473" s="140"/>
      <c r="AB473" s="62"/>
      <c r="AC473" s="140"/>
      <c r="AD473" s="62"/>
      <c r="AE473" s="140"/>
      <c r="AF473" s="189" t="str">
        <f t="shared" si="19"/>
        <v/>
      </c>
      <c r="AG473" s="304" t="b">
        <f t="shared" si="18"/>
        <v>0</v>
      </c>
      <c r="AH473" s="9"/>
      <c r="AI473" s="145">
        <f t="shared" si="17"/>
        <v>0</v>
      </c>
      <c r="AJ473" s="147" t="s">
        <v>36</v>
      </c>
    </row>
    <row r="474" spans="1:36" ht="30" customHeight="1">
      <c r="A474" s="90"/>
      <c r="B474" s="90"/>
      <c r="C474" s="90"/>
      <c r="D474" s="90"/>
      <c r="E474" s="90"/>
      <c r="F474" s="90"/>
      <c r="G474" s="90"/>
      <c r="H474" s="90"/>
      <c r="I474" s="90"/>
      <c r="J474" s="90"/>
      <c r="K474" s="90"/>
      <c r="L474" s="90"/>
      <c r="M474" s="90"/>
      <c r="N474" s="150"/>
      <c r="O474" s="152"/>
      <c r="P474" s="90"/>
      <c r="Q474" s="140"/>
      <c r="R474" s="90"/>
      <c r="S474" s="140"/>
      <c r="T474" s="90"/>
      <c r="U474" s="140"/>
      <c r="V474" s="90"/>
      <c r="W474" s="140"/>
      <c r="X474" s="90"/>
      <c r="Y474" s="140"/>
      <c r="Z474" s="90"/>
      <c r="AA474" s="140"/>
      <c r="AB474" s="62"/>
      <c r="AC474" s="140"/>
      <c r="AD474" s="62"/>
      <c r="AE474" s="140"/>
      <c r="AF474" s="189" t="str">
        <f t="shared" si="19"/>
        <v/>
      </c>
      <c r="AG474" s="304" t="b">
        <f t="shared" si="18"/>
        <v>0</v>
      </c>
      <c r="AH474" s="9"/>
      <c r="AI474" s="145">
        <f t="shared" si="17"/>
        <v>0</v>
      </c>
      <c r="AJ474" s="147" t="s">
        <v>36</v>
      </c>
    </row>
    <row r="475" spans="1:36" ht="30" customHeight="1">
      <c r="A475" s="90"/>
      <c r="B475" s="90"/>
      <c r="C475" s="90"/>
      <c r="D475" s="90"/>
      <c r="E475" s="90"/>
      <c r="F475" s="90"/>
      <c r="G475" s="90"/>
      <c r="H475" s="90"/>
      <c r="I475" s="90"/>
      <c r="J475" s="90"/>
      <c r="K475" s="90"/>
      <c r="L475" s="90"/>
      <c r="M475" s="90"/>
      <c r="N475" s="150"/>
      <c r="O475" s="152"/>
      <c r="P475" s="90"/>
      <c r="Q475" s="140"/>
      <c r="R475" s="90"/>
      <c r="S475" s="140"/>
      <c r="T475" s="90"/>
      <c r="U475" s="140"/>
      <c r="V475" s="90"/>
      <c r="W475" s="140"/>
      <c r="X475" s="90"/>
      <c r="Y475" s="140"/>
      <c r="Z475" s="90"/>
      <c r="AA475" s="140"/>
      <c r="AB475" s="62"/>
      <c r="AC475" s="140"/>
      <c r="AD475" s="62"/>
      <c r="AE475" s="140"/>
      <c r="AF475" s="189" t="str">
        <f t="shared" si="19"/>
        <v/>
      </c>
      <c r="AG475" s="304" t="b">
        <f t="shared" si="18"/>
        <v>0</v>
      </c>
      <c r="AH475" s="9"/>
      <c r="AI475" s="145">
        <f t="shared" si="17"/>
        <v>0</v>
      </c>
      <c r="AJ475" s="147" t="s">
        <v>36</v>
      </c>
    </row>
    <row r="476" spans="1:36" ht="30" customHeight="1">
      <c r="A476" s="90"/>
      <c r="B476" s="90"/>
      <c r="C476" s="90"/>
      <c r="D476" s="90"/>
      <c r="E476" s="90"/>
      <c r="F476" s="90"/>
      <c r="G476" s="90"/>
      <c r="H476" s="90"/>
      <c r="I476" s="90"/>
      <c r="J476" s="90"/>
      <c r="K476" s="90"/>
      <c r="L476" s="90"/>
      <c r="M476" s="90"/>
      <c r="N476" s="150"/>
      <c r="O476" s="152"/>
      <c r="P476" s="90"/>
      <c r="Q476" s="140"/>
      <c r="R476" s="90"/>
      <c r="S476" s="140"/>
      <c r="T476" s="90"/>
      <c r="U476" s="140"/>
      <c r="V476" s="90"/>
      <c r="W476" s="140"/>
      <c r="X476" s="90"/>
      <c r="Y476" s="140"/>
      <c r="Z476" s="90"/>
      <c r="AA476" s="140"/>
      <c r="AB476" s="62"/>
      <c r="AC476" s="140"/>
      <c r="AD476" s="62"/>
      <c r="AE476" s="140"/>
      <c r="AF476" s="189" t="str">
        <f t="shared" si="19"/>
        <v/>
      </c>
      <c r="AG476" s="304" t="b">
        <f t="shared" si="18"/>
        <v>0</v>
      </c>
      <c r="AH476" s="9"/>
      <c r="AI476" s="145">
        <f t="shared" si="17"/>
        <v>0</v>
      </c>
      <c r="AJ476" s="147" t="s">
        <v>36</v>
      </c>
    </row>
    <row r="477" spans="1:36" ht="30" customHeight="1">
      <c r="A477" s="90"/>
      <c r="B477" s="90"/>
      <c r="C477" s="90"/>
      <c r="D477" s="90"/>
      <c r="E477" s="90"/>
      <c r="F477" s="90"/>
      <c r="G477" s="90"/>
      <c r="H477" s="90"/>
      <c r="I477" s="90"/>
      <c r="J477" s="90"/>
      <c r="K477" s="90"/>
      <c r="L477" s="90"/>
      <c r="M477" s="90"/>
      <c r="N477" s="150"/>
      <c r="O477" s="152"/>
      <c r="P477" s="90"/>
      <c r="Q477" s="140"/>
      <c r="R477" s="90"/>
      <c r="S477" s="140"/>
      <c r="T477" s="90"/>
      <c r="U477" s="140"/>
      <c r="V477" s="90"/>
      <c r="W477" s="140"/>
      <c r="X477" s="90"/>
      <c r="Y477" s="140"/>
      <c r="Z477" s="90"/>
      <c r="AA477" s="140"/>
      <c r="AB477" s="62"/>
      <c r="AC477" s="140"/>
      <c r="AD477" s="62"/>
      <c r="AE477" s="140"/>
      <c r="AF477" s="189" t="str">
        <f t="shared" si="19"/>
        <v/>
      </c>
      <c r="AG477" s="304" t="b">
        <f t="shared" si="18"/>
        <v>0</v>
      </c>
      <c r="AH477" s="9"/>
      <c r="AI477" s="145">
        <f t="shared" si="17"/>
        <v>0</v>
      </c>
      <c r="AJ477" s="147" t="s">
        <v>36</v>
      </c>
    </row>
    <row r="478" spans="1:36" ht="30" customHeight="1">
      <c r="A478" s="90"/>
      <c r="B478" s="90"/>
      <c r="C478" s="90"/>
      <c r="D478" s="90"/>
      <c r="E478" s="90"/>
      <c r="F478" s="90"/>
      <c r="G478" s="90"/>
      <c r="H478" s="90"/>
      <c r="I478" s="90"/>
      <c r="J478" s="90"/>
      <c r="K478" s="90"/>
      <c r="L478" s="90"/>
      <c r="M478" s="90"/>
      <c r="N478" s="150"/>
      <c r="O478" s="152"/>
      <c r="P478" s="90"/>
      <c r="Q478" s="140"/>
      <c r="R478" s="90"/>
      <c r="S478" s="140"/>
      <c r="T478" s="90"/>
      <c r="U478" s="140"/>
      <c r="V478" s="90"/>
      <c r="W478" s="140"/>
      <c r="X478" s="90"/>
      <c r="Y478" s="140"/>
      <c r="Z478" s="90"/>
      <c r="AA478" s="140"/>
      <c r="AB478" s="62"/>
      <c r="AC478" s="140"/>
      <c r="AD478" s="62"/>
      <c r="AE478" s="140"/>
      <c r="AF478" s="189" t="str">
        <f t="shared" si="19"/>
        <v/>
      </c>
      <c r="AG478" s="304" t="b">
        <f t="shared" si="18"/>
        <v>0</v>
      </c>
      <c r="AH478" s="9"/>
      <c r="AI478" s="145">
        <f t="shared" si="17"/>
        <v>0</v>
      </c>
      <c r="AJ478" s="147" t="s">
        <v>36</v>
      </c>
    </row>
    <row r="479" spans="1:36" ht="30" customHeight="1">
      <c r="A479" s="90"/>
      <c r="B479" s="90"/>
      <c r="C479" s="90"/>
      <c r="D479" s="90"/>
      <c r="E479" s="90"/>
      <c r="F479" s="90"/>
      <c r="G479" s="90"/>
      <c r="H479" s="90"/>
      <c r="I479" s="90"/>
      <c r="J479" s="90"/>
      <c r="K479" s="90"/>
      <c r="L479" s="90"/>
      <c r="M479" s="90"/>
      <c r="N479" s="150"/>
      <c r="O479" s="152"/>
      <c r="P479" s="90"/>
      <c r="Q479" s="140"/>
      <c r="R479" s="90"/>
      <c r="S479" s="140"/>
      <c r="T479" s="90"/>
      <c r="U479" s="140"/>
      <c r="V479" s="90"/>
      <c r="W479" s="140"/>
      <c r="X479" s="90"/>
      <c r="Y479" s="140"/>
      <c r="Z479" s="90"/>
      <c r="AA479" s="140"/>
      <c r="AB479" s="62"/>
      <c r="AC479" s="140"/>
      <c r="AD479" s="62"/>
      <c r="AE479" s="140"/>
      <c r="AF479" s="189" t="str">
        <f t="shared" si="19"/>
        <v/>
      </c>
      <c r="AG479" s="304" t="b">
        <f t="shared" si="18"/>
        <v>0</v>
      </c>
      <c r="AH479" s="9"/>
      <c r="AI479" s="145">
        <f t="shared" si="17"/>
        <v>0</v>
      </c>
      <c r="AJ479" s="147" t="s">
        <v>36</v>
      </c>
    </row>
    <row r="480" spans="1:36" ht="30" customHeight="1">
      <c r="A480" s="90"/>
      <c r="B480" s="90"/>
      <c r="C480" s="90"/>
      <c r="D480" s="90"/>
      <c r="E480" s="90"/>
      <c r="F480" s="90"/>
      <c r="G480" s="90"/>
      <c r="H480" s="90"/>
      <c r="I480" s="90"/>
      <c r="J480" s="90"/>
      <c r="K480" s="90"/>
      <c r="L480" s="90"/>
      <c r="M480" s="90"/>
      <c r="N480" s="150"/>
      <c r="O480" s="152"/>
      <c r="P480" s="90"/>
      <c r="Q480" s="140"/>
      <c r="R480" s="90"/>
      <c r="S480" s="140"/>
      <c r="T480" s="90"/>
      <c r="U480" s="140"/>
      <c r="V480" s="90"/>
      <c r="W480" s="140"/>
      <c r="X480" s="90"/>
      <c r="Y480" s="140"/>
      <c r="Z480" s="90"/>
      <c r="AA480" s="140"/>
      <c r="AB480" s="62"/>
      <c r="AC480" s="140"/>
      <c r="AD480" s="62"/>
      <c r="AE480" s="140"/>
      <c r="AF480" s="189" t="str">
        <f t="shared" si="19"/>
        <v/>
      </c>
      <c r="AG480" s="304" t="b">
        <f t="shared" si="18"/>
        <v>0</v>
      </c>
      <c r="AH480" s="9"/>
      <c r="AI480" s="145">
        <f t="shared" si="17"/>
        <v>0</v>
      </c>
      <c r="AJ480" s="147" t="s">
        <v>36</v>
      </c>
    </row>
    <row r="481" spans="1:36" ht="30" customHeight="1">
      <c r="A481" s="90"/>
      <c r="B481" s="90"/>
      <c r="C481" s="90"/>
      <c r="D481" s="90"/>
      <c r="E481" s="90"/>
      <c r="F481" s="90"/>
      <c r="G481" s="90"/>
      <c r="H481" s="90"/>
      <c r="I481" s="90"/>
      <c r="J481" s="90"/>
      <c r="K481" s="90"/>
      <c r="L481" s="90"/>
      <c r="M481" s="90"/>
      <c r="N481" s="150"/>
      <c r="O481" s="152"/>
      <c r="P481" s="90"/>
      <c r="Q481" s="140"/>
      <c r="R481" s="90"/>
      <c r="S481" s="140"/>
      <c r="T481" s="90"/>
      <c r="U481" s="140"/>
      <c r="V481" s="90"/>
      <c r="W481" s="140"/>
      <c r="X481" s="90"/>
      <c r="Y481" s="140"/>
      <c r="Z481" s="90"/>
      <c r="AA481" s="140"/>
      <c r="AB481" s="62"/>
      <c r="AC481" s="140"/>
      <c r="AD481" s="62"/>
      <c r="AE481" s="140"/>
      <c r="AF481" s="189" t="str">
        <f t="shared" si="19"/>
        <v/>
      </c>
      <c r="AG481" s="304" t="b">
        <f t="shared" si="18"/>
        <v>0</v>
      </c>
      <c r="AH481" s="9"/>
      <c r="AI481" s="145">
        <f t="shared" si="17"/>
        <v>0</v>
      </c>
      <c r="AJ481" s="147" t="s">
        <v>36</v>
      </c>
    </row>
    <row r="482" spans="1:36" ht="30" customHeight="1">
      <c r="A482" s="90"/>
      <c r="B482" s="90"/>
      <c r="C482" s="90"/>
      <c r="D482" s="90"/>
      <c r="E482" s="90"/>
      <c r="F482" s="90"/>
      <c r="G482" s="90"/>
      <c r="H482" s="90"/>
      <c r="I482" s="90"/>
      <c r="J482" s="90"/>
      <c r="K482" s="90"/>
      <c r="L482" s="90"/>
      <c r="M482" s="90"/>
      <c r="N482" s="150"/>
      <c r="O482" s="152"/>
      <c r="P482" s="90"/>
      <c r="Q482" s="140"/>
      <c r="R482" s="90"/>
      <c r="S482" s="140"/>
      <c r="T482" s="90"/>
      <c r="U482" s="140"/>
      <c r="V482" s="90"/>
      <c r="W482" s="140"/>
      <c r="X482" s="90"/>
      <c r="Y482" s="140"/>
      <c r="Z482" s="90"/>
      <c r="AA482" s="140"/>
      <c r="AB482" s="62"/>
      <c r="AC482" s="140"/>
      <c r="AD482" s="62"/>
      <c r="AE482" s="140"/>
      <c r="AF482" s="189" t="str">
        <f t="shared" si="19"/>
        <v/>
      </c>
      <c r="AG482" s="304" t="b">
        <f t="shared" si="18"/>
        <v>0</v>
      </c>
      <c r="AH482" s="9"/>
      <c r="AI482" s="145">
        <f t="shared" si="17"/>
        <v>0</v>
      </c>
      <c r="AJ482" s="147" t="s">
        <v>36</v>
      </c>
    </row>
    <row r="483" spans="1:36" ht="30" customHeight="1">
      <c r="A483" s="90"/>
      <c r="B483" s="90"/>
      <c r="C483" s="90"/>
      <c r="D483" s="90"/>
      <c r="E483" s="90"/>
      <c r="F483" s="90"/>
      <c r="G483" s="90"/>
      <c r="H483" s="90"/>
      <c r="I483" s="90"/>
      <c r="J483" s="90"/>
      <c r="K483" s="90"/>
      <c r="L483" s="90"/>
      <c r="M483" s="90"/>
      <c r="N483" s="150"/>
      <c r="O483" s="152"/>
      <c r="P483" s="90"/>
      <c r="Q483" s="140"/>
      <c r="R483" s="90"/>
      <c r="S483" s="140"/>
      <c r="T483" s="90"/>
      <c r="U483" s="140"/>
      <c r="V483" s="90"/>
      <c r="W483" s="140"/>
      <c r="X483" s="90"/>
      <c r="Y483" s="140"/>
      <c r="Z483" s="90"/>
      <c r="AA483" s="140"/>
      <c r="AB483" s="62"/>
      <c r="AC483" s="140"/>
      <c r="AD483" s="62"/>
      <c r="AE483" s="140"/>
      <c r="AF483" s="189" t="str">
        <f t="shared" si="19"/>
        <v/>
      </c>
      <c r="AG483" s="304" t="b">
        <f t="shared" si="18"/>
        <v>0</v>
      </c>
      <c r="AH483" s="9"/>
      <c r="AI483" s="145">
        <f t="shared" si="17"/>
        <v>0</v>
      </c>
      <c r="AJ483" s="147" t="s">
        <v>36</v>
      </c>
    </row>
    <row r="484" spans="1:36" ht="30" customHeight="1">
      <c r="A484" s="90"/>
      <c r="B484" s="90"/>
      <c r="C484" s="90"/>
      <c r="D484" s="90"/>
      <c r="E484" s="90"/>
      <c r="F484" s="90"/>
      <c r="G484" s="90"/>
      <c r="H484" s="90"/>
      <c r="I484" s="90"/>
      <c r="J484" s="90"/>
      <c r="K484" s="90"/>
      <c r="L484" s="90"/>
      <c r="M484" s="90"/>
      <c r="N484" s="150"/>
      <c r="O484" s="152"/>
      <c r="P484" s="90"/>
      <c r="Q484" s="140"/>
      <c r="R484" s="90"/>
      <c r="S484" s="140"/>
      <c r="T484" s="90"/>
      <c r="U484" s="140"/>
      <c r="V484" s="90"/>
      <c r="W484" s="140"/>
      <c r="X484" s="90"/>
      <c r="Y484" s="140"/>
      <c r="Z484" s="90"/>
      <c r="AA484" s="140"/>
      <c r="AB484" s="62"/>
      <c r="AC484" s="140"/>
      <c r="AD484" s="62"/>
      <c r="AE484" s="140"/>
      <c r="AF484" s="189" t="str">
        <f t="shared" si="19"/>
        <v/>
      </c>
      <c r="AG484" s="304" t="b">
        <f t="shared" si="18"/>
        <v>0</v>
      </c>
      <c r="AH484" s="9"/>
      <c r="AI484" s="145">
        <f t="shared" si="17"/>
        <v>0</v>
      </c>
      <c r="AJ484" s="147" t="s">
        <v>36</v>
      </c>
    </row>
    <row r="485" spans="1:36" ht="30" customHeight="1">
      <c r="A485" s="90"/>
      <c r="B485" s="90"/>
      <c r="C485" s="90"/>
      <c r="D485" s="90"/>
      <c r="E485" s="90"/>
      <c r="F485" s="90"/>
      <c r="G485" s="90"/>
      <c r="H485" s="90"/>
      <c r="I485" s="90"/>
      <c r="J485" s="90"/>
      <c r="K485" s="90"/>
      <c r="L485" s="90"/>
      <c r="M485" s="90"/>
      <c r="N485" s="150"/>
      <c r="O485" s="152"/>
      <c r="P485" s="90"/>
      <c r="Q485" s="140"/>
      <c r="R485" s="90"/>
      <c r="S485" s="140"/>
      <c r="T485" s="90"/>
      <c r="U485" s="140"/>
      <c r="V485" s="90"/>
      <c r="W485" s="140"/>
      <c r="X485" s="90"/>
      <c r="Y485" s="140"/>
      <c r="Z485" s="90"/>
      <c r="AA485" s="140"/>
      <c r="AB485" s="62"/>
      <c r="AC485" s="140"/>
      <c r="AD485" s="62"/>
      <c r="AE485" s="140"/>
      <c r="AF485" s="189" t="str">
        <f t="shared" si="19"/>
        <v/>
      </c>
      <c r="AG485" s="304" t="b">
        <f t="shared" si="18"/>
        <v>0</v>
      </c>
      <c r="AH485" s="9"/>
      <c r="AI485" s="145">
        <f t="shared" si="17"/>
        <v>0</v>
      </c>
      <c r="AJ485" s="147" t="s">
        <v>36</v>
      </c>
    </row>
    <row r="486" spans="1:36" ht="30" customHeight="1">
      <c r="A486" s="90"/>
      <c r="B486" s="90"/>
      <c r="C486" s="90"/>
      <c r="D486" s="90"/>
      <c r="E486" s="90"/>
      <c r="F486" s="90"/>
      <c r="G486" s="90"/>
      <c r="H486" s="90"/>
      <c r="I486" s="90"/>
      <c r="J486" s="90"/>
      <c r="K486" s="90"/>
      <c r="L486" s="90"/>
      <c r="M486" s="90"/>
      <c r="N486" s="150"/>
      <c r="O486" s="152"/>
      <c r="P486" s="90"/>
      <c r="Q486" s="140"/>
      <c r="R486" s="90"/>
      <c r="S486" s="140"/>
      <c r="T486" s="90"/>
      <c r="U486" s="140"/>
      <c r="V486" s="90"/>
      <c r="W486" s="140"/>
      <c r="X486" s="90"/>
      <c r="Y486" s="140"/>
      <c r="Z486" s="90"/>
      <c r="AA486" s="140"/>
      <c r="AB486" s="62"/>
      <c r="AC486" s="140"/>
      <c r="AD486" s="62"/>
      <c r="AE486" s="140"/>
      <c r="AF486" s="189" t="str">
        <f t="shared" si="19"/>
        <v/>
      </c>
      <c r="AG486" s="304" t="b">
        <f t="shared" si="18"/>
        <v>0</v>
      </c>
      <c r="AH486" s="9"/>
      <c r="AI486" s="145">
        <f t="shared" si="17"/>
        <v>0</v>
      </c>
      <c r="AJ486" s="147" t="s">
        <v>36</v>
      </c>
    </row>
    <row r="487" spans="1:36" ht="30" customHeight="1">
      <c r="A487" s="90"/>
      <c r="B487" s="90"/>
      <c r="C487" s="90"/>
      <c r="D487" s="90"/>
      <c r="E487" s="90"/>
      <c r="F487" s="90"/>
      <c r="G487" s="90"/>
      <c r="H487" s="90"/>
      <c r="I487" s="90"/>
      <c r="J487" s="90"/>
      <c r="K487" s="90"/>
      <c r="L487" s="90"/>
      <c r="M487" s="90"/>
      <c r="N487" s="150"/>
      <c r="O487" s="152"/>
      <c r="P487" s="90"/>
      <c r="Q487" s="140"/>
      <c r="R487" s="90"/>
      <c r="S487" s="140"/>
      <c r="T487" s="90"/>
      <c r="U487" s="140"/>
      <c r="V487" s="90"/>
      <c r="W487" s="140"/>
      <c r="X487" s="90"/>
      <c r="Y487" s="140"/>
      <c r="Z487" s="90"/>
      <c r="AA487" s="140"/>
      <c r="AB487" s="62"/>
      <c r="AC487" s="140"/>
      <c r="AD487" s="62"/>
      <c r="AE487" s="140"/>
      <c r="AF487" s="189" t="str">
        <f t="shared" si="19"/>
        <v/>
      </c>
      <c r="AG487" s="304" t="b">
        <f t="shared" si="18"/>
        <v>0</v>
      </c>
      <c r="AH487" s="9"/>
      <c r="AI487" s="145">
        <f t="shared" si="17"/>
        <v>0</v>
      </c>
      <c r="AJ487" s="147" t="s">
        <v>36</v>
      </c>
    </row>
    <row r="488" spans="1:36" ht="30" customHeight="1">
      <c r="A488" s="90"/>
      <c r="B488" s="90"/>
      <c r="C488" s="90"/>
      <c r="D488" s="90"/>
      <c r="E488" s="90"/>
      <c r="F488" s="90"/>
      <c r="G488" s="90"/>
      <c r="H488" s="90"/>
      <c r="I488" s="90"/>
      <c r="J488" s="90"/>
      <c r="K488" s="90"/>
      <c r="L488" s="90"/>
      <c r="M488" s="90"/>
      <c r="N488" s="150"/>
      <c r="O488" s="152"/>
      <c r="P488" s="90"/>
      <c r="Q488" s="140"/>
      <c r="R488" s="90"/>
      <c r="S488" s="140"/>
      <c r="T488" s="90"/>
      <c r="U488" s="140"/>
      <c r="V488" s="90"/>
      <c r="W488" s="140"/>
      <c r="X488" s="90"/>
      <c r="Y488" s="140"/>
      <c r="Z488" s="90"/>
      <c r="AA488" s="140"/>
      <c r="AB488" s="62"/>
      <c r="AC488" s="140"/>
      <c r="AD488" s="62"/>
      <c r="AE488" s="140"/>
      <c r="AF488" s="189" t="str">
        <f t="shared" si="19"/>
        <v/>
      </c>
      <c r="AG488" s="304" t="b">
        <f t="shared" si="18"/>
        <v>0</v>
      </c>
      <c r="AH488" s="9"/>
      <c r="AI488" s="145">
        <f t="shared" si="17"/>
        <v>0</v>
      </c>
      <c r="AJ488" s="147" t="s">
        <v>36</v>
      </c>
    </row>
    <row r="489" spans="1:36" ht="30" customHeight="1">
      <c r="A489" s="90"/>
      <c r="B489" s="90"/>
      <c r="C489" s="90"/>
      <c r="D489" s="90"/>
      <c r="E489" s="90"/>
      <c r="F489" s="90"/>
      <c r="G489" s="90"/>
      <c r="H489" s="90"/>
      <c r="I489" s="90"/>
      <c r="J489" s="90"/>
      <c r="K489" s="90"/>
      <c r="L489" s="90"/>
      <c r="M489" s="90"/>
      <c r="N489" s="150"/>
      <c r="O489" s="152"/>
      <c r="P489" s="90"/>
      <c r="Q489" s="140"/>
      <c r="R489" s="90"/>
      <c r="S489" s="140"/>
      <c r="T489" s="90"/>
      <c r="U489" s="140"/>
      <c r="V489" s="90"/>
      <c r="W489" s="140"/>
      <c r="X489" s="90"/>
      <c r="Y489" s="140"/>
      <c r="Z489" s="90"/>
      <c r="AA489" s="140"/>
      <c r="AB489" s="62"/>
      <c r="AC489" s="140"/>
      <c r="AD489" s="62"/>
      <c r="AE489" s="140"/>
      <c r="AF489" s="189" t="str">
        <f t="shared" si="19"/>
        <v/>
      </c>
      <c r="AG489" s="304" t="b">
        <f t="shared" si="18"/>
        <v>0</v>
      </c>
      <c r="AH489" s="9"/>
      <c r="AI489" s="145">
        <f t="shared" si="17"/>
        <v>0</v>
      </c>
      <c r="AJ489" s="147" t="s">
        <v>36</v>
      </c>
    </row>
    <row r="490" spans="1:36" ht="30" customHeight="1">
      <c r="A490" s="90"/>
      <c r="B490" s="90"/>
      <c r="C490" s="90"/>
      <c r="D490" s="90"/>
      <c r="E490" s="90"/>
      <c r="F490" s="90"/>
      <c r="G490" s="90"/>
      <c r="H490" s="90"/>
      <c r="I490" s="90"/>
      <c r="J490" s="90"/>
      <c r="K490" s="90"/>
      <c r="L490" s="90"/>
      <c r="M490" s="90"/>
      <c r="N490" s="150"/>
      <c r="O490" s="152"/>
      <c r="P490" s="90"/>
      <c r="Q490" s="140"/>
      <c r="R490" s="90"/>
      <c r="S490" s="140"/>
      <c r="T490" s="90"/>
      <c r="U490" s="140"/>
      <c r="V490" s="90"/>
      <c r="W490" s="140"/>
      <c r="X490" s="90"/>
      <c r="Y490" s="140"/>
      <c r="Z490" s="90"/>
      <c r="AA490" s="140"/>
      <c r="AB490" s="62"/>
      <c r="AC490" s="140"/>
      <c r="AD490" s="62"/>
      <c r="AE490" s="140"/>
      <c r="AF490" s="189" t="str">
        <f t="shared" si="19"/>
        <v/>
      </c>
      <c r="AG490" s="304" t="b">
        <f t="shared" si="18"/>
        <v>0</v>
      </c>
      <c r="AH490" s="9"/>
      <c r="AI490" s="145">
        <f t="shared" si="17"/>
        <v>0</v>
      </c>
      <c r="AJ490" s="147" t="s">
        <v>36</v>
      </c>
    </row>
    <row r="491" spans="1:36" ht="30" customHeight="1">
      <c r="A491" s="90"/>
      <c r="B491" s="90"/>
      <c r="C491" s="90"/>
      <c r="D491" s="90"/>
      <c r="E491" s="90"/>
      <c r="F491" s="90"/>
      <c r="G491" s="90"/>
      <c r="H491" s="90"/>
      <c r="I491" s="90"/>
      <c r="J491" s="90"/>
      <c r="K491" s="90"/>
      <c r="L491" s="90"/>
      <c r="M491" s="90"/>
      <c r="N491" s="150"/>
      <c r="O491" s="152"/>
      <c r="P491" s="90"/>
      <c r="Q491" s="140"/>
      <c r="R491" s="90"/>
      <c r="S491" s="140"/>
      <c r="T491" s="90"/>
      <c r="U491" s="140"/>
      <c r="V491" s="90"/>
      <c r="W491" s="140"/>
      <c r="X491" s="90"/>
      <c r="Y491" s="140"/>
      <c r="Z491" s="90"/>
      <c r="AA491" s="140"/>
      <c r="AB491" s="62"/>
      <c r="AC491" s="140"/>
      <c r="AD491" s="62"/>
      <c r="AE491" s="140"/>
      <c r="AF491" s="189" t="str">
        <f t="shared" si="19"/>
        <v/>
      </c>
      <c r="AG491" s="304" t="b">
        <f t="shared" si="18"/>
        <v>0</v>
      </c>
      <c r="AH491" s="9"/>
      <c r="AI491" s="145">
        <f t="shared" si="17"/>
        <v>0</v>
      </c>
      <c r="AJ491" s="147" t="s">
        <v>36</v>
      </c>
    </row>
    <row r="492" spans="1:36" ht="30" customHeight="1">
      <c r="A492" s="90"/>
      <c r="B492" s="90"/>
      <c r="C492" s="90"/>
      <c r="D492" s="90"/>
      <c r="E492" s="90"/>
      <c r="F492" s="90"/>
      <c r="G492" s="90"/>
      <c r="H492" s="90"/>
      <c r="I492" s="90"/>
      <c r="J492" s="90"/>
      <c r="K492" s="90"/>
      <c r="L492" s="90"/>
      <c r="M492" s="90"/>
      <c r="N492" s="150"/>
      <c r="O492" s="152"/>
      <c r="P492" s="90"/>
      <c r="Q492" s="140"/>
      <c r="R492" s="90"/>
      <c r="S492" s="140"/>
      <c r="T492" s="90"/>
      <c r="U492" s="140"/>
      <c r="V492" s="90"/>
      <c r="W492" s="140"/>
      <c r="X492" s="90"/>
      <c r="Y492" s="140"/>
      <c r="Z492" s="90"/>
      <c r="AA492" s="140"/>
      <c r="AB492" s="62"/>
      <c r="AC492" s="140"/>
      <c r="AD492" s="62"/>
      <c r="AE492" s="140"/>
      <c r="AF492" s="189" t="str">
        <f t="shared" si="19"/>
        <v/>
      </c>
      <c r="AG492" s="304" t="b">
        <f t="shared" si="18"/>
        <v>0</v>
      </c>
      <c r="AH492" s="9"/>
      <c r="AI492" s="145">
        <f t="shared" si="17"/>
        <v>0</v>
      </c>
      <c r="AJ492" s="147" t="s">
        <v>36</v>
      </c>
    </row>
    <row r="493" spans="1:36" ht="30" customHeight="1">
      <c r="A493" s="90"/>
      <c r="B493" s="90"/>
      <c r="C493" s="90"/>
      <c r="D493" s="90"/>
      <c r="E493" s="90"/>
      <c r="F493" s="90"/>
      <c r="G493" s="90"/>
      <c r="H493" s="90"/>
      <c r="I493" s="90"/>
      <c r="J493" s="90"/>
      <c r="K493" s="90"/>
      <c r="L493" s="90"/>
      <c r="M493" s="90"/>
      <c r="N493" s="150"/>
      <c r="O493" s="152"/>
      <c r="P493" s="90"/>
      <c r="Q493" s="140"/>
      <c r="R493" s="90"/>
      <c r="S493" s="140"/>
      <c r="T493" s="90"/>
      <c r="U493" s="140"/>
      <c r="V493" s="90"/>
      <c r="W493" s="140"/>
      <c r="X493" s="90"/>
      <c r="Y493" s="140"/>
      <c r="Z493" s="90"/>
      <c r="AA493" s="140"/>
      <c r="AB493" s="62"/>
      <c r="AC493" s="140"/>
      <c r="AD493" s="62"/>
      <c r="AE493" s="140"/>
      <c r="AF493" s="189" t="str">
        <f t="shared" si="19"/>
        <v/>
      </c>
      <c r="AG493" s="304" t="b">
        <f t="shared" si="18"/>
        <v>0</v>
      </c>
      <c r="AH493" s="9"/>
      <c r="AI493" s="145">
        <f t="shared" si="17"/>
        <v>0</v>
      </c>
      <c r="AJ493" s="147" t="s">
        <v>36</v>
      </c>
    </row>
    <row r="494" spans="1:36" ht="30" customHeight="1">
      <c r="A494" s="90"/>
      <c r="B494" s="90"/>
      <c r="C494" s="90"/>
      <c r="D494" s="90"/>
      <c r="E494" s="90"/>
      <c r="F494" s="90"/>
      <c r="G494" s="90"/>
      <c r="H494" s="90"/>
      <c r="I494" s="90"/>
      <c r="J494" s="90"/>
      <c r="K494" s="90"/>
      <c r="L494" s="90"/>
      <c r="M494" s="90"/>
      <c r="N494" s="150"/>
      <c r="O494" s="152"/>
      <c r="P494" s="90"/>
      <c r="Q494" s="140"/>
      <c r="R494" s="90"/>
      <c r="S494" s="140"/>
      <c r="T494" s="90"/>
      <c r="U494" s="140"/>
      <c r="V494" s="90"/>
      <c r="W494" s="140"/>
      <c r="X494" s="90"/>
      <c r="Y494" s="140"/>
      <c r="Z494" s="90"/>
      <c r="AA494" s="140"/>
      <c r="AB494" s="62"/>
      <c r="AC494" s="140"/>
      <c r="AD494" s="62"/>
      <c r="AE494" s="140"/>
      <c r="AF494" s="189" t="str">
        <f t="shared" si="19"/>
        <v/>
      </c>
      <c r="AG494" s="304" t="b">
        <f t="shared" si="18"/>
        <v>0</v>
      </c>
      <c r="AH494" s="9"/>
      <c r="AI494" s="145">
        <f t="shared" si="17"/>
        <v>0</v>
      </c>
      <c r="AJ494" s="147" t="s">
        <v>36</v>
      </c>
    </row>
    <row r="495" spans="1:36" ht="30" customHeight="1">
      <c r="A495" s="90"/>
      <c r="B495" s="90"/>
      <c r="C495" s="90"/>
      <c r="D495" s="90"/>
      <c r="E495" s="90"/>
      <c r="F495" s="90"/>
      <c r="G495" s="90"/>
      <c r="H495" s="90"/>
      <c r="I495" s="90"/>
      <c r="J495" s="90"/>
      <c r="K495" s="90"/>
      <c r="L495" s="90"/>
      <c r="M495" s="90"/>
      <c r="N495" s="150"/>
      <c r="O495" s="152"/>
      <c r="P495" s="90"/>
      <c r="Q495" s="140"/>
      <c r="R495" s="90"/>
      <c r="S495" s="140"/>
      <c r="T495" s="90"/>
      <c r="U495" s="140"/>
      <c r="V495" s="90"/>
      <c r="W495" s="140"/>
      <c r="X495" s="90"/>
      <c r="Y495" s="140"/>
      <c r="Z495" s="90"/>
      <c r="AA495" s="140"/>
      <c r="AB495" s="62"/>
      <c r="AC495" s="140"/>
      <c r="AD495" s="62"/>
      <c r="AE495" s="140"/>
      <c r="AF495" s="189" t="str">
        <f t="shared" si="19"/>
        <v/>
      </c>
      <c r="AG495" s="304" t="b">
        <f t="shared" si="18"/>
        <v>0</v>
      </c>
      <c r="AH495" s="9"/>
      <c r="AI495" s="145">
        <f t="shared" si="17"/>
        <v>0</v>
      </c>
      <c r="AJ495" s="147" t="s">
        <v>36</v>
      </c>
    </row>
    <row r="496" spans="1:36" ht="30" customHeight="1">
      <c r="A496" s="90"/>
      <c r="B496" s="90"/>
      <c r="C496" s="90"/>
      <c r="D496" s="90"/>
      <c r="E496" s="90"/>
      <c r="F496" s="90"/>
      <c r="G496" s="90"/>
      <c r="H496" s="90"/>
      <c r="I496" s="90"/>
      <c r="J496" s="90"/>
      <c r="K496" s="90"/>
      <c r="L496" s="90"/>
      <c r="M496" s="90"/>
      <c r="N496" s="150"/>
      <c r="O496" s="152"/>
      <c r="P496" s="90"/>
      <c r="Q496" s="140"/>
      <c r="R496" s="90"/>
      <c r="S496" s="140"/>
      <c r="T496" s="90"/>
      <c r="U496" s="140"/>
      <c r="V496" s="90"/>
      <c r="W496" s="140"/>
      <c r="X496" s="90"/>
      <c r="Y496" s="140"/>
      <c r="Z496" s="90"/>
      <c r="AA496" s="140"/>
      <c r="AB496" s="62"/>
      <c r="AC496" s="140"/>
      <c r="AD496" s="62"/>
      <c r="AE496" s="140"/>
      <c r="AF496" s="189" t="str">
        <f t="shared" si="19"/>
        <v/>
      </c>
      <c r="AG496" s="304" t="b">
        <f t="shared" si="18"/>
        <v>0</v>
      </c>
      <c r="AH496" s="9"/>
      <c r="AI496" s="145">
        <f t="shared" si="17"/>
        <v>0</v>
      </c>
      <c r="AJ496" s="147" t="s">
        <v>36</v>
      </c>
    </row>
    <row r="497" spans="1:36" ht="30" customHeight="1">
      <c r="A497" s="90"/>
      <c r="B497" s="90"/>
      <c r="C497" s="90"/>
      <c r="D497" s="90"/>
      <c r="E497" s="90"/>
      <c r="F497" s="90"/>
      <c r="G497" s="90"/>
      <c r="H497" s="90"/>
      <c r="I497" s="90"/>
      <c r="J497" s="90"/>
      <c r="K497" s="90"/>
      <c r="L497" s="90"/>
      <c r="M497" s="90"/>
      <c r="N497" s="150"/>
      <c r="O497" s="152"/>
      <c r="P497" s="90"/>
      <c r="Q497" s="140"/>
      <c r="R497" s="90"/>
      <c r="S497" s="140"/>
      <c r="T497" s="90"/>
      <c r="U497" s="140"/>
      <c r="V497" s="90"/>
      <c r="W497" s="140"/>
      <c r="X497" s="90"/>
      <c r="Y497" s="140"/>
      <c r="Z497" s="90"/>
      <c r="AA497" s="140"/>
      <c r="AB497" s="62"/>
      <c r="AC497" s="140"/>
      <c r="AD497" s="62"/>
      <c r="AE497" s="140"/>
      <c r="AF497" s="189" t="str">
        <f t="shared" si="19"/>
        <v/>
      </c>
      <c r="AG497" s="304" t="b">
        <f t="shared" si="18"/>
        <v>0</v>
      </c>
      <c r="AH497" s="9"/>
      <c r="AI497" s="145">
        <f t="shared" si="17"/>
        <v>0</v>
      </c>
      <c r="AJ497" s="147" t="s">
        <v>36</v>
      </c>
    </row>
    <row r="498" spans="1:36" ht="30" customHeight="1">
      <c r="A498" s="90"/>
      <c r="B498" s="90"/>
      <c r="C498" s="90"/>
      <c r="D498" s="90"/>
      <c r="E498" s="90"/>
      <c r="F498" s="90"/>
      <c r="G498" s="90"/>
      <c r="H498" s="90"/>
      <c r="I498" s="90"/>
      <c r="J498" s="90"/>
      <c r="K498" s="90"/>
      <c r="L498" s="90"/>
      <c r="M498" s="90"/>
      <c r="N498" s="150"/>
      <c r="O498" s="152"/>
      <c r="P498" s="90"/>
      <c r="Q498" s="140"/>
      <c r="R498" s="90"/>
      <c r="S498" s="140"/>
      <c r="T498" s="90"/>
      <c r="U498" s="140"/>
      <c r="V498" s="90"/>
      <c r="W498" s="140"/>
      <c r="X498" s="90"/>
      <c r="Y498" s="140"/>
      <c r="Z498" s="90"/>
      <c r="AA498" s="140"/>
      <c r="AB498" s="62"/>
      <c r="AC498" s="140"/>
      <c r="AD498" s="62"/>
      <c r="AE498" s="140"/>
      <c r="AF498" s="189" t="str">
        <f t="shared" si="19"/>
        <v/>
      </c>
      <c r="AG498" s="304" t="b">
        <f t="shared" si="18"/>
        <v>0</v>
      </c>
      <c r="AH498" s="9"/>
      <c r="AI498" s="145">
        <f t="shared" si="17"/>
        <v>0</v>
      </c>
      <c r="AJ498" s="147" t="s">
        <v>36</v>
      </c>
    </row>
    <row r="499" spans="1:36" ht="30" customHeight="1">
      <c r="A499" s="90"/>
      <c r="B499" s="90"/>
      <c r="C499" s="90"/>
      <c r="D499" s="90"/>
      <c r="E499" s="90"/>
      <c r="F499" s="90"/>
      <c r="G499" s="90"/>
      <c r="H499" s="90"/>
      <c r="I499" s="90"/>
      <c r="J499" s="90"/>
      <c r="K499" s="90"/>
      <c r="L499" s="90"/>
      <c r="M499" s="90"/>
      <c r="N499" s="150"/>
      <c r="O499" s="152"/>
      <c r="P499" s="90"/>
      <c r="Q499" s="140"/>
      <c r="R499" s="90"/>
      <c r="S499" s="140"/>
      <c r="T499" s="90"/>
      <c r="U499" s="140"/>
      <c r="V499" s="90"/>
      <c r="W499" s="140"/>
      <c r="X499" s="90"/>
      <c r="Y499" s="140"/>
      <c r="Z499" s="90"/>
      <c r="AA499" s="140"/>
      <c r="AB499" s="62"/>
      <c r="AC499" s="140"/>
      <c r="AD499" s="62"/>
      <c r="AE499" s="140"/>
      <c r="AF499" s="189" t="str">
        <f t="shared" si="19"/>
        <v/>
      </c>
      <c r="AG499" s="304" t="b">
        <f t="shared" si="18"/>
        <v>0</v>
      </c>
      <c r="AH499" s="9"/>
      <c r="AI499" s="145">
        <f t="shared" si="17"/>
        <v>0</v>
      </c>
      <c r="AJ499" s="147" t="s">
        <v>36</v>
      </c>
    </row>
    <row r="500" spans="1:36" ht="30" customHeight="1">
      <c r="A500" s="90"/>
      <c r="B500" s="90"/>
      <c r="C500" s="90"/>
      <c r="D500" s="90"/>
      <c r="E500" s="90"/>
      <c r="F500" s="90"/>
      <c r="G500" s="90"/>
      <c r="H500" s="90"/>
      <c r="I500" s="90"/>
      <c r="J500" s="90"/>
      <c r="K500" s="90"/>
      <c r="L500" s="90"/>
      <c r="M500" s="90"/>
      <c r="N500" s="150"/>
      <c r="O500" s="152"/>
      <c r="P500" s="90"/>
      <c r="Q500" s="140"/>
      <c r="R500" s="90"/>
      <c r="S500" s="140"/>
      <c r="T500" s="90"/>
      <c r="U500" s="140"/>
      <c r="V500" s="90"/>
      <c r="W500" s="140"/>
      <c r="X500" s="90"/>
      <c r="Y500" s="140"/>
      <c r="Z500" s="90"/>
      <c r="AA500" s="140"/>
      <c r="AB500" s="62"/>
      <c r="AC500" s="140"/>
      <c r="AD500" s="62"/>
      <c r="AE500" s="140"/>
      <c r="AF500" s="189" t="str">
        <f t="shared" si="19"/>
        <v/>
      </c>
      <c r="AG500" s="304" t="b">
        <f t="shared" si="18"/>
        <v>0</v>
      </c>
      <c r="AH500" s="9"/>
      <c r="AI500" s="145">
        <f t="shared" si="17"/>
        <v>0</v>
      </c>
      <c r="AJ500" s="147" t="s">
        <v>36</v>
      </c>
    </row>
    <row r="501" spans="1:36" ht="30" customHeight="1">
      <c r="A501" s="90"/>
      <c r="B501" s="90"/>
      <c r="C501" s="90"/>
      <c r="D501" s="90"/>
      <c r="E501" s="90"/>
      <c r="F501" s="90"/>
      <c r="G501" s="90"/>
      <c r="H501" s="90"/>
      <c r="I501" s="90"/>
      <c r="J501" s="90"/>
      <c r="K501" s="90"/>
      <c r="L501" s="90"/>
      <c r="M501" s="90"/>
      <c r="N501" s="150"/>
      <c r="O501" s="152"/>
      <c r="P501" s="90"/>
      <c r="Q501" s="140"/>
      <c r="R501" s="90"/>
      <c r="S501" s="140"/>
      <c r="T501" s="90"/>
      <c r="U501" s="140"/>
      <c r="V501" s="90"/>
      <c r="W501" s="140"/>
      <c r="X501" s="90"/>
      <c r="Y501" s="140"/>
      <c r="Z501" s="90"/>
      <c r="AA501" s="140"/>
      <c r="AB501" s="62"/>
      <c r="AC501" s="140"/>
      <c r="AD501" s="62"/>
      <c r="AE501" s="140"/>
      <c r="AF501" s="189" t="str">
        <f t="shared" si="19"/>
        <v/>
      </c>
      <c r="AG501" s="304" t="b">
        <f t="shared" si="18"/>
        <v>0</v>
      </c>
      <c r="AH501" s="9"/>
      <c r="AI501" s="145">
        <f t="shared" si="17"/>
        <v>0</v>
      </c>
      <c r="AJ501" s="147" t="s">
        <v>36</v>
      </c>
    </row>
    <row r="502" spans="1:36" ht="30" customHeight="1">
      <c r="A502" s="90"/>
      <c r="B502" s="90"/>
      <c r="C502" s="90"/>
      <c r="D502" s="90"/>
      <c r="E502" s="90"/>
      <c r="F502" s="90"/>
      <c r="G502" s="90"/>
      <c r="H502" s="90"/>
      <c r="I502" s="90"/>
      <c r="J502" s="90"/>
      <c r="K502" s="90"/>
      <c r="L502" s="90"/>
      <c r="M502" s="90"/>
      <c r="N502" s="150"/>
      <c r="O502" s="152"/>
      <c r="P502" s="90"/>
      <c r="Q502" s="140"/>
      <c r="R502" s="90"/>
      <c r="S502" s="140"/>
      <c r="T502" s="90"/>
      <c r="U502" s="140"/>
      <c r="V502" s="90"/>
      <c r="W502" s="140"/>
      <c r="X502" s="90"/>
      <c r="Y502" s="140"/>
      <c r="Z502" s="90"/>
      <c r="AA502" s="140"/>
      <c r="AB502" s="62"/>
      <c r="AC502" s="140"/>
      <c r="AD502" s="62"/>
      <c r="AE502" s="140"/>
      <c r="AF502" s="189" t="str">
        <f t="shared" si="19"/>
        <v/>
      </c>
      <c r="AG502" s="304" t="b">
        <f t="shared" si="18"/>
        <v>0</v>
      </c>
      <c r="AH502" s="9"/>
      <c r="AI502" s="145">
        <f t="shared" si="17"/>
        <v>0</v>
      </c>
      <c r="AJ502" s="147" t="s">
        <v>36</v>
      </c>
    </row>
    <row r="503" spans="1:36" ht="30" customHeight="1">
      <c r="A503" s="90"/>
      <c r="B503" s="90"/>
      <c r="C503" s="90"/>
      <c r="D503" s="90"/>
      <c r="E503" s="90"/>
      <c r="F503" s="90"/>
      <c r="G503" s="90"/>
      <c r="H503" s="90"/>
      <c r="I503" s="90"/>
      <c r="J503" s="90"/>
      <c r="K503" s="90"/>
      <c r="L503" s="90"/>
      <c r="M503" s="90"/>
      <c r="N503" s="150"/>
      <c r="O503" s="152"/>
      <c r="P503" s="90"/>
      <c r="Q503" s="140"/>
      <c r="R503" s="90"/>
      <c r="S503" s="140"/>
      <c r="T503" s="90"/>
      <c r="U503" s="140"/>
      <c r="V503" s="90"/>
      <c r="W503" s="140"/>
      <c r="X503" s="90"/>
      <c r="Y503" s="140"/>
      <c r="Z503" s="90"/>
      <c r="AA503" s="140"/>
      <c r="AB503" s="62"/>
      <c r="AC503" s="140"/>
      <c r="AD503" s="62"/>
      <c r="AE503" s="140"/>
      <c r="AF503" s="189" t="str">
        <f t="shared" si="19"/>
        <v/>
      </c>
      <c r="AG503" s="304" t="b">
        <f t="shared" si="18"/>
        <v>0</v>
      </c>
      <c r="AH503" s="9"/>
      <c r="AI503" s="145">
        <f t="shared" si="17"/>
        <v>0</v>
      </c>
      <c r="AJ503" s="147" t="s">
        <v>36</v>
      </c>
    </row>
    <row r="504" spans="1:36" ht="30" customHeight="1">
      <c r="A504" s="90"/>
      <c r="B504" s="90"/>
      <c r="C504" s="90"/>
      <c r="D504" s="90"/>
      <c r="E504" s="90"/>
      <c r="F504" s="90"/>
      <c r="G504" s="90"/>
      <c r="H504" s="90"/>
      <c r="I504" s="90"/>
      <c r="J504" s="90"/>
      <c r="K504" s="90"/>
      <c r="L504" s="90"/>
      <c r="M504" s="90"/>
      <c r="N504" s="150"/>
      <c r="O504" s="152"/>
      <c r="P504" s="90"/>
      <c r="Q504" s="140"/>
      <c r="R504" s="90"/>
      <c r="S504" s="140"/>
      <c r="T504" s="90"/>
      <c r="U504" s="140"/>
      <c r="V504" s="90"/>
      <c r="W504" s="140"/>
      <c r="X504" s="90"/>
      <c r="Y504" s="140"/>
      <c r="Z504" s="90"/>
      <c r="AA504" s="140"/>
      <c r="AB504" s="62"/>
      <c r="AC504" s="140"/>
      <c r="AD504" s="62"/>
      <c r="AE504" s="140"/>
      <c r="AF504" s="189" t="str">
        <f t="shared" si="19"/>
        <v/>
      </c>
      <c r="AG504" s="304" t="b">
        <f t="shared" si="18"/>
        <v>0</v>
      </c>
      <c r="AH504" s="9"/>
      <c r="AI504" s="145">
        <f t="shared" ref="AI504:AI567" si="20">E504</f>
        <v>0</v>
      </c>
      <c r="AJ504" s="147" t="s">
        <v>36</v>
      </c>
    </row>
    <row r="505" spans="1:36" ht="30" customHeight="1">
      <c r="A505" s="90"/>
      <c r="B505" s="90"/>
      <c r="C505" s="90"/>
      <c r="D505" s="90"/>
      <c r="E505" s="90"/>
      <c r="F505" s="90"/>
      <c r="G505" s="90"/>
      <c r="H505" s="90"/>
      <c r="I505" s="90"/>
      <c r="J505" s="90"/>
      <c r="K505" s="90"/>
      <c r="L505" s="90"/>
      <c r="M505" s="90"/>
      <c r="N505" s="150"/>
      <c r="O505" s="152"/>
      <c r="P505" s="90"/>
      <c r="Q505" s="140"/>
      <c r="R505" s="90"/>
      <c r="S505" s="140"/>
      <c r="T505" s="90"/>
      <c r="U505" s="140"/>
      <c r="V505" s="90"/>
      <c r="W505" s="140"/>
      <c r="X505" s="90"/>
      <c r="Y505" s="140"/>
      <c r="Z505" s="90"/>
      <c r="AA505" s="140"/>
      <c r="AB505" s="62"/>
      <c r="AC505" s="140"/>
      <c r="AD505" s="62"/>
      <c r="AE505" s="140"/>
      <c r="AF505" s="189" t="str">
        <f t="shared" si="19"/>
        <v/>
      </c>
      <c r="AG505" s="304" t="b">
        <f t="shared" si="18"/>
        <v>0</v>
      </c>
      <c r="AH505" s="9"/>
      <c r="AI505" s="145">
        <f t="shared" si="20"/>
        <v>0</v>
      </c>
      <c r="AJ505" s="147" t="s">
        <v>36</v>
      </c>
    </row>
    <row r="506" spans="1:36" ht="30" customHeight="1">
      <c r="A506" s="90"/>
      <c r="B506" s="90"/>
      <c r="C506" s="90"/>
      <c r="D506" s="90"/>
      <c r="E506" s="90"/>
      <c r="F506" s="90"/>
      <c r="G506" s="90"/>
      <c r="H506" s="90"/>
      <c r="I506" s="90"/>
      <c r="J506" s="90"/>
      <c r="K506" s="90"/>
      <c r="L506" s="90"/>
      <c r="M506" s="90"/>
      <c r="N506" s="150"/>
      <c r="O506" s="152"/>
      <c r="P506" s="90"/>
      <c r="Q506" s="140"/>
      <c r="R506" s="90"/>
      <c r="S506" s="140"/>
      <c r="T506" s="90"/>
      <c r="U506" s="140"/>
      <c r="V506" s="90"/>
      <c r="W506" s="140"/>
      <c r="X506" s="90"/>
      <c r="Y506" s="140"/>
      <c r="Z506" s="90"/>
      <c r="AA506" s="140"/>
      <c r="AB506" s="62"/>
      <c r="AC506" s="140"/>
      <c r="AD506" s="62"/>
      <c r="AE506" s="140"/>
      <c r="AF506" s="189" t="str">
        <f t="shared" si="19"/>
        <v/>
      </c>
      <c r="AG506" s="304" t="b">
        <f t="shared" si="18"/>
        <v>0</v>
      </c>
      <c r="AH506" s="9"/>
      <c r="AI506" s="145">
        <f t="shared" si="20"/>
        <v>0</v>
      </c>
      <c r="AJ506" s="147" t="s">
        <v>36</v>
      </c>
    </row>
    <row r="507" spans="1:36" ht="30" customHeight="1">
      <c r="A507" s="90"/>
      <c r="B507" s="90"/>
      <c r="C507" s="90"/>
      <c r="D507" s="90"/>
      <c r="E507" s="90"/>
      <c r="F507" s="90"/>
      <c r="G507" s="90"/>
      <c r="H507" s="90"/>
      <c r="I507" s="90"/>
      <c r="J507" s="90"/>
      <c r="K507" s="90"/>
      <c r="L507" s="90"/>
      <c r="M507" s="90"/>
      <c r="N507" s="150"/>
      <c r="O507" s="152"/>
      <c r="P507" s="90"/>
      <c r="Q507" s="140"/>
      <c r="R507" s="90"/>
      <c r="S507" s="140"/>
      <c r="T507" s="90"/>
      <c r="U507" s="140"/>
      <c r="V507" s="90"/>
      <c r="W507" s="140"/>
      <c r="X507" s="90"/>
      <c r="Y507" s="140"/>
      <c r="Z507" s="90"/>
      <c r="AA507" s="140"/>
      <c r="AB507" s="62"/>
      <c r="AC507" s="140"/>
      <c r="AD507" s="62"/>
      <c r="AE507" s="140"/>
      <c r="AF507" s="189" t="str">
        <f t="shared" si="19"/>
        <v/>
      </c>
      <c r="AG507" s="304" t="b">
        <f t="shared" si="18"/>
        <v>0</v>
      </c>
      <c r="AH507" s="9"/>
      <c r="AI507" s="145">
        <f t="shared" si="20"/>
        <v>0</v>
      </c>
      <c r="AJ507" s="147" t="s">
        <v>36</v>
      </c>
    </row>
    <row r="508" spans="1:36" ht="30" customHeight="1">
      <c r="A508" s="90"/>
      <c r="B508" s="90"/>
      <c r="C508" s="90"/>
      <c r="D508" s="90"/>
      <c r="E508" s="90"/>
      <c r="F508" s="90"/>
      <c r="G508" s="90"/>
      <c r="H508" s="90"/>
      <c r="I508" s="90"/>
      <c r="J508" s="90"/>
      <c r="K508" s="90"/>
      <c r="L508" s="90"/>
      <c r="M508" s="90"/>
      <c r="N508" s="150"/>
      <c r="O508" s="152"/>
      <c r="P508" s="90"/>
      <c r="Q508" s="140"/>
      <c r="R508" s="90"/>
      <c r="S508" s="140"/>
      <c r="T508" s="90"/>
      <c r="U508" s="140"/>
      <c r="V508" s="90"/>
      <c r="W508" s="140"/>
      <c r="X508" s="90"/>
      <c r="Y508" s="140"/>
      <c r="Z508" s="90"/>
      <c r="AA508" s="140"/>
      <c r="AB508" s="62"/>
      <c r="AC508" s="140"/>
      <c r="AD508" s="62"/>
      <c r="AE508" s="140"/>
      <c r="AF508" s="189" t="str">
        <f t="shared" si="19"/>
        <v/>
      </c>
      <c r="AG508" s="304" t="b">
        <f t="shared" si="18"/>
        <v>0</v>
      </c>
      <c r="AH508" s="9"/>
      <c r="AI508" s="145">
        <f t="shared" si="20"/>
        <v>0</v>
      </c>
      <c r="AJ508" s="147" t="s">
        <v>36</v>
      </c>
    </row>
    <row r="509" spans="1:36" ht="30" customHeight="1">
      <c r="A509" s="90"/>
      <c r="B509" s="90"/>
      <c r="C509" s="90"/>
      <c r="D509" s="90"/>
      <c r="E509" s="90"/>
      <c r="F509" s="90"/>
      <c r="G509" s="90"/>
      <c r="H509" s="90"/>
      <c r="I509" s="90"/>
      <c r="J509" s="90"/>
      <c r="K509" s="90"/>
      <c r="L509" s="90"/>
      <c r="M509" s="90"/>
      <c r="N509" s="150"/>
      <c r="O509" s="152"/>
      <c r="P509" s="90"/>
      <c r="Q509" s="140"/>
      <c r="R509" s="90"/>
      <c r="S509" s="140"/>
      <c r="T509" s="90"/>
      <c r="U509" s="140"/>
      <c r="V509" s="90"/>
      <c r="W509" s="140"/>
      <c r="X509" s="90"/>
      <c r="Y509" s="140"/>
      <c r="Z509" s="90"/>
      <c r="AA509" s="140"/>
      <c r="AB509" s="62"/>
      <c r="AC509" s="140"/>
      <c r="AD509" s="62"/>
      <c r="AE509" s="140"/>
      <c r="AF509" s="189" t="str">
        <f t="shared" si="19"/>
        <v/>
      </c>
      <c r="AG509" s="304" t="b">
        <f t="shared" si="18"/>
        <v>0</v>
      </c>
      <c r="AH509" s="9"/>
      <c r="AI509" s="145">
        <f t="shared" si="20"/>
        <v>0</v>
      </c>
      <c r="AJ509" s="147" t="s">
        <v>36</v>
      </c>
    </row>
    <row r="510" spans="1:36" ht="30" customHeight="1">
      <c r="A510" s="90"/>
      <c r="B510" s="90"/>
      <c r="C510" s="90"/>
      <c r="D510" s="90"/>
      <c r="E510" s="90"/>
      <c r="F510" s="90"/>
      <c r="G510" s="90"/>
      <c r="H510" s="90"/>
      <c r="I510" s="90"/>
      <c r="J510" s="90"/>
      <c r="K510" s="90"/>
      <c r="L510" s="90"/>
      <c r="M510" s="90"/>
      <c r="N510" s="150"/>
      <c r="O510" s="152"/>
      <c r="P510" s="90"/>
      <c r="Q510" s="140"/>
      <c r="R510" s="90"/>
      <c r="S510" s="140"/>
      <c r="T510" s="90"/>
      <c r="U510" s="140"/>
      <c r="V510" s="90"/>
      <c r="W510" s="140"/>
      <c r="X510" s="90"/>
      <c r="Y510" s="140"/>
      <c r="Z510" s="90"/>
      <c r="AA510" s="140"/>
      <c r="AB510" s="62"/>
      <c r="AC510" s="140"/>
      <c r="AD510" s="62"/>
      <c r="AE510" s="140"/>
      <c r="AF510" s="189" t="str">
        <f t="shared" si="19"/>
        <v/>
      </c>
      <c r="AG510" s="304" t="b">
        <f t="shared" si="18"/>
        <v>0</v>
      </c>
      <c r="AH510" s="9"/>
      <c r="AI510" s="145">
        <f t="shared" si="20"/>
        <v>0</v>
      </c>
      <c r="AJ510" s="147" t="s">
        <v>36</v>
      </c>
    </row>
    <row r="511" spans="1:36" ht="30" customHeight="1">
      <c r="A511" s="90"/>
      <c r="B511" s="90"/>
      <c r="C511" s="90"/>
      <c r="D511" s="90"/>
      <c r="E511" s="90"/>
      <c r="F511" s="90"/>
      <c r="G511" s="90"/>
      <c r="H511" s="90"/>
      <c r="I511" s="90"/>
      <c r="J511" s="90"/>
      <c r="K511" s="90"/>
      <c r="L511" s="90"/>
      <c r="M511" s="90"/>
      <c r="N511" s="150"/>
      <c r="O511" s="152"/>
      <c r="P511" s="90"/>
      <c r="Q511" s="140"/>
      <c r="R511" s="90"/>
      <c r="S511" s="140"/>
      <c r="T511" s="90"/>
      <c r="U511" s="140"/>
      <c r="V511" s="90"/>
      <c r="W511" s="140"/>
      <c r="X511" s="90"/>
      <c r="Y511" s="140"/>
      <c r="Z511" s="90"/>
      <c r="AA511" s="140"/>
      <c r="AB511" s="62"/>
      <c r="AC511" s="140"/>
      <c r="AD511" s="62"/>
      <c r="AE511" s="140"/>
      <c r="AF511" s="189" t="str">
        <f t="shared" si="19"/>
        <v/>
      </c>
      <c r="AG511" s="304" t="b">
        <f t="shared" si="18"/>
        <v>0</v>
      </c>
      <c r="AH511" s="9"/>
      <c r="AI511" s="145">
        <f t="shared" si="20"/>
        <v>0</v>
      </c>
      <c r="AJ511" s="147" t="s">
        <v>36</v>
      </c>
    </row>
    <row r="512" spans="1:36" ht="30" customHeight="1">
      <c r="A512" s="90"/>
      <c r="B512" s="90"/>
      <c r="C512" s="90"/>
      <c r="D512" s="90"/>
      <c r="E512" s="90"/>
      <c r="F512" s="90"/>
      <c r="G512" s="90"/>
      <c r="H512" s="90"/>
      <c r="I512" s="90"/>
      <c r="J512" s="90"/>
      <c r="K512" s="90"/>
      <c r="L512" s="90"/>
      <c r="M512" s="90"/>
      <c r="N512" s="150"/>
      <c r="O512" s="152"/>
      <c r="P512" s="90"/>
      <c r="Q512" s="140"/>
      <c r="R512" s="90"/>
      <c r="S512" s="140"/>
      <c r="T512" s="90"/>
      <c r="U512" s="140"/>
      <c r="V512" s="90"/>
      <c r="W512" s="140"/>
      <c r="X512" s="90"/>
      <c r="Y512" s="140"/>
      <c r="Z512" s="90"/>
      <c r="AA512" s="140"/>
      <c r="AB512" s="62"/>
      <c r="AC512" s="140"/>
      <c r="AD512" s="62"/>
      <c r="AE512" s="140"/>
      <c r="AF512" s="189" t="str">
        <f t="shared" si="19"/>
        <v/>
      </c>
      <c r="AG512" s="304" t="b">
        <f t="shared" si="18"/>
        <v>0</v>
      </c>
      <c r="AH512" s="9"/>
      <c r="AI512" s="145">
        <f t="shared" si="20"/>
        <v>0</v>
      </c>
      <c r="AJ512" s="147" t="s">
        <v>36</v>
      </c>
    </row>
    <row r="513" spans="1:36" ht="30" customHeight="1">
      <c r="A513" s="90"/>
      <c r="B513" s="90"/>
      <c r="C513" s="90"/>
      <c r="D513" s="90"/>
      <c r="E513" s="90"/>
      <c r="F513" s="90"/>
      <c r="G513" s="90"/>
      <c r="H513" s="90"/>
      <c r="I513" s="90"/>
      <c r="J513" s="90"/>
      <c r="K513" s="90"/>
      <c r="L513" s="90"/>
      <c r="M513" s="90"/>
      <c r="N513" s="150"/>
      <c r="O513" s="152"/>
      <c r="P513" s="90"/>
      <c r="Q513" s="140"/>
      <c r="R513" s="90"/>
      <c r="S513" s="140"/>
      <c r="T513" s="90"/>
      <c r="U513" s="140"/>
      <c r="V513" s="90"/>
      <c r="W513" s="140"/>
      <c r="X513" s="90"/>
      <c r="Y513" s="140"/>
      <c r="Z513" s="90"/>
      <c r="AA513" s="140"/>
      <c r="AB513" s="62"/>
      <c r="AC513" s="140"/>
      <c r="AD513" s="62"/>
      <c r="AE513" s="140"/>
      <c r="AF513" s="189" t="str">
        <f t="shared" si="19"/>
        <v/>
      </c>
      <c r="AG513" s="304" t="b">
        <f t="shared" si="18"/>
        <v>0</v>
      </c>
      <c r="AH513" s="9"/>
      <c r="AI513" s="145">
        <f t="shared" si="20"/>
        <v>0</v>
      </c>
      <c r="AJ513" s="147" t="s">
        <v>36</v>
      </c>
    </row>
    <row r="514" spans="1:36" ht="30" customHeight="1">
      <c r="A514" s="90"/>
      <c r="B514" s="90"/>
      <c r="C514" s="90"/>
      <c r="D514" s="90"/>
      <c r="E514" s="90"/>
      <c r="F514" s="90"/>
      <c r="G514" s="90"/>
      <c r="H514" s="90"/>
      <c r="I514" s="90"/>
      <c r="J514" s="90"/>
      <c r="K514" s="90"/>
      <c r="L514" s="90"/>
      <c r="M514" s="90"/>
      <c r="N514" s="150"/>
      <c r="O514" s="152"/>
      <c r="P514" s="90"/>
      <c r="Q514" s="140"/>
      <c r="R514" s="90"/>
      <c r="S514" s="140"/>
      <c r="T514" s="90"/>
      <c r="U514" s="140"/>
      <c r="V514" s="90"/>
      <c r="W514" s="140"/>
      <c r="X514" s="90"/>
      <c r="Y514" s="140"/>
      <c r="Z514" s="90"/>
      <c r="AA514" s="140"/>
      <c r="AB514" s="62"/>
      <c r="AC514" s="140"/>
      <c r="AD514" s="62"/>
      <c r="AE514" s="140"/>
      <c r="AF514" s="189" t="str">
        <f t="shared" si="19"/>
        <v/>
      </c>
      <c r="AG514" s="304" t="b">
        <f t="shared" ref="AG514:AG577" si="21">IF(AND(AE514="C",AF514="C"),"UTILIZOU O PDA CORRETAMENTE",IF(AND(AE514="C",AF514="NC"),"UTILIZOU O PDA CORRETAMENTE. NÃO HÁ FOTOS DE TODAS AS ETAPAS",IF(AND(AE514="NC",AF514="NC"),"NÃO UTILIZOU O PDA",IF(AND(AE514="NA",AF514="NA"),"NÃO AVALIADO POR FALHA DE SINCRONISMO"))))</f>
        <v>0</v>
      </c>
      <c r="AH514" s="9"/>
      <c r="AI514" s="145">
        <f t="shared" si="20"/>
        <v>0</v>
      </c>
      <c r="AJ514" s="147" t="s">
        <v>36</v>
      </c>
    </row>
    <row r="515" spans="1:36" ht="30" customHeight="1">
      <c r="A515" s="90"/>
      <c r="B515" s="90"/>
      <c r="C515" s="90"/>
      <c r="D515" s="90"/>
      <c r="E515" s="90"/>
      <c r="F515" s="90"/>
      <c r="G515" s="90"/>
      <c r="H515" s="90"/>
      <c r="I515" s="90"/>
      <c r="J515" s="90"/>
      <c r="K515" s="90"/>
      <c r="L515" s="90"/>
      <c r="M515" s="90"/>
      <c r="N515" s="150"/>
      <c r="O515" s="152"/>
      <c r="P515" s="90"/>
      <c r="Q515" s="140"/>
      <c r="R515" s="90"/>
      <c r="S515" s="140"/>
      <c r="T515" s="90"/>
      <c r="U515" s="140"/>
      <c r="V515" s="90"/>
      <c r="W515" s="140"/>
      <c r="X515" s="90"/>
      <c r="Y515" s="140"/>
      <c r="Z515" s="90"/>
      <c r="AA515" s="140"/>
      <c r="AB515" s="62"/>
      <c r="AC515" s="140"/>
      <c r="AD515" s="62"/>
      <c r="AE515" s="140"/>
      <c r="AF515" s="189" t="str">
        <f t="shared" ref="AF515:AF578" si="22">IF(AND(O515="",Q515="",S515="",U515="",W515="",Y515="",AA515="",AC515=""),"",
IF(OR(    AND(O515&lt;&gt;"NA",O515&lt;&gt;"C",O515&lt;&gt;"NC",O515&lt;&gt;"SF",O515&lt;&gt;""),
    AND(Q515&lt;&gt;"NA",Q515&lt;&gt;"C",Q515&lt;&gt;"NC",Q515&lt;&gt;"SF",Q515&lt;&gt;""),
    AND(S515&lt;&gt;"NA",S515&lt;&gt;"C",S515&lt;&gt;"NC",S515&lt;&gt;"SF",S515&lt;&gt;""),
    AND(U515&lt;&gt;"NA",U515&lt;&gt;"C",U515&lt;&gt;"NC",U515&lt;&gt;"SF",U515&lt;&gt;""),
    AND(W515&lt;&gt;"NA",W515&lt;&gt;"C",W515&lt;&gt;"NC",W515&lt;&gt;"SF",W515&lt;&gt;""),
    AND(Y515&lt;&gt;"NA",Y515&lt;&gt;"C",Y515&lt;&gt;"NC",Y515&lt;&gt;"SF",Y515&lt;&gt;""),
    AND(AA515&lt;&gt;"NA",AA515&lt;&gt;"C",AA515&lt;&gt;"NC",AA515&lt;&gt;"SF",AA515&lt;&gt;""),
    AND(AC515&lt;&gt;"NA",AC515&lt;&gt;"C",AC515&lt;&gt;"NC",AC515&lt;&gt;"SF",AC515&lt;&gt;"")
),"FALSO",
IF(AND(O515="NA",Q515="NA",S515="NA",U515="NA",W515="NA",Y515="NA",AA515="NA",AC515="NA"),"NA",
IF(OR(O515="NC",Q515="NC",S515="NC",U515="NC",W515="NC",Y515="NC",AA515="NC",AC515="NC",
       O515="SF",Q515="SF",S515="SF",U515="SF",W515="SF",Y515="SF",AA515="SF",AC515="SF"),"NC",
IF(SUM(IF(O515="C",1,0),IF(Q515="C",1,0),IF(S515="C",1,0),IF(U515="C",1,0),IF(W515="C",1,0),IF(Y515="C",1,0),IF(AA515="C",1,0),IF(AC515="C",1,0))=1,"C","C")))))</f>
        <v/>
      </c>
      <c r="AG515" s="304" t="b">
        <f t="shared" si="21"/>
        <v>0</v>
      </c>
      <c r="AH515" s="9"/>
      <c r="AI515" s="145">
        <f t="shared" si="20"/>
        <v>0</v>
      </c>
      <c r="AJ515" s="147" t="s">
        <v>36</v>
      </c>
    </row>
    <row r="516" spans="1:36" ht="30" customHeight="1">
      <c r="A516" s="90"/>
      <c r="B516" s="90"/>
      <c r="C516" s="90"/>
      <c r="D516" s="90"/>
      <c r="E516" s="90"/>
      <c r="F516" s="90"/>
      <c r="G516" s="90"/>
      <c r="H516" s="90"/>
      <c r="I516" s="90"/>
      <c r="J516" s="90"/>
      <c r="K516" s="90"/>
      <c r="L516" s="90"/>
      <c r="M516" s="90"/>
      <c r="N516" s="150"/>
      <c r="O516" s="152"/>
      <c r="P516" s="90"/>
      <c r="Q516" s="140"/>
      <c r="R516" s="90"/>
      <c r="S516" s="140"/>
      <c r="T516" s="90"/>
      <c r="U516" s="140"/>
      <c r="V516" s="90"/>
      <c r="W516" s="140"/>
      <c r="X516" s="90"/>
      <c r="Y516" s="140"/>
      <c r="Z516" s="90"/>
      <c r="AA516" s="140"/>
      <c r="AB516" s="62"/>
      <c r="AC516" s="140"/>
      <c r="AD516" s="62"/>
      <c r="AE516" s="140"/>
      <c r="AF516" s="189" t="str">
        <f t="shared" si="22"/>
        <v/>
      </c>
      <c r="AG516" s="304" t="b">
        <f t="shared" si="21"/>
        <v>0</v>
      </c>
      <c r="AH516" s="9"/>
      <c r="AI516" s="145">
        <f t="shared" si="20"/>
        <v>0</v>
      </c>
      <c r="AJ516" s="147" t="s">
        <v>36</v>
      </c>
    </row>
    <row r="517" spans="1:36" ht="30" customHeight="1">
      <c r="A517" s="90"/>
      <c r="B517" s="90"/>
      <c r="C517" s="90"/>
      <c r="D517" s="90"/>
      <c r="E517" s="90"/>
      <c r="F517" s="90"/>
      <c r="G517" s="90"/>
      <c r="H517" s="90"/>
      <c r="I517" s="90"/>
      <c r="J517" s="90"/>
      <c r="K517" s="90"/>
      <c r="L517" s="90"/>
      <c r="M517" s="90"/>
      <c r="N517" s="150"/>
      <c r="O517" s="152"/>
      <c r="P517" s="90"/>
      <c r="Q517" s="140"/>
      <c r="R517" s="90"/>
      <c r="S517" s="140"/>
      <c r="T517" s="90"/>
      <c r="U517" s="140"/>
      <c r="V517" s="90"/>
      <c r="W517" s="140"/>
      <c r="X517" s="90"/>
      <c r="Y517" s="140"/>
      <c r="Z517" s="90"/>
      <c r="AA517" s="140"/>
      <c r="AB517" s="62"/>
      <c r="AC517" s="140"/>
      <c r="AD517" s="62"/>
      <c r="AE517" s="140"/>
      <c r="AF517" s="189" t="str">
        <f t="shared" si="22"/>
        <v/>
      </c>
      <c r="AG517" s="304" t="b">
        <f t="shared" si="21"/>
        <v>0</v>
      </c>
      <c r="AH517" s="9"/>
      <c r="AI517" s="145">
        <f t="shared" si="20"/>
        <v>0</v>
      </c>
      <c r="AJ517" s="147" t="s">
        <v>36</v>
      </c>
    </row>
    <row r="518" spans="1:36" ht="30" customHeight="1">
      <c r="A518" s="90"/>
      <c r="B518" s="90"/>
      <c r="C518" s="90"/>
      <c r="D518" s="90"/>
      <c r="E518" s="90"/>
      <c r="F518" s="90"/>
      <c r="G518" s="90"/>
      <c r="H518" s="90"/>
      <c r="I518" s="90"/>
      <c r="J518" s="90"/>
      <c r="K518" s="90"/>
      <c r="L518" s="90"/>
      <c r="M518" s="90"/>
      <c r="N518" s="150"/>
      <c r="O518" s="152"/>
      <c r="P518" s="90"/>
      <c r="Q518" s="140"/>
      <c r="R518" s="90"/>
      <c r="S518" s="140"/>
      <c r="T518" s="90"/>
      <c r="U518" s="140"/>
      <c r="V518" s="90"/>
      <c r="W518" s="140"/>
      <c r="X518" s="90"/>
      <c r="Y518" s="140"/>
      <c r="Z518" s="90"/>
      <c r="AA518" s="140"/>
      <c r="AB518" s="62"/>
      <c r="AC518" s="140"/>
      <c r="AD518" s="62"/>
      <c r="AE518" s="140"/>
      <c r="AF518" s="189" t="str">
        <f t="shared" si="22"/>
        <v/>
      </c>
      <c r="AG518" s="304" t="b">
        <f t="shared" si="21"/>
        <v>0</v>
      </c>
      <c r="AH518" s="9"/>
      <c r="AI518" s="145">
        <f t="shared" si="20"/>
        <v>0</v>
      </c>
      <c r="AJ518" s="147" t="s">
        <v>36</v>
      </c>
    </row>
    <row r="519" spans="1:36" ht="30" customHeight="1">
      <c r="A519" s="90"/>
      <c r="B519" s="90"/>
      <c r="C519" s="90"/>
      <c r="D519" s="90"/>
      <c r="E519" s="90"/>
      <c r="F519" s="90"/>
      <c r="G519" s="90"/>
      <c r="H519" s="90"/>
      <c r="I519" s="90"/>
      <c r="J519" s="90"/>
      <c r="K519" s="90"/>
      <c r="L519" s="90"/>
      <c r="M519" s="90"/>
      <c r="N519" s="150"/>
      <c r="O519" s="152"/>
      <c r="P519" s="90"/>
      <c r="Q519" s="140"/>
      <c r="R519" s="90"/>
      <c r="S519" s="140"/>
      <c r="T519" s="90"/>
      <c r="U519" s="140"/>
      <c r="V519" s="90"/>
      <c r="W519" s="140"/>
      <c r="X519" s="90"/>
      <c r="Y519" s="140"/>
      <c r="Z519" s="90"/>
      <c r="AA519" s="140"/>
      <c r="AB519" s="62"/>
      <c r="AC519" s="140"/>
      <c r="AD519" s="62"/>
      <c r="AE519" s="140"/>
      <c r="AF519" s="189" t="str">
        <f t="shared" si="22"/>
        <v/>
      </c>
      <c r="AG519" s="304" t="b">
        <f t="shared" si="21"/>
        <v>0</v>
      </c>
      <c r="AH519" s="9"/>
      <c r="AI519" s="145">
        <f t="shared" si="20"/>
        <v>0</v>
      </c>
      <c r="AJ519" s="147" t="s">
        <v>36</v>
      </c>
    </row>
    <row r="520" spans="1:36" ht="30" customHeight="1">
      <c r="A520" s="90"/>
      <c r="B520" s="90"/>
      <c r="C520" s="90"/>
      <c r="D520" s="90"/>
      <c r="E520" s="90"/>
      <c r="F520" s="90"/>
      <c r="G520" s="90"/>
      <c r="H520" s="90"/>
      <c r="I520" s="90"/>
      <c r="J520" s="90"/>
      <c r="K520" s="90"/>
      <c r="L520" s="90"/>
      <c r="M520" s="90"/>
      <c r="N520" s="150"/>
      <c r="O520" s="152"/>
      <c r="P520" s="90"/>
      <c r="Q520" s="140"/>
      <c r="R520" s="90"/>
      <c r="S520" s="140"/>
      <c r="T520" s="90"/>
      <c r="U520" s="140"/>
      <c r="V520" s="90"/>
      <c r="W520" s="140"/>
      <c r="X520" s="90"/>
      <c r="Y520" s="140"/>
      <c r="Z520" s="90"/>
      <c r="AA520" s="140"/>
      <c r="AB520" s="62"/>
      <c r="AC520" s="140"/>
      <c r="AD520" s="62"/>
      <c r="AE520" s="140"/>
      <c r="AF520" s="189" t="str">
        <f t="shared" si="22"/>
        <v/>
      </c>
      <c r="AG520" s="304" t="b">
        <f t="shared" si="21"/>
        <v>0</v>
      </c>
      <c r="AH520" s="9"/>
      <c r="AI520" s="145">
        <f t="shared" si="20"/>
        <v>0</v>
      </c>
      <c r="AJ520" s="147" t="s">
        <v>36</v>
      </c>
    </row>
    <row r="521" spans="1:36" ht="30" customHeight="1">
      <c r="A521" s="90"/>
      <c r="B521" s="90"/>
      <c r="C521" s="90"/>
      <c r="D521" s="90"/>
      <c r="E521" s="90"/>
      <c r="F521" s="90"/>
      <c r="G521" s="90"/>
      <c r="H521" s="90"/>
      <c r="I521" s="90"/>
      <c r="J521" s="90"/>
      <c r="K521" s="90"/>
      <c r="L521" s="90"/>
      <c r="M521" s="90"/>
      <c r="N521" s="150"/>
      <c r="O521" s="152"/>
      <c r="P521" s="90"/>
      <c r="Q521" s="140"/>
      <c r="R521" s="90"/>
      <c r="S521" s="140"/>
      <c r="T521" s="90"/>
      <c r="U521" s="140"/>
      <c r="V521" s="90"/>
      <c r="W521" s="140"/>
      <c r="X521" s="90"/>
      <c r="Y521" s="140"/>
      <c r="Z521" s="90"/>
      <c r="AA521" s="140"/>
      <c r="AB521" s="62"/>
      <c r="AC521" s="140"/>
      <c r="AD521" s="62"/>
      <c r="AE521" s="140"/>
      <c r="AF521" s="189" t="str">
        <f t="shared" si="22"/>
        <v/>
      </c>
      <c r="AG521" s="304" t="b">
        <f t="shared" si="21"/>
        <v>0</v>
      </c>
      <c r="AH521" s="9"/>
      <c r="AI521" s="145">
        <f t="shared" si="20"/>
        <v>0</v>
      </c>
      <c r="AJ521" s="147" t="s">
        <v>36</v>
      </c>
    </row>
    <row r="522" spans="1:36" ht="30" customHeight="1">
      <c r="A522" s="90"/>
      <c r="B522" s="90"/>
      <c r="C522" s="90"/>
      <c r="D522" s="90"/>
      <c r="E522" s="90"/>
      <c r="F522" s="90"/>
      <c r="G522" s="90"/>
      <c r="H522" s="90"/>
      <c r="I522" s="90"/>
      <c r="J522" s="90"/>
      <c r="K522" s="90"/>
      <c r="L522" s="90"/>
      <c r="M522" s="90"/>
      <c r="N522" s="150"/>
      <c r="O522" s="152"/>
      <c r="P522" s="90"/>
      <c r="Q522" s="140"/>
      <c r="R522" s="90"/>
      <c r="S522" s="140"/>
      <c r="T522" s="90"/>
      <c r="U522" s="140"/>
      <c r="V522" s="90"/>
      <c r="W522" s="140"/>
      <c r="X522" s="90"/>
      <c r="Y522" s="140"/>
      <c r="Z522" s="90"/>
      <c r="AA522" s="140"/>
      <c r="AB522" s="62"/>
      <c r="AC522" s="140"/>
      <c r="AD522" s="62"/>
      <c r="AE522" s="140"/>
      <c r="AF522" s="189" t="str">
        <f t="shared" si="22"/>
        <v/>
      </c>
      <c r="AG522" s="304" t="b">
        <f t="shared" si="21"/>
        <v>0</v>
      </c>
      <c r="AH522" s="9"/>
      <c r="AI522" s="145">
        <f t="shared" si="20"/>
        <v>0</v>
      </c>
      <c r="AJ522" s="147" t="s">
        <v>36</v>
      </c>
    </row>
    <row r="523" spans="1:36" ht="30" customHeight="1">
      <c r="A523" s="90"/>
      <c r="B523" s="90"/>
      <c r="C523" s="90"/>
      <c r="D523" s="90"/>
      <c r="E523" s="90"/>
      <c r="F523" s="90"/>
      <c r="G523" s="90"/>
      <c r="H523" s="90"/>
      <c r="I523" s="90"/>
      <c r="J523" s="90"/>
      <c r="K523" s="90"/>
      <c r="L523" s="90"/>
      <c r="M523" s="90"/>
      <c r="N523" s="150"/>
      <c r="O523" s="152"/>
      <c r="P523" s="90"/>
      <c r="Q523" s="140"/>
      <c r="R523" s="90"/>
      <c r="S523" s="140"/>
      <c r="T523" s="90"/>
      <c r="U523" s="140"/>
      <c r="V523" s="90"/>
      <c r="W523" s="140"/>
      <c r="X523" s="90"/>
      <c r="Y523" s="140"/>
      <c r="Z523" s="90"/>
      <c r="AA523" s="140"/>
      <c r="AB523" s="62"/>
      <c r="AC523" s="140"/>
      <c r="AD523" s="62"/>
      <c r="AE523" s="140"/>
      <c r="AF523" s="189" t="str">
        <f t="shared" si="22"/>
        <v/>
      </c>
      <c r="AG523" s="304" t="b">
        <f t="shared" si="21"/>
        <v>0</v>
      </c>
      <c r="AH523" s="9"/>
      <c r="AI523" s="145">
        <f t="shared" si="20"/>
        <v>0</v>
      </c>
      <c r="AJ523" s="147" t="s">
        <v>36</v>
      </c>
    </row>
    <row r="524" spans="1:36" ht="30" customHeight="1">
      <c r="A524" s="90"/>
      <c r="B524" s="90"/>
      <c r="C524" s="90"/>
      <c r="D524" s="90"/>
      <c r="E524" s="90"/>
      <c r="F524" s="90"/>
      <c r="G524" s="90"/>
      <c r="H524" s="90"/>
      <c r="I524" s="90"/>
      <c r="J524" s="90"/>
      <c r="K524" s="90"/>
      <c r="L524" s="90"/>
      <c r="M524" s="90"/>
      <c r="N524" s="150"/>
      <c r="O524" s="152"/>
      <c r="P524" s="90"/>
      <c r="Q524" s="140"/>
      <c r="R524" s="90"/>
      <c r="S524" s="140"/>
      <c r="T524" s="90"/>
      <c r="U524" s="140"/>
      <c r="V524" s="90"/>
      <c r="W524" s="140"/>
      <c r="X524" s="90"/>
      <c r="Y524" s="140"/>
      <c r="Z524" s="90"/>
      <c r="AA524" s="140"/>
      <c r="AB524" s="62"/>
      <c r="AC524" s="140"/>
      <c r="AD524" s="62"/>
      <c r="AE524" s="140"/>
      <c r="AF524" s="189" t="str">
        <f t="shared" si="22"/>
        <v/>
      </c>
      <c r="AG524" s="304" t="b">
        <f t="shared" si="21"/>
        <v>0</v>
      </c>
      <c r="AH524" s="9"/>
      <c r="AI524" s="145">
        <f t="shared" si="20"/>
        <v>0</v>
      </c>
      <c r="AJ524" s="147" t="s">
        <v>36</v>
      </c>
    </row>
    <row r="525" spans="1:36" ht="30" customHeight="1">
      <c r="A525" s="90"/>
      <c r="B525" s="90"/>
      <c r="C525" s="90"/>
      <c r="D525" s="90"/>
      <c r="E525" s="90"/>
      <c r="F525" s="90"/>
      <c r="G525" s="90"/>
      <c r="H525" s="90"/>
      <c r="I525" s="90"/>
      <c r="J525" s="90"/>
      <c r="K525" s="90"/>
      <c r="L525" s="90"/>
      <c r="M525" s="90"/>
      <c r="N525" s="150"/>
      <c r="O525" s="152"/>
      <c r="P525" s="90"/>
      <c r="Q525" s="140"/>
      <c r="R525" s="90"/>
      <c r="S525" s="140"/>
      <c r="T525" s="90"/>
      <c r="U525" s="140"/>
      <c r="V525" s="90"/>
      <c r="W525" s="140"/>
      <c r="X525" s="90"/>
      <c r="Y525" s="140"/>
      <c r="Z525" s="90"/>
      <c r="AA525" s="140"/>
      <c r="AB525" s="62"/>
      <c r="AC525" s="140"/>
      <c r="AD525" s="62"/>
      <c r="AE525" s="140"/>
      <c r="AF525" s="189" t="str">
        <f t="shared" si="22"/>
        <v/>
      </c>
      <c r="AG525" s="304" t="b">
        <f t="shared" si="21"/>
        <v>0</v>
      </c>
      <c r="AH525" s="9"/>
      <c r="AI525" s="145">
        <f t="shared" si="20"/>
        <v>0</v>
      </c>
      <c r="AJ525" s="147" t="s">
        <v>36</v>
      </c>
    </row>
    <row r="526" spans="1:36" ht="30" customHeight="1">
      <c r="A526" s="90"/>
      <c r="B526" s="90"/>
      <c r="C526" s="90"/>
      <c r="D526" s="90"/>
      <c r="E526" s="90"/>
      <c r="F526" s="90"/>
      <c r="G526" s="90"/>
      <c r="H526" s="90"/>
      <c r="I526" s="90"/>
      <c r="J526" s="90"/>
      <c r="K526" s="90"/>
      <c r="L526" s="90"/>
      <c r="M526" s="90"/>
      <c r="N526" s="150"/>
      <c r="O526" s="152"/>
      <c r="P526" s="90"/>
      <c r="Q526" s="140"/>
      <c r="R526" s="90"/>
      <c r="S526" s="140"/>
      <c r="T526" s="90"/>
      <c r="U526" s="140"/>
      <c r="V526" s="90"/>
      <c r="W526" s="140"/>
      <c r="X526" s="90"/>
      <c r="Y526" s="140"/>
      <c r="Z526" s="90"/>
      <c r="AA526" s="140"/>
      <c r="AB526" s="62"/>
      <c r="AC526" s="140"/>
      <c r="AD526" s="62"/>
      <c r="AE526" s="140"/>
      <c r="AF526" s="189" t="str">
        <f t="shared" si="22"/>
        <v/>
      </c>
      <c r="AG526" s="304" t="b">
        <f t="shared" si="21"/>
        <v>0</v>
      </c>
      <c r="AH526" s="9"/>
      <c r="AI526" s="145">
        <f t="shared" si="20"/>
        <v>0</v>
      </c>
      <c r="AJ526" s="147" t="s">
        <v>36</v>
      </c>
    </row>
    <row r="527" spans="1:36" ht="30" customHeight="1">
      <c r="A527" s="90"/>
      <c r="B527" s="90"/>
      <c r="C527" s="90"/>
      <c r="D527" s="90"/>
      <c r="E527" s="90"/>
      <c r="F527" s="90"/>
      <c r="G527" s="90"/>
      <c r="H527" s="90"/>
      <c r="I527" s="90"/>
      <c r="J527" s="90"/>
      <c r="K527" s="90"/>
      <c r="L527" s="90"/>
      <c r="M527" s="90"/>
      <c r="N527" s="150"/>
      <c r="O527" s="152"/>
      <c r="P527" s="90"/>
      <c r="Q527" s="140"/>
      <c r="R527" s="90"/>
      <c r="S527" s="140"/>
      <c r="T527" s="90"/>
      <c r="U527" s="140"/>
      <c r="V527" s="90"/>
      <c r="W527" s="140"/>
      <c r="X527" s="90"/>
      <c r="Y527" s="140"/>
      <c r="Z527" s="90"/>
      <c r="AA527" s="140"/>
      <c r="AB527" s="62"/>
      <c r="AC527" s="140"/>
      <c r="AD527" s="62"/>
      <c r="AE527" s="140"/>
      <c r="AF527" s="189" t="str">
        <f t="shared" si="22"/>
        <v/>
      </c>
      <c r="AG527" s="304" t="b">
        <f t="shared" si="21"/>
        <v>0</v>
      </c>
      <c r="AH527" s="9"/>
      <c r="AI527" s="145">
        <f t="shared" si="20"/>
        <v>0</v>
      </c>
      <c r="AJ527" s="147" t="s">
        <v>36</v>
      </c>
    </row>
    <row r="528" spans="1:36" ht="30" customHeight="1">
      <c r="A528" s="90"/>
      <c r="B528" s="90"/>
      <c r="C528" s="90"/>
      <c r="D528" s="90"/>
      <c r="E528" s="90"/>
      <c r="F528" s="90"/>
      <c r="G528" s="90"/>
      <c r="H528" s="90"/>
      <c r="I528" s="90"/>
      <c r="J528" s="90"/>
      <c r="K528" s="90"/>
      <c r="L528" s="90"/>
      <c r="M528" s="90"/>
      <c r="N528" s="150"/>
      <c r="O528" s="152"/>
      <c r="P528" s="90"/>
      <c r="Q528" s="140"/>
      <c r="R528" s="90"/>
      <c r="S528" s="140"/>
      <c r="T528" s="90"/>
      <c r="U528" s="140"/>
      <c r="V528" s="90"/>
      <c r="W528" s="140"/>
      <c r="X528" s="90"/>
      <c r="Y528" s="140"/>
      <c r="Z528" s="90"/>
      <c r="AA528" s="140"/>
      <c r="AB528" s="62"/>
      <c r="AC528" s="140"/>
      <c r="AD528" s="62"/>
      <c r="AE528" s="140"/>
      <c r="AF528" s="189" t="str">
        <f t="shared" si="22"/>
        <v/>
      </c>
      <c r="AG528" s="304" t="b">
        <f t="shared" si="21"/>
        <v>0</v>
      </c>
      <c r="AH528" s="9"/>
      <c r="AI528" s="145">
        <f t="shared" si="20"/>
        <v>0</v>
      </c>
      <c r="AJ528" s="147" t="s">
        <v>36</v>
      </c>
    </row>
    <row r="529" spans="1:36" ht="30" customHeight="1">
      <c r="A529" s="90"/>
      <c r="B529" s="90"/>
      <c r="C529" s="90"/>
      <c r="D529" s="90"/>
      <c r="E529" s="90"/>
      <c r="F529" s="90"/>
      <c r="G529" s="90"/>
      <c r="H529" s="90"/>
      <c r="I529" s="90"/>
      <c r="J529" s="90"/>
      <c r="K529" s="90"/>
      <c r="L529" s="90"/>
      <c r="M529" s="90"/>
      <c r="N529" s="150"/>
      <c r="O529" s="152"/>
      <c r="P529" s="90"/>
      <c r="Q529" s="140"/>
      <c r="R529" s="90"/>
      <c r="S529" s="140"/>
      <c r="T529" s="90"/>
      <c r="U529" s="140"/>
      <c r="V529" s="90"/>
      <c r="W529" s="140"/>
      <c r="X529" s="90"/>
      <c r="Y529" s="140"/>
      <c r="Z529" s="90"/>
      <c r="AA529" s="140"/>
      <c r="AB529" s="62"/>
      <c r="AC529" s="140"/>
      <c r="AD529" s="62"/>
      <c r="AE529" s="140"/>
      <c r="AF529" s="189" t="str">
        <f t="shared" si="22"/>
        <v/>
      </c>
      <c r="AG529" s="304" t="b">
        <f t="shared" si="21"/>
        <v>0</v>
      </c>
      <c r="AH529" s="9"/>
      <c r="AI529" s="145">
        <f t="shared" si="20"/>
        <v>0</v>
      </c>
      <c r="AJ529" s="147" t="s">
        <v>36</v>
      </c>
    </row>
    <row r="530" spans="1:36" ht="30" customHeight="1">
      <c r="A530" s="90"/>
      <c r="B530" s="90"/>
      <c r="C530" s="90"/>
      <c r="D530" s="90"/>
      <c r="E530" s="90"/>
      <c r="F530" s="90"/>
      <c r="G530" s="90"/>
      <c r="H530" s="90"/>
      <c r="I530" s="90"/>
      <c r="J530" s="90"/>
      <c r="K530" s="90"/>
      <c r="L530" s="90"/>
      <c r="M530" s="90"/>
      <c r="N530" s="150"/>
      <c r="O530" s="152"/>
      <c r="P530" s="90"/>
      <c r="Q530" s="140"/>
      <c r="R530" s="90"/>
      <c r="S530" s="140"/>
      <c r="T530" s="90"/>
      <c r="U530" s="140"/>
      <c r="V530" s="90"/>
      <c r="W530" s="140"/>
      <c r="X530" s="90"/>
      <c r="Y530" s="140"/>
      <c r="Z530" s="90"/>
      <c r="AA530" s="140"/>
      <c r="AB530" s="62"/>
      <c r="AC530" s="140"/>
      <c r="AD530" s="62"/>
      <c r="AE530" s="140"/>
      <c r="AF530" s="189" t="str">
        <f t="shared" si="22"/>
        <v/>
      </c>
      <c r="AG530" s="304" t="b">
        <f t="shared" si="21"/>
        <v>0</v>
      </c>
      <c r="AH530" s="9"/>
      <c r="AI530" s="145">
        <f t="shared" si="20"/>
        <v>0</v>
      </c>
      <c r="AJ530" s="147" t="s">
        <v>36</v>
      </c>
    </row>
    <row r="531" spans="1:36" ht="30" customHeight="1">
      <c r="A531" s="90"/>
      <c r="B531" s="90"/>
      <c r="C531" s="90"/>
      <c r="D531" s="90"/>
      <c r="E531" s="90"/>
      <c r="F531" s="90"/>
      <c r="G531" s="90"/>
      <c r="H531" s="90"/>
      <c r="I531" s="90"/>
      <c r="J531" s="90"/>
      <c r="K531" s="90"/>
      <c r="L531" s="90"/>
      <c r="M531" s="90"/>
      <c r="N531" s="150"/>
      <c r="O531" s="152"/>
      <c r="P531" s="90"/>
      <c r="Q531" s="140"/>
      <c r="R531" s="90"/>
      <c r="S531" s="140"/>
      <c r="T531" s="90"/>
      <c r="U531" s="140"/>
      <c r="V531" s="90"/>
      <c r="W531" s="140"/>
      <c r="X531" s="90"/>
      <c r="Y531" s="140"/>
      <c r="Z531" s="90"/>
      <c r="AA531" s="140"/>
      <c r="AB531" s="62"/>
      <c r="AC531" s="140"/>
      <c r="AD531" s="62"/>
      <c r="AE531" s="140"/>
      <c r="AF531" s="189" t="str">
        <f t="shared" si="22"/>
        <v/>
      </c>
      <c r="AG531" s="304" t="b">
        <f t="shared" si="21"/>
        <v>0</v>
      </c>
      <c r="AH531" s="9"/>
      <c r="AI531" s="145">
        <f t="shared" si="20"/>
        <v>0</v>
      </c>
      <c r="AJ531" s="147" t="s">
        <v>36</v>
      </c>
    </row>
    <row r="532" spans="1:36" ht="30" customHeight="1">
      <c r="A532" s="90"/>
      <c r="B532" s="90"/>
      <c r="C532" s="90"/>
      <c r="D532" s="90"/>
      <c r="E532" s="90"/>
      <c r="F532" s="90"/>
      <c r="G532" s="90"/>
      <c r="H532" s="90"/>
      <c r="I532" s="90"/>
      <c r="J532" s="90"/>
      <c r="K532" s="90"/>
      <c r="L532" s="90"/>
      <c r="M532" s="90"/>
      <c r="N532" s="150"/>
      <c r="O532" s="152"/>
      <c r="P532" s="90"/>
      <c r="Q532" s="140"/>
      <c r="R532" s="90"/>
      <c r="S532" s="140"/>
      <c r="T532" s="90"/>
      <c r="U532" s="140"/>
      <c r="V532" s="90"/>
      <c r="W532" s="140"/>
      <c r="X532" s="90"/>
      <c r="Y532" s="140"/>
      <c r="Z532" s="90"/>
      <c r="AA532" s="140"/>
      <c r="AB532" s="62"/>
      <c r="AC532" s="140"/>
      <c r="AD532" s="62"/>
      <c r="AE532" s="140"/>
      <c r="AF532" s="189" t="str">
        <f t="shared" si="22"/>
        <v/>
      </c>
      <c r="AG532" s="304" t="b">
        <f t="shared" si="21"/>
        <v>0</v>
      </c>
      <c r="AH532" s="9"/>
      <c r="AI532" s="145">
        <f t="shared" si="20"/>
        <v>0</v>
      </c>
      <c r="AJ532" s="147" t="s">
        <v>36</v>
      </c>
    </row>
    <row r="533" spans="1:36" ht="30" customHeight="1">
      <c r="A533" s="90"/>
      <c r="B533" s="90"/>
      <c r="C533" s="90"/>
      <c r="D533" s="90"/>
      <c r="E533" s="90"/>
      <c r="F533" s="90"/>
      <c r="G533" s="90"/>
      <c r="H533" s="90"/>
      <c r="I533" s="90"/>
      <c r="J533" s="90"/>
      <c r="K533" s="90"/>
      <c r="L533" s="90"/>
      <c r="M533" s="90"/>
      <c r="N533" s="150"/>
      <c r="O533" s="152"/>
      <c r="P533" s="90"/>
      <c r="Q533" s="140"/>
      <c r="R533" s="90"/>
      <c r="S533" s="140"/>
      <c r="T533" s="90"/>
      <c r="U533" s="140"/>
      <c r="V533" s="90"/>
      <c r="W533" s="140"/>
      <c r="X533" s="90"/>
      <c r="Y533" s="140"/>
      <c r="Z533" s="90"/>
      <c r="AA533" s="140"/>
      <c r="AB533" s="62"/>
      <c r="AC533" s="140"/>
      <c r="AD533" s="62"/>
      <c r="AE533" s="140"/>
      <c r="AF533" s="189" t="str">
        <f t="shared" si="22"/>
        <v/>
      </c>
      <c r="AG533" s="304" t="b">
        <f t="shared" si="21"/>
        <v>0</v>
      </c>
      <c r="AH533" s="9"/>
      <c r="AI533" s="145">
        <f t="shared" si="20"/>
        <v>0</v>
      </c>
      <c r="AJ533" s="147" t="s">
        <v>36</v>
      </c>
    </row>
    <row r="534" spans="1:36" ht="30" customHeight="1">
      <c r="A534" s="90"/>
      <c r="B534" s="90"/>
      <c r="C534" s="90"/>
      <c r="D534" s="90"/>
      <c r="E534" s="90"/>
      <c r="F534" s="90"/>
      <c r="G534" s="90"/>
      <c r="H534" s="90"/>
      <c r="I534" s="90"/>
      <c r="J534" s="90"/>
      <c r="K534" s="90"/>
      <c r="L534" s="90"/>
      <c r="M534" s="90"/>
      <c r="N534" s="150"/>
      <c r="O534" s="152"/>
      <c r="P534" s="90"/>
      <c r="Q534" s="140"/>
      <c r="R534" s="90"/>
      <c r="S534" s="140"/>
      <c r="T534" s="90"/>
      <c r="U534" s="140"/>
      <c r="V534" s="90"/>
      <c r="W534" s="140"/>
      <c r="X534" s="90"/>
      <c r="Y534" s="140"/>
      <c r="Z534" s="90"/>
      <c r="AA534" s="140"/>
      <c r="AB534" s="62"/>
      <c r="AC534" s="140"/>
      <c r="AD534" s="62"/>
      <c r="AE534" s="140"/>
      <c r="AF534" s="189" t="str">
        <f t="shared" si="22"/>
        <v/>
      </c>
      <c r="AG534" s="304" t="b">
        <f t="shared" si="21"/>
        <v>0</v>
      </c>
      <c r="AH534" s="9"/>
      <c r="AI534" s="145">
        <f t="shared" si="20"/>
        <v>0</v>
      </c>
      <c r="AJ534" s="147" t="s">
        <v>36</v>
      </c>
    </row>
    <row r="535" spans="1:36" ht="30" customHeight="1">
      <c r="A535" s="90"/>
      <c r="B535" s="90"/>
      <c r="C535" s="90"/>
      <c r="D535" s="90"/>
      <c r="E535" s="90"/>
      <c r="F535" s="90"/>
      <c r="G535" s="90"/>
      <c r="H535" s="90"/>
      <c r="I535" s="90"/>
      <c r="J535" s="90"/>
      <c r="K535" s="90"/>
      <c r="L535" s="90"/>
      <c r="M535" s="90"/>
      <c r="N535" s="150"/>
      <c r="O535" s="152"/>
      <c r="P535" s="90"/>
      <c r="Q535" s="140"/>
      <c r="R535" s="90"/>
      <c r="S535" s="140"/>
      <c r="T535" s="90"/>
      <c r="U535" s="140"/>
      <c r="V535" s="90"/>
      <c r="W535" s="140"/>
      <c r="X535" s="90"/>
      <c r="Y535" s="140"/>
      <c r="Z535" s="90"/>
      <c r="AA535" s="140"/>
      <c r="AB535" s="62"/>
      <c r="AC535" s="140"/>
      <c r="AD535" s="62"/>
      <c r="AE535" s="140"/>
      <c r="AF535" s="189" t="str">
        <f t="shared" si="22"/>
        <v/>
      </c>
      <c r="AG535" s="304" t="b">
        <f t="shared" si="21"/>
        <v>0</v>
      </c>
      <c r="AH535" s="9"/>
      <c r="AI535" s="145">
        <f t="shared" si="20"/>
        <v>0</v>
      </c>
      <c r="AJ535" s="147" t="s">
        <v>36</v>
      </c>
    </row>
    <row r="536" spans="1:36" ht="30" customHeight="1">
      <c r="A536" s="90"/>
      <c r="B536" s="90"/>
      <c r="C536" s="90"/>
      <c r="D536" s="90"/>
      <c r="E536" s="90"/>
      <c r="F536" s="90"/>
      <c r="G536" s="90"/>
      <c r="H536" s="90"/>
      <c r="I536" s="90"/>
      <c r="J536" s="90"/>
      <c r="K536" s="90"/>
      <c r="L536" s="90"/>
      <c r="M536" s="90"/>
      <c r="N536" s="150"/>
      <c r="O536" s="152"/>
      <c r="P536" s="90"/>
      <c r="Q536" s="140"/>
      <c r="R536" s="90"/>
      <c r="S536" s="140"/>
      <c r="T536" s="90"/>
      <c r="U536" s="140"/>
      <c r="V536" s="90"/>
      <c r="W536" s="140"/>
      <c r="X536" s="90"/>
      <c r="Y536" s="140"/>
      <c r="Z536" s="90"/>
      <c r="AA536" s="140"/>
      <c r="AB536" s="62"/>
      <c r="AC536" s="140"/>
      <c r="AD536" s="62"/>
      <c r="AE536" s="140"/>
      <c r="AF536" s="189" t="str">
        <f t="shared" si="22"/>
        <v/>
      </c>
      <c r="AG536" s="304" t="b">
        <f t="shared" si="21"/>
        <v>0</v>
      </c>
      <c r="AH536" s="9"/>
      <c r="AI536" s="145">
        <f t="shared" si="20"/>
        <v>0</v>
      </c>
      <c r="AJ536" s="147" t="s">
        <v>36</v>
      </c>
    </row>
    <row r="537" spans="1:36" ht="30" customHeight="1">
      <c r="A537" s="90"/>
      <c r="B537" s="90"/>
      <c r="C537" s="90"/>
      <c r="D537" s="90"/>
      <c r="E537" s="90"/>
      <c r="F537" s="90"/>
      <c r="G537" s="90"/>
      <c r="H537" s="90"/>
      <c r="I537" s="90"/>
      <c r="J537" s="90"/>
      <c r="K537" s="90"/>
      <c r="L537" s="90"/>
      <c r="M537" s="90"/>
      <c r="N537" s="150"/>
      <c r="O537" s="152"/>
      <c r="P537" s="90"/>
      <c r="Q537" s="140"/>
      <c r="R537" s="90"/>
      <c r="S537" s="140"/>
      <c r="T537" s="90"/>
      <c r="U537" s="140"/>
      <c r="V537" s="90"/>
      <c r="W537" s="140"/>
      <c r="X537" s="90"/>
      <c r="Y537" s="140"/>
      <c r="Z537" s="90"/>
      <c r="AA537" s="140"/>
      <c r="AB537" s="62"/>
      <c r="AC537" s="140"/>
      <c r="AD537" s="62"/>
      <c r="AE537" s="140"/>
      <c r="AF537" s="189" t="str">
        <f t="shared" si="22"/>
        <v/>
      </c>
      <c r="AG537" s="304" t="b">
        <f t="shared" si="21"/>
        <v>0</v>
      </c>
      <c r="AH537" s="9"/>
      <c r="AI537" s="145">
        <f t="shared" si="20"/>
        <v>0</v>
      </c>
      <c r="AJ537" s="147" t="s">
        <v>36</v>
      </c>
    </row>
    <row r="538" spans="1:36" ht="30" customHeight="1">
      <c r="A538" s="90"/>
      <c r="B538" s="90"/>
      <c r="C538" s="90"/>
      <c r="D538" s="90"/>
      <c r="E538" s="90"/>
      <c r="F538" s="90"/>
      <c r="G538" s="90"/>
      <c r="H538" s="90"/>
      <c r="I538" s="90"/>
      <c r="J538" s="90"/>
      <c r="K538" s="90"/>
      <c r="L538" s="90"/>
      <c r="M538" s="90"/>
      <c r="N538" s="150"/>
      <c r="O538" s="152"/>
      <c r="P538" s="90"/>
      <c r="Q538" s="140"/>
      <c r="R538" s="90"/>
      <c r="S538" s="140"/>
      <c r="T538" s="90"/>
      <c r="U538" s="140"/>
      <c r="V538" s="90"/>
      <c r="W538" s="140"/>
      <c r="X538" s="90"/>
      <c r="Y538" s="140"/>
      <c r="Z538" s="90"/>
      <c r="AA538" s="140"/>
      <c r="AB538" s="62"/>
      <c r="AC538" s="140"/>
      <c r="AD538" s="62"/>
      <c r="AE538" s="140"/>
      <c r="AF538" s="189" t="str">
        <f t="shared" si="22"/>
        <v/>
      </c>
      <c r="AG538" s="304" t="b">
        <f t="shared" si="21"/>
        <v>0</v>
      </c>
      <c r="AH538" s="9"/>
      <c r="AI538" s="145">
        <f t="shared" si="20"/>
        <v>0</v>
      </c>
      <c r="AJ538" s="147" t="s">
        <v>36</v>
      </c>
    </row>
    <row r="539" spans="1:36" ht="30" customHeight="1">
      <c r="A539" s="90"/>
      <c r="B539" s="90"/>
      <c r="C539" s="90"/>
      <c r="D539" s="90"/>
      <c r="E539" s="90"/>
      <c r="F539" s="90"/>
      <c r="G539" s="90"/>
      <c r="H539" s="90"/>
      <c r="I539" s="90"/>
      <c r="J539" s="90"/>
      <c r="K539" s="90"/>
      <c r="L539" s="90"/>
      <c r="M539" s="90"/>
      <c r="N539" s="150"/>
      <c r="O539" s="152"/>
      <c r="P539" s="90"/>
      <c r="Q539" s="140"/>
      <c r="R539" s="90"/>
      <c r="S539" s="140"/>
      <c r="T539" s="90"/>
      <c r="U539" s="140"/>
      <c r="V539" s="90"/>
      <c r="W539" s="140"/>
      <c r="X539" s="90"/>
      <c r="Y539" s="140"/>
      <c r="Z539" s="90"/>
      <c r="AA539" s="140"/>
      <c r="AB539" s="62"/>
      <c r="AC539" s="140"/>
      <c r="AD539" s="62"/>
      <c r="AE539" s="140"/>
      <c r="AF539" s="189" t="str">
        <f t="shared" si="22"/>
        <v/>
      </c>
      <c r="AG539" s="304" t="b">
        <f t="shared" si="21"/>
        <v>0</v>
      </c>
      <c r="AH539" s="9"/>
      <c r="AI539" s="145">
        <f t="shared" si="20"/>
        <v>0</v>
      </c>
      <c r="AJ539" s="147" t="s">
        <v>36</v>
      </c>
    </row>
    <row r="540" spans="1:36" ht="30" customHeight="1">
      <c r="A540" s="90"/>
      <c r="B540" s="90"/>
      <c r="C540" s="90"/>
      <c r="D540" s="90"/>
      <c r="E540" s="90"/>
      <c r="F540" s="90"/>
      <c r="G540" s="90"/>
      <c r="H540" s="90"/>
      <c r="I540" s="90"/>
      <c r="J540" s="90"/>
      <c r="K540" s="90"/>
      <c r="L540" s="90"/>
      <c r="M540" s="90"/>
      <c r="N540" s="150"/>
      <c r="O540" s="152"/>
      <c r="P540" s="90"/>
      <c r="Q540" s="140"/>
      <c r="R540" s="90"/>
      <c r="S540" s="140"/>
      <c r="T540" s="90"/>
      <c r="U540" s="140"/>
      <c r="V540" s="90"/>
      <c r="W540" s="140"/>
      <c r="X540" s="90"/>
      <c r="Y540" s="140"/>
      <c r="Z540" s="90"/>
      <c r="AA540" s="140"/>
      <c r="AB540" s="62"/>
      <c r="AC540" s="140"/>
      <c r="AD540" s="62"/>
      <c r="AE540" s="140"/>
      <c r="AF540" s="189" t="str">
        <f t="shared" si="22"/>
        <v/>
      </c>
      <c r="AG540" s="304" t="b">
        <f t="shared" si="21"/>
        <v>0</v>
      </c>
      <c r="AH540" s="9"/>
      <c r="AI540" s="145">
        <f t="shared" si="20"/>
        <v>0</v>
      </c>
      <c r="AJ540" s="147" t="s">
        <v>36</v>
      </c>
    </row>
    <row r="541" spans="1:36" ht="30" customHeight="1">
      <c r="A541" s="90"/>
      <c r="B541" s="90"/>
      <c r="C541" s="90"/>
      <c r="D541" s="90"/>
      <c r="E541" s="90"/>
      <c r="F541" s="90"/>
      <c r="G541" s="90"/>
      <c r="H541" s="90"/>
      <c r="I541" s="90"/>
      <c r="J541" s="90"/>
      <c r="K541" s="90"/>
      <c r="L541" s="90"/>
      <c r="M541" s="90"/>
      <c r="N541" s="150"/>
      <c r="O541" s="152"/>
      <c r="P541" s="90"/>
      <c r="Q541" s="140"/>
      <c r="R541" s="90"/>
      <c r="S541" s="140"/>
      <c r="T541" s="90"/>
      <c r="U541" s="140"/>
      <c r="V541" s="90"/>
      <c r="W541" s="140"/>
      <c r="X541" s="90"/>
      <c r="Y541" s="140"/>
      <c r="Z541" s="90"/>
      <c r="AA541" s="140"/>
      <c r="AB541" s="62"/>
      <c r="AC541" s="140"/>
      <c r="AD541" s="62"/>
      <c r="AE541" s="140"/>
      <c r="AF541" s="189" t="str">
        <f t="shared" si="22"/>
        <v/>
      </c>
      <c r="AG541" s="304" t="b">
        <f t="shared" si="21"/>
        <v>0</v>
      </c>
      <c r="AH541" s="9"/>
      <c r="AI541" s="145">
        <f t="shared" si="20"/>
        <v>0</v>
      </c>
      <c r="AJ541" s="147" t="s">
        <v>36</v>
      </c>
    </row>
    <row r="542" spans="1:36" ht="30" customHeight="1">
      <c r="A542" s="90"/>
      <c r="B542" s="90"/>
      <c r="C542" s="90"/>
      <c r="D542" s="90"/>
      <c r="E542" s="90"/>
      <c r="F542" s="90"/>
      <c r="G542" s="90"/>
      <c r="H542" s="90"/>
      <c r="I542" s="90"/>
      <c r="J542" s="90"/>
      <c r="K542" s="90"/>
      <c r="L542" s="90"/>
      <c r="M542" s="90"/>
      <c r="N542" s="150"/>
      <c r="O542" s="152"/>
      <c r="P542" s="90"/>
      <c r="Q542" s="140"/>
      <c r="R542" s="90"/>
      <c r="S542" s="140"/>
      <c r="T542" s="90"/>
      <c r="U542" s="140"/>
      <c r="V542" s="90"/>
      <c r="W542" s="140"/>
      <c r="X542" s="90"/>
      <c r="Y542" s="140"/>
      <c r="Z542" s="90"/>
      <c r="AA542" s="140"/>
      <c r="AB542" s="62"/>
      <c r="AC542" s="140"/>
      <c r="AD542" s="62"/>
      <c r="AE542" s="140"/>
      <c r="AF542" s="189" t="str">
        <f t="shared" si="22"/>
        <v/>
      </c>
      <c r="AG542" s="304" t="b">
        <f t="shared" si="21"/>
        <v>0</v>
      </c>
      <c r="AH542" s="9"/>
      <c r="AI542" s="145">
        <f t="shared" si="20"/>
        <v>0</v>
      </c>
      <c r="AJ542" s="147" t="s">
        <v>36</v>
      </c>
    </row>
    <row r="543" spans="1:36" ht="30" customHeight="1">
      <c r="A543" s="90"/>
      <c r="B543" s="90"/>
      <c r="C543" s="90"/>
      <c r="D543" s="90"/>
      <c r="E543" s="90"/>
      <c r="F543" s="90"/>
      <c r="G543" s="90"/>
      <c r="H543" s="90"/>
      <c r="I543" s="90"/>
      <c r="J543" s="90"/>
      <c r="K543" s="90"/>
      <c r="L543" s="90"/>
      <c r="M543" s="90"/>
      <c r="N543" s="150"/>
      <c r="O543" s="152"/>
      <c r="P543" s="90"/>
      <c r="Q543" s="140"/>
      <c r="R543" s="90"/>
      <c r="S543" s="140"/>
      <c r="T543" s="90"/>
      <c r="U543" s="140"/>
      <c r="V543" s="90"/>
      <c r="W543" s="140"/>
      <c r="X543" s="90"/>
      <c r="Y543" s="140"/>
      <c r="Z543" s="90"/>
      <c r="AA543" s="140"/>
      <c r="AB543" s="62"/>
      <c r="AC543" s="140"/>
      <c r="AD543" s="62"/>
      <c r="AE543" s="140"/>
      <c r="AF543" s="189" t="str">
        <f t="shared" si="22"/>
        <v/>
      </c>
      <c r="AG543" s="304" t="b">
        <f t="shared" si="21"/>
        <v>0</v>
      </c>
      <c r="AH543" s="9"/>
      <c r="AI543" s="145">
        <f t="shared" si="20"/>
        <v>0</v>
      </c>
      <c r="AJ543" s="147" t="s">
        <v>36</v>
      </c>
    </row>
    <row r="544" spans="1:36" ht="30" customHeight="1">
      <c r="A544" s="90"/>
      <c r="B544" s="90"/>
      <c r="C544" s="90"/>
      <c r="D544" s="90"/>
      <c r="E544" s="90"/>
      <c r="F544" s="90"/>
      <c r="G544" s="90"/>
      <c r="H544" s="90"/>
      <c r="I544" s="90"/>
      <c r="J544" s="90"/>
      <c r="K544" s="90"/>
      <c r="L544" s="90"/>
      <c r="M544" s="90"/>
      <c r="N544" s="150"/>
      <c r="O544" s="152"/>
      <c r="P544" s="90"/>
      <c r="Q544" s="140"/>
      <c r="R544" s="90"/>
      <c r="S544" s="140"/>
      <c r="T544" s="90"/>
      <c r="U544" s="140"/>
      <c r="V544" s="90"/>
      <c r="W544" s="140"/>
      <c r="X544" s="90"/>
      <c r="Y544" s="140"/>
      <c r="Z544" s="90"/>
      <c r="AA544" s="140"/>
      <c r="AB544" s="62"/>
      <c r="AC544" s="140"/>
      <c r="AD544" s="62"/>
      <c r="AE544" s="140"/>
      <c r="AF544" s="189" t="str">
        <f t="shared" si="22"/>
        <v/>
      </c>
      <c r="AG544" s="304" t="b">
        <f t="shared" si="21"/>
        <v>0</v>
      </c>
      <c r="AH544" s="9"/>
      <c r="AI544" s="145">
        <f t="shared" si="20"/>
        <v>0</v>
      </c>
      <c r="AJ544" s="147" t="s">
        <v>36</v>
      </c>
    </row>
    <row r="545" spans="1:36" ht="30" customHeight="1">
      <c r="A545" s="90"/>
      <c r="B545" s="90"/>
      <c r="C545" s="90"/>
      <c r="D545" s="90"/>
      <c r="E545" s="90"/>
      <c r="F545" s="90"/>
      <c r="G545" s="90"/>
      <c r="H545" s="90"/>
      <c r="I545" s="90"/>
      <c r="J545" s="90"/>
      <c r="K545" s="90"/>
      <c r="L545" s="90"/>
      <c r="M545" s="90"/>
      <c r="N545" s="150"/>
      <c r="O545" s="152"/>
      <c r="P545" s="90"/>
      <c r="Q545" s="140"/>
      <c r="R545" s="90"/>
      <c r="S545" s="140"/>
      <c r="T545" s="90"/>
      <c r="U545" s="140"/>
      <c r="V545" s="90"/>
      <c r="W545" s="140"/>
      <c r="X545" s="90"/>
      <c r="Y545" s="140"/>
      <c r="Z545" s="90"/>
      <c r="AA545" s="140"/>
      <c r="AB545" s="62"/>
      <c r="AC545" s="140"/>
      <c r="AD545" s="62"/>
      <c r="AE545" s="140"/>
      <c r="AF545" s="189" t="str">
        <f t="shared" si="22"/>
        <v/>
      </c>
      <c r="AG545" s="304" t="b">
        <f t="shared" si="21"/>
        <v>0</v>
      </c>
      <c r="AH545" s="9"/>
      <c r="AI545" s="145">
        <f t="shared" si="20"/>
        <v>0</v>
      </c>
      <c r="AJ545" s="147" t="s">
        <v>36</v>
      </c>
    </row>
    <row r="546" spans="1:36" ht="30" customHeight="1">
      <c r="A546" s="90"/>
      <c r="B546" s="90"/>
      <c r="C546" s="90"/>
      <c r="D546" s="90"/>
      <c r="E546" s="90"/>
      <c r="F546" s="90"/>
      <c r="G546" s="90"/>
      <c r="H546" s="90"/>
      <c r="I546" s="90"/>
      <c r="J546" s="90"/>
      <c r="K546" s="90"/>
      <c r="L546" s="90"/>
      <c r="M546" s="90"/>
      <c r="N546" s="150"/>
      <c r="O546" s="152"/>
      <c r="P546" s="90"/>
      <c r="Q546" s="140"/>
      <c r="R546" s="90"/>
      <c r="S546" s="140"/>
      <c r="T546" s="90"/>
      <c r="U546" s="140"/>
      <c r="V546" s="90"/>
      <c r="W546" s="140"/>
      <c r="X546" s="90"/>
      <c r="Y546" s="140"/>
      <c r="Z546" s="90"/>
      <c r="AA546" s="140"/>
      <c r="AB546" s="62"/>
      <c r="AC546" s="140"/>
      <c r="AD546" s="62"/>
      <c r="AE546" s="140"/>
      <c r="AF546" s="189" t="str">
        <f t="shared" si="22"/>
        <v/>
      </c>
      <c r="AG546" s="304" t="b">
        <f t="shared" si="21"/>
        <v>0</v>
      </c>
      <c r="AH546" s="9"/>
      <c r="AI546" s="145">
        <f t="shared" si="20"/>
        <v>0</v>
      </c>
      <c r="AJ546" s="147" t="s">
        <v>36</v>
      </c>
    </row>
    <row r="547" spans="1:36" ht="30" customHeight="1">
      <c r="A547" s="90"/>
      <c r="B547" s="90"/>
      <c r="C547" s="90"/>
      <c r="D547" s="90"/>
      <c r="E547" s="90"/>
      <c r="F547" s="90"/>
      <c r="G547" s="90"/>
      <c r="H547" s="90"/>
      <c r="I547" s="90"/>
      <c r="J547" s="90"/>
      <c r="K547" s="90"/>
      <c r="L547" s="90"/>
      <c r="M547" s="90"/>
      <c r="N547" s="150"/>
      <c r="O547" s="152"/>
      <c r="P547" s="90"/>
      <c r="Q547" s="140"/>
      <c r="R547" s="90"/>
      <c r="S547" s="140"/>
      <c r="T547" s="90"/>
      <c r="U547" s="140"/>
      <c r="V547" s="90"/>
      <c r="W547" s="140"/>
      <c r="X547" s="90"/>
      <c r="Y547" s="140"/>
      <c r="Z547" s="90"/>
      <c r="AA547" s="140"/>
      <c r="AB547" s="62"/>
      <c r="AC547" s="140"/>
      <c r="AD547" s="62"/>
      <c r="AE547" s="140"/>
      <c r="AF547" s="189" t="str">
        <f t="shared" si="22"/>
        <v/>
      </c>
      <c r="AG547" s="304" t="b">
        <f t="shared" si="21"/>
        <v>0</v>
      </c>
      <c r="AH547" s="9"/>
      <c r="AI547" s="145">
        <f t="shared" si="20"/>
        <v>0</v>
      </c>
      <c r="AJ547" s="147" t="s">
        <v>36</v>
      </c>
    </row>
    <row r="548" spans="1:36" ht="30" customHeight="1">
      <c r="A548" s="90"/>
      <c r="B548" s="90"/>
      <c r="C548" s="90"/>
      <c r="D548" s="90"/>
      <c r="E548" s="90"/>
      <c r="F548" s="90"/>
      <c r="G548" s="90"/>
      <c r="H548" s="90"/>
      <c r="I548" s="90"/>
      <c r="J548" s="90"/>
      <c r="K548" s="90"/>
      <c r="L548" s="90"/>
      <c r="M548" s="90"/>
      <c r="N548" s="150"/>
      <c r="O548" s="152"/>
      <c r="P548" s="90"/>
      <c r="Q548" s="140"/>
      <c r="R548" s="90"/>
      <c r="S548" s="140"/>
      <c r="T548" s="90"/>
      <c r="U548" s="140"/>
      <c r="V548" s="90"/>
      <c r="W548" s="140"/>
      <c r="X548" s="90"/>
      <c r="Y548" s="140"/>
      <c r="Z548" s="90"/>
      <c r="AA548" s="140"/>
      <c r="AB548" s="62"/>
      <c r="AC548" s="140"/>
      <c r="AD548" s="62"/>
      <c r="AE548" s="140"/>
      <c r="AF548" s="189" t="str">
        <f t="shared" si="22"/>
        <v/>
      </c>
      <c r="AG548" s="304" t="b">
        <f t="shared" si="21"/>
        <v>0</v>
      </c>
      <c r="AH548" s="9"/>
      <c r="AI548" s="145">
        <f t="shared" si="20"/>
        <v>0</v>
      </c>
      <c r="AJ548" s="147" t="s">
        <v>36</v>
      </c>
    </row>
    <row r="549" spans="1:36" ht="30" customHeight="1">
      <c r="A549" s="90"/>
      <c r="B549" s="90"/>
      <c r="C549" s="90"/>
      <c r="D549" s="90"/>
      <c r="E549" s="90"/>
      <c r="F549" s="90"/>
      <c r="G549" s="90"/>
      <c r="H549" s="90"/>
      <c r="I549" s="90"/>
      <c r="J549" s="90"/>
      <c r="K549" s="90"/>
      <c r="L549" s="90"/>
      <c r="M549" s="90"/>
      <c r="N549" s="150"/>
      <c r="O549" s="152"/>
      <c r="P549" s="90"/>
      <c r="Q549" s="140"/>
      <c r="R549" s="90"/>
      <c r="S549" s="140"/>
      <c r="T549" s="90"/>
      <c r="U549" s="140"/>
      <c r="V549" s="90"/>
      <c r="W549" s="140"/>
      <c r="X549" s="90"/>
      <c r="Y549" s="140"/>
      <c r="Z549" s="90"/>
      <c r="AA549" s="140"/>
      <c r="AB549" s="62"/>
      <c r="AC549" s="140"/>
      <c r="AD549" s="62"/>
      <c r="AE549" s="140"/>
      <c r="AF549" s="189" t="str">
        <f t="shared" si="22"/>
        <v/>
      </c>
      <c r="AG549" s="304" t="b">
        <f t="shared" si="21"/>
        <v>0</v>
      </c>
      <c r="AH549" s="9"/>
      <c r="AI549" s="145">
        <f t="shared" si="20"/>
        <v>0</v>
      </c>
      <c r="AJ549" s="147" t="s">
        <v>36</v>
      </c>
    </row>
    <row r="550" spans="1:36" ht="30" customHeight="1">
      <c r="A550" s="90"/>
      <c r="B550" s="90"/>
      <c r="C550" s="90"/>
      <c r="D550" s="90"/>
      <c r="E550" s="90"/>
      <c r="F550" s="90"/>
      <c r="G550" s="90"/>
      <c r="H550" s="90"/>
      <c r="I550" s="90"/>
      <c r="J550" s="90"/>
      <c r="K550" s="90"/>
      <c r="L550" s="90"/>
      <c r="M550" s="90"/>
      <c r="N550" s="150"/>
      <c r="O550" s="152"/>
      <c r="P550" s="90"/>
      <c r="Q550" s="140"/>
      <c r="R550" s="90"/>
      <c r="S550" s="140"/>
      <c r="T550" s="90"/>
      <c r="U550" s="140"/>
      <c r="V550" s="90"/>
      <c r="W550" s="140"/>
      <c r="X550" s="90"/>
      <c r="Y550" s="140"/>
      <c r="Z550" s="90"/>
      <c r="AA550" s="140"/>
      <c r="AB550" s="62"/>
      <c r="AC550" s="140"/>
      <c r="AD550" s="62"/>
      <c r="AE550" s="140"/>
      <c r="AF550" s="189" t="str">
        <f t="shared" si="22"/>
        <v/>
      </c>
      <c r="AG550" s="304" t="b">
        <f t="shared" si="21"/>
        <v>0</v>
      </c>
      <c r="AH550" s="9"/>
      <c r="AI550" s="145">
        <f t="shared" si="20"/>
        <v>0</v>
      </c>
      <c r="AJ550" s="147" t="s">
        <v>36</v>
      </c>
    </row>
    <row r="551" spans="1:36" ht="30" customHeight="1">
      <c r="A551" s="90"/>
      <c r="B551" s="90"/>
      <c r="C551" s="90"/>
      <c r="D551" s="90"/>
      <c r="E551" s="90"/>
      <c r="F551" s="90"/>
      <c r="G551" s="90"/>
      <c r="H551" s="90"/>
      <c r="I551" s="90"/>
      <c r="J551" s="90"/>
      <c r="K551" s="90"/>
      <c r="L551" s="90"/>
      <c r="M551" s="90"/>
      <c r="N551" s="150"/>
      <c r="O551" s="152"/>
      <c r="P551" s="90"/>
      <c r="Q551" s="140"/>
      <c r="R551" s="90"/>
      <c r="S551" s="140"/>
      <c r="T551" s="90"/>
      <c r="U551" s="140"/>
      <c r="V551" s="90"/>
      <c r="W551" s="140"/>
      <c r="X551" s="90"/>
      <c r="Y551" s="140"/>
      <c r="Z551" s="90"/>
      <c r="AA551" s="140"/>
      <c r="AB551" s="62"/>
      <c r="AC551" s="140"/>
      <c r="AD551" s="62"/>
      <c r="AE551" s="140"/>
      <c r="AF551" s="189" t="str">
        <f t="shared" si="22"/>
        <v/>
      </c>
      <c r="AG551" s="304" t="b">
        <f t="shared" si="21"/>
        <v>0</v>
      </c>
      <c r="AH551" s="9"/>
      <c r="AI551" s="145">
        <f t="shared" si="20"/>
        <v>0</v>
      </c>
      <c r="AJ551" s="147" t="s">
        <v>36</v>
      </c>
    </row>
    <row r="552" spans="1:36" ht="30" customHeight="1">
      <c r="A552" s="90"/>
      <c r="B552" s="90"/>
      <c r="C552" s="90"/>
      <c r="D552" s="90"/>
      <c r="E552" s="90"/>
      <c r="F552" s="90"/>
      <c r="G552" s="90"/>
      <c r="H552" s="90"/>
      <c r="I552" s="90"/>
      <c r="J552" s="90"/>
      <c r="K552" s="90"/>
      <c r="L552" s="90"/>
      <c r="M552" s="90"/>
      <c r="N552" s="150"/>
      <c r="O552" s="152"/>
      <c r="P552" s="90"/>
      <c r="Q552" s="140"/>
      <c r="R552" s="90"/>
      <c r="S552" s="140"/>
      <c r="T552" s="90"/>
      <c r="U552" s="140"/>
      <c r="V552" s="90"/>
      <c r="W552" s="140"/>
      <c r="X552" s="90"/>
      <c r="Y552" s="140"/>
      <c r="Z552" s="90"/>
      <c r="AA552" s="140"/>
      <c r="AB552" s="62"/>
      <c r="AC552" s="140"/>
      <c r="AD552" s="62"/>
      <c r="AE552" s="140"/>
      <c r="AF552" s="189" t="str">
        <f t="shared" si="22"/>
        <v/>
      </c>
      <c r="AG552" s="304" t="b">
        <f t="shared" si="21"/>
        <v>0</v>
      </c>
      <c r="AH552" s="9"/>
      <c r="AI552" s="145">
        <f t="shared" si="20"/>
        <v>0</v>
      </c>
      <c r="AJ552" s="147" t="s">
        <v>36</v>
      </c>
    </row>
    <row r="553" spans="1:36" ht="30" customHeight="1">
      <c r="A553" s="90"/>
      <c r="B553" s="90"/>
      <c r="C553" s="90"/>
      <c r="D553" s="90"/>
      <c r="E553" s="90"/>
      <c r="F553" s="90"/>
      <c r="G553" s="90"/>
      <c r="H553" s="90"/>
      <c r="I553" s="90"/>
      <c r="J553" s="90"/>
      <c r="K553" s="90"/>
      <c r="L553" s="90"/>
      <c r="M553" s="90"/>
      <c r="N553" s="150"/>
      <c r="O553" s="152"/>
      <c r="P553" s="90"/>
      <c r="Q553" s="140"/>
      <c r="R553" s="90"/>
      <c r="S553" s="140"/>
      <c r="T553" s="90"/>
      <c r="U553" s="140"/>
      <c r="V553" s="90"/>
      <c r="W553" s="140"/>
      <c r="X553" s="90"/>
      <c r="Y553" s="140"/>
      <c r="Z553" s="90"/>
      <c r="AA553" s="140"/>
      <c r="AB553" s="62"/>
      <c r="AC553" s="140"/>
      <c r="AD553" s="62"/>
      <c r="AE553" s="140"/>
      <c r="AF553" s="189" t="str">
        <f t="shared" si="22"/>
        <v/>
      </c>
      <c r="AG553" s="304" t="b">
        <f t="shared" si="21"/>
        <v>0</v>
      </c>
      <c r="AH553" s="9"/>
      <c r="AI553" s="145">
        <f t="shared" si="20"/>
        <v>0</v>
      </c>
      <c r="AJ553" s="147" t="s">
        <v>36</v>
      </c>
    </row>
    <row r="554" spans="1:36" ht="30" customHeight="1">
      <c r="A554" s="90"/>
      <c r="B554" s="90"/>
      <c r="C554" s="90"/>
      <c r="D554" s="90"/>
      <c r="E554" s="90"/>
      <c r="F554" s="90"/>
      <c r="G554" s="90"/>
      <c r="H554" s="90"/>
      <c r="I554" s="90"/>
      <c r="J554" s="90"/>
      <c r="K554" s="90"/>
      <c r="L554" s="90"/>
      <c r="M554" s="90"/>
      <c r="N554" s="150"/>
      <c r="O554" s="152"/>
      <c r="P554" s="90"/>
      <c r="Q554" s="140"/>
      <c r="R554" s="90"/>
      <c r="S554" s="140"/>
      <c r="T554" s="90"/>
      <c r="U554" s="140"/>
      <c r="V554" s="90"/>
      <c r="W554" s="140"/>
      <c r="X554" s="90"/>
      <c r="Y554" s="140"/>
      <c r="Z554" s="90"/>
      <c r="AA554" s="140"/>
      <c r="AB554" s="62"/>
      <c r="AC554" s="140"/>
      <c r="AD554" s="62"/>
      <c r="AE554" s="140"/>
      <c r="AF554" s="189" t="str">
        <f t="shared" si="22"/>
        <v/>
      </c>
      <c r="AG554" s="304" t="b">
        <f t="shared" si="21"/>
        <v>0</v>
      </c>
      <c r="AH554" s="9"/>
      <c r="AI554" s="145">
        <f t="shared" si="20"/>
        <v>0</v>
      </c>
      <c r="AJ554" s="147" t="s">
        <v>36</v>
      </c>
    </row>
    <row r="555" spans="1:36" ht="30" customHeight="1">
      <c r="A555" s="90"/>
      <c r="B555" s="90"/>
      <c r="C555" s="90"/>
      <c r="D555" s="90"/>
      <c r="E555" s="90"/>
      <c r="F555" s="90"/>
      <c r="G555" s="90"/>
      <c r="H555" s="90"/>
      <c r="I555" s="90"/>
      <c r="J555" s="90"/>
      <c r="K555" s="90"/>
      <c r="L555" s="90"/>
      <c r="M555" s="90"/>
      <c r="N555" s="150"/>
      <c r="O555" s="152"/>
      <c r="P555" s="90"/>
      <c r="Q555" s="140"/>
      <c r="R555" s="90"/>
      <c r="S555" s="140"/>
      <c r="T555" s="90"/>
      <c r="U555" s="140"/>
      <c r="V555" s="90"/>
      <c r="W555" s="140"/>
      <c r="X555" s="90"/>
      <c r="Y555" s="140"/>
      <c r="Z555" s="90"/>
      <c r="AA555" s="140"/>
      <c r="AB555" s="62"/>
      <c r="AC555" s="140"/>
      <c r="AD555" s="62"/>
      <c r="AE555" s="140"/>
      <c r="AF555" s="189" t="str">
        <f t="shared" si="22"/>
        <v/>
      </c>
      <c r="AG555" s="304" t="b">
        <f t="shared" si="21"/>
        <v>0</v>
      </c>
      <c r="AH555" s="9"/>
      <c r="AI555" s="145">
        <f t="shared" si="20"/>
        <v>0</v>
      </c>
      <c r="AJ555" s="147" t="s">
        <v>36</v>
      </c>
    </row>
    <row r="556" spans="1:36" ht="30" customHeight="1">
      <c r="A556" s="90"/>
      <c r="B556" s="90"/>
      <c r="C556" s="90"/>
      <c r="D556" s="90"/>
      <c r="E556" s="90"/>
      <c r="F556" s="90"/>
      <c r="G556" s="90"/>
      <c r="H556" s="90"/>
      <c r="I556" s="90"/>
      <c r="J556" s="90"/>
      <c r="K556" s="90"/>
      <c r="L556" s="90"/>
      <c r="M556" s="90"/>
      <c r="N556" s="150"/>
      <c r="O556" s="152"/>
      <c r="P556" s="90"/>
      <c r="Q556" s="140"/>
      <c r="R556" s="90"/>
      <c r="S556" s="140"/>
      <c r="T556" s="90"/>
      <c r="U556" s="140"/>
      <c r="V556" s="90"/>
      <c r="W556" s="140"/>
      <c r="X556" s="90"/>
      <c r="Y556" s="140"/>
      <c r="Z556" s="90"/>
      <c r="AA556" s="140"/>
      <c r="AB556" s="62"/>
      <c r="AC556" s="140"/>
      <c r="AD556" s="62"/>
      <c r="AE556" s="140"/>
      <c r="AF556" s="189" t="str">
        <f t="shared" si="22"/>
        <v/>
      </c>
      <c r="AG556" s="304" t="b">
        <f t="shared" si="21"/>
        <v>0</v>
      </c>
      <c r="AH556" s="9"/>
      <c r="AI556" s="145">
        <f t="shared" si="20"/>
        <v>0</v>
      </c>
      <c r="AJ556" s="147" t="s">
        <v>36</v>
      </c>
    </row>
    <row r="557" spans="1:36" ht="30" customHeight="1">
      <c r="A557" s="90"/>
      <c r="B557" s="90"/>
      <c r="C557" s="90"/>
      <c r="D557" s="90"/>
      <c r="E557" s="90"/>
      <c r="F557" s="90"/>
      <c r="G557" s="90"/>
      <c r="H557" s="90"/>
      <c r="I557" s="90"/>
      <c r="J557" s="90"/>
      <c r="K557" s="90"/>
      <c r="L557" s="90"/>
      <c r="M557" s="90"/>
      <c r="N557" s="150"/>
      <c r="O557" s="152"/>
      <c r="P557" s="90"/>
      <c r="Q557" s="140"/>
      <c r="R557" s="90"/>
      <c r="S557" s="140"/>
      <c r="T557" s="90"/>
      <c r="U557" s="140"/>
      <c r="V557" s="90"/>
      <c r="W557" s="140"/>
      <c r="X557" s="90"/>
      <c r="Y557" s="140"/>
      <c r="Z557" s="90"/>
      <c r="AA557" s="140"/>
      <c r="AB557" s="62"/>
      <c r="AC557" s="140"/>
      <c r="AD557" s="62"/>
      <c r="AE557" s="140"/>
      <c r="AF557" s="189" t="str">
        <f t="shared" si="22"/>
        <v/>
      </c>
      <c r="AG557" s="304" t="b">
        <f t="shared" si="21"/>
        <v>0</v>
      </c>
      <c r="AH557" s="9"/>
      <c r="AI557" s="145">
        <f t="shared" si="20"/>
        <v>0</v>
      </c>
      <c r="AJ557" s="147" t="s">
        <v>36</v>
      </c>
    </row>
    <row r="558" spans="1:36" ht="30" customHeight="1">
      <c r="A558" s="90"/>
      <c r="B558" s="90"/>
      <c r="C558" s="90"/>
      <c r="D558" s="90"/>
      <c r="E558" s="90"/>
      <c r="F558" s="90"/>
      <c r="G558" s="90"/>
      <c r="H558" s="90"/>
      <c r="I558" s="90"/>
      <c r="J558" s="90"/>
      <c r="K558" s="90"/>
      <c r="L558" s="90"/>
      <c r="M558" s="90"/>
      <c r="N558" s="150"/>
      <c r="O558" s="152"/>
      <c r="P558" s="90"/>
      <c r="Q558" s="140"/>
      <c r="R558" s="90"/>
      <c r="S558" s="140"/>
      <c r="T558" s="90"/>
      <c r="U558" s="140"/>
      <c r="V558" s="90"/>
      <c r="W558" s="140"/>
      <c r="X558" s="90"/>
      <c r="Y558" s="140"/>
      <c r="Z558" s="90"/>
      <c r="AA558" s="140"/>
      <c r="AB558" s="62"/>
      <c r="AC558" s="140"/>
      <c r="AD558" s="62"/>
      <c r="AE558" s="140"/>
      <c r="AF558" s="189" t="str">
        <f t="shared" si="22"/>
        <v/>
      </c>
      <c r="AG558" s="304" t="b">
        <f t="shared" si="21"/>
        <v>0</v>
      </c>
      <c r="AH558" s="9"/>
      <c r="AI558" s="145">
        <f t="shared" si="20"/>
        <v>0</v>
      </c>
      <c r="AJ558" s="147" t="s">
        <v>36</v>
      </c>
    </row>
    <row r="559" spans="1:36" ht="30" customHeight="1">
      <c r="A559" s="90"/>
      <c r="B559" s="90"/>
      <c r="C559" s="90"/>
      <c r="D559" s="90"/>
      <c r="E559" s="90"/>
      <c r="F559" s="90"/>
      <c r="G559" s="90"/>
      <c r="H559" s="90"/>
      <c r="I559" s="90"/>
      <c r="J559" s="90"/>
      <c r="K559" s="90"/>
      <c r="L559" s="90"/>
      <c r="M559" s="90"/>
      <c r="N559" s="150"/>
      <c r="O559" s="152"/>
      <c r="P559" s="90"/>
      <c r="Q559" s="140"/>
      <c r="R559" s="90"/>
      <c r="S559" s="140"/>
      <c r="T559" s="90"/>
      <c r="U559" s="140"/>
      <c r="V559" s="90"/>
      <c r="W559" s="140"/>
      <c r="X559" s="90"/>
      <c r="Y559" s="140"/>
      <c r="Z559" s="90"/>
      <c r="AA559" s="140"/>
      <c r="AB559" s="62"/>
      <c r="AC559" s="140"/>
      <c r="AD559" s="62"/>
      <c r="AE559" s="140"/>
      <c r="AF559" s="189" t="str">
        <f t="shared" si="22"/>
        <v/>
      </c>
      <c r="AG559" s="304" t="b">
        <f t="shared" si="21"/>
        <v>0</v>
      </c>
      <c r="AH559" s="9"/>
      <c r="AI559" s="145">
        <f t="shared" si="20"/>
        <v>0</v>
      </c>
      <c r="AJ559" s="147" t="s">
        <v>36</v>
      </c>
    </row>
    <row r="560" spans="1:36" ht="30" customHeight="1">
      <c r="A560" s="90"/>
      <c r="B560" s="90"/>
      <c r="C560" s="90"/>
      <c r="D560" s="90"/>
      <c r="E560" s="90"/>
      <c r="F560" s="90"/>
      <c r="G560" s="90"/>
      <c r="H560" s="90"/>
      <c r="I560" s="90"/>
      <c r="J560" s="90"/>
      <c r="K560" s="90"/>
      <c r="L560" s="90"/>
      <c r="M560" s="90"/>
      <c r="N560" s="150"/>
      <c r="O560" s="152"/>
      <c r="P560" s="90"/>
      <c r="Q560" s="140"/>
      <c r="R560" s="90"/>
      <c r="S560" s="140"/>
      <c r="T560" s="90"/>
      <c r="U560" s="140"/>
      <c r="V560" s="90"/>
      <c r="W560" s="140"/>
      <c r="X560" s="90"/>
      <c r="Y560" s="140"/>
      <c r="Z560" s="90"/>
      <c r="AA560" s="140"/>
      <c r="AB560" s="62"/>
      <c r="AC560" s="140"/>
      <c r="AD560" s="62"/>
      <c r="AE560" s="140"/>
      <c r="AF560" s="189" t="str">
        <f t="shared" si="22"/>
        <v/>
      </c>
      <c r="AG560" s="304" t="b">
        <f t="shared" si="21"/>
        <v>0</v>
      </c>
      <c r="AH560" s="9"/>
      <c r="AI560" s="145">
        <f t="shared" si="20"/>
        <v>0</v>
      </c>
      <c r="AJ560" s="147" t="s">
        <v>36</v>
      </c>
    </row>
    <row r="561" spans="1:36" ht="30" customHeight="1">
      <c r="A561" s="90"/>
      <c r="B561" s="90"/>
      <c r="C561" s="90"/>
      <c r="D561" s="90"/>
      <c r="E561" s="90"/>
      <c r="F561" s="90"/>
      <c r="G561" s="90"/>
      <c r="H561" s="90"/>
      <c r="I561" s="90"/>
      <c r="J561" s="90"/>
      <c r="K561" s="90"/>
      <c r="L561" s="90"/>
      <c r="M561" s="90"/>
      <c r="N561" s="150"/>
      <c r="O561" s="152"/>
      <c r="P561" s="90"/>
      <c r="Q561" s="140"/>
      <c r="R561" s="90"/>
      <c r="S561" s="140"/>
      <c r="T561" s="90"/>
      <c r="U561" s="140"/>
      <c r="V561" s="90"/>
      <c r="W561" s="140"/>
      <c r="X561" s="90"/>
      <c r="Y561" s="140"/>
      <c r="Z561" s="90"/>
      <c r="AA561" s="140"/>
      <c r="AB561" s="62"/>
      <c r="AC561" s="140"/>
      <c r="AD561" s="62"/>
      <c r="AE561" s="140"/>
      <c r="AF561" s="189" t="str">
        <f t="shared" si="22"/>
        <v/>
      </c>
      <c r="AG561" s="304" t="b">
        <f t="shared" si="21"/>
        <v>0</v>
      </c>
      <c r="AH561" s="9"/>
      <c r="AI561" s="145">
        <f t="shared" si="20"/>
        <v>0</v>
      </c>
      <c r="AJ561" s="147" t="s">
        <v>36</v>
      </c>
    </row>
    <row r="562" spans="1:36" ht="30" customHeight="1">
      <c r="A562" s="90"/>
      <c r="B562" s="90"/>
      <c r="C562" s="90"/>
      <c r="D562" s="90"/>
      <c r="E562" s="90"/>
      <c r="F562" s="90"/>
      <c r="G562" s="90"/>
      <c r="H562" s="90"/>
      <c r="I562" s="90"/>
      <c r="J562" s="90"/>
      <c r="K562" s="90"/>
      <c r="L562" s="90"/>
      <c r="M562" s="90"/>
      <c r="N562" s="150"/>
      <c r="O562" s="152"/>
      <c r="P562" s="90"/>
      <c r="Q562" s="140"/>
      <c r="R562" s="90"/>
      <c r="S562" s="140"/>
      <c r="T562" s="90"/>
      <c r="U562" s="140"/>
      <c r="V562" s="90"/>
      <c r="W562" s="140"/>
      <c r="X562" s="90"/>
      <c r="Y562" s="140"/>
      <c r="Z562" s="90"/>
      <c r="AA562" s="140"/>
      <c r="AB562" s="62"/>
      <c r="AC562" s="140"/>
      <c r="AD562" s="62"/>
      <c r="AE562" s="140"/>
      <c r="AF562" s="189" t="str">
        <f t="shared" si="22"/>
        <v/>
      </c>
      <c r="AG562" s="304" t="b">
        <f t="shared" si="21"/>
        <v>0</v>
      </c>
      <c r="AH562" s="9"/>
      <c r="AI562" s="145">
        <f t="shared" si="20"/>
        <v>0</v>
      </c>
      <c r="AJ562" s="147" t="s">
        <v>36</v>
      </c>
    </row>
    <row r="563" spans="1:36" ht="30" customHeight="1">
      <c r="A563" s="90"/>
      <c r="B563" s="90"/>
      <c r="C563" s="90"/>
      <c r="D563" s="90"/>
      <c r="E563" s="90"/>
      <c r="F563" s="90"/>
      <c r="G563" s="90"/>
      <c r="H563" s="90"/>
      <c r="I563" s="90"/>
      <c r="J563" s="90"/>
      <c r="K563" s="90"/>
      <c r="L563" s="90"/>
      <c r="M563" s="90"/>
      <c r="N563" s="150"/>
      <c r="O563" s="152"/>
      <c r="P563" s="90"/>
      <c r="Q563" s="140"/>
      <c r="R563" s="90"/>
      <c r="S563" s="140"/>
      <c r="T563" s="90"/>
      <c r="U563" s="140"/>
      <c r="V563" s="90"/>
      <c r="W563" s="140"/>
      <c r="X563" s="90"/>
      <c r="Y563" s="140"/>
      <c r="Z563" s="90"/>
      <c r="AA563" s="140"/>
      <c r="AB563" s="62"/>
      <c r="AC563" s="140"/>
      <c r="AD563" s="62"/>
      <c r="AE563" s="140"/>
      <c r="AF563" s="189" t="str">
        <f t="shared" si="22"/>
        <v/>
      </c>
      <c r="AG563" s="304" t="b">
        <f t="shared" si="21"/>
        <v>0</v>
      </c>
      <c r="AH563" s="9"/>
      <c r="AI563" s="145">
        <f t="shared" si="20"/>
        <v>0</v>
      </c>
      <c r="AJ563" s="147" t="s">
        <v>36</v>
      </c>
    </row>
    <row r="564" spans="1:36" ht="30" customHeight="1">
      <c r="A564" s="90"/>
      <c r="B564" s="90"/>
      <c r="C564" s="90"/>
      <c r="D564" s="90"/>
      <c r="E564" s="90"/>
      <c r="F564" s="90"/>
      <c r="G564" s="90"/>
      <c r="H564" s="90"/>
      <c r="I564" s="90"/>
      <c r="J564" s="90"/>
      <c r="K564" s="90"/>
      <c r="L564" s="90"/>
      <c r="M564" s="90"/>
      <c r="N564" s="150"/>
      <c r="O564" s="152"/>
      <c r="P564" s="90"/>
      <c r="Q564" s="140"/>
      <c r="R564" s="90"/>
      <c r="S564" s="140"/>
      <c r="T564" s="90"/>
      <c r="U564" s="140"/>
      <c r="V564" s="90"/>
      <c r="W564" s="140"/>
      <c r="X564" s="90"/>
      <c r="Y564" s="140"/>
      <c r="Z564" s="90"/>
      <c r="AA564" s="140"/>
      <c r="AB564" s="62"/>
      <c r="AC564" s="140"/>
      <c r="AD564" s="62"/>
      <c r="AE564" s="140"/>
      <c r="AF564" s="189" t="str">
        <f t="shared" si="22"/>
        <v/>
      </c>
      <c r="AG564" s="304" t="b">
        <f t="shared" si="21"/>
        <v>0</v>
      </c>
      <c r="AH564" s="9"/>
      <c r="AI564" s="145">
        <f t="shared" si="20"/>
        <v>0</v>
      </c>
      <c r="AJ564" s="147" t="s">
        <v>36</v>
      </c>
    </row>
    <row r="565" spans="1:36" ht="30" customHeight="1">
      <c r="A565" s="90"/>
      <c r="B565" s="90"/>
      <c r="C565" s="90"/>
      <c r="D565" s="90"/>
      <c r="E565" s="90"/>
      <c r="F565" s="90"/>
      <c r="G565" s="90"/>
      <c r="H565" s="90"/>
      <c r="I565" s="90"/>
      <c r="J565" s="90"/>
      <c r="K565" s="90"/>
      <c r="L565" s="90"/>
      <c r="M565" s="90"/>
      <c r="N565" s="150"/>
      <c r="O565" s="152"/>
      <c r="P565" s="90"/>
      <c r="Q565" s="140"/>
      <c r="R565" s="90"/>
      <c r="S565" s="140"/>
      <c r="T565" s="90"/>
      <c r="U565" s="140"/>
      <c r="V565" s="90"/>
      <c r="W565" s="140"/>
      <c r="X565" s="90"/>
      <c r="Y565" s="140"/>
      <c r="Z565" s="90"/>
      <c r="AA565" s="140"/>
      <c r="AB565" s="62"/>
      <c r="AC565" s="140"/>
      <c r="AD565" s="62"/>
      <c r="AE565" s="140"/>
      <c r="AF565" s="189" t="str">
        <f t="shared" si="22"/>
        <v/>
      </c>
      <c r="AG565" s="304" t="b">
        <f t="shared" si="21"/>
        <v>0</v>
      </c>
      <c r="AH565" s="9"/>
      <c r="AI565" s="145">
        <f t="shared" si="20"/>
        <v>0</v>
      </c>
      <c r="AJ565" s="147" t="s">
        <v>36</v>
      </c>
    </row>
    <row r="566" spans="1:36" ht="30" customHeight="1">
      <c r="A566" s="90"/>
      <c r="B566" s="90"/>
      <c r="C566" s="90"/>
      <c r="D566" s="90"/>
      <c r="E566" s="90"/>
      <c r="F566" s="90"/>
      <c r="G566" s="90"/>
      <c r="H566" s="90"/>
      <c r="I566" s="90"/>
      <c r="J566" s="90"/>
      <c r="K566" s="90"/>
      <c r="L566" s="90"/>
      <c r="M566" s="90"/>
      <c r="N566" s="150"/>
      <c r="O566" s="152"/>
      <c r="P566" s="90"/>
      <c r="Q566" s="140"/>
      <c r="R566" s="90"/>
      <c r="S566" s="140"/>
      <c r="T566" s="90"/>
      <c r="U566" s="140"/>
      <c r="V566" s="90"/>
      <c r="W566" s="140"/>
      <c r="X566" s="90"/>
      <c r="Y566" s="140"/>
      <c r="Z566" s="90"/>
      <c r="AA566" s="140"/>
      <c r="AB566" s="62"/>
      <c r="AC566" s="140"/>
      <c r="AD566" s="62"/>
      <c r="AE566" s="140"/>
      <c r="AF566" s="189" t="str">
        <f t="shared" si="22"/>
        <v/>
      </c>
      <c r="AG566" s="304" t="b">
        <f t="shared" si="21"/>
        <v>0</v>
      </c>
      <c r="AH566" s="9"/>
      <c r="AI566" s="145">
        <f t="shared" si="20"/>
        <v>0</v>
      </c>
      <c r="AJ566" s="147" t="s">
        <v>36</v>
      </c>
    </row>
    <row r="567" spans="1:36" ht="30" customHeight="1">
      <c r="A567" s="90"/>
      <c r="B567" s="90"/>
      <c r="C567" s="90"/>
      <c r="D567" s="90"/>
      <c r="E567" s="90"/>
      <c r="F567" s="90"/>
      <c r="G567" s="90"/>
      <c r="H567" s="90"/>
      <c r="I567" s="90"/>
      <c r="J567" s="90"/>
      <c r="K567" s="90"/>
      <c r="L567" s="90"/>
      <c r="M567" s="90"/>
      <c r="N567" s="150"/>
      <c r="O567" s="152"/>
      <c r="P567" s="90"/>
      <c r="Q567" s="140"/>
      <c r="R567" s="90"/>
      <c r="S567" s="140"/>
      <c r="T567" s="90"/>
      <c r="U567" s="140"/>
      <c r="V567" s="90"/>
      <c r="W567" s="140"/>
      <c r="X567" s="90"/>
      <c r="Y567" s="140"/>
      <c r="Z567" s="90"/>
      <c r="AA567" s="140"/>
      <c r="AB567" s="62"/>
      <c r="AC567" s="140"/>
      <c r="AD567" s="62"/>
      <c r="AE567" s="140"/>
      <c r="AF567" s="189" t="str">
        <f t="shared" si="22"/>
        <v/>
      </c>
      <c r="AG567" s="304" t="b">
        <f t="shared" si="21"/>
        <v>0</v>
      </c>
      <c r="AH567" s="9"/>
      <c r="AI567" s="145">
        <f t="shared" si="20"/>
        <v>0</v>
      </c>
      <c r="AJ567" s="147" t="s">
        <v>36</v>
      </c>
    </row>
    <row r="568" spans="1:36" ht="30" customHeight="1">
      <c r="A568" s="90"/>
      <c r="B568" s="90"/>
      <c r="C568" s="90"/>
      <c r="D568" s="90"/>
      <c r="E568" s="90"/>
      <c r="F568" s="90"/>
      <c r="G568" s="90"/>
      <c r="H568" s="90"/>
      <c r="I568" s="90"/>
      <c r="J568" s="90"/>
      <c r="K568" s="90"/>
      <c r="L568" s="90"/>
      <c r="M568" s="90"/>
      <c r="N568" s="150"/>
      <c r="O568" s="152"/>
      <c r="P568" s="90"/>
      <c r="Q568" s="140"/>
      <c r="R568" s="90"/>
      <c r="S568" s="140"/>
      <c r="T568" s="90"/>
      <c r="U568" s="140"/>
      <c r="V568" s="90"/>
      <c r="W568" s="140"/>
      <c r="X568" s="90"/>
      <c r="Y568" s="140"/>
      <c r="Z568" s="90"/>
      <c r="AA568" s="140"/>
      <c r="AB568" s="62"/>
      <c r="AC568" s="140"/>
      <c r="AD568" s="62"/>
      <c r="AE568" s="140"/>
      <c r="AF568" s="189" t="str">
        <f t="shared" si="22"/>
        <v/>
      </c>
      <c r="AG568" s="304" t="b">
        <f t="shared" si="21"/>
        <v>0</v>
      </c>
      <c r="AH568" s="9"/>
      <c r="AI568" s="145">
        <f t="shared" ref="AI568:AI631" si="23">E568</f>
        <v>0</v>
      </c>
      <c r="AJ568" s="147" t="s">
        <v>36</v>
      </c>
    </row>
    <row r="569" spans="1:36" ht="30" customHeight="1">
      <c r="A569" s="90"/>
      <c r="B569" s="90"/>
      <c r="C569" s="90"/>
      <c r="D569" s="90"/>
      <c r="E569" s="90"/>
      <c r="F569" s="90"/>
      <c r="G569" s="90"/>
      <c r="H569" s="90"/>
      <c r="I569" s="90"/>
      <c r="J569" s="90"/>
      <c r="K569" s="90"/>
      <c r="L569" s="90"/>
      <c r="M569" s="90"/>
      <c r="N569" s="150"/>
      <c r="O569" s="152"/>
      <c r="P569" s="90"/>
      <c r="Q569" s="140"/>
      <c r="R569" s="90"/>
      <c r="S569" s="140"/>
      <c r="T569" s="90"/>
      <c r="U569" s="140"/>
      <c r="V569" s="90"/>
      <c r="W569" s="140"/>
      <c r="X569" s="90"/>
      <c r="Y569" s="140"/>
      <c r="Z569" s="90"/>
      <c r="AA569" s="140"/>
      <c r="AB569" s="62"/>
      <c r="AC569" s="140"/>
      <c r="AD569" s="62"/>
      <c r="AE569" s="140"/>
      <c r="AF569" s="189" t="str">
        <f t="shared" si="22"/>
        <v/>
      </c>
      <c r="AG569" s="304" t="b">
        <f t="shared" si="21"/>
        <v>0</v>
      </c>
      <c r="AH569" s="9"/>
      <c r="AI569" s="145">
        <f t="shared" si="23"/>
        <v>0</v>
      </c>
      <c r="AJ569" s="147" t="s">
        <v>36</v>
      </c>
    </row>
    <row r="570" spans="1:36" ht="30" customHeight="1">
      <c r="A570" s="90"/>
      <c r="B570" s="90"/>
      <c r="C570" s="90"/>
      <c r="D570" s="90"/>
      <c r="E570" s="90"/>
      <c r="F570" s="90"/>
      <c r="G570" s="90"/>
      <c r="H570" s="90"/>
      <c r="I570" s="90"/>
      <c r="J570" s="90"/>
      <c r="K570" s="90"/>
      <c r="L570" s="90"/>
      <c r="M570" s="90"/>
      <c r="N570" s="150"/>
      <c r="O570" s="152"/>
      <c r="P570" s="90"/>
      <c r="Q570" s="140"/>
      <c r="R570" s="90"/>
      <c r="S570" s="140"/>
      <c r="T570" s="90"/>
      <c r="U570" s="140"/>
      <c r="V570" s="90"/>
      <c r="W570" s="140"/>
      <c r="X570" s="90"/>
      <c r="Y570" s="140"/>
      <c r="Z570" s="90"/>
      <c r="AA570" s="140"/>
      <c r="AB570" s="62"/>
      <c r="AC570" s="140"/>
      <c r="AD570" s="62"/>
      <c r="AE570" s="140"/>
      <c r="AF570" s="189" t="str">
        <f t="shared" si="22"/>
        <v/>
      </c>
      <c r="AG570" s="304" t="b">
        <f t="shared" si="21"/>
        <v>0</v>
      </c>
      <c r="AH570" s="9"/>
      <c r="AI570" s="145">
        <f t="shared" si="23"/>
        <v>0</v>
      </c>
      <c r="AJ570" s="147" t="s">
        <v>36</v>
      </c>
    </row>
    <row r="571" spans="1:36" ht="30" customHeight="1">
      <c r="A571" s="90"/>
      <c r="B571" s="90"/>
      <c r="C571" s="90"/>
      <c r="D571" s="90"/>
      <c r="E571" s="90"/>
      <c r="F571" s="90"/>
      <c r="G571" s="90"/>
      <c r="H571" s="90"/>
      <c r="I571" s="90"/>
      <c r="J571" s="90"/>
      <c r="K571" s="90"/>
      <c r="L571" s="90"/>
      <c r="M571" s="90"/>
      <c r="N571" s="150"/>
      <c r="O571" s="152"/>
      <c r="P571" s="90"/>
      <c r="Q571" s="140"/>
      <c r="R571" s="90"/>
      <c r="S571" s="140"/>
      <c r="T571" s="90"/>
      <c r="U571" s="140"/>
      <c r="V571" s="90"/>
      <c r="W571" s="140"/>
      <c r="X571" s="90"/>
      <c r="Y571" s="140"/>
      <c r="Z571" s="90"/>
      <c r="AA571" s="140"/>
      <c r="AB571" s="62"/>
      <c r="AC571" s="140"/>
      <c r="AD571" s="62"/>
      <c r="AE571" s="140"/>
      <c r="AF571" s="189" t="str">
        <f t="shared" si="22"/>
        <v/>
      </c>
      <c r="AG571" s="304" t="b">
        <f t="shared" si="21"/>
        <v>0</v>
      </c>
      <c r="AH571" s="9"/>
      <c r="AI571" s="145">
        <f t="shared" si="23"/>
        <v>0</v>
      </c>
      <c r="AJ571" s="147" t="s">
        <v>36</v>
      </c>
    </row>
    <row r="572" spans="1:36" ht="30" customHeight="1">
      <c r="A572" s="90"/>
      <c r="B572" s="90"/>
      <c r="C572" s="90"/>
      <c r="D572" s="90"/>
      <c r="E572" s="90"/>
      <c r="F572" s="90"/>
      <c r="G572" s="90"/>
      <c r="H572" s="90"/>
      <c r="I572" s="90"/>
      <c r="J572" s="90"/>
      <c r="K572" s="90"/>
      <c r="L572" s="90"/>
      <c r="M572" s="90"/>
      <c r="N572" s="150"/>
      <c r="O572" s="152"/>
      <c r="P572" s="90"/>
      <c r="Q572" s="140"/>
      <c r="R572" s="90"/>
      <c r="S572" s="140"/>
      <c r="T572" s="90"/>
      <c r="U572" s="140"/>
      <c r="V572" s="90"/>
      <c r="W572" s="140"/>
      <c r="X572" s="90"/>
      <c r="Y572" s="140"/>
      <c r="Z572" s="90"/>
      <c r="AA572" s="140"/>
      <c r="AB572" s="62"/>
      <c r="AC572" s="140"/>
      <c r="AD572" s="62"/>
      <c r="AE572" s="140"/>
      <c r="AF572" s="189" t="str">
        <f t="shared" si="22"/>
        <v/>
      </c>
      <c r="AG572" s="304" t="b">
        <f t="shared" si="21"/>
        <v>0</v>
      </c>
      <c r="AH572" s="9"/>
      <c r="AI572" s="145">
        <f t="shared" si="23"/>
        <v>0</v>
      </c>
      <c r="AJ572" s="147" t="s">
        <v>36</v>
      </c>
    </row>
    <row r="573" spans="1:36" ht="30" customHeight="1">
      <c r="A573" s="90"/>
      <c r="B573" s="90"/>
      <c r="C573" s="90"/>
      <c r="D573" s="90"/>
      <c r="E573" s="90"/>
      <c r="F573" s="90"/>
      <c r="G573" s="90"/>
      <c r="H573" s="90"/>
      <c r="I573" s="90"/>
      <c r="J573" s="90"/>
      <c r="K573" s="90"/>
      <c r="L573" s="90"/>
      <c r="M573" s="90"/>
      <c r="N573" s="150"/>
      <c r="O573" s="152"/>
      <c r="P573" s="90"/>
      <c r="Q573" s="140"/>
      <c r="R573" s="90"/>
      <c r="S573" s="140"/>
      <c r="T573" s="90"/>
      <c r="U573" s="140"/>
      <c r="V573" s="90"/>
      <c r="W573" s="140"/>
      <c r="X573" s="90"/>
      <c r="Y573" s="140"/>
      <c r="Z573" s="90"/>
      <c r="AA573" s="140"/>
      <c r="AB573" s="62"/>
      <c r="AC573" s="140"/>
      <c r="AD573" s="62"/>
      <c r="AE573" s="140"/>
      <c r="AF573" s="189" t="str">
        <f t="shared" si="22"/>
        <v/>
      </c>
      <c r="AG573" s="304" t="b">
        <f t="shared" si="21"/>
        <v>0</v>
      </c>
      <c r="AH573" s="9"/>
      <c r="AI573" s="145">
        <f t="shared" si="23"/>
        <v>0</v>
      </c>
      <c r="AJ573" s="147" t="s">
        <v>36</v>
      </c>
    </row>
    <row r="574" spans="1:36" ht="30" customHeight="1">
      <c r="A574" s="90"/>
      <c r="B574" s="90"/>
      <c r="C574" s="90"/>
      <c r="D574" s="90"/>
      <c r="E574" s="90"/>
      <c r="F574" s="90"/>
      <c r="G574" s="90"/>
      <c r="H574" s="90"/>
      <c r="I574" s="90"/>
      <c r="J574" s="90"/>
      <c r="K574" s="90"/>
      <c r="L574" s="90"/>
      <c r="M574" s="90"/>
      <c r="N574" s="150"/>
      <c r="O574" s="152"/>
      <c r="P574" s="90"/>
      <c r="Q574" s="140"/>
      <c r="R574" s="90"/>
      <c r="S574" s="140"/>
      <c r="T574" s="90"/>
      <c r="U574" s="140"/>
      <c r="V574" s="90"/>
      <c r="W574" s="140"/>
      <c r="X574" s="90"/>
      <c r="Y574" s="140"/>
      <c r="Z574" s="90"/>
      <c r="AA574" s="140"/>
      <c r="AB574" s="62"/>
      <c r="AC574" s="140"/>
      <c r="AD574" s="62"/>
      <c r="AE574" s="140"/>
      <c r="AF574" s="189" t="str">
        <f t="shared" si="22"/>
        <v/>
      </c>
      <c r="AG574" s="304" t="b">
        <f t="shared" si="21"/>
        <v>0</v>
      </c>
      <c r="AH574" s="9"/>
      <c r="AI574" s="145">
        <f t="shared" si="23"/>
        <v>0</v>
      </c>
      <c r="AJ574" s="147" t="s">
        <v>36</v>
      </c>
    </row>
    <row r="575" spans="1:36" ht="30" customHeight="1">
      <c r="A575" s="90"/>
      <c r="B575" s="90"/>
      <c r="C575" s="90"/>
      <c r="D575" s="90"/>
      <c r="E575" s="90"/>
      <c r="F575" s="90"/>
      <c r="G575" s="90"/>
      <c r="H575" s="90"/>
      <c r="I575" s="90"/>
      <c r="J575" s="90"/>
      <c r="K575" s="90"/>
      <c r="L575" s="90"/>
      <c r="M575" s="90"/>
      <c r="N575" s="150"/>
      <c r="O575" s="152"/>
      <c r="P575" s="90"/>
      <c r="Q575" s="140"/>
      <c r="R575" s="90"/>
      <c r="S575" s="140"/>
      <c r="T575" s="90"/>
      <c r="U575" s="140"/>
      <c r="V575" s="90"/>
      <c r="W575" s="140"/>
      <c r="X575" s="90"/>
      <c r="Y575" s="140"/>
      <c r="Z575" s="90"/>
      <c r="AA575" s="140"/>
      <c r="AB575" s="62"/>
      <c r="AC575" s="140"/>
      <c r="AD575" s="62"/>
      <c r="AE575" s="140"/>
      <c r="AF575" s="189" t="str">
        <f t="shared" si="22"/>
        <v/>
      </c>
      <c r="AG575" s="304" t="b">
        <f t="shared" si="21"/>
        <v>0</v>
      </c>
      <c r="AH575" s="9"/>
      <c r="AI575" s="145">
        <f t="shared" si="23"/>
        <v>0</v>
      </c>
      <c r="AJ575" s="147" t="s">
        <v>36</v>
      </c>
    </row>
    <row r="576" spans="1:36" ht="30" customHeight="1">
      <c r="A576" s="90"/>
      <c r="B576" s="90"/>
      <c r="C576" s="90"/>
      <c r="D576" s="90"/>
      <c r="E576" s="90"/>
      <c r="F576" s="90"/>
      <c r="G576" s="90"/>
      <c r="H576" s="90"/>
      <c r="I576" s="90"/>
      <c r="J576" s="90"/>
      <c r="K576" s="90"/>
      <c r="L576" s="90"/>
      <c r="M576" s="90"/>
      <c r="N576" s="150"/>
      <c r="O576" s="152"/>
      <c r="P576" s="90"/>
      <c r="Q576" s="140"/>
      <c r="R576" s="90"/>
      <c r="S576" s="140"/>
      <c r="T576" s="90"/>
      <c r="U576" s="140"/>
      <c r="V576" s="90"/>
      <c r="W576" s="140"/>
      <c r="X576" s="90"/>
      <c r="Y576" s="140"/>
      <c r="Z576" s="90"/>
      <c r="AA576" s="140"/>
      <c r="AB576" s="62"/>
      <c r="AC576" s="140"/>
      <c r="AD576" s="62"/>
      <c r="AE576" s="140"/>
      <c r="AF576" s="189" t="str">
        <f t="shared" si="22"/>
        <v/>
      </c>
      <c r="AG576" s="304" t="b">
        <f t="shared" si="21"/>
        <v>0</v>
      </c>
      <c r="AH576" s="9"/>
      <c r="AI576" s="145">
        <f t="shared" si="23"/>
        <v>0</v>
      </c>
      <c r="AJ576" s="147" t="s">
        <v>36</v>
      </c>
    </row>
    <row r="577" spans="1:36" ht="30" customHeight="1">
      <c r="A577" s="90"/>
      <c r="B577" s="90"/>
      <c r="C577" s="90"/>
      <c r="D577" s="90"/>
      <c r="E577" s="90"/>
      <c r="F577" s="90"/>
      <c r="G577" s="90"/>
      <c r="H577" s="90"/>
      <c r="I577" s="90"/>
      <c r="J577" s="90"/>
      <c r="K577" s="90"/>
      <c r="L577" s="90"/>
      <c r="M577" s="90"/>
      <c r="N577" s="150"/>
      <c r="O577" s="152"/>
      <c r="P577" s="90"/>
      <c r="Q577" s="140"/>
      <c r="R577" s="90"/>
      <c r="S577" s="140"/>
      <c r="T577" s="90"/>
      <c r="U577" s="140"/>
      <c r="V577" s="90"/>
      <c r="W577" s="140"/>
      <c r="X577" s="90"/>
      <c r="Y577" s="140"/>
      <c r="Z577" s="90"/>
      <c r="AA577" s="140"/>
      <c r="AB577" s="62"/>
      <c r="AC577" s="140"/>
      <c r="AD577" s="62"/>
      <c r="AE577" s="140"/>
      <c r="AF577" s="189" t="str">
        <f t="shared" si="22"/>
        <v/>
      </c>
      <c r="AG577" s="304" t="b">
        <f t="shared" si="21"/>
        <v>0</v>
      </c>
      <c r="AH577" s="9"/>
      <c r="AI577" s="145">
        <f t="shared" si="23"/>
        <v>0</v>
      </c>
      <c r="AJ577" s="147" t="s">
        <v>36</v>
      </c>
    </row>
    <row r="578" spans="1:36" ht="30" customHeight="1">
      <c r="A578" s="90"/>
      <c r="B578" s="90"/>
      <c r="C578" s="90"/>
      <c r="D578" s="90"/>
      <c r="E578" s="90"/>
      <c r="F578" s="90"/>
      <c r="G578" s="90"/>
      <c r="H578" s="90"/>
      <c r="I578" s="90"/>
      <c r="J578" s="90"/>
      <c r="K578" s="90"/>
      <c r="L578" s="90"/>
      <c r="M578" s="90"/>
      <c r="N578" s="150"/>
      <c r="O578" s="152"/>
      <c r="P578" s="90"/>
      <c r="Q578" s="140"/>
      <c r="R578" s="90"/>
      <c r="S578" s="140"/>
      <c r="T578" s="90"/>
      <c r="U578" s="140"/>
      <c r="V578" s="90"/>
      <c r="W578" s="140"/>
      <c r="X578" s="90"/>
      <c r="Y578" s="140"/>
      <c r="Z578" s="90"/>
      <c r="AA578" s="140"/>
      <c r="AB578" s="62"/>
      <c r="AC578" s="140"/>
      <c r="AD578" s="62"/>
      <c r="AE578" s="140"/>
      <c r="AF578" s="189" t="str">
        <f t="shared" si="22"/>
        <v/>
      </c>
      <c r="AG578" s="304" t="b">
        <f t="shared" ref="AG578:AG641" si="24">IF(AND(AE578="C",AF578="C"),"UTILIZOU O PDA CORRETAMENTE",IF(AND(AE578="C",AF578="NC"),"UTILIZOU O PDA CORRETAMENTE. NÃO HÁ FOTOS DE TODAS AS ETAPAS",IF(AND(AE578="NC",AF578="NC"),"NÃO UTILIZOU O PDA",IF(AND(AE578="NA",AF578="NA"),"NÃO AVALIADO POR FALHA DE SINCRONISMO"))))</f>
        <v>0</v>
      </c>
      <c r="AH578" s="9"/>
      <c r="AI578" s="145">
        <f t="shared" si="23"/>
        <v>0</v>
      </c>
      <c r="AJ578" s="147" t="s">
        <v>36</v>
      </c>
    </row>
    <row r="579" spans="1:36" ht="30" customHeight="1">
      <c r="A579" s="90"/>
      <c r="B579" s="90"/>
      <c r="C579" s="90"/>
      <c r="D579" s="90"/>
      <c r="E579" s="90"/>
      <c r="F579" s="90"/>
      <c r="G579" s="90"/>
      <c r="H579" s="90"/>
      <c r="I579" s="90"/>
      <c r="J579" s="90"/>
      <c r="K579" s="90"/>
      <c r="L579" s="90"/>
      <c r="M579" s="90"/>
      <c r="N579" s="150"/>
      <c r="O579" s="152"/>
      <c r="P579" s="90"/>
      <c r="Q579" s="140"/>
      <c r="R579" s="90"/>
      <c r="S579" s="140"/>
      <c r="T579" s="90"/>
      <c r="U579" s="140"/>
      <c r="V579" s="90"/>
      <c r="W579" s="140"/>
      <c r="X579" s="90"/>
      <c r="Y579" s="140"/>
      <c r="Z579" s="90"/>
      <c r="AA579" s="140"/>
      <c r="AB579" s="62"/>
      <c r="AC579" s="140"/>
      <c r="AD579" s="62"/>
      <c r="AE579" s="140"/>
      <c r="AF579" s="189" t="str">
        <f t="shared" ref="AF579:AF642" si="25">IF(AND(O579="",Q579="",S579="",U579="",W579="",Y579="",AA579="",AC579=""),"",
IF(OR(    AND(O579&lt;&gt;"NA",O579&lt;&gt;"C",O579&lt;&gt;"NC",O579&lt;&gt;"SF",O579&lt;&gt;""),
    AND(Q579&lt;&gt;"NA",Q579&lt;&gt;"C",Q579&lt;&gt;"NC",Q579&lt;&gt;"SF",Q579&lt;&gt;""),
    AND(S579&lt;&gt;"NA",S579&lt;&gt;"C",S579&lt;&gt;"NC",S579&lt;&gt;"SF",S579&lt;&gt;""),
    AND(U579&lt;&gt;"NA",U579&lt;&gt;"C",U579&lt;&gt;"NC",U579&lt;&gt;"SF",U579&lt;&gt;""),
    AND(W579&lt;&gt;"NA",W579&lt;&gt;"C",W579&lt;&gt;"NC",W579&lt;&gt;"SF",W579&lt;&gt;""),
    AND(Y579&lt;&gt;"NA",Y579&lt;&gt;"C",Y579&lt;&gt;"NC",Y579&lt;&gt;"SF",Y579&lt;&gt;""),
    AND(AA579&lt;&gt;"NA",AA579&lt;&gt;"C",AA579&lt;&gt;"NC",AA579&lt;&gt;"SF",AA579&lt;&gt;""),
    AND(AC579&lt;&gt;"NA",AC579&lt;&gt;"C",AC579&lt;&gt;"NC",AC579&lt;&gt;"SF",AC579&lt;&gt;"")
),"FALSO",
IF(AND(O579="NA",Q579="NA",S579="NA",U579="NA",W579="NA",Y579="NA",AA579="NA",AC579="NA"),"NA",
IF(OR(O579="NC",Q579="NC",S579="NC",U579="NC",W579="NC",Y579="NC",AA579="NC",AC579="NC",
       O579="SF",Q579="SF",S579="SF",U579="SF",W579="SF",Y579="SF",AA579="SF",AC579="SF"),"NC",
IF(SUM(IF(O579="C",1,0),IF(Q579="C",1,0),IF(S579="C",1,0),IF(U579="C",1,0),IF(W579="C",1,0),IF(Y579="C",1,0),IF(AA579="C",1,0),IF(AC579="C",1,0))=1,"C","C")))))</f>
        <v/>
      </c>
      <c r="AG579" s="304" t="b">
        <f t="shared" si="24"/>
        <v>0</v>
      </c>
      <c r="AH579" s="9"/>
      <c r="AI579" s="145">
        <f t="shared" si="23"/>
        <v>0</v>
      </c>
      <c r="AJ579" s="147" t="s">
        <v>36</v>
      </c>
    </row>
    <row r="580" spans="1:36" ht="30" customHeight="1">
      <c r="A580" s="90"/>
      <c r="B580" s="90"/>
      <c r="C580" s="90"/>
      <c r="D580" s="90"/>
      <c r="E580" s="90"/>
      <c r="F580" s="90"/>
      <c r="G580" s="90"/>
      <c r="H580" s="90"/>
      <c r="I580" s="90"/>
      <c r="J580" s="90"/>
      <c r="K580" s="90"/>
      <c r="L580" s="90"/>
      <c r="M580" s="90"/>
      <c r="N580" s="150"/>
      <c r="O580" s="152"/>
      <c r="P580" s="90"/>
      <c r="Q580" s="140"/>
      <c r="R580" s="90"/>
      <c r="S580" s="140"/>
      <c r="T580" s="90"/>
      <c r="U580" s="140"/>
      <c r="V580" s="90"/>
      <c r="W580" s="140"/>
      <c r="X580" s="90"/>
      <c r="Y580" s="140"/>
      <c r="Z580" s="90"/>
      <c r="AA580" s="140"/>
      <c r="AB580" s="62"/>
      <c r="AC580" s="140"/>
      <c r="AD580" s="62"/>
      <c r="AE580" s="140"/>
      <c r="AF580" s="189" t="str">
        <f t="shared" si="25"/>
        <v/>
      </c>
      <c r="AG580" s="304" t="b">
        <f t="shared" si="24"/>
        <v>0</v>
      </c>
      <c r="AH580" s="9"/>
      <c r="AI580" s="145">
        <f t="shared" si="23"/>
        <v>0</v>
      </c>
      <c r="AJ580" s="147" t="s">
        <v>36</v>
      </c>
    </row>
    <row r="581" spans="1:36" ht="30" customHeight="1">
      <c r="A581" s="90"/>
      <c r="B581" s="90"/>
      <c r="C581" s="90"/>
      <c r="D581" s="90"/>
      <c r="E581" s="90"/>
      <c r="F581" s="90"/>
      <c r="G581" s="90"/>
      <c r="H581" s="90"/>
      <c r="I581" s="90"/>
      <c r="J581" s="90"/>
      <c r="K581" s="90"/>
      <c r="L581" s="90"/>
      <c r="M581" s="90"/>
      <c r="N581" s="150"/>
      <c r="O581" s="152"/>
      <c r="P581" s="90"/>
      <c r="Q581" s="140"/>
      <c r="R581" s="90"/>
      <c r="S581" s="140"/>
      <c r="T581" s="90"/>
      <c r="U581" s="140"/>
      <c r="V581" s="90"/>
      <c r="W581" s="140"/>
      <c r="X581" s="90"/>
      <c r="Y581" s="140"/>
      <c r="Z581" s="90"/>
      <c r="AA581" s="140"/>
      <c r="AB581" s="62"/>
      <c r="AC581" s="140"/>
      <c r="AD581" s="62"/>
      <c r="AE581" s="140"/>
      <c r="AF581" s="189" t="str">
        <f t="shared" si="25"/>
        <v/>
      </c>
      <c r="AG581" s="304" t="b">
        <f t="shared" si="24"/>
        <v>0</v>
      </c>
      <c r="AH581" s="9"/>
      <c r="AI581" s="145">
        <f t="shared" si="23"/>
        <v>0</v>
      </c>
      <c r="AJ581" s="147" t="s">
        <v>36</v>
      </c>
    </row>
    <row r="582" spans="1:36" ht="30" customHeight="1">
      <c r="A582" s="90"/>
      <c r="B582" s="90"/>
      <c r="C582" s="90"/>
      <c r="D582" s="90"/>
      <c r="E582" s="90"/>
      <c r="F582" s="90"/>
      <c r="G582" s="90"/>
      <c r="H582" s="90"/>
      <c r="I582" s="90"/>
      <c r="J582" s="90"/>
      <c r="K582" s="90"/>
      <c r="L582" s="90"/>
      <c r="M582" s="90"/>
      <c r="N582" s="150"/>
      <c r="O582" s="152"/>
      <c r="P582" s="90"/>
      <c r="Q582" s="140"/>
      <c r="R582" s="90"/>
      <c r="S582" s="140"/>
      <c r="T582" s="90"/>
      <c r="U582" s="140"/>
      <c r="V582" s="90"/>
      <c r="W582" s="140"/>
      <c r="X582" s="90"/>
      <c r="Y582" s="140"/>
      <c r="Z582" s="90"/>
      <c r="AA582" s="140"/>
      <c r="AB582" s="62"/>
      <c r="AC582" s="140"/>
      <c r="AD582" s="62"/>
      <c r="AE582" s="140"/>
      <c r="AF582" s="189" t="str">
        <f t="shared" si="25"/>
        <v/>
      </c>
      <c r="AG582" s="304" t="b">
        <f t="shared" si="24"/>
        <v>0</v>
      </c>
      <c r="AH582" s="9"/>
      <c r="AI582" s="145">
        <f t="shared" si="23"/>
        <v>0</v>
      </c>
      <c r="AJ582" s="147" t="s">
        <v>36</v>
      </c>
    </row>
    <row r="583" spans="1:36" ht="30" customHeight="1">
      <c r="A583" s="90"/>
      <c r="B583" s="90"/>
      <c r="C583" s="90"/>
      <c r="D583" s="90"/>
      <c r="E583" s="90"/>
      <c r="F583" s="90"/>
      <c r="G583" s="90"/>
      <c r="H583" s="90"/>
      <c r="I583" s="90"/>
      <c r="J583" s="90"/>
      <c r="K583" s="90"/>
      <c r="L583" s="90"/>
      <c r="M583" s="90"/>
      <c r="N583" s="150"/>
      <c r="O583" s="152"/>
      <c r="P583" s="90"/>
      <c r="Q583" s="140"/>
      <c r="R583" s="90"/>
      <c r="S583" s="140"/>
      <c r="T583" s="90"/>
      <c r="U583" s="140"/>
      <c r="V583" s="90"/>
      <c r="W583" s="140"/>
      <c r="X583" s="90"/>
      <c r="Y583" s="140"/>
      <c r="Z583" s="90"/>
      <c r="AA583" s="140"/>
      <c r="AB583" s="62"/>
      <c r="AC583" s="140"/>
      <c r="AD583" s="62"/>
      <c r="AE583" s="140"/>
      <c r="AF583" s="189" t="str">
        <f t="shared" si="25"/>
        <v/>
      </c>
      <c r="AG583" s="304" t="b">
        <f t="shared" si="24"/>
        <v>0</v>
      </c>
      <c r="AH583" s="9"/>
      <c r="AI583" s="145">
        <f t="shared" si="23"/>
        <v>0</v>
      </c>
      <c r="AJ583" s="147" t="s">
        <v>36</v>
      </c>
    </row>
    <row r="584" spans="1:36" ht="30" customHeight="1">
      <c r="A584" s="90"/>
      <c r="B584" s="90"/>
      <c r="C584" s="90"/>
      <c r="D584" s="90"/>
      <c r="E584" s="90"/>
      <c r="F584" s="90"/>
      <c r="G584" s="90"/>
      <c r="H584" s="90"/>
      <c r="I584" s="90"/>
      <c r="J584" s="90"/>
      <c r="K584" s="90"/>
      <c r="L584" s="90"/>
      <c r="M584" s="90"/>
      <c r="N584" s="150"/>
      <c r="O584" s="152"/>
      <c r="P584" s="90"/>
      <c r="Q584" s="140"/>
      <c r="R584" s="90"/>
      <c r="S584" s="140"/>
      <c r="T584" s="90"/>
      <c r="U584" s="140"/>
      <c r="V584" s="90"/>
      <c r="W584" s="140"/>
      <c r="X584" s="90"/>
      <c r="Y584" s="140"/>
      <c r="Z584" s="90"/>
      <c r="AA584" s="140"/>
      <c r="AB584" s="62"/>
      <c r="AC584" s="140"/>
      <c r="AD584" s="62"/>
      <c r="AE584" s="140"/>
      <c r="AF584" s="189" t="str">
        <f t="shared" si="25"/>
        <v/>
      </c>
      <c r="AG584" s="304" t="b">
        <f t="shared" si="24"/>
        <v>0</v>
      </c>
      <c r="AH584" s="9"/>
      <c r="AI584" s="145">
        <f t="shared" si="23"/>
        <v>0</v>
      </c>
      <c r="AJ584" s="147" t="s">
        <v>36</v>
      </c>
    </row>
    <row r="585" spans="1:36" ht="30" customHeight="1">
      <c r="A585" s="90"/>
      <c r="B585" s="90"/>
      <c r="C585" s="90"/>
      <c r="D585" s="90"/>
      <c r="E585" s="90"/>
      <c r="F585" s="90"/>
      <c r="G585" s="90"/>
      <c r="H585" s="90"/>
      <c r="I585" s="90"/>
      <c r="J585" s="90"/>
      <c r="K585" s="90"/>
      <c r="L585" s="90"/>
      <c r="M585" s="90"/>
      <c r="N585" s="150"/>
      <c r="O585" s="152"/>
      <c r="P585" s="90"/>
      <c r="Q585" s="140"/>
      <c r="R585" s="90"/>
      <c r="S585" s="140"/>
      <c r="T585" s="90"/>
      <c r="U585" s="140"/>
      <c r="V585" s="90"/>
      <c r="W585" s="140"/>
      <c r="X585" s="90"/>
      <c r="Y585" s="140"/>
      <c r="Z585" s="90"/>
      <c r="AA585" s="140"/>
      <c r="AB585" s="62"/>
      <c r="AC585" s="140"/>
      <c r="AD585" s="62"/>
      <c r="AE585" s="140"/>
      <c r="AF585" s="189" t="str">
        <f t="shared" si="25"/>
        <v/>
      </c>
      <c r="AG585" s="304" t="b">
        <f t="shared" si="24"/>
        <v>0</v>
      </c>
      <c r="AH585" s="9"/>
      <c r="AI585" s="145">
        <f t="shared" si="23"/>
        <v>0</v>
      </c>
      <c r="AJ585" s="147" t="s">
        <v>36</v>
      </c>
    </row>
    <row r="586" spans="1:36" ht="30" customHeight="1">
      <c r="A586" s="90"/>
      <c r="B586" s="90"/>
      <c r="C586" s="90"/>
      <c r="D586" s="90"/>
      <c r="E586" s="90"/>
      <c r="F586" s="90"/>
      <c r="G586" s="90"/>
      <c r="H586" s="90"/>
      <c r="I586" s="90"/>
      <c r="J586" s="90"/>
      <c r="K586" s="90"/>
      <c r="L586" s="90"/>
      <c r="M586" s="90"/>
      <c r="N586" s="150"/>
      <c r="O586" s="152"/>
      <c r="P586" s="90"/>
      <c r="Q586" s="140"/>
      <c r="R586" s="90"/>
      <c r="S586" s="140"/>
      <c r="T586" s="90"/>
      <c r="U586" s="140"/>
      <c r="V586" s="90"/>
      <c r="W586" s="140"/>
      <c r="X586" s="90"/>
      <c r="Y586" s="140"/>
      <c r="Z586" s="90"/>
      <c r="AA586" s="140"/>
      <c r="AB586" s="62"/>
      <c r="AC586" s="140"/>
      <c r="AD586" s="62"/>
      <c r="AE586" s="140"/>
      <c r="AF586" s="189" t="str">
        <f t="shared" si="25"/>
        <v/>
      </c>
      <c r="AG586" s="304" t="b">
        <f t="shared" si="24"/>
        <v>0</v>
      </c>
      <c r="AH586" s="9"/>
      <c r="AI586" s="145">
        <f t="shared" si="23"/>
        <v>0</v>
      </c>
      <c r="AJ586" s="147" t="s">
        <v>36</v>
      </c>
    </row>
    <row r="587" spans="1:36" ht="30" customHeight="1">
      <c r="A587" s="90"/>
      <c r="B587" s="90"/>
      <c r="C587" s="90"/>
      <c r="D587" s="90"/>
      <c r="E587" s="90"/>
      <c r="F587" s="90"/>
      <c r="G587" s="90"/>
      <c r="H587" s="90"/>
      <c r="I587" s="90"/>
      <c r="J587" s="90"/>
      <c r="K587" s="90"/>
      <c r="L587" s="90"/>
      <c r="M587" s="90"/>
      <c r="N587" s="150"/>
      <c r="O587" s="152"/>
      <c r="P587" s="90"/>
      <c r="Q587" s="140"/>
      <c r="R587" s="90"/>
      <c r="S587" s="140"/>
      <c r="T587" s="90"/>
      <c r="U587" s="140"/>
      <c r="V587" s="90"/>
      <c r="W587" s="140"/>
      <c r="X587" s="90"/>
      <c r="Y587" s="140"/>
      <c r="Z587" s="90"/>
      <c r="AA587" s="140"/>
      <c r="AB587" s="62"/>
      <c r="AC587" s="140"/>
      <c r="AD587" s="62"/>
      <c r="AE587" s="140"/>
      <c r="AF587" s="189" t="str">
        <f t="shared" si="25"/>
        <v/>
      </c>
      <c r="AG587" s="304" t="b">
        <f t="shared" si="24"/>
        <v>0</v>
      </c>
      <c r="AH587" s="9"/>
      <c r="AI587" s="145">
        <f t="shared" si="23"/>
        <v>0</v>
      </c>
      <c r="AJ587" s="147" t="s">
        <v>36</v>
      </c>
    </row>
    <row r="588" spans="1:36" ht="30" customHeight="1">
      <c r="A588" s="90"/>
      <c r="B588" s="90"/>
      <c r="C588" s="90"/>
      <c r="D588" s="90"/>
      <c r="E588" s="90"/>
      <c r="F588" s="90"/>
      <c r="G588" s="90"/>
      <c r="H588" s="90"/>
      <c r="I588" s="90"/>
      <c r="J588" s="90"/>
      <c r="K588" s="90"/>
      <c r="L588" s="90"/>
      <c r="M588" s="90"/>
      <c r="N588" s="150"/>
      <c r="O588" s="152"/>
      <c r="P588" s="90"/>
      <c r="Q588" s="140"/>
      <c r="R588" s="90"/>
      <c r="S588" s="140"/>
      <c r="T588" s="90"/>
      <c r="U588" s="140"/>
      <c r="V588" s="90"/>
      <c r="W588" s="140"/>
      <c r="X588" s="90"/>
      <c r="Y588" s="140"/>
      <c r="Z588" s="90"/>
      <c r="AA588" s="140"/>
      <c r="AB588" s="62"/>
      <c r="AC588" s="140"/>
      <c r="AD588" s="62"/>
      <c r="AE588" s="140"/>
      <c r="AF588" s="189" t="str">
        <f t="shared" si="25"/>
        <v/>
      </c>
      <c r="AG588" s="304" t="b">
        <f t="shared" si="24"/>
        <v>0</v>
      </c>
      <c r="AH588" s="9"/>
      <c r="AI588" s="145">
        <f t="shared" si="23"/>
        <v>0</v>
      </c>
      <c r="AJ588" s="147" t="s">
        <v>36</v>
      </c>
    </row>
    <row r="589" spans="1:36" ht="30" customHeight="1">
      <c r="A589" s="90"/>
      <c r="B589" s="90"/>
      <c r="C589" s="90"/>
      <c r="D589" s="90"/>
      <c r="E589" s="90"/>
      <c r="F589" s="90"/>
      <c r="G589" s="90"/>
      <c r="H589" s="90"/>
      <c r="I589" s="90"/>
      <c r="J589" s="90"/>
      <c r="K589" s="90"/>
      <c r="L589" s="90"/>
      <c r="M589" s="90"/>
      <c r="N589" s="150"/>
      <c r="O589" s="152"/>
      <c r="P589" s="90"/>
      <c r="Q589" s="140"/>
      <c r="R589" s="90"/>
      <c r="S589" s="140"/>
      <c r="T589" s="90"/>
      <c r="U589" s="140"/>
      <c r="V589" s="90"/>
      <c r="W589" s="140"/>
      <c r="X589" s="90"/>
      <c r="Y589" s="140"/>
      <c r="Z589" s="90"/>
      <c r="AA589" s="140"/>
      <c r="AB589" s="62"/>
      <c r="AC589" s="140"/>
      <c r="AD589" s="62"/>
      <c r="AE589" s="140"/>
      <c r="AF589" s="189" t="str">
        <f t="shared" si="25"/>
        <v/>
      </c>
      <c r="AG589" s="304" t="b">
        <f t="shared" si="24"/>
        <v>0</v>
      </c>
      <c r="AH589" s="9"/>
      <c r="AI589" s="145">
        <f t="shared" si="23"/>
        <v>0</v>
      </c>
      <c r="AJ589" s="147" t="s">
        <v>36</v>
      </c>
    </row>
    <row r="590" spans="1:36" ht="30" customHeight="1">
      <c r="A590" s="90"/>
      <c r="B590" s="90"/>
      <c r="C590" s="90"/>
      <c r="D590" s="90"/>
      <c r="E590" s="90"/>
      <c r="F590" s="90"/>
      <c r="G590" s="90"/>
      <c r="H590" s="90"/>
      <c r="I590" s="90"/>
      <c r="J590" s="90"/>
      <c r="K590" s="90"/>
      <c r="L590" s="90"/>
      <c r="M590" s="90"/>
      <c r="N590" s="150"/>
      <c r="O590" s="152"/>
      <c r="P590" s="90"/>
      <c r="Q590" s="140"/>
      <c r="R590" s="90"/>
      <c r="S590" s="140"/>
      <c r="T590" s="90"/>
      <c r="U590" s="140"/>
      <c r="V590" s="90"/>
      <c r="W590" s="140"/>
      <c r="X590" s="90"/>
      <c r="Y590" s="140"/>
      <c r="Z590" s="90"/>
      <c r="AA590" s="140"/>
      <c r="AB590" s="62"/>
      <c r="AC590" s="140"/>
      <c r="AD590" s="62"/>
      <c r="AE590" s="140"/>
      <c r="AF590" s="189" t="str">
        <f t="shared" si="25"/>
        <v/>
      </c>
      <c r="AG590" s="304" t="b">
        <f t="shared" si="24"/>
        <v>0</v>
      </c>
      <c r="AH590" s="9"/>
      <c r="AI590" s="145">
        <f t="shared" si="23"/>
        <v>0</v>
      </c>
      <c r="AJ590" s="147" t="s">
        <v>36</v>
      </c>
    </row>
    <row r="591" spans="1:36" ht="30" customHeight="1">
      <c r="A591" s="90"/>
      <c r="B591" s="90"/>
      <c r="C591" s="90"/>
      <c r="D591" s="90"/>
      <c r="E591" s="90"/>
      <c r="F591" s="90"/>
      <c r="G591" s="90"/>
      <c r="H591" s="90"/>
      <c r="I591" s="90"/>
      <c r="J591" s="90"/>
      <c r="K591" s="90"/>
      <c r="L591" s="90"/>
      <c r="M591" s="90"/>
      <c r="N591" s="150"/>
      <c r="O591" s="152"/>
      <c r="P591" s="90"/>
      <c r="Q591" s="140"/>
      <c r="R591" s="90"/>
      <c r="S591" s="140"/>
      <c r="T591" s="90"/>
      <c r="U591" s="140"/>
      <c r="V591" s="90"/>
      <c r="W591" s="140"/>
      <c r="X591" s="90"/>
      <c r="Y591" s="140"/>
      <c r="Z591" s="90"/>
      <c r="AA591" s="140"/>
      <c r="AB591" s="62"/>
      <c r="AC591" s="140"/>
      <c r="AD591" s="62"/>
      <c r="AE591" s="140"/>
      <c r="AF591" s="189" t="str">
        <f t="shared" si="25"/>
        <v/>
      </c>
      <c r="AG591" s="304" t="b">
        <f t="shared" si="24"/>
        <v>0</v>
      </c>
      <c r="AH591" s="9"/>
      <c r="AI591" s="145">
        <f t="shared" si="23"/>
        <v>0</v>
      </c>
      <c r="AJ591" s="147" t="s">
        <v>36</v>
      </c>
    </row>
    <row r="592" spans="1:36" ht="30" customHeight="1">
      <c r="A592" s="90"/>
      <c r="B592" s="90"/>
      <c r="C592" s="90"/>
      <c r="D592" s="90"/>
      <c r="E592" s="90"/>
      <c r="F592" s="90"/>
      <c r="G592" s="90"/>
      <c r="H592" s="90"/>
      <c r="I592" s="90"/>
      <c r="J592" s="90"/>
      <c r="K592" s="90"/>
      <c r="L592" s="90"/>
      <c r="M592" s="90"/>
      <c r="N592" s="150"/>
      <c r="O592" s="152"/>
      <c r="P592" s="90"/>
      <c r="Q592" s="140"/>
      <c r="R592" s="90"/>
      <c r="S592" s="140"/>
      <c r="T592" s="90"/>
      <c r="U592" s="140"/>
      <c r="V592" s="90"/>
      <c r="W592" s="140"/>
      <c r="X592" s="90"/>
      <c r="Y592" s="140"/>
      <c r="Z592" s="90"/>
      <c r="AA592" s="140"/>
      <c r="AB592" s="62"/>
      <c r="AC592" s="140"/>
      <c r="AD592" s="62"/>
      <c r="AE592" s="140"/>
      <c r="AF592" s="189" t="str">
        <f t="shared" si="25"/>
        <v/>
      </c>
      <c r="AG592" s="304" t="b">
        <f t="shared" si="24"/>
        <v>0</v>
      </c>
      <c r="AH592" s="9"/>
      <c r="AI592" s="145">
        <f t="shared" si="23"/>
        <v>0</v>
      </c>
      <c r="AJ592" s="147" t="s">
        <v>36</v>
      </c>
    </row>
    <row r="593" spans="1:36" ht="30" customHeight="1">
      <c r="A593" s="90"/>
      <c r="B593" s="90"/>
      <c r="C593" s="90"/>
      <c r="D593" s="90"/>
      <c r="E593" s="90"/>
      <c r="F593" s="90"/>
      <c r="G593" s="90"/>
      <c r="H593" s="90"/>
      <c r="I593" s="90"/>
      <c r="J593" s="90"/>
      <c r="K593" s="90"/>
      <c r="L593" s="90"/>
      <c r="M593" s="90"/>
      <c r="N593" s="150"/>
      <c r="O593" s="152"/>
      <c r="P593" s="90"/>
      <c r="Q593" s="140"/>
      <c r="R593" s="90"/>
      <c r="S593" s="140"/>
      <c r="T593" s="90"/>
      <c r="U593" s="140"/>
      <c r="V593" s="90"/>
      <c r="W593" s="140"/>
      <c r="X593" s="90"/>
      <c r="Y593" s="140"/>
      <c r="Z593" s="90"/>
      <c r="AA593" s="140"/>
      <c r="AB593" s="62"/>
      <c r="AC593" s="140"/>
      <c r="AD593" s="62"/>
      <c r="AE593" s="140"/>
      <c r="AF593" s="189" t="str">
        <f t="shared" si="25"/>
        <v/>
      </c>
      <c r="AG593" s="304" t="b">
        <f t="shared" si="24"/>
        <v>0</v>
      </c>
      <c r="AH593" s="9"/>
      <c r="AI593" s="145">
        <f t="shared" si="23"/>
        <v>0</v>
      </c>
      <c r="AJ593" s="147" t="s">
        <v>36</v>
      </c>
    </row>
    <row r="594" spans="1:36" ht="30" customHeight="1">
      <c r="A594" s="90"/>
      <c r="B594" s="90"/>
      <c r="C594" s="90"/>
      <c r="D594" s="90"/>
      <c r="E594" s="90"/>
      <c r="F594" s="90"/>
      <c r="G594" s="90"/>
      <c r="H594" s="90"/>
      <c r="I594" s="90"/>
      <c r="J594" s="90"/>
      <c r="K594" s="90"/>
      <c r="L594" s="90"/>
      <c r="M594" s="90"/>
      <c r="N594" s="150"/>
      <c r="O594" s="152"/>
      <c r="P594" s="90"/>
      <c r="Q594" s="140"/>
      <c r="R594" s="90"/>
      <c r="S594" s="140"/>
      <c r="T594" s="90"/>
      <c r="U594" s="140"/>
      <c r="V594" s="90"/>
      <c r="W594" s="140"/>
      <c r="X594" s="90"/>
      <c r="Y594" s="140"/>
      <c r="Z594" s="90"/>
      <c r="AA594" s="140"/>
      <c r="AB594" s="62"/>
      <c r="AC594" s="140"/>
      <c r="AD594" s="62"/>
      <c r="AE594" s="140"/>
      <c r="AF594" s="189" t="str">
        <f t="shared" si="25"/>
        <v/>
      </c>
      <c r="AG594" s="304" t="b">
        <f t="shared" si="24"/>
        <v>0</v>
      </c>
      <c r="AH594" s="9"/>
      <c r="AI594" s="145">
        <f t="shared" si="23"/>
        <v>0</v>
      </c>
      <c r="AJ594" s="147" t="s">
        <v>36</v>
      </c>
    </row>
    <row r="595" spans="1:36" ht="30" customHeight="1">
      <c r="A595" s="90"/>
      <c r="B595" s="90"/>
      <c r="C595" s="90"/>
      <c r="D595" s="90"/>
      <c r="E595" s="90"/>
      <c r="F595" s="90"/>
      <c r="G595" s="90"/>
      <c r="H595" s="90"/>
      <c r="I595" s="90"/>
      <c r="J595" s="90"/>
      <c r="K595" s="90"/>
      <c r="L595" s="90"/>
      <c r="M595" s="90"/>
      <c r="N595" s="150"/>
      <c r="O595" s="152"/>
      <c r="P595" s="90"/>
      <c r="Q595" s="140"/>
      <c r="R595" s="90"/>
      <c r="S595" s="140"/>
      <c r="T595" s="90"/>
      <c r="U595" s="140"/>
      <c r="V595" s="90"/>
      <c r="W595" s="140"/>
      <c r="X595" s="90"/>
      <c r="Y595" s="140"/>
      <c r="Z595" s="90"/>
      <c r="AA595" s="140"/>
      <c r="AB595" s="62"/>
      <c r="AC595" s="140"/>
      <c r="AD595" s="62"/>
      <c r="AE595" s="140"/>
      <c r="AF595" s="189" t="str">
        <f t="shared" si="25"/>
        <v/>
      </c>
      <c r="AG595" s="304" t="b">
        <f t="shared" si="24"/>
        <v>0</v>
      </c>
      <c r="AH595" s="9"/>
      <c r="AI595" s="145">
        <f t="shared" si="23"/>
        <v>0</v>
      </c>
      <c r="AJ595" s="147" t="s">
        <v>36</v>
      </c>
    </row>
    <row r="596" spans="1:36" ht="30" customHeight="1">
      <c r="A596" s="90"/>
      <c r="B596" s="90"/>
      <c r="C596" s="90"/>
      <c r="D596" s="90"/>
      <c r="E596" s="90"/>
      <c r="F596" s="90"/>
      <c r="G596" s="90"/>
      <c r="H596" s="90"/>
      <c r="I596" s="90"/>
      <c r="J596" s="90"/>
      <c r="K596" s="90"/>
      <c r="L596" s="90"/>
      <c r="M596" s="90"/>
      <c r="N596" s="150"/>
      <c r="O596" s="152"/>
      <c r="P596" s="90"/>
      <c r="Q596" s="140"/>
      <c r="R596" s="90"/>
      <c r="S596" s="140"/>
      <c r="T596" s="90"/>
      <c r="U596" s="140"/>
      <c r="V596" s="90"/>
      <c r="W596" s="140"/>
      <c r="X596" s="90"/>
      <c r="Y596" s="140"/>
      <c r="Z596" s="90"/>
      <c r="AA596" s="140"/>
      <c r="AB596" s="62"/>
      <c r="AC596" s="140"/>
      <c r="AD596" s="62"/>
      <c r="AE596" s="140"/>
      <c r="AF596" s="189" t="str">
        <f t="shared" si="25"/>
        <v/>
      </c>
      <c r="AG596" s="304" t="b">
        <f t="shared" si="24"/>
        <v>0</v>
      </c>
      <c r="AH596" s="9"/>
      <c r="AI596" s="145">
        <f t="shared" si="23"/>
        <v>0</v>
      </c>
      <c r="AJ596" s="147" t="s">
        <v>36</v>
      </c>
    </row>
    <row r="597" spans="1:36" ht="30" customHeight="1">
      <c r="A597" s="90"/>
      <c r="B597" s="90"/>
      <c r="C597" s="90"/>
      <c r="D597" s="90"/>
      <c r="E597" s="90"/>
      <c r="F597" s="90"/>
      <c r="G597" s="90"/>
      <c r="H597" s="90"/>
      <c r="I597" s="90"/>
      <c r="J597" s="90"/>
      <c r="K597" s="90"/>
      <c r="L597" s="90"/>
      <c r="M597" s="90"/>
      <c r="N597" s="150"/>
      <c r="O597" s="152"/>
      <c r="P597" s="90"/>
      <c r="Q597" s="140"/>
      <c r="R597" s="90"/>
      <c r="S597" s="140"/>
      <c r="T597" s="90"/>
      <c r="U597" s="140"/>
      <c r="V597" s="90"/>
      <c r="W597" s="140"/>
      <c r="X597" s="90"/>
      <c r="Y597" s="140"/>
      <c r="Z597" s="90"/>
      <c r="AA597" s="140"/>
      <c r="AB597" s="62"/>
      <c r="AC597" s="140"/>
      <c r="AD597" s="62"/>
      <c r="AE597" s="140"/>
      <c r="AF597" s="189" t="str">
        <f t="shared" si="25"/>
        <v/>
      </c>
      <c r="AG597" s="304" t="b">
        <f t="shared" si="24"/>
        <v>0</v>
      </c>
      <c r="AH597" s="9"/>
      <c r="AI597" s="145">
        <f t="shared" si="23"/>
        <v>0</v>
      </c>
      <c r="AJ597" s="147" t="s">
        <v>36</v>
      </c>
    </row>
    <row r="598" spans="1:36" ht="30" customHeight="1">
      <c r="A598" s="90"/>
      <c r="B598" s="90"/>
      <c r="C598" s="90"/>
      <c r="D598" s="90"/>
      <c r="E598" s="90"/>
      <c r="F598" s="90"/>
      <c r="G598" s="90"/>
      <c r="H598" s="90"/>
      <c r="I598" s="90"/>
      <c r="J598" s="90"/>
      <c r="K598" s="90"/>
      <c r="L598" s="90"/>
      <c r="M598" s="90"/>
      <c r="N598" s="150"/>
      <c r="O598" s="152"/>
      <c r="P598" s="90"/>
      <c r="Q598" s="140"/>
      <c r="R598" s="90"/>
      <c r="S598" s="140"/>
      <c r="T598" s="90"/>
      <c r="U598" s="140"/>
      <c r="V598" s="90"/>
      <c r="W598" s="140"/>
      <c r="X598" s="90"/>
      <c r="Y598" s="140"/>
      <c r="Z598" s="90"/>
      <c r="AA598" s="140"/>
      <c r="AB598" s="62"/>
      <c r="AC598" s="140"/>
      <c r="AD598" s="62"/>
      <c r="AE598" s="140"/>
      <c r="AF598" s="189" t="str">
        <f t="shared" si="25"/>
        <v/>
      </c>
      <c r="AG598" s="304" t="b">
        <f t="shared" si="24"/>
        <v>0</v>
      </c>
      <c r="AH598" s="9"/>
      <c r="AI598" s="145">
        <f t="shared" si="23"/>
        <v>0</v>
      </c>
      <c r="AJ598" s="147" t="s">
        <v>36</v>
      </c>
    </row>
    <row r="599" spans="1:36" ht="30" customHeight="1">
      <c r="A599" s="90"/>
      <c r="B599" s="90"/>
      <c r="C599" s="90"/>
      <c r="D599" s="90"/>
      <c r="E599" s="90"/>
      <c r="F599" s="90"/>
      <c r="G599" s="90"/>
      <c r="H599" s="90"/>
      <c r="I599" s="90"/>
      <c r="J599" s="90"/>
      <c r="K599" s="90"/>
      <c r="L599" s="90"/>
      <c r="M599" s="90"/>
      <c r="N599" s="150"/>
      <c r="O599" s="152"/>
      <c r="P599" s="90"/>
      <c r="Q599" s="140"/>
      <c r="R599" s="90"/>
      <c r="S599" s="140"/>
      <c r="T599" s="90"/>
      <c r="U599" s="140"/>
      <c r="V599" s="90"/>
      <c r="W599" s="140"/>
      <c r="X599" s="90"/>
      <c r="Y599" s="140"/>
      <c r="Z599" s="90"/>
      <c r="AA599" s="140"/>
      <c r="AB599" s="62"/>
      <c r="AC599" s="140"/>
      <c r="AD599" s="62"/>
      <c r="AE599" s="140"/>
      <c r="AF599" s="189" t="str">
        <f t="shared" si="25"/>
        <v/>
      </c>
      <c r="AG599" s="304" t="b">
        <f t="shared" si="24"/>
        <v>0</v>
      </c>
      <c r="AH599" s="9"/>
      <c r="AI599" s="145">
        <f t="shared" si="23"/>
        <v>0</v>
      </c>
      <c r="AJ599" s="147" t="s">
        <v>36</v>
      </c>
    </row>
    <row r="600" spans="1:36" ht="30" customHeight="1">
      <c r="A600" s="90"/>
      <c r="B600" s="90"/>
      <c r="C600" s="90"/>
      <c r="D600" s="90"/>
      <c r="E600" s="90"/>
      <c r="F600" s="90"/>
      <c r="G600" s="90"/>
      <c r="H600" s="90"/>
      <c r="I600" s="90"/>
      <c r="J600" s="90"/>
      <c r="K600" s="90"/>
      <c r="L600" s="90"/>
      <c r="M600" s="90"/>
      <c r="N600" s="150"/>
      <c r="O600" s="152"/>
      <c r="P600" s="90"/>
      <c r="Q600" s="140"/>
      <c r="R600" s="90"/>
      <c r="S600" s="140"/>
      <c r="T600" s="90"/>
      <c r="U600" s="140"/>
      <c r="V600" s="90"/>
      <c r="W600" s="140"/>
      <c r="X600" s="90"/>
      <c r="Y600" s="140"/>
      <c r="Z600" s="90"/>
      <c r="AA600" s="140"/>
      <c r="AB600" s="62"/>
      <c r="AC600" s="140"/>
      <c r="AD600" s="62"/>
      <c r="AE600" s="140"/>
      <c r="AF600" s="189" t="str">
        <f t="shared" si="25"/>
        <v/>
      </c>
      <c r="AG600" s="304" t="b">
        <f t="shared" si="24"/>
        <v>0</v>
      </c>
      <c r="AH600" s="9"/>
      <c r="AI600" s="145">
        <f t="shared" si="23"/>
        <v>0</v>
      </c>
      <c r="AJ600" s="147" t="s">
        <v>36</v>
      </c>
    </row>
    <row r="601" spans="1:36" ht="30" customHeight="1">
      <c r="A601" s="90"/>
      <c r="B601" s="90"/>
      <c r="C601" s="90"/>
      <c r="D601" s="90"/>
      <c r="E601" s="90"/>
      <c r="F601" s="90"/>
      <c r="G601" s="90"/>
      <c r="H601" s="90"/>
      <c r="I601" s="90"/>
      <c r="J601" s="90"/>
      <c r="K601" s="90"/>
      <c r="L601" s="90"/>
      <c r="M601" s="90"/>
      <c r="N601" s="150"/>
      <c r="O601" s="152"/>
      <c r="P601" s="90"/>
      <c r="Q601" s="140"/>
      <c r="R601" s="90"/>
      <c r="S601" s="140"/>
      <c r="T601" s="90"/>
      <c r="U601" s="140"/>
      <c r="V601" s="90"/>
      <c r="W601" s="140"/>
      <c r="X601" s="90"/>
      <c r="Y601" s="140"/>
      <c r="Z601" s="90"/>
      <c r="AA601" s="140"/>
      <c r="AB601" s="62"/>
      <c r="AC601" s="140"/>
      <c r="AD601" s="62"/>
      <c r="AE601" s="140"/>
      <c r="AF601" s="189" t="str">
        <f t="shared" si="25"/>
        <v/>
      </c>
      <c r="AG601" s="304" t="b">
        <f t="shared" si="24"/>
        <v>0</v>
      </c>
      <c r="AH601" s="9"/>
      <c r="AI601" s="145">
        <f t="shared" si="23"/>
        <v>0</v>
      </c>
      <c r="AJ601" s="147" t="s">
        <v>36</v>
      </c>
    </row>
    <row r="602" spans="1:36" ht="30" customHeight="1">
      <c r="A602" s="90"/>
      <c r="B602" s="90"/>
      <c r="C602" s="90"/>
      <c r="D602" s="90"/>
      <c r="E602" s="90"/>
      <c r="F602" s="90"/>
      <c r="G602" s="90"/>
      <c r="H602" s="90"/>
      <c r="I602" s="90"/>
      <c r="J602" s="90"/>
      <c r="K602" s="90"/>
      <c r="L602" s="90"/>
      <c r="M602" s="90"/>
      <c r="N602" s="150"/>
      <c r="O602" s="152"/>
      <c r="P602" s="90"/>
      <c r="Q602" s="140"/>
      <c r="R602" s="90"/>
      <c r="S602" s="140"/>
      <c r="T602" s="90"/>
      <c r="U602" s="140"/>
      <c r="V602" s="90"/>
      <c r="W602" s="140"/>
      <c r="X602" s="90"/>
      <c r="Y602" s="140"/>
      <c r="Z602" s="90"/>
      <c r="AA602" s="140"/>
      <c r="AB602" s="62"/>
      <c r="AC602" s="140"/>
      <c r="AD602" s="62"/>
      <c r="AE602" s="140"/>
      <c r="AF602" s="189" t="str">
        <f t="shared" si="25"/>
        <v/>
      </c>
      <c r="AG602" s="304" t="b">
        <f t="shared" si="24"/>
        <v>0</v>
      </c>
      <c r="AH602" s="9"/>
      <c r="AI602" s="145">
        <f t="shared" si="23"/>
        <v>0</v>
      </c>
      <c r="AJ602" s="147" t="s">
        <v>36</v>
      </c>
    </row>
    <row r="603" spans="1:36" ht="30" customHeight="1">
      <c r="A603" s="90"/>
      <c r="B603" s="90"/>
      <c r="C603" s="90"/>
      <c r="D603" s="90"/>
      <c r="E603" s="90"/>
      <c r="F603" s="90"/>
      <c r="G603" s="90"/>
      <c r="H603" s="90"/>
      <c r="I603" s="90"/>
      <c r="J603" s="90"/>
      <c r="K603" s="90"/>
      <c r="L603" s="90"/>
      <c r="M603" s="90"/>
      <c r="N603" s="150"/>
      <c r="O603" s="152"/>
      <c r="P603" s="90"/>
      <c r="Q603" s="140"/>
      <c r="R603" s="90"/>
      <c r="S603" s="140"/>
      <c r="T603" s="90"/>
      <c r="U603" s="140"/>
      <c r="V603" s="90"/>
      <c r="W603" s="140"/>
      <c r="X603" s="90"/>
      <c r="Y603" s="140"/>
      <c r="Z603" s="90"/>
      <c r="AA603" s="140"/>
      <c r="AB603" s="62"/>
      <c r="AC603" s="140"/>
      <c r="AD603" s="62"/>
      <c r="AE603" s="140"/>
      <c r="AF603" s="189" t="str">
        <f t="shared" si="25"/>
        <v/>
      </c>
      <c r="AG603" s="304" t="b">
        <f t="shared" si="24"/>
        <v>0</v>
      </c>
      <c r="AH603" s="9"/>
      <c r="AI603" s="145">
        <f t="shared" si="23"/>
        <v>0</v>
      </c>
      <c r="AJ603" s="147" t="s">
        <v>36</v>
      </c>
    </row>
    <row r="604" spans="1:36" ht="30" customHeight="1">
      <c r="A604" s="90"/>
      <c r="B604" s="90"/>
      <c r="C604" s="90"/>
      <c r="D604" s="90"/>
      <c r="E604" s="90"/>
      <c r="F604" s="90"/>
      <c r="G604" s="90"/>
      <c r="H604" s="90"/>
      <c r="I604" s="90"/>
      <c r="J604" s="90"/>
      <c r="K604" s="90"/>
      <c r="L604" s="90"/>
      <c r="M604" s="90"/>
      <c r="N604" s="150"/>
      <c r="O604" s="152"/>
      <c r="P604" s="90"/>
      <c r="Q604" s="140"/>
      <c r="R604" s="90"/>
      <c r="S604" s="140"/>
      <c r="T604" s="90"/>
      <c r="U604" s="140"/>
      <c r="V604" s="90"/>
      <c r="W604" s="140"/>
      <c r="X604" s="90"/>
      <c r="Y604" s="140"/>
      <c r="Z604" s="90"/>
      <c r="AA604" s="140"/>
      <c r="AB604" s="62"/>
      <c r="AC604" s="140"/>
      <c r="AD604" s="62"/>
      <c r="AE604" s="140"/>
      <c r="AF604" s="189" t="str">
        <f t="shared" si="25"/>
        <v/>
      </c>
      <c r="AG604" s="304" t="b">
        <f t="shared" si="24"/>
        <v>0</v>
      </c>
      <c r="AH604" s="9"/>
      <c r="AI604" s="145">
        <f t="shared" si="23"/>
        <v>0</v>
      </c>
      <c r="AJ604" s="147" t="s">
        <v>36</v>
      </c>
    </row>
    <row r="605" spans="1:36" ht="30" customHeight="1">
      <c r="A605" s="90"/>
      <c r="B605" s="90"/>
      <c r="C605" s="90"/>
      <c r="D605" s="90"/>
      <c r="E605" s="90"/>
      <c r="F605" s="90"/>
      <c r="G605" s="90"/>
      <c r="H605" s="90"/>
      <c r="I605" s="90"/>
      <c r="J605" s="90"/>
      <c r="K605" s="90"/>
      <c r="L605" s="90"/>
      <c r="M605" s="90"/>
      <c r="N605" s="150"/>
      <c r="O605" s="152"/>
      <c r="P605" s="90"/>
      <c r="Q605" s="140"/>
      <c r="R605" s="90"/>
      <c r="S605" s="140"/>
      <c r="T605" s="90"/>
      <c r="U605" s="140"/>
      <c r="V605" s="90"/>
      <c r="W605" s="140"/>
      <c r="X605" s="90"/>
      <c r="Y605" s="140"/>
      <c r="Z605" s="90"/>
      <c r="AA605" s="140"/>
      <c r="AB605" s="62"/>
      <c r="AC605" s="140"/>
      <c r="AD605" s="62"/>
      <c r="AE605" s="140"/>
      <c r="AF605" s="189" t="str">
        <f t="shared" si="25"/>
        <v/>
      </c>
      <c r="AG605" s="304" t="b">
        <f t="shared" si="24"/>
        <v>0</v>
      </c>
      <c r="AH605" s="9"/>
      <c r="AI605" s="145">
        <f t="shared" si="23"/>
        <v>0</v>
      </c>
      <c r="AJ605" s="147" t="s">
        <v>36</v>
      </c>
    </row>
    <row r="606" spans="1:36" ht="30" customHeight="1">
      <c r="A606" s="90"/>
      <c r="B606" s="90"/>
      <c r="C606" s="90"/>
      <c r="D606" s="90"/>
      <c r="E606" s="90"/>
      <c r="F606" s="90"/>
      <c r="G606" s="90"/>
      <c r="H606" s="90"/>
      <c r="I606" s="90"/>
      <c r="J606" s="90"/>
      <c r="K606" s="90"/>
      <c r="L606" s="90"/>
      <c r="M606" s="90"/>
      <c r="N606" s="150"/>
      <c r="O606" s="152"/>
      <c r="P606" s="90"/>
      <c r="Q606" s="140"/>
      <c r="R606" s="90"/>
      <c r="S606" s="140"/>
      <c r="T606" s="90"/>
      <c r="U606" s="140"/>
      <c r="V606" s="90"/>
      <c r="W606" s="140"/>
      <c r="X606" s="90"/>
      <c r="Y606" s="140"/>
      <c r="Z606" s="90"/>
      <c r="AA606" s="140"/>
      <c r="AB606" s="62"/>
      <c r="AC606" s="140"/>
      <c r="AD606" s="62"/>
      <c r="AE606" s="140"/>
      <c r="AF606" s="189" t="str">
        <f t="shared" si="25"/>
        <v/>
      </c>
      <c r="AG606" s="304" t="b">
        <f t="shared" si="24"/>
        <v>0</v>
      </c>
      <c r="AH606" s="9"/>
      <c r="AI606" s="145">
        <f t="shared" si="23"/>
        <v>0</v>
      </c>
      <c r="AJ606" s="147" t="s">
        <v>36</v>
      </c>
    </row>
    <row r="607" spans="1:36" ht="30" customHeight="1">
      <c r="A607" s="90"/>
      <c r="B607" s="90"/>
      <c r="C607" s="90"/>
      <c r="D607" s="90"/>
      <c r="E607" s="90"/>
      <c r="F607" s="90"/>
      <c r="G607" s="90"/>
      <c r="H607" s="90"/>
      <c r="I607" s="90"/>
      <c r="J607" s="90"/>
      <c r="K607" s="90"/>
      <c r="L607" s="90"/>
      <c r="M607" s="90"/>
      <c r="N607" s="150"/>
      <c r="O607" s="152"/>
      <c r="P607" s="90"/>
      <c r="Q607" s="140"/>
      <c r="R607" s="90"/>
      <c r="S607" s="140"/>
      <c r="T607" s="90"/>
      <c r="U607" s="140"/>
      <c r="V607" s="90"/>
      <c r="W607" s="140"/>
      <c r="X607" s="90"/>
      <c r="Y607" s="140"/>
      <c r="Z607" s="90"/>
      <c r="AA607" s="140"/>
      <c r="AB607" s="62"/>
      <c r="AC607" s="140"/>
      <c r="AD607" s="62"/>
      <c r="AE607" s="140"/>
      <c r="AF607" s="189" t="str">
        <f t="shared" si="25"/>
        <v/>
      </c>
      <c r="AG607" s="304" t="b">
        <f t="shared" si="24"/>
        <v>0</v>
      </c>
      <c r="AH607" s="9"/>
      <c r="AI607" s="145">
        <f t="shared" si="23"/>
        <v>0</v>
      </c>
      <c r="AJ607" s="147" t="s">
        <v>36</v>
      </c>
    </row>
    <row r="608" spans="1:36" ht="30" customHeight="1">
      <c r="A608" s="90"/>
      <c r="B608" s="90"/>
      <c r="C608" s="90"/>
      <c r="D608" s="90"/>
      <c r="E608" s="90"/>
      <c r="F608" s="90"/>
      <c r="G608" s="90"/>
      <c r="H608" s="90"/>
      <c r="I608" s="90"/>
      <c r="J608" s="90"/>
      <c r="K608" s="90"/>
      <c r="L608" s="90"/>
      <c r="M608" s="90"/>
      <c r="N608" s="150"/>
      <c r="O608" s="152"/>
      <c r="P608" s="90"/>
      <c r="Q608" s="140"/>
      <c r="R608" s="90"/>
      <c r="S608" s="140"/>
      <c r="T608" s="90"/>
      <c r="U608" s="140"/>
      <c r="V608" s="90"/>
      <c r="W608" s="140"/>
      <c r="X608" s="90"/>
      <c r="Y608" s="140"/>
      <c r="Z608" s="90"/>
      <c r="AA608" s="140"/>
      <c r="AB608" s="62"/>
      <c r="AC608" s="140"/>
      <c r="AD608" s="62"/>
      <c r="AE608" s="140"/>
      <c r="AF608" s="189" t="str">
        <f t="shared" si="25"/>
        <v/>
      </c>
      <c r="AG608" s="304" t="b">
        <f t="shared" si="24"/>
        <v>0</v>
      </c>
      <c r="AH608" s="9"/>
      <c r="AI608" s="145">
        <f t="shared" si="23"/>
        <v>0</v>
      </c>
      <c r="AJ608" s="147" t="s">
        <v>36</v>
      </c>
    </row>
    <row r="609" spans="1:36" ht="30" customHeight="1">
      <c r="A609" s="90"/>
      <c r="B609" s="90"/>
      <c r="C609" s="90"/>
      <c r="D609" s="90"/>
      <c r="E609" s="90"/>
      <c r="F609" s="90"/>
      <c r="G609" s="90"/>
      <c r="H609" s="90"/>
      <c r="I609" s="90"/>
      <c r="J609" s="90"/>
      <c r="K609" s="90"/>
      <c r="L609" s="90"/>
      <c r="M609" s="90"/>
      <c r="N609" s="150"/>
      <c r="O609" s="152"/>
      <c r="P609" s="90"/>
      <c r="Q609" s="140"/>
      <c r="R609" s="90"/>
      <c r="S609" s="140"/>
      <c r="T609" s="90"/>
      <c r="U609" s="140"/>
      <c r="V609" s="90"/>
      <c r="W609" s="140"/>
      <c r="X609" s="90"/>
      <c r="Y609" s="140"/>
      <c r="Z609" s="90"/>
      <c r="AA609" s="140"/>
      <c r="AB609" s="62"/>
      <c r="AC609" s="140"/>
      <c r="AD609" s="62"/>
      <c r="AE609" s="140"/>
      <c r="AF609" s="189" t="str">
        <f t="shared" si="25"/>
        <v/>
      </c>
      <c r="AG609" s="304" t="b">
        <f t="shared" si="24"/>
        <v>0</v>
      </c>
      <c r="AH609" s="9"/>
      <c r="AI609" s="145">
        <f t="shared" si="23"/>
        <v>0</v>
      </c>
      <c r="AJ609" s="147" t="s">
        <v>36</v>
      </c>
    </row>
    <row r="610" spans="1:36" ht="30" customHeight="1">
      <c r="A610" s="90"/>
      <c r="B610" s="90"/>
      <c r="C610" s="90"/>
      <c r="D610" s="90"/>
      <c r="E610" s="90"/>
      <c r="F610" s="90"/>
      <c r="G610" s="90"/>
      <c r="H610" s="90"/>
      <c r="I610" s="90"/>
      <c r="J610" s="90"/>
      <c r="K610" s="90"/>
      <c r="L610" s="90"/>
      <c r="M610" s="90"/>
      <c r="N610" s="150"/>
      <c r="O610" s="152"/>
      <c r="P610" s="90"/>
      <c r="Q610" s="140"/>
      <c r="R610" s="90"/>
      <c r="S610" s="140"/>
      <c r="T610" s="90"/>
      <c r="U610" s="140"/>
      <c r="V610" s="90"/>
      <c r="W610" s="140"/>
      <c r="X610" s="90"/>
      <c r="Y610" s="140"/>
      <c r="Z610" s="90"/>
      <c r="AA610" s="140"/>
      <c r="AB610" s="62"/>
      <c r="AC610" s="140"/>
      <c r="AD610" s="62"/>
      <c r="AE610" s="140"/>
      <c r="AF610" s="189" t="str">
        <f t="shared" si="25"/>
        <v/>
      </c>
      <c r="AG610" s="304" t="b">
        <f t="shared" si="24"/>
        <v>0</v>
      </c>
      <c r="AH610" s="9"/>
      <c r="AI610" s="145">
        <f t="shared" si="23"/>
        <v>0</v>
      </c>
      <c r="AJ610" s="147" t="s">
        <v>36</v>
      </c>
    </row>
    <row r="611" spans="1:36" ht="30" customHeight="1">
      <c r="A611" s="90"/>
      <c r="B611" s="90"/>
      <c r="C611" s="90"/>
      <c r="D611" s="90"/>
      <c r="E611" s="90"/>
      <c r="F611" s="90"/>
      <c r="G611" s="90"/>
      <c r="H611" s="90"/>
      <c r="I611" s="90"/>
      <c r="J611" s="90"/>
      <c r="K611" s="90"/>
      <c r="L611" s="90"/>
      <c r="M611" s="90"/>
      <c r="N611" s="150"/>
      <c r="O611" s="152"/>
      <c r="P611" s="90"/>
      <c r="Q611" s="140"/>
      <c r="R611" s="90"/>
      <c r="S611" s="140"/>
      <c r="T611" s="90"/>
      <c r="U611" s="140"/>
      <c r="V611" s="90"/>
      <c r="W611" s="140"/>
      <c r="X611" s="90"/>
      <c r="Y611" s="140"/>
      <c r="Z611" s="90"/>
      <c r="AA611" s="140"/>
      <c r="AB611" s="62"/>
      <c r="AC611" s="140"/>
      <c r="AD611" s="62"/>
      <c r="AE611" s="140"/>
      <c r="AF611" s="189" t="str">
        <f t="shared" si="25"/>
        <v/>
      </c>
      <c r="AG611" s="304" t="b">
        <f t="shared" si="24"/>
        <v>0</v>
      </c>
      <c r="AH611" s="9"/>
      <c r="AI611" s="145">
        <f t="shared" si="23"/>
        <v>0</v>
      </c>
      <c r="AJ611" s="147" t="s">
        <v>36</v>
      </c>
    </row>
    <row r="612" spans="1:36" ht="30" customHeight="1">
      <c r="A612" s="90"/>
      <c r="B612" s="90"/>
      <c r="C612" s="90"/>
      <c r="D612" s="90"/>
      <c r="E612" s="90"/>
      <c r="F612" s="90"/>
      <c r="G612" s="90"/>
      <c r="H612" s="90"/>
      <c r="I612" s="90"/>
      <c r="J612" s="90"/>
      <c r="K612" s="90"/>
      <c r="L612" s="90"/>
      <c r="M612" s="90"/>
      <c r="N612" s="150"/>
      <c r="O612" s="152"/>
      <c r="P612" s="90"/>
      <c r="Q612" s="140"/>
      <c r="R612" s="90"/>
      <c r="S612" s="140"/>
      <c r="T612" s="90"/>
      <c r="U612" s="140"/>
      <c r="V612" s="90"/>
      <c r="W612" s="140"/>
      <c r="X612" s="90"/>
      <c r="Y612" s="140"/>
      <c r="Z612" s="90"/>
      <c r="AA612" s="140"/>
      <c r="AB612" s="62"/>
      <c r="AC612" s="140"/>
      <c r="AD612" s="62"/>
      <c r="AE612" s="140"/>
      <c r="AF612" s="189" t="str">
        <f t="shared" si="25"/>
        <v/>
      </c>
      <c r="AG612" s="304" t="b">
        <f t="shared" si="24"/>
        <v>0</v>
      </c>
      <c r="AH612" s="9"/>
      <c r="AI612" s="145">
        <f t="shared" si="23"/>
        <v>0</v>
      </c>
      <c r="AJ612" s="147" t="s">
        <v>36</v>
      </c>
    </row>
    <row r="613" spans="1:36" ht="30" customHeight="1">
      <c r="A613" s="90"/>
      <c r="B613" s="90"/>
      <c r="C613" s="90"/>
      <c r="D613" s="90"/>
      <c r="E613" s="90"/>
      <c r="F613" s="90"/>
      <c r="G613" s="90"/>
      <c r="H613" s="90"/>
      <c r="I613" s="90"/>
      <c r="J613" s="90"/>
      <c r="K613" s="90"/>
      <c r="L613" s="90"/>
      <c r="M613" s="90"/>
      <c r="N613" s="150"/>
      <c r="O613" s="152"/>
      <c r="P613" s="90"/>
      <c r="Q613" s="140"/>
      <c r="R613" s="90"/>
      <c r="S613" s="140"/>
      <c r="T613" s="90"/>
      <c r="U613" s="140"/>
      <c r="V613" s="90"/>
      <c r="W613" s="140"/>
      <c r="X613" s="90"/>
      <c r="Y613" s="140"/>
      <c r="Z613" s="90"/>
      <c r="AA613" s="140"/>
      <c r="AB613" s="62"/>
      <c r="AC613" s="140"/>
      <c r="AD613" s="62"/>
      <c r="AE613" s="140"/>
      <c r="AF613" s="189" t="str">
        <f t="shared" si="25"/>
        <v/>
      </c>
      <c r="AG613" s="304" t="b">
        <f t="shared" si="24"/>
        <v>0</v>
      </c>
      <c r="AH613" s="9"/>
      <c r="AI613" s="145">
        <f t="shared" si="23"/>
        <v>0</v>
      </c>
      <c r="AJ613" s="147" t="s">
        <v>36</v>
      </c>
    </row>
    <row r="614" spans="1:36" ht="30" customHeight="1">
      <c r="A614" s="90"/>
      <c r="B614" s="90"/>
      <c r="C614" s="90"/>
      <c r="D614" s="90"/>
      <c r="E614" s="90"/>
      <c r="F614" s="90"/>
      <c r="G614" s="90"/>
      <c r="H614" s="90"/>
      <c r="I614" s="90"/>
      <c r="J614" s="90"/>
      <c r="K614" s="90"/>
      <c r="L614" s="90"/>
      <c r="M614" s="90"/>
      <c r="N614" s="150"/>
      <c r="O614" s="152"/>
      <c r="P614" s="90"/>
      <c r="Q614" s="140"/>
      <c r="R614" s="90"/>
      <c r="S614" s="140"/>
      <c r="T614" s="90"/>
      <c r="U614" s="140"/>
      <c r="V614" s="90"/>
      <c r="W614" s="140"/>
      <c r="X614" s="90"/>
      <c r="Y614" s="140"/>
      <c r="Z614" s="90"/>
      <c r="AA614" s="140"/>
      <c r="AB614" s="62"/>
      <c r="AC614" s="140"/>
      <c r="AD614" s="62"/>
      <c r="AE614" s="140"/>
      <c r="AF614" s="189" t="str">
        <f t="shared" si="25"/>
        <v/>
      </c>
      <c r="AG614" s="304" t="b">
        <f t="shared" si="24"/>
        <v>0</v>
      </c>
      <c r="AH614" s="9"/>
      <c r="AI614" s="145">
        <f t="shared" si="23"/>
        <v>0</v>
      </c>
      <c r="AJ614" s="147" t="s">
        <v>36</v>
      </c>
    </row>
    <row r="615" spans="1:36" ht="30" customHeight="1">
      <c r="A615" s="90"/>
      <c r="B615" s="90"/>
      <c r="C615" s="90"/>
      <c r="D615" s="90"/>
      <c r="E615" s="90"/>
      <c r="F615" s="90"/>
      <c r="G615" s="90"/>
      <c r="H615" s="90"/>
      <c r="I615" s="90"/>
      <c r="J615" s="90"/>
      <c r="K615" s="90"/>
      <c r="L615" s="90"/>
      <c r="M615" s="90"/>
      <c r="N615" s="150"/>
      <c r="O615" s="152"/>
      <c r="P615" s="90"/>
      <c r="Q615" s="140"/>
      <c r="R615" s="90"/>
      <c r="S615" s="140"/>
      <c r="T615" s="90"/>
      <c r="U615" s="140"/>
      <c r="V615" s="90"/>
      <c r="W615" s="140"/>
      <c r="X615" s="90"/>
      <c r="Y615" s="140"/>
      <c r="Z615" s="90"/>
      <c r="AA615" s="140"/>
      <c r="AB615" s="62"/>
      <c r="AC615" s="140"/>
      <c r="AD615" s="62"/>
      <c r="AE615" s="140"/>
      <c r="AF615" s="189" t="str">
        <f t="shared" si="25"/>
        <v/>
      </c>
      <c r="AG615" s="304" t="b">
        <f t="shared" si="24"/>
        <v>0</v>
      </c>
      <c r="AH615" s="9"/>
      <c r="AI615" s="145">
        <f t="shared" si="23"/>
        <v>0</v>
      </c>
      <c r="AJ615" s="147" t="s">
        <v>36</v>
      </c>
    </row>
    <row r="616" spans="1:36" ht="30" customHeight="1">
      <c r="A616" s="90"/>
      <c r="B616" s="90"/>
      <c r="C616" s="90"/>
      <c r="D616" s="90"/>
      <c r="E616" s="90"/>
      <c r="F616" s="90"/>
      <c r="G616" s="90"/>
      <c r="H616" s="90"/>
      <c r="I616" s="90"/>
      <c r="J616" s="90"/>
      <c r="K616" s="90"/>
      <c r="L616" s="90"/>
      <c r="M616" s="90"/>
      <c r="N616" s="150"/>
      <c r="O616" s="152"/>
      <c r="P616" s="90"/>
      <c r="Q616" s="140"/>
      <c r="R616" s="90"/>
      <c r="S616" s="140"/>
      <c r="T616" s="90"/>
      <c r="U616" s="140"/>
      <c r="V616" s="90"/>
      <c r="W616" s="140"/>
      <c r="X616" s="90"/>
      <c r="Y616" s="140"/>
      <c r="Z616" s="90"/>
      <c r="AA616" s="140"/>
      <c r="AB616" s="62"/>
      <c r="AC616" s="140"/>
      <c r="AD616" s="62"/>
      <c r="AE616" s="140"/>
      <c r="AF616" s="189" t="str">
        <f t="shared" si="25"/>
        <v/>
      </c>
      <c r="AG616" s="304" t="b">
        <f t="shared" si="24"/>
        <v>0</v>
      </c>
      <c r="AH616" s="9"/>
      <c r="AI616" s="145">
        <f t="shared" si="23"/>
        <v>0</v>
      </c>
      <c r="AJ616" s="147" t="s">
        <v>36</v>
      </c>
    </row>
    <row r="617" spans="1:36" ht="30" customHeight="1">
      <c r="A617" s="90"/>
      <c r="B617" s="90"/>
      <c r="C617" s="90"/>
      <c r="D617" s="90"/>
      <c r="E617" s="90"/>
      <c r="F617" s="90"/>
      <c r="G617" s="90"/>
      <c r="H617" s="90"/>
      <c r="I617" s="90"/>
      <c r="J617" s="90"/>
      <c r="K617" s="90"/>
      <c r="L617" s="90"/>
      <c r="M617" s="90"/>
      <c r="N617" s="150"/>
      <c r="O617" s="152"/>
      <c r="P617" s="90"/>
      <c r="Q617" s="140"/>
      <c r="R617" s="90"/>
      <c r="S617" s="140"/>
      <c r="T617" s="90"/>
      <c r="U617" s="140"/>
      <c r="V617" s="90"/>
      <c r="W617" s="140"/>
      <c r="X617" s="90"/>
      <c r="Y617" s="140"/>
      <c r="Z617" s="90"/>
      <c r="AA617" s="140"/>
      <c r="AB617" s="62"/>
      <c r="AC617" s="140"/>
      <c r="AD617" s="62"/>
      <c r="AE617" s="140"/>
      <c r="AF617" s="189" t="str">
        <f t="shared" si="25"/>
        <v/>
      </c>
      <c r="AG617" s="304" t="b">
        <f t="shared" si="24"/>
        <v>0</v>
      </c>
      <c r="AH617" s="9"/>
      <c r="AI617" s="145">
        <f t="shared" si="23"/>
        <v>0</v>
      </c>
      <c r="AJ617" s="147" t="s">
        <v>36</v>
      </c>
    </row>
    <row r="618" spans="1:36" ht="30" customHeight="1">
      <c r="A618" s="90"/>
      <c r="B618" s="90"/>
      <c r="C618" s="90"/>
      <c r="D618" s="90"/>
      <c r="E618" s="90"/>
      <c r="F618" s="90"/>
      <c r="G618" s="90"/>
      <c r="H618" s="90"/>
      <c r="I618" s="90"/>
      <c r="J618" s="90"/>
      <c r="K618" s="90"/>
      <c r="L618" s="90"/>
      <c r="M618" s="90"/>
      <c r="N618" s="150"/>
      <c r="O618" s="152"/>
      <c r="P618" s="90"/>
      <c r="Q618" s="140"/>
      <c r="R618" s="90"/>
      <c r="S618" s="140"/>
      <c r="T618" s="90"/>
      <c r="U618" s="140"/>
      <c r="V618" s="90"/>
      <c r="W618" s="140"/>
      <c r="X618" s="90"/>
      <c r="Y618" s="140"/>
      <c r="Z618" s="90"/>
      <c r="AA618" s="140"/>
      <c r="AB618" s="62"/>
      <c r="AC618" s="140"/>
      <c r="AD618" s="62"/>
      <c r="AE618" s="140"/>
      <c r="AF618" s="189" t="str">
        <f t="shared" si="25"/>
        <v/>
      </c>
      <c r="AG618" s="304" t="b">
        <f t="shared" si="24"/>
        <v>0</v>
      </c>
      <c r="AH618" s="9"/>
      <c r="AI618" s="145">
        <f t="shared" si="23"/>
        <v>0</v>
      </c>
      <c r="AJ618" s="147" t="s">
        <v>36</v>
      </c>
    </row>
    <row r="619" spans="1:36" ht="30" customHeight="1">
      <c r="A619" s="90"/>
      <c r="B619" s="90"/>
      <c r="C619" s="90"/>
      <c r="D619" s="90"/>
      <c r="E619" s="90"/>
      <c r="F619" s="90"/>
      <c r="G619" s="90"/>
      <c r="H619" s="90"/>
      <c r="I619" s="90"/>
      <c r="J619" s="90"/>
      <c r="K619" s="90"/>
      <c r="L619" s="90"/>
      <c r="M619" s="90"/>
      <c r="N619" s="150"/>
      <c r="O619" s="152"/>
      <c r="P619" s="90"/>
      <c r="Q619" s="140"/>
      <c r="R619" s="90"/>
      <c r="S619" s="140"/>
      <c r="T619" s="90"/>
      <c r="U619" s="140"/>
      <c r="V619" s="90"/>
      <c r="W619" s="140"/>
      <c r="X619" s="90"/>
      <c r="Y619" s="140"/>
      <c r="Z619" s="90"/>
      <c r="AA619" s="140"/>
      <c r="AB619" s="62"/>
      <c r="AC619" s="140"/>
      <c r="AD619" s="62"/>
      <c r="AE619" s="140"/>
      <c r="AF619" s="189" t="str">
        <f t="shared" si="25"/>
        <v/>
      </c>
      <c r="AG619" s="304" t="b">
        <f t="shared" si="24"/>
        <v>0</v>
      </c>
      <c r="AH619" s="9"/>
      <c r="AI619" s="145">
        <f t="shared" si="23"/>
        <v>0</v>
      </c>
      <c r="AJ619" s="147" t="s">
        <v>36</v>
      </c>
    </row>
    <row r="620" spans="1:36" ht="30" customHeight="1">
      <c r="A620" s="90"/>
      <c r="B620" s="90"/>
      <c r="C620" s="90"/>
      <c r="D620" s="90"/>
      <c r="E620" s="90"/>
      <c r="F620" s="90"/>
      <c r="G620" s="90"/>
      <c r="H620" s="90"/>
      <c r="I620" s="90"/>
      <c r="J620" s="90"/>
      <c r="K620" s="90"/>
      <c r="L620" s="90"/>
      <c r="M620" s="90"/>
      <c r="N620" s="150"/>
      <c r="O620" s="152"/>
      <c r="P620" s="90"/>
      <c r="Q620" s="140"/>
      <c r="R620" s="90"/>
      <c r="S620" s="140"/>
      <c r="T620" s="90"/>
      <c r="U620" s="140"/>
      <c r="V620" s="90"/>
      <c r="W620" s="140"/>
      <c r="X620" s="90"/>
      <c r="Y620" s="140"/>
      <c r="Z620" s="90"/>
      <c r="AA620" s="140"/>
      <c r="AB620" s="62"/>
      <c r="AC620" s="140"/>
      <c r="AD620" s="62"/>
      <c r="AE620" s="140"/>
      <c r="AF620" s="189" t="str">
        <f t="shared" si="25"/>
        <v/>
      </c>
      <c r="AG620" s="304" t="b">
        <f t="shared" si="24"/>
        <v>0</v>
      </c>
      <c r="AH620" s="9"/>
      <c r="AI620" s="145">
        <f t="shared" si="23"/>
        <v>0</v>
      </c>
      <c r="AJ620" s="147" t="s">
        <v>36</v>
      </c>
    </row>
    <row r="621" spans="1:36" ht="30" customHeight="1">
      <c r="A621" s="90"/>
      <c r="B621" s="90"/>
      <c r="C621" s="90"/>
      <c r="D621" s="90"/>
      <c r="E621" s="90"/>
      <c r="F621" s="90"/>
      <c r="G621" s="90"/>
      <c r="H621" s="90"/>
      <c r="I621" s="90"/>
      <c r="J621" s="90"/>
      <c r="K621" s="90"/>
      <c r="L621" s="90"/>
      <c r="M621" s="90"/>
      <c r="N621" s="150"/>
      <c r="O621" s="152"/>
      <c r="P621" s="90"/>
      <c r="Q621" s="140"/>
      <c r="R621" s="90"/>
      <c r="S621" s="140"/>
      <c r="T621" s="90"/>
      <c r="U621" s="140"/>
      <c r="V621" s="90"/>
      <c r="W621" s="140"/>
      <c r="X621" s="90"/>
      <c r="Y621" s="140"/>
      <c r="Z621" s="90"/>
      <c r="AA621" s="140"/>
      <c r="AB621" s="62"/>
      <c r="AC621" s="140"/>
      <c r="AD621" s="62"/>
      <c r="AE621" s="140"/>
      <c r="AF621" s="189" t="str">
        <f t="shared" si="25"/>
        <v/>
      </c>
      <c r="AG621" s="304" t="b">
        <f t="shared" si="24"/>
        <v>0</v>
      </c>
      <c r="AH621" s="9"/>
      <c r="AI621" s="145">
        <f t="shared" si="23"/>
        <v>0</v>
      </c>
      <c r="AJ621" s="147" t="s">
        <v>36</v>
      </c>
    </row>
    <row r="622" spans="1:36" ht="30" customHeight="1">
      <c r="A622" s="90"/>
      <c r="B622" s="90"/>
      <c r="C622" s="90"/>
      <c r="D622" s="90"/>
      <c r="E622" s="90"/>
      <c r="F622" s="90"/>
      <c r="G622" s="90"/>
      <c r="H622" s="90"/>
      <c r="I622" s="90"/>
      <c r="J622" s="90"/>
      <c r="K622" s="90"/>
      <c r="L622" s="90"/>
      <c r="M622" s="90"/>
      <c r="N622" s="150"/>
      <c r="O622" s="152"/>
      <c r="P622" s="90"/>
      <c r="Q622" s="140"/>
      <c r="R622" s="90"/>
      <c r="S622" s="140"/>
      <c r="T622" s="90"/>
      <c r="U622" s="140"/>
      <c r="V622" s="90"/>
      <c r="W622" s="140"/>
      <c r="X622" s="90"/>
      <c r="Y622" s="140"/>
      <c r="Z622" s="90"/>
      <c r="AA622" s="140"/>
      <c r="AB622" s="62"/>
      <c r="AC622" s="140"/>
      <c r="AD622" s="62"/>
      <c r="AE622" s="140"/>
      <c r="AF622" s="189" t="str">
        <f t="shared" si="25"/>
        <v/>
      </c>
      <c r="AG622" s="304" t="b">
        <f t="shared" si="24"/>
        <v>0</v>
      </c>
      <c r="AH622" s="9"/>
      <c r="AI622" s="145">
        <f t="shared" si="23"/>
        <v>0</v>
      </c>
      <c r="AJ622" s="147" t="s">
        <v>36</v>
      </c>
    </row>
    <row r="623" spans="1:36" ht="30" customHeight="1">
      <c r="A623" s="90"/>
      <c r="B623" s="90"/>
      <c r="C623" s="90"/>
      <c r="D623" s="90"/>
      <c r="E623" s="90"/>
      <c r="F623" s="90"/>
      <c r="G623" s="90"/>
      <c r="H623" s="90"/>
      <c r="I623" s="90"/>
      <c r="J623" s="90"/>
      <c r="K623" s="90"/>
      <c r="L623" s="90"/>
      <c r="M623" s="90"/>
      <c r="N623" s="150"/>
      <c r="O623" s="152"/>
      <c r="P623" s="90"/>
      <c r="Q623" s="140"/>
      <c r="R623" s="90"/>
      <c r="S623" s="140"/>
      <c r="T623" s="90"/>
      <c r="U623" s="140"/>
      <c r="V623" s="90"/>
      <c r="W623" s="140"/>
      <c r="X623" s="90"/>
      <c r="Y623" s="140"/>
      <c r="Z623" s="90"/>
      <c r="AA623" s="140"/>
      <c r="AB623" s="62"/>
      <c r="AC623" s="140"/>
      <c r="AD623" s="62"/>
      <c r="AE623" s="140"/>
      <c r="AF623" s="189" t="str">
        <f t="shared" si="25"/>
        <v/>
      </c>
      <c r="AG623" s="304" t="b">
        <f t="shared" si="24"/>
        <v>0</v>
      </c>
      <c r="AH623" s="9"/>
      <c r="AI623" s="145">
        <f t="shared" si="23"/>
        <v>0</v>
      </c>
      <c r="AJ623" s="147" t="s">
        <v>36</v>
      </c>
    </row>
    <row r="624" spans="1:36" ht="30" customHeight="1">
      <c r="A624" s="90"/>
      <c r="B624" s="90"/>
      <c r="C624" s="90"/>
      <c r="D624" s="90"/>
      <c r="E624" s="90"/>
      <c r="F624" s="90"/>
      <c r="G624" s="90"/>
      <c r="H624" s="90"/>
      <c r="I624" s="90"/>
      <c r="J624" s="90"/>
      <c r="K624" s="90"/>
      <c r="L624" s="90"/>
      <c r="M624" s="90"/>
      <c r="N624" s="150"/>
      <c r="O624" s="152"/>
      <c r="P624" s="90"/>
      <c r="Q624" s="140"/>
      <c r="R624" s="90"/>
      <c r="S624" s="140"/>
      <c r="T624" s="90"/>
      <c r="U624" s="140"/>
      <c r="V624" s="90"/>
      <c r="W624" s="140"/>
      <c r="X624" s="90"/>
      <c r="Y624" s="140"/>
      <c r="Z624" s="90"/>
      <c r="AA624" s="140"/>
      <c r="AB624" s="62"/>
      <c r="AC624" s="140"/>
      <c r="AD624" s="62"/>
      <c r="AE624" s="140"/>
      <c r="AF624" s="189" t="str">
        <f t="shared" si="25"/>
        <v/>
      </c>
      <c r="AG624" s="304" t="b">
        <f t="shared" si="24"/>
        <v>0</v>
      </c>
      <c r="AH624" s="9"/>
      <c r="AI624" s="145">
        <f t="shared" si="23"/>
        <v>0</v>
      </c>
      <c r="AJ624" s="147" t="s">
        <v>36</v>
      </c>
    </row>
    <row r="625" spans="1:36" ht="30" customHeight="1">
      <c r="A625" s="90"/>
      <c r="B625" s="90"/>
      <c r="C625" s="90"/>
      <c r="D625" s="90"/>
      <c r="E625" s="90"/>
      <c r="F625" s="90"/>
      <c r="G625" s="90"/>
      <c r="H625" s="90"/>
      <c r="I625" s="90"/>
      <c r="J625" s="90"/>
      <c r="K625" s="90"/>
      <c r="L625" s="90"/>
      <c r="M625" s="90"/>
      <c r="N625" s="150"/>
      <c r="O625" s="152"/>
      <c r="P625" s="90"/>
      <c r="Q625" s="140"/>
      <c r="R625" s="90"/>
      <c r="S625" s="140"/>
      <c r="T625" s="90"/>
      <c r="U625" s="140"/>
      <c r="V625" s="90"/>
      <c r="W625" s="140"/>
      <c r="X625" s="90"/>
      <c r="Y625" s="140"/>
      <c r="Z625" s="90"/>
      <c r="AA625" s="140"/>
      <c r="AB625" s="62"/>
      <c r="AC625" s="140"/>
      <c r="AD625" s="62"/>
      <c r="AE625" s="140"/>
      <c r="AF625" s="189" t="str">
        <f t="shared" si="25"/>
        <v/>
      </c>
      <c r="AG625" s="304" t="b">
        <f t="shared" si="24"/>
        <v>0</v>
      </c>
      <c r="AH625" s="9"/>
      <c r="AI625" s="145">
        <f t="shared" si="23"/>
        <v>0</v>
      </c>
      <c r="AJ625" s="147" t="s">
        <v>36</v>
      </c>
    </row>
    <row r="626" spans="1:36" ht="30" customHeight="1">
      <c r="A626" s="90"/>
      <c r="B626" s="90"/>
      <c r="C626" s="90"/>
      <c r="D626" s="90"/>
      <c r="E626" s="90"/>
      <c r="F626" s="90"/>
      <c r="G626" s="90"/>
      <c r="H626" s="90"/>
      <c r="I626" s="90"/>
      <c r="J626" s="90"/>
      <c r="K626" s="90"/>
      <c r="L626" s="90"/>
      <c r="M626" s="90"/>
      <c r="N626" s="150"/>
      <c r="O626" s="152"/>
      <c r="P626" s="90"/>
      <c r="Q626" s="140"/>
      <c r="R626" s="90"/>
      <c r="S626" s="140"/>
      <c r="T626" s="90"/>
      <c r="U626" s="140"/>
      <c r="V626" s="90"/>
      <c r="W626" s="140"/>
      <c r="X626" s="90"/>
      <c r="Y626" s="140"/>
      <c r="Z626" s="90"/>
      <c r="AA626" s="140"/>
      <c r="AB626" s="62"/>
      <c r="AC626" s="140"/>
      <c r="AD626" s="62"/>
      <c r="AE626" s="140"/>
      <c r="AF626" s="189" t="str">
        <f t="shared" si="25"/>
        <v/>
      </c>
      <c r="AG626" s="304" t="b">
        <f t="shared" si="24"/>
        <v>0</v>
      </c>
      <c r="AH626" s="9"/>
      <c r="AI626" s="145">
        <f t="shared" si="23"/>
        <v>0</v>
      </c>
      <c r="AJ626" s="147" t="s">
        <v>36</v>
      </c>
    </row>
    <row r="627" spans="1:36" ht="30" customHeight="1">
      <c r="A627" s="90"/>
      <c r="B627" s="90"/>
      <c r="C627" s="90"/>
      <c r="D627" s="90"/>
      <c r="E627" s="90"/>
      <c r="F627" s="90"/>
      <c r="G627" s="90"/>
      <c r="H627" s="90"/>
      <c r="I627" s="90"/>
      <c r="J627" s="90"/>
      <c r="K627" s="90"/>
      <c r="L627" s="90"/>
      <c r="M627" s="90"/>
      <c r="N627" s="150"/>
      <c r="O627" s="152"/>
      <c r="P627" s="90"/>
      <c r="Q627" s="140"/>
      <c r="R627" s="90"/>
      <c r="S627" s="140"/>
      <c r="T627" s="90"/>
      <c r="U627" s="140"/>
      <c r="V627" s="90"/>
      <c r="W627" s="140"/>
      <c r="X627" s="90"/>
      <c r="Y627" s="140"/>
      <c r="Z627" s="90"/>
      <c r="AA627" s="140"/>
      <c r="AB627" s="62"/>
      <c r="AC627" s="140"/>
      <c r="AD627" s="62"/>
      <c r="AE627" s="140"/>
      <c r="AF627" s="189" t="str">
        <f t="shared" si="25"/>
        <v/>
      </c>
      <c r="AG627" s="304" t="b">
        <f t="shared" si="24"/>
        <v>0</v>
      </c>
      <c r="AH627" s="9"/>
      <c r="AI627" s="145">
        <f t="shared" si="23"/>
        <v>0</v>
      </c>
      <c r="AJ627" s="147" t="s">
        <v>36</v>
      </c>
    </row>
    <row r="628" spans="1:36" ht="30" customHeight="1">
      <c r="A628" s="90"/>
      <c r="B628" s="90"/>
      <c r="C628" s="90"/>
      <c r="D628" s="90"/>
      <c r="E628" s="90"/>
      <c r="F628" s="90"/>
      <c r="G628" s="90"/>
      <c r="H628" s="90"/>
      <c r="I628" s="90"/>
      <c r="J628" s="90"/>
      <c r="K628" s="90"/>
      <c r="L628" s="90"/>
      <c r="M628" s="90"/>
      <c r="N628" s="150"/>
      <c r="O628" s="152"/>
      <c r="P628" s="90"/>
      <c r="Q628" s="140"/>
      <c r="R628" s="90"/>
      <c r="S628" s="140"/>
      <c r="T628" s="90"/>
      <c r="U628" s="140"/>
      <c r="V628" s="90"/>
      <c r="W628" s="140"/>
      <c r="X628" s="90"/>
      <c r="Y628" s="140"/>
      <c r="Z628" s="90"/>
      <c r="AA628" s="140"/>
      <c r="AB628" s="62"/>
      <c r="AC628" s="140"/>
      <c r="AD628" s="62"/>
      <c r="AE628" s="140"/>
      <c r="AF628" s="189" t="str">
        <f t="shared" si="25"/>
        <v/>
      </c>
      <c r="AG628" s="304" t="b">
        <f t="shared" si="24"/>
        <v>0</v>
      </c>
      <c r="AH628" s="9"/>
      <c r="AI628" s="145">
        <f t="shared" si="23"/>
        <v>0</v>
      </c>
      <c r="AJ628" s="147" t="s">
        <v>36</v>
      </c>
    </row>
    <row r="629" spans="1:36" ht="30" customHeight="1">
      <c r="A629" s="90"/>
      <c r="B629" s="90"/>
      <c r="C629" s="90"/>
      <c r="D629" s="90"/>
      <c r="E629" s="90"/>
      <c r="F629" s="90"/>
      <c r="G629" s="90"/>
      <c r="H629" s="90"/>
      <c r="I629" s="90"/>
      <c r="J629" s="90"/>
      <c r="K629" s="90"/>
      <c r="L629" s="90"/>
      <c r="M629" s="90"/>
      <c r="N629" s="150"/>
      <c r="O629" s="152"/>
      <c r="P629" s="90"/>
      <c r="Q629" s="140"/>
      <c r="R629" s="90"/>
      <c r="S629" s="140"/>
      <c r="T629" s="90"/>
      <c r="U629" s="140"/>
      <c r="V629" s="90"/>
      <c r="W629" s="140"/>
      <c r="X629" s="90"/>
      <c r="Y629" s="140"/>
      <c r="Z629" s="90"/>
      <c r="AA629" s="140"/>
      <c r="AB629" s="62"/>
      <c r="AC629" s="140"/>
      <c r="AD629" s="62"/>
      <c r="AE629" s="140"/>
      <c r="AF629" s="189" t="str">
        <f t="shared" si="25"/>
        <v/>
      </c>
      <c r="AG629" s="304" t="b">
        <f t="shared" si="24"/>
        <v>0</v>
      </c>
      <c r="AH629" s="9"/>
      <c r="AI629" s="145">
        <f t="shared" si="23"/>
        <v>0</v>
      </c>
      <c r="AJ629" s="147" t="s">
        <v>36</v>
      </c>
    </row>
    <row r="630" spans="1:36" ht="30" customHeight="1">
      <c r="A630" s="90"/>
      <c r="B630" s="90"/>
      <c r="C630" s="90"/>
      <c r="D630" s="90"/>
      <c r="E630" s="90"/>
      <c r="F630" s="90"/>
      <c r="G630" s="90"/>
      <c r="H630" s="90"/>
      <c r="I630" s="90"/>
      <c r="J630" s="90"/>
      <c r="K630" s="90"/>
      <c r="L630" s="90"/>
      <c r="M630" s="90"/>
      <c r="N630" s="150"/>
      <c r="O630" s="152"/>
      <c r="P630" s="90"/>
      <c r="Q630" s="140"/>
      <c r="R630" s="90"/>
      <c r="S630" s="140"/>
      <c r="T630" s="90"/>
      <c r="U630" s="140"/>
      <c r="V630" s="90"/>
      <c r="W630" s="140"/>
      <c r="X630" s="90"/>
      <c r="Y630" s="140"/>
      <c r="Z630" s="90"/>
      <c r="AA630" s="140"/>
      <c r="AB630" s="62"/>
      <c r="AC630" s="140"/>
      <c r="AD630" s="62"/>
      <c r="AE630" s="140"/>
      <c r="AF630" s="189" t="str">
        <f t="shared" si="25"/>
        <v/>
      </c>
      <c r="AG630" s="304" t="b">
        <f t="shared" si="24"/>
        <v>0</v>
      </c>
      <c r="AH630" s="9"/>
      <c r="AI630" s="145">
        <f t="shared" si="23"/>
        <v>0</v>
      </c>
      <c r="AJ630" s="147" t="s">
        <v>36</v>
      </c>
    </row>
    <row r="631" spans="1:36" ht="30" customHeight="1">
      <c r="A631" s="90"/>
      <c r="B631" s="90"/>
      <c r="C631" s="90"/>
      <c r="D631" s="90"/>
      <c r="E631" s="90"/>
      <c r="F631" s="90"/>
      <c r="G631" s="90"/>
      <c r="H631" s="90"/>
      <c r="I631" s="90"/>
      <c r="J631" s="90"/>
      <c r="K631" s="90"/>
      <c r="L631" s="90"/>
      <c r="M631" s="90"/>
      <c r="N631" s="150"/>
      <c r="O631" s="152"/>
      <c r="P631" s="90"/>
      <c r="Q631" s="140"/>
      <c r="R631" s="90"/>
      <c r="S631" s="140"/>
      <c r="T631" s="90"/>
      <c r="U631" s="140"/>
      <c r="V631" s="90"/>
      <c r="W631" s="140"/>
      <c r="X631" s="90"/>
      <c r="Y631" s="140"/>
      <c r="Z631" s="90"/>
      <c r="AA631" s="140"/>
      <c r="AB631" s="62"/>
      <c r="AC631" s="140"/>
      <c r="AD631" s="62"/>
      <c r="AE631" s="140"/>
      <c r="AF631" s="189" t="str">
        <f t="shared" si="25"/>
        <v/>
      </c>
      <c r="AG631" s="304" t="b">
        <f t="shared" si="24"/>
        <v>0</v>
      </c>
      <c r="AH631" s="9"/>
      <c r="AI631" s="145">
        <f t="shared" si="23"/>
        <v>0</v>
      </c>
      <c r="AJ631" s="147" t="s">
        <v>36</v>
      </c>
    </row>
    <row r="632" spans="1:36" ht="30" customHeight="1">
      <c r="A632" s="90"/>
      <c r="B632" s="90"/>
      <c r="C632" s="90"/>
      <c r="D632" s="90"/>
      <c r="E632" s="90"/>
      <c r="F632" s="90"/>
      <c r="G632" s="90"/>
      <c r="H632" s="90"/>
      <c r="I632" s="90"/>
      <c r="J632" s="90"/>
      <c r="K632" s="90"/>
      <c r="L632" s="90"/>
      <c r="M632" s="90"/>
      <c r="N632" s="150"/>
      <c r="O632" s="152"/>
      <c r="P632" s="90"/>
      <c r="Q632" s="140"/>
      <c r="R632" s="90"/>
      <c r="S632" s="140"/>
      <c r="T632" s="90"/>
      <c r="U632" s="140"/>
      <c r="V632" s="90"/>
      <c r="W632" s="140"/>
      <c r="X632" s="90"/>
      <c r="Y632" s="140"/>
      <c r="Z632" s="90"/>
      <c r="AA632" s="140"/>
      <c r="AB632" s="62"/>
      <c r="AC632" s="140"/>
      <c r="AD632" s="62"/>
      <c r="AE632" s="140"/>
      <c r="AF632" s="189" t="str">
        <f t="shared" si="25"/>
        <v/>
      </c>
      <c r="AG632" s="304" t="b">
        <f t="shared" si="24"/>
        <v>0</v>
      </c>
      <c r="AH632" s="9"/>
      <c r="AI632" s="145">
        <f t="shared" ref="AI632:AI695" si="26">E632</f>
        <v>0</v>
      </c>
      <c r="AJ632" s="147" t="s">
        <v>36</v>
      </c>
    </row>
    <row r="633" spans="1:36" ht="30" customHeight="1">
      <c r="A633" s="90"/>
      <c r="B633" s="90"/>
      <c r="C633" s="90"/>
      <c r="D633" s="90"/>
      <c r="E633" s="90"/>
      <c r="F633" s="90"/>
      <c r="G633" s="90"/>
      <c r="H633" s="90"/>
      <c r="I633" s="90"/>
      <c r="J633" s="90"/>
      <c r="K633" s="90"/>
      <c r="L633" s="90"/>
      <c r="M633" s="90"/>
      <c r="N633" s="150"/>
      <c r="O633" s="152"/>
      <c r="P633" s="90"/>
      <c r="Q633" s="140"/>
      <c r="R633" s="90"/>
      <c r="S633" s="140"/>
      <c r="T633" s="90"/>
      <c r="U633" s="140"/>
      <c r="V633" s="90"/>
      <c r="W633" s="140"/>
      <c r="X633" s="90"/>
      <c r="Y633" s="140"/>
      <c r="Z633" s="90"/>
      <c r="AA633" s="140"/>
      <c r="AB633" s="62"/>
      <c r="AC633" s="140"/>
      <c r="AD633" s="62"/>
      <c r="AE633" s="140"/>
      <c r="AF633" s="189" t="str">
        <f t="shared" si="25"/>
        <v/>
      </c>
      <c r="AG633" s="304" t="b">
        <f t="shared" si="24"/>
        <v>0</v>
      </c>
      <c r="AH633" s="9"/>
      <c r="AI633" s="145">
        <f t="shared" si="26"/>
        <v>0</v>
      </c>
      <c r="AJ633" s="147" t="s">
        <v>36</v>
      </c>
    </row>
    <row r="634" spans="1:36" ht="30" customHeight="1">
      <c r="A634" s="90"/>
      <c r="B634" s="90"/>
      <c r="C634" s="90"/>
      <c r="D634" s="90"/>
      <c r="E634" s="90"/>
      <c r="F634" s="90"/>
      <c r="G634" s="90"/>
      <c r="H634" s="90"/>
      <c r="I634" s="90"/>
      <c r="J634" s="90"/>
      <c r="K634" s="90"/>
      <c r="L634" s="90"/>
      <c r="M634" s="90"/>
      <c r="N634" s="150"/>
      <c r="O634" s="152"/>
      <c r="P634" s="90"/>
      <c r="Q634" s="140"/>
      <c r="R634" s="90"/>
      <c r="S634" s="140"/>
      <c r="T634" s="90"/>
      <c r="U634" s="140"/>
      <c r="V634" s="90"/>
      <c r="W634" s="140"/>
      <c r="X634" s="90"/>
      <c r="Y634" s="140"/>
      <c r="Z634" s="90"/>
      <c r="AA634" s="140"/>
      <c r="AB634" s="62"/>
      <c r="AC634" s="140"/>
      <c r="AD634" s="62"/>
      <c r="AE634" s="140"/>
      <c r="AF634" s="189" t="str">
        <f t="shared" si="25"/>
        <v/>
      </c>
      <c r="AG634" s="304" t="b">
        <f t="shared" si="24"/>
        <v>0</v>
      </c>
      <c r="AH634" s="9"/>
      <c r="AI634" s="145">
        <f t="shared" si="26"/>
        <v>0</v>
      </c>
      <c r="AJ634" s="147" t="s">
        <v>36</v>
      </c>
    </row>
    <row r="635" spans="1:36" ht="30" customHeight="1">
      <c r="A635" s="90"/>
      <c r="B635" s="90"/>
      <c r="C635" s="90"/>
      <c r="D635" s="90"/>
      <c r="E635" s="90"/>
      <c r="F635" s="90"/>
      <c r="G635" s="90"/>
      <c r="H635" s="90"/>
      <c r="I635" s="90"/>
      <c r="J635" s="90"/>
      <c r="K635" s="90"/>
      <c r="L635" s="90"/>
      <c r="M635" s="90"/>
      <c r="N635" s="150"/>
      <c r="O635" s="152"/>
      <c r="P635" s="90"/>
      <c r="Q635" s="140"/>
      <c r="R635" s="90"/>
      <c r="S635" s="140"/>
      <c r="T635" s="90"/>
      <c r="U635" s="140"/>
      <c r="V635" s="90"/>
      <c r="W635" s="140"/>
      <c r="X635" s="90"/>
      <c r="Y635" s="140"/>
      <c r="Z635" s="90"/>
      <c r="AA635" s="140"/>
      <c r="AB635" s="62"/>
      <c r="AC635" s="140"/>
      <c r="AD635" s="62"/>
      <c r="AE635" s="140"/>
      <c r="AF635" s="189" t="str">
        <f t="shared" si="25"/>
        <v/>
      </c>
      <c r="AG635" s="304" t="b">
        <f t="shared" si="24"/>
        <v>0</v>
      </c>
      <c r="AH635" s="9"/>
      <c r="AI635" s="145">
        <f t="shared" si="26"/>
        <v>0</v>
      </c>
      <c r="AJ635" s="147" t="s">
        <v>36</v>
      </c>
    </row>
    <row r="636" spans="1:36" ht="30" customHeight="1">
      <c r="A636" s="90"/>
      <c r="B636" s="90"/>
      <c r="C636" s="90"/>
      <c r="D636" s="90"/>
      <c r="E636" s="90"/>
      <c r="F636" s="90"/>
      <c r="G636" s="90"/>
      <c r="H636" s="90"/>
      <c r="I636" s="90"/>
      <c r="J636" s="90"/>
      <c r="K636" s="90"/>
      <c r="L636" s="90"/>
      <c r="M636" s="90"/>
      <c r="N636" s="150"/>
      <c r="O636" s="152"/>
      <c r="P636" s="90"/>
      <c r="Q636" s="140"/>
      <c r="R636" s="90"/>
      <c r="S636" s="140"/>
      <c r="T636" s="90"/>
      <c r="U636" s="140"/>
      <c r="V636" s="90"/>
      <c r="W636" s="140"/>
      <c r="X636" s="90"/>
      <c r="Y636" s="140"/>
      <c r="Z636" s="90"/>
      <c r="AA636" s="140"/>
      <c r="AB636" s="62"/>
      <c r="AC636" s="140"/>
      <c r="AD636" s="62"/>
      <c r="AE636" s="140"/>
      <c r="AF636" s="189" t="str">
        <f t="shared" si="25"/>
        <v/>
      </c>
      <c r="AG636" s="304" t="b">
        <f t="shared" si="24"/>
        <v>0</v>
      </c>
      <c r="AH636" s="9"/>
      <c r="AI636" s="145">
        <f t="shared" si="26"/>
        <v>0</v>
      </c>
      <c r="AJ636" s="147" t="s">
        <v>36</v>
      </c>
    </row>
    <row r="637" spans="1:36" ht="30" customHeight="1">
      <c r="A637" s="90"/>
      <c r="B637" s="90"/>
      <c r="C637" s="90"/>
      <c r="D637" s="90"/>
      <c r="E637" s="90"/>
      <c r="F637" s="90"/>
      <c r="G637" s="90"/>
      <c r="H637" s="90"/>
      <c r="I637" s="90"/>
      <c r="J637" s="90"/>
      <c r="K637" s="90"/>
      <c r="L637" s="90"/>
      <c r="M637" s="90"/>
      <c r="N637" s="150"/>
      <c r="O637" s="152"/>
      <c r="P637" s="90"/>
      <c r="Q637" s="140"/>
      <c r="R637" s="90"/>
      <c r="S637" s="140"/>
      <c r="T637" s="90"/>
      <c r="U637" s="140"/>
      <c r="V637" s="90"/>
      <c r="W637" s="140"/>
      <c r="X637" s="90"/>
      <c r="Y637" s="140"/>
      <c r="Z637" s="90"/>
      <c r="AA637" s="140"/>
      <c r="AB637" s="62"/>
      <c r="AC637" s="140"/>
      <c r="AD637" s="62"/>
      <c r="AE637" s="140"/>
      <c r="AF637" s="189" t="str">
        <f t="shared" si="25"/>
        <v/>
      </c>
      <c r="AG637" s="304" t="b">
        <f t="shared" si="24"/>
        <v>0</v>
      </c>
      <c r="AH637" s="9"/>
      <c r="AI637" s="145">
        <f t="shared" si="26"/>
        <v>0</v>
      </c>
      <c r="AJ637" s="147" t="s">
        <v>36</v>
      </c>
    </row>
    <row r="638" spans="1:36" ht="30" customHeight="1">
      <c r="A638" s="90"/>
      <c r="B638" s="90"/>
      <c r="C638" s="90"/>
      <c r="D638" s="90"/>
      <c r="E638" s="90"/>
      <c r="F638" s="90"/>
      <c r="G638" s="90"/>
      <c r="H638" s="90"/>
      <c r="I638" s="90"/>
      <c r="J638" s="90"/>
      <c r="K638" s="90"/>
      <c r="L638" s="90"/>
      <c r="M638" s="90"/>
      <c r="N638" s="150"/>
      <c r="O638" s="152"/>
      <c r="P638" s="90"/>
      <c r="Q638" s="140"/>
      <c r="R638" s="90"/>
      <c r="S638" s="140"/>
      <c r="T638" s="90"/>
      <c r="U638" s="140"/>
      <c r="V638" s="90"/>
      <c r="W638" s="140"/>
      <c r="X638" s="90"/>
      <c r="Y638" s="140"/>
      <c r="Z638" s="90"/>
      <c r="AA638" s="140"/>
      <c r="AB638" s="62"/>
      <c r="AC638" s="140"/>
      <c r="AD638" s="62"/>
      <c r="AE638" s="140"/>
      <c r="AF638" s="189" t="str">
        <f t="shared" si="25"/>
        <v/>
      </c>
      <c r="AG638" s="304" t="b">
        <f t="shared" si="24"/>
        <v>0</v>
      </c>
      <c r="AH638" s="9"/>
      <c r="AI638" s="145">
        <f t="shared" si="26"/>
        <v>0</v>
      </c>
      <c r="AJ638" s="147" t="s">
        <v>36</v>
      </c>
    </row>
    <row r="639" spans="1:36" ht="30" customHeight="1">
      <c r="A639" s="90"/>
      <c r="B639" s="90"/>
      <c r="C639" s="90"/>
      <c r="D639" s="90"/>
      <c r="E639" s="90"/>
      <c r="F639" s="90"/>
      <c r="G639" s="90"/>
      <c r="H639" s="90"/>
      <c r="I639" s="90"/>
      <c r="J639" s="90"/>
      <c r="K639" s="90"/>
      <c r="L639" s="90"/>
      <c r="M639" s="90"/>
      <c r="N639" s="150"/>
      <c r="O639" s="152"/>
      <c r="P639" s="90"/>
      <c r="Q639" s="140"/>
      <c r="R639" s="90"/>
      <c r="S639" s="140"/>
      <c r="T639" s="90"/>
      <c r="U639" s="140"/>
      <c r="V639" s="90"/>
      <c r="W639" s="140"/>
      <c r="X639" s="90"/>
      <c r="Y639" s="140"/>
      <c r="Z639" s="90"/>
      <c r="AA639" s="140"/>
      <c r="AB639" s="62"/>
      <c r="AC639" s="140"/>
      <c r="AD639" s="62"/>
      <c r="AE639" s="140"/>
      <c r="AF639" s="189" t="str">
        <f t="shared" si="25"/>
        <v/>
      </c>
      <c r="AG639" s="304" t="b">
        <f t="shared" si="24"/>
        <v>0</v>
      </c>
      <c r="AH639" s="9"/>
      <c r="AI639" s="145">
        <f t="shared" si="26"/>
        <v>0</v>
      </c>
      <c r="AJ639" s="147" t="s">
        <v>36</v>
      </c>
    </row>
    <row r="640" spans="1:36" ht="30" customHeight="1">
      <c r="A640" s="90"/>
      <c r="B640" s="90"/>
      <c r="C640" s="90"/>
      <c r="D640" s="90"/>
      <c r="E640" s="90"/>
      <c r="F640" s="90"/>
      <c r="G640" s="90"/>
      <c r="H640" s="90"/>
      <c r="I640" s="90"/>
      <c r="J640" s="90"/>
      <c r="K640" s="90"/>
      <c r="L640" s="90"/>
      <c r="M640" s="90"/>
      <c r="N640" s="150"/>
      <c r="O640" s="152"/>
      <c r="P640" s="90"/>
      <c r="Q640" s="140"/>
      <c r="R640" s="90"/>
      <c r="S640" s="140"/>
      <c r="T640" s="90"/>
      <c r="U640" s="140"/>
      <c r="V640" s="90"/>
      <c r="W640" s="140"/>
      <c r="X640" s="90"/>
      <c r="Y640" s="140"/>
      <c r="Z640" s="90"/>
      <c r="AA640" s="140"/>
      <c r="AB640" s="62"/>
      <c r="AC640" s="140"/>
      <c r="AD640" s="62"/>
      <c r="AE640" s="140"/>
      <c r="AF640" s="189" t="str">
        <f t="shared" si="25"/>
        <v/>
      </c>
      <c r="AG640" s="304" t="b">
        <f t="shared" si="24"/>
        <v>0</v>
      </c>
      <c r="AH640" s="9"/>
      <c r="AI640" s="145">
        <f t="shared" si="26"/>
        <v>0</v>
      </c>
      <c r="AJ640" s="147" t="s">
        <v>36</v>
      </c>
    </row>
    <row r="641" spans="1:36" ht="30" customHeight="1">
      <c r="A641" s="90"/>
      <c r="B641" s="90"/>
      <c r="C641" s="90"/>
      <c r="D641" s="90"/>
      <c r="E641" s="90"/>
      <c r="F641" s="90"/>
      <c r="G641" s="90"/>
      <c r="H641" s="90"/>
      <c r="I641" s="90"/>
      <c r="J641" s="90"/>
      <c r="K641" s="90"/>
      <c r="L641" s="90"/>
      <c r="M641" s="90"/>
      <c r="N641" s="150"/>
      <c r="O641" s="152"/>
      <c r="P641" s="90"/>
      <c r="Q641" s="140"/>
      <c r="R641" s="90"/>
      <c r="S641" s="140"/>
      <c r="T641" s="90"/>
      <c r="U641" s="140"/>
      <c r="V641" s="90"/>
      <c r="W641" s="140"/>
      <c r="X641" s="90"/>
      <c r="Y641" s="140"/>
      <c r="Z641" s="90"/>
      <c r="AA641" s="140"/>
      <c r="AB641" s="62"/>
      <c r="AC641" s="140"/>
      <c r="AD641" s="62"/>
      <c r="AE641" s="140"/>
      <c r="AF641" s="189" t="str">
        <f t="shared" si="25"/>
        <v/>
      </c>
      <c r="AG641" s="304" t="b">
        <f t="shared" si="24"/>
        <v>0</v>
      </c>
      <c r="AH641" s="9"/>
      <c r="AI641" s="145">
        <f t="shared" si="26"/>
        <v>0</v>
      </c>
      <c r="AJ641" s="147" t="s">
        <v>36</v>
      </c>
    </row>
    <row r="642" spans="1:36" ht="30" customHeight="1">
      <c r="A642" s="90"/>
      <c r="B642" s="90"/>
      <c r="C642" s="90"/>
      <c r="D642" s="90"/>
      <c r="E642" s="90"/>
      <c r="F642" s="90"/>
      <c r="G642" s="90"/>
      <c r="H642" s="90"/>
      <c r="I642" s="90"/>
      <c r="J642" s="90"/>
      <c r="K642" s="90"/>
      <c r="L642" s="90"/>
      <c r="M642" s="90"/>
      <c r="N642" s="150"/>
      <c r="O642" s="152"/>
      <c r="P642" s="90"/>
      <c r="Q642" s="140"/>
      <c r="R642" s="90"/>
      <c r="S642" s="140"/>
      <c r="T642" s="90"/>
      <c r="U642" s="140"/>
      <c r="V642" s="90"/>
      <c r="W642" s="140"/>
      <c r="X642" s="90"/>
      <c r="Y642" s="140"/>
      <c r="Z642" s="90"/>
      <c r="AA642" s="140"/>
      <c r="AB642" s="62"/>
      <c r="AC642" s="140"/>
      <c r="AD642" s="62"/>
      <c r="AE642" s="140"/>
      <c r="AF642" s="189" t="str">
        <f t="shared" si="25"/>
        <v/>
      </c>
      <c r="AG642" s="304" t="b">
        <f t="shared" ref="AG642:AG705" si="27">IF(AND(AE642="C",AF642="C"),"UTILIZOU O PDA CORRETAMENTE",IF(AND(AE642="C",AF642="NC"),"UTILIZOU O PDA CORRETAMENTE. NÃO HÁ FOTOS DE TODAS AS ETAPAS",IF(AND(AE642="NC",AF642="NC"),"NÃO UTILIZOU O PDA",IF(AND(AE642="NA",AF642="NA"),"NÃO AVALIADO POR FALHA DE SINCRONISMO"))))</f>
        <v>0</v>
      </c>
      <c r="AH642" s="9"/>
      <c r="AI642" s="145">
        <f t="shared" si="26"/>
        <v>0</v>
      </c>
      <c r="AJ642" s="147" t="s">
        <v>36</v>
      </c>
    </row>
    <row r="643" spans="1:36" ht="30" customHeight="1">
      <c r="A643" s="90"/>
      <c r="B643" s="90"/>
      <c r="C643" s="90"/>
      <c r="D643" s="90"/>
      <c r="E643" s="90"/>
      <c r="F643" s="90"/>
      <c r="G643" s="90"/>
      <c r="H643" s="90"/>
      <c r="I643" s="90"/>
      <c r="J643" s="90"/>
      <c r="K643" s="90"/>
      <c r="L643" s="90"/>
      <c r="M643" s="90"/>
      <c r="N643" s="150"/>
      <c r="O643" s="152"/>
      <c r="P643" s="90"/>
      <c r="Q643" s="140"/>
      <c r="R643" s="90"/>
      <c r="S643" s="140"/>
      <c r="T643" s="90"/>
      <c r="U643" s="140"/>
      <c r="V643" s="90"/>
      <c r="W643" s="140"/>
      <c r="X643" s="90"/>
      <c r="Y643" s="140"/>
      <c r="Z643" s="90"/>
      <c r="AA643" s="140"/>
      <c r="AB643" s="62"/>
      <c r="AC643" s="140"/>
      <c r="AD643" s="62"/>
      <c r="AE643" s="140"/>
      <c r="AF643" s="189" t="str">
        <f t="shared" ref="AF643:AF706" si="28">IF(AND(O643="",Q643="",S643="",U643="",W643="",Y643="",AA643="",AC643=""),"",
IF(OR(    AND(O643&lt;&gt;"NA",O643&lt;&gt;"C",O643&lt;&gt;"NC",O643&lt;&gt;"SF",O643&lt;&gt;""),
    AND(Q643&lt;&gt;"NA",Q643&lt;&gt;"C",Q643&lt;&gt;"NC",Q643&lt;&gt;"SF",Q643&lt;&gt;""),
    AND(S643&lt;&gt;"NA",S643&lt;&gt;"C",S643&lt;&gt;"NC",S643&lt;&gt;"SF",S643&lt;&gt;""),
    AND(U643&lt;&gt;"NA",U643&lt;&gt;"C",U643&lt;&gt;"NC",U643&lt;&gt;"SF",U643&lt;&gt;""),
    AND(W643&lt;&gt;"NA",W643&lt;&gt;"C",W643&lt;&gt;"NC",W643&lt;&gt;"SF",W643&lt;&gt;""),
    AND(Y643&lt;&gt;"NA",Y643&lt;&gt;"C",Y643&lt;&gt;"NC",Y643&lt;&gt;"SF",Y643&lt;&gt;""),
    AND(AA643&lt;&gt;"NA",AA643&lt;&gt;"C",AA643&lt;&gt;"NC",AA643&lt;&gt;"SF",AA643&lt;&gt;""),
    AND(AC643&lt;&gt;"NA",AC643&lt;&gt;"C",AC643&lt;&gt;"NC",AC643&lt;&gt;"SF",AC643&lt;&gt;"")
),"FALSO",
IF(AND(O643="NA",Q643="NA",S643="NA",U643="NA",W643="NA",Y643="NA",AA643="NA",AC643="NA"),"NA",
IF(OR(O643="NC",Q643="NC",S643="NC",U643="NC",W643="NC",Y643="NC",AA643="NC",AC643="NC",
       O643="SF",Q643="SF",S643="SF",U643="SF",W643="SF",Y643="SF",AA643="SF",AC643="SF"),"NC",
IF(SUM(IF(O643="C",1,0),IF(Q643="C",1,0),IF(S643="C",1,0),IF(U643="C",1,0),IF(W643="C",1,0),IF(Y643="C",1,0),IF(AA643="C",1,0),IF(AC643="C",1,0))=1,"C","C")))))</f>
        <v/>
      </c>
      <c r="AG643" s="304" t="b">
        <f t="shared" si="27"/>
        <v>0</v>
      </c>
      <c r="AH643" s="9"/>
      <c r="AI643" s="145">
        <f t="shared" si="26"/>
        <v>0</v>
      </c>
      <c r="AJ643" s="147" t="s">
        <v>36</v>
      </c>
    </row>
    <row r="644" spans="1:36" ht="30" customHeight="1">
      <c r="A644" s="90"/>
      <c r="B644" s="90"/>
      <c r="C644" s="90"/>
      <c r="D644" s="90"/>
      <c r="E644" s="90"/>
      <c r="F644" s="90"/>
      <c r="G644" s="90"/>
      <c r="H644" s="90"/>
      <c r="I644" s="90"/>
      <c r="J644" s="90"/>
      <c r="K644" s="90"/>
      <c r="L644" s="90"/>
      <c r="M644" s="90"/>
      <c r="N644" s="150"/>
      <c r="O644" s="152"/>
      <c r="P644" s="90"/>
      <c r="Q644" s="140"/>
      <c r="R644" s="90"/>
      <c r="S644" s="140"/>
      <c r="T644" s="90"/>
      <c r="U644" s="140"/>
      <c r="V644" s="90"/>
      <c r="W644" s="140"/>
      <c r="X644" s="90"/>
      <c r="Y644" s="140"/>
      <c r="Z644" s="90"/>
      <c r="AA644" s="140"/>
      <c r="AB644" s="62"/>
      <c r="AC644" s="140"/>
      <c r="AD644" s="62"/>
      <c r="AE644" s="140"/>
      <c r="AF644" s="189" t="str">
        <f t="shared" si="28"/>
        <v/>
      </c>
      <c r="AG644" s="304" t="b">
        <f t="shared" si="27"/>
        <v>0</v>
      </c>
      <c r="AH644" s="9"/>
      <c r="AI644" s="145">
        <f t="shared" si="26"/>
        <v>0</v>
      </c>
      <c r="AJ644" s="147" t="s">
        <v>36</v>
      </c>
    </row>
    <row r="645" spans="1:36" ht="30" customHeight="1">
      <c r="A645" s="90"/>
      <c r="B645" s="90"/>
      <c r="C645" s="90"/>
      <c r="D645" s="90"/>
      <c r="E645" s="90"/>
      <c r="F645" s="90"/>
      <c r="G645" s="90"/>
      <c r="H645" s="90"/>
      <c r="I645" s="90"/>
      <c r="J645" s="90"/>
      <c r="K645" s="90"/>
      <c r="L645" s="90"/>
      <c r="M645" s="90"/>
      <c r="N645" s="150"/>
      <c r="O645" s="152"/>
      <c r="P645" s="90"/>
      <c r="Q645" s="140"/>
      <c r="R645" s="90"/>
      <c r="S645" s="140"/>
      <c r="T645" s="90"/>
      <c r="U645" s="140"/>
      <c r="V645" s="90"/>
      <c r="W645" s="140"/>
      <c r="X645" s="90"/>
      <c r="Y645" s="140"/>
      <c r="Z645" s="90"/>
      <c r="AA645" s="140"/>
      <c r="AB645" s="62"/>
      <c r="AC645" s="140"/>
      <c r="AD645" s="62"/>
      <c r="AE645" s="140"/>
      <c r="AF645" s="189" t="str">
        <f t="shared" si="28"/>
        <v/>
      </c>
      <c r="AG645" s="304" t="b">
        <f t="shared" si="27"/>
        <v>0</v>
      </c>
      <c r="AH645" s="9"/>
      <c r="AI645" s="145">
        <f t="shared" si="26"/>
        <v>0</v>
      </c>
      <c r="AJ645" s="147" t="s">
        <v>36</v>
      </c>
    </row>
    <row r="646" spans="1:36" ht="30" customHeight="1">
      <c r="A646" s="90"/>
      <c r="B646" s="90"/>
      <c r="C646" s="90"/>
      <c r="D646" s="90"/>
      <c r="E646" s="90"/>
      <c r="F646" s="90"/>
      <c r="G646" s="90"/>
      <c r="H646" s="90"/>
      <c r="I646" s="90"/>
      <c r="J646" s="90"/>
      <c r="K646" s="90"/>
      <c r="L646" s="90"/>
      <c r="M646" s="90"/>
      <c r="N646" s="150"/>
      <c r="O646" s="152"/>
      <c r="P646" s="90"/>
      <c r="Q646" s="140"/>
      <c r="R646" s="90"/>
      <c r="S646" s="140"/>
      <c r="T646" s="90"/>
      <c r="U646" s="140"/>
      <c r="V646" s="90"/>
      <c r="W646" s="140"/>
      <c r="X646" s="90"/>
      <c r="Y646" s="140"/>
      <c r="Z646" s="90"/>
      <c r="AA646" s="140"/>
      <c r="AB646" s="62"/>
      <c r="AC646" s="140"/>
      <c r="AD646" s="62"/>
      <c r="AE646" s="140"/>
      <c r="AF646" s="189" t="str">
        <f t="shared" si="28"/>
        <v/>
      </c>
      <c r="AG646" s="304" t="b">
        <f t="shared" si="27"/>
        <v>0</v>
      </c>
      <c r="AH646" s="9"/>
      <c r="AI646" s="145">
        <f t="shared" si="26"/>
        <v>0</v>
      </c>
      <c r="AJ646" s="147" t="s">
        <v>36</v>
      </c>
    </row>
    <row r="647" spans="1:36" ht="30" customHeight="1">
      <c r="A647" s="90"/>
      <c r="B647" s="90"/>
      <c r="C647" s="90"/>
      <c r="D647" s="90"/>
      <c r="E647" s="90"/>
      <c r="F647" s="90"/>
      <c r="G647" s="90"/>
      <c r="H647" s="90"/>
      <c r="I647" s="90"/>
      <c r="J647" s="90"/>
      <c r="K647" s="90"/>
      <c r="L647" s="90"/>
      <c r="M647" s="90"/>
      <c r="N647" s="150"/>
      <c r="O647" s="152"/>
      <c r="P647" s="90"/>
      <c r="Q647" s="140"/>
      <c r="R647" s="90"/>
      <c r="S647" s="140"/>
      <c r="T647" s="90"/>
      <c r="U647" s="140"/>
      <c r="V647" s="90"/>
      <c r="W647" s="140"/>
      <c r="X647" s="90"/>
      <c r="Y647" s="140"/>
      <c r="Z647" s="90"/>
      <c r="AA647" s="140"/>
      <c r="AB647" s="62"/>
      <c r="AC647" s="140"/>
      <c r="AD647" s="62"/>
      <c r="AE647" s="140"/>
      <c r="AF647" s="189" t="str">
        <f t="shared" si="28"/>
        <v/>
      </c>
      <c r="AG647" s="304" t="b">
        <f t="shared" si="27"/>
        <v>0</v>
      </c>
      <c r="AH647" s="9"/>
      <c r="AI647" s="145">
        <f t="shared" si="26"/>
        <v>0</v>
      </c>
      <c r="AJ647" s="147" t="s">
        <v>36</v>
      </c>
    </row>
    <row r="648" spans="1:36" ht="30" customHeight="1">
      <c r="A648" s="90"/>
      <c r="B648" s="90"/>
      <c r="C648" s="90"/>
      <c r="D648" s="90"/>
      <c r="E648" s="90"/>
      <c r="F648" s="90"/>
      <c r="G648" s="90"/>
      <c r="H648" s="90"/>
      <c r="I648" s="90"/>
      <c r="J648" s="90"/>
      <c r="K648" s="90"/>
      <c r="L648" s="90"/>
      <c r="M648" s="90"/>
      <c r="N648" s="150"/>
      <c r="O648" s="152"/>
      <c r="P648" s="90"/>
      <c r="Q648" s="140"/>
      <c r="R648" s="90"/>
      <c r="S648" s="140"/>
      <c r="T648" s="90"/>
      <c r="U648" s="140"/>
      <c r="V648" s="90"/>
      <c r="W648" s="140"/>
      <c r="X648" s="90"/>
      <c r="Y648" s="140"/>
      <c r="Z648" s="90"/>
      <c r="AA648" s="140"/>
      <c r="AB648" s="62"/>
      <c r="AC648" s="140"/>
      <c r="AD648" s="62"/>
      <c r="AE648" s="140"/>
      <c r="AF648" s="189" t="str">
        <f t="shared" si="28"/>
        <v/>
      </c>
      <c r="AG648" s="304" t="b">
        <f t="shared" si="27"/>
        <v>0</v>
      </c>
      <c r="AH648" s="9"/>
      <c r="AI648" s="145">
        <f t="shared" si="26"/>
        <v>0</v>
      </c>
      <c r="AJ648" s="147" t="s">
        <v>36</v>
      </c>
    </row>
    <row r="649" spans="1:36" ht="30" customHeight="1">
      <c r="A649" s="90"/>
      <c r="B649" s="90"/>
      <c r="C649" s="90"/>
      <c r="D649" s="90"/>
      <c r="E649" s="90"/>
      <c r="F649" s="90"/>
      <c r="G649" s="90"/>
      <c r="H649" s="90"/>
      <c r="I649" s="90"/>
      <c r="J649" s="90"/>
      <c r="K649" s="90"/>
      <c r="L649" s="90"/>
      <c r="M649" s="90"/>
      <c r="N649" s="150"/>
      <c r="O649" s="152"/>
      <c r="P649" s="90"/>
      <c r="Q649" s="140"/>
      <c r="R649" s="90"/>
      <c r="S649" s="140"/>
      <c r="T649" s="90"/>
      <c r="U649" s="140"/>
      <c r="V649" s="90"/>
      <c r="W649" s="140"/>
      <c r="X649" s="90"/>
      <c r="Y649" s="140"/>
      <c r="Z649" s="90"/>
      <c r="AA649" s="140"/>
      <c r="AB649" s="62"/>
      <c r="AC649" s="140"/>
      <c r="AD649" s="62"/>
      <c r="AE649" s="140"/>
      <c r="AF649" s="189" t="str">
        <f t="shared" si="28"/>
        <v/>
      </c>
      <c r="AG649" s="304" t="b">
        <f t="shared" si="27"/>
        <v>0</v>
      </c>
      <c r="AH649" s="9"/>
      <c r="AI649" s="145">
        <f t="shared" si="26"/>
        <v>0</v>
      </c>
      <c r="AJ649" s="147" t="s">
        <v>36</v>
      </c>
    </row>
    <row r="650" spans="1:36" ht="30" customHeight="1">
      <c r="A650" s="90"/>
      <c r="B650" s="90"/>
      <c r="C650" s="90"/>
      <c r="D650" s="90"/>
      <c r="E650" s="90"/>
      <c r="F650" s="90"/>
      <c r="G650" s="90"/>
      <c r="H650" s="90"/>
      <c r="I650" s="90"/>
      <c r="J650" s="90"/>
      <c r="K650" s="90"/>
      <c r="L650" s="90"/>
      <c r="M650" s="90"/>
      <c r="N650" s="150"/>
      <c r="O650" s="152"/>
      <c r="P650" s="90"/>
      <c r="Q650" s="140"/>
      <c r="R650" s="90"/>
      <c r="S650" s="140"/>
      <c r="T650" s="90"/>
      <c r="U650" s="140"/>
      <c r="V650" s="90"/>
      <c r="W650" s="140"/>
      <c r="X650" s="90"/>
      <c r="Y650" s="140"/>
      <c r="Z650" s="90"/>
      <c r="AA650" s="140"/>
      <c r="AB650" s="62"/>
      <c r="AC650" s="140"/>
      <c r="AD650" s="62"/>
      <c r="AE650" s="140"/>
      <c r="AF650" s="189" t="str">
        <f t="shared" si="28"/>
        <v/>
      </c>
      <c r="AG650" s="304" t="b">
        <f t="shared" si="27"/>
        <v>0</v>
      </c>
      <c r="AH650" s="9"/>
      <c r="AI650" s="145">
        <f t="shared" si="26"/>
        <v>0</v>
      </c>
      <c r="AJ650" s="147" t="s">
        <v>36</v>
      </c>
    </row>
    <row r="651" spans="1:36" ht="30" customHeight="1">
      <c r="A651" s="90"/>
      <c r="B651" s="90"/>
      <c r="C651" s="90"/>
      <c r="D651" s="90"/>
      <c r="E651" s="90"/>
      <c r="F651" s="90"/>
      <c r="G651" s="90"/>
      <c r="H651" s="90"/>
      <c r="I651" s="90"/>
      <c r="J651" s="90"/>
      <c r="K651" s="90"/>
      <c r="L651" s="90"/>
      <c r="M651" s="90"/>
      <c r="N651" s="150"/>
      <c r="O651" s="152"/>
      <c r="P651" s="90"/>
      <c r="Q651" s="140"/>
      <c r="R651" s="90"/>
      <c r="S651" s="140"/>
      <c r="T651" s="90"/>
      <c r="U651" s="140"/>
      <c r="V651" s="90"/>
      <c r="W651" s="140"/>
      <c r="X651" s="90"/>
      <c r="Y651" s="140"/>
      <c r="Z651" s="90"/>
      <c r="AA651" s="140"/>
      <c r="AB651" s="62"/>
      <c r="AC651" s="140"/>
      <c r="AD651" s="62"/>
      <c r="AE651" s="140"/>
      <c r="AF651" s="189" t="str">
        <f t="shared" si="28"/>
        <v/>
      </c>
      <c r="AG651" s="304" t="b">
        <f t="shared" si="27"/>
        <v>0</v>
      </c>
      <c r="AH651" s="9"/>
      <c r="AI651" s="145">
        <f t="shared" si="26"/>
        <v>0</v>
      </c>
      <c r="AJ651" s="147" t="s">
        <v>36</v>
      </c>
    </row>
    <row r="652" spans="1:36" ht="30" customHeight="1">
      <c r="A652" s="90"/>
      <c r="B652" s="90"/>
      <c r="C652" s="90"/>
      <c r="D652" s="90"/>
      <c r="E652" s="90"/>
      <c r="F652" s="90"/>
      <c r="G652" s="90"/>
      <c r="H652" s="90"/>
      <c r="I652" s="90"/>
      <c r="J652" s="90"/>
      <c r="K652" s="90"/>
      <c r="L652" s="90"/>
      <c r="M652" s="90"/>
      <c r="N652" s="150"/>
      <c r="O652" s="152"/>
      <c r="P652" s="90"/>
      <c r="Q652" s="140"/>
      <c r="R652" s="90"/>
      <c r="S652" s="140"/>
      <c r="T652" s="90"/>
      <c r="U652" s="140"/>
      <c r="V652" s="90"/>
      <c r="W652" s="140"/>
      <c r="X652" s="90"/>
      <c r="Y652" s="140"/>
      <c r="Z652" s="90"/>
      <c r="AA652" s="140"/>
      <c r="AB652" s="62"/>
      <c r="AC652" s="140"/>
      <c r="AD652" s="62"/>
      <c r="AE652" s="140"/>
      <c r="AF652" s="189" t="str">
        <f t="shared" si="28"/>
        <v/>
      </c>
      <c r="AG652" s="304" t="b">
        <f t="shared" si="27"/>
        <v>0</v>
      </c>
      <c r="AH652" s="9"/>
      <c r="AI652" s="145">
        <f t="shared" si="26"/>
        <v>0</v>
      </c>
      <c r="AJ652" s="147" t="s">
        <v>36</v>
      </c>
    </row>
    <row r="653" spans="1:36" ht="30" customHeight="1">
      <c r="A653" s="90"/>
      <c r="B653" s="90"/>
      <c r="C653" s="90"/>
      <c r="D653" s="90"/>
      <c r="E653" s="90"/>
      <c r="F653" s="90"/>
      <c r="G653" s="90"/>
      <c r="H653" s="90"/>
      <c r="I653" s="90"/>
      <c r="J653" s="90"/>
      <c r="K653" s="90"/>
      <c r="L653" s="90"/>
      <c r="M653" s="90"/>
      <c r="N653" s="150"/>
      <c r="O653" s="152"/>
      <c r="P653" s="90"/>
      <c r="Q653" s="140"/>
      <c r="R653" s="90"/>
      <c r="S653" s="140"/>
      <c r="T653" s="90"/>
      <c r="U653" s="140"/>
      <c r="V653" s="90"/>
      <c r="W653" s="140"/>
      <c r="X653" s="90"/>
      <c r="Y653" s="140"/>
      <c r="Z653" s="90"/>
      <c r="AA653" s="140"/>
      <c r="AB653" s="62"/>
      <c r="AC653" s="140"/>
      <c r="AD653" s="62"/>
      <c r="AE653" s="140"/>
      <c r="AF653" s="189" t="str">
        <f t="shared" si="28"/>
        <v/>
      </c>
      <c r="AG653" s="304" t="b">
        <f t="shared" si="27"/>
        <v>0</v>
      </c>
      <c r="AH653" s="9"/>
      <c r="AI653" s="145">
        <f t="shared" si="26"/>
        <v>0</v>
      </c>
      <c r="AJ653" s="147" t="s">
        <v>36</v>
      </c>
    </row>
    <row r="654" spans="1:36" ht="30" customHeight="1">
      <c r="A654" s="90"/>
      <c r="B654" s="90"/>
      <c r="C654" s="90"/>
      <c r="D654" s="90"/>
      <c r="E654" s="90"/>
      <c r="F654" s="90"/>
      <c r="G654" s="90"/>
      <c r="H654" s="90"/>
      <c r="I654" s="90"/>
      <c r="J654" s="90"/>
      <c r="K654" s="90"/>
      <c r="L654" s="90"/>
      <c r="M654" s="90"/>
      <c r="N654" s="150"/>
      <c r="O654" s="152"/>
      <c r="P654" s="90"/>
      <c r="Q654" s="140"/>
      <c r="R654" s="90"/>
      <c r="S654" s="140"/>
      <c r="T654" s="90"/>
      <c r="U654" s="140"/>
      <c r="V654" s="90"/>
      <c r="W654" s="140"/>
      <c r="X654" s="90"/>
      <c r="Y654" s="140"/>
      <c r="Z654" s="90"/>
      <c r="AA654" s="140"/>
      <c r="AB654" s="62"/>
      <c r="AC654" s="140"/>
      <c r="AD654" s="62"/>
      <c r="AE654" s="140"/>
      <c r="AF654" s="189" t="str">
        <f t="shared" si="28"/>
        <v/>
      </c>
      <c r="AG654" s="304" t="b">
        <f t="shared" si="27"/>
        <v>0</v>
      </c>
      <c r="AH654" s="9"/>
      <c r="AI654" s="145">
        <f t="shared" si="26"/>
        <v>0</v>
      </c>
      <c r="AJ654" s="147" t="s">
        <v>36</v>
      </c>
    </row>
    <row r="655" spans="1:36" ht="30" customHeight="1">
      <c r="A655" s="90"/>
      <c r="B655" s="90"/>
      <c r="C655" s="90"/>
      <c r="D655" s="90"/>
      <c r="E655" s="90"/>
      <c r="F655" s="90"/>
      <c r="G655" s="90"/>
      <c r="H655" s="90"/>
      <c r="I655" s="90"/>
      <c r="J655" s="90"/>
      <c r="K655" s="90"/>
      <c r="L655" s="90"/>
      <c r="M655" s="90"/>
      <c r="N655" s="150"/>
      <c r="O655" s="152"/>
      <c r="P655" s="90"/>
      <c r="Q655" s="140"/>
      <c r="R655" s="90"/>
      <c r="S655" s="140"/>
      <c r="T655" s="90"/>
      <c r="U655" s="140"/>
      <c r="V655" s="90"/>
      <c r="W655" s="140"/>
      <c r="X655" s="90"/>
      <c r="Y655" s="140"/>
      <c r="Z655" s="90"/>
      <c r="AA655" s="140"/>
      <c r="AB655" s="62"/>
      <c r="AC655" s="140"/>
      <c r="AD655" s="62"/>
      <c r="AE655" s="140"/>
      <c r="AF655" s="189" t="str">
        <f t="shared" si="28"/>
        <v/>
      </c>
      <c r="AG655" s="304" t="b">
        <f t="shared" si="27"/>
        <v>0</v>
      </c>
      <c r="AH655" s="9"/>
      <c r="AI655" s="145">
        <f t="shared" si="26"/>
        <v>0</v>
      </c>
      <c r="AJ655" s="147" t="s">
        <v>36</v>
      </c>
    </row>
    <row r="656" spans="1:36" ht="30" customHeight="1">
      <c r="A656" s="90"/>
      <c r="B656" s="90"/>
      <c r="C656" s="90"/>
      <c r="D656" s="90"/>
      <c r="E656" s="90"/>
      <c r="F656" s="90"/>
      <c r="G656" s="90"/>
      <c r="H656" s="90"/>
      <c r="I656" s="90"/>
      <c r="J656" s="90"/>
      <c r="K656" s="90"/>
      <c r="L656" s="90"/>
      <c r="M656" s="90"/>
      <c r="N656" s="150"/>
      <c r="O656" s="152"/>
      <c r="P656" s="90"/>
      <c r="Q656" s="140"/>
      <c r="R656" s="90"/>
      <c r="S656" s="140"/>
      <c r="T656" s="90"/>
      <c r="U656" s="140"/>
      <c r="V656" s="90"/>
      <c r="W656" s="140"/>
      <c r="X656" s="90"/>
      <c r="Y656" s="140"/>
      <c r="Z656" s="90"/>
      <c r="AA656" s="140"/>
      <c r="AB656" s="62"/>
      <c r="AC656" s="140"/>
      <c r="AD656" s="62"/>
      <c r="AE656" s="140"/>
      <c r="AF656" s="189" t="str">
        <f t="shared" si="28"/>
        <v/>
      </c>
      <c r="AG656" s="304" t="b">
        <f t="shared" si="27"/>
        <v>0</v>
      </c>
      <c r="AH656" s="9"/>
      <c r="AI656" s="145">
        <f t="shared" si="26"/>
        <v>0</v>
      </c>
      <c r="AJ656" s="147" t="s">
        <v>36</v>
      </c>
    </row>
    <row r="657" spans="1:36" ht="30" customHeight="1">
      <c r="A657" s="90"/>
      <c r="B657" s="90"/>
      <c r="C657" s="90"/>
      <c r="D657" s="90"/>
      <c r="E657" s="90"/>
      <c r="F657" s="90"/>
      <c r="G657" s="90"/>
      <c r="H657" s="90"/>
      <c r="I657" s="90"/>
      <c r="J657" s="90"/>
      <c r="K657" s="90"/>
      <c r="L657" s="90"/>
      <c r="M657" s="90"/>
      <c r="N657" s="150"/>
      <c r="O657" s="152"/>
      <c r="P657" s="90"/>
      <c r="Q657" s="140"/>
      <c r="R657" s="90"/>
      <c r="S657" s="140"/>
      <c r="T657" s="90"/>
      <c r="U657" s="140"/>
      <c r="V657" s="90"/>
      <c r="W657" s="140"/>
      <c r="X657" s="90"/>
      <c r="Y657" s="140"/>
      <c r="Z657" s="90"/>
      <c r="AA657" s="140"/>
      <c r="AB657" s="62"/>
      <c r="AC657" s="140"/>
      <c r="AD657" s="62"/>
      <c r="AE657" s="140"/>
      <c r="AF657" s="189" t="str">
        <f t="shared" si="28"/>
        <v/>
      </c>
      <c r="AG657" s="304" t="b">
        <f t="shared" si="27"/>
        <v>0</v>
      </c>
      <c r="AH657" s="9"/>
      <c r="AI657" s="145">
        <f t="shared" si="26"/>
        <v>0</v>
      </c>
      <c r="AJ657" s="147" t="s">
        <v>36</v>
      </c>
    </row>
    <row r="658" spans="1:36" ht="30" customHeight="1">
      <c r="A658" s="90"/>
      <c r="B658" s="90"/>
      <c r="C658" s="90"/>
      <c r="D658" s="90"/>
      <c r="E658" s="90"/>
      <c r="F658" s="90"/>
      <c r="G658" s="90"/>
      <c r="H658" s="90"/>
      <c r="I658" s="90"/>
      <c r="J658" s="90"/>
      <c r="K658" s="90"/>
      <c r="L658" s="90"/>
      <c r="M658" s="90"/>
      <c r="N658" s="150"/>
      <c r="O658" s="152"/>
      <c r="P658" s="90"/>
      <c r="Q658" s="140"/>
      <c r="R658" s="90"/>
      <c r="S658" s="140"/>
      <c r="T658" s="90"/>
      <c r="U658" s="140"/>
      <c r="V658" s="90"/>
      <c r="W658" s="140"/>
      <c r="X658" s="90"/>
      <c r="Y658" s="140"/>
      <c r="Z658" s="90"/>
      <c r="AA658" s="140"/>
      <c r="AB658" s="62"/>
      <c r="AC658" s="140"/>
      <c r="AD658" s="62"/>
      <c r="AE658" s="140"/>
      <c r="AF658" s="189" t="str">
        <f t="shared" si="28"/>
        <v/>
      </c>
      <c r="AG658" s="304" t="b">
        <f t="shared" si="27"/>
        <v>0</v>
      </c>
      <c r="AH658" s="9"/>
      <c r="AI658" s="145">
        <f t="shared" si="26"/>
        <v>0</v>
      </c>
      <c r="AJ658" s="147" t="s">
        <v>36</v>
      </c>
    </row>
    <row r="659" spans="1:36" ht="30" customHeight="1">
      <c r="A659" s="90"/>
      <c r="B659" s="90"/>
      <c r="C659" s="90"/>
      <c r="D659" s="90"/>
      <c r="E659" s="90"/>
      <c r="F659" s="90"/>
      <c r="G659" s="90"/>
      <c r="H659" s="90"/>
      <c r="I659" s="90"/>
      <c r="J659" s="90"/>
      <c r="K659" s="90"/>
      <c r="L659" s="90"/>
      <c r="M659" s="90"/>
      <c r="N659" s="150"/>
      <c r="O659" s="152"/>
      <c r="P659" s="90"/>
      <c r="Q659" s="140"/>
      <c r="R659" s="90"/>
      <c r="S659" s="140"/>
      <c r="T659" s="90"/>
      <c r="U659" s="140"/>
      <c r="V659" s="90"/>
      <c r="W659" s="140"/>
      <c r="X659" s="90"/>
      <c r="Y659" s="140"/>
      <c r="Z659" s="90"/>
      <c r="AA659" s="140"/>
      <c r="AB659" s="62"/>
      <c r="AC659" s="140"/>
      <c r="AD659" s="62"/>
      <c r="AE659" s="140"/>
      <c r="AF659" s="189" t="str">
        <f t="shared" si="28"/>
        <v/>
      </c>
      <c r="AG659" s="304" t="b">
        <f t="shared" si="27"/>
        <v>0</v>
      </c>
      <c r="AH659" s="9"/>
      <c r="AI659" s="145">
        <f t="shared" si="26"/>
        <v>0</v>
      </c>
      <c r="AJ659" s="147" t="s">
        <v>36</v>
      </c>
    </row>
    <row r="660" spans="1:36" ht="30" customHeight="1">
      <c r="A660" s="90"/>
      <c r="B660" s="90"/>
      <c r="C660" s="90"/>
      <c r="D660" s="90"/>
      <c r="E660" s="90"/>
      <c r="F660" s="90"/>
      <c r="G660" s="90"/>
      <c r="H660" s="90"/>
      <c r="I660" s="90"/>
      <c r="J660" s="90"/>
      <c r="K660" s="90"/>
      <c r="L660" s="90"/>
      <c r="M660" s="90"/>
      <c r="N660" s="150"/>
      <c r="O660" s="152"/>
      <c r="P660" s="90"/>
      <c r="Q660" s="140"/>
      <c r="R660" s="90"/>
      <c r="S660" s="140"/>
      <c r="T660" s="90"/>
      <c r="U660" s="140"/>
      <c r="V660" s="90"/>
      <c r="W660" s="140"/>
      <c r="X660" s="90"/>
      <c r="Y660" s="140"/>
      <c r="Z660" s="90"/>
      <c r="AA660" s="140"/>
      <c r="AB660" s="62"/>
      <c r="AC660" s="140"/>
      <c r="AD660" s="62"/>
      <c r="AE660" s="140"/>
      <c r="AF660" s="189" t="str">
        <f t="shared" si="28"/>
        <v/>
      </c>
      <c r="AG660" s="304" t="b">
        <f t="shared" si="27"/>
        <v>0</v>
      </c>
      <c r="AH660" s="9"/>
      <c r="AI660" s="145">
        <f t="shared" si="26"/>
        <v>0</v>
      </c>
      <c r="AJ660" s="147" t="s">
        <v>36</v>
      </c>
    </row>
    <row r="661" spans="1:36" ht="30" customHeight="1">
      <c r="A661" s="90"/>
      <c r="B661" s="90"/>
      <c r="C661" s="90"/>
      <c r="D661" s="90"/>
      <c r="E661" s="90"/>
      <c r="F661" s="90"/>
      <c r="G661" s="90"/>
      <c r="H661" s="90"/>
      <c r="I661" s="90"/>
      <c r="J661" s="90"/>
      <c r="K661" s="90"/>
      <c r="L661" s="90"/>
      <c r="M661" s="90"/>
      <c r="N661" s="150"/>
      <c r="O661" s="152"/>
      <c r="P661" s="90"/>
      <c r="Q661" s="140"/>
      <c r="R661" s="90"/>
      <c r="S661" s="140"/>
      <c r="T661" s="90"/>
      <c r="U661" s="140"/>
      <c r="V661" s="90"/>
      <c r="W661" s="140"/>
      <c r="X661" s="90"/>
      <c r="Y661" s="140"/>
      <c r="Z661" s="90"/>
      <c r="AA661" s="140"/>
      <c r="AB661" s="62"/>
      <c r="AC661" s="140"/>
      <c r="AD661" s="62"/>
      <c r="AE661" s="140"/>
      <c r="AF661" s="189" t="str">
        <f t="shared" si="28"/>
        <v/>
      </c>
      <c r="AG661" s="304" t="b">
        <f t="shared" si="27"/>
        <v>0</v>
      </c>
      <c r="AH661" s="9"/>
      <c r="AI661" s="145">
        <f t="shared" si="26"/>
        <v>0</v>
      </c>
      <c r="AJ661" s="147" t="s">
        <v>36</v>
      </c>
    </row>
    <row r="662" spans="1:36" ht="30" customHeight="1">
      <c r="A662" s="90"/>
      <c r="B662" s="90"/>
      <c r="C662" s="90"/>
      <c r="D662" s="90"/>
      <c r="E662" s="90"/>
      <c r="F662" s="90"/>
      <c r="G662" s="90"/>
      <c r="H662" s="90"/>
      <c r="I662" s="90"/>
      <c r="J662" s="90"/>
      <c r="K662" s="90"/>
      <c r="L662" s="90"/>
      <c r="M662" s="90"/>
      <c r="N662" s="150"/>
      <c r="O662" s="152"/>
      <c r="P662" s="90"/>
      <c r="Q662" s="140"/>
      <c r="R662" s="90"/>
      <c r="S662" s="140"/>
      <c r="T662" s="90"/>
      <c r="U662" s="140"/>
      <c r="V662" s="90"/>
      <c r="W662" s="140"/>
      <c r="X662" s="90"/>
      <c r="Y662" s="140"/>
      <c r="Z662" s="90"/>
      <c r="AA662" s="140"/>
      <c r="AB662" s="62"/>
      <c r="AC662" s="140"/>
      <c r="AD662" s="62"/>
      <c r="AE662" s="140"/>
      <c r="AF662" s="189" t="str">
        <f t="shared" si="28"/>
        <v/>
      </c>
      <c r="AG662" s="304" t="b">
        <f t="shared" si="27"/>
        <v>0</v>
      </c>
      <c r="AH662" s="9"/>
      <c r="AI662" s="145">
        <f t="shared" si="26"/>
        <v>0</v>
      </c>
      <c r="AJ662" s="147" t="s">
        <v>36</v>
      </c>
    </row>
    <row r="663" spans="1:36" ht="30" customHeight="1">
      <c r="A663" s="90"/>
      <c r="B663" s="90"/>
      <c r="C663" s="90"/>
      <c r="D663" s="90"/>
      <c r="E663" s="90"/>
      <c r="F663" s="90"/>
      <c r="G663" s="90"/>
      <c r="H663" s="90"/>
      <c r="I663" s="90"/>
      <c r="J663" s="90"/>
      <c r="K663" s="90"/>
      <c r="L663" s="90"/>
      <c r="M663" s="90"/>
      <c r="N663" s="150"/>
      <c r="O663" s="152"/>
      <c r="P663" s="90"/>
      <c r="Q663" s="140"/>
      <c r="R663" s="90"/>
      <c r="S663" s="140"/>
      <c r="T663" s="90"/>
      <c r="U663" s="140"/>
      <c r="V663" s="90"/>
      <c r="W663" s="140"/>
      <c r="X663" s="90"/>
      <c r="Y663" s="140"/>
      <c r="Z663" s="90"/>
      <c r="AA663" s="140"/>
      <c r="AB663" s="62"/>
      <c r="AC663" s="140"/>
      <c r="AD663" s="62"/>
      <c r="AE663" s="140"/>
      <c r="AF663" s="189" t="str">
        <f t="shared" si="28"/>
        <v/>
      </c>
      <c r="AG663" s="304" t="b">
        <f t="shared" si="27"/>
        <v>0</v>
      </c>
      <c r="AH663" s="9"/>
      <c r="AI663" s="145">
        <f t="shared" si="26"/>
        <v>0</v>
      </c>
      <c r="AJ663" s="147" t="s">
        <v>36</v>
      </c>
    </row>
    <row r="664" spans="1:36" ht="30" customHeight="1">
      <c r="A664" s="90"/>
      <c r="B664" s="90"/>
      <c r="C664" s="90"/>
      <c r="D664" s="90"/>
      <c r="E664" s="90"/>
      <c r="F664" s="90"/>
      <c r="G664" s="90"/>
      <c r="H664" s="90"/>
      <c r="I664" s="90"/>
      <c r="J664" s="90"/>
      <c r="K664" s="90"/>
      <c r="L664" s="90"/>
      <c r="M664" s="90"/>
      <c r="N664" s="150"/>
      <c r="O664" s="152"/>
      <c r="P664" s="90"/>
      <c r="Q664" s="140"/>
      <c r="R664" s="90"/>
      <c r="S664" s="140"/>
      <c r="T664" s="90"/>
      <c r="U664" s="140"/>
      <c r="V664" s="90"/>
      <c r="W664" s="140"/>
      <c r="X664" s="90"/>
      <c r="Y664" s="140"/>
      <c r="Z664" s="90"/>
      <c r="AA664" s="140"/>
      <c r="AB664" s="62"/>
      <c r="AC664" s="140"/>
      <c r="AD664" s="62"/>
      <c r="AE664" s="140"/>
      <c r="AF664" s="189" t="str">
        <f t="shared" si="28"/>
        <v/>
      </c>
      <c r="AG664" s="304" t="b">
        <f t="shared" si="27"/>
        <v>0</v>
      </c>
      <c r="AH664" s="9"/>
      <c r="AI664" s="145">
        <f t="shared" si="26"/>
        <v>0</v>
      </c>
      <c r="AJ664" s="147" t="s">
        <v>36</v>
      </c>
    </row>
    <row r="665" spans="1:36" ht="30" customHeight="1">
      <c r="A665" s="90"/>
      <c r="B665" s="90"/>
      <c r="C665" s="90"/>
      <c r="D665" s="90"/>
      <c r="E665" s="90"/>
      <c r="F665" s="90"/>
      <c r="G665" s="90"/>
      <c r="H665" s="90"/>
      <c r="I665" s="90"/>
      <c r="J665" s="90"/>
      <c r="K665" s="90"/>
      <c r="L665" s="90"/>
      <c r="M665" s="90"/>
      <c r="N665" s="150"/>
      <c r="O665" s="152"/>
      <c r="P665" s="90"/>
      <c r="Q665" s="140"/>
      <c r="R665" s="90"/>
      <c r="S665" s="140"/>
      <c r="T665" s="90"/>
      <c r="U665" s="140"/>
      <c r="V665" s="90"/>
      <c r="W665" s="140"/>
      <c r="X665" s="90"/>
      <c r="Y665" s="140"/>
      <c r="Z665" s="90"/>
      <c r="AA665" s="140"/>
      <c r="AB665" s="62"/>
      <c r="AC665" s="140"/>
      <c r="AD665" s="62"/>
      <c r="AE665" s="140"/>
      <c r="AF665" s="189" t="str">
        <f t="shared" si="28"/>
        <v/>
      </c>
      <c r="AG665" s="304" t="b">
        <f t="shared" si="27"/>
        <v>0</v>
      </c>
      <c r="AH665" s="9"/>
      <c r="AI665" s="145">
        <f t="shared" si="26"/>
        <v>0</v>
      </c>
      <c r="AJ665" s="147" t="s">
        <v>36</v>
      </c>
    </row>
    <row r="666" spans="1:36" ht="30" customHeight="1">
      <c r="A666" s="90"/>
      <c r="B666" s="90"/>
      <c r="C666" s="90"/>
      <c r="D666" s="90"/>
      <c r="E666" s="90"/>
      <c r="F666" s="90"/>
      <c r="G666" s="90"/>
      <c r="H666" s="90"/>
      <c r="I666" s="90"/>
      <c r="J666" s="90"/>
      <c r="K666" s="90"/>
      <c r="L666" s="90"/>
      <c r="M666" s="90"/>
      <c r="N666" s="150"/>
      <c r="O666" s="152"/>
      <c r="P666" s="90"/>
      <c r="Q666" s="140"/>
      <c r="R666" s="90"/>
      <c r="S666" s="140"/>
      <c r="T666" s="90"/>
      <c r="U666" s="140"/>
      <c r="V666" s="90"/>
      <c r="W666" s="140"/>
      <c r="X666" s="90"/>
      <c r="Y666" s="140"/>
      <c r="Z666" s="90"/>
      <c r="AA666" s="140"/>
      <c r="AB666" s="62"/>
      <c r="AC666" s="140"/>
      <c r="AD666" s="62"/>
      <c r="AE666" s="140"/>
      <c r="AF666" s="189" t="str">
        <f t="shared" si="28"/>
        <v/>
      </c>
      <c r="AG666" s="304" t="b">
        <f t="shared" si="27"/>
        <v>0</v>
      </c>
      <c r="AH666" s="9"/>
      <c r="AI666" s="145">
        <f t="shared" si="26"/>
        <v>0</v>
      </c>
      <c r="AJ666" s="147" t="s">
        <v>36</v>
      </c>
    </row>
    <row r="667" spans="1:36" ht="30" customHeight="1">
      <c r="A667" s="90"/>
      <c r="B667" s="90"/>
      <c r="C667" s="90"/>
      <c r="D667" s="90"/>
      <c r="E667" s="90"/>
      <c r="F667" s="90"/>
      <c r="G667" s="90"/>
      <c r="H667" s="90"/>
      <c r="I667" s="90"/>
      <c r="J667" s="90"/>
      <c r="K667" s="90"/>
      <c r="L667" s="90"/>
      <c r="M667" s="90"/>
      <c r="N667" s="150"/>
      <c r="O667" s="152"/>
      <c r="P667" s="90"/>
      <c r="Q667" s="140"/>
      <c r="R667" s="90"/>
      <c r="S667" s="140"/>
      <c r="T667" s="90"/>
      <c r="U667" s="140"/>
      <c r="V667" s="90"/>
      <c r="W667" s="140"/>
      <c r="X667" s="90"/>
      <c r="Y667" s="140"/>
      <c r="Z667" s="90"/>
      <c r="AA667" s="140"/>
      <c r="AB667" s="62"/>
      <c r="AC667" s="140"/>
      <c r="AD667" s="62"/>
      <c r="AE667" s="140"/>
      <c r="AF667" s="189" t="str">
        <f t="shared" si="28"/>
        <v/>
      </c>
      <c r="AG667" s="304" t="b">
        <f t="shared" si="27"/>
        <v>0</v>
      </c>
      <c r="AH667" s="9"/>
      <c r="AI667" s="145">
        <f t="shared" si="26"/>
        <v>0</v>
      </c>
      <c r="AJ667" s="147" t="s">
        <v>36</v>
      </c>
    </row>
    <row r="668" spans="1:36" ht="30" customHeight="1">
      <c r="A668" s="90"/>
      <c r="B668" s="90"/>
      <c r="C668" s="90"/>
      <c r="D668" s="90"/>
      <c r="E668" s="90"/>
      <c r="F668" s="90"/>
      <c r="G668" s="90"/>
      <c r="H668" s="90"/>
      <c r="I668" s="90"/>
      <c r="J668" s="90"/>
      <c r="K668" s="90"/>
      <c r="L668" s="90"/>
      <c r="M668" s="90"/>
      <c r="N668" s="150"/>
      <c r="O668" s="152"/>
      <c r="P668" s="90"/>
      <c r="Q668" s="140"/>
      <c r="R668" s="90"/>
      <c r="S668" s="140"/>
      <c r="T668" s="90"/>
      <c r="U668" s="140"/>
      <c r="V668" s="90"/>
      <c r="W668" s="140"/>
      <c r="X668" s="90"/>
      <c r="Y668" s="140"/>
      <c r="Z668" s="90"/>
      <c r="AA668" s="140"/>
      <c r="AB668" s="62"/>
      <c r="AC668" s="140"/>
      <c r="AD668" s="62"/>
      <c r="AE668" s="140"/>
      <c r="AF668" s="189" t="str">
        <f t="shared" si="28"/>
        <v/>
      </c>
      <c r="AG668" s="304" t="b">
        <f t="shared" si="27"/>
        <v>0</v>
      </c>
      <c r="AH668" s="9"/>
      <c r="AI668" s="145">
        <f t="shared" si="26"/>
        <v>0</v>
      </c>
      <c r="AJ668" s="147" t="s">
        <v>36</v>
      </c>
    </row>
    <row r="669" spans="1:36" ht="30" customHeight="1">
      <c r="A669" s="90"/>
      <c r="B669" s="90"/>
      <c r="C669" s="90"/>
      <c r="D669" s="90"/>
      <c r="E669" s="90"/>
      <c r="F669" s="90"/>
      <c r="G669" s="90"/>
      <c r="H669" s="90"/>
      <c r="I669" s="90"/>
      <c r="J669" s="90"/>
      <c r="K669" s="90"/>
      <c r="L669" s="90"/>
      <c r="M669" s="90"/>
      <c r="N669" s="150"/>
      <c r="O669" s="152"/>
      <c r="P669" s="90"/>
      <c r="Q669" s="140"/>
      <c r="R669" s="90"/>
      <c r="S669" s="140"/>
      <c r="T669" s="90"/>
      <c r="U669" s="140"/>
      <c r="V669" s="90"/>
      <c r="W669" s="140"/>
      <c r="X669" s="90"/>
      <c r="Y669" s="140"/>
      <c r="Z669" s="90"/>
      <c r="AA669" s="140"/>
      <c r="AB669" s="62"/>
      <c r="AC669" s="140"/>
      <c r="AD669" s="62"/>
      <c r="AE669" s="140"/>
      <c r="AF669" s="189" t="str">
        <f t="shared" si="28"/>
        <v/>
      </c>
      <c r="AG669" s="304" t="b">
        <f t="shared" si="27"/>
        <v>0</v>
      </c>
      <c r="AH669" s="9"/>
      <c r="AI669" s="145">
        <f t="shared" si="26"/>
        <v>0</v>
      </c>
      <c r="AJ669" s="147" t="s">
        <v>36</v>
      </c>
    </row>
    <row r="670" spans="1:36" ht="30" customHeight="1">
      <c r="A670" s="90"/>
      <c r="B670" s="90"/>
      <c r="C670" s="90"/>
      <c r="D670" s="90"/>
      <c r="E670" s="90"/>
      <c r="F670" s="90"/>
      <c r="G670" s="90"/>
      <c r="H670" s="90"/>
      <c r="I670" s="90"/>
      <c r="J670" s="90"/>
      <c r="K670" s="90"/>
      <c r="L670" s="90"/>
      <c r="M670" s="90"/>
      <c r="N670" s="150"/>
      <c r="O670" s="152"/>
      <c r="P670" s="90"/>
      <c r="Q670" s="140"/>
      <c r="R670" s="90"/>
      <c r="S670" s="140"/>
      <c r="T670" s="90"/>
      <c r="U670" s="140"/>
      <c r="V670" s="90"/>
      <c r="W670" s="140"/>
      <c r="X670" s="90"/>
      <c r="Y670" s="140"/>
      <c r="Z670" s="90"/>
      <c r="AA670" s="140"/>
      <c r="AB670" s="62"/>
      <c r="AC670" s="140"/>
      <c r="AD670" s="62"/>
      <c r="AE670" s="140"/>
      <c r="AF670" s="189" t="str">
        <f t="shared" si="28"/>
        <v/>
      </c>
      <c r="AG670" s="304" t="b">
        <f t="shared" si="27"/>
        <v>0</v>
      </c>
      <c r="AH670" s="9"/>
      <c r="AI670" s="145">
        <f t="shared" si="26"/>
        <v>0</v>
      </c>
      <c r="AJ670" s="147" t="s">
        <v>36</v>
      </c>
    </row>
    <row r="671" spans="1:36" ht="30" customHeight="1">
      <c r="A671" s="90"/>
      <c r="B671" s="90"/>
      <c r="C671" s="90"/>
      <c r="D671" s="90"/>
      <c r="E671" s="90"/>
      <c r="F671" s="90"/>
      <c r="G671" s="90"/>
      <c r="H671" s="90"/>
      <c r="I671" s="90"/>
      <c r="J671" s="90"/>
      <c r="K671" s="90"/>
      <c r="L671" s="90"/>
      <c r="M671" s="90"/>
      <c r="N671" s="150"/>
      <c r="O671" s="152"/>
      <c r="P671" s="90"/>
      <c r="Q671" s="140"/>
      <c r="R671" s="90"/>
      <c r="S671" s="140"/>
      <c r="T671" s="90"/>
      <c r="U671" s="140"/>
      <c r="V671" s="90"/>
      <c r="W671" s="140"/>
      <c r="X671" s="90"/>
      <c r="Y671" s="140"/>
      <c r="Z671" s="90"/>
      <c r="AA671" s="140"/>
      <c r="AB671" s="62"/>
      <c r="AC671" s="140"/>
      <c r="AD671" s="62"/>
      <c r="AE671" s="140"/>
      <c r="AF671" s="189" t="str">
        <f t="shared" si="28"/>
        <v/>
      </c>
      <c r="AG671" s="304" t="b">
        <f t="shared" si="27"/>
        <v>0</v>
      </c>
      <c r="AH671" s="9"/>
      <c r="AI671" s="145">
        <f t="shared" si="26"/>
        <v>0</v>
      </c>
      <c r="AJ671" s="147" t="s">
        <v>36</v>
      </c>
    </row>
    <row r="672" spans="1:36" ht="30" customHeight="1">
      <c r="A672" s="90"/>
      <c r="B672" s="90"/>
      <c r="C672" s="90"/>
      <c r="D672" s="90"/>
      <c r="E672" s="90"/>
      <c r="F672" s="90"/>
      <c r="G672" s="90"/>
      <c r="H672" s="90"/>
      <c r="I672" s="90"/>
      <c r="J672" s="90"/>
      <c r="K672" s="90"/>
      <c r="L672" s="90"/>
      <c r="M672" s="90"/>
      <c r="N672" s="150"/>
      <c r="O672" s="152"/>
      <c r="P672" s="90"/>
      <c r="Q672" s="140"/>
      <c r="R672" s="90"/>
      <c r="S672" s="140"/>
      <c r="T672" s="90"/>
      <c r="U672" s="140"/>
      <c r="V672" s="90"/>
      <c r="W672" s="140"/>
      <c r="X672" s="90"/>
      <c r="Y672" s="140"/>
      <c r="Z672" s="90"/>
      <c r="AA672" s="140"/>
      <c r="AB672" s="62"/>
      <c r="AC672" s="140"/>
      <c r="AD672" s="62"/>
      <c r="AE672" s="140"/>
      <c r="AF672" s="189" t="str">
        <f t="shared" si="28"/>
        <v/>
      </c>
      <c r="AG672" s="304" t="b">
        <f t="shared" si="27"/>
        <v>0</v>
      </c>
      <c r="AH672" s="9"/>
      <c r="AI672" s="145">
        <f t="shared" si="26"/>
        <v>0</v>
      </c>
      <c r="AJ672" s="147" t="s">
        <v>36</v>
      </c>
    </row>
    <row r="673" spans="1:36" ht="30" customHeight="1">
      <c r="A673" s="90"/>
      <c r="B673" s="90"/>
      <c r="C673" s="90"/>
      <c r="D673" s="90"/>
      <c r="E673" s="90"/>
      <c r="F673" s="90"/>
      <c r="G673" s="90"/>
      <c r="H673" s="90"/>
      <c r="I673" s="90"/>
      <c r="J673" s="90"/>
      <c r="K673" s="90"/>
      <c r="L673" s="90"/>
      <c r="M673" s="90"/>
      <c r="N673" s="150"/>
      <c r="O673" s="152"/>
      <c r="P673" s="90"/>
      <c r="Q673" s="140"/>
      <c r="R673" s="90"/>
      <c r="S673" s="140"/>
      <c r="T673" s="90"/>
      <c r="U673" s="140"/>
      <c r="V673" s="90"/>
      <c r="W673" s="140"/>
      <c r="X673" s="90"/>
      <c r="Y673" s="140"/>
      <c r="Z673" s="90"/>
      <c r="AA673" s="140"/>
      <c r="AB673" s="62"/>
      <c r="AC673" s="140"/>
      <c r="AD673" s="62"/>
      <c r="AE673" s="140"/>
      <c r="AF673" s="189" t="str">
        <f t="shared" si="28"/>
        <v/>
      </c>
      <c r="AG673" s="304" t="b">
        <f t="shared" si="27"/>
        <v>0</v>
      </c>
      <c r="AH673" s="9"/>
      <c r="AI673" s="145">
        <f t="shared" si="26"/>
        <v>0</v>
      </c>
      <c r="AJ673" s="147" t="s">
        <v>36</v>
      </c>
    </row>
    <row r="674" spans="1:36" ht="30" customHeight="1">
      <c r="A674" s="90"/>
      <c r="B674" s="90"/>
      <c r="C674" s="90"/>
      <c r="D674" s="90"/>
      <c r="E674" s="90"/>
      <c r="F674" s="90"/>
      <c r="G674" s="90"/>
      <c r="H674" s="90"/>
      <c r="I674" s="90"/>
      <c r="J674" s="90"/>
      <c r="K674" s="90"/>
      <c r="L674" s="90"/>
      <c r="M674" s="90"/>
      <c r="N674" s="150"/>
      <c r="O674" s="152"/>
      <c r="P674" s="90"/>
      <c r="Q674" s="140"/>
      <c r="R674" s="90"/>
      <c r="S674" s="140"/>
      <c r="T674" s="90"/>
      <c r="U674" s="140"/>
      <c r="V674" s="90"/>
      <c r="W674" s="140"/>
      <c r="X674" s="90"/>
      <c r="Y674" s="140"/>
      <c r="Z674" s="90"/>
      <c r="AA674" s="140"/>
      <c r="AB674" s="62"/>
      <c r="AC674" s="140"/>
      <c r="AD674" s="62"/>
      <c r="AE674" s="140"/>
      <c r="AF674" s="189" t="str">
        <f t="shared" si="28"/>
        <v/>
      </c>
      <c r="AG674" s="304" t="b">
        <f t="shared" si="27"/>
        <v>0</v>
      </c>
      <c r="AH674" s="9"/>
      <c r="AI674" s="145">
        <f t="shared" si="26"/>
        <v>0</v>
      </c>
      <c r="AJ674" s="147" t="s">
        <v>36</v>
      </c>
    </row>
    <row r="675" spans="1:36" ht="30" customHeight="1">
      <c r="A675" s="90"/>
      <c r="B675" s="90"/>
      <c r="C675" s="90"/>
      <c r="D675" s="90"/>
      <c r="E675" s="90"/>
      <c r="F675" s="90"/>
      <c r="G675" s="90"/>
      <c r="H675" s="90"/>
      <c r="I675" s="90"/>
      <c r="J675" s="90"/>
      <c r="K675" s="90"/>
      <c r="L675" s="90"/>
      <c r="M675" s="90"/>
      <c r="N675" s="150"/>
      <c r="O675" s="152"/>
      <c r="P675" s="90"/>
      <c r="Q675" s="140"/>
      <c r="R675" s="90"/>
      <c r="S675" s="140"/>
      <c r="T675" s="90"/>
      <c r="U675" s="140"/>
      <c r="V675" s="90"/>
      <c r="W675" s="140"/>
      <c r="X675" s="90"/>
      <c r="Y675" s="140"/>
      <c r="Z675" s="90"/>
      <c r="AA675" s="140"/>
      <c r="AB675" s="62"/>
      <c r="AC675" s="140"/>
      <c r="AD675" s="62"/>
      <c r="AE675" s="140"/>
      <c r="AF675" s="189" t="str">
        <f t="shared" si="28"/>
        <v/>
      </c>
      <c r="AG675" s="304" t="b">
        <f t="shared" si="27"/>
        <v>0</v>
      </c>
      <c r="AH675" s="9"/>
      <c r="AI675" s="145">
        <f t="shared" si="26"/>
        <v>0</v>
      </c>
      <c r="AJ675" s="147" t="s">
        <v>36</v>
      </c>
    </row>
    <row r="676" spans="1:36" ht="30" customHeight="1">
      <c r="A676" s="90"/>
      <c r="B676" s="90"/>
      <c r="C676" s="90"/>
      <c r="D676" s="90"/>
      <c r="E676" s="90"/>
      <c r="F676" s="90"/>
      <c r="G676" s="90"/>
      <c r="H676" s="90"/>
      <c r="I676" s="90"/>
      <c r="J676" s="90"/>
      <c r="K676" s="90"/>
      <c r="L676" s="90"/>
      <c r="M676" s="90"/>
      <c r="N676" s="150"/>
      <c r="O676" s="152"/>
      <c r="P676" s="90"/>
      <c r="Q676" s="140"/>
      <c r="R676" s="90"/>
      <c r="S676" s="140"/>
      <c r="T676" s="90"/>
      <c r="U676" s="140"/>
      <c r="V676" s="90"/>
      <c r="W676" s="140"/>
      <c r="X676" s="90"/>
      <c r="Y676" s="140"/>
      <c r="Z676" s="90"/>
      <c r="AA676" s="140"/>
      <c r="AB676" s="62"/>
      <c r="AC676" s="140"/>
      <c r="AD676" s="62"/>
      <c r="AE676" s="140"/>
      <c r="AF676" s="189" t="str">
        <f t="shared" si="28"/>
        <v/>
      </c>
      <c r="AG676" s="304" t="b">
        <f t="shared" si="27"/>
        <v>0</v>
      </c>
      <c r="AH676" s="9"/>
      <c r="AI676" s="145">
        <f t="shared" si="26"/>
        <v>0</v>
      </c>
      <c r="AJ676" s="147" t="s">
        <v>36</v>
      </c>
    </row>
    <row r="677" spans="1:36" ht="30" customHeight="1">
      <c r="A677" s="90"/>
      <c r="B677" s="90"/>
      <c r="C677" s="90"/>
      <c r="D677" s="90"/>
      <c r="E677" s="90"/>
      <c r="F677" s="90"/>
      <c r="G677" s="90"/>
      <c r="H677" s="90"/>
      <c r="I677" s="90"/>
      <c r="J677" s="90"/>
      <c r="K677" s="90"/>
      <c r="L677" s="90"/>
      <c r="M677" s="90"/>
      <c r="N677" s="150"/>
      <c r="O677" s="152"/>
      <c r="P677" s="90"/>
      <c r="Q677" s="140"/>
      <c r="R677" s="90"/>
      <c r="S677" s="140"/>
      <c r="T677" s="90"/>
      <c r="U677" s="140"/>
      <c r="V677" s="90"/>
      <c r="W677" s="140"/>
      <c r="X677" s="90"/>
      <c r="Y677" s="140"/>
      <c r="Z677" s="90"/>
      <c r="AA677" s="140"/>
      <c r="AB677" s="62"/>
      <c r="AC677" s="140"/>
      <c r="AD677" s="62"/>
      <c r="AE677" s="140"/>
      <c r="AF677" s="189" t="str">
        <f t="shared" si="28"/>
        <v/>
      </c>
      <c r="AG677" s="304" t="b">
        <f t="shared" si="27"/>
        <v>0</v>
      </c>
      <c r="AH677" s="9"/>
      <c r="AI677" s="145">
        <f t="shared" si="26"/>
        <v>0</v>
      </c>
      <c r="AJ677" s="147" t="s">
        <v>36</v>
      </c>
    </row>
    <row r="678" spans="1:36" ht="30" customHeight="1">
      <c r="A678" s="90"/>
      <c r="B678" s="90"/>
      <c r="C678" s="90"/>
      <c r="D678" s="90"/>
      <c r="E678" s="90"/>
      <c r="F678" s="90"/>
      <c r="G678" s="90"/>
      <c r="H678" s="90"/>
      <c r="I678" s="90"/>
      <c r="J678" s="90"/>
      <c r="K678" s="90"/>
      <c r="L678" s="90"/>
      <c r="M678" s="90"/>
      <c r="N678" s="150"/>
      <c r="O678" s="152"/>
      <c r="P678" s="90"/>
      <c r="Q678" s="140"/>
      <c r="R678" s="90"/>
      <c r="S678" s="140"/>
      <c r="T678" s="90"/>
      <c r="U678" s="140"/>
      <c r="V678" s="90"/>
      <c r="W678" s="140"/>
      <c r="X678" s="90"/>
      <c r="Y678" s="140"/>
      <c r="Z678" s="90"/>
      <c r="AA678" s="140"/>
      <c r="AB678" s="62"/>
      <c r="AC678" s="140"/>
      <c r="AD678" s="62"/>
      <c r="AE678" s="140"/>
      <c r="AF678" s="189" t="str">
        <f t="shared" si="28"/>
        <v/>
      </c>
      <c r="AG678" s="304" t="b">
        <f t="shared" si="27"/>
        <v>0</v>
      </c>
      <c r="AH678" s="9"/>
      <c r="AI678" s="145">
        <f t="shared" si="26"/>
        <v>0</v>
      </c>
      <c r="AJ678" s="147" t="s">
        <v>36</v>
      </c>
    </row>
    <row r="679" spans="1:36" ht="30" customHeight="1">
      <c r="A679" s="90"/>
      <c r="B679" s="90"/>
      <c r="C679" s="90"/>
      <c r="D679" s="90"/>
      <c r="E679" s="90"/>
      <c r="F679" s="90"/>
      <c r="G679" s="90"/>
      <c r="H679" s="90"/>
      <c r="I679" s="90"/>
      <c r="J679" s="90"/>
      <c r="K679" s="90"/>
      <c r="L679" s="90"/>
      <c r="M679" s="90"/>
      <c r="N679" s="150"/>
      <c r="O679" s="152"/>
      <c r="P679" s="90"/>
      <c r="Q679" s="140"/>
      <c r="R679" s="90"/>
      <c r="S679" s="140"/>
      <c r="T679" s="90"/>
      <c r="U679" s="140"/>
      <c r="V679" s="90"/>
      <c r="W679" s="140"/>
      <c r="X679" s="90"/>
      <c r="Y679" s="140"/>
      <c r="Z679" s="90"/>
      <c r="AA679" s="140"/>
      <c r="AB679" s="62"/>
      <c r="AC679" s="140"/>
      <c r="AD679" s="62"/>
      <c r="AE679" s="140"/>
      <c r="AF679" s="189" t="str">
        <f t="shared" si="28"/>
        <v/>
      </c>
      <c r="AG679" s="304" t="b">
        <f t="shared" si="27"/>
        <v>0</v>
      </c>
      <c r="AH679" s="9"/>
      <c r="AI679" s="145">
        <f t="shared" si="26"/>
        <v>0</v>
      </c>
      <c r="AJ679" s="147" t="s">
        <v>36</v>
      </c>
    </row>
    <row r="680" spans="1:36" ht="30" customHeight="1">
      <c r="A680" s="90"/>
      <c r="B680" s="90"/>
      <c r="C680" s="90"/>
      <c r="D680" s="90"/>
      <c r="E680" s="90"/>
      <c r="F680" s="90"/>
      <c r="G680" s="90"/>
      <c r="H680" s="90"/>
      <c r="I680" s="90"/>
      <c r="J680" s="90"/>
      <c r="K680" s="90"/>
      <c r="L680" s="90"/>
      <c r="M680" s="90"/>
      <c r="N680" s="150"/>
      <c r="O680" s="152"/>
      <c r="P680" s="90"/>
      <c r="Q680" s="140"/>
      <c r="R680" s="90"/>
      <c r="S680" s="140"/>
      <c r="T680" s="90"/>
      <c r="U680" s="140"/>
      <c r="V680" s="90"/>
      <c r="W680" s="140"/>
      <c r="X680" s="90"/>
      <c r="Y680" s="140"/>
      <c r="Z680" s="90"/>
      <c r="AA680" s="140"/>
      <c r="AB680" s="62"/>
      <c r="AC680" s="140"/>
      <c r="AD680" s="62"/>
      <c r="AE680" s="140"/>
      <c r="AF680" s="189" t="str">
        <f t="shared" si="28"/>
        <v/>
      </c>
      <c r="AG680" s="304" t="b">
        <f t="shared" si="27"/>
        <v>0</v>
      </c>
      <c r="AH680" s="9"/>
      <c r="AI680" s="145">
        <f t="shared" si="26"/>
        <v>0</v>
      </c>
      <c r="AJ680" s="147" t="s">
        <v>36</v>
      </c>
    </row>
    <row r="681" spans="1:36" ht="30" customHeight="1">
      <c r="A681" s="90"/>
      <c r="B681" s="90"/>
      <c r="C681" s="90"/>
      <c r="D681" s="90"/>
      <c r="E681" s="90"/>
      <c r="F681" s="90"/>
      <c r="G681" s="90"/>
      <c r="H681" s="90"/>
      <c r="I681" s="90"/>
      <c r="J681" s="90"/>
      <c r="K681" s="90"/>
      <c r="L681" s="90"/>
      <c r="M681" s="90"/>
      <c r="N681" s="150"/>
      <c r="O681" s="152"/>
      <c r="P681" s="90"/>
      <c r="Q681" s="140"/>
      <c r="R681" s="90"/>
      <c r="S681" s="140"/>
      <c r="T681" s="90"/>
      <c r="U681" s="140"/>
      <c r="V681" s="90"/>
      <c r="W681" s="140"/>
      <c r="X681" s="90"/>
      <c r="Y681" s="140"/>
      <c r="Z681" s="90"/>
      <c r="AA681" s="140"/>
      <c r="AB681" s="62"/>
      <c r="AC681" s="140"/>
      <c r="AD681" s="62"/>
      <c r="AE681" s="140"/>
      <c r="AF681" s="189" t="str">
        <f t="shared" si="28"/>
        <v/>
      </c>
      <c r="AG681" s="304" t="b">
        <f t="shared" si="27"/>
        <v>0</v>
      </c>
      <c r="AH681" s="9"/>
      <c r="AI681" s="145">
        <f t="shared" si="26"/>
        <v>0</v>
      </c>
      <c r="AJ681" s="147" t="s">
        <v>36</v>
      </c>
    </row>
    <row r="682" spans="1:36" ht="30" customHeight="1">
      <c r="A682" s="90"/>
      <c r="B682" s="90"/>
      <c r="C682" s="90"/>
      <c r="D682" s="90"/>
      <c r="E682" s="90"/>
      <c r="F682" s="90"/>
      <c r="G682" s="90"/>
      <c r="H682" s="90"/>
      <c r="I682" s="90"/>
      <c r="J682" s="90"/>
      <c r="K682" s="90"/>
      <c r="L682" s="90"/>
      <c r="M682" s="90"/>
      <c r="N682" s="150"/>
      <c r="O682" s="152"/>
      <c r="P682" s="90"/>
      <c r="Q682" s="140"/>
      <c r="R682" s="90"/>
      <c r="S682" s="140"/>
      <c r="T682" s="90"/>
      <c r="U682" s="140"/>
      <c r="V682" s="90"/>
      <c r="W682" s="140"/>
      <c r="X682" s="90"/>
      <c r="Y682" s="140"/>
      <c r="Z682" s="90"/>
      <c r="AA682" s="140"/>
      <c r="AB682" s="62"/>
      <c r="AC682" s="140"/>
      <c r="AD682" s="62"/>
      <c r="AE682" s="140"/>
      <c r="AF682" s="189" t="str">
        <f t="shared" si="28"/>
        <v/>
      </c>
      <c r="AG682" s="304" t="b">
        <f t="shared" si="27"/>
        <v>0</v>
      </c>
      <c r="AH682" s="9"/>
      <c r="AI682" s="145">
        <f t="shared" si="26"/>
        <v>0</v>
      </c>
      <c r="AJ682" s="147" t="s">
        <v>36</v>
      </c>
    </row>
    <row r="683" spans="1:36" ht="30" customHeight="1">
      <c r="A683" s="90"/>
      <c r="B683" s="90"/>
      <c r="C683" s="90"/>
      <c r="D683" s="90"/>
      <c r="E683" s="90"/>
      <c r="F683" s="90"/>
      <c r="G683" s="90"/>
      <c r="H683" s="90"/>
      <c r="I683" s="90"/>
      <c r="J683" s="90"/>
      <c r="K683" s="90"/>
      <c r="L683" s="90"/>
      <c r="M683" s="90"/>
      <c r="N683" s="150"/>
      <c r="O683" s="152"/>
      <c r="P683" s="90"/>
      <c r="Q683" s="140"/>
      <c r="R683" s="90"/>
      <c r="S683" s="140"/>
      <c r="T683" s="90"/>
      <c r="U683" s="140"/>
      <c r="V683" s="90"/>
      <c r="W683" s="140"/>
      <c r="X683" s="90"/>
      <c r="Y683" s="140"/>
      <c r="Z683" s="90"/>
      <c r="AA683" s="140"/>
      <c r="AB683" s="62"/>
      <c r="AC683" s="140"/>
      <c r="AD683" s="62"/>
      <c r="AE683" s="140"/>
      <c r="AF683" s="189" t="str">
        <f t="shared" si="28"/>
        <v/>
      </c>
      <c r="AG683" s="304" t="b">
        <f t="shared" si="27"/>
        <v>0</v>
      </c>
      <c r="AH683" s="9"/>
      <c r="AI683" s="145">
        <f t="shared" si="26"/>
        <v>0</v>
      </c>
      <c r="AJ683" s="147" t="s">
        <v>36</v>
      </c>
    </row>
    <row r="684" spans="1:36" ht="30" customHeight="1">
      <c r="A684" s="90"/>
      <c r="B684" s="90"/>
      <c r="C684" s="90"/>
      <c r="D684" s="90"/>
      <c r="E684" s="90"/>
      <c r="F684" s="90"/>
      <c r="G684" s="90"/>
      <c r="H684" s="90"/>
      <c r="I684" s="90"/>
      <c r="J684" s="90"/>
      <c r="K684" s="90"/>
      <c r="L684" s="90"/>
      <c r="M684" s="90"/>
      <c r="N684" s="150"/>
      <c r="O684" s="152"/>
      <c r="P684" s="90"/>
      <c r="Q684" s="140"/>
      <c r="R684" s="90"/>
      <c r="S684" s="140"/>
      <c r="T684" s="90"/>
      <c r="U684" s="140"/>
      <c r="V684" s="90"/>
      <c r="W684" s="140"/>
      <c r="X684" s="90"/>
      <c r="Y684" s="140"/>
      <c r="Z684" s="90"/>
      <c r="AA684" s="140"/>
      <c r="AB684" s="62"/>
      <c r="AC684" s="140"/>
      <c r="AD684" s="62"/>
      <c r="AE684" s="140"/>
      <c r="AF684" s="189" t="str">
        <f t="shared" si="28"/>
        <v/>
      </c>
      <c r="AG684" s="304" t="b">
        <f t="shared" si="27"/>
        <v>0</v>
      </c>
      <c r="AH684" s="9"/>
      <c r="AI684" s="145">
        <f t="shared" si="26"/>
        <v>0</v>
      </c>
      <c r="AJ684" s="147" t="s">
        <v>36</v>
      </c>
    </row>
    <row r="685" spans="1:36" ht="30" customHeight="1">
      <c r="A685" s="90"/>
      <c r="B685" s="90"/>
      <c r="C685" s="90"/>
      <c r="D685" s="90"/>
      <c r="E685" s="90"/>
      <c r="F685" s="90"/>
      <c r="G685" s="90"/>
      <c r="H685" s="90"/>
      <c r="I685" s="90"/>
      <c r="J685" s="90"/>
      <c r="K685" s="90"/>
      <c r="L685" s="90"/>
      <c r="M685" s="90"/>
      <c r="N685" s="150"/>
      <c r="O685" s="152"/>
      <c r="P685" s="90"/>
      <c r="Q685" s="140"/>
      <c r="R685" s="90"/>
      <c r="S685" s="140"/>
      <c r="T685" s="90"/>
      <c r="U685" s="140"/>
      <c r="V685" s="90"/>
      <c r="W685" s="140"/>
      <c r="X685" s="90"/>
      <c r="Y685" s="140"/>
      <c r="Z685" s="90"/>
      <c r="AA685" s="140"/>
      <c r="AB685" s="62"/>
      <c r="AC685" s="140"/>
      <c r="AD685" s="62"/>
      <c r="AE685" s="140"/>
      <c r="AF685" s="189" t="str">
        <f t="shared" si="28"/>
        <v/>
      </c>
      <c r="AG685" s="304" t="b">
        <f t="shared" si="27"/>
        <v>0</v>
      </c>
      <c r="AH685" s="9"/>
      <c r="AI685" s="145">
        <f t="shared" si="26"/>
        <v>0</v>
      </c>
      <c r="AJ685" s="147" t="s">
        <v>36</v>
      </c>
    </row>
    <row r="686" spans="1:36" ht="30" customHeight="1">
      <c r="A686" s="90"/>
      <c r="B686" s="90"/>
      <c r="C686" s="90"/>
      <c r="D686" s="90"/>
      <c r="E686" s="90"/>
      <c r="F686" s="90"/>
      <c r="G686" s="90"/>
      <c r="H686" s="90"/>
      <c r="I686" s="90"/>
      <c r="J686" s="90"/>
      <c r="K686" s="90"/>
      <c r="L686" s="90"/>
      <c r="M686" s="90"/>
      <c r="N686" s="150"/>
      <c r="O686" s="152"/>
      <c r="P686" s="90"/>
      <c r="Q686" s="140"/>
      <c r="R686" s="90"/>
      <c r="S686" s="140"/>
      <c r="T686" s="90"/>
      <c r="U686" s="140"/>
      <c r="V686" s="90"/>
      <c r="W686" s="140"/>
      <c r="X686" s="90"/>
      <c r="Y686" s="140"/>
      <c r="Z686" s="90"/>
      <c r="AA686" s="140"/>
      <c r="AB686" s="62"/>
      <c r="AC686" s="140"/>
      <c r="AD686" s="62"/>
      <c r="AE686" s="140"/>
      <c r="AF686" s="189" t="str">
        <f t="shared" si="28"/>
        <v/>
      </c>
      <c r="AG686" s="304" t="b">
        <f t="shared" si="27"/>
        <v>0</v>
      </c>
      <c r="AH686" s="9"/>
      <c r="AI686" s="145">
        <f t="shared" si="26"/>
        <v>0</v>
      </c>
      <c r="AJ686" s="147" t="s">
        <v>36</v>
      </c>
    </row>
    <row r="687" spans="1:36" ht="30" customHeight="1">
      <c r="A687" s="90"/>
      <c r="B687" s="90"/>
      <c r="C687" s="90"/>
      <c r="D687" s="90"/>
      <c r="E687" s="90"/>
      <c r="F687" s="90"/>
      <c r="G687" s="90"/>
      <c r="H687" s="90"/>
      <c r="I687" s="90"/>
      <c r="J687" s="90"/>
      <c r="K687" s="90"/>
      <c r="L687" s="90"/>
      <c r="M687" s="90"/>
      <c r="N687" s="150"/>
      <c r="O687" s="152"/>
      <c r="P687" s="90"/>
      <c r="Q687" s="140"/>
      <c r="R687" s="90"/>
      <c r="S687" s="140"/>
      <c r="T687" s="90"/>
      <c r="U687" s="140"/>
      <c r="V687" s="90"/>
      <c r="W687" s="140"/>
      <c r="X687" s="90"/>
      <c r="Y687" s="140"/>
      <c r="Z687" s="90"/>
      <c r="AA687" s="140"/>
      <c r="AB687" s="62"/>
      <c r="AC687" s="140"/>
      <c r="AD687" s="62"/>
      <c r="AE687" s="140"/>
      <c r="AF687" s="189" t="str">
        <f t="shared" si="28"/>
        <v/>
      </c>
      <c r="AG687" s="304" t="b">
        <f t="shared" si="27"/>
        <v>0</v>
      </c>
      <c r="AH687" s="9"/>
      <c r="AI687" s="145">
        <f t="shared" si="26"/>
        <v>0</v>
      </c>
      <c r="AJ687" s="147" t="s">
        <v>36</v>
      </c>
    </row>
    <row r="688" spans="1:36" ht="30" customHeight="1">
      <c r="A688" s="90"/>
      <c r="B688" s="90"/>
      <c r="C688" s="90"/>
      <c r="D688" s="90"/>
      <c r="E688" s="90"/>
      <c r="F688" s="90"/>
      <c r="G688" s="90"/>
      <c r="H688" s="90"/>
      <c r="I688" s="90"/>
      <c r="J688" s="90"/>
      <c r="K688" s="90"/>
      <c r="L688" s="90"/>
      <c r="M688" s="90"/>
      <c r="N688" s="150"/>
      <c r="O688" s="152"/>
      <c r="P688" s="90"/>
      <c r="Q688" s="140"/>
      <c r="R688" s="90"/>
      <c r="S688" s="140"/>
      <c r="T688" s="90"/>
      <c r="U688" s="140"/>
      <c r="V688" s="90"/>
      <c r="W688" s="140"/>
      <c r="X688" s="90"/>
      <c r="Y688" s="140"/>
      <c r="Z688" s="90"/>
      <c r="AA688" s="140"/>
      <c r="AB688" s="62"/>
      <c r="AC688" s="140"/>
      <c r="AD688" s="62"/>
      <c r="AE688" s="140"/>
      <c r="AF688" s="189" t="str">
        <f t="shared" si="28"/>
        <v/>
      </c>
      <c r="AG688" s="304" t="b">
        <f t="shared" si="27"/>
        <v>0</v>
      </c>
      <c r="AH688" s="9"/>
      <c r="AI688" s="145">
        <f t="shared" si="26"/>
        <v>0</v>
      </c>
      <c r="AJ688" s="147" t="s">
        <v>36</v>
      </c>
    </row>
    <row r="689" spans="1:36" ht="30" customHeight="1">
      <c r="A689" s="90"/>
      <c r="B689" s="90"/>
      <c r="C689" s="90"/>
      <c r="D689" s="90"/>
      <c r="E689" s="90"/>
      <c r="F689" s="90"/>
      <c r="G689" s="90"/>
      <c r="H689" s="90"/>
      <c r="I689" s="90"/>
      <c r="J689" s="90"/>
      <c r="K689" s="90"/>
      <c r="L689" s="90"/>
      <c r="M689" s="90"/>
      <c r="N689" s="150"/>
      <c r="O689" s="152"/>
      <c r="P689" s="90"/>
      <c r="Q689" s="140"/>
      <c r="R689" s="90"/>
      <c r="S689" s="140"/>
      <c r="T689" s="90"/>
      <c r="U689" s="140"/>
      <c r="V689" s="90"/>
      <c r="W689" s="140"/>
      <c r="X689" s="90"/>
      <c r="Y689" s="140"/>
      <c r="Z689" s="90"/>
      <c r="AA689" s="140"/>
      <c r="AB689" s="62"/>
      <c r="AC689" s="140"/>
      <c r="AD689" s="62"/>
      <c r="AE689" s="140"/>
      <c r="AF689" s="189" t="str">
        <f t="shared" si="28"/>
        <v/>
      </c>
      <c r="AG689" s="304" t="b">
        <f t="shared" si="27"/>
        <v>0</v>
      </c>
      <c r="AH689" s="9"/>
      <c r="AI689" s="145">
        <f t="shared" si="26"/>
        <v>0</v>
      </c>
      <c r="AJ689" s="147" t="s">
        <v>36</v>
      </c>
    </row>
    <row r="690" spans="1:36" ht="30" customHeight="1">
      <c r="A690" s="90"/>
      <c r="B690" s="90"/>
      <c r="C690" s="90"/>
      <c r="D690" s="90"/>
      <c r="E690" s="90"/>
      <c r="F690" s="90"/>
      <c r="G690" s="90"/>
      <c r="H690" s="90"/>
      <c r="I690" s="90"/>
      <c r="J690" s="90"/>
      <c r="K690" s="90"/>
      <c r="L690" s="90"/>
      <c r="M690" s="90"/>
      <c r="N690" s="150"/>
      <c r="O690" s="152"/>
      <c r="P690" s="90"/>
      <c r="Q690" s="140"/>
      <c r="R690" s="90"/>
      <c r="S690" s="140"/>
      <c r="T690" s="90"/>
      <c r="U690" s="140"/>
      <c r="V690" s="90"/>
      <c r="W690" s="140"/>
      <c r="X690" s="90"/>
      <c r="Y690" s="140"/>
      <c r="Z690" s="90"/>
      <c r="AA690" s="140"/>
      <c r="AB690" s="62"/>
      <c r="AC690" s="140"/>
      <c r="AD690" s="62"/>
      <c r="AE690" s="140"/>
      <c r="AF690" s="189" t="str">
        <f t="shared" si="28"/>
        <v/>
      </c>
      <c r="AG690" s="304" t="b">
        <f t="shared" si="27"/>
        <v>0</v>
      </c>
      <c r="AH690" s="9"/>
      <c r="AI690" s="145">
        <f t="shared" si="26"/>
        <v>0</v>
      </c>
      <c r="AJ690" s="147" t="s">
        <v>36</v>
      </c>
    </row>
    <row r="691" spans="1:36" ht="30" customHeight="1">
      <c r="A691" s="90"/>
      <c r="B691" s="90"/>
      <c r="C691" s="90"/>
      <c r="D691" s="90"/>
      <c r="E691" s="90"/>
      <c r="F691" s="90"/>
      <c r="G691" s="90"/>
      <c r="H691" s="90"/>
      <c r="I691" s="90"/>
      <c r="J691" s="90"/>
      <c r="K691" s="90"/>
      <c r="L691" s="90"/>
      <c r="M691" s="90"/>
      <c r="N691" s="150"/>
      <c r="O691" s="152"/>
      <c r="P691" s="90"/>
      <c r="Q691" s="140"/>
      <c r="R691" s="90"/>
      <c r="S691" s="140"/>
      <c r="T691" s="90"/>
      <c r="U691" s="140"/>
      <c r="V691" s="90"/>
      <c r="W691" s="140"/>
      <c r="X691" s="90"/>
      <c r="Y691" s="140"/>
      <c r="Z691" s="90"/>
      <c r="AA691" s="140"/>
      <c r="AB691" s="62"/>
      <c r="AC691" s="140"/>
      <c r="AD691" s="62"/>
      <c r="AE691" s="140"/>
      <c r="AF691" s="189" t="str">
        <f t="shared" si="28"/>
        <v/>
      </c>
      <c r="AG691" s="304" t="b">
        <f t="shared" si="27"/>
        <v>0</v>
      </c>
      <c r="AH691" s="9"/>
      <c r="AI691" s="145">
        <f t="shared" si="26"/>
        <v>0</v>
      </c>
      <c r="AJ691" s="147" t="s">
        <v>36</v>
      </c>
    </row>
    <row r="692" spans="1:36" ht="30" customHeight="1">
      <c r="A692" s="90"/>
      <c r="B692" s="90"/>
      <c r="C692" s="90"/>
      <c r="D692" s="90"/>
      <c r="E692" s="90"/>
      <c r="F692" s="90"/>
      <c r="G692" s="90"/>
      <c r="H692" s="90"/>
      <c r="I692" s="90"/>
      <c r="J692" s="90"/>
      <c r="K692" s="90"/>
      <c r="L692" s="90"/>
      <c r="M692" s="90"/>
      <c r="N692" s="150"/>
      <c r="O692" s="152"/>
      <c r="P692" s="90"/>
      <c r="Q692" s="140"/>
      <c r="R692" s="90"/>
      <c r="S692" s="140"/>
      <c r="T692" s="90"/>
      <c r="U692" s="140"/>
      <c r="V692" s="90"/>
      <c r="W692" s="140"/>
      <c r="X692" s="90"/>
      <c r="Y692" s="140"/>
      <c r="Z692" s="90"/>
      <c r="AA692" s="140"/>
      <c r="AB692" s="62"/>
      <c r="AC692" s="140"/>
      <c r="AD692" s="62"/>
      <c r="AE692" s="140"/>
      <c r="AF692" s="189" t="str">
        <f t="shared" si="28"/>
        <v/>
      </c>
      <c r="AG692" s="304" t="b">
        <f t="shared" si="27"/>
        <v>0</v>
      </c>
      <c r="AH692" s="9"/>
      <c r="AI692" s="145">
        <f t="shared" si="26"/>
        <v>0</v>
      </c>
      <c r="AJ692" s="147" t="s">
        <v>36</v>
      </c>
    </row>
    <row r="693" spans="1:36" ht="30" customHeight="1">
      <c r="A693" s="90"/>
      <c r="B693" s="90"/>
      <c r="C693" s="90"/>
      <c r="D693" s="90"/>
      <c r="E693" s="90"/>
      <c r="F693" s="90"/>
      <c r="G693" s="90"/>
      <c r="H693" s="90"/>
      <c r="I693" s="90"/>
      <c r="J693" s="90"/>
      <c r="K693" s="90"/>
      <c r="L693" s="90"/>
      <c r="M693" s="90"/>
      <c r="N693" s="150"/>
      <c r="O693" s="152"/>
      <c r="P693" s="90"/>
      <c r="Q693" s="140"/>
      <c r="R693" s="90"/>
      <c r="S693" s="140"/>
      <c r="T693" s="90"/>
      <c r="U693" s="140"/>
      <c r="V693" s="90"/>
      <c r="W693" s="140"/>
      <c r="X693" s="90"/>
      <c r="Y693" s="140"/>
      <c r="Z693" s="90"/>
      <c r="AA693" s="140"/>
      <c r="AB693" s="62"/>
      <c r="AC693" s="140"/>
      <c r="AD693" s="62"/>
      <c r="AE693" s="140"/>
      <c r="AF693" s="189" t="str">
        <f t="shared" si="28"/>
        <v/>
      </c>
      <c r="AG693" s="304" t="b">
        <f t="shared" si="27"/>
        <v>0</v>
      </c>
      <c r="AH693" s="9"/>
      <c r="AI693" s="145">
        <f t="shared" si="26"/>
        <v>0</v>
      </c>
      <c r="AJ693" s="147" t="s">
        <v>36</v>
      </c>
    </row>
    <row r="694" spans="1:36" ht="30" customHeight="1">
      <c r="A694" s="90"/>
      <c r="B694" s="90"/>
      <c r="C694" s="90"/>
      <c r="D694" s="90"/>
      <c r="E694" s="90"/>
      <c r="F694" s="90"/>
      <c r="G694" s="90"/>
      <c r="H694" s="90"/>
      <c r="I694" s="90"/>
      <c r="J694" s="90"/>
      <c r="K694" s="90"/>
      <c r="L694" s="90"/>
      <c r="M694" s="90"/>
      <c r="N694" s="150"/>
      <c r="O694" s="152"/>
      <c r="P694" s="90"/>
      <c r="Q694" s="140"/>
      <c r="R694" s="90"/>
      <c r="S694" s="140"/>
      <c r="T694" s="90"/>
      <c r="U694" s="140"/>
      <c r="V694" s="90"/>
      <c r="W694" s="140"/>
      <c r="X694" s="90"/>
      <c r="Y694" s="140"/>
      <c r="Z694" s="90"/>
      <c r="AA694" s="140"/>
      <c r="AB694" s="62"/>
      <c r="AC694" s="140"/>
      <c r="AD694" s="62"/>
      <c r="AE694" s="140"/>
      <c r="AF694" s="189" t="str">
        <f t="shared" si="28"/>
        <v/>
      </c>
      <c r="AG694" s="304" t="b">
        <f t="shared" si="27"/>
        <v>0</v>
      </c>
      <c r="AH694" s="9"/>
      <c r="AI694" s="145">
        <f t="shared" si="26"/>
        <v>0</v>
      </c>
      <c r="AJ694" s="147" t="s">
        <v>36</v>
      </c>
    </row>
    <row r="695" spans="1:36" ht="30" customHeight="1">
      <c r="A695" s="90"/>
      <c r="B695" s="90"/>
      <c r="C695" s="90"/>
      <c r="D695" s="90"/>
      <c r="E695" s="90"/>
      <c r="F695" s="90"/>
      <c r="G695" s="90"/>
      <c r="H695" s="90"/>
      <c r="I695" s="90"/>
      <c r="J695" s="90"/>
      <c r="K695" s="90"/>
      <c r="L695" s="90"/>
      <c r="M695" s="90"/>
      <c r="N695" s="150"/>
      <c r="O695" s="152"/>
      <c r="P695" s="90"/>
      <c r="Q695" s="140"/>
      <c r="R695" s="90"/>
      <c r="S695" s="140"/>
      <c r="T695" s="90"/>
      <c r="U695" s="140"/>
      <c r="V695" s="90"/>
      <c r="W695" s="140"/>
      <c r="X695" s="90"/>
      <c r="Y695" s="140"/>
      <c r="Z695" s="90"/>
      <c r="AA695" s="140"/>
      <c r="AB695" s="62"/>
      <c r="AC695" s="140"/>
      <c r="AD695" s="62"/>
      <c r="AE695" s="140"/>
      <c r="AF695" s="189" t="str">
        <f t="shared" si="28"/>
        <v/>
      </c>
      <c r="AG695" s="304" t="b">
        <f t="shared" si="27"/>
        <v>0</v>
      </c>
      <c r="AH695" s="9"/>
      <c r="AI695" s="145">
        <f t="shared" si="26"/>
        <v>0</v>
      </c>
      <c r="AJ695" s="147" t="s">
        <v>36</v>
      </c>
    </row>
    <row r="696" spans="1:36" ht="30" customHeight="1">
      <c r="A696" s="90"/>
      <c r="B696" s="90"/>
      <c r="C696" s="90"/>
      <c r="D696" s="90"/>
      <c r="E696" s="90"/>
      <c r="F696" s="90"/>
      <c r="G696" s="90"/>
      <c r="H696" s="90"/>
      <c r="I696" s="90"/>
      <c r="J696" s="90"/>
      <c r="K696" s="90"/>
      <c r="L696" s="90"/>
      <c r="M696" s="90"/>
      <c r="N696" s="150"/>
      <c r="O696" s="152"/>
      <c r="P696" s="90"/>
      <c r="Q696" s="140"/>
      <c r="R696" s="90"/>
      <c r="S696" s="140"/>
      <c r="T696" s="90"/>
      <c r="U696" s="140"/>
      <c r="V696" s="90"/>
      <c r="W696" s="140"/>
      <c r="X696" s="90"/>
      <c r="Y696" s="140"/>
      <c r="Z696" s="90"/>
      <c r="AA696" s="140"/>
      <c r="AB696" s="62"/>
      <c r="AC696" s="140"/>
      <c r="AD696" s="62"/>
      <c r="AE696" s="140"/>
      <c r="AF696" s="189" t="str">
        <f t="shared" si="28"/>
        <v/>
      </c>
      <c r="AG696" s="304" t="b">
        <f t="shared" si="27"/>
        <v>0</v>
      </c>
      <c r="AH696" s="9"/>
      <c r="AI696" s="145">
        <f t="shared" ref="AI696:AI759" si="29">E696</f>
        <v>0</v>
      </c>
      <c r="AJ696" s="147" t="s">
        <v>36</v>
      </c>
    </row>
    <row r="697" spans="1:36" ht="30" customHeight="1">
      <c r="A697" s="90"/>
      <c r="B697" s="90"/>
      <c r="C697" s="90"/>
      <c r="D697" s="90"/>
      <c r="E697" s="90"/>
      <c r="F697" s="90"/>
      <c r="G697" s="90"/>
      <c r="H697" s="90"/>
      <c r="I697" s="90"/>
      <c r="J697" s="90"/>
      <c r="K697" s="90"/>
      <c r="L697" s="90"/>
      <c r="M697" s="90"/>
      <c r="N697" s="150"/>
      <c r="O697" s="152"/>
      <c r="P697" s="90"/>
      <c r="Q697" s="140"/>
      <c r="R697" s="90"/>
      <c r="S697" s="140"/>
      <c r="T697" s="90"/>
      <c r="U697" s="140"/>
      <c r="V697" s="90"/>
      <c r="W697" s="140"/>
      <c r="X697" s="90"/>
      <c r="Y697" s="140"/>
      <c r="Z697" s="90"/>
      <c r="AA697" s="140"/>
      <c r="AB697" s="62"/>
      <c r="AC697" s="140"/>
      <c r="AD697" s="62"/>
      <c r="AE697" s="140"/>
      <c r="AF697" s="189" t="str">
        <f t="shared" si="28"/>
        <v/>
      </c>
      <c r="AG697" s="304" t="b">
        <f t="shared" si="27"/>
        <v>0</v>
      </c>
      <c r="AH697" s="9"/>
      <c r="AI697" s="145">
        <f t="shared" si="29"/>
        <v>0</v>
      </c>
      <c r="AJ697" s="147" t="s">
        <v>36</v>
      </c>
    </row>
    <row r="698" spans="1:36" ht="30" customHeight="1">
      <c r="A698" s="90"/>
      <c r="B698" s="90"/>
      <c r="C698" s="90"/>
      <c r="D698" s="90"/>
      <c r="E698" s="90"/>
      <c r="F698" s="90"/>
      <c r="G698" s="90"/>
      <c r="H698" s="90"/>
      <c r="I698" s="90"/>
      <c r="J698" s="90"/>
      <c r="K698" s="90"/>
      <c r="L698" s="90"/>
      <c r="M698" s="90"/>
      <c r="N698" s="150"/>
      <c r="O698" s="152"/>
      <c r="P698" s="90"/>
      <c r="Q698" s="140"/>
      <c r="R698" s="90"/>
      <c r="S698" s="140"/>
      <c r="T698" s="90"/>
      <c r="U698" s="140"/>
      <c r="V698" s="90"/>
      <c r="W698" s="140"/>
      <c r="X698" s="90"/>
      <c r="Y698" s="140"/>
      <c r="Z698" s="90"/>
      <c r="AA698" s="140"/>
      <c r="AB698" s="62"/>
      <c r="AC698" s="140"/>
      <c r="AD698" s="62"/>
      <c r="AE698" s="140"/>
      <c r="AF698" s="189" t="str">
        <f t="shared" si="28"/>
        <v/>
      </c>
      <c r="AG698" s="304" t="b">
        <f t="shared" si="27"/>
        <v>0</v>
      </c>
      <c r="AH698" s="9"/>
      <c r="AI698" s="145">
        <f t="shared" si="29"/>
        <v>0</v>
      </c>
      <c r="AJ698" s="147" t="s">
        <v>36</v>
      </c>
    </row>
    <row r="699" spans="1:36" ht="30" customHeight="1">
      <c r="A699" s="90"/>
      <c r="B699" s="90"/>
      <c r="C699" s="90"/>
      <c r="D699" s="90"/>
      <c r="E699" s="90"/>
      <c r="F699" s="90"/>
      <c r="G699" s="90"/>
      <c r="H699" s="90"/>
      <c r="I699" s="90"/>
      <c r="J699" s="90"/>
      <c r="K699" s="90"/>
      <c r="L699" s="90"/>
      <c r="M699" s="90"/>
      <c r="N699" s="150"/>
      <c r="O699" s="152"/>
      <c r="P699" s="90"/>
      <c r="Q699" s="140"/>
      <c r="R699" s="90"/>
      <c r="S699" s="140"/>
      <c r="T699" s="90"/>
      <c r="U699" s="140"/>
      <c r="V699" s="90"/>
      <c r="W699" s="140"/>
      <c r="X699" s="90"/>
      <c r="Y699" s="140"/>
      <c r="Z699" s="90"/>
      <c r="AA699" s="140"/>
      <c r="AB699" s="62"/>
      <c r="AC699" s="140"/>
      <c r="AD699" s="62"/>
      <c r="AE699" s="140"/>
      <c r="AF699" s="189" t="str">
        <f t="shared" si="28"/>
        <v/>
      </c>
      <c r="AG699" s="304" t="b">
        <f t="shared" si="27"/>
        <v>0</v>
      </c>
      <c r="AH699" s="9"/>
      <c r="AI699" s="145">
        <f t="shared" si="29"/>
        <v>0</v>
      </c>
      <c r="AJ699" s="147" t="s">
        <v>36</v>
      </c>
    </row>
    <row r="700" spans="1:36" ht="30" customHeight="1">
      <c r="A700" s="90"/>
      <c r="B700" s="90"/>
      <c r="C700" s="90"/>
      <c r="D700" s="90"/>
      <c r="E700" s="90"/>
      <c r="F700" s="90"/>
      <c r="G700" s="90"/>
      <c r="H700" s="90"/>
      <c r="I700" s="90"/>
      <c r="J700" s="90"/>
      <c r="K700" s="90"/>
      <c r="L700" s="90"/>
      <c r="M700" s="90"/>
      <c r="N700" s="150"/>
      <c r="O700" s="152"/>
      <c r="P700" s="90"/>
      <c r="Q700" s="140"/>
      <c r="R700" s="90"/>
      <c r="S700" s="140"/>
      <c r="T700" s="90"/>
      <c r="U700" s="140"/>
      <c r="V700" s="90"/>
      <c r="W700" s="140"/>
      <c r="X700" s="90"/>
      <c r="Y700" s="140"/>
      <c r="Z700" s="90"/>
      <c r="AA700" s="140"/>
      <c r="AB700" s="62"/>
      <c r="AC700" s="140"/>
      <c r="AD700" s="62"/>
      <c r="AE700" s="140"/>
      <c r="AF700" s="189" t="str">
        <f t="shared" si="28"/>
        <v/>
      </c>
      <c r="AG700" s="304" t="b">
        <f t="shared" si="27"/>
        <v>0</v>
      </c>
      <c r="AH700" s="9"/>
      <c r="AI700" s="145">
        <f t="shared" si="29"/>
        <v>0</v>
      </c>
      <c r="AJ700" s="147" t="s">
        <v>36</v>
      </c>
    </row>
    <row r="701" spans="1:36" ht="30" customHeight="1">
      <c r="A701" s="90"/>
      <c r="B701" s="90"/>
      <c r="C701" s="90"/>
      <c r="D701" s="90"/>
      <c r="E701" s="90"/>
      <c r="F701" s="90"/>
      <c r="G701" s="90"/>
      <c r="H701" s="90"/>
      <c r="I701" s="90"/>
      <c r="J701" s="90"/>
      <c r="K701" s="90"/>
      <c r="L701" s="90"/>
      <c r="M701" s="90"/>
      <c r="N701" s="150"/>
      <c r="O701" s="152"/>
      <c r="P701" s="90"/>
      <c r="Q701" s="140"/>
      <c r="R701" s="90"/>
      <c r="S701" s="140"/>
      <c r="T701" s="90"/>
      <c r="U701" s="140"/>
      <c r="V701" s="90"/>
      <c r="W701" s="140"/>
      <c r="X701" s="90"/>
      <c r="Y701" s="140"/>
      <c r="Z701" s="90"/>
      <c r="AA701" s="140"/>
      <c r="AB701" s="62"/>
      <c r="AC701" s="140"/>
      <c r="AD701" s="62"/>
      <c r="AE701" s="140"/>
      <c r="AF701" s="189" t="str">
        <f t="shared" si="28"/>
        <v/>
      </c>
      <c r="AG701" s="304" t="b">
        <f t="shared" si="27"/>
        <v>0</v>
      </c>
      <c r="AH701" s="9"/>
      <c r="AI701" s="145">
        <f t="shared" si="29"/>
        <v>0</v>
      </c>
      <c r="AJ701" s="147" t="s">
        <v>36</v>
      </c>
    </row>
    <row r="702" spans="1:36" ht="30" customHeight="1">
      <c r="A702" s="90"/>
      <c r="B702" s="90"/>
      <c r="C702" s="90"/>
      <c r="D702" s="90"/>
      <c r="E702" s="90"/>
      <c r="F702" s="90"/>
      <c r="G702" s="90"/>
      <c r="H702" s="90"/>
      <c r="I702" s="90"/>
      <c r="J702" s="90"/>
      <c r="K702" s="90"/>
      <c r="L702" s="90"/>
      <c r="M702" s="90"/>
      <c r="N702" s="150"/>
      <c r="O702" s="152"/>
      <c r="P702" s="90"/>
      <c r="Q702" s="140"/>
      <c r="R702" s="90"/>
      <c r="S702" s="140"/>
      <c r="T702" s="90"/>
      <c r="U702" s="140"/>
      <c r="V702" s="90"/>
      <c r="W702" s="140"/>
      <c r="X702" s="90"/>
      <c r="Y702" s="140"/>
      <c r="Z702" s="90"/>
      <c r="AA702" s="140"/>
      <c r="AB702" s="62"/>
      <c r="AC702" s="140"/>
      <c r="AD702" s="62"/>
      <c r="AE702" s="140"/>
      <c r="AF702" s="189" t="str">
        <f t="shared" si="28"/>
        <v/>
      </c>
      <c r="AG702" s="304" t="b">
        <f t="shared" si="27"/>
        <v>0</v>
      </c>
      <c r="AH702" s="9"/>
      <c r="AI702" s="145">
        <f t="shared" si="29"/>
        <v>0</v>
      </c>
      <c r="AJ702" s="147" t="s">
        <v>36</v>
      </c>
    </row>
    <row r="703" spans="1:36" ht="30" customHeight="1">
      <c r="A703" s="90"/>
      <c r="B703" s="90"/>
      <c r="C703" s="90"/>
      <c r="D703" s="90"/>
      <c r="E703" s="90"/>
      <c r="F703" s="90"/>
      <c r="G703" s="90"/>
      <c r="H703" s="90"/>
      <c r="I703" s="90"/>
      <c r="J703" s="90"/>
      <c r="K703" s="90"/>
      <c r="L703" s="90"/>
      <c r="M703" s="90"/>
      <c r="N703" s="150"/>
      <c r="O703" s="152"/>
      <c r="P703" s="90"/>
      <c r="Q703" s="140"/>
      <c r="R703" s="90"/>
      <c r="S703" s="140"/>
      <c r="T703" s="90"/>
      <c r="U703" s="140"/>
      <c r="V703" s="90"/>
      <c r="W703" s="140"/>
      <c r="X703" s="90"/>
      <c r="Y703" s="140"/>
      <c r="Z703" s="90"/>
      <c r="AA703" s="140"/>
      <c r="AB703" s="62"/>
      <c r="AC703" s="140"/>
      <c r="AD703" s="62"/>
      <c r="AE703" s="140"/>
      <c r="AF703" s="189" t="str">
        <f t="shared" si="28"/>
        <v/>
      </c>
      <c r="AG703" s="304" t="b">
        <f t="shared" si="27"/>
        <v>0</v>
      </c>
      <c r="AH703" s="9"/>
      <c r="AI703" s="145">
        <f t="shared" si="29"/>
        <v>0</v>
      </c>
      <c r="AJ703" s="147" t="s">
        <v>36</v>
      </c>
    </row>
    <row r="704" spans="1:36" ht="30" customHeight="1">
      <c r="A704" s="90"/>
      <c r="B704" s="90"/>
      <c r="C704" s="90"/>
      <c r="D704" s="90"/>
      <c r="E704" s="90"/>
      <c r="F704" s="90"/>
      <c r="G704" s="90"/>
      <c r="H704" s="90"/>
      <c r="I704" s="90"/>
      <c r="J704" s="90"/>
      <c r="K704" s="90"/>
      <c r="L704" s="90"/>
      <c r="M704" s="90"/>
      <c r="N704" s="150"/>
      <c r="O704" s="152"/>
      <c r="P704" s="90"/>
      <c r="Q704" s="140"/>
      <c r="R704" s="90"/>
      <c r="S704" s="140"/>
      <c r="T704" s="90"/>
      <c r="U704" s="140"/>
      <c r="V704" s="90"/>
      <c r="W704" s="140"/>
      <c r="X704" s="90"/>
      <c r="Y704" s="140"/>
      <c r="Z704" s="90"/>
      <c r="AA704" s="140"/>
      <c r="AB704" s="62"/>
      <c r="AC704" s="140"/>
      <c r="AD704" s="62"/>
      <c r="AE704" s="140"/>
      <c r="AF704" s="189" t="str">
        <f t="shared" si="28"/>
        <v/>
      </c>
      <c r="AG704" s="304" t="b">
        <f t="shared" si="27"/>
        <v>0</v>
      </c>
      <c r="AH704" s="9"/>
      <c r="AI704" s="145">
        <f t="shared" si="29"/>
        <v>0</v>
      </c>
      <c r="AJ704" s="147" t="s">
        <v>36</v>
      </c>
    </row>
    <row r="705" spans="1:36" ht="30" customHeight="1">
      <c r="A705" s="90"/>
      <c r="B705" s="90"/>
      <c r="C705" s="90"/>
      <c r="D705" s="90"/>
      <c r="E705" s="90"/>
      <c r="F705" s="90"/>
      <c r="G705" s="90"/>
      <c r="H705" s="90"/>
      <c r="I705" s="90"/>
      <c r="J705" s="90"/>
      <c r="K705" s="90"/>
      <c r="L705" s="90"/>
      <c r="M705" s="90"/>
      <c r="N705" s="150"/>
      <c r="O705" s="152"/>
      <c r="P705" s="90"/>
      <c r="Q705" s="140"/>
      <c r="R705" s="90"/>
      <c r="S705" s="140"/>
      <c r="T705" s="90"/>
      <c r="U705" s="140"/>
      <c r="V705" s="90"/>
      <c r="W705" s="140"/>
      <c r="X705" s="90"/>
      <c r="Y705" s="140"/>
      <c r="Z705" s="90"/>
      <c r="AA705" s="140"/>
      <c r="AB705" s="62"/>
      <c r="AC705" s="140"/>
      <c r="AD705" s="62"/>
      <c r="AE705" s="140"/>
      <c r="AF705" s="189" t="str">
        <f t="shared" si="28"/>
        <v/>
      </c>
      <c r="AG705" s="304" t="b">
        <f t="shared" si="27"/>
        <v>0</v>
      </c>
      <c r="AH705" s="9"/>
      <c r="AI705" s="145">
        <f t="shared" si="29"/>
        <v>0</v>
      </c>
      <c r="AJ705" s="147" t="s">
        <v>36</v>
      </c>
    </row>
    <row r="706" spans="1:36" ht="30" customHeight="1">
      <c r="A706" s="90"/>
      <c r="B706" s="90"/>
      <c r="C706" s="90"/>
      <c r="D706" s="90"/>
      <c r="E706" s="90"/>
      <c r="F706" s="90"/>
      <c r="G706" s="90"/>
      <c r="H706" s="90"/>
      <c r="I706" s="90"/>
      <c r="J706" s="90"/>
      <c r="K706" s="90"/>
      <c r="L706" s="90"/>
      <c r="M706" s="90"/>
      <c r="N706" s="150"/>
      <c r="O706" s="152"/>
      <c r="P706" s="90"/>
      <c r="Q706" s="140"/>
      <c r="R706" s="90"/>
      <c r="S706" s="140"/>
      <c r="T706" s="90"/>
      <c r="U706" s="140"/>
      <c r="V706" s="90"/>
      <c r="W706" s="140"/>
      <c r="X706" s="90"/>
      <c r="Y706" s="140"/>
      <c r="Z706" s="90"/>
      <c r="AA706" s="140"/>
      <c r="AB706" s="62"/>
      <c r="AC706" s="140"/>
      <c r="AD706" s="62"/>
      <c r="AE706" s="140"/>
      <c r="AF706" s="189" t="str">
        <f t="shared" si="28"/>
        <v/>
      </c>
      <c r="AG706" s="304" t="b">
        <f t="shared" ref="AG706:AG769" si="30">IF(AND(AE706="C",AF706="C"),"UTILIZOU O PDA CORRETAMENTE",IF(AND(AE706="C",AF706="NC"),"UTILIZOU O PDA CORRETAMENTE. NÃO HÁ FOTOS DE TODAS AS ETAPAS",IF(AND(AE706="NC",AF706="NC"),"NÃO UTILIZOU O PDA",IF(AND(AE706="NA",AF706="NA"),"NÃO AVALIADO POR FALHA DE SINCRONISMO"))))</f>
        <v>0</v>
      </c>
      <c r="AH706" s="9"/>
      <c r="AI706" s="145">
        <f t="shared" si="29"/>
        <v>0</v>
      </c>
      <c r="AJ706" s="147" t="s">
        <v>36</v>
      </c>
    </row>
    <row r="707" spans="1:36" ht="30" customHeight="1">
      <c r="A707" s="90"/>
      <c r="B707" s="90"/>
      <c r="C707" s="90"/>
      <c r="D707" s="90"/>
      <c r="E707" s="90"/>
      <c r="F707" s="90"/>
      <c r="G707" s="90"/>
      <c r="H707" s="90"/>
      <c r="I707" s="90"/>
      <c r="J707" s="90"/>
      <c r="K707" s="90"/>
      <c r="L707" s="90"/>
      <c r="M707" s="90"/>
      <c r="N707" s="150"/>
      <c r="O707" s="152"/>
      <c r="P707" s="90"/>
      <c r="Q707" s="140"/>
      <c r="R707" s="90"/>
      <c r="S707" s="140"/>
      <c r="T707" s="90"/>
      <c r="U707" s="140"/>
      <c r="V707" s="90"/>
      <c r="W707" s="140"/>
      <c r="X707" s="90"/>
      <c r="Y707" s="140"/>
      <c r="Z707" s="90"/>
      <c r="AA707" s="140"/>
      <c r="AB707" s="62"/>
      <c r="AC707" s="140"/>
      <c r="AD707" s="62"/>
      <c r="AE707" s="140"/>
      <c r="AF707" s="189" t="str">
        <f t="shared" ref="AF707:AF770" si="31">IF(AND(O707="",Q707="",S707="",U707="",W707="",Y707="",AA707="",AC707=""),"",
IF(OR(    AND(O707&lt;&gt;"NA",O707&lt;&gt;"C",O707&lt;&gt;"NC",O707&lt;&gt;"SF",O707&lt;&gt;""),
    AND(Q707&lt;&gt;"NA",Q707&lt;&gt;"C",Q707&lt;&gt;"NC",Q707&lt;&gt;"SF",Q707&lt;&gt;""),
    AND(S707&lt;&gt;"NA",S707&lt;&gt;"C",S707&lt;&gt;"NC",S707&lt;&gt;"SF",S707&lt;&gt;""),
    AND(U707&lt;&gt;"NA",U707&lt;&gt;"C",U707&lt;&gt;"NC",U707&lt;&gt;"SF",U707&lt;&gt;""),
    AND(W707&lt;&gt;"NA",W707&lt;&gt;"C",W707&lt;&gt;"NC",W707&lt;&gt;"SF",W707&lt;&gt;""),
    AND(Y707&lt;&gt;"NA",Y707&lt;&gt;"C",Y707&lt;&gt;"NC",Y707&lt;&gt;"SF",Y707&lt;&gt;""),
    AND(AA707&lt;&gt;"NA",AA707&lt;&gt;"C",AA707&lt;&gt;"NC",AA707&lt;&gt;"SF",AA707&lt;&gt;""),
    AND(AC707&lt;&gt;"NA",AC707&lt;&gt;"C",AC707&lt;&gt;"NC",AC707&lt;&gt;"SF",AC707&lt;&gt;"")
),"FALSO",
IF(AND(O707="NA",Q707="NA",S707="NA",U707="NA",W707="NA",Y707="NA",AA707="NA",AC707="NA"),"NA",
IF(OR(O707="NC",Q707="NC",S707="NC",U707="NC",W707="NC",Y707="NC",AA707="NC",AC707="NC",
       O707="SF",Q707="SF",S707="SF",U707="SF",W707="SF",Y707="SF",AA707="SF",AC707="SF"),"NC",
IF(SUM(IF(O707="C",1,0),IF(Q707="C",1,0),IF(S707="C",1,0),IF(U707="C",1,0),IF(W707="C",1,0),IF(Y707="C",1,0),IF(AA707="C",1,0),IF(AC707="C",1,0))=1,"C","C")))))</f>
        <v/>
      </c>
      <c r="AG707" s="304" t="b">
        <f t="shared" si="30"/>
        <v>0</v>
      </c>
      <c r="AH707" s="9"/>
      <c r="AI707" s="145">
        <f t="shared" si="29"/>
        <v>0</v>
      </c>
      <c r="AJ707" s="147" t="s">
        <v>36</v>
      </c>
    </row>
    <row r="708" spans="1:36" ht="30" customHeight="1">
      <c r="A708" s="90"/>
      <c r="B708" s="90"/>
      <c r="C708" s="90"/>
      <c r="D708" s="90"/>
      <c r="E708" s="90"/>
      <c r="F708" s="90"/>
      <c r="G708" s="90"/>
      <c r="H708" s="90"/>
      <c r="I708" s="90"/>
      <c r="J708" s="90"/>
      <c r="K708" s="90"/>
      <c r="L708" s="90"/>
      <c r="M708" s="90"/>
      <c r="N708" s="150"/>
      <c r="O708" s="152"/>
      <c r="P708" s="90"/>
      <c r="Q708" s="140"/>
      <c r="R708" s="90"/>
      <c r="S708" s="140"/>
      <c r="T708" s="90"/>
      <c r="U708" s="140"/>
      <c r="V708" s="90"/>
      <c r="W708" s="140"/>
      <c r="X708" s="90"/>
      <c r="Y708" s="140"/>
      <c r="Z708" s="90"/>
      <c r="AA708" s="140"/>
      <c r="AB708" s="62"/>
      <c r="AC708" s="140"/>
      <c r="AD708" s="62"/>
      <c r="AE708" s="140"/>
      <c r="AF708" s="189" t="str">
        <f t="shared" si="31"/>
        <v/>
      </c>
      <c r="AG708" s="304" t="b">
        <f t="shared" si="30"/>
        <v>0</v>
      </c>
      <c r="AH708" s="9"/>
      <c r="AI708" s="145">
        <f t="shared" si="29"/>
        <v>0</v>
      </c>
      <c r="AJ708" s="147" t="s">
        <v>36</v>
      </c>
    </row>
    <row r="709" spans="1:36" ht="30" customHeight="1">
      <c r="A709" s="90"/>
      <c r="B709" s="90"/>
      <c r="C709" s="90"/>
      <c r="D709" s="90"/>
      <c r="E709" s="90"/>
      <c r="F709" s="90"/>
      <c r="G709" s="90"/>
      <c r="H709" s="90"/>
      <c r="I709" s="90"/>
      <c r="J709" s="90"/>
      <c r="K709" s="90"/>
      <c r="L709" s="90"/>
      <c r="M709" s="90"/>
      <c r="N709" s="150"/>
      <c r="O709" s="152"/>
      <c r="P709" s="90"/>
      <c r="Q709" s="140"/>
      <c r="R709" s="90"/>
      <c r="S709" s="140"/>
      <c r="T709" s="90"/>
      <c r="U709" s="140"/>
      <c r="V709" s="90"/>
      <c r="W709" s="140"/>
      <c r="X709" s="90"/>
      <c r="Y709" s="140"/>
      <c r="Z709" s="90"/>
      <c r="AA709" s="140"/>
      <c r="AB709" s="62"/>
      <c r="AC709" s="140"/>
      <c r="AD709" s="62"/>
      <c r="AE709" s="140"/>
      <c r="AF709" s="189" t="str">
        <f t="shared" si="31"/>
        <v/>
      </c>
      <c r="AG709" s="304" t="b">
        <f t="shared" si="30"/>
        <v>0</v>
      </c>
      <c r="AH709" s="9"/>
      <c r="AI709" s="145">
        <f t="shared" si="29"/>
        <v>0</v>
      </c>
      <c r="AJ709" s="147" t="s">
        <v>36</v>
      </c>
    </row>
    <row r="710" spans="1:36" ht="30" customHeight="1">
      <c r="A710" s="90"/>
      <c r="B710" s="90"/>
      <c r="C710" s="90"/>
      <c r="D710" s="90"/>
      <c r="E710" s="90"/>
      <c r="F710" s="90"/>
      <c r="G710" s="90"/>
      <c r="H710" s="90"/>
      <c r="I710" s="90"/>
      <c r="J710" s="90"/>
      <c r="K710" s="90"/>
      <c r="L710" s="90"/>
      <c r="M710" s="90"/>
      <c r="N710" s="150"/>
      <c r="O710" s="152"/>
      <c r="P710" s="90"/>
      <c r="Q710" s="140"/>
      <c r="R710" s="90"/>
      <c r="S710" s="140"/>
      <c r="T710" s="90"/>
      <c r="U710" s="140"/>
      <c r="V710" s="90"/>
      <c r="W710" s="140"/>
      <c r="X710" s="90"/>
      <c r="Y710" s="140"/>
      <c r="Z710" s="90"/>
      <c r="AA710" s="140"/>
      <c r="AB710" s="62"/>
      <c r="AC710" s="140"/>
      <c r="AD710" s="62"/>
      <c r="AE710" s="140"/>
      <c r="AF710" s="189" t="str">
        <f t="shared" si="31"/>
        <v/>
      </c>
      <c r="AG710" s="304" t="b">
        <f t="shared" si="30"/>
        <v>0</v>
      </c>
      <c r="AH710" s="9"/>
      <c r="AI710" s="145">
        <f t="shared" si="29"/>
        <v>0</v>
      </c>
      <c r="AJ710" s="147" t="s">
        <v>36</v>
      </c>
    </row>
    <row r="711" spans="1:36" ht="30" customHeight="1">
      <c r="A711" s="90"/>
      <c r="B711" s="90"/>
      <c r="C711" s="90"/>
      <c r="D711" s="90"/>
      <c r="E711" s="90"/>
      <c r="F711" s="90"/>
      <c r="G711" s="90"/>
      <c r="H711" s="90"/>
      <c r="I711" s="90"/>
      <c r="J711" s="90"/>
      <c r="K711" s="90"/>
      <c r="L711" s="90"/>
      <c r="M711" s="90"/>
      <c r="N711" s="150"/>
      <c r="O711" s="152"/>
      <c r="P711" s="90"/>
      <c r="Q711" s="140"/>
      <c r="R711" s="90"/>
      <c r="S711" s="140"/>
      <c r="T711" s="90"/>
      <c r="U711" s="140"/>
      <c r="V711" s="90"/>
      <c r="W711" s="140"/>
      <c r="X711" s="90"/>
      <c r="Y711" s="140"/>
      <c r="Z711" s="90"/>
      <c r="AA711" s="140"/>
      <c r="AB711" s="62"/>
      <c r="AC711" s="140"/>
      <c r="AD711" s="62"/>
      <c r="AE711" s="140"/>
      <c r="AF711" s="189" t="str">
        <f t="shared" si="31"/>
        <v/>
      </c>
      <c r="AG711" s="304" t="b">
        <f t="shared" si="30"/>
        <v>0</v>
      </c>
      <c r="AH711" s="9"/>
      <c r="AI711" s="145">
        <f t="shared" si="29"/>
        <v>0</v>
      </c>
      <c r="AJ711" s="147" t="s">
        <v>36</v>
      </c>
    </row>
    <row r="712" spans="1:36" ht="30" customHeight="1">
      <c r="A712" s="90"/>
      <c r="B712" s="90"/>
      <c r="C712" s="90"/>
      <c r="D712" s="90"/>
      <c r="E712" s="90"/>
      <c r="F712" s="90"/>
      <c r="G712" s="90"/>
      <c r="H712" s="90"/>
      <c r="I712" s="90"/>
      <c r="J712" s="90"/>
      <c r="K712" s="90"/>
      <c r="L712" s="90"/>
      <c r="M712" s="90"/>
      <c r="N712" s="150"/>
      <c r="O712" s="152"/>
      <c r="P712" s="90"/>
      <c r="Q712" s="140"/>
      <c r="R712" s="90"/>
      <c r="S712" s="140"/>
      <c r="T712" s="90"/>
      <c r="U712" s="140"/>
      <c r="V712" s="90"/>
      <c r="W712" s="140"/>
      <c r="X712" s="90"/>
      <c r="Y712" s="140"/>
      <c r="Z712" s="90"/>
      <c r="AA712" s="140"/>
      <c r="AB712" s="62"/>
      <c r="AC712" s="140"/>
      <c r="AD712" s="62"/>
      <c r="AE712" s="140"/>
      <c r="AF712" s="189" t="str">
        <f t="shared" si="31"/>
        <v/>
      </c>
      <c r="AG712" s="304" t="b">
        <f t="shared" si="30"/>
        <v>0</v>
      </c>
      <c r="AH712" s="9"/>
      <c r="AI712" s="145">
        <f t="shared" si="29"/>
        <v>0</v>
      </c>
      <c r="AJ712" s="147" t="s">
        <v>36</v>
      </c>
    </row>
    <row r="713" spans="1:36" ht="30" customHeight="1">
      <c r="A713" s="90"/>
      <c r="B713" s="90"/>
      <c r="C713" s="90"/>
      <c r="D713" s="90"/>
      <c r="E713" s="90"/>
      <c r="F713" s="90"/>
      <c r="G713" s="90"/>
      <c r="H713" s="90"/>
      <c r="I713" s="90"/>
      <c r="J713" s="90"/>
      <c r="K713" s="90"/>
      <c r="L713" s="90"/>
      <c r="M713" s="90"/>
      <c r="N713" s="150"/>
      <c r="O713" s="152"/>
      <c r="P713" s="90"/>
      <c r="Q713" s="140"/>
      <c r="R713" s="90"/>
      <c r="S713" s="140"/>
      <c r="T713" s="90"/>
      <c r="U713" s="140"/>
      <c r="V713" s="90"/>
      <c r="W713" s="140"/>
      <c r="X713" s="90"/>
      <c r="Y713" s="140"/>
      <c r="Z713" s="90"/>
      <c r="AA713" s="140"/>
      <c r="AB713" s="62"/>
      <c r="AC713" s="140"/>
      <c r="AD713" s="62"/>
      <c r="AE713" s="140"/>
      <c r="AF713" s="189" t="str">
        <f t="shared" si="31"/>
        <v/>
      </c>
      <c r="AG713" s="304" t="b">
        <f t="shared" si="30"/>
        <v>0</v>
      </c>
      <c r="AH713" s="9"/>
      <c r="AI713" s="145">
        <f t="shared" si="29"/>
        <v>0</v>
      </c>
      <c r="AJ713" s="147" t="s">
        <v>36</v>
      </c>
    </row>
    <row r="714" spans="1:36" ht="30" customHeight="1">
      <c r="A714" s="90"/>
      <c r="B714" s="90"/>
      <c r="C714" s="90"/>
      <c r="D714" s="90"/>
      <c r="E714" s="90"/>
      <c r="F714" s="90"/>
      <c r="G714" s="90"/>
      <c r="H714" s="90"/>
      <c r="I714" s="90"/>
      <c r="J714" s="90"/>
      <c r="K714" s="90"/>
      <c r="L714" s="90"/>
      <c r="M714" s="90"/>
      <c r="N714" s="150"/>
      <c r="O714" s="152"/>
      <c r="P714" s="90"/>
      <c r="Q714" s="140"/>
      <c r="R714" s="90"/>
      <c r="S714" s="140"/>
      <c r="T714" s="90"/>
      <c r="U714" s="140"/>
      <c r="V714" s="90"/>
      <c r="W714" s="140"/>
      <c r="X714" s="90"/>
      <c r="Y714" s="140"/>
      <c r="Z714" s="90"/>
      <c r="AA714" s="140"/>
      <c r="AB714" s="62"/>
      <c r="AC714" s="140"/>
      <c r="AD714" s="62"/>
      <c r="AE714" s="140"/>
      <c r="AF714" s="189" t="str">
        <f t="shared" si="31"/>
        <v/>
      </c>
      <c r="AG714" s="304" t="b">
        <f t="shared" si="30"/>
        <v>0</v>
      </c>
      <c r="AH714" s="9"/>
      <c r="AI714" s="145">
        <f t="shared" si="29"/>
        <v>0</v>
      </c>
      <c r="AJ714" s="147" t="s">
        <v>36</v>
      </c>
    </row>
    <row r="715" spans="1:36" ht="30" customHeight="1">
      <c r="A715" s="90"/>
      <c r="B715" s="90"/>
      <c r="C715" s="90"/>
      <c r="D715" s="90"/>
      <c r="E715" s="90"/>
      <c r="F715" s="90"/>
      <c r="G715" s="90"/>
      <c r="H715" s="90"/>
      <c r="I715" s="90"/>
      <c r="J715" s="90"/>
      <c r="K715" s="90"/>
      <c r="L715" s="90"/>
      <c r="M715" s="90"/>
      <c r="N715" s="150"/>
      <c r="O715" s="152"/>
      <c r="P715" s="90"/>
      <c r="Q715" s="140"/>
      <c r="R715" s="90"/>
      <c r="S715" s="140"/>
      <c r="T715" s="90"/>
      <c r="U715" s="140"/>
      <c r="V715" s="90"/>
      <c r="W715" s="140"/>
      <c r="X715" s="90"/>
      <c r="Y715" s="140"/>
      <c r="Z715" s="90"/>
      <c r="AA715" s="140"/>
      <c r="AB715" s="62"/>
      <c r="AC715" s="140"/>
      <c r="AD715" s="62"/>
      <c r="AE715" s="140"/>
      <c r="AF715" s="189" t="str">
        <f t="shared" si="31"/>
        <v/>
      </c>
      <c r="AG715" s="304" t="b">
        <f t="shared" si="30"/>
        <v>0</v>
      </c>
      <c r="AH715" s="9"/>
      <c r="AI715" s="145">
        <f t="shared" si="29"/>
        <v>0</v>
      </c>
      <c r="AJ715" s="147" t="s">
        <v>36</v>
      </c>
    </row>
    <row r="716" spans="1:36" ht="30" customHeight="1">
      <c r="A716" s="90"/>
      <c r="B716" s="90"/>
      <c r="C716" s="90"/>
      <c r="D716" s="90"/>
      <c r="E716" s="90"/>
      <c r="F716" s="90"/>
      <c r="G716" s="90"/>
      <c r="H716" s="90"/>
      <c r="I716" s="90"/>
      <c r="J716" s="90"/>
      <c r="K716" s="90"/>
      <c r="L716" s="90"/>
      <c r="M716" s="90"/>
      <c r="N716" s="150"/>
      <c r="O716" s="152"/>
      <c r="P716" s="90"/>
      <c r="Q716" s="140"/>
      <c r="R716" s="90"/>
      <c r="S716" s="140"/>
      <c r="T716" s="90"/>
      <c r="U716" s="140"/>
      <c r="V716" s="90"/>
      <c r="W716" s="140"/>
      <c r="X716" s="90"/>
      <c r="Y716" s="140"/>
      <c r="Z716" s="90"/>
      <c r="AA716" s="140"/>
      <c r="AB716" s="62"/>
      <c r="AC716" s="140"/>
      <c r="AD716" s="62"/>
      <c r="AE716" s="140"/>
      <c r="AF716" s="189" t="str">
        <f t="shared" si="31"/>
        <v/>
      </c>
      <c r="AG716" s="304" t="b">
        <f t="shared" si="30"/>
        <v>0</v>
      </c>
      <c r="AH716" s="9"/>
      <c r="AI716" s="145">
        <f t="shared" si="29"/>
        <v>0</v>
      </c>
      <c r="AJ716" s="147" t="s">
        <v>36</v>
      </c>
    </row>
    <row r="717" spans="1:36" ht="30" customHeight="1">
      <c r="A717" s="90"/>
      <c r="B717" s="90"/>
      <c r="C717" s="90"/>
      <c r="D717" s="90"/>
      <c r="E717" s="90"/>
      <c r="F717" s="90"/>
      <c r="G717" s="90"/>
      <c r="H717" s="90"/>
      <c r="I717" s="90"/>
      <c r="J717" s="90"/>
      <c r="K717" s="90"/>
      <c r="L717" s="90"/>
      <c r="M717" s="90"/>
      <c r="N717" s="150"/>
      <c r="O717" s="152"/>
      <c r="P717" s="90"/>
      <c r="Q717" s="140"/>
      <c r="R717" s="90"/>
      <c r="S717" s="140"/>
      <c r="T717" s="90"/>
      <c r="U717" s="140"/>
      <c r="V717" s="90"/>
      <c r="W717" s="140"/>
      <c r="X717" s="90"/>
      <c r="Y717" s="140"/>
      <c r="Z717" s="90"/>
      <c r="AA717" s="140"/>
      <c r="AB717" s="62"/>
      <c r="AC717" s="140"/>
      <c r="AD717" s="62"/>
      <c r="AE717" s="140"/>
      <c r="AF717" s="189" t="str">
        <f t="shared" si="31"/>
        <v/>
      </c>
      <c r="AG717" s="304" t="b">
        <f t="shared" si="30"/>
        <v>0</v>
      </c>
      <c r="AH717" s="9"/>
      <c r="AI717" s="145">
        <f t="shared" si="29"/>
        <v>0</v>
      </c>
      <c r="AJ717" s="147" t="s">
        <v>36</v>
      </c>
    </row>
    <row r="718" spans="1:36" ht="30" customHeight="1">
      <c r="A718" s="90"/>
      <c r="B718" s="90"/>
      <c r="C718" s="90"/>
      <c r="D718" s="90"/>
      <c r="E718" s="90"/>
      <c r="F718" s="90"/>
      <c r="G718" s="90"/>
      <c r="H718" s="90"/>
      <c r="I718" s="90"/>
      <c r="J718" s="90"/>
      <c r="K718" s="90"/>
      <c r="L718" s="90"/>
      <c r="M718" s="90"/>
      <c r="N718" s="150"/>
      <c r="O718" s="152"/>
      <c r="P718" s="90"/>
      <c r="Q718" s="140"/>
      <c r="R718" s="90"/>
      <c r="S718" s="140"/>
      <c r="T718" s="90"/>
      <c r="U718" s="140"/>
      <c r="V718" s="90"/>
      <c r="W718" s="140"/>
      <c r="X718" s="90"/>
      <c r="Y718" s="140"/>
      <c r="Z718" s="90"/>
      <c r="AA718" s="140"/>
      <c r="AB718" s="62"/>
      <c r="AC718" s="140"/>
      <c r="AD718" s="62"/>
      <c r="AE718" s="140"/>
      <c r="AF718" s="189" t="str">
        <f t="shared" si="31"/>
        <v/>
      </c>
      <c r="AG718" s="304" t="b">
        <f t="shared" si="30"/>
        <v>0</v>
      </c>
      <c r="AH718" s="9"/>
      <c r="AI718" s="145">
        <f t="shared" si="29"/>
        <v>0</v>
      </c>
      <c r="AJ718" s="147" t="s">
        <v>36</v>
      </c>
    </row>
    <row r="719" spans="1:36" ht="30" customHeight="1">
      <c r="A719" s="90"/>
      <c r="B719" s="90"/>
      <c r="C719" s="90"/>
      <c r="D719" s="90"/>
      <c r="E719" s="90"/>
      <c r="F719" s="90"/>
      <c r="G719" s="90"/>
      <c r="H719" s="90"/>
      <c r="I719" s="90"/>
      <c r="J719" s="90"/>
      <c r="K719" s="90"/>
      <c r="L719" s="90"/>
      <c r="M719" s="90"/>
      <c r="N719" s="150"/>
      <c r="O719" s="152"/>
      <c r="P719" s="90"/>
      <c r="Q719" s="140"/>
      <c r="R719" s="90"/>
      <c r="S719" s="140"/>
      <c r="T719" s="90"/>
      <c r="U719" s="140"/>
      <c r="V719" s="90"/>
      <c r="W719" s="140"/>
      <c r="X719" s="90"/>
      <c r="Y719" s="140"/>
      <c r="Z719" s="90"/>
      <c r="AA719" s="140"/>
      <c r="AB719" s="62"/>
      <c r="AC719" s="140"/>
      <c r="AD719" s="62"/>
      <c r="AE719" s="140"/>
      <c r="AF719" s="189" t="str">
        <f t="shared" si="31"/>
        <v/>
      </c>
      <c r="AG719" s="304" t="b">
        <f t="shared" si="30"/>
        <v>0</v>
      </c>
      <c r="AH719" s="9"/>
      <c r="AI719" s="145">
        <f t="shared" si="29"/>
        <v>0</v>
      </c>
      <c r="AJ719" s="147" t="s">
        <v>36</v>
      </c>
    </row>
    <row r="720" spans="1:36" ht="30" customHeight="1">
      <c r="A720" s="90"/>
      <c r="B720" s="90"/>
      <c r="C720" s="90"/>
      <c r="D720" s="90"/>
      <c r="E720" s="90"/>
      <c r="F720" s="90"/>
      <c r="G720" s="90"/>
      <c r="H720" s="90"/>
      <c r="I720" s="90"/>
      <c r="J720" s="90"/>
      <c r="K720" s="90"/>
      <c r="L720" s="90"/>
      <c r="M720" s="90"/>
      <c r="N720" s="150"/>
      <c r="O720" s="152"/>
      <c r="P720" s="90"/>
      <c r="Q720" s="140"/>
      <c r="R720" s="90"/>
      <c r="S720" s="140"/>
      <c r="T720" s="90"/>
      <c r="U720" s="140"/>
      <c r="V720" s="90"/>
      <c r="W720" s="140"/>
      <c r="X720" s="90"/>
      <c r="Y720" s="140"/>
      <c r="Z720" s="90"/>
      <c r="AA720" s="140"/>
      <c r="AB720" s="62"/>
      <c r="AC720" s="140"/>
      <c r="AD720" s="62"/>
      <c r="AE720" s="140"/>
      <c r="AF720" s="189" t="str">
        <f t="shared" si="31"/>
        <v/>
      </c>
      <c r="AG720" s="304" t="b">
        <f t="shared" si="30"/>
        <v>0</v>
      </c>
      <c r="AH720" s="9"/>
      <c r="AI720" s="145">
        <f t="shared" si="29"/>
        <v>0</v>
      </c>
      <c r="AJ720" s="147" t="s">
        <v>36</v>
      </c>
    </row>
    <row r="721" spans="1:36" ht="30" customHeight="1">
      <c r="A721" s="90"/>
      <c r="B721" s="90"/>
      <c r="C721" s="90"/>
      <c r="D721" s="90"/>
      <c r="E721" s="90"/>
      <c r="F721" s="90"/>
      <c r="G721" s="90"/>
      <c r="H721" s="90"/>
      <c r="I721" s="90"/>
      <c r="J721" s="90"/>
      <c r="K721" s="90"/>
      <c r="L721" s="90"/>
      <c r="M721" s="90"/>
      <c r="N721" s="150"/>
      <c r="O721" s="152"/>
      <c r="P721" s="90"/>
      <c r="Q721" s="140"/>
      <c r="R721" s="90"/>
      <c r="S721" s="140"/>
      <c r="T721" s="90"/>
      <c r="U721" s="140"/>
      <c r="V721" s="90"/>
      <c r="W721" s="140"/>
      <c r="X721" s="90"/>
      <c r="Y721" s="140"/>
      <c r="Z721" s="90"/>
      <c r="AA721" s="140"/>
      <c r="AB721" s="62"/>
      <c r="AC721" s="140"/>
      <c r="AD721" s="62"/>
      <c r="AE721" s="140"/>
      <c r="AF721" s="189" t="str">
        <f t="shared" si="31"/>
        <v/>
      </c>
      <c r="AG721" s="304" t="b">
        <f t="shared" si="30"/>
        <v>0</v>
      </c>
      <c r="AH721" s="9"/>
      <c r="AI721" s="145">
        <f t="shared" si="29"/>
        <v>0</v>
      </c>
      <c r="AJ721" s="147" t="s">
        <v>36</v>
      </c>
    </row>
    <row r="722" spans="1:36" ht="30" customHeight="1">
      <c r="A722" s="90"/>
      <c r="B722" s="90"/>
      <c r="C722" s="90"/>
      <c r="D722" s="90"/>
      <c r="E722" s="90"/>
      <c r="F722" s="90"/>
      <c r="G722" s="90"/>
      <c r="H722" s="90"/>
      <c r="I722" s="90"/>
      <c r="J722" s="90"/>
      <c r="K722" s="90"/>
      <c r="L722" s="90"/>
      <c r="M722" s="90"/>
      <c r="N722" s="150"/>
      <c r="O722" s="152"/>
      <c r="P722" s="90"/>
      <c r="Q722" s="140"/>
      <c r="R722" s="90"/>
      <c r="S722" s="140"/>
      <c r="T722" s="90"/>
      <c r="U722" s="140"/>
      <c r="V722" s="90"/>
      <c r="W722" s="140"/>
      <c r="X722" s="90"/>
      <c r="Y722" s="140"/>
      <c r="Z722" s="90"/>
      <c r="AA722" s="140"/>
      <c r="AB722" s="62"/>
      <c r="AC722" s="140"/>
      <c r="AD722" s="62"/>
      <c r="AE722" s="140"/>
      <c r="AF722" s="189" t="str">
        <f t="shared" si="31"/>
        <v/>
      </c>
      <c r="AG722" s="304" t="b">
        <f t="shared" si="30"/>
        <v>0</v>
      </c>
      <c r="AH722" s="9"/>
      <c r="AI722" s="145">
        <f t="shared" si="29"/>
        <v>0</v>
      </c>
      <c r="AJ722" s="147" t="s">
        <v>36</v>
      </c>
    </row>
    <row r="723" spans="1:36" ht="30" customHeight="1">
      <c r="A723" s="90"/>
      <c r="B723" s="90"/>
      <c r="C723" s="90"/>
      <c r="D723" s="90"/>
      <c r="E723" s="90"/>
      <c r="F723" s="90"/>
      <c r="G723" s="90"/>
      <c r="H723" s="90"/>
      <c r="I723" s="90"/>
      <c r="J723" s="90"/>
      <c r="K723" s="90"/>
      <c r="L723" s="90"/>
      <c r="M723" s="90"/>
      <c r="N723" s="150"/>
      <c r="O723" s="152"/>
      <c r="P723" s="90"/>
      <c r="Q723" s="140"/>
      <c r="R723" s="90"/>
      <c r="S723" s="140"/>
      <c r="T723" s="90"/>
      <c r="U723" s="140"/>
      <c r="V723" s="90"/>
      <c r="W723" s="140"/>
      <c r="X723" s="90"/>
      <c r="Y723" s="140"/>
      <c r="Z723" s="90"/>
      <c r="AA723" s="140"/>
      <c r="AB723" s="62"/>
      <c r="AC723" s="140"/>
      <c r="AD723" s="62"/>
      <c r="AE723" s="140"/>
      <c r="AF723" s="189" t="str">
        <f t="shared" si="31"/>
        <v/>
      </c>
      <c r="AG723" s="304" t="b">
        <f t="shared" si="30"/>
        <v>0</v>
      </c>
      <c r="AH723" s="9"/>
      <c r="AI723" s="145">
        <f t="shared" si="29"/>
        <v>0</v>
      </c>
      <c r="AJ723" s="147" t="s">
        <v>36</v>
      </c>
    </row>
    <row r="724" spans="1:36" ht="30" customHeight="1">
      <c r="A724" s="90"/>
      <c r="B724" s="90"/>
      <c r="C724" s="90"/>
      <c r="D724" s="90"/>
      <c r="E724" s="90"/>
      <c r="F724" s="90"/>
      <c r="G724" s="90"/>
      <c r="H724" s="90"/>
      <c r="I724" s="90"/>
      <c r="J724" s="90"/>
      <c r="K724" s="90"/>
      <c r="L724" s="90"/>
      <c r="M724" s="90"/>
      <c r="N724" s="150"/>
      <c r="O724" s="152"/>
      <c r="P724" s="90"/>
      <c r="Q724" s="140"/>
      <c r="R724" s="90"/>
      <c r="S724" s="140"/>
      <c r="T724" s="90"/>
      <c r="U724" s="140"/>
      <c r="V724" s="90"/>
      <c r="W724" s="140"/>
      <c r="X724" s="90"/>
      <c r="Y724" s="140"/>
      <c r="Z724" s="90"/>
      <c r="AA724" s="140"/>
      <c r="AB724" s="62"/>
      <c r="AC724" s="140"/>
      <c r="AD724" s="62"/>
      <c r="AE724" s="140"/>
      <c r="AF724" s="189" t="str">
        <f t="shared" si="31"/>
        <v/>
      </c>
      <c r="AG724" s="304" t="b">
        <f t="shared" si="30"/>
        <v>0</v>
      </c>
      <c r="AH724" s="9"/>
      <c r="AI724" s="145">
        <f t="shared" si="29"/>
        <v>0</v>
      </c>
      <c r="AJ724" s="147" t="s">
        <v>36</v>
      </c>
    </row>
    <row r="725" spans="1:36" ht="30" customHeight="1">
      <c r="A725" s="90"/>
      <c r="B725" s="90"/>
      <c r="C725" s="90"/>
      <c r="D725" s="90"/>
      <c r="E725" s="90"/>
      <c r="F725" s="90"/>
      <c r="G725" s="90"/>
      <c r="H725" s="90"/>
      <c r="I725" s="90"/>
      <c r="J725" s="90"/>
      <c r="K725" s="90"/>
      <c r="L725" s="90"/>
      <c r="M725" s="90"/>
      <c r="N725" s="150"/>
      <c r="O725" s="152"/>
      <c r="P725" s="90"/>
      <c r="Q725" s="140"/>
      <c r="R725" s="90"/>
      <c r="S725" s="140"/>
      <c r="T725" s="90"/>
      <c r="U725" s="140"/>
      <c r="V725" s="90"/>
      <c r="W725" s="140"/>
      <c r="X725" s="90"/>
      <c r="Y725" s="140"/>
      <c r="Z725" s="90"/>
      <c r="AA725" s="140"/>
      <c r="AB725" s="62"/>
      <c r="AC725" s="140"/>
      <c r="AD725" s="62"/>
      <c r="AE725" s="140"/>
      <c r="AF725" s="189" t="str">
        <f t="shared" si="31"/>
        <v/>
      </c>
      <c r="AG725" s="304" t="b">
        <f t="shared" si="30"/>
        <v>0</v>
      </c>
      <c r="AH725" s="9"/>
      <c r="AI725" s="145">
        <f t="shared" si="29"/>
        <v>0</v>
      </c>
      <c r="AJ725" s="147" t="s">
        <v>36</v>
      </c>
    </row>
    <row r="726" spans="1:36" ht="30" customHeight="1">
      <c r="A726" s="90"/>
      <c r="B726" s="90"/>
      <c r="C726" s="90"/>
      <c r="D726" s="90"/>
      <c r="E726" s="90"/>
      <c r="F726" s="90"/>
      <c r="G726" s="90"/>
      <c r="H726" s="90"/>
      <c r="I726" s="90"/>
      <c r="J726" s="90"/>
      <c r="K726" s="90"/>
      <c r="L726" s="90"/>
      <c r="M726" s="90"/>
      <c r="N726" s="150"/>
      <c r="O726" s="152"/>
      <c r="P726" s="90"/>
      <c r="Q726" s="140"/>
      <c r="R726" s="90"/>
      <c r="S726" s="140"/>
      <c r="T726" s="90"/>
      <c r="U726" s="140"/>
      <c r="V726" s="90"/>
      <c r="W726" s="140"/>
      <c r="X726" s="90"/>
      <c r="Y726" s="140"/>
      <c r="Z726" s="90"/>
      <c r="AA726" s="140"/>
      <c r="AB726" s="62"/>
      <c r="AC726" s="140"/>
      <c r="AD726" s="62"/>
      <c r="AE726" s="140"/>
      <c r="AF726" s="189" t="str">
        <f t="shared" si="31"/>
        <v/>
      </c>
      <c r="AG726" s="304" t="b">
        <f t="shared" si="30"/>
        <v>0</v>
      </c>
      <c r="AH726" s="9"/>
      <c r="AI726" s="145">
        <f t="shared" si="29"/>
        <v>0</v>
      </c>
      <c r="AJ726" s="147" t="s">
        <v>36</v>
      </c>
    </row>
    <row r="727" spans="1:36" ht="30" customHeight="1">
      <c r="A727" s="90"/>
      <c r="B727" s="90"/>
      <c r="C727" s="90"/>
      <c r="D727" s="90"/>
      <c r="E727" s="90"/>
      <c r="F727" s="90"/>
      <c r="G727" s="90"/>
      <c r="H727" s="90"/>
      <c r="I727" s="90"/>
      <c r="J727" s="90"/>
      <c r="K727" s="90"/>
      <c r="L727" s="90"/>
      <c r="M727" s="90"/>
      <c r="N727" s="150"/>
      <c r="O727" s="152"/>
      <c r="P727" s="90"/>
      <c r="Q727" s="140"/>
      <c r="R727" s="90"/>
      <c r="S727" s="140"/>
      <c r="T727" s="90"/>
      <c r="U727" s="140"/>
      <c r="V727" s="90"/>
      <c r="W727" s="140"/>
      <c r="X727" s="90"/>
      <c r="Y727" s="140"/>
      <c r="Z727" s="90"/>
      <c r="AA727" s="140"/>
      <c r="AB727" s="62"/>
      <c r="AC727" s="140"/>
      <c r="AD727" s="62"/>
      <c r="AE727" s="140"/>
      <c r="AF727" s="189" t="str">
        <f t="shared" si="31"/>
        <v/>
      </c>
      <c r="AG727" s="304" t="b">
        <f t="shared" si="30"/>
        <v>0</v>
      </c>
      <c r="AH727" s="9"/>
      <c r="AI727" s="145">
        <f t="shared" si="29"/>
        <v>0</v>
      </c>
      <c r="AJ727" s="147" t="s">
        <v>36</v>
      </c>
    </row>
    <row r="728" spans="1:36" ht="30" customHeight="1">
      <c r="A728" s="90"/>
      <c r="B728" s="90"/>
      <c r="C728" s="90"/>
      <c r="D728" s="90"/>
      <c r="E728" s="90"/>
      <c r="F728" s="90"/>
      <c r="G728" s="90"/>
      <c r="H728" s="90"/>
      <c r="I728" s="90"/>
      <c r="J728" s="90"/>
      <c r="K728" s="90"/>
      <c r="L728" s="90"/>
      <c r="M728" s="90"/>
      <c r="N728" s="150"/>
      <c r="O728" s="152"/>
      <c r="P728" s="90"/>
      <c r="Q728" s="140"/>
      <c r="R728" s="90"/>
      <c r="S728" s="140"/>
      <c r="T728" s="90"/>
      <c r="U728" s="140"/>
      <c r="V728" s="90"/>
      <c r="W728" s="140"/>
      <c r="X728" s="90"/>
      <c r="Y728" s="140"/>
      <c r="Z728" s="90"/>
      <c r="AA728" s="140"/>
      <c r="AB728" s="62"/>
      <c r="AC728" s="140"/>
      <c r="AD728" s="62"/>
      <c r="AE728" s="140"/>
      <c r="AF728" s="189" t="str">
        <f t="shared" si="31"/>
        <v/>
      </c>
      <c r="AG728" s="304" t="b">
        <f t="shared" si="30"/>
        <v>0</v>
      </c>
      <c r="AH728" s="9"/>
      <c r="AI728" s="145">
        <f t="shared" si="29"/>
        <v>0</v>
      </c>
      <c r="AJ728" s="147" t="s">
        <v>36</v>
      </c>
    </row>
    <row r="729" spans="1:36" ht="30" customHeight="1">
      <c r="A729" s="90"/>
      <c r="B729" s="90"/>
      <c r="C729" s="90"/>
      <c r="D729" s="90"/>
      <c r="E729" s="90"/>
      <c r="F729" s="90"/>
      <c r="G729" s="90"/>
      <c r="H729" s="90"/>
      <c r="I729" s="90"/>
      <c r="J729" s="90"/>
      <c r="K729" s="90"/>
      <c r="L729" s="90"/>
      <c r="M729" s="90"/>
      <c r="N729" s="150"/>
      <c r="O729" s="152"/>
      <c r="P729" s="90"/>
      <c r="Q729" s="140"/>
      <c r="R729" s="90"/>
      <c r="S729" s="140"/>
      <c r="T729" s="90"/>
      <c r="U729" s="140"/>
      <c r="V729" s="90"/>
      <c r="W729" s="140"/>
      <c r="X729" s="90"/>
      <c r="Y729" s="140"/>
      <c r="Z729" s="90"/>
      <c r="AA729" s="140"/>
      <c r="AB729" s="62"/>
      <c r="AC729" s="140"/>
      <c r="AD729" s="62"/>
      <c r="AE729" s="140"/>
      <c r="AF729" s="189" t="str">
        <f t="shared" si="31"/>
        <v/>
      </c>
      <c r="AG729" s="304" t="b">
        <f t="shared" si="30"/>
        <v>0</v>
      </c>
      <c r="AH729" s="9"/>
      <c r="AI729" s="145">
        <f t="shared" si="29"/>
        <v>0</v>
      </c>
      <c r="AJ729" s="147" t="s">
        <v>36</v>
      </c>
    </row>
    <row r="730" spans="1:36" ht="30" customHeight="1">
      <c r="A730" s="90"/>
      <c r="B730" s="90"/>
      <c r="C730" s="90"/>
      <c r="D730" s="90"/>
      <c r="E730" s="90"/>
      <c r="F730" s="90"/>
      <c r="G730" s="90"/>
      <c r="H730" s="90"/>
      <c r="I730" s="90"/>
      <c r="J730" s="90"/>
      <c r="K730" s="90"/>
      <c r="L730" s="90"/>
      <c r="M730" s="90"/>
      <c r="N730" s="150"/>
      <c r="O730" s="152"/>
      <c r="P730" s="90"/>
      <c r="Q730" s="140"/>
      <c r="R730" s="90"/>
      <c r="S730" s="140"/>
      <c r="T730" s="90"/>
      <c r="U730" s="140"/>
      <c r="V730" s="90"/>
      <c r="W730" s="140"/>
      <c r="X730" s="90"/>
      <c r="Y730" s="140"/>
      <c r="Z730" s="90"/>
      <c r="AA730" s="140"/>
      <c r="AB730" s="62"/>
      <c r="AC730" s="140"/>
      <c r="AD730" s="62"/>
      <c r="AE730" s="140"/>
      <c r="AF730" s="189" t="str">
        <f t="shared" si="31"/>
        <v/>
      </c>
      <c r="AG730" s="304" t="b">
        <f t="shared" si="30"/>
        <v>0</v>
      </c>
      <c r="AH730" s="9"/>
      <c r="AI730" s="145">
        <f t="shared" si="29"/>
        <v>0</v>
      </c>
      <c r="AJ730" s="147" t="s">
        <v>36</v>
      </c>
    </row>
    <row r="731" spans="1:36" ht="30" customHeight="1">
      <c r="A731" s="90"/>
      <c r="B731" s="90"/>
      <c r="C731" s="90"/>
      <c r="D731" s="90"/>
      <c r="E731" s="90"/>
      <c r="F731" s="90"/>
      <c r="G731" s="90"/>
      <c r="H731" s="90"/>
      <c r="I731" s="90"/>
      <c r="J731" s="90"/>
      <c r="K731" s="90"/>
      <c r="L731" s="90"/>
      <c r="M731" s="90"/>
      <c r="N731" s="150"/>
      <c r="O731" s="152"/>
      <c r="P731" s="90"/>
      <c r="Q731" s="140"/>
      <c r="R731" s="90"/>
      <c r="S731" s="140"/>
      <c r="T731" s="90"/>
      <c r="U731" s="140"/>
      <c r="V731" s="90"/>
      <c r="W731" s="140"/>
      <c r="X731" s="90"/>
      <c r="Y731" s="140"/>
      <c r="Z731" s="90"/>
      <c r="AA731" s="140"/>
      <c r="AB731" s="62"/>
      <c r="AC731" s="140"/>
      <c r="AD731" s="62"/>
      <c r="AE731" s="140"/>
      <c r="AF731" s="189" t="str">
        <f t="shared" si="31"/>
        <v/>
      </c>
      <c r="AG731" s="304" t="b">
        <f t="shared" si="30"/>
        <v>0</v>
      </c>
      <c r="AH731" s="9"/>
      <c r="AI731" s="145">
        <f t="shared" si="29"/>
        <v>0</v>
      </c>
      <c r="AJ731" s="147" t="s">
        <v>36</v>
      </c>
    </row>
    <row r="732" spans="1:36" ht="30" customHeight="1">
      <c r="A732" s="90"/>
      <c r="B732" s="90"/>
      <c r="C732" s="90"/>
      <c r="D732" s="90"/>
      <c r="E732" s="90"/>
      <c r="F732" s="90"/>
      <c r="G732" s="90"/>
      <c r="H732" s="90"/>
      <c r="I732" s="90"/>
      <c r="J732" s="90"/>
      <c r="K732" s="90"/>
      <c r="L732" s="90"/>
      <c r="M732" s="90"/>
      <c r="N732" s="150"/>
      <c r="O732" s="152"/>
      <c r="P732" s="90"/>
      <c r="Q732" s="140"/>
      <c r="R732" s="90"/>
      <c r="S732" s="140"/>
      <c r="T732" s="90"/>
      <c r="U732" s="140"/>
      <c r="V732" s="90"/>
      <c r="W732" s="140"/>
      <c r="X732" s="90"/>
      <c r="Y732" s="140"/>
      <c r="Z732" s="90"/>
      <c r="AA732" s="140"/>
      <c r="AB732" s="62"/>
      <c r="AC732" s="140"/>
      <c r="AD732" s="62"/>
      <c r="AE732" s="140"/>
      <c r="AF732" s="189" t="str">
        <f t="shared" si="31"/>
        <v/>
      </c>
      <c r="AG732" s="304" t="b">
        <f t="shared" si="30"/>
        <v>0</v>
      </c>
      <c r="AH732" s="9"/>
      <c r="AI732" s="145">
        <f t="shared" si="29"/>
        <v>0</v>
      </c>
      <c r="AJ732" s="147" t="s">
        <v>36</v>
      </c>
    </row>
    <row r="733" spans="1:36" ht="30" customHeight="1">
      <c r="A733" s="90"/>
      <c r="B733" s="90"/>
      <c r="C733" s="90"/>
      <c r="D733" s="90"/>
      <c r="E733" s="90"/>
      <c r="F733" s="90"/>
      <c r="G733" s="90"/>
      <c r="H733" s="90"/>
      <c r="I733" s="90"/>
      <c r="J733" s="90"/>
      <c r="K733" s="90"/>
      <c r="L733" s="90"/>
      <c r="M733" s="90"/>
      <c r="N733" s="150"/>
      <c r="O733" s="152"/>
      <c r="P733" s="90"/>
      <c r="Q733" s="140"/>
      <c r="R733" s="90"/>
      <c r="S733" s="140"/>
      <c r="T733" s="90"/>
      <c r="U733" s="140"/>
      <c r="V733" s="90"/>
      <c r="W733" s="140"/>
      <c r="X733" s="90"/>
      <c r="Y733" s="140"/>
      <c r="Z733" s="90"/>
      <c r="AA733" s="140"/>
      <c r="AB733" s="62"/>
      <c r="AC733" s="140"/>
      <c r="AD733" s="62"/>
      <c r="AE733" s="140"/>
      <c r="AF733" s="189" t="str">
        <f t="shared" si="31"/>
        <v/>
      </c>
      <c r="AG733" s="304" t="b">
        <f t="shared" si="30"/>
        <v>0</v>
      </c>
      <c r="AH733" s="9"/>
      <c r="AI733" s="145">
        <f t="shared" si="29"/>
        <v>0</v>
      </c>
      <c r="AJ733" s="147" t="s">
        <v>36</v>
      </c>
    </row>
    <row r="734" spans="1:36" ht="30" customHeight="1">
      <c r="A734" s="90"/>
      <c r="B734" s="90"/>
      <c r="C734" s="90"/>
      <c r="D734" s="90"/>
      <c r="E734" s="90"/>
      <c r="F734" s="90"/>
      <c r="G734" s="90"/>
      <c r="H734" s="90"/>
      <c r="I734" s="90"/>
      <c r="J734" s="90"/>
      <c r="K734" s="90"/>
      <c r="L734" s="90"/>
      <c r="M734" s="90"/>
      <c r="N734" s="150"/>
      <c r="O734" s="152"/>
      <c r="P734" s="90"/>
      <c r="Q734" s="140"/>
      <c r="R734" s="90"/>
      <c r="S734" s="140"/>
      <c r="T734" s="90"/>
      <c r="U734" s="140"/>
      <c r="V734" s="90"/>
      <c r="W734" s="140"/>
      <c r="X734" s="90"/>
      <c r="Y734" s="140"/>
      <c r="Z734" s="90"/>
      <c r="AA734" s="140"/>
      <c r="AB734" s="62"/>
      <c r="AC734" s="140"/>
      <c r="AD734" s="62"/>
      <c r="AE734" s="140"/>
      <c r="AF734" s="189" t="str">
        <f t="shared" si="31"/>
        <v/>
      </c>
      <c r="AG734" s="304" t="b">
        <f t="shared" si="30"/>
        <v>0</v>
      </c>
      <c r="AH734" s="9"/>
      <c r="AI734" s="145">
        <f t="shared" si="29"/>
        <v>0</v>
      </c>
      <c r="AJ734" s="147" t="s">
        <v>36</v>
      </c>
    </row>
    <row r="735" spans="1:36" ht="30" customHeight="1">
      <c r="A735" s="90"/>
      <c r="B735" s="90"/>
      <c r="C735" s="90"/>
      <c r="D735" s="90"/>
      <c r="E735" s="90"/>
      <c r="F735" s="90"/>
      <c r="G735" s="90"/>
      <c r="H735" s="90"/>
      <c r="I735" s="90"/>
      <c r="J735" s="90"/>
      <c r="K735" s="90"/>
      <c r="L735" s="90"/>
      <c r="M735" s="90"/>
      <c r="N735" s="150"/>
      <c r="O735" s="152"/>
      <c r="P735" s="90"/>
      <c r="Q735" s="140"/>
      <c r="R735" s="90"/>
      <c r="S735" s="140"/>
      <c r="T735" s="90"/>
      <c r="U735" s="140"/>
      <c r="V735" s="90"/>
      <c r="W735" s="140"/>
      <c r="X735" s="90"/>
      <c r="Y735" s="140"/>
      <c r="Z735" s="90"/>
      <c r="AA735" s="140"/>
      <c r="AB735" s="62"/>
      <c r="AC735" s="140"/>
      <c r="AD735" s="62"/>
      <c r="AE735" s="140"/>
      <c r="AF735" s="189" t="str">
        <f t="shared" si="31"/>
        <v/>
      </c>
      <c r="AG735" s="304" t="b">
        <f t="shared" si="30"/>
        <v>0</v>
      </c>
      <c r="AH735" s="9"/>
      <c r="AI735" s="145">
        <f t="shared" si="29"/>
        <v>0</v>
      </c>
      <c r="AJ735" s="147" t="s">
        <v>36</v>
      </c>
    </row>
    <row r="736" spans="1:36" ht="30" customHeight="1">
      <c r="A736" s="90"/>
      <c r="B736" s="90"/>
      <c r="C736" s="90"/>
      <c r="D736" s="90"/>
      <c r="E736" s="90"/>
      <c r="F736" s="90"/>
      <c r="G736" s="90"/>
      <c r="H736" s="90"/>
      <c r="I736" s="90"/>
      <c r="J736" s="90"/>
      <c r="K736" s="90"/>
      <c r="L736" s="90"/>
      <c r="M736" s="90"/>
      <c r="N736" s="150"/>
      <c r="O736" s="152"/>
      <c r="P736" s="90"/>
      <c r="Q736" s="140"/>
      <c r="R736" s="90"/>
      <c r="S736" s="140"/>
      <c r="T736" s="90"/>
      <c r="U736" s="140"/>
      <c r="V736" s="90"/>
      <c r="W736" s="140"/>
      <c r="X736" s="90"/>
      <c r="Y736" s="140"/>
      <c r="Z736" s="90"/>
      <c r="AA736" s="140"/>
      <c r="AB736" s="62"/>
      <c r="AC736" s="140"/>
      <c r="AD736" s="62"/>
      <c r="AE736" s="140"/>
      <c r="AF736" s="189" t="str">
        <f t="shared" si="31"/>
        <v/>
      </c>
      <c r="AG736" s="304" t="b">
        <f t="shared" si="30"/>
        <v>0</v>
      </c>
      <c r="AH736" s="9"/>
      <c r="AI736" s="145">
        <f t="shared" si="29"/>
        <v>0</v>
      </c>
      <c r="AJ736" s="147" t="s">
        <v>36</v>
      </c>
    </row>
    <row r="737" spans="1:36" ht="30" customHeight="1">
      <c r="A737" s="90"/>
      <c r="B737" s="90"/>
      <c r="C737" s="90"/>
      <c r="D737" s="90"/>
      <c r="E737" s="90"/>
      <c r="F737" s="90"/>
      <c r="G737" s="90"/>
      <c r="H737" s="90"/>
      <c r="I737" s="90"/>
      <c r="J737" s="90"/>
      <c r="K737" s="90"/>
      <c r="L737" s="90"/>
      <c r="M737" s="90"/>
      <c r="N737" s="150"/>
      <c r="O737" s="152"/>
      <c r="P737" s="90"/>
      <c r="Q737" s="140"/>
      <c r="R737" s="90"/>
      <c r="S737" s="140"/>
      <c r="T737" s="90"/>
      <c r="U737" s="140"/>
      <c r="V737" s="90"/>
      <c r="W737" s="140"/>
      <c r="X737" s="90"/>
      <c r="Y737" s="140"/>
      <c r="Z737" s="90"/>
      <c r="AA737" s="140"/>
      <c r="AB737" s="62"/>
      <c r="AC737" s="140"/>
      <c r="AD737" s="62"/>
      <c r="AE737" s="140"/>
      <c r="AF737" s="189" t="str">
        <f t="shared" si="31"/>
        <v/>
      </c>
      <c r="AG737" s="304" t="b">
        <f t="shared" si="30"/>
        <v>0</v>
      </c>
      <c r="AH737" s="9"/>
      <c r="AI737" s="145">
        <f t="shared" si="29"/>
        <v>0</v>
      </c>
      <c r="AJ737" s="147" t="s">
        <v>36</v>
      </c>
    </row>
    <row r="738" spans="1:36" ht="30" customHeight="1">
      <c r="A738" s="90"/>
      <c r="B738" s="90"/>
      <c r="C738" s="90"/>
      <c r="D738" s="90"/>
      <c r="E738" s="90"/>
      <c r="F738" s="90"/>
      <c r="G738" s="90"/>
      <c r="H738" s="90"/>
      <c r="I738" s="90"/>
      <c r="J738" s="90"/>
      <c r="K738" s="90"/>
      <c r="L738" s="90"/>
      <c r="M738" s="90"/>
      <c r="N738" s="150"/>
      <c r="O738" s="152"/>
      <c r="P738" s="90"/>
      <c r="Q738" s="140"/>
      <c r="R738" s="90"/>
      <c r="S738" s="140"/>
      <c r="T738" s="90"/>
      <c r="U738" s="140"/>
      <c r="V738" s="90"/>
      <c r="W738" s="140"/>
      <c r="X738" s="90"/>
      <c r="Y738" s="140"/>
      <c r="Z738" s="90"/>
      <c r="AA738" s="140"/>
      <c r="AB738" s="62"/>
      <c r="AC738" s="140"/>
      <c r="AD738" s="62"/>
      <c r="AE738" s="140"/>
      <c r="AF738" s="189" t="str">
        <f t="shared" si="31"/>
        <v/>
      </c>
      <c r="AG738" s="304" t="b">
        <f t="shared" si="30"/>
        <v>0</v>
      </c>
      <c r="AH738" s="9"/>
      <c r="AI738" s="145">
        <f t="shared" si="29"/>
        <v>0</v>
      </c>
      <c r="AJ738" s="147" t="s">
        <v>36</v>
      </c>
    </row>
    <row r="739" spans="1:36" ht="30" customHeight="1">
      <c r="A739" s="90"/>
      <c r="B739" s="90"/>
      <c r="C739" s="90"/>
      <c r="D739" s="90"/>
      <c r="E739" s="90"/>
      <c r="F739" s="90"/>
      <c r="G739" s="90"/>
      <c r="H739" s="90"/>
      <c r="I739" s="90"/>
      <c r="J739" s="90"/>
      <c r="K739" s="90"/>
      <c r="L739" s="90"/>
      <c r="M739" s="90"/>
      <c r="N739" s="150"/>
      <c r="O739" s="152"/>
      <c r="P739" s="90"/>
      <c r="Q739" s="140"/>
      <c r="R739" s="90"/>
      <c r="S739" s="140"/>
      <c r="T739" s="90"/>
      <c r="U739" s="140"/>
      <c r="V739" s="90"/>
      <c r="W739" s="140"/>
      <c r="X739" s="90"/>
      <c r="Y739" s="140"/>
      <c r="Z739" s="90"/>
      <c r="AA739" s="140"/>
      <c r="AB739" s="62"/>
      <c r="AC739" s="140"/>
      <c r="AD739" s="62"/>
      <c r="AE739" s="140"/>
      <c r="AF739" s="189" t="str">
        <f t="shared" si="31"/>
        <v/>
      </c>
      <c r="AG739" s="304" t="b">
        <f t="shared" si="30"/>
        <v>0</v>
      </c>
      <c r="AH739" s="9"/>
      <c r="AI739" s="145">
        <f t="shared" si="29"/>
        <v>0</v>
      </c>
      <c r="AJ739" s="147" t="s">
        <v>36</v>
      </c>
    </row>
    <row r="740" spans="1:36" ht="30" customHeight="1">
      <c r="A740" s="90"/>
      <c r="B740" s="90"/>
      <c r="C740" s="90"/>
      <c r="D740" s="90"/>
      <c r="E740" s="90"/>
      <c r="F740" s="90"/>
      <c r="G740" s="90"/>
      <c r="H740" s="90"/>
      <c r="I740" s="90"/>
      <c r="J740" s="90"/>
      <c r="K740" s="90"/>
      <c r="L740" s="90"/>
      <c r="M740" s="90"/>
      <c r="N740" s="150"/>
      <c r="O740" s="152"/>
      <c r="P740" s="90"/>
      <c r="Q740" s="140"/>
      <c r="R740" s="90"/>
      <c r="S740" s="140"/>
      <c r="T740" s="90"/>
      <c r="U740" s="140"/>
      <c r="V740" s="90"/>
      <c r="W740" s="140"/>
      <c r="X740" s="90"/>
      <c r="Y740" s="140"/>
      <c r="Z740" s="90"/>
      <c r="AA740" s="140"/>
      <c r="AB740" s="62"/>
      <c r="AC740" s="140"/>
      <c r="AD740" s="62"/>
      <c r="AE740" s="140"/>
      <c r="AF740" s="189" t="str">
        <f t="shared" si="31"/>
        <v/>
      </c>
      <c r="AG740" s="304" t="b">
        <f t="shared" si="30"/>
        <v>0</v>
      </c>
      <c r="AH740" s="9"/>
      <c r="AI740" s="145">
        <f t="shared" si="29"/>
        <v>0</v>
      </c>
      <c r="AJ740" s="147" t="s">
        <v>36</v>
      </c>
    </row>
    <row r="741" spans="1:36" ht="30" customHeight="1">
      <c r="A741" s="90"/>
      <c r="B741" s="90"/>
      <c r="C741" s="90"/>
      <c r="D741" s="90"/>
      <c r="E741" s="90"/>
      <c r="F741" s="90"/>
      <c r="G741" s="90"/>
      <c r="H741" s="90"/>
      <c r="I741" s="90"/>
      <c r="J741" s="90"/>
      <c r="K741" s="90"/>
      <c r="L741" s="90"/>
      <c r="M741" s="90"/>
      <c r="N741" s="150"/>
      <c r="O741" s="152"/>
      <c r="P741" s="90"/>
      <c r="Q741" s="140"/>
      <c r="R741" s="90"/>
      <c r="S741" s="140"/>
      <c r="T741" s="90"/>
      <c r="U741" s="140"/>
      <c r="V741" s="90"/>
      <c r="W741" s="140"/>
      <c r="X741" s="90"/>
      <c r="Y741" s="140"/>
      <c r="Z741" s="90"/>
      <c r="AA741" s="140"/>
      <c r="AB741" s="62"/>
      <c r="AC741" s="140"/>
      <c r="AD741" s="62"/>
      <c r="AE741" s="140"/>
      <c r="AF741" s="189" t="str">
        <f t="shared" si="31"/>
        <v/>
      </c>
      <c r="AG741" s="304" t="b">
        <f t="shared" si="30"/>
        <v>0</v>
      </c>
      <c r="AH741" s="9"/>
      <c r="AI741" s="145">
        <f t="shared" si="29"/>
        <v>0</v>
      </c>
      <c r="AJ741" s="147" t="s">
        <v>36</v>
      </c>
    </row>
    <row r="742" spans="1:36" ht="30" customHeight="1">
      <c r="A742" s="90"/>
      <c r="B742" s="90"/>
      <c r="C742" s="90"/>
      <c r="D742" s="90"/>
      <c r="E742" s="90"/>
      <c r="F742" s="90"/>
      <c r="G742" s="90"/>
      <c r="H742" s="90"/>
      <c r="I742" s="90"/>
      <c r="J742" s="90"/>
      <c r="K742" s="90"/>
      <c r="L742" s="90"/>
      <c r="M742" s="90"/>
      <c r="N742" s="150"/>
      <c r="O742" s="152"/>
      <c r="P742" s="90"/>
      <c r="Q742" s="140"/>
      <c r="R742" s="90"/>
      <c r="S742" s="140"/>
      <c r="T742" s="90"/>
      <c r="U742" s="140"/>
      <c r="V742" s="90"/>
      <c r="W742" s="140"/>
      <c r="X742" s="90"/>
      <c r="Y742" s="140"/>
      <c r="Z742" s="90"/>
      <c r="AA742" s="140"/>
      <c r="AB742" s="62"/>
      <c r="AC742" s="140"/>
      <c r="AD742" s="62"/>
      <c r="AE742" s="140"/>
      <c r="AF742" s="189" t="str">
        <f t="shared" si="31"/>
        <v/>
      </c>
      <c r="AG742" s="304" t="b">
        <f t="shared" si="30"/>
        <v>0</v>
      </c>
      <c r="AH742" s="9"/>
      <c r="AI742" s="145">
        <f t="shared" si="29"/>
        <v>0</v>
      </c>
      <c r="AJ742" s="147" t="s">
        <v>36</v>
      </c>
    </row>
    <row r="743" spans="1:36" ht="30" customHeight="1">
      <c r="A743" s="90"/>
      <c r="B743" s="90"/>
      <c r="C743" s="90"/>
      <c r="D743" s="90"/>
      <c r="E743" s="90"/>
      <c r="F743" s="90"/>
      <c r="G743" s="90"/>
      <c r="H743" s="90"/>
      <c r="I743" s="90"/>
      <c r="J743" s="90"/>
      <c r="K743" s="90"/>
      <c r="L743" s="90"/>
      <c r="M743" s="90"/>
      <c r="N743" s="150"/>
      <c r="O743" s="152"/>
      <c r="P743" s="90"/>
      <c r="Q743" s="140"/>
      <c r="R743" s="90"/>
      <c r="S743" s="140"/>
      <c r="T743" s="90"/>
      <c r="U743" s="140"/>
      <c r="V743" s="90"/>
      <c r="W743" s="140"/>
      <c r="X743" s="90"/>
      <c r="Y743" s="140"/>
      <c r="Z743" s="90"/>
      <c r="AA743" s="140"/>
      <c r="AB743" s="62"/>
      <c r="AC743" s="140"/>
      <c r="AD743" s="62"/>
      <c r="AE743" s="140"/>
      <c r="AF743" s="189" t="str">
        <f t="shared" si="31"/>
        <v/>
      </c>
      <c r="AG743" s="304" t="b">
        <f t="shared" si="30"/>
        <v>0</v>
      </c>
      <c r="AH743" s="9"/>
      <c r="AI743" s="145">
        <f t="shared" si="29"/>
        <v>0</v>
      </c>
      <c r="AJ743" s="147" t="s">
        <v>36</v>
      </c>
    </row>
    <row r="744" spans="1:36" ht="30" customHeight="1">
      <c r="A744" s="90"/>
      <c r="B744" s="90"/>
      <c r="C744" s="90"/>
      <c r="D744" s="90"/>
      <c r="E744" s="90"/>
      <c r="F744" s="90"/>
      <c r="G744" s="90"/>
      <c r="H744" s="90"/>
      <c r="I744" s="90"/>
      <c r="J744" s="90"/>
      <c r="K744" s="90"/>
      <c r="L744" s="90"/>
      <c r="M744" s="90"/>
      <c r="N744" s="150"/>
      <c r="O744" s="152"/>
      <c r="P744" s="90"/>
      <c r="Q744" s="140"/>
      <c r="R744" s="90"/>
      <c r="S744" s="140"/>
      <c r="T744" s="90"/>
      <c r="U744" s="140"/>
      <c r="V744" s="90"/>
      <c r="W744" s="140"/>
      <c r="X744" s="90"/>
      <c r="Y744" s="140"/>
      <c r="Z744" s="90"/>
      <c r="AA744" s="140"/>
      <c r="AB744" s="62"/>
      <c r="AC744" s="140"/>
      <c r="AD744" s="62"/>
      <c r="AE744" s="140"/>
      <c r="AF744" s="189" t="str">
        <f t="shared" si="31"/>
        <v/>
      </c>
      <c r="AG744" s="304" t="b">
        <f t="shared" si="30"/>
        <v>0</v>
      </c>
      <c r="AH744" s="9"/>
      <c r="AI744" s="145">
        <f t="shared" si="29"/>
        <v>0</v>
      </c>
      <c r="AJ744" s="147" t="s">
        <v>36</v>
      </c>
    </row>
    <row r="745" spans="1:36" ht="30" customHeight="1">
      <c r="A745" s="90"/>
      <c r="B745" s="90"/>
      <c r="C745" s="90"/>
      <c r="D745" s="90"/>
      <c r="E745" s="90"/>
      <c r="F745" s="90"/>
      <c r="G745" s="90"/>
      <c r="H745" s="90"/>
      <c r="I745" s="90"/>
      <c r="J745" s="90"/>
      <c r="K745" s="90"/>
      <c r="L745" s="90"/>
      <c r="M745" s="90"/>
      <c r="N745" s="150"/>
      <c r="O745" s="152"/>
      <c r="P745" s="90"/>
      <c r="Q745" s="140"/>
      <c r="R745" s="90"/>
      <c r="S745" s="140"/>
      <c r="T745" s="90"/>
      <c r="U745" s="140"/>
      <c r="V745" s="90"/>
      <c r="W745" s="140"/>
      <c r="X745" s="90"/>
      <c r="Y745" s="140"/>
      <c r="Z745" s="90"/>
      <c r="AA745" s="140"/>
      <c r="AB745" s="62"/>
      <c r="AC745" s="140"/>
      <c r="AD745" s="62"/>
      <c r="AE745" s="140"/>
      <c r="AF745" s="189" t="str">
        <f t="shared" si="31"/>
        <v/>
      </c>
      <c r="AG745" s="304" t="b">
        <f t="shared" si="30"/>
        <v>0</v>
      </c>
      <c r="AH745" s="9"/>
      <c r="AI745" s="145">
        <f t="shared" si="29"/>
        <v>0</v>
      </c>
      <c r="AJ745" s="147" t="s">
        <v>36</v>
      </c>
    </row>
    <row r="746" spans="1:36" ht="30" customHeight="1">
      <c r="A746" s="90"/>
      <c r="B746" s="90"/>
      <c r="C746" s="90"/>
      <c r="D746" s="90"/>
      <c r="E746" s="90"/>
      <c r="F746" s="90"/>
      <c r="G746" s="90"/>
      <c r="H746" s="90"/>
      <c r="I746" s="90"/>
      <c r="J746" s="90"/>
      <c r="K746" s="90"/>
      <c r="L746" s="90"/>
      <c r="M746" s="90"/>
      <c r="N746" s="150"/>
      <c r="O746" s="152"/>
      <c r="P746" s="90"/>
      <c r="Q746" s="140"/>
      <c r="R746" s="90"/>
      <c r="S746" s="140"/>
      <c r="T746" s="90"/>
      <c r="U746" s="140"/>
      <c r="V746" s="90"/>
      <c r="W746" s="140"/>
      <c r="X746" s="90"/>
      <c r="Y746" s="140"/>
      <c r="Z746" s="90"/>
      <c r="AA746" s="140"/>
      <c r="AB746" s="62"/>
      <c r="AC746" s="140"/>
      <c r="AD746" s="62"/>
      <c r="AE746" s="140"/>
      <c r="AF746" s="189" t="str">
        <f t="shared" si="31"/>
        <v/>
      </c>
      <c r="AG746" s="304" t="b">
        <f t="shared" si="30"/>
        <v>0</v>
      </c>
      <c r="AH746" s="9"/>
      <c r="AI746" s="145">
        <f t="shared" si="29"/>
        <v>0</v>
      </c>
      <c r="AJ746" s="147" t="s">
        <v>36</v>
      </c>
    </row>
    <row r="747" spans="1:36" ht="30" customHeight="1">
      <c r="A747" s="90"/>
      <c r="B747" s="90"/>
      <c r="C747" s="90"/>
      <c r="D747" s="90"/>
      <c r="E747" s="90"/>
      <c r="F747" s="90"/>
      <c r="G747" s="90"/>
      <c r="H747" s="90"/>
      <c r="I747" s="90"/>
      <c r="J747" s="90"/>
      <c r="K747" s="90"/>
      <c r="L747" s="90"/>
      <c r="M747" s="90"/>
      <c r="N747" s="150"/>
      <c r="O747" s="152"/>
      <c r="P747" s="90"/>
      <c r="Q747" s="140"/>
      <c r="R747" s="90"/>
      <c r="S747" s="140"/>
      <c r="T747" s="90"/>
      <c r="U747" s="140"/>
      <c r="V747" s="90"/>
      <c r="W747" s="140"/>
      <c r="X747" s="90"/>
      <c r="Y747" s="140"/>
      <c r="Z747" s="90"/>
      <c r="AA747" s="140"/>
      <c r="AB747" s="62"/>
      <c r="AC747" s="140"/>
      <c r="AD747" s="62"/>
      <c r="AE747" s="140"/>
      <c r="AF747" s="189" t="str">
        <f t="shared" si="31"/>
        <v/>
      </c>
      <c r="AG747" s="304" t="b">
        <f t="shared" si="30"/>
        <v>0</v>
      </c>
      <c r="AH747" s="9"/>
      <c r="AI747" s="145">
        <f t="shared" si="29"/>
        <v>0</v>
      </c>
      <c r="AJ747" s="147" t="s">
        <v>36</v>
      </c>
    </row>
    <row r="748" spans="1:36" ht="30" customHeight="1">
      <c r="A748" s="90"/>
      <c r="B748" s="90"/>
      <c r="C748" s="90"/>
      <c r="D748" s="90"/>
      <c r="E748" s="90"/>
      <c r="F748" s="90"/>
      <c r="G748" s="90"/>
      <c r="H748" s="90"/>
      <c r="I748" s="90"/>
      <c r="J748" s="90"/>
      <c r="K748" s="90"/>
      <c r="L748" s="90"/>
      <c r="M748" s="90"/>
      <c r="N748" s="150"/>
      <c r="O748" s="152"/>
      <c r="P748" s="90"/>
      <c r="Q748" s="140"/>
      <c r="R748" s="90"/>
      <c r="S748" s="140"/>
      <c r="T748" s="90"/>
      <c r="U748" s="140"/>
      <c r="V748" s="90"/>
      <c r="W748" s="140"/>
      <c r="X748" s="90"/>
      <c r="Y748" s="140"/>
      <c r="Z748" s="90"/>
      <c r="AA748" s="140"/>
      <c r="AB748" s="62"/>
      <c r="AC748" s="140"/>
      <c r="AD748" s="62"/>
      <c r="AE748" s="140"/>
      <c r="AF748" s="189" t="str">
        <f t="shared" si="31"/>
        <v/>
      </c>
      <c r="AG748" s="304" t="b">
        <f t="shared" si="30"/>
        <v>0</v>
      </c>
      <c r="AH748" s="9"/>
      <c r="AI748" s="145">
        <f t="shared" si="29"/>
        <v>0</v>
      </c>
      <c r="AJ748" s="147" t="s">
        <v>36</v>
      </c>
    </row>
    <row r="749" spans="1:36" ht="30" customHeight="1">
      <c r="A749" s="90"/>
      <c r="B749" s="90"/>
      <c r="C749" s="90"/>
      <c r="D749" s="90"/>
      <c r="E749" s="90"/>
      <c r="F749" s="90"/>
      <c r="G749" s="90"/>
      <c r="H749" s="90"/>
      <c r="I749" s="90"/>
      <c r="J749" s="90"/>
      <c r="K749" s="90"/>
      <c r="L749" s="90"/>
      <c r="M749" s="90"/>
      <c r="N749" s="150"/>
      <c r="O749" s="152"/>
      <c r="P749" s="90"/>
      <c r="Q749" s="140"/>
      <c r="R749" s="90"/>
      <c r="S749" s="140"/>
      <c r="T749" s="90"/>
      <c r="U749" s="140"/>
      <c r="V749" s="90"/>
      <c r="W749" s="140"/>
      <c r="X749" s="90"/>
      <c r="Y749" s="140"/>
      <c r="Z749" s="90"/>
      <c r="AA749" s="140"/>
      <c r="AB749" s="62"/>
      <c r="AC749" s="140"/>
      <c r="AD749" s="62"/>
      <c r="AE749" s="140"/>
      <c r="AF749" s="189" t="str">
        <f t="shared" si="31"/>
        <v/>
      </c>
      <c r="AG749" s="304" t="b">
        <f t="shared" si="30"/>
        <v>0</v>
      </c>
      <c r="AH749" s="9"/>
      <c r="AI749" s="145">
        <f t="shared" si="29"/>
        <v>0</v>
      </c>
      <c r="AJ749" s="147" t="s">
        <v>36</v>
      </c>
    </row>
    <row r="750" spans="1:36" ht="30" customHeight="1">
      <c r="A750" s="90"/>
      <c r="B750" s="90"/>
      <c r="C750" s="90"/>
      <c r="D750" s="90"/>
      <c r="E750" s="90"/>
      <c r="F750" s="90"/>
      <c r="G750" s="90"/>
      <c r="H750" s="90"/>
      <c r="I750" s="90"/>
      <c r="J750" s="90"/>
      <c r="K750" s="90"/>
      <c r="L750" s="90"/>
      <c r="M750" s="90"/>
      <c r="N750" s="150"/>
      <c r="O750" s="152"/>
      <c r="P750" s="90"/>
      <c r="Q750" s="140"/>
      <c r="R750" s="90"/>
      <c r="S750" s="140"/>
      <c r="T750" s="90"/>
      <c r="U750" s="140"/>
      <c r="V750" s="90"/>
      <c r="W750" s="140"/>
      <c r="X750" s="90"/>
      <c r="Y750" s="140"/>
      <c r="Z750" s="90"/>
      <c r="AA750" s="140"/>
      <c r="AB750" s="62"/>
      <c r="AC750" s="140"/>
      <c r="AD750" s="62"/>
      <c r="AE750" s="140"/>
      <c r="AF750" s="189" t="str">
        <f t="shared" si="31"/>
        <v/>
      </c>
      <c r="AG750" s="304" t="b">
        <f t="shared" si="30"/>
        <v>0</v>
      </c>
      <c r="AH750" s="9"/>
      <c r="AI750" s="145">
        <f t="shared" si="29"/>
        <v>0</v>
      </c>
      <c r="AJ750" s="147" t="s">
        <v>36</v>
      </c>
    </row>
    <row r="751" spans="1:36" ht="30" customHeight="1">
      <c r="A751" s="90"/>
      <c r="B751" s="90"/>
      <c r="C751" s="90"/>
      <c r="D751" s="90"/>
      <c r="E751" s="90"/>
      <c r="F751" s="90"/>
      <c r="G751" s="90"/>
      <c r="H751" s="90"/>
      <c r="I751" s="90"/>
      <c r="J751" s="90"/>
      <c r="K751" s="90"/>
      <c r="L751" s="90"/>
      <c r="M751" s="90"/>
      <c r="N751" s="150"/>
      <c r="O751" s="152"/>
      <c r="P751" s="90"/>
      <c r="Q751" s="140"/>
      <c r="R751" s="90"/>
      <c r="S751" s="140"/>
      <c r="T751" s="90"/>
      <c r="U751" s="140"/>
      <c r="V751" s="90"/>
      <c r="W751" s="140"/>
      <c r="X751" s="90"/>
      <c r="Y751" s="140"/>
      <c r="Z751" s="90"/>
      <c r="AA751" s="140"/>
      <c r="AB751" s="62"/>
      <c r="AC751" s="140"/>
      <c r="AD751" s="62"/>
      <c r="AE751" s="140"/>
      <c r="AF751" s="189" t="str">
        <f t="shared" si="31"/>
        <v/>
      </c>
      <c r="AG751" s="304" t="b">
        <f t="shared" si="30"/>
        <v>0</v>
      </c>
      <c r="AH751" s="9"/>
      <c r="AI751" s="145">
        <f t="shared" si="29"/>
        <v>0</v>
      </c>
      <c r="AJ751" s="147" t="s">
        <v>36</v>
      </c>
    </row>
    <row r="752" spans="1:36" ht="30" customHeight="1">
      <c r="A752" s="90"/>
      <c r="B752" s="90"/>
      <c r="C752" s="90"/>
      <c r="D752" s="90"/>
      <c r="E752" s="90"/>
      <c r="F752" s="90"/>
      <c r="G752" s="90"/>
      <c r="H752" s="90"/>
      <c r="I752" s="90"/>
      <c r="J752" s="90"/>
      <c r="K752" s="90"/>
      <c r="L752" s="90"/>
      <c r="M752" s="90"/>
      <c r="N752" s="150"/>
      <c r="O752" s="152"/>
      <c r="P752" s="90"/>
      <c r="Q752" s="140"/>
      <c r="R752" s="90"/>
      <c r="S752" s="140"/>
      <c r="T752" s="90"/>
      <c r="U752" s="140"/>
      <c r="V752" s="90"/>
      <c r="W752" s="140"/>
      <c r="X752" s="90"/>
      <c r="Y752" s="140"/>
      <c r="Z752" s="90"/>
      <c r="AA752" s="140"/>
      <c r="AB752" s="62"/>
      <c r="AC752" s="140"/>
      <c r="AD752" s="62"/>
      <c r="AE752" s="140"/>
      <c r="AF752" s="189" t="str">
        <f t="shared" si="31"/>
        <v/>
      </c>
      <c r="AG752" s="304" t="b">
        <f t="shared" si="30"/>
        <v>0</v>
      </c>
      <c r="AH752" s="9"/>
      <c r="AI752" s="145">
        <f t="shared" si="29"/>
        <v>0</v>
      </c>
      <c r="AJ752" s="147" t="s">
        <v>36</v>
      </c>
    </row>
    <row r="753" spans="1:36" ht="30" customHeight="1">
      <c r="A753" s="90"/>
      <c r="B753" s="90"/>
      <c r="C753" s="90"/>
      <c r="D753" s="90"/>
      <c r="E753" s="90"/>
      <c r="F753" s="90"/>
      <c r="G753" s="90"/>
      <c r="H753" s="90"/>
      <c r="I753" s="90"/>
      <c r="J753" s="90"/>
      <c r="K753" s="90"/>
      <c r="L753" s="90"/>
      <c r="M753" s="90"/>
      <c r="N753" s="150"/>
      <c r="O753" s="152"/>
      <c r="P753" s="90"/>
      <c r="Q753" s="140"/>
      <c r="R753" s="90"/>
      <c r="S753" s="140"/>
      <c r="T753" s="90"/>
      <c r="U753" s="140"/>
      <c r="V753" s="90"/>
      <c r="W753" s="140"/>
      <c r="X753" s="90"/>
      <c r="Y753" s="140"/>
      <c r="Z753" s="90"/>
      <c r="AA753" s="140"/>
      <c r="AB753" s="62"/>
      <c r="AC753" s="140"/>
      <c r="AD753" s="62"/>
      <c r="AE753" s="140"/>
      <c r="AF753" s="189" t="str">
        <f t="shared" si="31"/>
        <v/>
      </c>
      <c r="AG753" s="304" t="b">
        <f t="shared" si="30"/>
        <v>0</v>
      </c>
      <c r="AH753" s="9"/>
      <c r="AI753" s="145">
        <f t="shared" si="29"/>
        <v>0</v>
      </c>
      <c r="AJ753" s="147" t="s">
        <v>36</v>
      </c>
    </row>
    <row r="754" spans="1:36" ht="30" customHeight="1">
      <c r="A754" s="90"/>
      <c r="B754" s="90"/>
      <c r="C754" s="90"/>
      <c r="D754" s="90"/>
      <c r="E754" s="90"/>
      <c r="F754" s="90"/>
      <c r="G754" s="90"/>
      <c r="H754" s="90"/>
      <c r="I754" s="90"/>
      <c r="J754" s="90"/>
      <c r="K754" s="90"/>
      <c r="L754" s="90"/>
      <c r="M754" s="90"/>
      <c r="N754" s="150"/>
      <c r="O754" s="152"/>
      <c r="P754" s="90"/>
      <c r="Q754" s="140"/>
      <c r="R754" s="90"/>
      <c r="S754" s="140"/>
      <c r="T754" s="90"/>
      <c r="U754" s="140"/>
      <c r="V754" s="90"/>
      <c r="W754" s="140"/>
      <c r="X754" s="90"/>
      <c r="Y754" s="140"/>
      <c r="Z754" s="90"/>
      <c r="AA754" s="140"/>
      <c r="AB754" s="62"/>
      <c r="AC754" s="140"/>
      <c r="AD754" s="62"/>
      <c r="AE754" s="140"/>
      <c r="AF754" s="189" t="str">
        <f t="shared" si="31"/>
        <v/>
      </c>
      <c r="AG754" s="304" t="b">
        <f t="shared" si="30"/>
        <v>0</v>
      </c>
      <c r="AH754" s="9"/>
      <c r="AI754" s="145">
        <f t="shared" si="29"/>
        <v>0</v>
      </c>
      <c r="AJ754" s="147" t="s">
        <v>36</v>
      </c>
    </row>
    <row r="755" spans="1:36" ht="30" customHeight="1">
      <c r="A755" s="90"/>
      <c r="B755" s="90"/>
      <c r="C755" s="90"/>
      <c r="D755" s="90"/>
      <c r="E755" s="90"/>
      <c r="F755" s="90"/>
      <c r="G755" s="90"/>
      <c r="H755" s="90"/>
      <c r="I755" s="90"/>
      <c r="J755" s="90"/>
      <c r="K755" s="90"/>
      <c r="L755" s="90"/>
      <c r="M755" s="90"/>
      <c r="N755" s="150"/>
      <c r="O755" s="152"/>
      <c r="P755" s="90"/>
      <c r="Q755" s="140"/>
      <c r="R755" s="90"/>
      <c r="S755" s="140"/>
      <c r="T755" s="90"/>
      <c r="U755" s="140"/>
      <c r="V755" s="90"/>
      <c r="W755" s="140"/>
      <c r="X755" s="90"/>
      <c r="Y755" s="140"/>
      <c r="Z755" s="90"/>
      <c r="AA755" s="140"/>
      <c r="AB755" s="62"/>
      <c r="AC755" s="140"/>
      <c r="AD755" s="62"/>
      <c r="AE755" s="140"/>
      <c r="AF755" s="189" t="str">
        <f t="shared" si="31"/>
        <v/>
      </c>
      <c r="AG755" s="304" t="b">
        <f t="shared" si="30"/>
        <v>0</v>
      </c>
      <c r="AH755" s="9"/>
      <c r="AI755" s="145">
        <f t="shared" si="29"/>
        <v>0</v>
      </c>
      <c r="AJ755" s="147" t="s">
        <v>36</v>
      </c>
    </row>
    <row r="756" spans="1:36" ht="30" customHeight="1">
      <c r="A756" s="90"/>
      <c r="B756" s="90"/>
      <c r="C756" s="90"/>
      <c r="D756" s="90"/>
      <c r="E756" s="90"/>
      <c r="F756" s="90"/>
      <c r="G756" s="90"/>
      <c r="H756" s="90"/>
      <c r="I756" s="90"/>
      <c r="J756" s="90"/>
      <c r="K756" s="90"/>
      <c r="L756" s="90"/>
      <c r="M756" s="90"/>
      <c r="N756" s="150"/>
      <c r="O756" s="152"/>
      <c r="P756" s="90"/>
      <c r="Q756" s="140"/>
      <c r="R756" s="90"/>
      <c r="S756" s="140"/>
      <c r="T756" s="90"/>
      <c r="U756" s="140"/>
      <c r="V756" s="90"/>
      <c r="W756" s="140"/>
      <c r="X756" s="90"/>
      <c r="Y756" s="140"/>
      <c r="Z756" s="90"/>
      <c r="AA756" s="140"/>
      <c r="AB756" s="62"/>
      <c r="AC756" s="140"/>
      <c r="AD756" s="62"/>
      <c r="AE756" s="140"/>
      <c r="AF756" s="189" t="str">
        <f t="shared" si="31"/>
        <v/>
      </c>
      <c r="AG756" s="304" t="b">
        <f t="shared" si="30"/>
        <v>0</v>
      </c>
      <c r="AH756" s="9"/>
      <c r="AI756" s="145">
        <f t="shared" si="29"/>
        <v>0</v>
      </c>
      <c r="AJ756" s="147" t="s">
        <v>36</v>
      </c>
    </row>
    <row r="757" spans="1:36" ht="30" customHeight="1">
      <c r="A757" s="90"/>
      <c r="B757" s="90"/>
      <c r="C757" s="90"/>
      <c r="D757" s="90"/>
      <c r="E757" s="90"/>
      <c r="F757" s="90"/>
      <c r="G757" s="90"/>
      <c r="H757" s="90"/>
      <c r="I757" s="90"/>
      <c r="J757" s="90"/>
      <c r="K757" s="90"/>
      <c r="L757" s="90"/>
      <c r="M757" s="90"/>
      <c r="N757" s="150"/>
      <c r="O757" s="152"/>
      <c r="P757" s="90"/>
      <c r="Q757" s="140"/>
      <c r="R757" s="90"/>
      <c r="S757" s="140"/>
      <c r="T757" s="90"/>
      <c r="U757" s="140"/>
      <c r="V757" s="90"/>
      <c r="W757" s="140"/>
      <c r="X757" s="90"/>
      <c r="Y757" s="140"/>
      <c r="Z757" s="90"/>
      <c r="AA757" s="140"/>
      <c r="AB757" s="62"/>
      <c r="AC757" s="140"/>
      <c r="AD757" s="62"/>
      <c r="AE757" s="140"/>
      <c r="AF757" s="189" t="str">
        <f t="shared" si="31"/>
        <v/>
      </c>
      <c r="AG757" s="304" t="b">
        <f t="shared" si="30"/>
        <v>0</v>
      </c>
      <c r="AH757" s="9"/>
      <c r="AI757" s="145">
        <f t="shared" si="29"/>
        <v>0</v>
      </c>
      <c r="AJ757" s="147" t="s">
        <v>36</v>
      </c>
    </row>
    <row r="758" spans="1:36" ht="30" customHeight="1">
      <c r="A758" s="90"/>
      <c r="B758" s="90"/>
      <c r="C758" s="90"/>
      <c r="D758" s="90"/>
      <c r="E758" s="90"/>
      <c r="F758" s="90"/>
      <c r="G758" s="90"/>
      <c r="H758" s="90"/>
      <c r="I758" s="90"/>
      <c r="J758" s="90"/>
      <c r="K758" s="90"/>
      <c r="L758" s="90"/>
      <c r="M758" s="90"/>
      <c r="N758" s="150"/>
      <c r="O758" s="152"/>
      <c r="P758" s="90"/>
      <c r="Q758" s="140"/>
      <c r="R758" s="90"/>
      <c r="S758" s="140"/>
      <c r="T758" s="90"/>
      <c r="U758" s="140"/>
      <c r="V758" s="90"/>
      <c r="W758" s="140"/>
      <c r="X758" s="90"/>
      <c r="Y758" s="140"/>
      <c r="Z758" s="90"/>
      <c r="AA758" s="140"/>
      <c r="AB758" s="62"/>
      <c r="AC758" s="140"/>
      <c r="AD758" s="62"/>
      <c r="AE758" s="140"/>
      <c r="AF758" s="189" t="str">
        <f t="shared" si="31"/>
        <v/>
      </c>
      <c r="AG758" s="304" t="b">
        <f t="shared" si="30"/>
        <v>0</v>
      </c>
      <c r="AH758" s="9"/>
      <c r="AI758" s="145">
        <f t="shared" si="29"/>
        <v>0</v>
      </c>
      <c r="AJ758" s="147" t="s">
        <v>36</v>
      </c>
    </row>
    <row r="759" spans="1:36" ht="30" customHeight="1">
      <c r="A759" s="90"/>
      <c r="B759" s="90"/>
      <c r="C759" s="90"/>
      <c r="D759" s="90"/>
      <c r="E759" s="90"/>
      <c r="F759" s="90"/>
      <c r="G759" s="90"/>
      <c r="H759" s="90"/>
      <c r="I759" s="90"/>
      <c r="J759" s="90"/>
      <c r="K759" s="90"/>
      <c r="L759" s="90"/>
      <c r="M759" s="90"/>
      <c r="N759" s="150"/>
      <c r="O759" s="152"/>
      <c r="P759" s="90"/>
      <c r="Q759" s="140"/>
      <c r="R759" s="90"/>
      <c r="S759" s="140"/>
      <c r="T759" s="90"/>
      <c r="U759" s="140"/>
      <c r="V759" s="90"/>
      <c r="W759" s="140"/>
      <c r="X759" s="90"/>
      <c r="Y759" s="140"/>
      <c r="Z759" s="90"/>
      <c r="AA759" s="140"/>
      <c r="AB759" s="62"/>
      <c r="AC759" s="140"/>
      <c r="AD759" s="62"/>
      <c r="AE759" s="140"/>
      <c r="AF759" s="189" t="str">
        <f t="shared" si="31"/>
        <v/>
      </c>
      <c r="AG759" s="304" t="b">
        <f t="shared" si="30"/>
        <v>0</v>
      </c>
      <c r="AH759" s="9"/>
      <c r="AI759" s="145">
        <f t="shared" si="29"/>
        <v>0</v>
      </c>
      <c r="AJ759" s="147" t="s">
        <v>36</v>
      </c>
    </row>
    <row r="760" spans="1:36" ht="30" customHeight="1">
      <c r="A760" s="90"/>
      <c r="B760" s="90"/>
      <c r="C760" s="90"/>
      <c r="D760" s="90"/>
      <c r="E760" s="90"/>
      <c r="F760" s="90"/>
      <c r="G760" s="90"/>
      <c r="H760" s="90"/>
      <c r="I760" s="90"/>
      <c r="J760" s="90"/>
      <c r="K760" s="90"/>
      <c r="L760" s="90"/>
      <c r="M760" s="90"/>
      <c r="N760" s="150"/>
      <c r="O760" s="152"/>
      <c r="P760" s="90"/>
      <c r="Q760" s="140"/>
      <c r="R760" s="90"/>
      <c r="S760" s="140"/>
      <c r="T760" s="90"/>
      <c r="U760" s="140"/>
      <c r="V760" s="90"/>
      <c r="W760" s="140"/>
      <c r="X760" s="90"/>
      <c r="Y760" s="140"/>
      <c r="Z760" s="90"/>
      <c r="AA760" s="140"/>
      <c r="AB760" s="62"/>
      <c r="AC760" s="140"/>
      <c r="AD760" s="62"/>
      <c r="AE760" s="140"/>
      <c r="AF760" s="189" t="str">
        <f t="shared" si="31"/>
        <v/>
      </c>
      <c r="AG760" s="304" t="b">
        <f t="shared" si="30"/>
        <v>0</v>
      </c>
      <c r="AH760" s="9"/>
      <c r="AI760" s="145">
        <f t="shared" ref="AI760:AI823" si="32">E760</f>
        <v>0</v>
      </c>
      <c r="AJ760" s="147" t="s">
        <v>36</v>
      </c>
    </row>
    <row r="761" spans="1:36" ht="30" customHeight="1">
      <c r="A761" s="90"/>
      <c r="B761" s="90"/>
      <c r="C761" s="90"/>
      <c r="D761" s="90"/>
      <c r="E761" s="90"/>
      <c r="F761" s="90"/>
      <c r="G761" s="90"/>
      <c r="H761" s="90"/>
      <c r="I761" s="90"/>
      <c r="J761" s="90"/>
      <c r="K761" s="90"/>
      <c r="L761" s="90"/>
      <c r="M761" s="90"/>
      <c r="N761" s="150"/>
      <c r="O761" s="152"/>
      <c r="P761" s="90"/>
      <c r="Q761" s="140"/>
      <c r="R761" s="90"/>
      <c r="S761" s="140"/>
      <c r="T761" s="90"/>
      <c r="U761" s="140"/>
      <c r="V761" s="90"/>
      <c r="W761" s="140"/>
      <c r="X761" s="90"/>
      <c r="Y761" s="140"/>
      <c r="Z761" s="90"/>
      <c r="AA761" s="140"/>
      <c r="AB761" s="62"/>
      <c r="AC761" s="140"/>
      <c r="AD761" s="62"/>
      <c r="AE761" s="140"/>
      <c r="AF761" s="189" t="str">
        <f t="shared" si="31"/>
        <v/>
      </c>
      <c r="AG761" s="304" t="b">
        <f t="shared" si="30"/>
        <v>0</v>
      </c>
      <c r="AH761" s="9"/>
      <c r="AI761" s="145">
        <f t="shared" si="32"/>
        <v>0</v>
      </c>
      <c r="AJ761" s="147" t="s">
        <v>36</v>
      </c>
    </row>
    <row r="762" spans="1:36" ht="30" customHeight="1">
      <c r="A762" s="90"/>
      <c r="B762" s="90"/>
      <c r="C762" s="90"/>
      <c r="D762" s="90"/>
      <c r="E762" s="90"/>
      <c r="F762" s="90"/>
      <c r="G762" s="90"/>
      <c r="H762" s="90"/>
      <c r="I762" s="90"/>
      <c r="J762" s="90"/>
      <c r="K762" s="90"/>
      <c r="L762" s="90"/>
      <c r="M762" s="90"/>
      <c r="N762" s="150"/>
      <c r="O762" s="152"/>
      <c r="P762" s="90"/>
      <c r="Q762" s="140"/>
      <c r="R762" s="90"/>
      <c r="S762" s="140"/>
      <c r="T762" s="90"/>
      <c r="U762" s="140"/>
      <c r="V762" s="90"/>
      <c r="W762" s="140"/>
      <c r="X762" s="90"/>
      <c r="Y762" s="140"/>
      <c r="Z762" s="90"/>
      <c r="AA762" s="140"/>
      <c r="AB762" s="62"/>
      <c r="AC762" s="140"/>
      <c r="AD762" s="62"/>
      <c r="AE762" s="140"/>
      <c r="AF762" s="189" t="str">
        <f t="shared" si="31"/>
        <v/>
      </c>
      <c r="AG762" s="304" t="b">
        <f t="shared" si="30"/>
        <v>0</v>
      </c>
      <c r="AH762" s="9"/>
      <c r="AI762" s="145">
        <f t="shared" si="32"/>
        <v>0</v>
      </c>
      <c r="AJ762" s="147" t="s">
        <v>36</v>
      </c>
    </row>
    <row r="763" spans="1:36" ht="30" customHeight="1">
      <c r="A763" s="90"/>
      <c r="B763" s="90"/>
      <c r="C763" s="90"/>
      <c r="D763" s="90"/>
      <c r="E763" s="90"/>
      <c r="F763" s="90"/>
      <c r="G763" s="90"/>
      <c r="H763" s="90"/>
      <c r="I763" s="90"/>
      <c r="J763" s="90"/>
      <c r="K763" s="90"/>
      <c r="L763" s="90"/>
      <c r="M763" s="90"/>
      <c r="N763" s="150"/>
      <c r="O763" s="152"/>
      <c r="P763" s="90"/>
      <c r="Q763" s="140"/>
      <c r="R763" s="90"/>
      <c r="S763" s="140"/>
      <c r="T763" s="90"/>
      <c r="U763" s="140"/>
      <c r="V763" s="90"/>
      <c r="W763" s="140"/>
      <c r="X763" s="90"/>
      <c r="Y763" s="140"/>
      <c r="Z763" s="90"/>
      <c r="AA763" s="140"/>
      <c r="AB763" s="62"/>
      <c r="AC763" s="140"/>
      <c r="AD763" s="62"/>
      <c r="AE763" s="140"/>
      <c r="AF763" s="189" t="str">
        <f t="shared" si="31"/>
        <v/>
      </c>
      <c r="AG763" s="304" t="b">
        <f t="shared" si="30"/>
        <v>0</v>
      </c>
      <c r="AH763" s="9"/>
      <c r="AI763" s="145">
        <f t="shared" si="32"/>
        <v>0</v>
      </c>
      <c r="AJ763" s="147" t="s">
        <v>36</v>
      </c>
    </row>
    <row r="764" spans="1:36" ht="30" customHeight="1">
      <c r="A764" s="90"/>
      <c r="B764" s="90"/>
      <c r="C764" s="90"/>
      <c r="D764" s="90"/>
      <c r="E764" s="90"/>
      <c r="F764" s="90"/>
      <c r="G764" s="90"/>
      <c r="H764" s="90"/>
      <c r="I764" s="90"/>
      <c r="J764" s="90"/>
      <c r="K764" s="90"/>
      <c r="L764" s="90"/>
      <c r="M764" s="90"/>
      <c r="N764" s="150"/>
      <c r="O764" s="152"/>
      <c r="P764" s="90"/>
      <c r="Q764" s="140"/>
      <c r="R764" s="90"/>
      <c r="S764" s="140"/>
      <c r="T764" s="90"/>
      <c r="U764" s="140"/>
      <c r="V764" s="90"/>
      <c r="W764" s="140"/>
      <c r="X764" s="90"/>
      <c r="Y764" s="140"/>
      <c r="Z764" s="90"/>
      <c r="AA764" s="140"/>
      <c r="AB764" s="62"/>
      <c r="AC764" s="140"/>
      <c r="AD764" s="62"/>
      <c r="AE764" s="140"/>
      <c r="AF764" s="189" t="str">
        <f t="shared" si="31"/>
        <v/>
      </c>
      <c r="AG764" s="304" t="b">
        <f t="shared" si="30"/>
        <v>0</v>
      </c>
      <c r="AH764" s="9"/>
      <c r="AI764" s="145">
        <f t="shared" si="32"/>
        <v>0</v>
      </c>
      <c r="AJ764" s="147" t="s">
        <v>36</v>
      </c>
    </row>
    <row r="765" spans="1:36" ht="30" customHeight="1">
      <c r="A765" s="90"/>
      <c r="B765" s="90"/>
      <c r="C765" s="90"/>
      <c r="D765" s="90"/>
      <c r="E765" s="90"/>
      <c r="F765" s="90"/>
      <c r="G765" s="90"/>
      <c r="H765" s="90"/>
      <c r="I765" s="90"/>
      <c r="J765" s="90"/>
      <c r="K765" s="90"/>
      <c r="L765" s="90"/>
      <c r="M765" s="90"/>
      <c r="N765" s="150"/>
      <c r="O765" s="152"/>
      <c r="P765" s="90"/>
      <c r="Q765" s="140"/>
      <c r="R765" s="90"/>
      <c r="S765" s="140"/>
      <c r="T765" s="90"/>
      <c r="U765" s="140"/>
      <c r="V765" s="90"/>
      <c r="W765" s="140"/>
      <c r="X765" s="90"/>
      <c r="Y765" s="140"/>
      <c r="Z765" s="90"/>
      <c r="AA765" s="140"/>
      <c r="AB765" s="62"/>
      <c r="AC765" s="140"/>
      <c r="AD765" s="62"/>
      <c r="AE765" s="140"/>
      <c r="AF765" s="189" t="str">
        <f t="shared" si="31"/>
        <v/>
      </c>
      <c r="AG765" s="304" t="b">
        <f t="shared" si="30"/>
        <v>0</v>
      </c>
      <c r="AH765" s="9"/>
      <c r="AI765" s="145">
        <f t="shared" si="32"/>
        <v>0</v>
      </c>
      <c r="AJ765" s="147" t="s">
        <v>36</v>
      </c>
    </row>
    <row r="766" spans="1:36" ht="30" customHeight="1">
      <c r="A766" s="90"/>
      <c r="B766" s="90"/>
      <c r="C766" s="90"/>
      <c r="D766" s="90"/>
      <c r="E766" s="90"/>
      <c r="F766" s="90"/>
      <c r="G766" s="90"/>
      <c r="H766" s="90"/>
      <c r="I766" s="90"/>
      <c r="J766" s="90"/>
      <c r="K766" s="90"/>
      <c r="L766" s="90"/>
      <c r="M766" s="90"/>
      <c r="N766" s="150"/>
      <c r="O766" s="152"/>
      <c r="P766" s="90"/>
      <c r="Q766" s="140"/>
      <c r="R766" s="90"/>
      <c r="S766" s="140"/>
      <c r="T766" s="90"/>
      <c r="U766" s="140"/>
      <c r="V766" s="90"/>
      <c r="W766" s="140"/>
      <c r="X766" s="90"/>
      <c r="Y766" s="140"/>
      <c r="Z766" s="90"/>
      <c r="AA766" s="140"/>
      <c r="AB766" s="62"/>
      <c r="AC766" s="140"/>
      <c r="AD766" s="62"/>
      <c r="AE766" s="140"/>
      <c r="AF766" s="189" t="str">
        <f t="shared" si="31"/>
        <v/>
      </c>
      <c r="AG766" s="304" t="b">
        <f t="shared" si="30"/>
        <v>0</v>
      </c>
      <c r="AH766" s="9"/>
      <c r="AI766" s="145">
        <f t="shared" si="32"/>
        <v>0</v>
      </c>
      <c r="AJ766" s="147" t="s">
        <v>36</v>
      </c>
    </row>
    <row r="767" spans="1:36" ht="30" customHeight="1">
      <c r="A767" s="90"/>
      <c r="B767" s="90"/>
      <c r="C767" s="90"/>
      <c r="D767" s="90"/>
      <c r="E767" s="90"/>
      <c r="F767" s="90"/>
      <c r="G767" s="90"/>
      <c r="H767" s="90"/>
      <c r="I767" s="90"/>
      <c r="J767" s="90"/>
      <c r="K767" s="90"/>
      <c r="L767" s="90"/>
      <c r="M767" s="90"/>
      <c r="N767" s="150"/>
      <c r="O767" s="152"/>
      <c r="P767" s="90"/>
      <c r="Q767" s="140"/>
      <c r="R767" s="90"/>
      <c r="S767" s="140"/>
      <c r="T767" s="90"/>
      <c r="U767" s="140"/>
      <c r="V767" s="90"/>
      <c r="W767" s="140"/>
      <c r="X767" s="90"/>
      <c r="Y767" s="140"/>
      <c r="Z767" s="90"/>
      <c r="AA767" s="140"/>
      <c r="AB767" s="62"/>
      <c r="AC767" s="140"/>
      <c r="AD767" s="62"/>
      <c r="AE767" s="140"/>
      <c r="AF767" s="189" t="str">
        <f t="shared" si="31"/>
        <v/>
      </c>
      <c r="AG767" s="304" t="b">
        <f t="shared" si="30"/>
        <v>0</v>
      </c>
      <c r="AH767" s="9"/>
      <c r="AI767" s="145">
        <f t="shared" si="32"/>
        <v>0</v>
      </c>
      <c r="AJ767" s="147" t="s">
        <v>36</v>
      </c>
    </row>
    <row r="768" spans="1:36" ht="30" customHeight="1">
      <c r="A768" s="90"/>
      <c r="B768" s="90"/>
      <c r="C768" s="90"/>
      <c r="D768" s="90"/>
      <c r="E768" s="90"/>
      <c r="F768" s="90"/>
      <c r="G768" s="90"/>
      <c r="H768" s="90"/>
      <c r="I768" s="90"/>
      <c r="J768" s="90"/>
      <c r="K768" s="90"/>
      <c r="L768" s="90"/>
      <c r="M768" s="90"/>
      <c r="N768" s="150"/>
      <c r="O768" s="152"/>
      <c r="P768" s="90"/>
      <c r="Q768" s="140"/>
      <c r="R768" s="90"/>
      <c r="S768" s="140"/>
      <c r="T768" s="90"/>
      <c r="U768" s="140"/>
      <c r="V768" s="90"/>
      <c r="W768" s="140"/>
      <c r="X768" s="90"/>
      <c r="Y768" s="140"/>
      <c r="Z768" s="90"/>
      <c r="AA768" s="140"/>
      <c r="AB768" s="62"/>
      <c r="AC768" s="140"/>
      <c r="AD768" s="62"/>
      <c r="AE768" s="140"/>
      <c r="AF768" s="189" t="str">
        <f t="shared" si="31"/>
        <v/>
      </c>
      <c r="AG768" s="304" t="b">
        <f t="shared" si="30"/>
        <v>0</v>
      </c>
      <c r="AH768" s="9"/>
      <c r="AI768" s="145">
        <f t="shared" si="32"/>
        <v>0</v>
      </c>
      <c r="AJ768" s="147" t="s">
        <v>36</v>
      </c>
    </row>
    <row r="769" spans="1:36" ht="30" customHeight="1">
      <c r="A769" s="90"/>
      <c r="B769" s="90"/>
      <c r="C769" s="90"/>
      <c r="D769" s="90"/>
      <c r="E769" s="90"/>
      <c r="F769" s="90"/>
      <c r="G769" s="90"/>
      <c r="H769" s="90"/>
      <c r="I769" s="90"/>
      <c r="J769" s="90"/>
      <c r="K769" s="90"/>
      <c r="L769" s="90"/>
      <c r="M769" s="90"/>
      <c r="N769" s="150"/>
      <c r="O769" s="152"/>
      <c r="P769" s="90"/>
      <c r="Q769" s="140"/>
      <c r="R769" s="90"/>
      <c r="S769" s="140"/>
      <c r="T769" s="90"/>
      <c r="U769" s="140"/>
      <c r="V769" s="90"/>
      <c r="W769" s="140"/>
      <c r="X769" s="90"/>
      <c r="Y769" s="140"/>
      <c r="Z769" s="90"/>
      <c r="AA769" s="140"/>
      <c r="AB769" s="62"/>
      <c r="AC769" s="140"/>
      <c r="AD769" s="62"/>
      <c r="AE769" s="140"/>
      <c r="AF769" s="189" t="str">
        <f t="shared" si="31"/>
        <v/>
      </c>
      <c r="AG769" s="304" t="b">
        <f t="shared" si="30"/>
        <v>0</v>
      </c>
      <c r="AH769" s="9"/>
      <c r="AI769" s="145">
        <f t="shared" si="32"/>
        <v>0</v>
      </c>
      <c r="AJ769" s="147" t="s">
        <v>36</v>
      </c>
    </row>
    <row r="770" spans="1:36" ht="30" customHeight="1">
      <c r="A770" s="90"/>
      <c r="B770" s="90"/>
      <c r="C770" s="90"/>
      <c r="D770" s="90"/>
      <c r="E770" s="90"/>
      <c r="F770" s="90"/>
      <c r="G770" s="90"/>
      <c r="H770" s="90"/>
      <c r="I770" s="90"/>
      <c r="J770" s="90"/>
      <c r="K770" s="90"/>
      <c r="L770" s="90"/>
      <c r="M770" s="90"/>
      <c r="N770" s="150"/>
      <c r="O770" s="152"/>
      <c r="P770" s="90"/>
      <c r="Q770" s="140"/>
      <c r="R770" s="90"/>
      <c r="S770" s="140"/>
      <c r="T770" s="90"/>
      <c r="U770" s="140"/>
      <c r="V770" s="90"/>
      <c r="W770" s="140"/>
      <c r="X770" s="90"/>
      <c r="Y770" s="140"/>
      <c r="Z770" s="90"/>
      <c r="AA770" s="140"/>
      <c r="AB770" s="62"/>
      <c r="AC770" s="140"/>
      <c r="AD770" s="62"/>
      <c r="AE770" s="140"/>
      <c r="AF770" s="189" t="str">
        <f t="shared" si="31"/>
        <v/>
      </c>
      <c r="AG770" s="304" t="b">
        <f t="shared" ref="AG770:AG833" si="33">IF(AND(AE770="C",AF770="C"),"UTILIZOU O PDA CORRETAMENTE",IF(AND(AE770="C",AF770="NC"),"UTILIZOU O PDA CORRETAMENTE. NÃO HÁ FOTOS DE TODAS AS ETAPAS",IF(AND(AE770="NC",AF770="NC"),"NÃO UTILIZOU O PDA",IF(AND(AE770="NA",AF770="NA"),"NÃO AVALIADO POR FALHA DE SINCRONISMO"))))</f>
        <v>0</v>
      </c>
      <c r="AH770" s="9"/>
      <c r="AI770" s="145">
        <f t="shared" si="32"/>
        <v>0</v>
      </c>
      <c r="AJ770" s="147" t="s">
        <v>36</v>
      </c>
    </row>
    <row r="771" spans="1:36" ht="30" customHeight="1">
      <c r="A771" s="90"/>
      <c r="B771" s="90"/>
      <c r="C771" s="90"/>
      <c r="D771" s="90"/>
      <c r="E771" s="90"/>
      <c r="F771" s="90"/>
      <c r="G771" s="90"/>
      <c r="H771" s="90"/>
      <c r="I771" s="90"/>
      <c r="J771" s="90"/>
      <c r="K771" s="90"/>
      <c r="L771" s="90"/>
      <c r="M771" s="90"/>
      <c r="N771" s="150"/>
      <c r="O771" s="152"/>
      <c r="P771" s="90"/>
      <c r="Q771" s="140"/>
      <c r="R771" s="90"/>
      <c r="S771" s="140"/>
      <c r="T771" s="90"/>
      <c r="U771" s="140"/>
      <c r="V771" s="90"/>
      <c r="W771" s="140"/>
      <c r="X771" s="90"/>
      <c r="Y771" s="140"/>
      <c r="Z771" s="90"/>
      <c r="AA771" s="140"/>
      <c r="AB771" s="62"/>
      <c r="AC771" s="140"/>
      <c r="AD771" s="62"/>
      <c r="AE771" s="140"/>
      <c r="AF771" s="189" t="str">
        <f t="shared" ref="AF771:AF834" si="34">IF(AND(O771="",Q771="",S771="",U771="",W771="",Y771="",AA771="",AC771=""),"",
IF(OR(    AND(O771&lt;&gt;"NA",O771&lt;&gt;"C",O771&lt;&gt;"NC",O771&lt;&gt;"SF",O771&lt;&gt;""),
    AND(Q771&lt;&gt;"NA",Q771&lt;&gt;"C",Q771&lt;&gt;"NC",Q771&lt;&gt;"SF",Q771&lt;&gt;""),
    AND(S771&lt;&gt;"NA",S771&lt;&gt;"C",S771&lt;&gt;"NC",S771&lt;&gt;"SF",S771&lt;&gt;""),
    AND(U771&lt;&gt;"NA",U771&lt;&gt;"C",U771&lt;&gt;"NC",U771&lt;&gt;"SF",U771&lt;&gt;""),
    AND(W771&lt;&gt;"NA",W771&lt;&gt;"C",W771&lt;&gt;"NC",W771&lt;&gt;"SF",W771&lt;&gt;""),
    AND(Y771&lt;&gt;"NA",Y771&lt;&gt;"C",Y771&lt;&gt;"NC",Y771&lt;&gt;"SF",Y771&lt;&gt;""),
    AND(AA771&lt;&gt;"NA",AA771&lt;&gt;"C",AA771&lt;&gt;"NC",AA771&lt;&gt;"SF",AA771&lt;&gt;""),
    AND(AC771&lt;&gt;"NA",AC771&lt;&gt;"C",AC771&lt;&gt;"NC",AC771&lt;&gt;"SF",AC771&lt;&gt;"")
),"FALSO",
IF(AND(O771="NA",Q771="NA",S771="NA",U771="NA",W771="NA",Y771="NA",AA771="NA",AC771="NA"),"NA",
IF(OR(O771="NC",Q771="NC",S771="NC",U771="NC",W771="NC",Y771="NC",AA771="NC",AC771="NC",
       O771="SF",Q771="SF",S771="SF",U771="SF",W771="SF",Y771="SF",AA771="SF",AC771="SF"),"NC",
IF(SUM(IF(O771="C",1,0),IF(Q771="C",1,0),IF(S771="C",1,0),IF(U771="C",1,0),IF(W771="C",1,0),IF(Y771="C",1,0),IF(AA771="C",1,0),IF(AC771="C",1,0))=1,"C","C")))))</f>
        <v/>
      </c>
      <c r="AG771" s="304" t="b">
        <f t="shared" si="33"/>
        <v>0</v>
      </c>
      <c r="AH771" s="9"/>
      <c r="AI771" s="145">
        <f t="shared" si="32"/>
        <v>0</v>
      </c>
      <c r="AJ771" s="147" t="s">
        <v>36</v>
      </c>
    </row>
    <row r="772" spans="1:36" ht="30" customHeight="1">
      <c r="A772" s="90"/>
      <c r="B772" s="90"/>
      <c r="C772" s="90"/>
      <c r="D772" s="90"/>
      <c r="E772" s="90"/>
      <c r="F772" s="90"/>
      <c r="G772" s="90"/>
      <c r="H772" s="90"/>
      <c r="I772" s="90"/>
      <c r="J772" s="90"/>
      <c r="K772" s="90"/>
      <c r="L772" s="90"/>
      <c r="M772" s="90"/>
      <c r="N772" s="150"/>
      <c r="O772" s="152"/>
      <c r="P772" s="90"/>
      <c r="Q772" s="140"/>
      <c r="R772" s="90"/>
      <c r="S772" s="140"/>
      <c r="T772" s="90"/>
      <c r="U772" s="140"/>
      <c r="V772" s="90"/>
      <c r="W772" s="140"/>
      <c r="X772" s="90"/>
      <c r="Y772" s="140"/>
      <c r="Z772" s="90"/>
      <c r="AA772" s="140"/>
      <c r="AB772" s="62"/>
      <c r="AC772" s="140"/>
      <c r="AD772" s="62"/>
      <c r="AE772" s="140"/>
      <c r="AF772" s="189" t="str">
        <f t="shared" si="34"/>
        <v/>
      </c>
      <c r="AG772" s="304" t="b">
        <f t="shared" si="33"/>
        <v>0</v>
      </c>
      <c r="AH772" s="9"/>
      <c r="AI772" s="145">
        <f t="shared" si="32"/>
        <v>0</v>
      </c>
      <c r="AJ772" s="147" t="s">
        <v>36</v>
      </c>
    </row>
    <row r="773" spans="1:36" ht="30" customHeight="1">
      <c r="A773" s="90"/>
      <c r="B773" s="90"/>
      <c r="C773" s="90"/>
      <c r="D773" s="90"/>
      <c r="E773" s="90"/>
      <c r="F773" s="90"/>
      <c r="G773" s="90"/>
      <c r="H773" s="90"/>
      <c r="I773" s="90"/>
      <c r="J773" s="90"/>
      <c r="K773" s="90"/>
      <c r="L773" s="90"/>
      <c r="M773" s="90"/>
      <c r="N773" s="150"/>
      <c r="O773" s="152"/>
      <c r="P773" s="90"/>
      <c r="Q773" s="140"/>
      <c r="R773" s="90"/>
      <c r="S773" s="140"/>
      <c r="T773" s="90"/>
      <c r="U773" s="140"/>
      <c r="V773" s="90"/>
      <c r="W773" s="140"/>
      <c r="X773" s="90"/>
      <c r="Y773" s="140"/>
      <c r="Z773" s="90"/>
      <c r="AA773" s="140"/>
      <c r="AB773" s="62"/>
      <c r="AC773" s="140"/>
      <c r="AD773" s="62"/>
      <c r="AE773" s="140"/>
      <c r="AF773" s="189" t="str">
        <f t="shared" si="34"/>
        <v/>
      </c>
      <c r="AG773" s="304" t="b">
        <f t="shared" si="33"/>
        <v>0</v>
      </c>
      <c r="AH773" s="9"/>
      <c r="AI773" s="145">
        <f t="shared" si="32"/>
        <v>0</v>
      </c>
      <c r="AJ773" s="147" t="s">
        <v>36</v>
      </c>
    </row>
    <row r="774" spans="1:36" ht="30" customHeight="1">
      <c r="A774" s="90"/>
      <c r="B774" s="90"/>
      <c r="C774" s="90"/>
      <c r="D774" s="90"/>
      <c r="E774" s="90"/>
      <c r="F774" s="90"/>
      <c r="G774" s="90"/>
      <c r="H774" s="90"/>
      <c r="I774" s="90"/>
      <c r="J774" s="90"/>
      <c r="K774" s="90"/>
      <c r="L774" s="90"/>
      <c r="M774" s="90"/>
      <c r="N774" s="150"/>
      <c r="O774" s="152"/>
      <c r="P774" s="90"/>
      <c r="Q774" s="140"/>
      <c r="R774" s="90"/>
      <c r="S774" s="140"/>
      <c r="T774" s="90"/>
      <c r="U774" s="140"/>
      <c r="V774" s="90"/>
      <c r="W774" s="140"/>
      <c r="X774" s="90"/>
      <c r="Y774" s="140"/>
      <c r="Z774" s="90"/>
      <c r="AA774" s="140"/>
      <c r="AB774" s="62"/>
      <c r="AC774" s="140"/>
      <c r="AD774" s="62"/>
      <c r="AE774" s="140"/>
      <c r="AF774" s="189" t="str">
        <f t="shared" si="34"/>
        <v/>
      </c>
      <c r="AG774" s="304" t="b">
        <f t="shared" si="33"/>
        <v>0</v>
      </c>
      <c r="AH774" s="9"/>
      <c r="AI774" s="145">
        <f t="shared" si="32"/>
        <v>0</v>
      </c>
      <c r="AJ774" s="147" t="s">
        <v>36</v>
      </c>
    </row>
    <row r="775" spans="1:36" ht="30" customHeight="1">
      <c r="A775" s="90"/>
      <c r="B775" s="90"/>
      <c r="C775" s="90"/>
      <c r="D775" s="90"/>
      <c r="E775" s="90"/>
      <c r="F775" s="90"/>
      <c r="G775" s="90"/>
      <c r="H775" s="90"/>
      <c r="I775" s="90"/>
      <c r="J775" s="90"/>
      <c r="K775" s="90"/>
      <c r="L775" s="90"/>
      <c r="M775" s="90"/>
      <c r="N775" s="150"/>
      <c r="O775" s="152"/>
      <c r="P775" s="90"/>
      <c r="Q775" s="140"/>
      <c r="R775" s="90"/>
      <c r="S775" s="140"/>
      <c r="T775" s="90"/>
      <c r="U775" s="140"/>
      <c r="V775" s="90"/>
      <c r="W775" s="140"/>
      <c r="X775" s="90"/>
      <c r="Y775" s="140"/>
      <c r="Z775" s="90"/>
      <c r="AA775" s="140"/>
      <c r="AB775" s="62"/>
      <c r="AC775" s="140"/>
      <c r="AD775" s="62"/>
      <c r="AE775" s="140"/>
      <c r="AF775" s="189" t="str">
        <f t="shared" si="34"/>
        <v/>
      </c>
      <c r="AG775" s="304" t="b">
        <f t="shared" si="33"/>
        <v>0</v>
      </c>
      <c r="AH775" s="9"/>
      <c r="AI775" s="145">
        <f t="shared" si="32"/>
        <v>0</v>
      </c>
      <c r="AJ775" s="147" t="s">
        <v>36</v>
      </c>
    </row>
    <row r="776" spans="1:36" ht="30" customHeight="1">
      <c r="A776" s="90"/>
      <c r="B776" s="90"/>
      <c r="C776" s="90"/>
      <c r="D776" s="90"/>
      <c r="E776" s="90"/>
      <c r="F776" s="90"/>
      <c r="G776" s="90"/>
      <c r="H776" s="90"/>
      <c r="I776" s="90"/>
      <c r="J776" s="90"/>
      <c r="K776" s="90"/>
      <c r="L776" s="90"/>
      <c r="M776" s="90"/>
      <c r="N776" s="150"/>
      <c r="O776" s="152"/>
      <c r="P776" s="90"/>
      <c r="Q776" s="140"/>
      <c r="R776" s="90"/>
      <c r="S776" s="140"/>
      <c r="T776" s="90"/>
      <c r="U776" s="140"/>
      <c r="V776" s="90"/>
      <c r="W776" s="140"/>
      <c r="X776" s="90"/>
      <c r="Y776" s="140"/>
      <c r="Z776" s="90"/>
      <c r="AA776" s="140"/>
      <c r="AB776" s="62"/>
      <c r="AC776" s="140"/>
      <c r="AD776" s="62"/>
      <c r="AE776" s="140"/>
      <c r="AF776" s="189" t="str">
        <f t="shared" si="34"/>
        <v/>
      </c>
      <c r="AG776" s="304" t="b">
        <f t="shared" si="33"/>
        <v>0</v>
      </c>
      <c r="AH776" s="9"/>
      <c r="AI776" s="145">
        <f t="shared" si="32"/>
        <v>0</v>
      </c>
      <c r="AJ776" s="147" t="s">
        <v>36</v>
      </c>
    </row>
    <row r="777" spans="1:36" ht="30" customHeight="1">
      <c r="A777" s="90"/>
      <c r="B777" s="90"/>
      <c r="C777" s="90"/>
      <c r="D777" s="90"/>
      <c r="E777" s="90"/>
      <c r="F777" s="90"/>
      <c r="G777" s="90"/>
      <c r="H777" s="90"/>
      <c r="I777" s="90"/>
      <c r="J777" s="90"/>
      <c r="K777" s="90"/>
      <c r="L777" s="90"/>
      <c r="M777" s="90"/>
      <c r="N777" s="150"/>
      <c r="O777" s="152"/>
      <c r="P777" s="90"/>
      <c r="Q777" s="140"/>
      <c r="R777" s="90"/>
      <c r="S777" s="140"/>
      <c r="T777" s="90"/>
      <c r="U777" s="140"/>
      <c r="V777" s="90"/>
      <c r="W777" s="140"/>
      <c r="X777" s="90"/>
      <c r="Y777" s="140"/>
      <c r="Z777" s="90"/>
      <c r="AA777" s="140"/>
      <c r="AB777" s="62"/>
      <c r="AC777" s="140"/>
      <c r="AD777" s="62"/>
      <c r="AE777" s="140"/>
      <c r="AF777" s="189" t="str">
        <f t="shared" si="34"/>
        <v/>
      </c>
      <c r="AG777" s="304" t="b">
        <f t="shared" si="33"/>
        <v>0</v>
      </c>
      <c r="AH777" s="9"/>
      <c r="AI777" s="145">
        <f t="shared" si="32"/>
        <v>0</v>
      </c>
      <c r="AJ777" s="147" t="s">
        <v>36</v>
      </c>
    </row>
    <row r="778" spans="1:36" ht="30" customHeight="1">
      <c r="A778" s="90"/>
      <c r="B778" s="90"/>
      <c r="C778" s="90"/>
      <c r="D778" s="90"/>
      <c r="E778" s="90"/>
      <c r="F778" s="90"/>
      <c r="G778" s="90"/>
      <c r="H778" s="90"/>
      <c r="I778" s="90"/>
      <c r="J778" s="90"/>
      <c r="K778" s="90"/>
      <c r="L778" s="90"/>
      <c r="M778" s="90"/>
      <c r="N778" s="150"/>
      <c r="O778" s="152"/>
      <c r="P778" s="90"/>
      <c r="Q778" s="140"/>
      <c r="R778" s="90"/>
      <c r="S778" s="140"/>
      <c r="T778" s="90"/>
      <c r="U778" s="140"/>
      <c r="V778" s="90"/>
      <c r="W778" s="140"/>
      <c r="X778" s="90"/>
      <c r="Y778" s="140"/>
      <c r="Z778" s="90"/>
      <c r="AA778" s="140"/>
      <c r="AB778" s="62"/>
      <c r="AC778" s="140"/>
      <c r="AD778" s="62"/>
      <c r="AE778" s="140"/>
      <c r="AF778" s="189" t="str">
        <f t="shared" si="34"/>
        <v/>
      </c>
      <c r="AG778" s="304" t="b">
        <f t="shared" si="33"/>
        <v>0</v>
      </c>
      <c r="AH778" s="9"/>
      <c r="AI778" s="145">
        <f t="shared" si="32"/>
        <v>0</v>
      </c>
      <c r="AJ778" s="147" t="s">
        <v>36</v>
      </c>
    </row>
    <row r="779" spans="1:36" ht="30" customHeight="1">
      <c r="A779" s="90"/>
      <c r="B779" s="90"/>
      <c r="C779" s="90"/>
      <c r="D779" s="90"/>
      <c r="E779" s="90"/>
      <c r="F779" s="90"/>
      <c r="G779" s="90"/>
      <c r="H779" s="90"/>
      <c r="I779" s="90"/>
      <c r="J779" s="90"/>
      <c r="K779" s="90"/>
      <c r="L779" s="90"/>
      <c r="M779" s="90"/>
      <c r="N779" s="150"/>
      <c r="O779" s="152"/>
      <c r="P779" s="90"/>
      <c r="Q779" s="140"/>
      <c r="R779" s="90"/>
      <c r="S779" s="140"/>
      <c r="T779" s="90"/>
      <c r="U779" s="140"/>
      <c r="V779" s="90"/>
      <c r="W779" s="140"/>
      <c r="X779" s="90"/>
      <c r="Y779" s="140"/>
      <c r="Z779" s="90"/>
      <c r="AA779" s="140"/>
      <c r="AB779" s="62"/>
      <c r="AC779" s="140"/>
      <c r="AD779" s="62"/>
      <c r="AE779" s="140"/>
      <c r="AF779" s="189" t="str">
        <f t="shared" si="34"/>
        <v/>
      </c>
      <c r="AG779" s="304" t="b">
        <f t="shared" si="33"/>
        <v>0</v>
      </c>
      <c r="AH779" s="9"/>
      <c r="AI779" s="145">
        <f t="shared" si="32"/>
        <v>0</v>
      </c>
      <c r="AJ779" s="147" t="s">
        <v>36</v>
      </c>
    </row>
    <row r="780" spans="1:36" ht="30" customHeight="1">
      <c r="A780" s="90"/>
      <c r="B780" s="90"/>
      <c r="C780" s="90"/>
      <c r="D780" s="90"/>
      <c r="E780" s="90"/>
      <c r="F780" s="90"/>
      <c r="G780" s="90"/>
      <c r="H780" s="90"/>
      <c r="I780" s="90"/>
      <c r="J780" s="90"/>
      <c r="K780" s="90"/>
      <c r="L780" s="90"/>
      <c r="M780" s="90"/>
      <c r="N780" s="150"/>
      <c r="O780" s="152"/>
      <c r="P780" s="90"/>
      <c r="Q780" s="140"/>
      <c r="R780" s="90"/>
      <c r="S780" s="140"/>
      <c r="T780" s="90"/>
      <c r="U780" s="140"/>
      <c r="V780" s="90"/>
      <c r="W780" s="140"/>
      <c r="X780" s="90"/>
      <c r="Y780" s="140"/>
      <c r="Z780" s="90"/>
      <c r="AA780" s="140"/>
      <c r="AB780" s="62"/>
      <c r="AC780" s="140"/>
      <c r="AD780" s="62"/>
      <c r="AE780" s="140"/>
      <c r="AF780" s="189" t="str">
        <f t="shared" si="34"/>
        <v/>
      </c>
      <c r="AG780" s="304" t="b">
        <f t="shared" si="33"/>
        <v>0</v>
      </c>
      <c r="AH780" s="9"/>
      <c r="AI780" s="145">
        <f t="shared" si="32"/>
        <v>0</v>
      </c>
      <c r="AJ780" s="147" t="s">
        <v>36</v>
      </c>
    </row>
    <row r="781" spans="1:36" ht="30" customHeight="1">
      <c r="A781" s="90"/>
      <c r="B781" s="90"/>
      <c r="C781" s="90"/>
      <c r="D781" s="90"/>
      <c r="E781" s="90"/>
      <c r="F781" s="90"/>
      <c r="G781" s="90"/>
      <c r="H781" s="90"/>
      <c r="I781" s="90"/>
      <c r="J781" s="90"/>
      <c r="K781" s="90"/>
      <c r="L781" s="90"/>
      <c r="M781" s="90"/>
      <c r="N781" s="150"/>
      <c r="O781" s="152"/>
      <c r="P781" s="90"/>
      <c r="Q781" s="140"/>
      <c r="R781" s="90"/>
      <c r="S781" s="140"/>
      <c r="T781" s="90"/>
      <c r="U781" s="140"/>
      <c r="V781" s="90"/>
      <c r="W781" s="140"/>
      <c r="X781" s="90"/>
      <c r="Y781" s="140"/>
      <c r="Z781" s="90"/>
      <c r="AA781" s="140"/>
      <c r="AB781" s="62"/>
      <c r="AC781" s="140"/>
      <c r="AD781" s="62"/>
      <c r="AE781" s="140"/>
      <c r="AF781" s="189" t="str">
        <f t="shared" si="34"/>
        <v/>
      </c>
      <c r="AG781" s="304" t="b">
        <f t="shared" si="33"/>
        <v>0</v>
      </c>
      <c r="AH781" s="9"/>
      <c r="AI781" s="145">
        <f t="shared" si="32"/>
        <v>0</v>
      </c>
      <c r="AJ781" s="147" t="s">
        <v>36</v>
      </c>
    </row>
    <row r="782" spans="1:36" ht="30" customHeight="1">
      <c r="A782" s="90"/>
      <c r="B782" s="90"/>
      <c r="C782" s="90"/>
      <c r="D782" s="90"/>
      <c r="E782" s="90"/>
      <c r="F782" s="90"/>
      <c r="G782" s="90"/>
      <c r="H782" s="90"/>
      <c r="I782" s="90"/>
      <c r="J782" s="90"/>
      <c r="K782" s="90"/>
      <c r="L782" s="90"/>
      <c r="M782" s="90"/>
      <c r="N782" s="150"/>
      <c r="O782" s="152"/>
      <c r="P782" s="90"/>
      <c r="Q782" s="140"/>
      <c r="R782" s="90"/>
      <c r="S782" s="140"/>
      <c r="T782" s="90"/>
      <c r="U782" s="140"/>
      <c r="V782" s="90"/>
      <c r="W782" s="140"/>
      <c r="X782" s="90"/>
      <c r="Y782" s="140"/>
      <c r="Z782" s="90"/>
      <c r="AA782" s="140"/>
      <c r="AB782" s="62"/>
      <c r="AC782" s="140"/>
      <c r="AD782" s="62"/>
      <c r="AE782" s="140"/>
      <c r="AF782" s="189" t="str">
        <f t="shared" si="34"/>
        <v/>
      </c>
      <c r="AG782" s="304" t="b">
        <f t="shared" si="33"/>
        <v>0</v>
      </c>
      <c r="AH782" s="9"/>
      <c r="AI782" s="145">
        <f t="shared" si="32"/>
        <v>0</v>
      </c>
      <c r="AJ782" s="147" t="s">
        <v>36</v>
      </c>
    </row>
    <row r="783" spans="1:36" ht="30" customHeight="1">
      <c r="A783" s="90"/>
      <c r="B783" s="90"/>
      <c r="C783" s="90"/>
      <c r="D783" s="90"/>
      <c r="E783" s="90"/>
      <c r="F783" s="90"/>
      <c r="G783" s="90"/>
      <c r="H783" s="90"/>
      <c r="I783" s="90"/>
      <c r="J783" s="90"/>
      <c r="K783" s="90"/>
      <c r="L783" s="90"/>
      <c r="M783" s="90"/>
      <c r="N783" s="150"/>
      <c r="O783" s="152"/>
      <c r="P783" s="90"/>
      <c r="Q783" s="140"/>
      <c r="R783" s="90"/>
      <c r="S783" s="140"/>
      <c r="T783" s="90"/>
      <c r="U783" s="140"/>
      <c r="V783" s="90"/>
      <c r="W783" s="140"/>
      <c r="X783" s="90"/>
      <c r="Y783" s="140"/>
      <c r="Z783" s="90"/>
      <c r="AA783" s="140"/>
      <c r="AB783" s="62"/>
      <c r="AC783" s="140"/>
      <c r="AD783" s="62"/>
      <c r="AE783" s="140"/>
      <c r="AF783" s="189" t="str">
        <f t="shared" si="34"/>
        <v/>
      </c>
      <c r="AG783" s="304" t="b">
        <f t="shared" si="33"/>
        <v>0</v>
      </c>
      <c r="AH783" s="9"/>
      <c r="AI783" s="145">
        <f t="shared" si="32"/>
        <v>0</v>
      </c>
      <c r="AJ783" s="147" t="s">
        <v>36</v>
      </c>
    </row>
    <row r="784" spans="1:36" ht="30" customHeight="1">
      <c r="A784" s="90"/>
      <c r="B784" s="90"/>
      <c r="C784" s="90"/>
      <c r="D784" s="90"/>
      <c r="E784" s="90"/>
      <c r="F784" s="90"/>
      <c r="G784" s="90"/>
      <c r="H784" s="90"/>
      <c r="I784" s="90"/>
      <c r="J784" s="90"/>
      <c r="K784" s="90"/>
      <c r="L784" s="90"/>
      <c r="M784" s="90"/>
      <c r="N784" s="150"/>
      <c r="O784" s="152"/>
      <c r="P784" s="90"/>
      <c r="Q784" s="140"/>
      <c r="R784" s="90"/>
      <c r="S784" s="140"/>
      <c r="T784" s="90"/>
      <c r="U784" s="140"/>
      <c r="V784" s="90"/>
      <c r="W784" s="140"/>
      <c r="X784" s="90"/>
      <c r="Y784" s="140"/>
      <c r="Z784" s="90"/>
      <c r="AA784" s="140"/>
      <c r="AB784" s="62"/>
      <c r="AC784" s="140"/>
      <c r="AD784" s="62"/>
      <c r="AE784" s="140"/>
      <c r="AF784" s="189" t="str">
        <f t="shared" si="34"/>
        <v/>
      </c>
      <c r="AG784" s="304" t="b">
        <f t="shared" si="33"/>
        <v>0</v>
      </c>
      <c r="AH784" s="9"/>
      <c r="AI784" s="145">
        <f t="shared" si="32"/>
        <v>0</v>
      </c>
      <c r="AJ784" s="147" t="s">
        <v>36</v>
      </c>
    </row>
    <row r="785" spans="1:36" ht="30" customHeight="1">
      <c r="A785" s="90"/>
      <c r="B785" s="90"/>
      <c r="C785" s="90"/>
      <c r="D785" s="90"/>
      <c r="E785" s="90"/>
      <c r="F785" s="90"/>
      <c r="G785" s="90"/>
      <c r="H785" s="90"/>
      <c r="I785" s="90"/>
      <c r="J785" s="90"/>
      <c r="K785" s="90"/>
      <c r="L785" s="90"/>
      <c r="M785" s="90"/>
      <c r="N785" s="150"/>
      <c r="O785" s="152"/>
      <c r="P785" s="90"/>
      <c r="Q785" s="140"/>
      <c r="R785" s="90"/>
      <c r="S785" s="140"/>
      <c r="T785" s="90"/>
      <c r="U785" s="140"/>
      <c r="V785" s="90"/>
      <c r="W785" s="140"/>
      <c r="X785" s="90"/>
      <c r="Y785" s="140"/>
      <c r="Z785" s="90"/>
      <c r="AA785" s="140"/>
      <c r="AB785" s="62"/>
      <c r="AC785" s="140"/>
      <c r="AD785" s="62"/>
      <c r="AE785" s="140"/>
      <c r="AF785" s="189" t="str">
        <f t="shared" si="34"/>
        <v/>
      </c>
      <c r="AG785" s="304" t="b">
        <f t="shared" si="33"/>
        <v>0</v>
      </c>
      <c r="AH785" s="9"/>
      <c r="AI785" s="145">
        <f t="shared" si="32"/>
        <v>0</v>
      </c>
      <c r="AJ785" s="147" t="s">
        <v>36</v>
      </c>
    </row>
    <row r="786" spans="1:36" ht="30" customHeight="1">
      <c r="A786" s="90"/>
      <c r="B786" s="90"/>
      <c r="C786" s="90"/>
      <c r="D786" s="90"/>
      <c r="E786" s="90"/>
      <c r="F786" s="90"/>
      <c r="G786" s="90"/>
      <c r="H786" s="90"/>
      <c r="I786" s="90"/>
      <c r="J786" s="90"/>
      <c r="K786" s="90"/>
      <c r="L786" s="90"/>
      <c r="M786" s="90"/>
      <c r="N786" s="150"/>
      <c r="O786" s="152"/>
      <c r="P786" s="90"/>
      <c r="Q786" s="140"/>
      <c r="R786" s="90"/>
      <c r="S786" s="140"/>
      <c r="T786" s="90"/>
      <c r="U786" s="140"/>
      <c r="V786" s="90"/>
      <c r="W786" s="140"/>
      <c r="X786" s="90"/>
      <c r="Y786" s="140"/>
      <c r="Z786" s="90"/>
      <c r="AA786" s="140"/>
      <c r="AB786" s="62"/>
      <c r="AC786" s="140"/>
      <c r="AD786" s="62"/>
      <c r="AE786" s="140"/>
      <c r="AF786" s="189" t="str">
        <f t="shared" si="34"/>
        <v/>
      </c>
      <c r="AG786" s="304" t="b">
        <f t="shared" si="33"/>
        <v>0</v>
      </c>
      <c r="AH786" s="9"/>
      <c r="AI786" s="145">
        <f t="shared" si="32"/>
        <v>0</v>
      </c>
      <c r="AJ786" s="147" t="s">
        <v>36</v>
      </c>
    </row>
    <row r="787" spans="1:36" ht="30" customHeight="1">
      <c r="A787" s="90"/>
      <c r="B787" s="90"/>
      <c r="C787" s="90"/>
      <c r="D787" s="90"/>
      <c r="E787" s="90"/>
      <c r="F787" s="90"/>
      <c r="G787" s="90"/>
      <c r="H787" s="90"/>
      <c r="I787" s="90"/>
      <c r="J787" s="90"/>
      <c r="K787" s="90"/>
      <c r="L787" s="90"/>
      <c r="M787" s="90"/>
      <c r="N787" s="150"/>
      <c r="O787" s="152"/>
      <c r="P787" s="90"/>
      <c r="Q787" s="140"/>
      <c r="R787" s="90"/>
      <c r="S787" s="140"/>
      <c r="T787" s="90"/>
      <c r="U787" s="140"/>
      <c r="V787" s="90"/>
      <c r="W787" s="140"/>
      <c r="X787" s="90"/>
      <c r="Y787" s="140"/>
      <c r="Z787" s="90"/>
      <c r="AA787" s="140"/>
      <c r="AB787" s="62"/>
      <c r="AC787" s="140"/>
      <c r="AD787" s="62"/>
      <c r="AE787" s="140"/>
      <c r="AF787" s="189" t="str">
        <f t="shared" si="34"/>
        <v/>
      </c>
      <c r="AG787" s="304" t="b">
        <f t="shared" si="33"/>
        <v>0</v>
      </c>
      <c r="AH787" s="9"/>
      <c r="AI787" s="145">
        <f t="shared" si="32"/>
        <v>0</v>
      </c>
      <c r="AJ787" s="147" t="s">
        <v>36</v>
      </c>
    </row>
    <row r="788" spans="1:36" ht="30" customHeight="1">
      <c r="A788" s="90"/>
      <c r="B788" s="90"/>
      <c r="C788" s="90"/>
      <c r="D788" s="90"/>
      <c r="E788" s="90"/>
      <c r="F788" s="90"/>
      <c r="G788" s="90"/>
      <c r="H788" s="90"/>
      <c r="I788" s="90"/>
      <c r="J788" s="90"/>
      <c r="K788" s="90"/>
      <c r="L788" s="90"/>
      <c r="M788" s="90"/>
      <c r="N788" s="150"/>
      <c r="O788" s="152"/>
      <c r="P788" s="90"/>
      <c r="Q788" s="140"/>
      <c r="R788" s="90"/>
      <c r="S788" s="140"/>
      <c r="T788" s="90"/>
      <c r="U788" s="140"/>
      <c r="V788" s="90"/>
      <c r="W788" s="140"/>
      <c r="X788" s="90"/>
      <c r="Y788" s="140"/>
      <c r="Z788" s="90"/>
      <c r="AA788" s="140"/>
      <c r="AB788" s="62"/>
      <c r="AC788" s="140"/>
      <c r="AD788" s="62"/>
      <c r="AE788" s="140"/>
      <c r="AF788" s="189" t="str">
        <f t="shared" si="34"/>
        <v/>
      </c>
      <c r="AG788" s="304" t="b">
        <f t="shared" si="33"/>
        <v>0</v>
      </c>
      <c r="AH788" s="9"/>
      <c r="AI788" s="145">
        <f t="shared" si="32"/>
        <v>0</v>
      </c>
      <c r="AJ788" s="147" t="s">
        <v>36</v>
      </c>
    </row>
    <row r="789" spans="1:36" ht="30" customHeight="1">
      <c r="A789" s="90"/>
      <c r="B789" s="90"/>
      <c r="C789" s="90"/>
      <c r="D789" s="90"/>
      <c r="E789" s="90"/>
      <c r="F789" s="90"/>
      <c r="G789" s="90"/>
      <c r="H789" s="90"/>
      <c r="I789" s="90"/>
      <c r="J789" s="90"/>
      <c r="K789" s="90"/>
      <c r="L789" s="90"/>
      <c r="M789" s="90"/>
      <c r="N789" s="150"/>
      <c r="O789" s="152"/>
      <c r="P789" s="90"/>
      <c r="Q789" s="140"/>
      <c r="R789" s="90"/>
      <c r="S789" s="140"/>
      <c r="T789" s="90"/>
      <c r="U789" s="140"/>
      <c r="V789" s="90"/>
      <c r="W789" s="140"/>
      <c r="X789" s="90"/>
      <c r="Y789" s="140"/>
      <c r="Z789" s="90"/>
      <c r="AA789" s="140"/>
      <c r="AB789" s="62"/>
      <c r="AC789" s="140"/>
      <c r="AD789" s="62"/>
      <c r="AE789" s="140"/>
      <c r="AF789" s="189" t="str">
        <f t="shared" si="34"/>
        <v/>
      </c>
      <c r="AG789" s="304" t="b">
        <f t="shared" si="33"/>
        <v>0</v>
      </c>
      <c r="AH789" s="9"/>
      <c r="AI789" s="145">
        <f t="shared" si="32"/>
        <v>0</v>
      </c>
      <c r="AJ789" s="147" t="s">
        <v>36</v>
      </c>
    </row>
    <row r="790" spans="1:36" ht="30" customHeight="1">
      <c r="A790" s="90"/>
      <c r="B790" s="90"/>
      <c r="C790" s="90"/>
      <c r="D790" s="90"/>
      <c r="E790" s="90"/>
      <c r="F790" s="90"/>
      <c r="G790" s="90"/>
      <c r="H790" s="90"/>
      <c r="I790" s="90"/>
      <c r="J790" s="90"/>
      <c r="K790" s="90"/>
      <c r="L790" s="90"/>
      <c r="M790" s="90"/>
      <c r="N790" s="150"/>
      <c r="O790" s="152"/>
      <c r="P790" s="90"/>
      <c r="Q790" s="140"/>
      <c r="R790" s="90"/>
      <c r="S790" s="140"/>
      <c r="T790" s="90"/>
      <c r="U790" s="140"/>
      <c r="V790" s="90"/>
      <c r="W790" s="140"/>
      <c r="X790" s="90"/>
      <c r="Y790" s="140"/>
      <c r="Z790" s="90"/>
      <c r="AA790" s="140"/>
      <c r="AB790" s="62"/>
      <c r="AC790" s="140"/>
      <c r="AD790" s="62"/>
      <c r="AE790" s="140"/>
      <c r="AF790" s="189" t="str">
        <f t="shared" si="34"/>
        <v/>
      </c>
      <c r="AG790" s="304" t="b">
        <f t="shared" si="33"/>
        <v>0</v>
      </c>
      <c r="AH790" s="9"/>
      <c r="AI790" s="145">
        <f t="shared" si="32"/>
        <v>0</v>
      </c>
      <c r="AJ790" s="147" t="s">
        <v>36</v>
      </c>
    </row>
    <row r="791" spans="1:36" ht="30" customHeight="1">
      <c r="A791" s="90"/>
      <c r="B791" s="90"/>
      <c r="C791" s="90"/>
      <c r="D791" s="90"/>
      <c r="E791" s="90"/>
      <c r="F791" s="90"/>
      <c r="G791" s="90"/>
      <c r="H791" s="90"/>
      <c r="I791" s="90"/>
      <c r="J791" s="90"/>
      <c r="K791" s="90"/>
      <c r="L791" s="90"/>
      <c r="M791" s="90"/>
      <c r="N791" s="150"/>
      <c r="O791" s="152"/>
      <c r="P791" s="90"/>
      <c r="Q791" s="140"/>
      <c r="R791" s="90"/>
      <c r="S791" s="140"/>
      <c r="T791" s="90"/>
      <c r="U791" s="140"/>
      <c r="V791" s="90"/>
      <c r="W791" s="140"/>
      <c r="X791" s="90"/>
      <c r="Y791" s="140"/>
      <c r="Z791" s="90"/>
      <c r="AA791" s="140"/>
      <c r="AB791" s="62"/>
      <c r="AC791" s="140"/>
      <c r="AD791" s="62"/>
      <c r="AE791" s="140"/>
      <c r="AF791" s="189" t="str">
        <f t="shared" si="34"/>
        <v/>
      </c>
      <c r="AG791" s="304" t="b">
        <f t="shared" si="33"/>
        <v>0</v>
      </c>
      <c r="AH791" s="9"/>
      <c r="AI791" s="145">
        <f t="shared" si="32"/>
        <v>0</v>
      </c>
      <c r="AJ791" s="147" t="s">
        <v>36</v>
      </c>
    </row>
    <row r="792" spans="1:36" ht="30" customHeight="1">
      <c r="A792" s="90"/>
      <c r="B792" s="90"/>
      <c r="C792" s="90"/>
      <c r="D792" s="90"/>
      <c r="E792" s="90"/>
      <c r="F792" s="90"/>
      <c r="G792" s="90"/>
      <c r="H792" s="90"/>
      <c r="I792" s="90"/>
      <c r="J792" s="90"/>
      <c r="K792" s="90"/>
      <c r="L792" s="90"/>
      <c r="M792" s="90"/>
      <c r="N792" s="150"/>
      <c r="O792" s="152"/>
      <c r="P792" s="90"/>
      <c r="Q792" s="140"/>
      <c r="R792" s="90"/>
      <c r="S792" s="140"/>
      <c r="T792" s="90"/>
      <c r="U792" s="140"/>
      <c r="V792" s="90"/>
      <c r="W792" s="140"/>
      <c r="X792" s="90"/>
      <c r="Y792" s="140"/>
      <c r="Z792" s="90"/>
      <c r="AA792" s="140"/>
      <c r="AB792" s="62"/>
      <c r="AC792" s="140"/>
      <c r="AD792" s="62"/>
      <c r="AE792" s="140"/>
      <c r="AF792" s="189" t="str">
        <f t="shared" si="34"/>
        <v/>
      </c>
      <c r="AG792" s="304" t="b">
        <f t="shared" si="33"/>
        <v>0</v>
      </c>
      <c r="AH792" s="9"/>
      <c r="AI792" s="145">
        <f t="shared" si="32"/>
        <v>0</v>
      </c>
      <c r="AJ792" s="147" t="s">
        <v>36</v>
      </c>
    </row>
    <row r="793" spans="1:36" ht="30" customHeight="1">
      <c r="A793" s="90"/>
      <c r="B793" s="90"/>
      <c r="C793" s="90"/>
      <c r="D793" s="90"/>
      <c r="E793" s="90"/>
      <c r="F793" s="90"/>
      <c r="G793" s="90"/>
      <c r="H793" s="90"/>
      <c r="I793" s="90"/>
      <c r="J793" s="90"/>
      <c r="K793" s="90"/>
      <c r="L793" s="90"/>
      <c r="M793" s="90"/>
      <c r="N793" s="150"/>
      <c r="O793" s="152"/>
      <c r="P793" s="90"/>
      <c r="Q793" s="140"/>
      <c r="R793" s="90"/>
      <c r="S793" s="140"/>
      <c r="T793" s="90"/>
      <c r="U793" s="140"/>
      <c r="V793" s="90"/>
      <c r="W793" s="140"/>
      <c r="X793" s="90"/>
      <c r="Y793" s="140"/>
      <c r="Z793" s="90"/>
      <c r="AA793" s="140"/>
      <c r="AB793" s="62"/>
      <c r="AC793" s="140"/>
      <c r="AD793" s="62"/>
      <c r="AE793" s="140"/>
      <c r="AF793" s="189" t="str">
        <f t="shared" si="34"/>
        <v/>
      </c>
      <c r="AG793" s="304" t="b">
        <f t="shared" si="33"/>
        <v>0</v>
      </c>
      <c r="AH793" s="9"/>
      <c r="AI793" s="145">
        <f t="shared" si="32"/>
        <v>0</v>
      </c>
      <c r="AJ793" s="147" t="s">
        <v>36</v>
      </c>
    </row>
    <row r="794" spans="1:36" ht="30" customHeight="1">
      <c r="A794" s="90"/>
      <c r="B794" s="90"/>
      <c r="C794" s="90"/>
      <c r="D794" s="90"/>
      <c r="E794" s="90"/>
      <c r="F794" s="90"/>
      <c r="G794" s="90"/>
      <c r="H794" s="90"/>
      <c r="I794" s="90"/>
      <c r="J794" s="90"/>
      <c r="K794" s="90"/>
      <c r="L794" s="90"/>
      <c r="M794" s="90"/>
      <c r="N794" s="150"/>
      <c r="O794" s="152"/>
      <c r="P794" s="90"/>
      <c r="Q794" s="140"/>
      <c r="R794" s="90"/>
      <c r="S794" s="140"/>
      <c r="T794" s="90"/>
      <c r="U794" s="140"/>
      <c r="V794" s="90"/>
      <c r="W794" s="140"/>
      <c r="X794" s="90"/>
      <c r="Y794" s="140"/>
      <c r="Z794" s="90"/>
      <c r="AA794" s="140"/>
      <c r="AB794" s="62"/>
      <c r="AC794" s="140"/>
      <c r="AD794" s="62"/>
      <c r="AE794" s="140"/>
      <c r="AF794" s="189" t="str">
        <f t="shared" si="34"/>
        <v/>
      </c>
      <c r="AG794" s="304" t="b">
        <f t="shared" si="33"/>
        <v>0</v>
      </c>
      <c r="AH794" s="9"/>
      <c r="AI794" s="145">
        <f t="shared" si="32"/>
        <v>0</v>
      </c>
      <c r="AJ794" s="147" t="s">
        <v>36</v>
      </c>
    </row>
    <row r="795" spans="1:36" ht="30" customHeight="1">
      <c r="A795" s="90"/>
      <c r="B795" s="90"/>
      <c r="C795" s="90"/>
      <c r="D795" s="90"/>
      <c r="E795" s="90"/>
      <c r="F795" s="90"/>
      <c r="G795" s="90"/>
      <c r="H795" s="90"/>
      <c r="I795" s="90"/>
      <c r="J795" s="90"/>
      <c r="K795" s="90"/>
      <c r="L795" s="90"/>
      <c r="M795" s="90"/>
      <c r="N795" s="150"/>
      <c r="O795" s="152"/>
      <c r="P795" s="90"/>
      <c r="Q795" s="140"/>
      <c r="R795" s="90"/>
      <c r="S795" s="140"/>
      <c r="T795" s="90"/>
      <c r="U795" s="140"/>
      <c r="V795" s="90"/>
      <c r="W795" s="140"/>
      <c r="X795" s="90"/>
      <c r="Y795" s="140"/>
      <c r="Z795" s="90"/>
      <c r="AA795" s="140"/>
      <c r="AB795" s="62"/>
      <c r="AC795" s="140"/>
      <c r="AD795" s="62"/>
      <c r="AE795" s="140"/>
      <c r="AF795" s="189" t="str">
        <f t="shared" si="34"/>
        <v/>
      </c>
      <c r="AG795" s="304" t="b">
        <f t="shared" si="33"/>
        <v>0</v>
      </c>
      <c r="AH795" s="9"/>
      <c r="AI795" s="145">
        <f t="shared" si="32"/>
        <v>0</v>
      </c>
      <c r="AJ795" s="147" t="s">
        <v>36</v>
      </c>
    </row>
    <row r="796" spans="1:36" ht="30" customHeight="1">
      <c r="A796" s="90"/>
      <c r="B796" s="90"/>
      <c r="C796" s="90"/>
      <c r="D796" s="90"/>
      <c r="E796" s="90"/>
      <c r="F796" s="90"/>
      <c r="G796" s="90"/>
      <c r="H796" s="90"/>
      <c r="I796" s="90"/>
      <c r="J796" s="90"/>
      <c r="K796" s="90"/>
      <c r="L796" s="90"/>
      <c r="M796" s="90"/>
      <c r="N796" s="150"/>
      <c r="O796" s="152"/>
      <c r="P796" s="90"/>
      <c r="Q796" s="140"/>
      <c r="R796" s="90"/>
      <c r="S796" s="140"/>
      <c r="T796" s="90"/>
      <c r="U796" s="140"/>
      <c r="V796" s="90"/>
      <c r="W796" s="140"/>
      <c r="X796" s="90"/>
      <c r="Y796" s="140"/>
      <c r="Z796" s="90"/>
      <c r="AA796" s="140"/>
      <c r="AB796" s="62"/>
      <c r="AC796" s="140"/>
      <c r="AD796" s="62"/>
      <c r="AE796" s="140"/>
      <c r="AF796" s="189" t="str">
        <f t="shared" si="34"/>
        <v/>
      </c>
      <c r="AG796" s="304" t="b">
        <f t="shared" si="33"/>
        <v>0</v>
      </c>
      <c r="AH796" s="9"/>
      <c r="AI796" s="145">
        <f t="shared" si="32"/>
        <v>0</v>
      </c>
      <c r="AJ796" s="147" t="s">
        <v>36</v>
      </c>
    </row>
    <row r="797" spans="1:36" ht="30" customHeight="1">
      <c r="A797" s="90"/>
      <c r="B797" s="90"/>
      <c r="C797" s="90"/>
      <c r="D797" s="90"/>
      <c r="E797" s="90"/>
      <c r="F797" s="90"/>
      <c r="G797" s="90"/>
      <c r="H797" s="90"/>
      <c r="I797" s="90"/>
      <c r="J797" s="90"/>
      <c r="K797" s="90"/>
      <c r="L797" s="90"/>
      <c r="M797" s="90"/>
      <c r="N797" s="150"/>
      <c r="O797" s="152"/>
      <c r="P797" s="90"/>
      <c r="Q797" s="140"/>
      <c r="R797" s="90"/>
      <c r="S797" s="140"/>
      <c r="T797" s="90"/>
      <c r="U797" s="140"/>
      <c r="V797" s="90"/>
      <c r="W797" s="140"/>
      <c r="X797" s="90"/>
      <c r="Y797" s="140"/>
      <c r="Z797" s="90"/>
      <c r="AA797" s="140"/>
      <c r="AB797" s="62"/>
      <c r="AC797" s="140"/>
      <c r="AD797" s="62"/>
      <c r="AE797" s="140"/>
      <c r="AF797" s="189" t="str">
        <f t="shared" si="34"/>
        <v/>
      </c>
      <c r="AG797" s="304" t="b">
        <f t="shared" si="33"/>
        <v>0</v>
      </c>
      <c r="AH797" s="9"/>
      <c r="AI797" s="145">
        <f t="shared" si="32"/>
        <v>0</v>
      </c>
      <c r="AJ797" s="147" t="s">
        <v>36</v>
      </c>
    </row>
    <row r="798" spans="1:36" ht="30" customHeight="1">
      <c r="A798" s="90"/>
      <c r="B798" s="90"/>
      <c r="C798" s="90"/>
      <c r="D798" s="90"/>
      <c r="E798" s="90"/>
      <c r="F798" s="90"/>
      <c r="G798" s="90"/>
      <c r="H798" s="90"/>
      <c r="I798" s="90"/>
      <c r="J798" s="90"/>
      <c r="K798" s="90"/>
      <c r="L798" s="90"/>
      <c r="M798" s="90"/>
      <c r="N798" s="150"/>
      <c r="O798" s="152"/>
      <c r="P798" s="90"/>
      <c r="Q798" s="140"/>
      <c r="R798" s="90"/>
      <c r="S798" s="140"/>
      <c r="T798" s="90"/>
      <c r="U798" s="140"/>
      <c r="V798" s="90"/>
      <c r="W798" s="140"/>
      <c r="X798" s="90"/>
      <c r="Y798" s="140"/>
      <c r="Z798" s="90"/>
      <c r="AA798" s="140"/>
      <c r="AB798" s="62"/>
      <c r="AC798" s="140"/>
      <c r="AD798" s="62"/>
      <c r="AE798" s="140"/>
      <c r="AF798" s="189" t="str">
        <f t="shared" si="34"/>
        <v/>
      </c>
      <c r="AG798" s="304" t="b">
        <f t="shared" si="33"/>
        <v>0</v>
      </c>
      <c r="AH798" s="9"/>
      <c r="AI798" s="145">
        <f t="shared" si="32"/>
        <v>0</v>
      </c>
      <c r="AJ798" s="147" t="s">
        <v>36</v>
      </c>
    </row>
    <row r="799" spans="1:36" ht="30" customHeight="1">
      <c r="A799" s="90"/>
      <c r="B799" s="90"/>
      <c r="C799" s="90"/>
      <c r="D799" s="90"/>
      <c r="E799" s="90"/>
      <c r="F799" s="90"/>
      <c r="G799" s="90"/>
      <c r="H799" s="90"/>
      <c r="I799" s="90"/>
      <c r="J799" s="90"/>
      <c r="K799" s="90"/>
      <c r="L799" s="90"/>
      <c r="M799" s="90"/>
      <c r="N799" s="150"/>
      <c r="O799" s="152"/>
      <c r="P799" s="90"/>
      <c r="Q799" s="140"/>
      <c r="R799" s="90"/>
      <c r="S799" s="140"/>
      <c r="T799" s="90"/>
      <c r="U799" s="140"/>
      <c r="V799" s="90"/>
      <c r="W799" s="140"/>
      <c r="X799" s="90"/>
      <c r="Y799" s="140"/>
      <c r="Z799" s="90"/>
      <c r="AA799" s="140"/>
      <c r="AB799" s="62"/>
      <c r="AC799" s="140"/>
      <c r="AD799" s="62"/>
      <c r="AE799" s="140"/>
      <c r="AF799" s="189" t="str">
        <f t="shared" si="34"/>
        <v/>
      </c>
      <c r="AG799" s="304" t="b">
        <f t="shared" si="33"/>
        <v>0</v>
      </c>
      <c r="AH799" s="9"/>
      <c r="AI799" s="145">
        <f t="shared" si="32"/>
        <v>0</v>
      </c>
      <c r="AJ799" s="147" t="s">
        <v>36</v>
      </c>
    </row>
    <row r="800" spans="1:36" ht="30" customHeight="1">
      <c r="A800" s="90"/>
      <c r="B800" s="90"/>
      <c r="C800" s="90"/>
      <c r="D800" s="90"/>
      <c r="E800" s="90"/>
      <c r="F800" s="90"/>
      <c r="G800" s="90"/>
      <c r="H800" s="90"/>
      <c r="I800" s="90"/>
      <c r="J800" s="90"/>
      <c r="K800" s="90"/>
      <c r="L800" s="90"/>
      <c r="M800" s="90"/>
      <c r="N800" s="150"/>
      <c r="O800" s="152"/>
      <c r="P800" s="90"/>
      <c r="Q800" s="140"/>
      <c r="R800" s="90"/>
      <c r="S800" s="140"/>
      <c r="T800" s="90"/>
      <c r="U800" s="140"/>
      <c r="V800" s="90"/>
      <c r="W800" s="140"/>
      <c r="X800" s="90"/>
      <c r="Y800" s="140"/>
      <c r="Z800" s="90"/>
      <c r="AA800" s="140"/>
      <c r="AB800" s="62"/>
      <c r="AC800" s="140"/>
      <c r="AD800" s="62"/>
      <c r="AE800" s="140"/>
      <c r="AF800" s="189" t="str">
        <f t="shared" si="34"/>
        <v/>
      </c>
      <c r="AG800" s="304" t="b">
        <f t="shared" si="33"/>
        <v>0</v>
      </c>
      <c r="AH800" s="9"/>
      <c r="AI800" s="145">
        <f t="shared" si="32"/>
        <v>0</v>
      </c>
      <c r="AJ800" s="147" t="s">
        <v>36</v>
      </c>
    </row>
    <row r="801" spans="1:36" ht="30" customHeight="1">
      <c r="A801" s="90"/>
      <c r="B801" s="90"/>
      <c r="C801" s="90"/>
      <c r="D801" s="90"/>
      <c r="E801" s="90"/>
      <c r="F801" s="90"/>
      <c r="G801" s="90"/>
      <c r="H801" s="90"/>
      <c r="I801" s="90"/>
      <c r="J801" s="90"/>
      <c r="K801" s="90"/>
      <c r="L801" s="90"/>
      <c r="M801" s="90"/>
      <c r="N801" s="150"/>
      <c r="O801" s="152"/>
      <c r="P801" s="90"/>
      <c r="Q801" s="140"/>
      <c r="R801" s="90"/>
      <c r="S801" s="140"/>
      <c r="T801" s="90"/>
      <c r="U801" s="140"/>
      <c r="V801" s="90"/>
      <c r="W801" s="140"/>
      <c r="X801" s="90"/>
      <c r="Y801" s="140"/>
      <c r="Z801" s="90"/>
      <c r="AA801" s="140"/>
      <c r="AB801" s="62"/>
      <c r="AC801" s="140"/>
      <c r="AD801" s="62"/>
      <c r="AE801" s="140"/>
      <c r="AF801" s="189" t="str">
        <f t="shared" si="34"/>
        <v/>
      </c>
      <c r="AG801" s="304" t="b">
        <f t="shared" si="33"/>
        <v>0</v>
      </c>
      <c r="AH801" s="9"/>
      <c r="AI801" s="145">
        <f t="shared" si="32"/>
        <v>0</v>
      </c>
      <c r="AJ801" s="147" t="s">
        <v>36</v>
      </c>
    </row>
    <row r="802" spans="1:36" ht="30" customHeight="1">
      <c r="A802" s="90"/>
      <c r="B802" s="90"/>
      <c r="C802" s="90"/>
      <c r="D802" s="90"/>
      <c r="E802" s="90"/>
      <c r="F802" s="90"/>
      <c r="G802" s="90"/>
      <c r="H802" s="90"/>
      <c r="I802" s="90"/>
      <c r="J802" s="90"/>
      <c r="K802" s="90"/>
      <c r="L802" s="90"/>
      <c r="M802" s="90"/>
      <c r="N802" s="150"/>
      <c r="O802" s="152"/>
      <c r="P802" s="90"/>
      <c r="Q802" s="140"/>
      <c r="R802" s="90"/>
      <c r="S802" s="140"/>
      <c r="T802" s="90"/>
      <c r="U802" s="140"/>
      <c r="V802" s="90"/>
      <c r="W802" s="140"/>
      <c r="X802" s="90"/>
      <c r="Y802" s="140"/>
      <c r="Z802" s="90"/>
      <c r="AA802" s="140"/>
      <c r="AB802" s="62"/>
      <c r="AC802" s="140"/>
      <c r="AD802" s="62"/>
      <c r="AE802" s="140"/>
      <c r="AF802" s="189" t="str">
        <f t="shared" si="34"/>
        <v/>
      </c>
      <c r="AG802" s="304" t="b">
        <f t="shared" si="33"/>
        <v>0</v>
      </c>
      <c r="AH802" s="9"/>
      <c r="AI802" s="145">
        <f t="shared" si="32"/>
        <v>0</v>
      </c>
      <c r="AJ802" s="147" t="s">
        <v>36</v>
      </c>
    </row>
    <row r="803" spans="1:36" ht="30" customHeight="1">
      <c r="A803" s="90"/>
      <c r="B803" s="90"/>
      <c r="C803" s="90"/>
      <c r="D803" s="90"/>
      <c r="E803" s="90"/>
      <c r="F803" s="90"/>
      <c r="G803" s="90"/>
      <c r="H803" s="90"/>
      <c r="I803" s="90"/>
      <c r="J803" s="90"/>
      <c r="K803" s="90"/>
      <c r="L803" s="90"/>
      <c r="M803" s="90"/>
      <c r="N803" s="150"/>
      <c r="O803" s="152"/>
      <c r="P803" s="90"/>
      <c r="Q803" s="140"/>
      <c r="R803" s="90"/>
      <c r="S803" s="140"/>
      <c r="T803" s="90"/>
      <c r="U803" s="140"/>
      <c r="V803" s="90"/>
      <c r="W803" s="140"/>
      <c r="X803" s="90"/>
      <c r="Y803" s="140"/>
      <c r="Z803" s="90"/>
      <c r="AA803" s="140"/>
      <c r="AB803" s="62"/>
      <c r="AC803" s="140"/>
      <c r="AD803" s="62"/>
      <c r="AE803" s="140"/>
      <c r="AF803" s="189" t="str">
        <f t="shared" si="34"/>
        <v/>
      </c>
      <c r="AG803" s="304" t="b">
        <f t="shared" si="33"/>
        <v>0</v>
      </c>
      <c r="AH803" s="9"/>
      <c r="AI803" s="145">
        <f t="shared" si="32"/>
        <v>0</v>
      </c>
      <c r="AJ803" s="147" t="s">
        <v>36</v>
      </c>
    </row>
    <row r="804" spans="1:36" ht="30" customHeight="1">
      <c r="A804" s="90"/>
      <c r="B804" s="90"/>
      <c r="C804" s="90"/>
      <c r="D804" s="90"/>
      <c r="E804" s="90"/>
      <c r="F804" s="90"/>
      <c r="G804" s="90"/>
      <c r="H804" s="90"/>
      <c r="I804" s="90"/>
      <c r="J804" s="90"/>
      <c r="K804" s="90"/>
      <c r="L804" s="90"/>
      <c r="M804" s="90"/>
      <c r="N804" s="150"/>
      <c r="O804" s="152"/>
      <c r="P804" s="90"/>
      <c r="Q804" s="140"/>
      <c r="R804" s="90"/>
      <c r="S804" s="140"/>
      <c r="T804" s="90"/>
      <c r="U804" s="140"/>
      <c r="V804" s="90"/>
      <c r="W804" s="140"/>
      <c r="X804" s="90"/>
      <c r="Y804" s="140"/>
      <c r="Z804" s="90"/>
      <c r="AA804" s="140"/>
      <c r="AB804" s="62"/>
      <c r="AC804" s="140"/>
      <c r="AD804" s="62"/>
      <c r="AE804" s="140"/>
      <c r="AF804" s="189" t="str">
        <f t="shared" si="34"/>
        <v/>
      </c>
      <c r="AG804" s="304" t="b">
        <f t="shared" si="33"/>
        <v>0</v>
      </c>
      <c r="AH804" s="9"/>
      <c r="AI804" s="145">
        <f t="shared" si="32"/>
        <v>0</v>
      </c>
      <c r="AJ804" s="147" t="s">
        <v>36</v>
      </c>
    </row>
    <row r="805" spans="1:36" ht="30" customHeight="1">
      <c r="A805" s="90"/>
      <c r="B805" s="90"/>
      <c r="C805" s="90"/>
      <c r="D805" s="90"/>
      <c r="E805" s="90"/>
      <c r="F805" s="90"/>
      <c r="G805" s="90"/>
      <c r="H805" s="90"/>
      <c r="I805" s="90"/>
      <c r="J805" s="90"/>
      <c r="K805" s="90"/>
      <c r="L805" s="90"/>
      <c r="M805" s="90"/>
      <c r="N805" s="150"/>
      <c r="O805" s="152"/>
      <c r="P805" s="90"/>
      <c r="Q805" s="140"/>
      <c r="R805" s="90"/>
      <c r="S805" s="140"/>
      <c r="T805" s="90"/>
      <c r="U805" s="140"/>
      <c r="V805" s="90"/>
      <c r="W805" s="140"/>
      <c r="X805" s="90"/>
      <c r="Y805" s="140"/>
      <c r="Z805" s="90"/>
      <c r="AA805" s="140"/>
      <c r="AB805" s="62"/>
      <c r="AC805" s="140"/>
      <c r="AD805" s="62"/>
      <c r="AE805" s="140"/>
      <c r="AF805" s="189" t="str">
        <f t="shared" si="34"/>
        <v/>
      </c>
      <c r="AG805" s="304" t="b">
        <f t="shared" si="33"/>
        <v>0</v>
      </c>
      <c r="AH805" s="9"/>
      <c r="AI805" s="145">
        <f t="shared" si="32"/>
        <v>0</v>
      </c>
      <c r="AJ805" s="147" t="s">
        <v>36</v>
      </c>
    </row>
    <row r="806" spans="1:36" ht="30" customHeight="1">
      <c r="A806" s="90"/>
      <c r="B806" s="90"/>
      <c r="C806" s="90"/>
      <c r="D806" s="90"/>
      <c r="E806" s="90"/>
      <c r="F806" s="90"/>
      <c r="G806" s="90"/>
      <c r="H806" s="90"/>
      <c r="I806" s="90"/>
      <c r="J806" s="90"/>
      <c r="K806" s="90"/>
      <c r="L806" s="90"/>
      <c r="M806" s="90"/>
      <c r="N806" s="150"/>
      <c r="O806" s="152"/>
      <c r="P806" s="90"/>
      <c r="Q806" s="140"/>
      <c r="R806" s="90"/>
      <c r="S806" s="140"/>
      <c r="T806" s="90"/>
      <c r="U806" s="140"/>
      <c r="V806" s="90"/>
      <c r="W806" s="140"/>
      <c r="X806" s="90"/>
      <c r="Y806" s="140"/>
      <c r="Z806" s="90"/>
      <c r="AA806" s="140"/>
      <c r="AB806" s="62"/>
      <c r="AC806" s="140"/>
      <c r="AD806" s="62"/>
      <c r="AE806" s="140"/>
      <c r="AF806" s="189" t="str">
        <f t="shared" si="34"/>
        <v/>
      </c>
      <c r="AG806" s="304" t="b">
        <f t="shared" si="33"/>
        <v>0</v>
      </c>
      <c r="AH806" s="9"/>
      <c r="AI806" s="145">
        <f t="shared" si="32"/>
        <v>0</v>
      </c>
      <c r="AJ806" s="147" t="s">
        <v>36</v>
      </c>
    </row>
    <row r="807" spans="1:36" ht="30" customHeight="1">
      <c r="A807" s="90"/>
      <c r="B807" s="90"/>
      <c r="C807" s="90"/>
      <c r="D807" s="90"/>
      <c r="E807" s="90"/>
      <c r="F807" s="90"/>
      <c r="G807" s="90"/>
      <c r="H807" s="90"/>
      <c r="I807" s="90"/>
      <c r="J807" s="90"/>
      <c r="K807" s="90"/>
      <c r="L807" s="90"/>
      <c r="M807" s="90"/>
      <c r="N807" s="150"/>
      <c r="O807" s="152"/>
      <c r="P807" s="90"/>
      <c r="Q807" s="140"/>
      <c r="R807" s="90"/>
      <c r="S807" s="140"/>
      <c r="T807" s="90"/>
      <c r="U807" s="140"/>
      <c r="V807" s="90"/>
      <c r="W807" s="140"/>
      <c r="X807" s="90"/>
      <c r="Y807" s="140"/>
      <c r="Z807" s="90"/>
      <c r="AA807" s="140"/>
      <c r="AB807" s="62"/>
      <c r="AC807" s="140"/>
      <c r="AD807" s="62"/>
      <c r="AE807" s="140"/>
      <c r="AF807" s="189" t="str">
        <f t="shared" si="34"/>
        <v/>
      </c>
      <c r="AG807" s="304" t="b">
        <f t="shared" si="33"/>
        <v>0</v>
      </c>
      <c r="AH807" s="9"/>
      <c r="AI807" s="145">
        <f t="shared" si="32"/>
        <v>0</v>
      </c>
      <c r="AJ807" s="147" t="s">
        <v>36</v>
      </c>
    </row>
    <row r="808" spans="1:36" ht="30" customHeight="1">
      <c r="A808" s="90"/>
      <c r="B808" s="90"/>
      <c r="C808" s="90"/>
      <c r="D808" s="90"/>
      <c r="E808" s="90"/>
      <c r="F808" s="90"/>
      <c r="G808" s="90"/>
      <c r="H808" s="90"/>
      <c r="I808" s="90"/>
      <c r="J808" s="90"/>
      <c r="K808" s="90"/>
      <c r="L808" s="90"/>
      <c r="M808" s="90"/>
      <c r="N808" s="150"/>
      <c r="O808" s="152"/>
      <c r="P808" s="90"/>
      <c r="Q808" s="140"/>
      <c r="R808" s="90"/>
      <c r="S808" s="140"/>
      <c r="T808" s="90"/>
      <c r="U808" s="140"/>
      <c r="V808" s="90"/>
      <c r="W808" s="140"/>
      <c r="X808" s="90"/>
      <c r="Y808" s="140"/>
      <c r="Z808" s="90"/>
      <c r="AA808" s="140"/>
      <c r="AB808" s="62"/>
      <c r="AC808" s="140"/>
      <c r="AD808" s="62"/>
      <c r="AE808" s="140"/>
      <c r="AF808" s="189" t="str">
        <f t="shared" si="34"/>
        <v/>
      </c>
      <c r="AG808" s="304" t="b">
        <f t="shared" si="33"/>
        <v>0</v>
      </c>
      <c r="AH808" s="9"/>
      <c r="AI808" s="145">
        <f t="shared" si="32"/>
        <v>0</v>
      </c>
      <c r="AJ808" s="147" t="s">
        <v>36</v>
      </c>
    </row>
    <row r="809" spans="1:36" ht="30" customHeight="1">
      <c r="A809" s="90"/>
      <c r="B809" s="90"/>
      <c r="C809" s="90"/>
      <c r="D809" s="90"/>
      <c r="E809" s="90"/>
      <c r="F809" s="90"/>
      <c r="G809" s="90"/>
      <c r="H809" s="90"/>
      <c r="I809" s="90"/>
      <c r="J809" s="90"/>
      <c r="K809" s="90"/>
      <c r="L809" s="90"/>
      <c r="M809" s="90"/>
      <c r="N809" s="150"/>
      <c r="O809" s="152"/>
      <c r="P809" s="90"/>
      <c r="Q809" s="140"/>
      <c r="R809" s="90"/>
      <c r="S809" s="140"/>
      <c r="T809" s="90"/>
      <c r="U809" s="140"/>
      <c r="V809" s="90"/>
      <c r="W809" s="140"/>
      <c r="X809" s="90"/>
      <c r="Y809" s="140"/>
      <c r="Z809" s="90"/>
      <c r="AA809" s="140"/>
      <c r="AB809" s="62"/>
      <c r="AC809" s="140"/>
      <c r="AD809" s="62"/>
      <c r="AE809" s="140"/>
      <c r="AF809" s="189" t="str">
        <f t="shared" si="34"/>
        <v/>
      </c>
      <c r="AG809" s="304" t="b">
        <f t="shared" si="33"/>
        <v>0</v>
      </c>
      <c r="AH809" s="9"/>
      <c r="AI809" s="145">
        <f t="shared" si="32"/>
        <v>0</v>
      </c>
      <c r="AJ809" s="147" t="s">
        <v>36</v>
      </c>
    </row>
    <row r="810" spans="1:36" ht="30" customHeight="1">
      <c r="A810" s="90"/>
      <c r="B810" s="90"/>
      <c r="C810" s="90"/>
      <c r="D810" s="90"/>
      <c r="E810" s="90"/>
      <c r="F810" s="90"/>
      <c r="G810" s="90"/>
      <c r="H810" s="90"/>
      <c r="I810" s="90"/>
      <c r="J810" s="90"/>
      <c r="K810" s="90"/>
      <c r="L810" s="90"/>
      <c r="M810" s="90"/>
      <c r="N810" s="150"/>
      <c r="O810" s="152"/>
      <c r="P810" s="90"/>
      <c r="Q810" s="140"/>
      <c r="R810" s="90"/>
      <c r="S810" s="140"/>
      <c r="T810" s="90"/>
      <c r="U810" s="140"/>
      <c r="V810" s="90"/>
      <c r="W810" s="140"/>
      <c r="X810" s="90"/>
      <c r="Y810" s="140"/>
      <c r="Z810" s="90"/>
      <c r="AA810" s="140"/>
      <c r="AB810" s="62"/>
      <c r="AC810" s="140"/>
      <c r="AD810" s="62"/>
      <c r="AE810" s="140"/>
      <c r="AF810" s="189" t="str">
        <f t="shared" si="34"/>
        <v/>
      </c>
      <c r="AG810" s="304" t="b">
        <f t="shared" si="33"/>
        <v>0</v>
      </c>
      <c r="AH810" s="9"/>
      <c r="AI810" s="145">
        <f t="shared" si="32"/>
        <v>0</v>
      </c>
      <c r="AJ810" s="147" t="s">
        <v>36</v>
      </c>
    </row>
    <row r="811" spans="1:36" ht="30" customHeight="1">
      <c r="A811" s="90"/>
      <c r="B811" s="90"/>
      <c r="C811" s="90"/>
      <c r="D811" s="90"/>
      <c r="E811" s="90"/>
      <c r="F811" s="90"/>
      <c r="G811" s="90"/>
      <c r="H811" s="90"/>
      <c r="I811" s="90"/>
      <c r="J811" s="90"/>
      <c r="K811" s="90"/>
      <c r="L811" s="90"/>
      <c r="M811" s="90"/>
      <c r="N811" s="150"/>
      <c r="O811" s="152"/>
      <c r="P811" s="90"/>
      <c r="Q811" s="140"/>
      <c r="R811" s="90"/>
      <c r="S811" s="140"/>
      <c r="T811" s="90"/>
      <c r="U811" s="140"/>
      <c r="V811" s="90"/>
      <c r="W811" s="140"/>
      <c r="X811" s="90"/>
      <c r="Y811" s="140"/>
      <c r="Z811" s="90"/>
      <c r="AA811" s="140"/>
      <c r="AB811" s="62"/>
      <c r="AC811" s="140"/>
      <c r="AD811" s="62"/>
      <c r="AE811" s="140"/>
      <c r="AF811" s="189" t="str">
        <f t="shared" si="34"/>
        <v/>
      </c>
      <c r="AG811" s="304" t="b">
        <f t="shared" si="33"/>
        <v>0</v>
      </c>
      <c r="AH811" s="9"/>
      <c r="AI811" s="145">
        <f t="shared" si="32"/>
        <v>0</v>
      </c>
      <c r="AJ811" s="147" t="s">
        <v>36</v>
      </c>
    </row>
    <row r="812" spans="1:36" ht="30" customHeight="1">
      <c r="A812" s="90"/>
      <c r="B812" s="90"/>
      <c r="C812" s="90"/>
      <c r="D812" s="90"/>
      <c r="E812" s="90"/>
      <c r="F812" s="90"/>
      <c r="G812" s="90"/>
      <c r="H812" s="90"/>
      <c r="I812" s="90"/>
      <c r="J812" s="90"/>
      <c r="K812" s="90"/>
      <c r="L812" s="90"/>
      <c r="M812" s="90"/>
      <c r="N812" s="150"/>
      <c r="O812" s="152"/>
      <c r="P812" s="90"/>
      <c r="Q812" s="140"/>
      <c r="R812" s="90"/>
      <c r="S812" s="140"/>
      <c r="T812" s="90"/>
      <c r="U812" s="140"/>
      <c r="V812" s="90"/>
      <c r="W812" s="140"/>
      <c r="X812" s="90"/>
      <c r="Y812" s="140"/>
      <c r="Z812" s="90"/>
      <c r="AA812" s="140"/>
      <c r="AB812" s="62"/>
      <c r="AC812" s="140"/>
      <c r="AD812" s="62"/>
      <c r="AE812" s="140"/>
      <c r="AF812" s="189" t="str">
        <f t="shared" si="34"/>
        <v/>
      </c>
      <c r="AG812" s="304" t="b">
        <f t="shared" si="33"/>
        <v>0</v>
      </c>
      <c r="AH812" s="9"/>
      <c r="AI812" s="145">
        <f t="shared" si="32"/>
        <v>0</v>
      </c>
      <c r="AJ812" s="147" t="s">
        <v>36</v>
      </c>
    </row>
    <row r="813" spans="1:36" ht="30" customHeight="1">
      <c r="A813" s="90"/>
      <c r="B813" s="90"/>
      <c r="C813" s="90"/>
      <c r="D813" s="90"/>
      <c r="E813" s="90"/>
      <c r="F813" s="90"/>
      <c r="G813" s="90"/>
      <c r="H813" s="90"/>
      <c r="I813" s="90"/>
      <c r="J813" s="90"/>
      <c r="K813" s="90"/>
      <c r="L813" s="90"/>
      <c r="M813" s="90"/>
      <c r="N813" s="150"/>
      <c r="O813" s="152"/>
      <c r="P813" s="90"/>
      <c r="Q813" s="140"/>
      <c r="R813" s="90"/>
      <c r="S813" s="140"/>
      <c r="T813" s="90"/>
      <c r="U813" s="140"/>
      <c r="V813" s="90"/>
      <c r="W813" s="140"/>
      <c r="X813" s="90"/>
      <c r="Y813" s="140"/>
      <c r="Z813" s="90"/>
      <c r="AA813" s="140"/>
      <c r="AB813" s="62"/>
      <c r="AC813" s="140"/>
      <c r="AD813" s="62"/>
      <c r="AE813" s="140"/>
      <c r="AF813" s="189" t="str">
        <f t="shared" si="34"/>
        <v/>
      </c>
      <c r="AG813" s="304" t="b">
        <f t="shared" si="33"/>
        <v>0</v>
      </c>
      <c r="AH813" s="9"/>
      <c r="AI813" s="145">
        <f t="shared" si="32"/>
        <v>0</v>
      </c>
      <c r="AJ813" s="147" t="s">
        <v>36</v>
      </c>
    </row>
    <row r="814" spans="1:36" ht="30" customHeight="1">
      <c r="A814" s="90"/>
      <c r="B814" s="90"/>
      <c r="C814" s="90"/>
      <c r="D814" s="90"/>
      <c r="E814" s="90"/>
      <c r="F814" s="90"/>
      <c r="G814" s="90"/>
      <c r="H814" s="90"/>
      <c r="I814" s="90"/>
      <c r="J814" s="90"/>
      <c r="K814" s="90"/>
      <c r="L814" s="90"/>
      <c r="M814" s="90"/>
      <c r="N814" s="150"/>
      <c r="O814" s="152"/>
      <c r="P814" s="90"/>
      <c r="Q814" s="140"/>
      <c r="R814" s="90"/>
      <c r="S814" s="140"/>
      <c r="T814" s="90"/>
      <c r="U814" s="140"/>
      <c r="V814" s="90"/>
      <c r="W814" s="140"/>
      <c r="X814" s="90"/>
      <c r="Y814" s="140"/>
      <c r="Z814" s="90"/>
      <c r="AA814" s="140"/>
      <c r="AB814" s="62"/>
      <c r="AC814" s="140"/>
      <c r="AD814" s="62"/>
      <c r="AE814" s="140"/>
      <c r="AF814" s="189" t="str">
        <f t="shared" si="34"/>
        <v/>
      </c>
      <c r="AG814" s="304" t="b">
        <f t="shared" si="33"/>
        <v>0</v>
      </c>
      <c r="AH814" s="9"/>
      <c r="AI814" s="145">
        <f t="shared" si="32"/>
        <v>0</v>
      </c>
      <c r="AJ814" s="147" t="s">
        <v>36</v>
      </c>
    </row>
    <row r="815" spans="1:36" ht="30" customHeight="1">
      <c r="A815" s="90"/>
      <c r="B815" s="90"/>
      <c r="C815" s="90"/>
      <c r="D815" s="90"/>
      <c r="E815" s="90"/>
      <c r="F815" s="90"/>
      <c r="G815" s="90"/>
      <c r="H815" s="90"/>
      <c r="I815" s="90"/>
      <c r="J815" s="90"/>
      <c r="K815" s="90"/>
      <c r="L815" s="90"/>
      <c r="M815" s="90"/>
      <c r="N815" s="150"/>
      <c r="O815" s="152"/>
      <c r="P815" s="90"/>
      <c r="Q815" s="140"/>
      <c r="R815" s="90"/>
      <c r="S815" s="140"/>
      <c r="T815" s="90"/>
      <c r="U815" s="140"/>
      <c r="V815" s="90"/>
      <c r="W815" s="140"/>
      <c r="X815" s="90"/>
      <c r="Y815" s="140"/>
      <c r="Z815" s="90"/>
      <c r="AA815" s="140"/>
      <c r="AB815" s="62"/>
      <c r="AC815" s="140"/>
      <c r="AD815" s="62"/>
      <c r="AE815" s="140"/>
      <c r="AF815" s="189" t="str">
        <f t="shared" si="34"/>
        <v/>
      </c>
      <c r="AG815" s="304" t="b">
        <f t="shared" si="33"/>
        <v>0</v>
      </c>
      <c r="AH815" s="9"/>
      <c r="AI815" s="145">
        <f t="shared" si="32"/>
        <v>0</v>
      </c>
      <c r="AJ815" s="147" t="s">
        <v>36</v>
      </c>
    </row>
    <row r="816" spans="1:36" ht="30" customHeight="1">
      <c r="A816" s="90"/>
      <c r="B816" s="90"/>
      <c r="C816" s="90"/>
      <c r="D816" s="90"/>
      <c r="E816" s="90"/>
      <c r="F816" s="90"/>
      <c r="G816" s="90"/>
      <c r="H816" s="90"/>
      <c r="I816" s="90"/>
      <c r="J816" s="90"/>
      <c r="K816" s="90"/>
      <c r="L816" s="90"/>
      <c r="M816" s="90"/>
      <c r="N816" s="150"/>
      <c r="O816" s="152"/>
      <c r="P816" s="90"/>
      <c r="Q816" s="140"/>
      <c r="R816" s="90"/>
      <c r="S816" s="140"/>
      <c r="T816" s="90"/>
      <c r="U816" s="140"/>
      <c r="V816" s="90"/>
      <c r="W816" s="140"/>
      <c r="X816" s="90"/>
      <c r="Y816" s="140"/>
      <c r="Z816" s="90"/>
      <c r="AA816" s="140"/>
      <c r="AB816" s="62"/>
      <c r="AC816" s="140"/>
      <c r="AD816" s="62"/>
      <c r="AE816" s="140"/>
      <c r="AF816" s="189" t="str">
        <f t="shared" si="34"/>
        <v/>
      </c>
      <c r="AG816" s="304" t="b">
        <f t="shared" si="33"/>
        <v>0</v>
      </c>
      <c r="AH816" s="9"/>
      <c r="AI816" s="145">
        <f t="shared" si="32"/>
        <v>0</v>
      </c>
      <c r="AJ816" s="147" t="s">
        <v>36</v>
      </c>
    </row>
    <row r="817" spans="1:36" ht="30" customHeight="1">
      <c r="A817" s="90"/>
      <c r="B817" s="90"/>
      <c r="C817" s="90"/>
      <c r="D817" s="90"/>
      <c r="E817" s="90"/>
      <c r="F817" s="90"/>
      <c r="G817" s="90"/>
      <c r="H817" s="90"/>
      <c r="I817" s="90"/>
      <c r="J817" s="90"/>
      <c r="K817" s="90"/>
      <c r="L817" s="90"/>
      <c r="M817" s="90"/>
      <c r="N817" s="150"/>
      <c r="O817" s="152"/>
      <c r="P817" s="90"/>
      <c r="Q817" s="140"/>
      <c r="R817" s="90"/>
      <c r="S817" s="140"/>
      <c r="T817" s="90"/>
      <c r="U817" s="140"/>
      <c r="V817" s="90"/>
      <c r="W817" s="140"/>
      <c r="X817" s="90"/>
      <c r="Y817" s="140"/>
      <c r="Z817" s="90"/>
      <c r="AA817" s="140"/>
      <c r="AB817" s="62"/>
      <c r="AC817" s="140"/>
      <c r="AD817" s="62"/>
      <c r="AE817" s="140"/>
      <c r="AF817" s="189" t="str">
        <f t="shared" si="34"/>
        <v/>
      </c>
      <c r="AG817" s="304" t="b">
        <f t="shared" si="33"/>
        <v>0</v>
      </c>
      <c r="AH817" s="9"/>
      <c r="AI817" s="145">
        <f t="shared" si="32"/>
        <v>0</v>
      </c>
      <c r="AJ817" s="147" t="s">
        <v>36</v>
      </c>
    </row>
    <row r="818" spans="1:36" ht="30" customHeight="1">
      <c r="A818" s="90"/>
      <c r="B818" s="90"/>
      <c r="C818" s="90"/>
      <c r="D818" s="90"/>
      <c r="E818" s="90"/>
      <c r="F818" s="90"/>
      <c r="G818" s="90"/>
      <c r="H818" s="90"/>
      <c r="I818" s="90"/>
      <c r="J818" s="90"/>
      <c r="K818" s="90"/>
      <c r="L818" s="90"/>
      <c r="M818" s="90"/>
      <c r="N818" s="150"/>
      <c r="O818" s="152"/>
      <c r="P818" s="90"/>
      <c r="Q818" s="140"/>
      <c r="R818" s="90"/>
      <c r="S818" s="140"/>
      <c r="T818" s="90"/>
      <c r="U818" s="140"/>
      <c r="V818" s="90"/>
      <c r="W818" s="140"/>
      <c r="X818" s="90"/>
      <c r="Y818" s="140"/>
      <c r="Z818" s="90"/>
      <c r="AA818" s="140"/>
      <c r="AB818" s="62"/>
      <c r="AC818" s="140"/>
      <c r="AD818" s="62"/>
      <c r="AE818" s="140"/>
      <c r="AF818" s="189" t="str">
        <f t="shared" si="34"/>
        <v/>
      </c>
      <c r="AG818" s="304" t="b">
        <f t="shared" si="33"/>
        <v>0</v>
      </c>
      <c r="AH818" s="9"/>
      <c r="AI818" s="145">
        <f t="shared" si="32"/>
        <v>0</v>
      </c>
      <c r="AJ818" s="147" t="s">
        <v>36</v>
      </c>
    </row>
    <row r="819" spans="1:36" ht="30" customHeight="1">
      <c r="A819" s="90"/>
      <c r="B819" s="90"/>
      <c r="C819" s="90"/>
      <c r="D819" s="90"/>
      <c r="E819" s="90"/>
      <c r="F819" s="90"/>
      <c r="G819" s="90"/>
      <c r="H819" s="90"/>
      <c r="I819" s="90"/>
      <c r="J819" s="90"/>
      <c r="K819" s="90"/>
      <c r="L819" s="90"/>
      <c r="M819" s="90"/>
      <c r="N819" s="150"/>
      <c r="O819" s="152"/>
      <c r="P819" s="90"/>
      <c r="Q819" s="140"/>
      <c r="R819" s="90"/>
      <c r="S819" s="140"/>
      <c r="T819" s="90"/>
      <c r="U819" s="140"/>
      <c r="V819" s="90"/>
      <c r="W819" s="140"/>
      <c r="X819" s="90"/>
      <c r="Y819" s="140"/>
      <c r="Z819" s="90"/>
      <c r="AA819" s="140"/>
      <c r="AB819" s="62"/>
      <c r="AC819" s="140"/>
      <c r="AD819" s="62"/>
      <c r="AE819" s="140"/>
      <c r="AF819" s="189" t="str">
        <f t="shared" si="34"/>
        <v/>
      </c>
      <c r="AG819" s="304" t="b">
        <f t="shared" si="33"/>
        <v>0</v>
      </c>
      <c r="AH819" s="9"/>
      <c r="AI819" s="145">
        <f t="shared" si="32"/>
        <v>0</v>
      </c>
      <c r="AJ819" s="147" t="s">
        <v>36</v>
      </c>
    </row>
    <row r="820" spans="1:36" ht="30" customHeight="1">
      <c r="A820" s="90"/>
      <c r="B820" s="90"/>
      <c r="C820" s="90"/>
      <c r="D820" s="90"/>
      <c r="E820" s="90"/>
      <c r="F820" s="90"/>
      <c r="G820" s="90"/>
      <c r="H820" s="90"/>
      <c r="I820" s="90"/>
      <c r="J820" s="90"/>
      <c r="K820" s="90"/>
      <c r="L820" s="90"/>
      <c r="M820" s="90"/>
      <c r="N820" s="150"/>
      <c r="O820" s="152"/>
      <c r="P820" s="90"/>
      <c r="Q820" s="140"/>
      <c r="R820" s="90"/>
      <c r="S820" s="140"/>
      <c r="T820" s="90"/>
      <c r="U820" s="140"/>
      <c r="V820" s="90"/>
      <c r="W820" s="140"/>
      <c r="X820" s="90"/>
      <c r="Y820" s="140"/>
      <c r="Z820" s="90"/>
      <c r="AA820" s="140"/>
      <c r="AB820" s="62"/>
      <c r="AC820" s="140"/>
      <c r="AD820" s="62"/>
      <c r="AE820" s="140"/>
      <c r="AF820" s="189" t="str">
        <f t="shared" si="34"/>
        <v/>
      </c>
      <c r="AG820" s="304" t="b">
        <f t="shared" si="33"/>
        <v>0</v>
      </c>
      <c r="AH820" s="9"/>
      <c r="AI820" s="145">
        <f t="shared" si="32"/>
        <v>0</v>
      </c>
      <c r="AJ820" s="147" t="s">
        <v>36</v>
      </c>
    </row>
    <row r="821" spans="1:36" ht="30" customHeight="1">
      <c r="A821" s="90"/>
      <c r="B821" s="90"/>
      <c r="C821" s="90"/>
      <c r="D821" s="90"/>
      <c r="E821" s="90"/>
      <c r="F821" s="90"/>
      <c r="G821" s="90"/>
      <c r="H821" s="90"/>
      <c r="I821" s="90"/>
      <c r="J821" s="90"/>
      <c r="K821" s="90"/>
      <c r="L821" s="90"/>
      <c r="M821" s="90"/>
      <c r="N821" s="150"/>
      <c r="O821" s="152"/>
      <c r="P821" s="90"/>
      <c r="Q821" s="140"/>
      <c r="R821" s="90"/>
      <c r="S821" s="140"/>
      <c r="T821" s="90"/>
      <c r="U821" s="140"/>
      <c r="V821" s="90"/>
      <c r="W821" s="140"/>
      <c r="X821" s="90"/>
      <c r="Y821" s="140"/>
      <c r="Z821" s="90"/>
      <c r="AA821" s="140"/>
      <c r="AB821" s="62"/>
      <c r="AC821" s="140"/>
      <c r="AD821" s="62"/>
      <c r="AE821" s="140"/>
      <c r="AF821" s="189" t="str">
        <f t="shared" si="34"/>
        <v/>
      </c>
      <c r="AG821" s="304" t="b">
        <f t="shared" si="33"/>
        <v>0</v>
      </c>
      <c r="AH821" s="9"/>
      <c r="AI821" s="145">
        <f t="shared" si="32"/>
        <v>0</v>
      </c>
      <c r="AJ821" s="147" t="s">
        <v>36</v>
      </c>
    </row>
    <row r="822" spans="1:36" ht="30" customHeight="1">
      <c r="A822" s="90"/>
      <c r="B822" s="90"/>
      <c r="C822" s="90"/>
      <c r="D822" s="90"/>
      <c r="E822" s="90"/>
      <c r="F822" s="90"/>
      <c r="G822" s="90"/>
      <c r="H822" s="90"/>
      <c r="I822" s="90"/>
      <c r="J822" s="90"/>
      <c r="K822" s="90"/>
      <c r="L822" s="90"/>
      <c r="M822" s="90"/>
      <c r="N822" s="150"/>
      <c r="O822" s="152"/>
      <c r="P822" s="90"/>
      <c r="Q822" s="140"/>
      <c r="R822" s="90"/>
      <c r="S822" s="140"/>
      <c r="T822" s="90"/>
      <c r="U822" s="140"/>
      <c r="V822" s="90"/>
      <c r="W822" s="140"/>
      <c r="X822" s="90"/>
      <c r="Y822" s="140"/>
      <c r="Z822" s="90"/>
      <c r="AA822" s="140"/>
      <c r="AB822" s="62"/>
      <c r="AC822" s="140"/>
      <c r="AD822" s="62"/>
      <c r="AE822" s="140"/>
      <c r="AF822" s="189" t="str">
        <f t="shared" si="34"/>
        <v/>
      </c>
      <c r="AG822" s="304" t="b">
        <f t="shared" si="33"/>
        <v>0</v>
      </c>
      <c r="AH822" s="9"/>
      <c r="AI822" s="145">
        <f t="shared" si="32"/>
        <v>0</v>
      </c>
      <c r="AJ822" s="147" t="s">
        <v>36</v>
      </c>
    </row>
    <row r="823" spans="1:36" ht="30" customHeight="1">
      <c r="A823" s="90"/>
      <c r="B823" s="90"/>
      <c r="C823" s="90"/>
      <c r="D823" s="90"/>
      <c r="E823" s="90"/>
      <c r="F823" s="90"/>
      <c r="G823" s="90"/>
      <c r="H823" s="90"/>
      <c r="I823" s="90"/>
      <c r="J823" s="90"/>
      <c r="K823" s="90"/>
      <c r="L823" s="90"/>
      <c r="M823" s="90"/>
      <c r="N823" s="150"/>
      <c r="O823" s="152"/>
      <c r="P823" s="90"/>
      <c r="Q823" s="140"/>
      <c r="R823" s="90"/>
      <c r="S823" s="140"/>
      <c r="T823" s="90"/>
      <c r="U823" s="140"/>
      <c r="V823" s="90"/>
      <c r="W823" s="140"/>
      <c r="X823" s="90"/>
      <c r="Y823" s="140"/>
      <c r="Z823" s="90"/>
      <c r="AA823" s="140"/>
      <c r="AB823" s="62"/>
      <c r="AC823" s="140"/>
      <c r="AD823" s="62"/>
      <c r="AE823" s="140"/>
      <c r="AF823" s="189" t="str">
        <f t="shared" si="34"/>
        <v/>
      </c>
      <c r="AG823" s="304" t="b">
        <f t="shared" si="33"/>
        <v>0</v>
      </c>
      <c r="AH823" s="9"/>
      <c r="AI823" s="145">
        <f t="shared" si="32"/>
        <v>0</v>
      </c>
      <c r="AJ823" s="147" t="s">
        <v>36</v>
      </c>
    </row>
    <row r="824" spans="1:36" ht="30" customHeight="1">
      <c r="A824" s="90"/>
      <c r="B824" s="90"/>
      <c r="C824" s="90"/>
      <c r="D824" s="90"/>
      <c r="E824" s="90"/>
      <c r="F824" s="90"/>
      <c r="G824" s="90"/>
      <c r="H824" s="90"/>
      <c r="I824" s="90"/>
      <c r="J824" s="90"/>
      <c r="K824" s="90"/>
      <c r="L824" s="90"/>
      <c r="M824" s="90"/>
      <c r="N824" s="150"/>
      <c r="O824" s="152"/>
      <c r="P824" s="90"/>
      <c r="Q824" s="140"/>
      <c r="R824" s="90"/>
      <c r="S824" s="140"/>
      <c r="T824" s="90"/>
      <c r="U824" s="140"/>
      <c r="V824" s="90"/>
      <c r="W824" s="140"/>
      <c r="X824" s="90"/>
      <c r="Y824" s="140"/>
      <c r="Z824" s="90"/>
      <c r="AA824" s="140"/>
      <c r="AB824" s="62"/>
      <c r="AC824" s="140"/>
      <c r="AD824" s="62"/>
      <c r="AE824" s="140"/>
      <c r="AF824" s="189" t="str">
        <f t="shared" si="34"/>
        <v/>
      </c>
      <c r="AG824" s="304" t="b">
        <f t="shared" si="33"/>
        <v>0</v>
      </c>
      <c r="AH824" s="9"/>
      <c r="AI824" s="145">
        <f t="shared" ref="AI824:AI887" si="35">E824</f>
        <v>0</v>
      </c>
      <c r="AJ824" s="147" t="s">
        <v>36</v>
      </c>
    </row>
    <row r="825" spans="1:36" ht="30" customHeight="1">
      <c r="A825" s="90"/>
      <c r="B825" s="90"/>
      <c r="C825" s="90"/>
      <c r="D825" s="90"/>
      <c r="E825" s="90"/>
      <c r="F825" s="90"/>
      <c r="G825" s="90"/>
      <c r="H825" s="90"/>
      <c r="I825" s="90"/>
      <c r="J825" s="90"/>
      <c r="K825" s="90"/>
      <c r="L825" s="90"/>
      <c r="M825" s="90"/>
      <c r="N825" s="150"/>
      <c r="O825" s="152"/>
      <c r="P825" s="90"/>
      <c r="Q825" s="140"/>
      <c r="R825" s="90"/>
      <c r="S825" s="140"/>
      <c r="T825" s="90"/>
      <c r="U825" s="140"/>
      <c r="V825" s="90"/>
      <c r="W825" s="140"/>
      <c r="X825" s="90"/>
      <c r="Y825" s="140"/>
      <c r="Z825" s="90"/>
      <c r="AA825" s="140"/>
      <c r="AB825" s="62"/>
      <c r="AC825" s="140"/>
      <c r="AD825" s="62"/>
      <c r="AE825" s="140"/>
      <c r="AF825" s="189" t="str">
        <f t="shared" si="34"/>
        <v/>
      </c>
      <c r="AG825" s="304" t="b">
        <f t="shared" si="33"/>
        <v>0</v>
      </c>
      <c r="AH825" s="9"/>
      <c r="AI825" s="145">
        <f t="shared" si="35"/>
        <v>0</v>
      </c>
      <c r="AJ825" s="147" t="s">
        <v>36</v>
      </c>
    </row>
    <row r="826" spans="1:36" ht="30" customHeight="1">
      <c r="A826" s="90"/>
      <c r="B826" s="90"/>
      <c r="C826" s="90"/>
      <c r="D826" s="90"/>
      <c r="E826" s="90"/>
      <c r="F826" s="90"/>
      <c r="G826" s="90"/>
      <c r="H826" s="90"/>
      <c r="I826" s="90"/>
      <c r="J826" s="90"/>
      <c r="K826" s="90"/>
      <c r="L826" s="90"/>
      <c r="M826" s="90"/>
      <c r="N826" s="150"/>
      <c r="O826" s="152"/>
      <c r="P826" s="90"/>
      <c r="Q826" s="140"/>
      <c r="R826" s="90"/>
      <c r="S826" s="140"/>
      <c r="T826" s="90"/>
      <c r="U826" s="140"/>
      <c r="V826" s="90"/>
      <c r="W826" s="140"/>
      <c r="X826" s="90"/>
      <c r="Y826" s="140"/>
      <c r="Z826" s="90"/>
      <c r="AA826" s="140"/>
      <c r="AB826" s="62"/>
      <c r="AC826" s="140"/>
      <c r="AD826" s="62"/>
      <c r="AE826" s="140"/>
      <c r="AF826" s="189" t="str">
        <f t="shared" si="34"/>
        <v/>
      </c>
      <c r="AG826" s="304" t="b">
        <f t="shared" si="33"/>
        <v>0</v>
      </c>
      <c r="AH826" s="9"/>
      <c r="AI826" s="145">
        <f t="shared" si="35"/>
        <v>0</v>
      </c>
      <c r="AJ826" s="147" t="s">
        <v>36</v>
      </c>
    </row>
    <row r="827" spans="1:36" ht="30" customHeight="1">
      <c r="A827" s="90"/>
      <c r="B827" s="90"/>
      <c r="C827" s="90"/>
      <c r="D827" s="90"/>
      <c r="E827" s="90"/>
      <c r="F827" s="90"/>
      <c r="G827" s="90"/>
      <c r="H827" s="90"/>
      <c r="I827" s="90"/>
      <c r="J827" s="90"/>
      <c r="K827" s="90"/>
      <c r="L827" s="90"/>
      <c r="M827" s="90"/>
      <c r="N827" s="150"/>
      <c r="O827" s="152"/>
      <c r="P827" s="90"/>
      <c r="Q827" s="140"/>
      <c r="R827" s="90"/>
      <c r="S827" s="140"/>
      <c r="T827" s="90"/>
      <c r="U827" s="140"/>
      <c r="V827" s="90"/>
      <c r="W827" s="140"/>
      <c r="X827" s="90"/>
      <c r="Y827" s="140"/>
      <c r="Z827" s="90"/>
      <c r="AA827" s="140"/>
      <c r="AB827" s="62"/>
      <c r="AC827" s="140"/>
      <c r="AD827" s="62"/>
      <c r="AE827" s="140"/>
      <c r="AF827" s="189" t="str">
        <f t="shared" si="34"/>
        <v/>
      </c>
      <c r="AG827" s="304" t="b">
        <f t="shared" si="33"/>
        <v>0</v>
      </c>
      <c r="AH827" s="9"/>
      <c r="AI827" s="145">
        <f t="shared" si="35"/>
        <v>0</v>
      </c>
      <c r="AJ827" s="147" t="s">
        <v>36</v>
      </c>
    </row>
    <row r="828" spans="1:36" ht="30" customHeight="1">
      <c r="A828" s="90"/>
      <c r="B828" s="90"/>
      <c r="C828" s="90"/>
      <c r="D828" s="90"/>
      <c r="E828" s="90"/>
      <c r="F828" s="90"/>
      <c r="G828" s="90"/>
      <c r="H828" s="90"/>
      <c r="I828" s="90"/>
      <c r="J828" s="90"/>
      <c r="K828" s="90"/>
      <c r="L828" s="90"/>
      <c r="M828" s="90"/>
      <c r="N828" s="150"/>
      <c r="O828" s="152"/>
      <c r="P828" s="90"/>
      <c r="Q828" s="140"/>
      <c r="R828" s="90"/>
      <c r="S828" s="140"/>
      <c r="T828" s="90"/>
      <c r="U828" s="140"/>
      <c r="V828" s="90"/>
      <c r="W828" s="140"/>
      <c r="X828" s="90"/>
      <c r="Y828" s="140"/>
      <c r="Z828" s="90"/>
      <c r="AA828" s="140"/>
      <c r="AB828" s="62"/>
      <c r="AC828" s="140"/>
      <c r="AD828" s="62"/>
      <c r="AE828" s="140"/>
      <c r="AF828" s="189" t="str">
        <f t="shared" si="34"/>
        <v/>
      </c>
      <c r="AG828" s="304" t="b">
        <f t="shared" si="33"/>
        <v>0</v>
      </c>
      <c r="AH828" s="9"/>
      <c r="AI828" s="145">
        <f t="shared" si="35"/>
        <v>0</v>
      </c>
      <c r="AJ828" s="147" t="s">
        <v>36</v>
      </c>
    </row>
    <row r="829" spans="1:36" ht="30" customHeight="1">
      <c r="A829" s="90"/>
      <c r="B829" s="90"/>
      <c r="C829" s="90"/>
      <c r="D829" s="90"/>
      <c r="E829" s="90"/>
      <c r="F829" s="90"/>
      <c r="G829" s="90"/>
      <c r="H829" s="90"/>
      <c r="I829" s="90"/>
      <c r="J829" s="90"/>
      <c r="K829" s="90"/>
      <c r="L829" s="90"/>
      <c r="M829" s="90"/>
      <c r="N829" s="150"/>
      <c r="O829" s="152"/>
      <c r="P829" s="90"/>
      <c r="Q829" s="140"/>
      <c r="R829" s="90"/>
      <c r="S829" s="140"/>
      <c r="T829" s="90"/>
      <c r="U829" s="140"/>
      <c r="V829" s="90"/>
      <c r="W829" s="140"/>
      <c r="X829" s="90"/>
      <c r="Y829" s="140"/>
      <c r="Z829" s="90"/>
      <c r="AA829" s="140"/>
      <c r="AB829" s="62"/>
      <c r="AC829" s="140"/>
      <c r="AD829" s="62"/>
      <c r="AE829" s="140"/>
      <c r="AF829" s="189" t="str">
        <f t="shared" si="34"/>
        <v/>
      </c>
      <c r="AG829" s="304" t="b">
        <f t="shared" si="33"/>
        <v>0</v>
      </c>
      <c r="AH829" s="9"/>
      <c r="AI829" s="145">
        <f t="shared" si="35"/>
        <v>0</v>
      </c>
      <c r="AJ829" s="147" t="s">
        <v>36</v>
      </c>
    </row>
    <row r="830" spans="1:36" ht="30" customHeight="1">
      <c r="A830" s="90"/>
      <c r="B830" s="90"/>
      <c r="C830" s="90"/>
      <c r="D830" s="90"/>
      <c r="E830" s="90"/>
      <c r="F830" s="90"/>
      <c r="G830" s="90"/>
      <c r="H830" s="90"/>
      <c r="I830" s="90"/>
      <c r="J830" s="90"/>
      <c r="K830" s="90"/>
      <c r="L830" s="90"/>
      <c r="M830" s="90"/>
      <c r="N830" s="150"/>
      <c r="O830" s="152"/>
      <c r="P830" s="90"/>
      <c r="Q830" s="140"/>
      <c r="R830" s="90"/>
      <c r="S830" s="140"/>
      <c r="T830" s="90"/>
      <c r="U830" s="140"/>
      <c r="V830" s="90"/>
      <c r="W830" s="140"/>
      <c r="X830" s="90"/>
      <c r="Y830" s="140"/>
      <c r="Z830" s="90"/>
      <c r="AA830" s="140"/>
      <c r="AB830" s="62"/>
      <c r="AC830" s="140"/>
      <c r="AD830" s="62"/>
      <c r="AE830" s="140"/>
      <c r="AF830" s="189" t="str">
        <f t="shared" si="34"/>
        <v/>
      </c>
      <c r="AG830" s="304" t="b">
        <f t="shared" si="33"/>
        <v>0</v>
      </c>
      <c r="AH830" s="9"/>
      <c r="AI830" s="145">
        <f t="shared" si="35"/>
        <v>0</v>
      </c>
      <c r="AJ830" s="147" t="s">
        <v>36</v>
      </c>
    </row>
    <row r="831" spans="1:36" ht="30" customHeight="1">
      <c r="A831" s="90"/>
      <c r="B831" s="90"/>
      <c r="C831" s="90"/>
      <c r="D831" s="90"/>
      <c r="E831" s="90"/>
      <c r="F831" s="90"/>
      <c r="G831" s="90"/>
      <c r="H831" s="90"/>
      <c r="I831" s="90"/>
      <c r="J831" s="90"/>
      <c r="K831" s="90"/>
      <c r="L831" s="90"/>
      <c r="M831" s="90"/>
      <c r="N831" s="150"/>
      <c r="O831" s="152"/>
      <c r="P831" s="90"/>
      <c r="Q831" s="140"/>
      <c r="R831" s="90"/>
      <c r="S831" s="140"/>
      <c r="T831" s="90"/>
      <c r="U831" s="140"/>
      <c r="V831" s="90"/>
      <c r="W831" s="140"/>
      <c r="X831" s="90"/>
      <c r="Y831" s="140"/>
      <c r="Z831" s="90"/>
      <c r="AA831" s="140"/>
      <c r="AB831" s="62"/>
      <c r="AC831" s="140"/>
      <c r="AD831" s="62"/>
      <c r="AE831" s="140"/>
      <c r="AF831" s="189" t="str">
        <f t="shared" si="34"/>
        <v/>
      </c>
      <c r="AG831" s="304" t="b">
        <f t="shared" si="33"/>
        <v>0</v>
      </c>
      <c r="AH831" s="9"/>
      <c r="AI831" s="145">
        <f t="shared" si="35"/>
        <v>0</v>
      </c>
      <c r="AJ831" s="147" t="s">
        <v>36</v>
      </c>
    </row>
    <row r="832" spans="1:36" ht="30" customHeight="1">
      <c r="A832" s="90"/>
      <c r="B832" s="90"/>
      <c r="C832" s="90"/>
      <c r="D832" s="90"/>
      <c r="E832" s="90"/>
      <c r="F832" s="90"/>
      <c r="G832" s="90"/>
      <c r="H832" s="90"/>
      <c r="I832" s="90"/>
      <c r="J832" s="90"/>
      <c r="K832" s="90"/>
      <c r="L832" s="90"/>
      <c r="M832" s="90"/>
      <c r="N832" s="150"/>
      <c r="O832" s="152"/>
      <c r="P832" s="90"/>
      <c r="Q832" s="140"/>
      <c r="R832" s="90"/>
      <c r="S832" s="140"/>
      <c r="T832" s="90"/>
      <c r="U832" s="140"/>
      <c r="V832" s="90"/>
      <c r="W832" s="140"/>
      <c r="X832" s="90"/>
      <c r="Y832" s="140"/>
      <c r="Z832" s="90"/>
      <c r="AA832" s="140"/>
      <c r="AB832" s="62"/>
      <c r="AC832" s="140"/>
      <c r="AD832" s="62"/>
      <c r="AE832" s="140"/>
      <c r="AF832" s="189" t="str">
        <f t="shared" si="34"/>
        <v/>
      </c>
      <c r="AG832" s="304" t="b">
        <f t="shared" si="33"/>
        <v>0</v>
      </c>
      <c r="AH832" s="9"/>
      <c r="AI832" s="145">
        <f t="shared" si="35"/>
        <v>0</v>
      </c>
      <c r="AJ832" s="147" t="s">
        <v>36</v>
      </c>
    </row>
    <row r="833" spans="1:36" ht="30" customHeight="1">
      <c r="A833" s="90"/>
      <c r="B833" s="90"/>
      <c r="C833" s="90"/>
      <c r="D833" s="90"/>
      <c r="E833" s="90"/>
      <c r="F833" s="90"/>
      <c r="G833" s="90"/>
      <c r="H833" s="90"/>
      <c r="I833" s="90"/>
      <c r="J833" s="90"/>
      <c r="K833" s="90"/>
      <c r="L833" s="90"/>
      <c r="M833" s="90"/>
      <c r="N833" s="150"/>
      <c r="O833" s="152"/>
      <c r="P833" s="90"/>
      <c r="Q833" s="140"/>
      <c r="R833" s="90"/>
      <c r="S833" s="140"/>
      <c r="T833" s="90"/>
      <c r="U833" s="140"/>
      <c r="V833" s="90"/>
      <c r="W833" s="140"/>
      <c r="X833" s="90"/>
      <c r="Y833" s="140"/>
      <c r="Z833" s="90"/>
      <c r="AA833" s="140"/>
      <c r="AB833" s="62"/>
      <c r="AC833" s="140"/>
      <c r="AD833" s="62"/>
      <c r="AE833" s="140"/>
      <c r="AF833" s="189" t="str">
        <f t="shared" si="34"/>
        <v/>
      </c>
      <c r="AG833" s="304" t="b">
        <f t="shared" si="33"/>
        <v>0</v>
      </c>
      <c r="AH833" s="9"/>
      <c r="AI833" s="145">
        <f t="shared" si="35"/>
        <v>0</v>
      </c>
      <c r="AJ833" s="147" t="s">
        <v>36</v>
      </c>
    </row>
    <row r="834" spans="1:36" ht="30" customHeight="1">
      <c r="A834" s="90"/>
      <c r="B834" s="90"/>
      <c r="C834" s="90"/>
      <c r="D834" s="90"/>
      <c r="E834" s="90"/>
      <c r="F834" s="90"/>
      <c r="G834" s="90"/>
      <c r="H834" s="90"/>
      <c r="I834" s="90"/>
      <c r="J834" s="90"/>
      <c r="K834" s="90"/>
      <c r="L834" s="90"/>
      <c r="M834" s="90"/>
      <c r="N834" s="150"/>
      <c r="O834" s="152"/>
      <c r="P834" s="90"/>
      <c r="Q834" s="140"/>
      <c r="R834" s="90"/>
      <c r="S834" s="140"/>
      <c r="T834" s="90"/>
      <c r="U834" s="140"/>
      <c r="V834" s="90"/>
      <c r="W834" s="140"/>
      <c r="X834" s="90"/>
      <c r="Y834" s="140"/>
      <c r="Z834" s="90"/>
      <c r="AA834" s="140"/>
      <c r="AB834" s="62"/>
      <c r="AC834" s="140"/>
      <c r="AD834" s="62"/>
      <c r="AE834" s="140"/>
      <c r="AF834" s="189" t="str">
        <f t="shared" si="34"/>
        <v/>
      </c>
      <c r="AG834" s="304" t="b">
        <f t="shared" ref="AG834:AG897" si="36">IF(AND(AE834="C",AF834="C"),"UTILIZOU O PDA CORRETAMENTE",IF(AND(AE834="C",AF834="NC"),"UTILIZOU O PDA CORRETAMENTE. NÃO HÁ FOTOS DE TODAS AS ETAPAS",IF(AND(AE834="NC",AF834="NC"),"NÃO UTILIZOU O PDA",IF(AND(AE834="NA",AF834="NA"),"NÃO AVALIADO POR FALHA DE SINCRONISMO"))))</f>
        <v>0</v>
      </c>
      <c r="AH834" s="9"/>
      <c r="AI834" s="145">
        <f t="shared" si="35"/>
        <v>0</v>
      </c>
      <c r="AJ834" s="147" t="s">
        <v>36</v>
      </c>
    </row>
    <row r="835" spans="1:36" ht="30" customHeight="1">
      <c r="A835" s="90"/>
      <c r="B835" s="90"/>
      <c r="C835" s="90"/>
      <c r="D835" s="90"/>
      <c r="E835" s="90"/>
      <c r="F835" s="90"/>
      <c r="G835" s="90"/>
      <c r="H835" s="90"/>
      <c r="I835" s="90"/>
      <c r="J835" s="90"/>
      <c r="K835" s="90"/>
      <c r="L835" s="90"/>
      <c r="M835" s="90"/>
      <c r="N835" s="150"/>
      <c r="O835" s="152"/>
      <c r="P835" s="90"/>
      <c r="Q835" s="140"/>
      <c r="R835" s="90"/>
      <c r="S835" s="140"/>
      <c r="T835" s="90"/>
      <c r="U835" s="140"/>
      <c r="V835" s="90"/>
      <c r="W835" s="140"/>
      <c r="X835" s="90"/>
      <c r="Y835" s="140"/>
      <c r="Z835" s="90"/>
      <c r="AA835" s="140"/>
      <c r="AB835" s="62"/>
      <c r="AC835" s="140"/>
      <c r="AD835" s="62"/>
      <c r="AE835" s="140"/>
      <c r="AF835" s="189" t="str">
        <f t="shared" ref="AF835:AF898" si="37">IF(AND(O835="",Q835="",S835="",U835="",W835="",Y835="",AA835="",AC835=""),"",
IF(OR(    AND(O835&lt;&gt;"NA",O835&lt;&gt;"C",O835&lt;&gt;"NC",O835&lt;&gt;"SF",O835&lt;&gt;""),
    AND(Q835&lt;&gt;"NA",Q835&lt;&gt;"C",Q835&lt;&gt;"NC",Q835&lt;&gt;"SF",Q835&lt;&gt;""),
    AND(S835&lt;&gt;"NA",S835&lt;&gt;"C",S835&lt;&gt;"NC",S835&lt;&gt;"SF",S835&lt;&gt;""),
    AND(U835&lt;&gt;"NA",U835&lt;&gt;"C",U835&lt;&gt;"NC",U835&lt;&gt;"SF",U835&lt;&gt;""),
    AND(W835&lt;&gt;"NA",W835&lt;&gt;"C",W835&lt;&gt;"NC",W835&lt;&gt;"SF",W835&lt;&gt;""),
    AND(Y835&lt;&gt;"NA",Y835&lt;&gt;"C",Y835&lt;&gt;"NC",Y835&lt;&gt;"SF",Y835&lt;&gt;""),
    AND(AA835&lt;&gt;"NA",AA835&lt;&gt;"C",AA835&lt;&gt;"NC",AA835&lt;&gt;"SF",AA835&lt;&gt;""),
    AND(AC835&lt;&gt;"NA",AC835&lt;&gt;"C",AC835&lt;&gt;"NC",AC835&lt;&gt;"SF",AC835&lt;&gt;"")
),"FALSO",
IF(AND(O835="NA",Q835="NA",S835="NA",U835="NA",W835="NA",Y835="NA",AA835="NA",AC835="NA"),"NA",
IF(OR(O835="NC",Q835="NC",S835="NC",U835="NC",W835="NC",Y835="NC",AA835="NC",AC835="NC",
       O835="SF",Q835="SF",S835="SF",U835="SF",W835="SF",Y835="SF",AA835="SF",AC835="SF"),"NC",
IF(SUM(IF(O835="C",1,0),IF(Q835="C",1,0),IF(S835="C",1,0),IF(U835="C",1,0),IF(W835="C",1,0),IF(Y835="C",1,0),IF(AA835="C",1,0),IF(AC835="C",1,0))=1,"C","C")))))</f>
        <v/>
      </c>
      <c r="AG835" s="304" t="b">
        <f t="shared" si="36"/>
        <v>0</v>
      </c>
      <c r="AH835" s="9"/>
      <c r="AI835" s="145">
        <f t="shared" si="35"/>
        <v>0</v>
      </c>
      <c r="AJ835" s="147" t="s">
        <v>36</v>
      </c>
    </row>
    <row r="836" spans="1:36" ht="30" customHeight="1">
      <c r="A836" s="90"/>
      <c r="B836" s="90"/>
      <c r="C836" s="90"/>
      <c r="D836" s="90"/>
      <c r="E836" s="90"/>
      <c r="F836" s="90"/>
      <c r="G836" s="90"/>
      <c r="H836" s="90"/>
      <c r="I836" s="90"/>
      <c r="J836" s="90"/>
      <c r="K836" s="90"/>
      <c r="L836" s="90"/>
      <c r="M836" s="90"/>
      <c r="N836" s="150"/>
      <c r="O836" s="152"/>
      <c r="P836" s="90"/>
      <c r="Q836" s="140"/>
      <c r="R836" s="90"/>
      <c r="S836" s="140"/>
      <c r="T836" s="90"/>
      <c r="U836" s="140"/>
      <c r="V836" s="90"/>
      <c r="W836" s="140"/>
      <c r="X836" s="90"/>
      <c r="Y836" s="140"/>
      <c r="Z836" s="90"/>
      <c r="AA836" s="140"/>
      <c r="AB836" s="62"/>
      <c r="AC836" s="140"/>
      <c r="AD836" s="62"/>
      <c r="AE836" s="140"/>
      <c r="AF836" s="189" t="str">
        <f t="shared" si="37"/>
        <v/>
      </c>
      <c r="AG836" s="304" t="b">
        <f t="shared" si="36"/>
        <v>0</v>
      </c>
      <c r="AH836" s="9"/>
      <c r="AI836" s="145">
        <f t="shared" si="35"/>
        <v>0</v>
      </c>
      <c r="AJ836" s="147" t="s">
        <v>36</v>
      </c>
    </row>
    <row r="837" spans="1:36" ht="30" customHeight="1">
      <c r="A837" s="90"/>
      <c r="B837" s="90"/>
      <c r="C837" s="90"/>
      <c r="D837" s="90"/>
      <c r="E837" s="90"/>
      <c r="F837" s="90"/>
      <c r="G837" s="90"/>
      <c r="H837" s="90"/>
      <c r="I837" s="90"/>
      <c r="J837" s="90"/>
      <c r="K837" s="90"/>
      <c r="L837" s="90"/>
      <c r="M837" s="90"/>
      <c r="N837" s="150"/>
      <c r="O837" s="152"/>
      <c r="P837" s="90"/>
      <c r="Q837" s="140"/>
      <c r="R837" s="90"/>
      <c r="S837" s="140"/>
      <c r="T837" s="90"/>
      <c r="U837" s="140"/>
      <c r="V837" s="90"/>
      <c r="W837" s="140"/>
      <c r="X837" s="90"/>
      <c r="Y837" s="140"/>
      <c r="Z837" s="90"/>
      <c r="AA837" s="140"/>
      <c r="AB837" s="62"/>
      <c r="AC837" s="140"/>
      <c r="AD837" s="62"/>
      <c r="AE837" s="140"/>
      <c r="AF837" s="189" t="str">
        <f t="shared" si="37"/>
        <v/>
      </c>
      <c r="AG837" s="304" t="b">
        <f t="shared" si="36"/>
        <v>0</v>
      </c>
      <c r="AH837" s="9"/>
      <c r="AI837" s="145">
        <f t="shared" si="35"/>
        <v>0</v>
      </c>
      <c r="AJ837" s="147" t="s">
        <v>36</v>
      </c>
    </row>
    <row r="838" spans="1:36" ht="30" customHeight="1">
      <c r="A838" s="90"/>
      <c r="B838" s="90"/>
      <c r="C838" s="90"/>
      <c r="D838" s="90"/>
      <c r="E838" s="90"/>
      <c r="F838" s="90"/>
      <c r="G838" s="90"/>
      <c r="H838" s="90"/>
      <c r="I838" s="90"/>
      <c r="J838" s="90"/>
      <c r="K838" s="90"/>
      <c r="L838" s="90"/>
      <c r="M838" s="90"/>
      <c r="N838" s="150"/>
      <c r="O838" s="152"/>
      <c r="P838" s="90"/>
      <c r="Q838" s="140"/>
      <c r="R838" s="90"/>
      <c r="S838" s="140"/>
      <c r="T838" s="90"/>
      <c r="U838" s="140"/>
      <c r="V838" s="90"/>
      <c r="W838" s="140"/>
      <c r="X838" s="90"/>
      <c r="Y838" s="140"/>
      <c r="Z838" s="90"/>
      <c r="AA838" s="140"/>
      <c r="AB838" s="62"/>
      <c r="AC838" s="140"/>
      <c r="AD838" s="62"/>
      <c r="AE838" s="140"/>
      <c r="AF838" s="189" t="str">
        <f t="shared" si="37"/>
        <v/>
      </c>
      <c r="AG838" s="304" t="b">
        <f t="shared" si="36"/>
        <v>0</v>
      </c>
      <c r="AH838" s="9"/>
      <c r="AI838" s="145">
        <f t="shared" si="35"/>
        <v>0</v>
      </c>
      <c r="AJ838" s="147" t="s">
        <v>36</v>
      </c>
    </row>
    <row r="839" spans="1:36" ht="30" customHeight="1">
      <c r="A839" s="90"/>
      <c r="B839" s="90"/>
      <c r="C839" s="90"/>
      <c r="D839" s="90"/>
      <c r="E839" s="90"/>
      <c r="F839" s="90"/>
      <c r="G839" s="90"/>
      <c r="H839" s="90"/>
      <c r="I839" s="90"/>
      <c r="J839" s="90"/>
      <c r="K839" s="90"/>
      <c r="L839" s="90"/>
      <c r="M839" s="90"/>
      <c r="N839" s="150"/>
      <c r="O839" s="152"/>
      <c r="P839" s="90"/>
      <c r="Q839" s="140"/>
      <c r="R839" s="90"/>
      <c r="S839" s="140"/>
      <c r="T839" s="90"/>
      <c r="U839" s="140"/>
      <c r="V839" s="90"/>
      <c r="W839" s="140"/>
      <c r="X839" s="90"/>
      <c r="Y839" s="140"/>
      <c r="Z839" s="90"/>
      <c r="AA839" s="140"/>
      <c r="AB839" s="62"/>
      <c r="AC839" s="140"/>
      <c r="AD839" s="62"/>
      <c r="AE839" s="140"/>
      <c r="AF839" s="189" t="str">
        <f t="shared" si="37"/>
        <v/>
      </c>
      <c r="AG839" s="304" t="b">
        <f t="shared" si="36"/>
        <v>0</v>
      </c>
      <c r="AH839" s="9"/>
      <c r="AI839" s="145">
        <f t="shared" si="35"/>
        <v>0</v>
      </c>
      <c r="AJ839" s="147" t="s">
        <v>36</v>
      </c>
    </row>
    <row r="840" spans="1:36" ht="30" customHeight="1">
      <c r="A840" s="90"/>
      <c r="B840" s="90"/>
      <c r="C840" s="90"/>
      <c r="D840" s="90"/>
      <c r="E840" s="90"/>
      <c r="F840" s="90"/>
      <c r="G840" s="90"/>
      <c r="H840" s="90"/>
      <c r="I840" s="90"/>
      <c r="J840" s="90"/>
      <c r="K840" s="90"/>
      <c r="L840" s="90"/>
      <c r="M840" s="90"/>
      <c r="N840" s="150"/>
      <c r="O840" s="152"/>
      <c r="P840" s="90"/>
      <c r="Q840" s="140"/>
      <c r="R840" s="90"/>
      <c r="S840" s="140"/>
      <c r="T840" s="90"/>
      <c r="U840" s="140"/>
      <c r="V840" s="90"/>
      <c r="W840" s="140"/>
      <c r="X840" s="90"/>
      <c r="Y840" s="140"/>
      <c r="Z840" s="90"/>
      <c r="AA840" s="140"/>
      <c r="AB840" s="62"/>
      <c r="AC840" s="140"/>
      <c r="AD840" s="62"/>
      <c r="AE840" s="140"/>
      <c r="AF840" s="189" t="str">
        <f t="shared" si="37"/>
        <v/>
      </c>
      <c r="AG840" s="304" t="b">
        <f t="shared" si="36"/>
        <v>0</v>
      </c>
      <c r="AH840" s="9"/>
      <c r="AI840" s="145">
        <f t="shared" si="35"/>
        <v>0</v>
      </c>
      <c r="AJ840" s="147" t="s">
        <v>36</v>
      </c>
    </row>
    <row r="841" spans="1:36" ht="30" customHeight="1">
      <c r="A841" s="90"/>
      <c r="B841" s="90"/>
      <c r="C841" s="90"/>
      <c r="D841" s="90"/>
      <c r="E841" s="90"/>
      <c r="F841" s="90"/>
      <c r="G841" s="90"/>
      <c r="H841" s="90"/>
      <c r="I841" s="90"/>
      <c r="J841" s="90"/>
      <c r="K841" s="90"/>
      <c r="L841" s="90"/>
      <c r="M841" s="90"/>
      <c r="N841" s="150"/>
      <c r="O841" s="152"/>
      <c r="P841" s="90"/>
      <c r="Q841" s="140"/>
      <c r="R841" s="90"/>
      <c r="S841" s="140"/>
      <c r="T841" s="90"/>
      <c r="U841" s="140"/>
      <c r="V841" s="90"/>
      <c r="W841" s="140"/>
      <c r="X841" s="90"/>
      <c r="Y841" s="140"/>
      <c r="Z841" s="90"/>
      <c r="AA841" s="140"/>
      <c r="AB841" s="62"/>
      <c r="AC841" s="140"/>
      <c r="AD841" s="62"/>
      <c r="AE841" s="140"/>
      <c r="AF841" s="189" t="str">
        <f t="shared" si="37"/>
        <v/>
      </c>
      <c r="AG841" s="304" t="b">
        <f t="shared" si="36"/>
        <v>0</v>
      </c>
      <c r="AH841" s="9"/>
      <c r="AI841" s="145">
        <f t="shared" si="35"/>
        <v>0</v>
      </c>
      <c r="AJ841" s="147" t="s">
        <v>36</v>
      </c>
    </row>
    <row r="842" spans="1:36" ht="30" customHeight="1">
      <c r="A842" s="90"/>
      <c r="B842" s="90"/>
      <c r="C842" s="90"/>
      <c r="D842" s="90"/>
      <c r="E842" s="90"/>
      <c r="F842" s="90"/>
      <c r="G842" s="90"/>
      <c r="H842" s="90"/>
      <c r="I842" s="90"/>
      <c r="J842" s="90"/>
      <c r="K842" s="90"/>
      <c r="L842" s="90"/>
      <c r="M842" s="90"/>
      <c r="N842" s="150"/>
      <c r="O842" s="152"/>
      <c r="P842" s="90"/>
      <c r="Q842" s="140"/>
      <c r="R842" s="90"/>
      <c r="S842" s="140"/>
      <c r="T842" s="90"/>
      <c r="U842" s="140"/>
      <c r="V842" s="90"/>
      <c r="W842" s="140"/>
      <c r="X842" s="90"/>
      <c r="Y842" s="140"/>
      <c r="Z842" s="90"/>
      <c r="AA842" s="140"/>
      <c r="AB842" s="62"/>
      <c r="AC842" s="140"/>
      <c r="AD842" s="62"/>
      <c r="AE842" s="140"/>
      <c r="AF842" s="189" t="str">
        <f t="shared" si="37"/>
        <v/>
      </c>
      <c r="AG842" s="304" t="b">
        <f t="shared" si="36"/>
        <v>0</v>
      </c>
      <c r="AH842" s="9"/>
      <c r="AI842" s="145">
        <f t="shared" si="35"/>
        <v>0</v>
      </c>
      <c r="AJ842" s="147" t="s">
        <v>36</v>
      </c>
    </row>
    <row r="843" spans="1:36" ht="30" customHeight="1">
      <c r="A843" s="90"/>
      <c r="B843" s="90"/>
      <c r="C843" s="90"/>
      <c r="D843" s="90"/>
      <c r="E843" s="90"/>
      <c r="F843" s="90"/>
      <c r="G843" s="90"/>
      <c r="H843" s="90"/>
      <c r="I843" s="90"/>
      <c r="J843" s="90"/>
      <c r="K843" s="90"/>
      <c r="L843" s="90"/>
      <c r="M843" s="90"/>
      <c r="N843" s="150"/>
      <c r="O843" s="152"/>
      <c r="P843" s="90"/>
      <c r="Q843" s="140"/>
      <c r="R843" s="90"/>
      <c r="S843" s="140"/>
      <c r="T843" s="90"/>
      <c r="U843" s="140"/>
      <c r="V843" s="90"/>
      <c r="W843" s="140"/>
      <c r="X843" s="90"/>
      <c r="Y843" s="140"/>
      <c r="Z843" s="90"/>
      <c r="AA843" s="140"/>
      <c r="AB843" s="62"/>
      <c r="AC843" s="140"/>
      <c r="AD843" s="62"/>
      <c r="AE843" s="140"/>
      <c r="AF843" s="189" t="str">
        <f t="shared" si="37"/>
        <v/>
      </c>
      <c r="AG843" s="304" t="b">
        <f t="shared" si="36"/>
        <v>0</v>
      </c>
      <c r="AH843" s="9"/>
      <c r="AI843" s="145">
        <f t="shared" si="35"/>
        <v>0</v>
      </c>
      <c r="AJ843" s="147" t="s">
        <v>36</v>
      </c>
    </row>
    <row r="844" spans="1:36" ht="30" customHeight="1">
      <c r="A844" s="90"/>
      <c r="B844" s="90"/>
      <c r="C844" s="90"/>
      <c r="D844" s="90"/>
      <c r="E844" s="90"/>
      <c r="F844" s="90"/>
      <c r="G844" s="90"/>
      <c r="H844" s="90"/>
      <c r="I844" s="90"/>
      <c r="J844" s="90"/>
      <c r="K844" s="90"/>
      <c r="L844" s="90"/>
      <c r="M844" s="90"/>
      <c r="N844" s="150"/>
      <c r="O844" s="152"/>
      <c r="P844" s="90"/>
      <c r="Q844" s="140"/>
      <c r="R844" s="90"/>
      <c r="S844" s="140"/>
      <c r="T844" s="90"/>
      <c r="U844" s="140"/>
      <c r="V844" s="90"/>
      <c r="W844" s="140"/>
      <c r="X844" s="90"/>
      <c r="Y844" s="140"/>
      <c r="Z844" s="90"/>
      <c r="AA844" s="140"/>
      <c r="AB844" s="62"/>
      <c r="AC844" s="140"/>
      <c r="AD844" s="62"/>
      <c r="AE844" s="140"/>
      <c r="AF844" s="189" t="str">
        <f t="shared" si="37"/>
        <v/>
      </c>
      <c r="AG844" s="304" t="b">
        <f t="shared" si="36"/>
        <v>0</v>
      </c>
      <c r="AH844" s="9"/>
      <c r="AI844" s="145">
        <f t="shared" si="35"/>
        <v>0</v>
      </c>
      <c r="AJ844" s="147" t="s">
        <v>36</v>
      </c>
    </row>
    <row r="845" spans="1:36" ht="30" customHeight="1">
      <c r="A845" s="90"/>
      <c r="B845" s="90"/>
      <c r="C845" s="90"/>
      <c r="D845" s="90"/>
      <c r="E845" s="90"/>
      <c r="F845" s="90"/>
      <c r="G845" s="90"/>
      <c r="H845" s="90"/>
      <c r="I845" s="90"/>
      <c r="J845" s="90"/>
      <c r="K845" s="90"/>
      <c r="L845" s="90"/>
      <c r="M845" s="90"/>
      <c r="N845" s="150"/>
      <c r="O845" s="152"/>
      <c r="P845" s="90"/>
      <c r="Q845" s="140"/>
      <c r="R845" s="90"/>
      <c r="S845" s="140"/>
      <c r="T845" s="90"/>
      <c r="U845" s="140"/>
      <c r="V845" s="90"/>
      <c r="W845" s="140"/>
      <c r="X845" s="90"/>
      <c r="Y845" s="140"/>
      <c r="Z845" s="90"/>
      <c r="AA845" s="140"/>
      <c r="AB845" s="62"/>
      <c r="AC845" s="140"/>
      <c r="AD845" s="62"/>
      <c r="AE845" s="140"/>
      <c r="AF845" s="189" t="str">
        <f t="shared" si="37"/>
        <v/>
      </c>
      <c r="AG845" s="304" t="b">
        <f t="shared" si="36"/>
        <v>0</v>
      </c>
      <c r="AH845" s="9"/>
      <c r="AI845" s="145">
        <f t="shared" si="35"/>
        <v>0</v>
      </c>
      <c r="AJ845" s="147" t="s">
        <v>36</v>
      </c>
    </row>
    <row r="846" spans="1:36" ht="30" customHeight="1">
      <c r="A846" s="90"/>
      <c r="B846" s="90"/>
      <c r="C846" s="90"/>
      <c r="D846" s="90"/>
      <c r="E846" s="90"/>
      <c r="F846" s="90"/>
      <c r="G846" s="90"/>
      <c r="H846" s="90"/>
      <c r="I846" s="90"/>
      <c r="J846" s="90"/>
      <c r="K846" s="90"/>
      <c r="L846" s="90"/>
      <c r="M846" s="90"/>
      <c r="N846" s="150"/>
      <c r="O846" s="152"/>
      <c r="P846" s="90"/>
      <c r="Q846" s="140"/>
      <c r="R846" s="90"/>
      <c r="S846" s="140"/>
      <c r="T846" s="90"/>
      <c r="U846" s="140"/>
      <c r="V846" s="90"/>
      <c r="W846" s="140"/>
      <c r="X846" s="90"/>
      <c r="Y846" s="140"/>
      <c r="Z846" s="90"/>
      <c r="AA846" s="140"/>
      <c r="AB846" s="62"/>
      <c r="AC846" s="140"/>
      <c r="AD846" s="62"/>
      <c r="AE846" s="140"/>
      <c r="AF846" s="189" t="str">
        <f t="shared" si="37"/>
        <v/>
      </c>
      <c r="AG846" s="304" t="b">
        <f t="shared" si="36"/>
        <v>0</v>
      </c>
      <c r="AH846" s="9"/>
      <c r="AI846" s="145">
        <f t="shared" si="35"/>
        <v>0</v>
      </c>
      <c r="AJ846" s="147" t="s">
        <v>36</v>
      </c>
    </row>
    <row r="847" spans="1:36" ht="30" customHeight="1">
      <c r="A847" s="90"/>
      <c r="B847" s="90"/>
      <c r="C847" s="90"/>
      <c r="D847" s="90"/>
      <c r="E847" s="90"/>
      <c r="F847" s="90"/>
      <c r="G847" s="90"/>
      <c r="H847" s="90"/>
      <c r="I847" s="90"/>
      <c r="J847" s="90"/>
      <c r="K847" s="90"/>
      <c r="L847" s="90"/>
      <c r="M847" s="90"/>
      <c r="N847" s="150"/>
      <c r="O847" s="152"/>
      <c r="P847" s="90"/>
      <c r="Q847" s="140"/>
      <c r="R847" s="90"/>
      <c r="S847" s="140"/>
      <c r="T847" s="90"/>
      <c r="U847" s="140"/>
      <c r="V847" s="90"/>
      <c r="W847" s="140"/>
      <c r="X847" s="90"/>
      <c r="Y847" s="140"/>
      <c r="Z847" s="90"/>
      <c r="AA847" s="140"/>
      <c r="AB847" s="62"/>
      <c r="AC847" s="140"/>
      <c r="AD847" s="62"/>
      <c r="AE847" s="140"/>
      <c r="AF847" s="189" t="str">
        <f t="shared" si="37"/>
        <v/>
      </c>
      <c r="AG847" s="304" t="b">
        <f t="shared" si="36"/>
        <v>0</v>
      </c>
      <c r="AH847" s="9"/>
      <c r="AI847" s="145">
        <f t="shared" si="35"/>
        <v>0</v>
      </c>
      <c r="AJ847" s="147" t="s">
        <v>36</v>
      </c>
    </row>
    <row r="848" spans="1:36" ht="30" customHeight="1">
      <c r="A848" s="90"/>
      <c r="B848" s="90"/>
      <c r="C848" s="90"/>
      <c r="D848" s="90"/>
      <c r="E848" s="90"/>
      <c r="F848" s="90"/>
      <c r="G848" s="90"/>
      <c r="H848" s="90"/>
      <c r="I848" s="90"/>
      <c r="J848" s="90"/>
      <c r="K848" s="90"/>
      <c r="L848" s="90"/>
      <c r="M848" s="90"/>
      <c r="N848" s="150"/>
      <c r="O848" s="152"/>
      <c r="P848" s="90"/>
      <c r="Q848" s="140"/>
      <c r="R848" s="90"/>
      <c r="S848" s="140"/>
      <c r="T848" s="90"/>
      <c r="U848" s="140"/>
      <c r="V848" s="90"/>
      <c r="W848" s="140"/>
      <c r="X848" s="90"/>
      <c r="Y848" s="140"/>
      <c r="Z848" s="90"/>
      <c r="AA848" s="140"/>
      <c r="AB848" s="62"/>
      <c r="AC848" s="140"/>
      <c r="AD848" s="62"/>
      <c r="AE848" s="140"/>
      <c r="AF848" s="189" t="str">
        <f t="shared" si="37"/>
        <v/>
      </c>
      <c r="AG848" s="304" t="b">
        <f t="shared" si="36"/>
        <v>0</v>
      </c>
      <c r="AH848" s="9"/>
      <c r="AI848" s="145">
        <f t="shared" si="35"/>
        <v>0</v>
      </c>
      <c r="AJ848" s="147" t="s">
        <v>36</v>
      </c>
    </row>
    <row r="849" spans="1:36" ht="30" customHeight="1">
      <c r="A849" s="90"/>
      <c r="B849" s="90"/>
      <c r="C849" s="90"/>
      <c r="D849" s="90"/>
      <c r="E849" s="90"/>
      <c r="F849" s="90"/>
      <c r="G849" s="90"/>
      <c r="H849" s="90"/>
      <c r="I849" s="90"/>
      <c r="J849" s="90"/>
      <c r="K849" s="90"/>
      <c r="L849" s="90"/>
      <c r="M849" s="90"/>
      <c r="N849" s="150"/>
      <c r="O849" s="152"/>
      <c r="P849" s="90"/>
      <c r="Q849" s="140"/>
      <c r="R849" s="90"/>
      <c r="S849" s="140"/>
      <c r="T849" s="90"/>
      <c r="U849" s="140"/>
      <c r="V849" s="90"/>
      <c r="W849" s="140"/>
      <c r="X849" s="90"/>
      <c r="Y849" s="140"/>
      <c r="Z849" s="90"/>
      <c r="AA849" s="140"/>
      <c r="AB849" s="62"/>
      <c r="AC849" s="140"/>
      <c r="AD849" s="62"/>
      <c r="AE849" s="140"/>
      <c r="AF849" s="189" t="str">
        <f t="shared" si="37"/>
        <v/>
      </c>
      <c r="AG849" s="304" t="b">
        <f t="shared" si="36"/>
        <v>0</v>
      </c>
      <c r="AH849" s="9"/>
      <c r="AI849" s="145">
        <f t="shared" si="35"/>
        <v>0</v>
      </c>
      <c r="AJ849" s="147" t="s">
        <v>36</v>
      </c>
    </row>
    <row r="850" spans="1:36" ht="30" customHeight="1">
      <c r="A850" s="90"/>
      <c r="B850" s="90"/>
      <c r="C850" s="90"/>
      <c r="D850" s="90"/>
      <c r="E850" s="90"/>
      <c r="F850" s="90"/>
      <c r="G850" s="90"/>
      <c r="H850" s="90"/>
      <c r="I850" s="90"/>
      <c r="J850" s="90"/>
      <c r="K850" s="90"/>
      <c r="L850" s="90"/>
      <c r="M850" s="90"/>
      <c r="N850" s="150"/>
      <c r="O850" s="152"/>
      <c r="P850" s="90"/>
      <c r="Q850" s="140"/>
      <c r="R850" s="90"/>
      <c r="S850" s="140"/>
      <c r="T850" s="90"/>
      <c r="U850" s="140"/>
      <c r="V850" s="90"/>
      <c r="W850" s="140"/>
      <c r="X850" s="90"/>
      <c r="Y850" s="140"/>
      <c r="Z850" s="90"/>
      <c r="AA850" s="140"/>
      <c r="AB850" s="62"/>
      <c r="AC850" s="140"/>
      <c r="AD850" s="62"/>
      <c r="AE850" s="140"/>
      <c r="AF850" s="189" t="str">
        <f t="shared" si="37"/>
        <v/>
      </c>
      <c r="AG850" s="304" t="b">
        <f t="shared" si="36"/>
        <v>0</v>
      </c>
      <c r="AH850" s="9"/>
      <c r="AI850" s="145">
        <f t="shared" si="35"/>
        <v>0</v>
      </c>
      <c r="AJ850" s="147" t="s">
        <v>36</v>
      </c>
    </row>
    <row r="851" spans="1:36" ht="30" customHeight="1">
      <c r="A851" s="90"/>
      <c r="B851" s="90"/>
      <c r="C851" s="90"/>
      <c r="D851" s="90"/>
      <c r="E851" s="90"/>
      <c r="F851" s="90"/>
      <c r="G851" s="90"/>
      <c r="H851" s="90"/>
      <c r="I851" s="90"/>
      <c r="J851" s="90"/>
      <c r="K851" s="90"/>
      <c r="L851" s="90"/>
      <c r="M851" s="90"/>
      <c r="N851" s="150"/>
      <c r="O851" s="152"/>
      <c r="P851" s="90"/>
      <c r="Q851" s="140"/>
      <c r="R851" s="90"/>
      <c r="S851" s="140"/>
      <c r="T851" s="90"/>
      <c r="U851" s="140"/>
      <c r="V851" s="90"/>
      <c r="W851" s="140"/>
      <c r="X851" s="90"/>
      <c r="Y851" s="140"/>
      <c r="Z851" s="90"/>
      <c r="AA851" s="140"/>
      <c r="AB851" s="62"/>
      <c r="AC851" s="140"/>
      <c r="AD851" s="62"/>
      <c r="AE851" s="140"/>
      <c r="AF851" s="189" t="str">
        <f t="shared" si="37"/>
        <v/>
      </c>
      <c r="AG851" s="304" t="b">
        <f t="shared" si="36"/>
        <v>0</v>
      </c>
      <c r="AH851" s="9"/>
      <c r="AI851" s="145">
        <f t="shared" si="35"/>
        <v>0</v>
      </c>
      <c r="AJ851" s="147" t="s">
        <v>36</v>
      </c>
    </row>
    <row r="852" spans="1:36" ht="30" customHeight="1">
      <c r="A852" s="90"/>
      <c r="B852" s="90"/>
      <c r="C852" s="90"/>
      <c r="D852" s="90"/>
      <c r="E852" s="90"/>
      <c r="F852" s="90"/>
      <c r="G852" s="90"/>
      <c r="H852" s="90"/>
      <c r="I852" s="90"/>
      <c r="J852" s="90"/>
      <c r="K852" s="90"/>
      <c r="L852" s="90"/>
      <c r="M852" s="90"/>
      <c r="N852" s="150"/>
      <c r="O852" s="152"/>
      <c r="P852" s="90"/>
      <c r="Q852" s="140"/>
      <c r="R852" s="90"/>
      <c r="S852" s="140"/>
      <c r="T852" s="90"/>
      <c r="U852" s="140"/>
      <c r="V852" s="90"/>
      <c r="W852" s="140"/>
      <c r="X852" s="90"/>
      <c r="Y852" s="140"/>
      <c r="Z852" s="90"/>
      <c r="AA852" s="140"/>
      <c r="AB852" s="62"/>
      <c r="AC852" s="140"/>
      <c r="AD852" s="62"/>
      <c r="AE852" s="140"/>
      <c r="AF852" s="189" t="str">
        <f t="shared" si="37"/>
        <v/>
      </c>
      <c r="AG852" s="304" t="b">
        <f t="shared" si="36"/>
        <v>0</v>
      </c>
      <c r="AH852" s="9"/>
      <c r="AI852" s="145">
        <f t="shared" si="35"/>
        <v>0</v>
      </c>
      <c r="AJ852" s="147" t="s">
        <v>36</v>
      </c>
    </row>
    <row r="853" spans="1:36" ht="30" customHeight="1">
      <c r="A853" s="90"/>
      <c r="B853" s="90"/>
      <c r="C853" s="90"/>
      <c r="D853" s="90"/>
      <c r="E853" s="90"/>
      <c r="F853" s="90"/>
      <c r="G853" s="90"/>
      <c r="H853" s="90"/>
      <c r="I853" s="90"/>
      <c r="J853" s="90"/>
      <c r="K853" s="90"/>
      <c r="L853" s="90"/>
      <c r="M853" s="90"/>
      <c r="N853" s="150"/>
      <c r="O853" s="152"/>
      <c r="P853" s="90"/>
      <c r="Q853" s="140"/>
      <c r="R853" s="90"/>
      <c r="S853" s="140"/>
      <c r="T853" s="90"/>
      <c r="U853" s="140"/>
      <c r="V853" s="90"/>
      <c r="W853" s="140"/>
      <c r="X853" s="90"/>
      <c r="Y853" s="140"/>
      <c r="Z853" s="90"/>
      <c r="AA853" s="140"/>
      <c r="AB853" s="62"/>
      <c r="AC853" s="140"/>
      <c r="AD853" s="62"/>
      <c r="AE853" s="140"/>
      <c r="AF853" s="189" t="str">
        <f t="shared" si="37"/>
        <v/>
      </c>
      <c r="AG853" s="304" t="b">
        <f t="shared" si="36"/>
        <v>0</v>
      </c>
      <c r="AH853" s="9"/>
      <c r="AI853" s="145">
        <f t="shared" si="35"/>
        <v>0</v>
      </c>
      <c r="AJ853" s="147" t="s">
        <v>36</v>
      </c>
    </row>
    <row r="854" spans="1:36" ht="30" customHeight="1">
      <c r="A854" s="90"/>
      <c r="B854" s="90"/>
      <c r="C854" s="90"/>
      <c r="D854" s="90"/>
      <c r="E854" s="90"/>
      <c r="F854" s="90"/>
      <c r="G854" s="90"/>
      <c r="H854" s="90"/>
      <c r="I854" s="90"/>
      <c r="J854" s="90"/>
      <c r="K854" s="90"/>
      <c r="L854" s="90"/>
      <c r="M854" s="90"/>
      <c r="N854" s="150"/>
      <c r="O854" s="152"/>
      <c r="P854" s="90"/>
      <c r="Q854" s="140"/>
      <c r="R854" s="90"/>
      <c r="S854" s="140"/>
      <c r="T854" s="90"/>
      <c r="U854" s="140"/>
      <c r="V854" s="90"/>
      <c r="W854" s="140"/>
      <c r="X854" s="90"/>
      <c r="Y854" s="140"/>
      <c r="Z854" s="90"/>
      <c r="AA854" s="140"/>
      <c r="AB854" s="62"/>
      <c r="AC854" s="140"/>
      <c r="AD854" s="62"/>
      <c r="AE854" s="140"/>
      <c r="AF854" s="189" t="str">
        <f t="shared" si="37"/>
        <v/>
      </c>
      <c r="AG854" s="304" t="b">
        <f t="shared" si="36"/>
        <v>0</v>
      </c>
      <c r="AH854" s="9"/>
      <c r="AI854" s="145">
        <f t="shared" si="35"/>
        <v>0</v>
      </c>
      <c r="AJ854" s="147" t="s">
        <v>36</v>
      </c>
    </row>
    <row r="855" spans="1:36" ht="30" customHeight="1">
      <c r="A855" s="90"/>
      <c r="B855" s="90"/>
      <c r="C855" s="90"/>
      <c r="D855" s="90"/>
      <c r="E855" s="90"/>
      <c r="F855" s="90"/>
      <c r="G855" s="90"/>
      <c r="H855" s="90"/>
      <c r="I855" s="90"/>
      <c r="J855" s="90"/>
      <c r="K855" s="90"/>
      <c r="L855" s="90"/>
      <c r="M855" s="90"/>
      <c r="N855" s="150"/>
      <c r="O855" s="152"/>
      <c r="P855" s="90"/>
      <c r="Q855" s="140"/>
      <c r="R855" s="90"/>
      <c r="S855" s="140"/>
      <c r="T855" s="90"/>
      <c r="U855" s="140"/>
      <c r="V855" s="90"/>
      <c r="W855" s="140"/>
      <c r="X855" s="90"/>
      <c r="Y855" s="140"/>
      <c r="Z855" s="90"/>
      <c r="AA855" s="140"/>
      <c r="AB855" s="62"/>
      <c r="AC855" s="140"/>
      <c r="AD855" s="62"/>
      <c r="AE855" s="140"/>
      <c r="AF855" s="189" t="str">
        <f t="shared" si="37"/>
        <v/>
      </c>
      <c r="AG855" s="304" t="b">
        <f t="shared" si="36"/>
        <v>0</v>
      </c>
      <c r="AH855" s="9"/>
      <c r="AI855" s="145">
        <f t="shared" si="35"/>
        <v>0</v>
      </c>
      <c r="AJ855" s="147" t="s">
        <v>36</v>
      </c>
    </row>
    <row r="856" spans="1:36" ht="30" customHeight="1">
      <c r="A856" s="90"/>
      <c r="B856" s="90"/>
      <c r="C856" s="90"/>
      <c r="D856" s="90"/>
      <c r="E856" s="90"/>
      <c r="F856" s="90"/>
      <c r="G856" s="90"/>
      <c r="H856" s="90"/>
      <c r="I856" s="90"/>
      <c r="J856" s="90"/>
      <c r="K856" s="90"/>
      <c r="L856" s="90"/>
      <c r="M856" s="90"/>
      <c r="N856" s="150"/>
      <c r="O856" s="152"/>
      <c r="P856" s="90"/>
      <c r="Q856" s="140"/>
      <c r="R856" s="90"/>
      <c r="S856" s="140"/>
      <c r="T856" s="90"/>
      <c r="U856" s="140"/>
      <c r="V856" s="90"/>
      <c r="W856" s="140"/>
      <c r="X856" s="90"/>
      <c r="Y856" s="140"/>
      <c r="Z856" s="90"/>
      <c r="AA856" s="140"/>
      <c r="AB856" s="62"/>
      <c r="AC856" s="140"/>
      <c r="AD856" s="62"/>
      <c r="AE856" s="140"/>
      <c r="AF856" s="189" t="str">
        <f t="shared" si="37"/>
        <v/>
      </c>
      <c r="AG856" s="304" t="b">
        <f t="shared" si="36"/>
        <v>0</v>
      </c>
      <c r="AH856" s="9"/>
      <c r="AI856" s="145">
        <f t="shared" si="35"/>
        <v>0</v>
      </c>
      <c r="AJ856" s="147" t="s">
        <v>36</v>
      </c>
    </row>
    <row r="857" spans="1:36" ht="30" customHeight="1">
      <c r="A857" s="90"/>
      <c r="B857" s="90"/>
      <c r="C857" s="90"/>
      <c r="D857" s="90"/>
      <c r="E857" s="90"/>
      <c r="F857" s="90"/>
      <c r="G857" s="90"/>
      <c r="H857" s="90"/>
      <c r="I857" s="90"/>
      <c r="J857" s="90"/>
      <c r="K857" s="90"/>
      <c r="L857" s="90"/>
      <c r="M857" s="90"/>
      <c r="N857" s="150"/>
      <c r="O857" s="152"/>
      <c r="P857" s="90"/>
      <c r="Q857" s="140"/>
      <c r="R857" s="90"/>
      <c r="S857" s="140"/>
      <c r="T857" s="90"/>
      <c r="U857" s="140"/>
      <c r="V857" s="90"/>
      <c r="W857" s="140"/>
      <c r="X857" s="90"/>
      <c r="Y857" s="140"/>
      <c r="Z857" s="90"/>
      <c r="AA857" s="140"/>
      <c r="AB857" s="62"/>
      <c r="AC857" s="140"/>
      <c r="AD857" s="62"/>
      <c r="AE857" s="140"/>
      <c r="AF857" s="189" t="str">
        <f t="shared" si="37"/>
        <v/>
      </c>
      <c r="AG857" s="304" t="b">
        <f t="shared" si="36"/>
        <v>0</v>
      </c>
      <c r="AH857" s="9"/>
      <c r="AI857" s="145">
        <f t="shared" si="35"/>
        <v>0</v>
      </c>
      <c r="AJ857" s="147" t="s">
        <v>36</v>
      </c>
    </row>
    <row r="858" spans="1:36" ht="30" customHeight="1">
      <c r="A858" s="90"/>
      <c r="B858" s="90"/>
      <c r="C858" s="90"/>
      <c r="D858" s="90"/>
      <c r="E858" s="90"/>
      <c r="F858" s="90"/>
      <c r="G858" s="90"/>
      <c r="H858" s="90"/>
      <c r="I858" s="90"/>
      <c r="J858" s="90"/>
      <c r="K858" s="90"/>
      <c r="L858" s="90"/>
      <c r="M858" s="90"/>
      <c r="N858" s="150"/>
      <c r="O858" s="152"/>
      <c r="P858" s="90"/>
      <c r="Q858" s="140"/>
      <c r="R858" s="90"/>
      <c r="S858" s="140"/>
      <c r="T858" s="90"/>
      <c r="U858" s="140"/>
      <c r="V858" s="90"/>
      <c r="W858" s="140"/>
      <c r="X858" s="90"/>
      <c r="Y858" s="140"/>
      <c r="Z858" s="90"/>
      <c r="AA858" s="140"/>
      <c r="AB858" s="62"/>
      <c r="AC858" s="140"/>
      <c r="AD858" s="62"/>
      <c r="AE858" s="140"/>
      <c r="AF858" s="189" t="str">
        <f t="shared" si="37"/>
        <v/>
      </c>
      <c r="AG858" s="304" t="b">
        <f t="shared" si="36"/>
        <v>0</v>
      </c>
      <c r="AH858" s="9"/>
      <c r="AI858" s="145">
        <f t="shared" si="35"/>
        <v>0</v>
      </c>
      <c r="AJ858" s="147" t="s">
        <v>36</v>
      </c>
    </row>
    <row r="859" spans="1:36" ht="30" customHeight="1">
      <c r="A859" s="90"/>
      <c r="B859" s="90"/>
      <c r="C859" s="90"/>
      <c r="D859" s="90"/>
      <c r="E859" s="90"/>
      <c r="F859" s="90"/>
      <c r="G859" s="90"/>
      <c r="H859" s="90"/>
      <c r="I859" s="90"/>
      <c r="J859" s="90"/>
      <c r="K859" s="90"/>
      <c r="L859" s="90"/>
      <c r="M859" s="90"/>
      <c r="N859" s="150"/>
      <c r="O859" s="152"/>
      <c r="P859" s="90"/>
      <c r="Q859" s="140"/>
      <c r="R859" s="90"/>
      <c r="S859" s="140"/>
      <c r="T859" s="90"/>
      <c r="U859" s="140"/>
      <c r="V859" s="90"/>
      <c r="W859" s="140"/>
      <c r="X859" s="90"/>
      <c r="Y859" s="140"/>
      <c r="Z859" s="90"/>
      <c r="AA859" s="140"/>
      <c r="AB859" s="62"/>
      <c r="AC859" s="140"/>
      <c r="AD859" s="62"/>
      <c r="AE859" s="140"/>
      <c r="AF859" s="189" t="str">
        <f t="shared" si="37"/>
        <v/>
      </c>
      <c r="AG859" s="304" t="b">
        <f t="shared" si="36"/>
        <v>0</v>
      </c>
      <c r="AH859" s="9"/>
      <c r="AI859" s="145">
        <f t="shared" si="35"/>
        <v>0</v>
      </c>
      <c r="AJ859" s="147" t="s">
        <v>36</v>
      </c>
    </row>
    <row r="860" spans="1:36" ht="30" customHeight="1">
      <c r="A860" s="90"/>
      <c r="B860" s="90"/>
      <c r="C860" s="90"/>
      <c r="D860" s="90"/>
      <c r="E860" s="90"/>
      <c r="F860" s="90"/>
      <c r="G860" s="90"/>
      <c r="H860" s="90"/>
      <c r="I860" s="90"/>
      <c r="J860" s="90"/>
      <c r="K860" s="90"/>
      <c r="L860" s="90"/>
      <c r="M860" s="90"/>
      <c r="N860" s="150"/>
      <c r="O860" s="152"/>
      <c r="P860" s="90"/>
      <c r="Q860" s="140"/>
      <c r="R860" s="90"/>
      <c r="S860" s="140"/>
      <c r="T860" s="90"/>
      <c r="U860" s="140"/>
      <c r="V860" s="90"/>
      <c r="W860" s="140"/>
      <c r="X860" s="90"/>
      <c r="Y860" s="140"/>
      <c r="Z860" s="90"/>
      <c r="AA860" s="140"/>
      <c r="AB860" s="62"/>
      <c r="AC860" s="140"/>
      <c r="AD860" s="62"/>
      <c r="AE860" s="140"/>
      <c r="AF860" s="189" t="str">
        <f t="shared" si="37"/>
        <v/>
      </c>
      <c r="AG860" s="304" t="b">
        <f t="shared" si="36"/>
        <v>0</v>
      </c>
      <c r="AH860" s="9"/>
      <c r="AI860" s="145">
        <f t="shared" si="35"/>
        <v>0</v>
      </c>
      <c r="AJ860" s="147" t="s">
        <v>36</v>
      </c>
    </row>
    <row r="861" spans="1:36" ht="30" customHeight="1">
      <c r="A861" s="90"/>
      <c r="B861" s="90"/>
      <c r="C861" s="90"/>
      <c r="D861" s="90"/>
      <c r="E861" s="90"/>
      <c r="F861" s="90"/>
      <c r="G861" s="90"/>
      <c r="H861" s="90"/>
      <c r="I861" s="90"/>
      <c r="J861" s="90"/>
      <c r="K861" s="90"/>
      <c r="L861" s="90"/>
      <c r="M861" s="90"/>
      <c r="N861" s="150"/>
      <c r="O861" s="152"/>
      <c r="P861" s="90"/>
      <c r="Q861" s="140"/>
      <c r="R861" s="90"/>
      <c r="S861" s="140"/>
      <c r="T861" s="90"/>
      <c r="U861" s="140"/>
      <c r="V861" s="90"/>
      <c r="W861" s="140"/>
      <c r="X861" s="90"/>
      <c r="Y861" s="140"/>
      <c r="Z861" s="90"/>
      <c r="AA861" s="140"/>
      <c r="AB861" s="62"/>
      <c r="AC861" s="140"/>
      <c r="AD861" s="62"/>
      <c r="AE861" s="140"/>
      <c r="AF861" s="189" t="str">
        <f t="shared" si="37"/>
        <v/>
      </c>
      <c r="AG861" s="304" t="b">
        <f t="shared" si="36"/>
        <v>0</v>
      </c>
      <c r="AH861" s="9"/>
      <c r="AI861" s="145">
        <f t="shared" si="35"/>
        <v>0</v>
      </c>
      <c r="AJ861" s="147" t="s">
        <v>36</v>
      </c>
    </row>
    <row r="862" spans="1:36" ht="30" customHeight="1">
      <c r="A862" s="90"/>
      <c r="B862" s="90"/>
      <c r="C862" s="90"/>
      <c r="D862" s="90"/>
      <c r="E862" s="90"/>
      <c r="F862" s="90"/>
      <c r="G862" s="90"/>
      <c r="H862" s="90"/>
      <c r="I862" s="90"/>
      <c r="J862" s="90"/>
      <c r="K862" s="90"/>
      <c r="L862" s="90"/>
      <c r="M862" s="90"/>
      <c r="N862" s="150"/>
      <c r="O862" s="152"/>
      <c r="P862" s="90"/>
      <c r="Q862" s="140"/>
      <c r="R862" s="90"/>
      <c r="S862" s="140"/>
      <c r="T862" s="90"/>
      <c r="U862" s="140"/>
      <c r="V862" s="90"/>
      <c r="W862" s="140"/>
      <c r="X862" s="90"/>
      <c r="Y862" s="140"/>
      <c r="Z862" s="90"/>
      <c r="AA862" s="140"/>
      <c r="AB862" s="62"/>
      <c r="AC862" s="140"/>
      <c r="AD862" s="62"/>
      <c r="AE862" s="140"/>
      <c r="AF862" s="189" t="str">
        <f t="shared" si="37"/>
        <v/>
      </c>
      <c r="AG862" s="304" t="b">
        <f t="shared" si="36"/>
        <v>0</v>
      </c>
      <c r="AH862" s="9"/>
      <c r="AI862" s="145">
        <f t="shared" si="35"/>
        <v>0</v>
      </c>
      <c r="AJ862" s="147" t="s">
        <v>36</v>
      </c>
    </row>
    <row r="863" spans="1:36" ht="30" customHeight="1">
      <c r="A863" s="90"/>
      <c r="B863" s="90"/>
      <c r="C863" s="90"/>
      <c r="D863" s="90"/>
      <c r="E863" s="90"/>
      <c r="F863" s="90"/>
      <c r="G863" s="90"/>
      <c r="H863" s="90"/>
      <c r="I863" s="90"/>
      <c r="J863" s="90"/>
      <c r="K863" s="90"/>
      <c r="L863" s="90"/>
      <c r="M863" s="90"/>
      <c r="N863" s="150"/>
      <c r="O863" s="152"/>
      <c r="P863" s="90"/>
      <c r="Q863" s="140"/>
      <c r="R863" s="90"/>
      <c r="S863" s="140"/>
      <c r="T863" s="90"/>
      <c r="U863" s="140"/>
      <c r="V863" s="90"/>
      <c r="W863" s="140"/>
      <c r="X863" s="90"/>
      <c r="Y863" s="140"/>
      <c r="Z863" s="90"/>
      <c r="AA863" s="140"/>
      <c r="AB863" s="62"/>
      <c r="AC863" s="140"/>
      <c r="AD863" s="62"/>
      <c r="AE863" s="140"/>
      <c r="AF863" s="189" t="str">
        <f t="shared" si="37"/>
        <v/>
      </c>
      <c r="AG863" s="304" t="b">
        <f t="shared" si="36"/>
        <v>0</v>
      </c>
      <c r="AH863" s="9"/>
      <c r="AI863" s="145">
        <f t="shared" si="35"/>
        <v>0</v>
      </c>
      <c r="AJ863" s="147" t="s">
        <v>36</v>
      </c>
    </row>
    <row r="864" spans="1:36" ht="30" customHeight="1">
      <c r="A864" s="90"/>
      <c r="B864" s="90"/>
      <c r="C864" s="90"/>
      <c r="D864" s="90"/>
      <c r="E864" s="90"/>
      <c r="F864" s="90"/>
      <c r="G864" s="90"/>
      <c r="H864" s="90"/>
      <c r="I864" s="90"/>
      <c r="J864" s="90"/>
      <c r="K864" s="90"/>
      <c r="L864" s="90"/>
      <c r="M864" s="90"/>
      <c r="N864" s="150"/>
      <c r="O864" s="152"/>
      <c r="P864" s="90"/>
      <c r="Q864" s="140"/>
      <c r="R864" s="90"/>
      <c r="S864" s="140"/>
      <c r="T864" s="90"/>
      <c r="U864" s="140"/>
      <c r="V864" s="90"/>
      <c r="W864" s="140"/>
      <c r="X864" s="90"/>
      <c r="Y864" s="140"/>
      <c r="Z864" s="90"/>
      <c r="AA864" s="140"/>
      <c r="AB864" s="62"/>
      <c r="AC864" s="140"/>
      <c r="AD864" s="62"/>
      <c r="AE864" s="140"/>
      <c r="AF864" s="189" t="str">
        <f t="shared" si="37"/>
        <v/>
      </c>
      <c r="AG864" s="304" t="b">
        <f t="shared" si="36"/>
        <v>0</v>
      </c>
      <c r="AH864" s="9"/>
      <c r="AI864" s="145">
        <f t="shared" si="35"/>
        <v>0</v>
      </c>
      <c r="AJ864" s="147" t="s">
        <v>36</v>
      </c>
    </row>
    <row r="865" spans="1:36" ht="30" customHeight="1">
      <c r="A865" s="90"/>
      <c r="B865" s="90"/>
      <c r="C865" s="90"/>
      <c r="D865" s="90"/>
      <c r="E865" s="90"/>
      <c r="F865" s="90"/>
      <c r="G865" s="90"/>
      <c r="H865" s="90"/>
      <c r="I865" s="90"/>
      <c r="J865" s="90"/>
      <c r="K865" s="90"/>
      <c r="L865" s="90"/>
      <c r="M865" s="90"/>
      <c r="N865" s="150"/>
      <c r="O865" s="152"/>
      <c r="P865" s="90"/>
      <c r="Q865" s="140"/>
      <c r="R865" s="90"/>
      <c r="S865" s="140"/>
      <c r="T865" s="90"/>
      <c r="U865" s="140"/>
      <c r="V865" s="90"/>
      <c r="W865" s="140"/>
      <c r="X865" s="90"/>
      <c r="Y865" s="140"/>
      <c r="Z865" s="90"/>
      <c r="AA865" s="140"/>
      <c r="AB865" s="62"/>
      <c r="AC865" s="140"/>
      <c r="AD865" s="62"/>
      <c r="AE865" s="140"/>
      <c r="AF865" s="189" t="str">
        <f t="shared" si="37"/>
        <v/>
      </c>
      <c r="AG865" s="304" t="b">
        <f t="shared" si="36"/>
        <v>0</v>
      </c>
      <c r="AH865" s="9"/>
      <c r="AI865" s="145">
        <f t="shared" si="35"/>
        <v>0</v>
      </c>
      <c r="AJ865" s="147" t="s">
        <v>36</v>
      </c>
    </row>
    <row r="866" spans="1:36" ht="30" customHeight="1">
      <c r="A866" s="90"/>
      <c r="B866" s="90"/>
      <c r="C866" s="90"/>
      <c r="D866" s="90"/>
      <c r="E866" s="90"/>
      <c r="F866" s="90"/>
      <c r="G866" s="90"/>
      <c r="H866" s="90"/>
      <c r="I866" s="90"/>
      <c r="J866" s="90"/>
      <c r="K866" s="90"/>
      <c r="L866" s="90"/>
      <c r="M866" s="90"/>
      <c r="N866" s="150"/>
      <c r="O866" s="152"/>
      <c r="P866" s="90"/>
      <c r="Q866" s="140"/>
      <c r="R866" s="90"/>
      <c r="S866" s="140"/>
      <c r="T866" s="90"/>
      <c r="U866" s="140"/>
      <c r="V866" s="90"/>
      <c r="W866" s="140"/>
      <c r="X866" s="90"/>
      <c r="Y866" s="140"/>
      <c r="Z866" s="90"/>
      <c r="AA866" s="140"/>
      <c r="AB866" s="62"/>
      <c r="AC866" s="140"/>
      <c r="AD866" s="62"/>
      <c r="AE866" s="140"/>
      <c r="AF866" s="189" t="str">
        <f t="shared" si="37"/>
        <v/>
      </c>
      <c r="AG866" s="304" t="b">
        <f t="shared" si="36"/>
        <v>0</v>
      </c>
      <c r="AH866" s="9"/>
      <c r="AI866" s="145">
        <f t="shared" si="35"/>
        <v>0</v>
      </c>
      <c r="AJ866" s="147" t="s">
        <v>36</v>
      </c>
    </row>
    <row r="867" spans="1:36" ht="30" customHeight="1">
      <c r="A867" s="90"/>
      <c r="B867" s="90"/>
      <c r="C867" s="90"/>
      <c r="D867" s="90"/>
      <c r="E867" s="90"/>
      <c r="F867" s="90"/>
      <c r="G867" s="90"/>
      <c r="H867" s="90"/>
      <c r="I867" s="90"/>
      <c r="J867" s="90"/>
      <c r="K867" s="90"/>
      <c r="L867" s="90"/>
      <c r="M867" s="90"/>
      <c r="N867" s="150"/>
      <c r="O867" s="152"/>
      <c r="P867" s="90"/>
      <c r="Q867" s="140"/>
      <c r="R867" s="90"/>
      <c r="S867" s="140"/>
      <c r="T867" s="90"/>
      <c r="U867" s="140"/>
      <c r="V867" s="90"/>
      <c r="W867" s="140"/>
      <c r="X867" s="90"/>
      <c r="Y867" s="140"/>
      <c r="Z867" s="90"/>
      <c r="AA867" s="140"/>
      <c r="AB867" s="62"/>
      <c r="AC867" s="140"/>
      <c r="AD867" s="62"/>
      <c r="AE867" s="140"/>
      <c r="AF867" s="189" t="str">
        <f t="shared" si="37"/>
        <v/>
      </c>
      <c r="AG867" s="304" t="b">
        <f t="shared" si="36"/>
        <v>0</v>
      </c>
      <c r="AH867" s="9"/>
      <c r="AI867" s="145">
        <f t="shared" si="35"/>
        <v>0</v>
      </c>
      <c r="AJ867" s="147" t="s">
        <v>36</v>
      </c>
    </row>
    <row r="868" spans="1:36" ht="30" customHeight="1">
      <c r="A868" s="90"/>
      <c r="B868" s="90"/>
      <c r="C868" s="90"/>
      <c r="D868" s="90"/>
      <c r="E868" s="90"/>
      <c r="F868" s="90"/>
      <c r="G868" s="90"/>
      <c r="H868" s="90"/>
      <c r="I868" s="90"/>
      <c r="J868" s="90"/>
      <c r="K868" s="90"/>
      <c r="L868" s="90"/>
      <c r="M868" s="90"/>
      <c r="N868" s="150"/>
      <c r="O868" s="152"/>
      <c r="P868" s="90"/>
      <c r="Q868" s="140"/>
      <c r="R868" s="90"/>
      <c r="S868" s="140"/>
      <c r="T868" s="90"/>
      <c r="U868" s="140"/>
      <c r="V868" s="90"/>
      <c r="W868" s="140"/>
      <c r="X868" s="90"/>
      <c r="Y868" s="140"/>
      <c r="Z868" s="90"/>
      <c r="AA868" s="140"/>
      <c r="AB868" s="62"/>
      <c r="AC868" s="140"/>
      <c r="AD868" s="62"/>
      <c r="AE868" s="140"/>
      <c r="AF868" s="189" t="str">
        <f t="shared" si="37"/>
        <v/>
      </c>
      <c r="AG868" s="304" t="b">
        <f t="shared" si="36"/>
        <v>0</v>
      </c>
      <c r="AH868" s="9"/>
      <c r="AI868" s="145">
        <f t="shared" si="35"/>
        <v>0</v>
      </c>
      <c r="AJ868" s="147" t="s">
        <v>36</v>
      </c>
    </row>
    <row r="869" spans="1:36" ht="30" customHeight="1">
      <c r="A869" s="90"/>
      <c r="B869" s="90"/>
      <c r="C869" s="90"/>
      <c r="D869" s="90"/>
      <c r="E869" s="90"/>
      <c r="F869" s="90"/>
      <c r="G869" s="90"/>
      <c r="H869" s="90"/>
      <c r="I869" s="90"/>
      <c r="J869" s="90"/>
      <c r="K869" s="90"/>
      <c r="L869" s="90"/>
      <c r="M869" s="90"/>
      <c r="N869" s="150"/>
      <c r="O869" s="152"/>
      <c r="P869" s="90"/>
      <c r="Q869" s="140"/>
      <c r="R869" s="90"/>
      <c r="S869" s="140"/>
      <c r="T869" s="90"/>
      <c r="U869" s="140"/>
      <c r="V869" s="90"/>
      <c r="W869" s="140"/>
      <c r="X869" s="90"/>
      <c r="Y869" s="140"/>
      <c r="Z869" s="90"/>
      <c r="AA869" s="140"/>
      <c r="AB869" s="62"/>
      <c r="AC869" s="140"/>
      <c r="AD869" s="62"/>
      <c r="AE869" s="140"/>
      <c r="AF869" s="189" t="str">
        <f t="shared" si="37"/>
        <v/>
      </c>
      <c r="AG869" s="304" t="b">
        <f t="shared" si="36"/>
        <v>0</v>
      </c>
      <c r="AH869" s="9"/>
      <c r="AI869" s="145">
        <f t="shared" si="35"/>
        <v>0</v>
      </c>
      <c r="AJ869" s="147" t="s">
        <v>36</v>
      </c>
    </row>
    <row r="870" spans="1:36" ht="30" customHeight="1">
      <c r="A870" s="90"/>
      <c r="B870" s="90"/>
      <c r="C870" s="90"/>
      <c r="D870" s="90"/>
      <c r="E870" s="90"/>
      <c r="F870" s="90"/>
      <c r="G870" s="90"/>
      <c r="H870" s="90"/>
      <c r="I870" s="90"/>
      <c r="J870" s="90"/>
      <c r="K870" s="90"/>
      <c r="L870" s="90"/>
      <c r="M870" s="90"/>
      <c r="N870" s="150"/>
      <c r="O870" s="152"/>
      <c r="P870" s="90"/>
      <c r="Q870" s="140"/>
      <c r="R870" s="90"/>
      <c r="S870" s="140"/>
      <c r="T870" s="90"/>
      <c r="U870" s="140"/>
      <c r="V870" s="90"/>
      <c r="W870" s="140"/>
      <c r="X870" s="90"/>
      <c r="Y870" s="140"/>
      <c r="Z870" s="90"/>
      <c r="AA870" s="140"/>
      <c r="AB870" s="62"/>
      <c r="AC870" s="140"/>
      <c r="AD870" s="62"/>
      <c r="AE870" s="140"/>
      <c r="AF870" s="189" t="str">
        <f t="shared" si="37"/>
        <v/>
      </c>
      <c r="AG870" s="304" t="b">
        <f t="shared" si="36"/>
        <v>0</v>
      </c>
      <c r="AH870" s="9"/>
      <c r="AI870" s="145">
        <f t="shared" si="35"/>
        <v>0</v>
      </c>
      <c r="AJ870" s="147" t="s">
        <v>36</v>
      </c>
    </row>
    <row r="871" spans="1:36" ht="30" customHeight="1">
      <c r="A871" s="90"/>
      <c r="B871" s="90"/>
      <c r="C871" s="90"/>
      <c r="D871" s="90"/>
      <c r="E871" s="90"/>
      <c r="F871" s="90"/>
      <c r="G871" s="90"/>
      <c r="H871" s="90"/>
      <c r="I871" s="90"/>
      <c r="J871" s="90"/>
      <c r="K871" s="90"/>
      <c r="L871" s="90"/>
      <c r="M871" s="90"/>
      <c r="N871" s="150"/>
      <c r="O871" s="152"/>
      <c r="P871" s="90"/>
      <c r="Q871" s="140"/>
      <c r="R871" s="90"/>
      <c r="S871" s="140"/>
      <c r="T871" s="90"/>
      <c r="U871" s="140"/>
      <c r="V871" s="90"/>
      <c r="W871" s="140"/>
      <c r="X871" s="90"/>
      <c r="Y871" s="140"/>
      <c r="Z871" s="90"/>
      <c r="AA871" s="140"/>
      <c r="AB871" s="62"/>
      <c r="AC871" s="140"/>
      <c r="AD871" s="62"/>
      <c r="AE871" s="140"/>
      <c r="AF871" s="189" t="str">
        <f t="shared" si="37"/>
        <v/>
      </c>
      <c r="AG871" s="304" t="b">
        <f t="shared" si="36"/>
        <v>0</v>
      </c>
      <c r="AH871" s="9"/>
      <c r="AI871" s="145">
        <f t="shared" si="35"/>
        <v>0</v>
      </c>
      <c r="AJ871" s="147" t="s">
        <v>36</v>
      </c>
    </row>
    <row r="872" spans="1:36" ht="30" customHeight="1">
      <c r="A872" s="90"/>
      <c r="B872" s="90"/>
      <c r="C872" s="90"/>
      <c r="D872" s="90"/>
      <c r="E872" s="90"/>
      <c r="F872" s="90"/>
      <c r="G872" s="90"/>
      <c r="H872" s="90"/>
      <c r="I872" s="90"/>
      <c r="J872" s="90"/>
      <c r="K872" s="90"/>
      <c r="L872" s="90"/>
      <c r="M872" s="90"/>
      <c r="N872" s="150"/>
      <c r="O872" s="152"/>
      <c r="P872" s="90"/>
      <c r="Q872" s="140"/>
      <c r="R872" s="90"/>
      <c r="S872" s="140"/>
      <c r="T872" s="90"/>
      <c r="U872" s="140"/>
      <c r="V872" s="90"/>
      <c r="W872" s="140"/>
      <c r="X872" s="90"/>
      <c r="Y872" s="140"/>
      <c r="Z872" s="90"/>
      <c r="AA872" s="140"/>
      <c r="AB872" s="62"/>
      <c r="AC872" s="140"/>
      <c r="AD872" s="62"/>
      <c r="AE872" s="140"/>
      <c r="AF872" s="189" t="str">
        <f t="shared" si="37"/>
        <v/>
      </c>
      <c r="AG872" s="304" t="b">
        <f t="shared" si="36"/>
        <v>0</v>
      </c>
      <c r="AH872" s="9"/>
      <c r="AI872" s="145">
        <f t="shared" si="35"/>
        <v>0</v>
      </c>
      <c r="AJ872" s="147" t="s">
        <v>36</v>
      </c>
    </row>
    <row r="873" spans="1:36" ht="30" customHeight="1">
      <c r="A873" s="90"/>
      <c r="B873" s="90"/>
      <c r="C873" s="90"/>
      <c r="D873" s="90"/>
      <c r="E873" s="90"/>
      <c r="F873" s="90"/>
      <c r="G873" s="90"/>
      <c r="H873" s="90"/>
      <c r="I873" s="90"/>
      <c r="J873" s="90"/>
      <c r="K873" s="90"/>
      <c r="L873" s="90"/>
      <c r="M873" s="90"/>
      <c r="N873" s="150"/>
      <c r="O873" s="152"/>
      <c r="P873" s="90"/>
      <c r="Q873" s="140"/>
      <c r="R873" s="90"/>
      <c r="S873" s="140"/>
      <c r="T873" s="90"/>
      <c r="U873" s="140"/>
      <c r="V873" s="90"/>
      <c r="W873" s="140"/>
      <c r="X873" s="90"/>
      <c r="Y873" s="140"/>
      <c r="Z873" s="90"/>
      <c r="AA873" s="140"/>
      <c r="AB873" s="62"/>
      <c r="AC873" s="140"/>
      <c r="AD873" s="62"/>
      <c r="AE873" s="140"/>
      <c r="AF873" s="189" t="str">
        <f t="shared" si="37"/>
        <v/>
      </c>
      <c r="AG873" s="304" t="b">
        <f t="shared" si="36"/>
        <v>0</v>
      </c>
      <c r="AH873" s="9"/>
      <c r="AI873" s="145">
        <f t="shared" si="35"/>
        <v>0</v>
      </c>
      <c r="AJ873" s="147" t="s">
        <v>36</v>
      </c>
    </row>
    <row r="874" spans="1:36" ht="30" customHeight="1">
      <c r="A874" s="90"/>
      <c r="B874" s="90"/>
      <c r="C874" s="90"/>
      <c r="D874" s="90"/>
      <c r="E874" s="90"/>
      <c r="F874" s="90"/>
      <c r="G874" s="90"/>
      <c r="H874" s="90"/>
      <c r="I874" s="90"/>
      <c r="J874" s="90"/>
      <c r="K874" s="90"/>
      <c r="L874" s="90"/>
      <c r="M874" s="90"/>
      <c r="N874" s="150"/>
      <c r="O874" s="152"/>
      <c r="P874" s="90"/>
      <c r="Q874" s="140"/>
      <c r="R874" s="90"/>
      <c r="S874" s="140"/>
      <c r="T874" s="90"/>
      <c r="U874" s="140"/>
      <c r="V874" s="90"/>
      <c r="W874" s="140"/>
      <c r="X874" s="90"/>
      <c r="Y874" s="140"/>
      <c r="Z874" s="90"/>
      <c r="AA874" s="140"/>
      <c r="AB874" s="62"/>
      <c r="AC874" s="140"/>
      <c r="AD874" s="62"/>
      <c r="AE874" s="140"/>
      <c r="AF874" s="189" t="str">
        <f t="shared" si="37"/>
        <v/>
      </c>
      <c r="AG874" s="304" t="b">
        <f t="shared" si="36"/>
        <v>0</v>
      </c>
      <c r="AH874" s="9"/>
      <c r="AI874" s="145">
        <f t="shared" si="35"/>
        <v>0</v>
      </c>
      <c r="AJ874" s="147" t="s">
        <v>36</v>
      </c>
    </row>
    <row r="875" spans="1:36" ht="30" customHeight="1">
      <c r="A875" s="90"/>
      <c r="B875" s="90"/>
      <c r="C875" s="90"/>
      <c r="D875" s="90"/>
      <c r="E875" s="90"/>
      <c r="F875" s="90"/>
      <c r="G875" s="90"/>
      <c r="H875" s="90"/>
      <c r="I875" s="90"/>
      <c r="J875" s="90"/>
      <c r="K875" s="90"/>
      <c r="L875" s="90"/>
      <c r="M875" s="90"/>
      <c r="N875" s="150"/>
      <c r="O875" s="152"/>
      <c r="P875" s="90"/>
      <c r="Q875" s="140"/>
      <c r="R875" s="90"/>
      <c r="S875" s="140"/>
      <c r="T875" s="90"/>
      <c r="U875" s="140"/>
      <c r="V875" s="90"/>
      <c r="W875" s="140"/>
      <c r="X875" s="90"/>
      <c r="Y875" s="140"/>
      <c r="Z875" s="90"/>
      <c r="AA875" s="140"/>
      <c r="AB875" s="62"/>
      <c r="AC875" s="140"/>
      <c r="AD875" s="62"/>
      <c r="AE875" s="140"/>
      <c r="AF875" s="189" t="str">
        <f t="shared" si="37"/>
        <v/>
      </c>
      <c r="AG875" s="304" t="b">
        <f t="shared" si="36"/>
        <v>0</v>
      </c>
      <c r="AH875" s="9"/>
      <c r="AI875" s="145">
        <f t="shared" si="35"/>
        <v>0</v>
      </c>
      <c r="AJ875" s="147" t="s">
        <v>36</v>
      </c>
    </row>
    <row r="876" spans="1:36" ht="30" customHeight="1">
      <c r="A876" s="90"/>
      <c r="B876" s="90"/>
      <c r="C876" s="90"/>
      <c r="D876" s="90"/>
      <c r="E876" s="90"/>
      <c r="F876" s="90"/>
      <c r="G876" s="90"/>
      <c r="H876" s="90"/>
      <c r="I876" s="90"/>
      <c r="J876" s="90"/>
      <c r="K876" s="90"/>
      <c r="L876" s="90"/>
      <c r="M876" s="90"/>
      <c r="N876" s="150"/>
      <c r="O876" s="152"/>
      <c r="P876" s="90"/>
      <c r="Q876" s="140"/>
      <c r="R876" s="90"/>
      <c r="S876" s="140"/>
      <c r="T876" s="90"/>
      <c r="U876" s="140"/>
      <c r="V876" s="90"/>
      <c r="W876" s="140"/>
      <c r="X876" s="90"/>
      <c r="Y876" s="140"/>
      <c r="Z876" s="90"/>
      <c r="AA876" s="140"/>
      <c r="AB876" s="62"/>
      <c r="AC876" s="140"/>
      <c r="AD876" s="62"/>
      <c r="AE876" s="140"/>
      <c r="AF876" s="189" t="str">
        <f t="shared" si="37"/>
        <v/>
      </c>
      <c r="AG876" s="304" t="b">
        <f t="shared" si="36"/>
        <v>0</v>
      </c>
      <c r="AH876" s="9"/>
      <c r="AI876" s="145">
        <f t="shared" si="35"/>
        <v>0</v>
      </c>
      <c r="AJ876" s="147" t="s">
        <v>36</v>
      </c>
    </row>
    <row r="877" spans="1:36" ht="30" customHeight="1">
      <c r="A877" s="90"/>
      <c r="B877" s="90"/>
      <c r="C877" s="90"/>
      <c r="D877" s="90"/>
      <c r="E877" s="90"/>
      <c r="F877" s="90"/>
      <c r="G877" s="90"/>
      <c r="H877" s="90"/>
      <c r="I877" s="90"/>
      <c r="J877" s="90"/>
      <c r="K877" s="90"/>
      <c r="L877" s="90"/>
      <c r="M877" s="90"/>
      <c r="N877" s="150"/>
      <c r="O877" s="152"/>
      <c r="P877" s="90"/>
      <c r="Q877" s="140"/>
      <c r="R877" s="90"/>
      <c r="S877" s="140"/>
      <c r="T877" s="90"/>
      <c r="U877" s="140"/>
      <c r="V877" s="90"/>
      <c r="W877" s="140"/>
      <c r="X877" s="90"/>
      <c r="Y877" s="140"/>
      <c r="Z877" s="90"/>
      <c r="AA877" s="140"/>
      <c r="AB877" s="62"/>
      <c r="AC877" s="140"/>
      <c r="AD877" s="62"/>
      <c r="AE877" s="140"/>
      <c r="AF877" s="189" t="str">
        <f t="shared" si="37"/>
        <v/>
      </c>
      <c r="AG877" s="304" t="b">
        <f t="shared" si="36"/>
        <v>0</v>
      </c>
      <c r="AH877" s="9"/>
      <c r="AI877" s="145">
        <f t="shared" si="35"/>
        <v>0</v>
      </c>
      <c r="AJ877" s="147" t="s">
        <v>36</v>
      </c>
    </row>
    <row r="878" spans="1:36" ht="30" customHeight="1">
      <c r="A878" s="90"/>
      <c r="B878" s="90"/>
      <c r="C878" s="90"/>
      <c r="D878" s="90"/>
      <c r="E878" s="90"/>
      <c r="F878" s="90"/>
      <c r="G878" s="90"/>
      <c r="H878" s="90"/>
      <c r="I878" s="90"/>
      <c r="J878" s="90"/>
      <c r="K878" s="90"/>
      <c r="L878" s="90"/>
      <c r="M878" s="90"/>
      <c r="N878" s="150"/>
      <c r="O878" s="152"/>
      <c r="P878" s="90"/>
      <c r="Q878" s="140"/>
      <c r="R878" s="90"/>
      <c r="S878" s="140"/>
      <c r="T878" s="90"/>
      <c r="U878" s="140"/>
      <c r="V878" s="90"/>
      <c r="W878" s="140"/>
      <c r="X878" s="90"/>
      <c r="Y878" s="140"/>
      <c r="Z878" s="90"/>
      <c r="AA878" s="140"/>
      <c r="AB878" s="62"/>
      <c r="AC878" s="140"/>
      <c r="AD878" s="62"/>
      <c r="AE878" s="140"/>
      <c r="AF878" s="189" t="str">
        <f t="shared" si="37"/>
        <v/>
      </c>
      <c r="AG878" s="304" t="b">
        <f t="shared" si="36"/>
        <v>0</v>
      </c>
      <c r="AH878" s="9"/>
      <c r="AI878" s="145">
        <f t="shared" si="35"/>
        <v>0</v>
      </c>
      <c r="AJ878" s="147" t="s">
        <v>36</v>
      </c>
    </row>
    <row r="879" spans="1:36" ht="30" customHeight="1">
      <c r="A879" s="90"/>
      <c r="B879" s="90"/>
      <c r="C879" s="90"/>
      <c r="D879" s="90"/>
      <c r="E879" s="90"/>
      <c r="F879" s="90"/>
      <c r="G879" s="90"/>
      <c r="H879" s="90"/>
      <c r="I879" s="90"/>
      <c r="J879" s="90"/>
      <c r="K879" s="90"/>
      <c r="L879" s="90"/>
      <c r="M879" s="90"/>
      <c r="N879" s="150"/>
      <c r="O879" s="152"/>
      <c r="P879" s="90"/>
      <c r="Q879" s="140"/>
      <c r="R879" s="90"/>
      <c r="S879" s="140"/>
      <c r="T879" s="90"/>
      <c r="U879" s="140"/>
      <c r="V879" s="90"/>
      <c r="W879" s="140"/>
      <c r="X879" s="90"/>
      <c r="Y879" s="140"/>
      <c r="Z879" s="90"/>
      <c r="AA879" s="140"/>
      <c r="AB879" s="62"/>
      <c r="AC879" s="140"/>
      <c r="AD879" s="62"/>
      <c r="AE879" s="140"/>
      <c r="AF879" s="189" t="str">
        <f t="shared" si="37"/>
        <v/>
      </c>
      <c r="AG879" s="304" t="b">
        <f t="shared" si="36"/>
        <v>0</v>
      </c>
      <c r="AH879" s="9"/>
      <c r="AI879" s="145">
        <f t="shared" si="35"/>
        <v>0</v>
      </c>
      <c r="AJ879" s="147" t="s">
        <v>36</v>
      </c>
    </row>
    <row r="880" spans="1:36" ht="30" customHeight="1">
      <c r="A880" s="90"/>
      <c r="B880" s="90"/>
      <c r="C880" s="90"/>
      <c r="D880" s="90"/>
      <c r="E880" s="90"/>
      <c r="F880" s="90"/>
      <c r="G880" s="90"/>
      <c r="H880" s="90"/>
      <c r="I880" s="90"/>
      <c r="J880" s="90"/>
      <c r="K880" s="90"/>
      <c r="L880" s="90"/>
      <c r="M880" s="90"/>
      <c r="N880" s="150"/>
      <c r="O880" s="152"/>
      <c r="P880" s="90"/>
      <c r="Q880" s="140"/>
      <c r="R880" s="90"/>
      <c r="S880" s="140"/>
      <c r="T880" s="90"/>
      <c r="U880" s="140"/>
      <c r="V880" s="90"/>
      <c r="W880" s="140"/>
      <c r="X880" s="90"/>
      <c r="Y880" s="140"/>
      <c r="Z880" s="90"/>
      <c r="AA880" s="140"/>
      <c r="AB880" s="62"/>
      <c r="AC880" s="140"/>
      <c r="AD880" s="62"/>
      <c r="AE880" s="140"/>
      <c r="AF880" s="189" t="str">
        <f t="shared" si="37"/>
        <v/>
      </c>
      <c r="AG880" s="304" t="b">
        <f t="shared" si="36"/>
        <v>0</v>
      </c>
      <c r="AH880" s="9"/>
      <c r="AI880" s="145">
        <f t="shared" si="35"/>
        <v>0</v>
      </c>
      <c r="AJ880" s="147" t="s">
        <v>36</v>
      </c>
    </row>
    <row r="881" spans="1:36" ht="30" customHeight="1">
      <c r="A881" s="90"/>
      <c r="B881" s="90"/>
      <c r="C881" s="90"/>
      <c r="D881" s="90"/>
      <c r="E881" s="90"/>
      <c r="F881" s="90"/>
      <c r="G881" s="90"/>
      <c r="H881" s="90"/>
      <c r="I881" s="90"/>
      <c r="J881" s="90"/>
      <c r="K881" s="90"/>
      <c r="L881" s="90"/>
      <c r="M881" s="90"/>
      <c r="N881" s="150"/>
      <c r="O881" s="152"/>
      <c r="P881" s="90"/>
      <c r="Q881" s="140"/>
      <c r="R881" s="90"/>
      <c r="S881" s="140"/>
      <c r="T881" s="90"/>
      <c r="U881" s="140"/>
      <c r="V881" s="90"/>
      <c r="W881" s="140"/>
      <c r="X881" s="90"/>
      <c r="Y881" s="140"/>
      <c r="Z881" s="90"/>
      <c r="AA881" s="140"/>
      <c r="AB881" s="62"/>
      <c r="AC881" s="140"/>
      <c r="AD881" s="62"/>
      <c r="AE881" s="140"/>
      <c r="AF881" s="189" t="str">
        <f t="shared" si="37"/>
        <v/>
      </c>
      <c r="AG881" s="304" t="b">
        <f t="shared" si="36"/>
        <v>0</v>
      </c>
      <c r="AH881" s="9"/>
      <c r="AI881" s="145">
        <f t="shared" si="35"/>
        <v>0</v>
      </c>
      <c r="AJ881" s="147" t="s">
        <v>36</v>
      </c>
    </row>
    <row r="882" spans="1:36" ht="30" customHeight="1">
      <c r="A882" s="90"/>
      <c r="B882" s="90"/>
      <c r="C882" s="90"/>
      <c r="D882" s="90"/>
      <c r="E882" s="90"/>
      <c r="F882" s="90"/>
      <c r="G882" s="90"/>
      <c r="H882" s="90"/>
      <c r="I882" s="90"/>
      <c r="J882" s="90"/>
      <c r="K882" s="90"/>
      <c r="L882" s="90"/>
      <c r="M882" s="90"/>
      <c r="N882" s="150"/>
      <c r="O882" s="152"/>
      <c r="P882" s="90"/>
      <c r="Q882" s="140"/>
      <c r="R882" s="90"/>
      <c r="S882" s="140"/>
      <c r="T882" s="90"/>
      <c r="U882" s="140"/>
      <c r="V882" s="90"/>
      <c r="W882" s="140"/>
      <c r="X882" s="90"/>
      <c r="Y882" s="140"/>
      <c r="Z882" s="90"/>
      <c r="AA882" s="140"/>
      <c r="AB882" s="62"/>
      <c r="AC882" s="140"/>
      <c r="AD882" s="62"/>
      <c r="AE882" s="140"/>
      <c r="AF882" s="189" t="str">
        <f t="shared" si="37"/>
        <v/>
      </c>
      <c r="AG882" s="304" t="b">
        <f t="shared" si="36"/>
        <v>0</v>
      </c>
      <c r="AH882" s="9"/>
      <c r="AI882" s="145">
        <f t="shared" si="35"/>
        <v>0</v>
      </c>
      <c r="AJ882" s="147" t="s">
        <v>36</v>
      </c>
    </row>
    <row r="883" spans="1:36" ht="30" customHeight="1">
      <c r="A883" s="90"/>
      <c r="B883" s="90"/>
      <c r="C883" s="90"/>
      <c r="D883" s="90"/>
      <c r="E883" s="90"/>
      <c r="F883" s="90"/>
      <c r="G883" s="90"/>
      <c r="H883" s="90"/>
      <c r="I883" s="90"/>
      <c r="J883" s="90"/>
      <c r="K883" s="90"/>
      <c r="L883" s="90"/>
      <c r="M883" s="90"/>
      <c r="N883" s="150"/>
      <c r="O883" s="152"/>
      <c r="P883" s="90"/>
      <c r="Q883" s="140"/>
      <c r="R883" s="90"/>
      <c r="S883" s="140"/>
      <c r="T883" s="90"/>
      <c r="U883" s="140"/>
      <c r="V883" s="90"/>
      <c r="W883" s="140"/>
      <c r="X883" s="90"/>
      <c r="Y883" s="140"/>
      <c r="Z883" s="90"/>
      <c r="AA883" s="140"/>
      <c r="AB883" s="62"/>
      <c r="AC883" s="140"/>
      <c r="AD883" s="62"/>
      <c r="AE883" s="140"/>
      <c r="AF883" s="189" t="str">
        <f t="shared" si="37"/>
        <v/>
      </c>
      <c r="AG883" s="304" t="b">
        <f t="shared" si="36"/>
        <v>0</v>
      </c>
      <c r="AH883" s="9"/>
      <c r="AI883" s="145">
        <f t="shared" si="35"/>
        <v>0</v>
      </c>
      <c r="AJ883" s="147" t="s">
        <v>36</v>
      </c>
    </row>
    <row r="884" spans="1:36" ht="30" customHeight="1">
      <c r="A884" s="90"/>
      <c r="B884" s="90"/>
      <c r="C884" s="90"/>
      <c r="D884" s="90"/>
      <c r="E884" s="90"/>
      <c r="F884" s="90"/>
      <c r="G884" s="90"/>
      <c r="H884" s="90"/>
      <c r="I884" s="90"/>
      <c r="J884" s="90"/>
      <c r="K884" s="90"/>
      <c r="L884" s="90"/>
      <c r="M884" s="90"/>
      <c r="N884" s="150"/>
      <c r="O884" s="152"/>
      <c r="P884" s="90"/>
      <c r="Q884" s="140"/>
      <c r="R884" s="90"/>
      <c r="S884" s="140"/>
      <c r="T884" s="90"/>
      <c r="U884" s="140"/>
      <c r="V884" s="90"/>
      <c r="W884" s="140"/>
      <c r="X884" s="90"/>
      <c r="Y884" s="140"/>
      <c r="Z884" s="90"/>
      <c r="AA884" s="140"/>
      <c r="AB884" s="62"/>
      <c r="AC884" s="140"/>
      <c r="AD884" s="62"/>
      <c r="AE884" s="140"/>
      <c r="AF884" s="189" t="str">
        <f t="shared" si="37"/>
        <v/>
      </c>
      <c r="AG884" s="304" t="b">
        <f t="shared" si="36"/>
        <v>0</v>
      </c>
      <c r="AH884" s="9"/>
      <c r="AI884" s="145">
        <f t="shared" si="35"/>
        <v>0</v>
      </c>
      <c r="AJ884" s="147" t="s">
        <v>36</v>
      </c>
    </row>
    <row r="885" spans="1:36" ht="30" customHeight="1">
      <c r="A885" s="90"/>
      <c r="B885" s="90"/>
      <c r="C885" s="90"/>
      <c r="D885" s="90"/>
      <c r="E885" s="90"/>
      <c r="F885" s="90"/>
      <c r="G885" s="90"/>
      <c r="H885" s="90"/>
      <c r="I885" s="90"/>
      <c r="J885" s="90"/>
      <c r="K885" s="90"/>
      <c r="L885" s="90"/>
      <c r="M885" s="90"/>
      <c r="N885" s="150"/>
      <c r="O885" s="152"/>
      <c r="P885" s="90"/>
      <c r="Q885" s="140"/>
      <c r="R885" s="90"/>
      <c r="S885" s="140"/>
      <c r="T885" s="90"/>
      <c r="U885" s="140"/>
      <c r="V885" s="90"/>
      <c r="W885" s="140"/>
      <c r="X885" s="90"/>
      <c r="Y885" s="140"/>
      <c r="Z885" s="90"/>
      <c r="AA885" s="140"/>
      <c r="AB885" s="62"/>
      <c r="AC885" s="140"/>
      <c r="AD885" s="62"/>
      <c r="AE885" s="140"/>
      <c r="AF885" s="189" t="str">
        <f t="shared" si="37"/>
        <v/>
      </c>
      <c r="AG885" s="304" t="b">
        <f t="shared" si="36"/>
        <v>0</v>
      </c>
      <c r="AH885" s="9"/>
      <c r="AI885" s="145">
        <f t="shared" si="35"/>
        <v>0</v>
      </c>
      <c r="AJ885" s="147" t="s">
        <v>36</v>
      </c>
    </row>
    <row r="886" spans="1:36" ht="30" customHeight="1">
      <c r="A886" s="90"/>
      <c r="B886" s="90"/>
      <c r="C886" s="90"/>
      <c r="D886" s="90"/>
      <c r="E886" s="90"/>
      <c r="F886" s="90"/>
      <c r="G886" s="90"/>
      <c r="H886" s="90"/>
      <c r="I886" s="90"/>
      <c r="J886" s="90"/>
      <c r="K886" s="90"/>
      <c r="L886" s="90"/>
      <c r="M886" s="90"/>
      <c r="N886" s="150"/>
      <c r="O886" s="152"/>
      <c r="P886" s="90"/>
      <c r="Q886" s="140"/>
      <c r="R886" s="90"/>
      <c r="S886" s="140"/>
      <c r="T886" s="90"/>
      <c r="U886" s="140"/>
      <c r="V886" s="90"/>
      <c r="W886" s="140"/>
      <c r="X886" s="90"/>
      <c r="Y886" s="140"/>
      <c r="Z886" s="90"/>
      <c r="AA886" s="140"/>
      <c r="AB886" s="62"/>
      <c r="AC886" s="140"/>
      <c r="AD886" s="62"/>
      <c r="AE886" s="140"/>
      <c r="AF886" s="189" t="str">
        <f t="shared" si="37"/>
        <v/>
      </c>
      <c r="AG886" s="304" t="b">
        <f t="shared" si="36"/>
        <v>0</v>
      </c>
      <c r="AH886" s="9"/>
      <c r="AI886" s="145">
        <f t="shared" si="35"/>
        <v>0</v>
      </c>
      <c r="AJ886" s="147" t="s">
        <v>36</v>
      </c>
    </row>
    <row r="887" spans="1:36" ht="30" customHeight="1">
      <c r="A887" s="90"/>
      <c r="B887" s="90"/>
      <c r="C887" s="90"/>
      <c r="D887" s="90"/>
      <c r="E887" s="90"/>
      <c r="F887" s="90"/>
      <c r="G887" s="90"/>
      <c r="H887" s="90"/>
      <c r="I887" s="90"/>
      <c r="J887" s="90"/>
      <c r="K887" s="90"/>
      <c r="L887" s="90"/>
      <c r="M887" s="90"/>
      <c r="N887" s="150"/>
      <c r="O887" s="152"/>
      <c r="P887" s="90"/>
      <c r="Q887" s="140"/>
      <c r="R887" s="90"/>
      <c r="S887" s="140"/>
      <c r="T887" s="90"/>
      <c r="U887" s="140"/>
      <c r="V887" s="90"/>
      <c r="W887" s="140"/>
      <c r="X887" s="90"/>
      <c r="Y887" s="140"/>
      <c r="Z887" s="90"/>
      <c r="AA887" s="140"/>
      <c r="AB887" s="62"/>
      <c r="AC887" s="140"/>
      <c r="AD887" s="62"/>
      <c r="AE887" s="140"/>
      <c r="AF887" s="189" t="str">
        <f t="shared" si="37"/>
        <v/>
      </c>
      <c r="AG887" s="304" t="b">
        <f t="shared" si="36"/>
        <v>0</v>
      </c>
      <c r="AH887" s="9"/>
      <c r="AI887" s="145">
        <f t="shared" si="35"/>
        <v>0</v>
      </c>
      <c r="AJ887" s="147" t="s">
        <v>36</v>
      </c>
    </row>
    <row r="888" spans="1:36" ht="30" customHeight="1">
      <c r="A888" s="90"/>
      <c r="B888" s="90"/>
      <c r="C888" s="90"/>
      <c r="D888" s="90"/>
      <c r="E888" s="90"/>
      <c r="F888" s="90"/>
      <c r="G888" s="90"/>
      <c r="H888" s="90"/>
      <c r="I888" s="90"/>
      <c r="J888" s="90"/>
      <c r="K888" s="90"/>
      <c r="L888" s="90"/>
      <c r="M888" s="90"/>
      <c r="N888" s="150"/>
      <c r="O888" s="152"/>
      <c r="P888" s="90"/>
      <c r="Q888" s="140"/>
      <c r="R888" s="90"/>
      <c r="S888" s="140"/>
      <c r="T888" s="90"/>
      <c r="U888" s="140"/>
      <c r="V888" s="90"/>
      <c r="W888" s="140"/>
      <c r="X888" s="90"/>
      <c r="Y888" s="140"/>
      <c r="Z888" s="90"/>
      <c r="AA888" s="140"/>
      <c r="AB888" s="62"/>
      <c r="AC888" s="140"/>
      <c r="AD888" s="62"/>
      <c r="AE888" s="140"/>
      <c r="AF888" s="189" t="str">
        <f t="shared" si="37"/>
        <v/>
      </c>
      <c r="AG888" s="304" t="b">
        <f t="shared" si="36"/>
        <v>0</v>
      </c>
      <c r="AH888" s="9"/>
      <c r="AI888" s="145">
        <f t="shared" ref="AI888:AI951" si="38">E888</f>
        <v>0</v>
      </c>
      <c r="AJ888" s="147" t="s">
        <v>36</v>
      </c>
    </row>
    <row r="889" spans="1:36" ht="30" customHeight="1">
      <c r="A889" s="90"/>
      <c r="B889" s="90"/>
      <c r="C889" s="90"/>
      <c r="D889" s="90"/>
      <c r="E889" s="90"/>
      <c r="F889" s="90"/>
      <c r="G889" s="90"/>
      <c r="H889" s="90"/>
      <c r="I889" s="90"/>
      <c r="J889" s="90"/>
      <c r="K889" s="90"/>
      <c r="L889" s="90"/>
      <c r="M889" s="90"/>
      <c r="N889" s="150"/>
      <c r="O889" s="152"/>
      <c r="P889" s="90"/>
      <c r="Q889" s="140"/>
      <c r="R889" s="90"/>
      <c r="S889" s="140"/>
      <c r="T889" s="90"/>
      <c r="U889" s="140"/>
      <c r="V889" s="90"/>
      <c r="W889" s="140"/>
      <c r="X889" s="90"/>
      <c r="Y889" s="140"/>
      <c r="Z889" s="90"/>
      <c r="AA889" s="140"/>
      <c r="AB889" s="62"/>
      <c r="AC889" s="140"/>
      <c r="AD889" s="62"/>
      <c r="AE889" s="140"/>
      <c r="AF889" s="189" t="str">
        <f t="shared" si="37"/>
        <v/>
      </c>
      <c r="AG889" s="304" t="b">
        <f t="shared" si="36"/>
        <v>0</v>
      </c>
      <c r="AH889" s="9"/>
      <c r="AI889" s="145">
        <f t="shared" si="38"/>
        <v>0</v>
      </c>
      <c r="AJ889" s="147" t="s">
        <v>36</v>
      </c>
    </row>
    <row r="890" spans="1:36" ht="30" customHeight="1">
      <c r="A890" s="90"/>
      <c r="B890" s="90"/>
      <c r="C890" s="90"/>
      <c r="D890" s="90"/>
      <c r="E890" s="90"/>
      <c r="F890" s="90"/>
      <c r="G890" s="90"/>
      <c r="H890" s="90"/>
      <c r="I890" s="90"/>
      <c r="J890" s="90"/>
      <c r="K890" s="90"/>
      <c r="L890" s="90"/>
      <c r="M890" s="90"/>
      <c r="N890" s="150"/>
      <c r="O890" s="152"/>
      <c r="P890" s="90"/>
      <c r="Q890" s="140"/>
      <c r="R890" s="90"/>
      <c r="S890" s="140"/>
      <c r="T890" s="90"/>
      <c r="U890" s="140"/>
      <c r="V890" s="90"/>
      <c r="W890" s="140"/>
      <c r="X890" s="90"/>
      <c r="Y890" s="140"/>
      <c r="Z890" s="90"/>
      <c r="AA890" s="140"/>
      <c r="AB890" s="62"/>
      <c r="AC890" s="140"/>
      <c r="AD890" s="62"/>
      <c r="AE890" s="140"/>
      <c r="AF890" s="189" t="str">
        <f t="shared" si="37"/>
        <v/>
      </c>
      <c r="AG890" s="304" t="b">
        <f t="shared" si="36"/>
        <v>0</v>
      </c>
      <c r="AH890" s="9"/>
      <c r="AI890" s="145">
        <f t="shared" si="38"/>
        <v>0</v>
      </c>
      <c r="AJ890" s="147" t="s">
        <v>36</v>
      </c>
    </row>
    <row r="891" spans="1:36" ht="30" customHeight="1">
      <c r="A891" s="90"/>
      <c r="B891" s="90"/>
      <c r="C891" s="90"/>
      <c r="D891" s="90"/>
      <c r="E891" s="90"/>
      <c r="F891" s="90"/>
      <c r="G891" s="90"/>
      <c r="H891" s="90"/>
      <c r="I891" s="90"/>
      <c r="J891" s="90"/>
      <c r="K891" s="90"/>
      <c r="L891" s="90"/>
      <c r="M891" s="90"/>
      <c r="N891" s="150"/>
      <c r="O891" s="152"/>
      <c r="P891" s="90"/>
      <c r="Q891" s="140"/>
      <c r="R891" s="90"/>
      <c r="S891" s="140"/>
      <c r="T891" s="90"/>
      <c r="U891" s="140"/>
      <c r="V891" s="90"/>
      <c r="W891" s="140"/>
      <c r="X891" s="90"/>
      <c r="Y891" s="140"/>
      <c r="Z891" s="90"/>
      <c r="AA891" s="140"/>
      <c r="AB891" s="62"/>
      <c r="AC891" s="140"/>
      <c r="AD891" s="62"/>
      <c r="AE891" s="140"/>
      <c r="AF891" s="189" t="str">
        <f t="shared" si="37"/>
        <v/>
      </c>
      <c r="AG891" s="304" t="b">
        <f t="shared" si="36"/>
        <v>0</v>
      </c>
      <c r="AH891" s="9"/>
      <c r="AI891" s="145">
        <f t="shared" si="38"/>
        <v>0</v>
      </c>
      <c r="AJ891" s="147" t="s">
        <v>36</v>
      </c>
    </row>
    <row r="892" spans="1:36" ht="30" customHeight="1">
      <c r="A892" s="90"/>
      <c r="B892" s="90"/>
      <c r="C892" s="90"/>
      <c r="D892" s="90"/>
      <c r="E892" s="90"/>
      <c r="F892" s="90"/>
      <c r="G892" s="90"/>
      <c r="H892" s="90"/>
      <c r="I892" s="90"/>
      <c r="J892" s="90"/>
      <c r="K892" s="90"/>
      <c r="L892" s="90"/>
      <c r="M892" s="90"/>
      <c r="N892" s="150"/>
      <c r="O892" s="152"/>
      <c r="P892" s="90"/>
      <c r="Q892" s="140"/>
      <c r="R892" s="90"/>
      <c r="S892" s="140"/>
      <c r="T892" s="90"/>
      <c r="U892" s="140"/>
      <c r="V892" s="90"/>
      <c r="W892" s="140"/>
      <c r="X892" s="90"/>
      <c r="Y892" s="140"/>
      <c r="Z892" s="90"/>
      <c r="AA892" s="140"/>
      <c r="AB892" s="62"/>
      <c r="AC892" s="140"/>
      <c r="AD892" s="62"/>
      <c r="AE892" s="140"/>
      <c r="AF892" s="189" t="str">
        <f t="shared" si="37"/>
        <v/>
      </c>
      <c r="AG892" s="304" t="b">
        <f t="shared" si="36"/>
        <v>0</v>
      </c>
      <c r="AH892" s="9"/>
      <c r="AI892" s="145">
        <f t="shared" si="38"/>
        <v>0</v>
      </c>
      <c r="AJ892" s="147" t="s">
        <v>36</v>
      </c>
    </row>
    <row r="893" spans="1:36" ht="30" customHeight="1">
      <c r="A893" s="90"/>
      <c r="B893" s="90"/>
      <c r="C893" s="90"/>
      <c r="D893" s="90"/>
      <c r="E893" s="90"/>
      <c r="F893" s="90"/>
      <c r="G893" s="90"/>
      <c r="H893" s="90"/>
      <c r="I893" s="90"/>
      <c r="J893" s="90"/>
      <c r="K893" s="90"/>
      <c r="L893" s="90"/>
      <c r="M893" s="90"/>
      <c r="N893" s="150"/>
      <c r="O893" s="152"/>
      <c r="P893" s="90"/>
      <c r="Q893" s="140"/>
      <c r="R893" s="90"/>
      <c r="S893" s="140"/>
      <c r="T893" s="90"/>
      <c r="U893" s="140"/>
      <c r="V893" s="90"/>
      <c r="W893" s="140"/>
      <c r="X893" s="90"/>
      <c r="Y893" s="140"/>
      <c r="Z893" s="90"/>
      <c r="AA893" s="140"/>
      <c r="AB893" s="62"/>
      <c r="AC893" s="140"/>
      <c r="AD893" s="62"/>
      <c r="AE893" s="140"/>
      <c r="AF893" s="189" t="str">
        <f t="shared" si="37"/>
        <v/>
      </c>
      <c r="AG893" s="304" t="b">
        <f t="shared" si="36"/>
        <v>0</v>
      </c>
      <c r="AH893" s="9"/>
      <c r="AI893" s="145">
        <f t="shared" si="38"/>
        <v>0</v>
      </c>
      <c r="AJ893" s="147" t="s">
        <v>36</v>
      </c>
    </row>
    <row r="894" spans="1:36" ht="30" customHeight="1">
      <c r="A894" s="90"/>
      <c r="B894" s="90"/>
      <c r="C894" s="90"/>
      <c r="D894" s="90"/>
      <c r="E894" s="90"/>
      <c r="F894" s="90"/>
      <c r="G894" s="90"/>
      <c r="H894" s="90"/>
      <c r="I894" s="90"/>
      <c r="J894" s="90"/>
      <c r="K894" s="90"/>
      <c r="L894" s="90"/>
      <c r="M894" s="90"/>
      <c r="N894" s="150"/>
      <c r="O894" s="152"/>
      <c r="P894" s="90"/>
      <c r="Q894" s="140"/>
      <c r="R894" s="90"/>
      <c r="S894" s="140"/>
      <c r="T894" s="90"/>
      <c r="U894" s="140"/>
      <c r="V894" s="90"/>
      <c r="W894" s="140"/>
      <c r="X894" s="90"/>
      <c r="Y894" s="140"/>
      <c r="Z894" s="90"/>
      <c r="AA894" s="140"/>
      <c r="AB894" s="62"/>
      <c r="AC894" s="140"/>
      <c r="AD894" s="62"/>
      <c r="AE894" s="140"/>
      <c r="AF894" s="189" t="str">
        <f t="shared" si="37"/>
        <v/>
      </c>
      <c r="AG894" s="304" t="b">
        <f t="shared" si="36"/>
        <v>0</v>
      </c>
      <c r="AH894" s="9"/>
      <c r="AI894" s="145">
        <f t="shared" si="38"/>
        <v>0</v>
      </c>
      <c r="AJ894" s="147" t="s">
        <v>36</v>
      </c>
    </row>
    <row r="895" spans="1:36" ht="30" customHeight="1">
      <c r="A895" s="90"/>
      <c r="B895" s="90"/>
      <c r="C895" s="90"/>
      <c r="D895" s="90"/>
      <c r="E895" s="90"/>
      <c r="F895" s="90"/>
      <c r="G895" s="90"/>
      <c r="H895" s="90"/>
      <c r="I895" s="90"/>
      <c r="J895" s="90"/>
      <c r="K895" s="90"/>
      <c r="L895" s="90"/>
      <c r="M895" s="90"/>
      <c r="N895" s="150"/>
      <c r="O895" s="152"/>
      <c r="P895" s="90"/>
      <c r="Q895" s="140"/>
      <c r="R895" s="90"/>
      <c r="S895" s="140"/>
      <c r="T895" s="90"/>
      <c r="U895" s="140"/>
      <c r="V895" s="90"/>
      <c r="W895" s="140"/>
      <c r="X895" s="90"/>
      <c r="Y895" s="140"/>
      <c r="Z895" s="90"/>
      <c r="AA895" s="140"/>
      <c r="AB895" s="62"/>
      <c r="AC895" s="140"/>
      <c r="AD895" s="62"/>
      <c r="AE895" s="140"/>
      <c r="AF895" s="189" t="str">
        <f t="shared" si="37"/>
        <v/>
      </c>
      <c r="AG895" s="304" t="b">
        <f t="shared" si="36"/>
        <v>0</v>
      </c>
      <c r="AH895" s="9"/>
      <c r="AI895" s="145">
        <f t="shared" si="38"/>
        <v>0</v>
      </c>
      <c r="AJ895" s="147" t="s">
        <v>36</v>
      </c>
    </row>
    <row r="896" spans="1:36" ht="30" customHeight="1">
      <c r="A896" s="90"/>
      <c r="B896" s="90"/>
      <c r="C896" s="90"/>
      <c r="D896" s="90"/>
      <c r="E896" s="90"/>
      <c r="F896" s="90"/>
      <c r="G896" s="90"/>
      <c r="H896" s="90"/>
      <c r="I896" s="90"/>
      <c r="J896" s="90"/>
      <c r="K896" s="90"/>
      <c r="L896" s="90"/>
      <c r="M896" s="90"/>
      <c r="N896" s="150"/>
      <c r="O896" s="152"/>
      <c r="P896" s="90"/>
      <c r="Q896" s="140"/>
      <c r="R896" s="90"/>
      <c r="S896" s="140"/>
      <c r="T896" s="90"/>
      <c r="U896" s="140"/>
      <c r="V896" s="90"/>
      <c r="W896" s="140"/>
      <c r="X896" s="90"/>
      <c r="Y896" s="140"/>
      <c r="Z896" s="90"/>
      <c r="AA896" s="140"/>
      <c r="AB896" s="62"/>
      <c r="AC896" s="140"/>
      <c r="AD896" s="62"/>
      <c r="AE896" s="140"/>
      <c r="AF896" s="189" t="str">
        <f t="shared" si="37"/>
        <v/>
      </c>
      <c r="AG896" s="304" t="b">
        <f t="shared" si="36"/>
        <v>0</v>
      </c>
      <c r="AH896" s="9"/>
      <c r="AI896" s="145">
        <f t="shared" si="38"/>
        <v>0</v>
      </c>
      <c r="AJ896" s="147" t="s">
        <v>36</v>
      </c>
    </row>
    <row r="897" spans="1:36" ht="30" customHeight="1">
      <c r="A897" s="90"/>
      <c r="B897" s="90"/>
      <c r="C897" s="90"/>
      <c r="D897" s="90"/>
      <c r="E897" s="90"/>
      <c r="F897" s="90"/>
      <c r="G897" s="90"/>
      <c r="H897" s="90"/>
      <c r="I897" s="90"/>
      <c r="J897" s="90"/>
      <c r="K897" s="90"/>
      <c r="L897" s="90"/>
      <c r="M897" s="90"/>
      <c r="N897" s="150"/>
      <c r="O897" s="152"/>
      <c r="P897" s="90"/>
      <c r="Q897" s="140"/>
      <c r="R897" s="90"/>
      <c r="S897" s="140"/>
      <c r="T897" s="90"/>
      <c r="U897" s="140"/>
      <c r="V897" s="90"/>
      <c r="W897" s="140"/>
      <c r="X897" s="90"/>
      <c r="Y897" s="140"/>
      <c r="Z897" s="90"/>
      <c r="AA897" s="140"/>
      <c r="AB897" s="62"/>
      <c r="AC897" s="140"/>
      <c r="AD897" s="62"/>
      <c r="AE897" s="140"/>
      <c r="AF897" s="189" t="str">
        <f t="shared" si="37"/>
        <v/>
      </c>
      <c r="AG897" s="304" t="b">
        <f t="shared" si="36"/>
        <v>0</v>
      </c>
      <c r="AH897" s="9"/>
      <c r="AI897" s="145">
        <f t="shared" si="38"/>
        <v>0</v>
      </c>
      <c r="AJ897" s="147" t="s">
        <v>36</v>
      </c>
    </row>
    <row r="898" spans="1:36" ht="30" customHeight="1">
      <c r="A898" s="90"/>
      <c r="B898" s="90"/>
      <c r="C898" s="90"/>
      <c r="D898" s="90"/>
      <c r="E898" s="90"/>
      <c r="F898" s="90"/>
      <c r="G898" s="90"/>
      <c r="H898" s="90"/>
      <c r="I898" s="90"/>
      <c r="J898" s="90"/>
      <c r="K898" s="90"/>
      <c r="L898" s="90"/>
      <c r="M898" s="90"/>
      <c r="N898" s="150"/>
      <c r="O898" s="152"/>
      <c r="P898" s="90"/>
      <c r="Q898" s="140"/>
      <c r="R898" s="90"/>
      <c r="S898" s="140"/>
      <c r="T898" s="90"/>
      <c r="U898" s="140"/>
      <c r="V898" s="90"/>
      <c r="W898" s="140"/>
      <c r="X898" s="90"/>
      <c r="Y898" s="140"/>
      <c r="Z898" s="90"/>
      <c r="AA898" s="140"/>
      <c r="AB898" s="62"/>
      <c r="AC898" s="140"/>
      <c r="AD898" s="62"/>
      <c r="AE898" s="140"/>
      <c r="AF898" s="189" t="str">
        <f t="shared" si="37"/>
        <v/>
      </c>
      <c r="AG898" s="304" t="b">
        <f t="shared" ref="AG898:AG961" si="39">IF(AND(AE898="C",AF898="C"),"UTILIZOU O PDA CORRETAMENTE",IF(AND(AE898="C",AF898="NC"),"UTILIZOU O PDA CORRETAMENTE. NÃO HÁ FOTOS DE TODAS AS ETAPAS",IF(AND(AE898="NC",AF898="NC"),"NÃO UTILIZOU O PDA",IF(AND(AE898="NA",AF898="NA"),"NÃO AVALIADO POR FALHA DE SINCRONISMO"))))</f>
        <v>0</v>
      </c>
      <c r="AH898" s="9"/>
      <c r="AI898" s="145">
        <f t="shared" si="38"/>
        <v>0</v>
      </c>
      <c r="AJ898" s="147" t="s">
        <v>36</v>
      </c>
    </row>
    <row r="899" spans="1:36" ht="30" customHeight="1">
      <c r="A899" s="90"/>
      <c r="B899" s="90"/>
      <c r="C899" s="90"/>
      <c r="D899" s="90"/>
      <c r="E899" s="90"/>
      <c r="F899" s="90"/>
      <c r="G899" s="90"/>
      <c r="H899" s="90"/>
      <c r="I899" s="90"/>
      <c r="J899" s="90"/>
      <c r="K899" s="90"/>
      <c r="L899" s="90"/>
      <c r="M899" s="90"/>
      <c r="N899" s="150"/>
      <c r="O899" s="152"/>
      <c r="P899" s="90"/>
      <c r="Q899" s="140"/>
      <c r="R899" s="90"/>
      <c r="S899" s="140"/>
      <c r="T899" s="90"/>
      <c r="U899" s="140"/>
      <c r="V899" s="90"/>
      <c r="W899" s="140"/>
      <c r="X899" s="90"/>
      <c r="Y899" s="140"/>
      <c r="Z899" s="90"/>
      <c r="AA899" s="140"/>
      <c r="AB899" s="62"/>
      <c r="AC899" s="140"/>
      <c r="AD899" s="62"/>
      <c r="AE899" s="140"/>
      <c r="AF899" s="189" t="str">
        <f t="shared" ref="AF899:AF962" si="40">IF(AND(O899="",Q899="",S899="",U899="",W899="",Y899="",AA899="",AC899=""),"",
IF(OR(    AND(O899&lt;&gt;"NA",O899&lt;&gt;"C",O899&lt;&gt;"NC",O899&lt;&gt;"SF",O899&lt;&gt;""),
    AND(Q899&lt;&gt;"NA",Q899&lt;&gt;"C",Q899&lt;&gt;"NC",Q899&lt;&gt;"SF",Q899&lt;&gt;""),
    AND(S899&lt;&gt;"NA",S899&lt;&gt;"C",S899&lt;&gt;"NC",S899&lt;&gt;"SF",S899&lt;&gt;""),
    AND(U899&lt;&gt;"NA",U899&lt;&gt;"C",U899&lt;&gt;"NC",U899&lt;&gt;"SF",U899&lt;&gt;""),
    AND(W899&lt;&gt;"NA",W899&lt;&gt;"C",W899&lt;&gt;"NC",W899&lt;&gt;"SF",W899&lt;&gt;""),
    AND(Y899&lt;&gt;"NA",Y899&lt;&gt;"C",Y899&lt;&gt;"NC",Y899&lt;&gt;"SF",Y899&lt;&gt;""),
    AND(AA899&lt;&gt;"NA",AA899&lt;&gt;"C",AA899&lt;&gt;"NC",AA899&lt;&gt;"SF",AA899&lt;&gt;""),
    AND(AC899&lt;&gt;"NA",AC899&lt;&gt;"C",AC899&lt;&gt;"NC",AC899&lt;&gt;"SF",AC899&lt;&gt;"")
),"FALSO",
IF(AND(O899="NA",Q899="NA",S899="NA",U899="NA",W899="NA",Y899="NA",AA899="NA",AC899="NA"),"NA",
IF(OR(O899="NC",Q899="NC",S899="NC",U899="NC",W899="NC",Y899="NC",AA899="NC",AC899="NC",
       O899="SF",Q899="SF",S899="SF",U899="SF",W899="SF",Y899="SF",AA899="SF",AC899="SF"),"NC",
IF(SUM(IF(O899="C",1,0),IF(Q899="C",1,0),IF(S899="C",1,0),IF(U899="C",1,0),IF(W899="C",1,0),IF(Y899="C",1,0),IF(AA899="C",1,0),IF(AC899="C",1,0))=1,"C","C")))))</f>
        <v/>
      </c>
      <c r="AG899" s="304" t="b">
        <f t="shared" si="39"/>
        <v>0</v>
      </c>
      <c r="AH899" s="9"/>
      <c r="AI899" s="145">
        <f t="shared" si="38"/>
        <v>0</v>
      </c>
      <c r="AJ899" s="147" t="s">
        <v>36</v>
      </c>
    </row>
    <row r="900" spans="1:36" ht="30" customHeight="1">
      <c r="A900" s="90"/>
      <c r="B900" s="90"/>
      <c r="C900" s="90"/>
      <c r="D900" s="90"/>
      <c r="E900" s="90"/>
      <c r="F900" s="90"/>
      <c r="G900" s="90"/>
      <c r="H900" s="90"/>
      <c r="I900" s="90"/>
      <c r="J900" s="90"/>
      <c r="K900" s="90"/>
      <c r="L900" s="90"/>
      <c r="M900" s="90"/>
      <c r="N900" s="150"/>
      <c r="O900" s="152"/>
      <c r="P900" s="90"/>
      <c r="Q900" s="140"/>
      <c r="R900" s="90"/>
      <c r="S900" s="140"/>
      <c r="T900" s="90"/>
      <c r="U900" s="140"/>
      <c r="V900" s="90"/>
      <c r="W900" s="140"/>
      <c r="X900" s="90"/>
      <c r="Y900" s="140"/>
      <c r="Z900" s="90"/>
      <c r="AA900" s="140"/>
      <c r="AB900" s="62"/>
      <c r="AC900" s="140"/>
      <c r="AD900" s="62"/>
      <c r="AE900" s="140"/>
      <c r="AF900" s="189" t="str">
        <f t="shared" si="40"/>
        <v/>
      </c>
      <c r="AG900" s="304" t="b">
        <f t="shared" si="39"/>
        <v>0</v>
      </c>
      <c r="AH900" s="9"/>
      <c r="AI900" s="145">
        <f t="shared" si="38"/>
        <v>0</v>
      </c>
      <c r="AJ900" s="147" t="s">
        <v>36</v>
      </c>
    </row>
    <row r="901" spans="1:36" ht="30" customHeight="1">
      <c r="A901" s="90"/>
      <c r="B901" s="90"/>
      <c r="C901" s="90"/>
      <c r="D901" s="90"/>
      <c r="E901" s="90"/>
      <c r="F901" s="90"/>
      <c r="G901" s="90"/>
      <c r="H901" s="90"/>
      <c r="I901" s="90"/>
      <c r="J901" s="90"/>
      <c r="K901" s="90"/>
      <c r="L901" s="90"/>
      <c r="M901" s="90"/>
      <c r="N901" s="150"/>
      <c r="O901" s="152"/>
      <c r="P901" s="90"/>
      <c r="Q901" s="140"/>
      <c r="R901" s="90"/>
      <c r="S901" s="140"/>
      <c r="T901" s="90"/>
      <c r="U901" s="140"/>
      <c r="V901" s="90"/>
      <c r="W901" s="140"/>
      <c r="X901" s="90"/>
      <c r="Y901" s="140"/>
      <c r="Z901" s="90"/>
      <c r="AA901" s="140"/>
      <c r="AB901" s="62"/>
      <c r="AC901" s="140"/>
      <c r="AD901" s="62"/>
      <c r="AE901" s="140"/>
      <c r="AF901" s="189" t="str">
        <f t="shared" si="40"/>
        <v/>
      </c>
      <c r="AG901" s="304" t="b">
        <f t="shared" si="39"/>
        <v>0</v>
      </c>
      <c r="AH901" s="9"/>
      <c r="AI901" s="145">
        <f t="shared" si="38"/>
        <v>0</v>
      </c>
      <c r="AJ901" s="147" t="s">
        <v>36</v>
      </c>
    </row>
    <row r="902" spans="1:36" ht="30" customHeight="1">
      <c r="A902" s="90"/>
      <c r="B902" s="90"/>
      <c r="C902" s="90"/>
      <c r="D902" s="90"/>
      <c r="E902" s="90"/>
      <c r="F902" s="90"/>
      <c r="G902" s="90"/>
      <c r="H902" s="90"/>
      <c r="I902" s="90"/>
      <c r="J902" s="90"/>
      <c r="K902" s="90"/>
      <c r="L902" s="90"/>
      <c r="M902" s="90"/>
      <c r="N902" s="150"/>
      <c r="O902" s="152"/>
      <c r="P902" s="90"/>
      <c r="Q902" s="140"/>
      <c r="R902" s="90"/>
      <c r="S902" s="140"/>
      <c r="T902" s="90"/>
      <c r="U902" s="140"/>
      <c r="V902" s="90"/>
      <c r="W902" s="140"/>
      <c r="X902" s="90"/>
      <c r="Y902" s="140"/>
      <c r="Z902" s="90"/>
      <c r="AA902" s="140"/>
      <c r="AB902" s="62"/>
      <c r="AC902" s="140"/>
      <c r="AD902" s="62"/>
      <c r="AE902" s="140"/>
      <c r="AF902" s="189" t="str">
        <f t="shared" si="40"/>
        <v/>
      </c>
      <c r="AG902" s="304" t="b">
        <f t="shared" si="39"/>
        <v>0</v>
      </c>
      <c r="AH902" s="9"/>
      <c r="AI902" s="145">
        <f t="shared" si="38"/>
        <v>0</v>
      </c>
      <c r="AJ902" s="147" t="s">
        <v>36</v>
      </c>
    </row>
    <row r="903" spans="1:36" ht="30" customHeight="1">
      <c r="A903" s="90"/>
      <c r="B903" s="90"/>
      <c r="C903" s="90"/>
      <c r="D903" s="90"/>
      <c r="E903" s="90"/>
      <c r="F903" s="90"/>
      <c r="G903" s="90"/>
      <c r="H903" s="90"/>
      <c r="I903" s="90"/>
      <c r="J903" s="90"/>
      <c r="K903" s="90"/>
      <c r="L903" s="90"/>
      <c r="M903" s="90"/>
      <c r="N903" s="150"/>
      <c r="O903" s="152"/>
      <c r="P903" s="90"/>
      <c r="Q903" s="140"/>
      <c r="R903" s="90"/>
      <c r="S903" s="140"/>
      <c r="T903" s="90"/>
      <c r="U903" s="140"/>
      <c r="V903" s="90"/>
      <c r="W903" s="140"/>
      <c r="X903" s="90"/>
      <c r="Y903" s="140"/>
      <c r="Z903" s="90"/>
      <c r="AA903" s="140"/>
      <c r="AB903" s="62"/>
      <c r="AC903" s="140"/>
      <c r="AD903" s="62"/>
      <c r="AE903" s="140"/>
      <c r="AF903" s="189" t="str">
        <f t="shared" si="40"/>
        <v/>
      </c>
      <c r="AG903" s="304" t="b">
        <f t="shared" si="39"/>
        <v>0</v>
      </c>
      <c r="AH903" s="9"/>
      <c r="AI903" s="145">
        <f t="shared" si="38"/>
        <v>0</v>
      </c>
      <c r="AJ903" s="147" t="s">
        <v>36</v>
      </c>
    </row>
    <row r="904" spans="1:36" ht="30" customHeight="1">
      <c r="A904" s="90"/>
      <c r="B904" s="90"/>
      <c r="C904" s="90"/>
      <c r="D904" s="90"/>
      <c r="E904" s="90"/>
      <c r="F904" s="90"/>
      <c r="G904" s="90"/>
      <c r="H904" s="90"/>
      <c r="I904" s="90"/>
      <c r="J904" s="90"/>
      <c r="K904" s="90"/>
      <c r="L904" s="90"/>
      <c r="M904" s="90"/>
      <c r="N904" s="150"/>
      <c r="O904" s="152"/>
      <c r="P904" s="90"/>
      <c r="Q904" s="140"/>
      <c r="R904" s="90"/>
      <c r="S904" s="140"/>
      <c r="T904" s="90"/>
      <c r="U904" s="140"/>
      <c r="V904" s="90"/>
      <c r="W904" s="140"/>
      <c r="X904" s="90"/>
      <c r="Y904" s="140"/>
      <c r="Z904" s="90"/>
      <c r="AA904" s="140"/>
      <c r="AB904" s="62"/>
      <c r="AC904" s="140"/>
      <c r="AD904" s="62"/>
      <c r="AE904" s="140"/>
      <c r="AF904" s="189" t="str">
        <f t="shared" si="40"/>
        <v/>
      </c>
      <c r="AG904" s="304" t="b">
        <f t="shared" si="39"/>
        <v>0</v>
      </c>
      <c r="AH904" s="9"/>
      <c r="AI904" s="145">
        <f t="shared" si="38"/>
        <v>0</v>
      </c>
      <c r="AJ904" s="147" t="s">
        <v>36</v>
      </c>
    </row>
    <row r="905" spans="1:36" ht="30" customHeight="1">
      <c r="A905" s="90"/>
      <c r="B905" s="90"/>
      <c r="C905" s="90"/>
      <c r="D905" s="90"/>
      <c r="E905" s="90"/>
      <c r="F905" s="90"/>
      <c r="G905" s="90"/>
      <c r="H905" s="90"/>
      <c r="I905" s="90"/>
      <c r="J905" s="90"/>
      <c r="K905" s="90"/>
      <c r="L905" s="90"/>
      <c r="M905" s="90"/>
      <c r="N905" s="150"/>
      <c r="O905" s="152"/>
      <c r="P905" s="90"/>
      <c r="Q905" s="140"/>
      <c r="R905" s="90"/>
      <c r="S905" s="140"/>
      <c r="T905" s="90"/>
      <c r="U905" s="140"/>
      <c r="V905" s="90"/>
      <c r="W905" s="140"/>
      <c r="X905" s="90"/>
      <c r="Y905" s="140"/>
      <c r="Z905" s="90"/>
      <c r="AA905" s="140"/>
      <c r="AB905" s="62"/>
      <c r="AC905" s="140"/>
      <c r="AD905" s="62"/>
      <c r="AE905" s="140"/>
      <c r="AF905" s="189" t="str">
        <f t="shared" si="40"/>
        <v/>
      </c>
      <c r="AG905" s="304" t="b">
        <f t="shared" si="39"/>
        <v>0</v>
      </c>
      <c r="AH905" s="9"/>
      <c r="AI905" s="145">
        <f t="shared" si="38"/>
        <v>0</v>
      </c>
      <c r="AJ905" s="147" t="s">
        <v>36</v>
      </c>
    </row>
    <row r="906" spans="1:36" ht="30" customHeight="1">
      <c r="A906" s="90"/>
      <c r="B906" s="90"/>
      <c r="C906" s="90"/>
      <c r="D906" s="90"/>
      <c r="E906" s="90"/>
      <c r="F906" s="90"/>
      <c r="G906" s="90"/>
      <c r="H906" s="90"/>
      <c r="I906" s="90"/>
      <c r="J906" s="90"/>
      <c r="K906" s="90"/>
      <c r="L906" s="90"/>
      <c r="M906" s="90"/>
      <c r="N906" s="150"/>
      <c r="O906" s="152"/>
      <c r="P906" s="90"/>
      <c r="Q906" s="140"/>
      <c r="R906" s="90"/>
      <c r="S906" s="140"/>
      <c r="T906" s="90"/>
      <c r="U906" s="140"/>
      <c r="V906" s="90"/>
      <c r="W906" s="140"/>
      <c r="X906" s="90"/>
      <c r="Y906" s="140"/>
      <c r="Z906" s="90"/>
      <c r="AA906" s="140"/>
      <c r="AB906" s="62"/>
      <c r="AC906" s="140"/>
      <c r="AD906" s="62"/>
      <c r="AE906" s="140"/>
      <c r="AF906" s="189" t="str">
        <f t="shared" si="40"/>
        <v/>
      </c>
      <c r="AG906" s="304" t="b">
        <f t="shared" si="39"/>
        <v>0</v>
      </c>
      <c r="AH906" s="9"/>
      <c r="AI906" s="145">
        <f t="shared" si="38"/>
        <v>0</v>
      </c>
      <c r="AJ906" s="147" t="s">
        <v>36</v>
      </c>
    </row>
    <row r="907" spans="1:36" ht="30" customHeight="1">
      <c r="A907" s="90"/>
      <c r="B907" s="90"/>
      <c r="C907" s="90"/>
      <c r="D907" s="90"/>
      <c r="E907" s="90"/>
      <c r="F907" s="90"/>
      <c r="G907" s="90"/>
      <c r="H907" s="90"/>
      <c r="I907" s="90"/>
      <c r="J907" s="90"/>
      <c r="K907" s="90"/>
      <c r="L907" s="90"/>
      <c r="M907" s="90"/>
      <c r="N907" s="150"/>
      <c r="O907" s="152"/>
      <c r="P907" s="90"/>
      <c r="Q907" s="140"/>
      <c r="R907" s="90"/>
      <c r="S907" s="140"/>
      <c r="T907" s="90"/>
      <c r="U907" s="140"/>
      <c r="V907" s="90"/>
      <c r="W907" s="140"/>
      <c r="X907" s="90"/>
      <c r="Y907" s="140"/>
      <c r="Z907" s="90"/>
      <c r="AA907" s="140"/>
      <c r="AB907" s="62"/>
      <c r="AC907" s="140"/>
      <c r="AD907" s="62"/>
      <c r="AE907" s="140"/>
      <c r="AF907" s="189" t="str">
        <f t="shared" si="40"/>
        <v/>
      </c>
      <c r="AG907" s="304" t="b">
        <f t="shared" si="39"/>
        <v>0</v>
      </c>
      <c r="AH907" s="9"/>
      <c r="AI907" s="145">
        <f t="shared" si="38"/>
        <v>0</v>
      </c>
      <c r="AJ907" s="147" t="s">
        <v>36</v>
      </c>
    </row>
    <row r="908" spans="1:36" ht="30" customHeight="1">
      <c r="A908" s="90"/>
      <c r="B908" s="90"/>
      <c r="C908" s="90"/>
      <c r="D908" s="90"/>
      <c r="E908" s="90"/>
      <c r="F908" s="90"/>
      <c r="G908" s="90"/>
      <c r="H908" s="90"/>
      <c r="I908" s="90"/>
      <c r="J908" s="90"/>
      <c r="K908" s="90"/>
      <c r="L908" s="90"/>
      <c r="M908" s="90"/>
      <c r="N908" s="150"/>
      <c r="O908" s="152"/>
      <c r="P908" s="90"/>
      <c r="Q908" s="140"/>
      <c r="R908" s="90"/>
      <c r="S908" s="140"/>
      <c r="T908" s="90"/>
      <c r="U908" s="140"/>
      <c r="V908" s="90"/>
      <c r="W908" s="140"/>
      <c r="X908" s="90"/>
      <c r="Y908" s="140"/>
      <c r="Z908" s="90"/>
      <c r="AA908" s="140"/>
      <c r="AB908" s="62"/>
      <c r="AC908" s="140"/>
      <c r="AD908" s="62"/>
      <c r="AE908" s="140"/>
      <c r="AF908" s="189" t="str">
        <f t="shared" si="40"/>
        <v/>
      </c>
      <c r="AG908" s="304" t="b">
        <f t="shared" si="39"/>
        <v>0</v>
      </c>
      <c r="AH908" s="9"/>
      <c r="AI908" s="145">
        <f t="shared" si="38"/>
        <v>0</v>
      </c>
      <c r="AJ908" s="147" t="s">
        <v>36</v>
      </c>
    </row>
    <row r="909" spans="1:36" ht="30" customHeight="1">
      <c r="A909" s="90"/>
      <c r="B909" s="90"/>
      <c r="C909" s="90"/>
      <c r="D909" s="90"/>
      <c r="E909" s="90"/>
      <c r="F909" s="90"/>
      <c r="G909" s="90"/>
      <c r="H909" s="90"/>
      <c r="I909" s="90"/>
      <c r="J909" s="90"/>
      <c r="K909" s="90"/>
      <c r="L909" s="90"/>
      <c r="M909" s="90"/>
      <c r="N909" s="150"/>
      <c r="O909" s="152"/>
      <c r="P909" s="90"/>
      <c r="Q909" s="140"/>
      <c r="R909" s="90"/>
      <c r="S909" s="140"/>
      <c r="T909" s="90"/>
      <c r="U909" s="140"/>
      <c r="V909" s="90"/>
      <c r="W909" s="140"/>
      <c r="X909" s="90"/>
      <c r="Y909" s="140"/>
      <c r="Z909" s="90"/>
      <c r="AA909" s="140"/>
      <c r="AB909" s="62"/>
      <c r="AC909" s="140"/>
      <c r="AD909" s="62"/>
      <c r="AE909" s="140"/>
      <c r="AF909" s="189" t="str">
        <f t="shared" si="40"/>
        <v/>
      </c>
      <c r="AG909" s="304" t="b">
        <f t="shared" si="39"/>
        <v>0</v>
      </c>
      <c r="AH909" s="9"/>
      <c r="AI909" s="145">
        <f t="shared" si="38"/>
        <v>0</v>
      </c>
      <c r="AJ909" s="147" t="s">
        <v>36</v>
      </c>
    </row>
    <row r="910" spans="1:36" ht="30" customHeight="1">
      <c r="A910" s="90"/>
      <c r="B910" s="90"/>
      <c r="C910" s="90"/>
      <c r="D910" s="90"/>
      <c r="E910" s="90"/>
      <c r="F910" s="90"/>
      <c r="G910" s="90"/>
      <c r="H910" s="90"/>
      <c r="I910" s="90"/>
      <c r="J910" s="90"/>
      <c r="K910" s="90"/>
      <c r="L910" s="90"/>
      <c r="M910" s="90"/>
      <c r="N910" s="150"/>
      <c r="O910" s="152"/>
      <c r="P910" s="90"/>
      <c r="Q910" s="140"/>
      <c r="R910" s="90"/>
      <c r="S910" s="140"/>
      <c r="T910" s="90"/>
      <c r="U910" s="140"/>
      <c r="V910" s="90"/>
      <c r="W910" s="140"/>
      <c r="X910" s="90"/>
      <c r="Y910" s="140"/>
      <c r="Z910" s="90"/>
      <c r="AA910" s="140"/>
      <c r="AB910" s="62"/>
      <c r="AC910" s="140"/>
      <c r="AD910" s="62"/>
      <c r="AE910" s="140"/>
      <c r="AF910" s="189" t="str">
        <f t="shared" si="40"/>
        <v/>
      </c>
      <c r="AG910" s="304" t="b">
        <f t="shared" si="39"/>
        <v>0</v>
      </c>
      <c r="AH910" s="9"/>
      <c r="AI910" s="145">
        <f t="shared" si="38"/>
        <v>0</v>
      </c>
      <c r="AJ910" s="147" t="s">
        <v>36</v>
      </c>
    </row>
    <row r="911" spans="1:36" ht="30" customHeight="1">
      <c r="A911" s="90"/>
      <c r="B911" s="90"/>
      <c r="C911" s="90"/>
      <c r="D911" s="90"/>
      <c r="E911" s="90"/>
      <c r="F911" s="90"/>
      <c r="G911" s="90"/>
      <c r="H911" s="90"/>
      <c r="I911" s="90"/>
      <c r="J911" s="90"/>
      <c r="K911" s="90"/>
      <c r="L911" s="90"/>
      <c r="M911" s="90"/>
      <c r="N911" s="150"/>
      <c r="O911" s="152"/>
      <c r="P911" s="90"/>
      <c r="Q911" s="140"/>
      <c r="R911" s="90"/>
      <c r="S911" s="140"/>
      <c r="T911" s="90"/>
      <c r="U911" s="140"/>
      <c r="V911" s="90"/>
      <c r="W911" s="140"/>
      <c r="X911" s="90"/>
      <c r="Y911" s="140"/>
      <c r="Z911" s="90"/>
      <c r="AA911" s="140"/>
      <c r="AB911" s="62"/>
      <c r="AC911" s="140"/>
      <c r="AD911" s="62"/>
      <c r="AE911" s="140"/>
      <c r="AF911" s="189" t="str">
        <f t="shared" si="40"/>
        <v/>
      </c>
      <c r="AG911" s="304" t="b">
        <f t="shared" si="39"/>
        <v>0</v>
      </c>
      <c r="AH911" s="9"/>
      <c r="AI911" s="145">
        <f t="shared" si="38"/>
        <v>0</v>
      </c>
      <c r="AJ911" s="147" t="s">
        <v>36</v>
      </c>
    </row>
    <row r="912" spans="1:36" ht="30" customHeight="1">
      <c r="A912" s="90"/>
      <c r="B912" s="90"/>
      <c r="C912" s="90"/>
      <c r="D912" s="90"/>
      <c r="E912" s="90"/>
      <c r="F912" s="90"/>
      <c r="G912" s="90"/>
      <c r="H912" s="90"/>
      <c r="I912" s="90"/>
      <c r="J912" s="90"/>
      <c r="K912" s="90"/>
      <c r="L912" s="90"/>
      <c r="M912" s="90"/>
      <c r="N912" s="150"/>
      <c r="O912" s="152"/>
      <c r="P912" s="90"/>
      <c r="Q912" s="140"/>
      <c r="R912" s="90"/>
      <c r="S912" s="140"/>
      <c r="T912" s="90"/>
      <c r="U912" s="140"/>
      <c r="V912" s="90"/>
      <c r="W912" s="140"/>
      <c r="X912" s="90"/>
      <c r="Y912" s="140"/>
      <c r="Z912" s="90"/>
      <c r="AA912" s="140"/>
      <c r="AB912" s="62"/>
      <c r="AC912" s="140"/>
      <c r="AD912" s="62"/>
      <c r="AE912" s="140"/>
      <c r="AF912" s="189" t="str">
        <f t="shared" si="40"/>
        <v/>
      </c>
      <c r="AG912" s="304" t="b">
        <f t="shared" si="39"/>
        <v>0</v>
      </c>
      <c r="AH912" s="9"/>
      <c r="AI912" s="145">
        <f t="shared" si="38"/>
        <v>0</v>
      </c>
      <c r="AJ912" s="147" t="s">
        <v>36</v>
      </c>
    </row>
    <row r="913" spans="1:36" ht="30" customHeight="1">
      <c r="A913" s="90"/>
      <c r="B913" s="90"/>
      <c r="C913" s="90"/>
      <c r="D913" s="90"/>
      <c r="E913" s="90"/>
      <c r="F913" s="90"/>
      <c r="G913" s="90"/>
      <c r="H913" s="90"/>
      <c r="I913" s="90"/>
      <c r="J913" s="90"/>
      <c r="K913" s="90"/>
      <c r="L913" s="90"/>
      <c r="M913" s="90"/>
      <c r="N913" s="150"/>
      <c r="O913" s="152"/>
      <c r="P913" s="90"/>
      <c r="Q913" s="140"/>
      <c r="R913" s="90"/>
      <c r="S913" s="140"/>
      <c r="T913" s="90"/>
      <c r="U913" s="140"/>
      <c r="V913" s="90"/>
      <c r="W913" s="140"/>
      <c r="X913" s="90"/>
      <c r="Y913" s="140"/>
      <c r="Z913" s="90"/>
      <c r="AA913" s="140"/>
      <c r="AB913" s="62"/>
      <c r="AC913" s="140"/>
      <c r="AD913" s="62"/>
      <c r="AE913" s="140"/>
      <c r="AF913" s="189" t="str">
        <f t="shared" si="40"/>
        <v/>
      </c>
      <c r="AG913" s="304" t="b">
        <f t="shared" si="39"/>
        <v>0</v>
      </c>
      <c r="AH913" s="9"/>
      <c r="AI913" s="145">
        <f t="shared" si="38"/>
        <v>0</v>
      </c>
      <c r="AJ913" s="147" t="s">
        <v>36</v>
      </c>
    </row>
    <row r="914" spans="1:36" ht="30" customHeight="1">
      <c r="A914" s="90"/>
      <c r="B914" s="90"/>
      <c r="C914" s="90"/>
      <c r="D914" s="90"/>
      <c r="E914" s="90"/>
      <c r="F914" s="90"/>
      <c r="G914" s="90"/>
      <c r="H914" s="90"/>
      <c r="I914" s="90"/>
      <c r="J914" s="90"/>
      <c r="K914" s="90"/>
      <c r="L914" s="90"/>
      <c r="M914" s="90"/>
      <c r="N914" s="150"/>
      <c r="O914" s="152"/>
      <c r="P914" s="90"/>
      <c r="Q914" s="140"/>
      <c r="R914" s="90"/>
      <c r="S914" s="140"/>
      <c r="T914" s="90"/>
      <c r="U914" s="140"/>
      <c r="V914" s="90"/>
      <c r="W914" s="140"/>
      <c r="X914" s="90"/>
      <c r="Y914" s="140"/>
      <c r="Z914" s="90"/>
      <c r="AA914" s="140"/>
      <c r="AB914" s="62"/>
      <c r="AC914" s="140"/>
      <c r="AD914" s="62"/>
      <c r="AE914" s="140"/>
      <c r="AF914" s="189" t="str">
        <f t="shared" si="40"/>
        <v/>
      </c>
      <c r="AG914" s="304" t="b">
        <f t="shared" si="39"/>
        <v>0</v>
      </c>
      <c r="AH914" s="9"/>
      <c r="AI914" s="145">
        <f t="shared" si="38"/>
        <v>0</v>
      </c>
      <c r="AJ914" s="147" t="s">
        <v>36</v>
      </c>
    </row>
    <row r="915" spans="1:36" ht="30" customHeight="1">
      <c r="A915" s="90"/>
      <c r="B915" s="90"/>
      <c r="C915" s="90"/>
      <c r="D915" s="90"/>
      <c r="E915" s="90"/>
      <c r="F915" s="90"/>
      <c r="G915" s="90"/>
      <c r="H915" s="90"/>
      <c r="I915" s="90"/>
      <c r="J915" s="90"/>
      <c r="K915" s="90"/>
      <c r="L915" s="90"/>
      <c r="M915" s="90"/>
      <c r="N915" s="150"/>
      <c r="O915" s="152"/>
      <c r="P915" s="90"/>
      <c r="Q915" s="140"/>
      <c r="R915" s="90"/>
      <c r="S915" s="140"/>
      <c r="T915" s="90"/>
      <c r="U915" s="140"/>
      <c r="V915" s="90"/>
      <c r="W915" s="140"/>
      <c r="X915" s="90"/>
      <c r="Y915" s="140"/>
      <c r="Z915" s="90"/>
      <c r="AA915" s="140"/>
      <c r="AB915" s="62"/>
      <c r="AC915" s="140"/>
      <c r="AD915" s="62"/>
      <c r="AE915" s="140"/>
      <c r="AF915" s="189" t="str">
        <f t="shared" si="40"/>
        <v/>
      </c>
      <c r="AG915" s="304" t="b">
        <f t="shared" si="39"/>
        <v>0</v>
      </c>
      <c r="AH915" s="9"/>
      <c r="AI915" s="145">
        <f t="shared" si="38"/>
        <v>0</v>
      </c>
      <c r="AJ915" s="147" t="s">
        <v>36</v>
      </c>
    </row>
    <row r="916" spans="1:36" ht="30" customHeight="1">
      <c r="A916" s="90"/>
      <c r="B916" s="90"/>
      <c r="C916" s="90"/>
      <c r="D916" s="90"/>
      <c r="E916" s="90"/>
      <c r="F916" s="90"/>
      <c r="G916" s="90"/>
      <c r="H916" s="90"/>
      <c r="I916" s="90"/>
      <c r="J916" s="90"/>
      <c r="K916" s="90"/>
      <c r="L916" s="90"/>
      <c r="M916" s="90"/>
      <c r="N916" s="150"/>
      <c r="O916" s="152"/>
      <c r="P916" s="90"/>
      <c r="Q916" s="140"/>
      <c r="R916" s="90"/>
      <c r="S916" s="140"/>
      <c r="T916" s="90"/>
      <c r="U916" s="140"/>
      <c r="V916" s="90"/>
      <c r="W916" s="140"/>
      <c r="X916" s="90"/>
      <c r="Y916" s="140"/>
      <c r="Z916" s="90"/>
      <c r="AA916" s="140"/>
      <c r="AB916" s="62"/>
      <c r="AC916" s="140"/>
      <c r="AD916" s="62"/>
      <c r="AE916" s="140"/>
      <c r="AF916" s="189" t="str">
        <f t="shared" si="40"/>
        <v/>
      </c>
      <c r="AG916" s="304" t="b">
        <f t="shared" si="39"/>
        <v>0</v>
      </c>
      <c r="AH916" s="9"/>
      <c r="AI916" s="145">
        <f t="shared" si="38"/>
        <v>0</v>
      </c>
      <c r="AJ916" s="147" t="s">
        <v>36</v>
      </c>
    </row>
    <row r="917" spans="1:36" ht="30" customHeight="1">
      <c r="A917" s="90"/>
      <c r="B917" s="90"/>
      <c r="C917" s="90"/>
      <c r="D917" s="90"/>
      <c r="E917" s="90"/>
      <c r="F917" s="90"/>
      <c r="G917" s="90"/>
      <c r="H917" s="90"/>
      <c r="I917" s="90"/>
      <c r="J917" s="90"/>
      <c r="K917" s="90"/>
      <c r="L917" s="90"/>
      <c r="M917" s="90"/>
      <c r="N917" s="150"/>
      <c r="O917" s="152"/>
      <c r="P917" s="90"/>
      <c r="Q917" s="140"/>
      <c r="R917" s="90"/>
      <c r="S917" s="140"/>
      <c r="T917" s="90"/>
      <c r="U917" s="140"/>
      <c r="V917" s="90"/>
      <c r="W917" s="140"/>
      <c r="X917" s="90"/>
      <c r="Y917" s="140"/>
      <c r="Z917" s="90"/>
      <c r="AA917" s="140"/>
      <c r="AB917" s="62"/>
      <c r="AC917" s="140"/>
      <c r="AD917" s="62"/>
      <c r="AE917" s="140"/>
      <c r="AF917" s="189" t="str">
        <f t="shared" si="40"/>
        <v/>
      </c>
      <c r="AG917" s="304" t="b">
        <f t="shared" si="39"/>
        <v>0</v>
      </c>
      <c r="AH917" s="9"/>
      <c r="AI917" s="145">
        <f t="shared" si="38"/>
        <v>0</v>
      </c>
      <c r="AJ917" s="147" t="s">
        <v>36</v>
      </c>
    </row>
    <row r="918" spans="1:36" ht="30" customHeight="1">
      <c r="A918" s="90"/>
      <c r="B918" s="90"/>
      <c r="C918" s="90"/>
      <c r="D918" s="90"/>
      <c r="E918" s="90"/>
      <c r="F918" s="90"/>
      <c r="G918" s="90"/>
      <c r="H918" s="90"/>
      <c r="I918" s="90"/>
      <c r="J918" s="90"/>
      <c r="K918" s="90"/>
      <c r="L918" s="90"/>
      <c r="M918" s="90"/>
      <c r="N918" s="150"/>
      <c r="O918" s="152"/>
      <c r="P918" s="90"/>
      <c r="Q918" s="140"/>
      <c r="R918" s="90"/>
      <c r="S918" s="140"/>
      <c r="T918" s="90"/>
      <c r="U918" s="140"/>
      <c r="V918" s="90"/>
      <c r="W918" s="140"/>
      <c r="X918" s="90"/>
      <c r="Y918" s="140"/>
      <c r="Z918" s="90"/>
      <c r="AA918" s="140"/>
      <c r="AB918" s="62"/>
      <c r="AC918" s="140"/>
      <c r="AD918" s="62"/>
      <c r="AE918" s="140"/>
      <c r="AF918" s="189" t="str">
        <f t="shared" si="40"/>
        <v/>
      </c>
      <c r="AG918" s="304" t="b">
        <f t="shared" si="39"/>
        <v>0</v>
      </c>
      <c r="AH918" s="9"/>
      <c r="AI918" s="145">
        <f t="shared" si="38"/>
        <v>0</v>
      </c>
      <c r="AJ918" s="147" t="s">
        <v>36</v>
      </c>
    </row>
    <row r="919" spans="1:36" ht="30" customHeight="1">
      <c r="A919" s="90"/>
      <c r="B919" s="90"/>
      <c r="C919" s="90"/>
      <c r="D919" s="90"/>
      <c r="E919" s="90"/>
      <c r="F919" s="90"/>
      <c r="G919" s="90"/>
      <c r="H919" s="90"/>
      <c r="I919" s="90"/>
      <c r="J919" s="90"/>
      <c r="K919" s="90"/>
      <c r="L919" s="90"/>
      <c r="M919" s="90"/>
      <c r="N919" s="150"/>
      <c r="O919" s="152"/>
      <c r="P919" s="90"/>
      <c r="Q919" s="140"/>
      <c r="R919" s="90"/>
      <c r="S919" s="140"/>
      <c r="T919" s="90"/>
      <c r="U919" s="140"/>
      <c r="V919" s="90"/>
      <c r="W919" s="140"/>
      <c r="X919" s="90"/>
      <c r="Y919" s="140"/>
      <c r="Z919" s="90"/>
      <c r="AA919" s="140"/>
      <c r="AB919" s="62"/>
      <c r="AC919" s="140"/>
      <c r="AD919" s="62"/>
      <c r="AE919" s="140"/>
      <c r="AF919" s="189" t="str">
        <f t="shared" si="40"/>
        <v/>
      </c>
      <c r="AG919" s="304" t="b">
        <f t="shared" si="39"/>
        <v>0</v>
      </c>
      <c r="AH919" s="9"/>
      <c r="AI919" s="145">
        <f t="shared" si="38"/>
        <v>0</v>
      </c>
      <c r="AJ919" s="147" t="s">
        <v>36</v>
      </c>
    </row>
    <row r="920" spans="1:36" ht="30" customHeight="1">
      <c r="A920" s="90"/>
      <c r="B920" s="90"/>
      <c r="C920" s="90"/>
      <c r="D920" s="90"/>
      <c r="E920" s="90"/>
      <c r="F920" s="90"/>
      <c r="G920" s="90"/>
      <c r="H920" s="90"/>
      <c r="I920" s="90"/>
      <c r="J920" s="90"/>
      <c r="K920" s="90"/>
      <c r="L920" s="90"/>
      <c r="M920" s="90"/>
      <c r="N920" s="150"/>
      <c r="O920" s="152"/>
      <c r="P920" s="90"/>
      <c r="Q920" s="140"/>
      <c r="R920" s="90"/>
      <c r="S920" s="140"/>
      <c r="T920" s="90"/>
      <c r="U920" s="140"/>
      <c r="V920" s="90"/>
      <c r="W920" s="140"/>
      <c r="X920" s="90"/>
      <c r="Y920" s="140"/>
      <c r="Z920" s="90"/>
      <c r="AA920" s="140"/>
      <c r="AB920" s="62"/>
      <c r="AC920" s="140"/>
      <c r="AD920" s="62"/>
      <c r="AE920" s="140"/>
      <c r="AF920" s="189" t="str">
        <f t="shared" si="40"/>
        <v/>
      </c>
      <c r="AG920" s="304" t="b">
        <f t="shared" si="39"/>
        <v>0</v>
      </c>
      <c r="AH920" s="9"/>
      <c r="AI920" s="145">
        <f t="shared" si="38"/>
        <v>0</v>
      </c>
      <c r="AJ920" s="147" t="s">
        <v>36</v>
      </c>
    </row>
    <row r="921" spans="1:36" ht="30" customHeight="1">
      <c r="A921" s="90"/>
      <c r="B921" s="90"/>
      <c r="C921" s="90"/>
      <c r="D921" s="90"/>
      <c r="E921" s="90"/>
      <c r="F921" s="90"/>
      <c r="G921" s="90"/>
      <c r="H921" s="90"/>
      <c r="I921" s="90"/>
      <c r="J921" s="90"/>
      <c r="K921" s="90"/>
      <c r="L921" s="90"/>
      <c r="M921" s="90"/>
      <c r="N921" s="150"/>
      <c r="O921" s="152"/>
      <c r="P921" s="90"/>
      <c r="Q921" s="140"/>
      <c r="R921" s="90"/>
      <c r="S921" s="140"/>
      <c r="T921" s="90"/>
      <c r="U921" s="140"/>
      <c r="V921" s="90"/>
      <c r="W921" s="140"/>
      <c r="X921" s="90"/>
      <c r="Y921" s="140"/>
      <c r="Z921" s="90"/>
      <c r="AA921" s="140"/>
      <c r="AB921" s="62"/>
      <c r="AC921" s="140"/>
      <c r="AD921" s="62"/>
      <c r="AE921" s="140"/>
      <c r="AF921" s="189" t="str">
        <f t="shared" si="40"/>
        <v/>
      </c>
      <c r="AG921" s="304" t="b">
        <f t="shared" si="39"/>
        <v>0</v>
      </c>
      <c r="AH921" s="9"/>
      <c r="AI921" s="145">
        <f t="shared" si="38"/>
        <v>0</v>
      </c>
      <c r="AJ921" s="147" t="s">
        <v>36</v>
      </c>
    </row>
    <row r="922" spans="1:36" ht="30" customHeight="1">
      <c r="A922" s="90"/>
      <c r="B922" s="90"/>
      <c r="C922" s="90"/>
      <c r="D922" s="90"/>
      <c r="E922" s="90"/>
      <c r="F922" s="90"/>
      <c r="G922" s="90"/>
      <c r="H922" s="90"/>
      <c r="I922" s="90"/>
      <c r="J922" s="90"/>
      <c r="K922" s="90"/>
      <c r="L922" s="90"/>
      <c r="M922" s="90"/>
      <c r="N922" s="150"/>
      <c r="O922" s="152"/>
      <c r="P922" s="90"/>
      <c r="Q922" s="140"/>
      <c r="R922" s="90"/>
      <c r="S922" s="140"/>
      <c r="T922" s="90"/>
      <c r="U922" s="140"/>
      <c r="V922" s="90"/>
      <c r="W922" s="140"/>
      <c r="X922" s="90"/>
      <c r="Y922" s="140"/>
      <c r="Z922" s="90"/>
      <c r="AA922" s="140"/>
      <c r="AB922" s="62"/>
      <c r="AC922" s="140"/>
      <c r="AD922" s="62"/>
      <c r="AE922" s="140"/>
      <c r="AF922" s="189" t="str">
        <f t="shared" si="40"/>
        <v/>
      </c>
      <c r="AG922" s="304" t="b">
        <f t="shared" si="39"/>
        <v>0</v>
      </c>
      <c r="AH922" s="9"/>
      <c r="AI922" s="145">
        <f t="shared" si="38"/>
        <v>0</v>
      </c>
      <c r="AJ922" s="147" t="s">
        <v>36</v>
      </c>
    </row>
    <row r="923" spans="1:36" ht="30" customHeight="1">
      <c r="A923" s="90"/>
      <c r="B923" s="90"/>
      <c r="C923" s="90"/>
      <c r="D923" s="90"/>
      <c r="E923" s="90"/>
      <c r="F923" s="90"/>
      <c r="G923" s="90"/>
      <c r="H923" s="90"/>
      <c r="I923" s="90"/>
      <c r="J923" s="90"/>
      <c r="K923" s="90"/>
      <c r="L923" s="90"/>
      <c r="M923" s="90"/>
      <c r="N923" s="150"/>
      <c r="O923" s="152"/>
      <c r="P923" s="90"/>
      <c r="Q923" s="140"/>
      <c r="R923" s="90"/>
      <c r="S923" s="140"/>
      <c r="T923" s="90"/>
      <c r="U923" s="140"/>
      <c r="V923" s="90"/>
      <c r="W923" s="140"/>
      <c r="X923" s="90"/>
      <c r="Y923" s="140"/>
      <c r="Z923" s="90"/>
      <c r="AA923" s="140"/>
      <c r="AB923" s="62"/>
      <c r="AC923" s="140"/>
      <c r="AD923" s="62"/>
      <c r="AE923" s="140"/>
      <c r="AF923" s="189" t="str">
        <f t="shared" si="40"/>
        <v/>
      </c>
      <c r="AG923" s="304" t="b">
        <f t="shared" si="39"/>
        <v>0</v>
      </c>
      <c r="AH923" s="9"/>
      <c r="AI923" s="145">
        <f t="shared" si="38"/>
        <v>0</v>
      </c>
      <c r="AJ923" s="147" t="s">
        <v>36</v>
      </c>
    </row>
    <row r="924" spans="1:36" ht="30" customHeight="1">
      <c r="A924" s="90"/>
      <c r="B924" s="90"/>
      <c r="C924" s="90"/>
      <c r="D924" s="90"/>
      <c r="E924" s="90"/>
      <c r="F924" s="90"/>
      <c r="G924" s="90"/>
      <c r="H924" s="90"/>
      <c r="I924" s="90"/>
      <c r="J924" s="90"/>
      <c r="K924" s="90"/>
      <c r="L924" s="90"/>
      <c r="M924" s="90"/>
      <c r="N924" s="150"/>
      <c r="O924" s="152"/>
      <c r="P924" s="90"/>
      <c r="Q924" s="140"/>
      <c r="R924" s="90"/>
      <c r="S924" s="140"/>
      <c r="T924" s="90"/>
      <c r="U924" s="140"/>
      <c r="V924" s="90"/>
      <c r="W924" s="140"/>
      <c r="X924" s="90"/>
      <c r="Y924" s="140"/>
      <c r="Z924" s="90"/>
      <c r="AA924" s="140"/>
      <c r="AB924" s="62"/>
      <c r="AC924" s="140"/>
      <c r="AD924" s="62"/>
      <c r="AE924" s="140"/>
      <c r="AF924" s="189" t="str">
        <f t="shared" si="40"/>
        <v/>
      </c>
      <c r="AG924" s="304" t="b">
        <f t="shared" si="39"/>
        <v>0</v>
      </c>
      <c r="AH924" s="9"/>
      <c r="AI924" s="145">
        <f t="shared" si="38"/>
        <v>0</v>
      </c>
      <c r="AJ924" s="147" t="s">
        <v>36</v>
      </c>
    </row>
    <row r="925" spans="1:36" ht="30" customHeight="1">
      <c r="A925" s="90"/>
      <c r="B925" s="90"/>
      <c r="C925" s="90"/>
      <c r="D925" s="90"/>
      <c r="E925" s="90"/>
      <c r="F925" s="90"/>
      <c r="G925" s="90"/>
      <c r="H925" s="90"/>
      <c r="I925" s="90"/>
      <c r="J925" s="90"/>
      <c r="K925" s="90"/>
      <c r="L925" s="90"/>
      <c r="M925" s="90"/>
      <c r="N925" s="150"/>
      <c r="O925" s="152"/>
      <c r="P925" s="90"/>
      <c r="Q925" s="140"/>
      <c r="R925" s="90"/>
      <c r="S925" s="140"/>
      <c r="T925" s="90"/>
      <c r="U925" s="140"/>
      <c r="V925" s="90"/>
      <c r="W925" s="140"/>
      <c r="X925" s="90"/>
      <c r="Y925" s="140"/>
      <c r="Z925" s="90"/>
      <c r="AA925" s="140"/>
      <c r="AB925" s="62"/>
      <c r="AC925" s="140"/>
      <c r="AD925" s="62"/>
      <c r="AE925" s="140"/>
      <c r="AF925" s="189" t="str">
        <f t="shared" si="40"/>
        <v/>
      </c>
      <c r="AG925" s="304" t="b">
        <f t="shared" si="39"/>
        <v>0</v>
      </c>
      <c r="AH925" s="9"/>
      <c r="AI925" s="145">
        <f t="shared" si="38"/>
        <v>0</v>
      </c>
      <c r="AJ925" s="147" t="s">
        <v>36</v>
      </c>
    </row>
    <row r="926" spans="1:36" ht="30" customHeight="1">
      <c r="A926" s="90"/>
      <c r="B926" s="90"/>
      <c r="C926" s="90"/>
      <c r="D926" s="90"/>
      <c r="E926" s="90"/>
      <c r="F926" s="90"/>
      <c r="G926" s="90"/>
      <c r="H926" s="90"/>
      <c r="I926" s="90"/>
      <c r="J926" s="90"/>
      <c r="K926" s="90"/>
      <c r="L926" s="90"/>
      <c r="M926" s="90"/>
      <c r="N926" s="150"/>
      <c r="O926" s="152"/>
      <c r="P926" s="90"/>
      <c r="Q926" s="140"/>
      <c r="R926" s="90"/>
      <c r="S926" s="140"/>
      <c r="T926" s="90"/>
      <c r="U926" s="140"/>
      <c r="V926" s="90"/>
      <c r="W926" s="140"/>
      <c r="X926" s="90"/>
      <c r="Y926" s="140"/>
      <c r="Z926" s="90"/>
      <c r="AA926" s="140"/>
      <c r="AB926" s="62"/>
      <c r="AC926" s="140"/>
      <c r="AD926" s="62"/>
      <c r="AE926" s="140"/>
      <c r="AF926" s="189" t="str">
        <f t="shared" si="40"/>
        <v/>
      </c>
      <c r="AG926" s="304" t="b">
        <f t="shared" si="39"/>
        <v>0</v>
      </c>
      <c r="AH926" s="9"/>
      <c r="AI926" s="145">
        <f t="shared" si="38"/>
        <v>0</v>
      </c>
      <c r="AJ926" s="147" t="s">
        <v>36</v>
      </c>
    </row>
    <row r="927" spans="1:36" ht="30" customHeight="1">
      <c r="A927" s="90"/>
      <c r="B927" s="90"/>
      <c r="C927" s="90"/>
      <c r="D927" s="90"/>
      <c r="E927" s="90"/>
      <c r="F927" s="90"/>
      <c r="G927" s="90"/>
      <c r="H927" s="90"/>
      <c r="I927" s="90"/>
      <c r="J927" s="90"/>
      <c r="K927" s="90"/>
      <c r="L927" s="90"/>
      <c r="M927" s="90"/>
      <c r="N927" s="150"/>
      <c r="O927" s="152"/>
      <c r="P927" s="90"/>
      <c r="Q927" s="140"/>
      <c r="R927" s="90"/>
      <c r="S927" s="140"/>
      <c r="T927" s="90"/>
      <c r="U927" s="140"/>
      <c r="V927" s="90"/>
      <c r="W927" s="140"/>
      <c r="X927" s="90"/>
      <c r="Y927" s="140"/>
      <c r="Z927" s="90"/>
      <c r="AA927" s="140"/>
      <c r="AB927" s="62"/>
      <c r="AC927" s="140"/>
      <c r="AD927" s="62"/>
      <c r="AE927" s="140"/>
      <c r="AF927" s="189" t="str">
        <f t="shared" si="40"/>
        <v/>
      </c>
      <c r="AG927" s="304" t="b">
        <f t="shared" si="39"/>
        <v>0</v>
      </c>
      <c r="AH927" s="9"/>
      <c r="AI927" s="145">
        <f t="shared" si="38"/>
        <v>0</v>
      </c>
      <c r="AJ927" s="147" t="s">
        <v>36</v>
      </c>
    </row>
    <row r="928" spans="1:36" ht="30" customHeight="1">
      <c r="A928" s="90"/>
      <c r="B928" s="90"/>
      <c r="C928" s="90"/>
      <c r="D928" s="90"/>
      <c r="E928" s="90"/>
      <c r="F928" s="90"/>
      <c r="G928" s="90"/>
      <c r="H928" s="90"/>
      <c r="I928" s="90"/>
      <c r="J928" s="90"/>
      <c r="K928" s="90"/>
      <c r="L928" s="90"/>
      <c r="M928" s="90"/>
      <c r="N928" s="150"/>
      <c r="O928" s="152"/>
      <c r="P928" s="90"/>
      <c r="Q928" s="140"/>
      <c r="R928" s="90"/>
      <c r="S928" s="140"/>
      <c r="T928" s="90"/>
      <c r="U928" s="140"/>
      <c r="V928" s="90"/>
      <c r="W928" s="140"/>
      <c r="X928" s="90"/>
      <c r="Y928" s="140"/>
      <c r="Z928" s="90"/>
      <c r="AA928" s="140"/>
      <c r="AB928" s="62"/>
      <c r="AC928" s="140"/>
      <c r="AD928" s="62"/>
      <c r="AE928" s="140"/>
      <c r="AF928" s="189" t="str">
        <f t="shared" si="40"/>
        <v/>
      </c>
      <c r="AG928" s="304" t="b">
        <f t="shared" si="39"/>
        <v>0</v>
      </c>
      <c r="AH928" s="9"/>
      <c r="AI928" s="145">
        <f t="shared" si="38"/>
        <v>0</v>
      </c>
      <c r="AJ928" s="147" t="s">
        <v>36</v>
      </c>
    </row>
    <row r="929" spans="1:36" ht="30" customHeight="1">
      <c r="A929" s="90"/>
      <c r="B929" s="90"/>
      <c r="C929" s="90"/>
      <c r="D929" s="90"/>
      <c r="E929" s="90"/>
      <c r="F929" s="90"/>
      <c r="G929" s="90"/>
      <c r="H929" s="90"/>
      <c r="I929" s="90"/>
      <c r="J929" s="90"/>
      <c r="K929" s="90"/>
      <c r="L929" s="90"/>
      <c r="M929" s="90"/>
      <c r="N929" s="150"/>
      <c r="O929" s="152"/>
      <c r="P929" s="90"/>
      <c r="Q929" s="140"/>
      <c r="R929" s="90"/>
      <c r="S929" s="140"/>
      <c r="T929" s="90"/>
      <c r="U929" s="140"/>
      <c r="V929" s="90"/>
      <c r="W929" s="140"/>
      <c r="X929" s="90"/>
      <c r="Y929" s="140"/>
      <c r="Z929" s="90"/>
      <c r="AA929" s="140"/>
      <c r="AB929" s="62"/>
      <c r="AC929" s="140"/>
      <c r="AD929" s="62"/>
      <c r="AE929" s="140"/>
      <c r="AF929" s="189" t="str">
        <f t="shared" si="40"/>
        <v/>
      </c>
      <c r="AG929" s="304" t="b">
        <f t="shared" si="39"/>
        <v>0</v>
      </c>
      <c r="AH929" s="9"/>
      <c r="AI929" s="145">
        <f t="shared" si="38"/>
        <v>0</v>
      </c>
      <c r="AJ929" s="147" t="s">
        <v>36</v>
      </c>
    </row>
    <row r="930" spans="1:36" ht="30" customHeight="1">
      <c r="A930" s="90"/>
      <c r="B930" s="90"/>
      <c r="C930" s="90"/>
      <c r="D930" s="90"/>
      <c r="E930" s="90"/>
      <c r="F930" s="90"/>
      <c r="G930" s="90"/>
      <c r="H930" s="90"/>
      <c r="I930" s="90"/>
      <c r="J930" s="90"/>
      <c r="K930" s="90"/>
      <c r="L930" s="90"/>
      <c r="M930" s="90"/>
      <c r="N930" s="150"/>
      <c r="O930" s="152"/>
      <c r="P930" s="90"/>
      <c r="Q930" s="140"/>
      <c r="R930" s="90"/>
      <c r="S930" s="140"/>
      <c r="T930" s="90"/>
      <c r="U930" s="140"/>
      <c r="V930" s="90"/>
      <c r="W930" s="140"/>
      <c r="X930" s="90"/>
      <c r="Y930" s="140"/>
      <c r="Z930" s="90"/>
      <c r="AA930" s="140"/>
      <c r="AB930" s="62"/>
      <c r="AC930" s="140"/>
      <c r="AD930" s="62"/>
      <c r="AE930" s="140"/>
      <c r="AF930" s="189" t="str">
        <f t="shared" si="40"/>
        <v/>
      </c>
      <c r="AG930" s="304" t="b">
        <f t="shared" si="39"/>
        <v>0</v>
      </c>
      <c r="AH930" s="9"/>
      <c r="AI930" s="145">
        <f t="shared" si="38"/>
        <v>0</v>
      </c>
      <c r="AJ930" s="147" t="s">
        <v>36</v>
      </c>
    </row>
    <row r="931" spans="1:36" ht="30" customHeight="1">
      <c r="A931" s="90"/>
      <c r="B931" s="90"/>
      <c r="C931" s="90"/>
      <c r="D931" s="90"/>
      <c r="E931" s="90"/>
      <c r="F931" s="90"/>
      <c r="G931" s="90"/>
      <c r="H931" s="90"/>
      <c r="I931" s="90"/>
      <c r="J931" s="90"/>
      <c r="K931" s="90"/>
      <c r="L931" s="90"/>
      <c r="M931" s="90"/>
      <c r="N931" s="150"/>
      <c r="O931" s="152"/>
      <c r="P931" s="90"/>
      <c r="Q931" s="140"/>
      <c r="R931" s="90"/>
      <c r="S931" s="140"/>
      <c r="T931" s="90"/>
      <c r="U931" s="140"/>
      <c r="V931" s="90"/>
      <c r="W931" s="140"/>
      <c r="X931" s="90"/>
      <c r="Y931" s="140"/>
      <c r="Z931" s="90"/>
      <c r="AA931" s="140"/>
      <c r="AB931" s="62"/>
      <c r="AC931" s="140"/>
      <c r="AD931" s="62"/>
      <c r="AE931" s="140"/>
      <c r="AF931" s="189" t="str">
        <f t="shared" si="40"/>
        <v/>
      </c>
      <c r="AG931" s="304" t="b">
        <f t="shared" si="39"/>
        <v>0</v>
      </c>
      <c r="AH931" s="9"/>
      <c r="AI931" s="145">
        <f t="shared" si="38"/>
        <v>0</v>
      </c>
      <c r="AJ931" s="147" t="s">
        <v>36</v>
      </c>
    </row>
    <row r="932" spans="1:36" ht="30" customHeight="1">
      <c r="A932" s="90"/>
      <c r="B932" s="90"/>
      <c r="C932" s="90"/>
      <c r="D932" s="90"/>
      <c r="E932" s="90"/>
      <c r="F932" s="90"/>
      <c r="G932" s="90"/>
      <c r="H932" s="90"/>
      <c r="I932" s="90"/>
      <c r="J932" s="90"/>
      <c r="K932" s="90"/>
      <c r="L932" s="90"/>
      <c r="M932" s="90"/>
      <c r="N932" s="150"/>
      <c r="O932" s="152"/>
      <c r="P932" s="90"/>
      <c r="Q932" s="140"/>
      <c r="R932" s="90"/>
      <c r="S932" s="140"/>
      <c r="T932" s="90"/>
      <c r="U932" s="140"/>
      <c r="V932" s="90"/>
      <c r="W932" s="140"/>
      <c r="X932" s="90"/>
      <c r="Y932" s="140"/>
      <c r="Z932" s="90"/>
      <c r="AA932" s="140"/>
      <c r="AB932" s="62"/>
      <c r="AC932" s="140"/>
      <c r="AD932" s="62"/>
      <c r="AE932" s="140"/>
      <c r="AF932" s="189" t="str">
        <f t="shared" si="40"/>
        <v/>
      </c>
      <c r="AG932" s="304" t="b">
        <f t="shared" si="39"/>
        <v>0</v>
      </c>
      <c r="AH932" s="9"/>
      <c r="AI932" s="145">
        <f t="shared" si="38"/>
        <v>0</v>
      </c>
      <c r="AJ932" s="147" t="s">
        <v>36</v>
      </c>
    </row>
    <row r="933" spans="1:36" ht="30" customHeight="1">
      <c r="A933" s="90"/>
      <c r="B933" s="90"/>
      <c r="C933" s="90"/>
      <c r="D933" s="90"/>
      <c r="E933" s="90"/>
      <c r="F933" s="90"/>
      <c r="G933" s="90"/>
      <c r="H933" s="90"/>
      <c r="I933" s="90"/>
      <c r="J933" s="90"/>
      <c r="K933" s="90"/>
      <c r="L933" s="90"/>
      <c r="M933" s="90"/>
      <c r="N933" s="150"/>
      <c r="O933" s="152"/>
      <c r="P933" s="90"/>
      <c r="Q933" s="140"/>
      <c r="R933" s="90"/>
      <c r="S933" s="140"/>
      <c r="T933" s="90"/>
      <c r="U933" s="140"/>
      <c r="V933" s="90"/>
      <c r="W933" s="140"/>
      <c r="X933" s="90"/>
      <c r="Y933" s="140"/>
      <c r="Z933" s="90"/>
      <c r="AA933" s="140"/>
      <c r="AB933" s="62"/>
      <c r="AC933" s="140"/>
      <c r="AD933" s="62"/>
      <c r="AE933" s="140"/>
      <c r="AF933" s="189" t="str">
        <f t="shared" si="40"/>
        <v/>
      </c>
      <c r="AG933" s="304" t="b">
        <f t="shared" si="39"/>
        <v>0</v>
      </c>
      <c r="AH933" s="9"/>
      <c r="AI933" s="145">
        <f t="shared" si="38"/>
        <v>0</v>
      </c>
      <c r="AJ933" s="147" t="s">
        <v>36</v>
      </c>
    </row>
    <row r="934" spans="1:36" ht="30" customHeight="1">
      <c r="A934" s="90"/>
      <c r="B934" s="90"/>
      <c r="C934" s="90"/>
      <c r="D934" s="90"/>
      <c r="E934" s="90"/>
      <c r="F934" s="90"/>
      <c r="G934" s="90"/>
      <c r="H934" s="90"/>
      <c r="I934" s="90"/>
      <c r="J934" s="90"/>
      <c r="K934" s="90"/>
      <c r="L934" s="90"/>
      <c r="M934" s="90"/>
      <c r="N934" s="150"/>
      <c r="O934" s="152"/>
      <c r="P934" s="90"/>
      <c r="Q934" s="140"/>
      <c r="R934" s="90"/>
      <c r="S934" s="140"/>
      <c r="T934" s="90"/>
      <c r="U934" s="140"/>
      <c r="V934" s="90"/>
      <c r="W934" s="140"/>
      <c r="X934" s="90"/>
      <c r="Y934" s="140"/>
      <c r="Z934" s="90"/>
      <c r="AA934" s="140"/>
      <c r="AB934" s="62"/>
      <c r="AC934" s="140"/>
      <c r="AD934" s="62"/>
      <c r="AE934" s="140"/>
      <c r="AF934" s="189" t="str">
        <f t="shared" si="40"/>
        <v/>
      </c>
      <c r="AG934" s="304" t="b">
        <f t="shared" si="39"/>
        <v>0</v>
      </c>
      <c r="AH934" s="9"/>
      <c r="AI934" s="145">
        <f t="shared" si="38"/>
        <v>0</v>
      </c>
      <c r="AJ934" s="147" t="s">
        <v>36</v>
      </c>
    </row>
    <row r="935" spans="1:36" ht="30" customHeight="1">
      <c r="A935" s="90"/>
      <c r="B935" s="90"/>
      <c r="C935" s="90"/>
      <c r="D935" s="90"/>
      <c r="E935" s="90"/>
      <c r="F935" s="90"/>
      <c r="G935" s="90"/>
      <c r="H935" s="90"/>
      <c r="I935" s="90"/>
      <c r="J935" s="90"/>
      <c r="K935" s="90"/>
      <c r="L935" s="90"/>
      <c r="M935" s="90"/>
      <c r="N935" s="150"/>
      <c r="O935" s="152"/>
      <c r="P935" s="90"/>
      <c r="Q935" s="140"/>
      <c r="R935" s="90"/>
      <c r="S935" s="140"/>
      <c r="T935" s="90"/>
      <c r="U935" s="140"/>
      <c r="V935" s="90"/>
      <c r="W935" s="140"/>
      <c r="X935" s="90"/>
      <c r="Y935" s="140"/>
      <c r="Z935" s="90"/>
      <c r="AA935" s="140"/>
      <c r="AB935" s="62"/>
      <c r="AC935" s="140"/>
      <c r="AD935" s="62"/>
      <c r="AE935" s="140"/>
      <c r="AF935" s="189" t="str">
        <f t="shared" si="40"/>
        <v/>
      </c>
      <c r="AG935" s="304" t="b">
        <f t="shared" si="39"/>
        <v>0</v>
      </c>
      <c r="AH935" s="9"/>
      <c r="AI935" s="145">
        <f t="shared" si="38"/>
        <v>0</v>
      </c>
      <c r="AJ935" s="147" t="s">
        <v>36</v>
      </c>
    </row>
    <row r="936" spans="1:36" ht="30" customHeight="1">
      <c r="A936" s="90"/>
      <c r="B936" s="90"/>
      <c r="C936" s="90"/>
      <c r="D936" s="90"/>
      <c r="E936" s="90"/>
      <c r="F936" s="90"/>
      <c r="G936" s="90"/>
      <c r="H936" s="90"/>
      <c r="I936" s="90"/>
      <c r="J936" s="90"/>
      <c r="K936" s="90"/>
      <c r="L936" s="90"/>
      <c r="M936" s="90"/>
      <c r="N936" s="150"/>
      <c r="O936" s="152"/>
      <c r="P936" s="90"/>
      <c r="Q936" s="140"/>
      <c r="R936" s="90"/>
      <c r="S936" s="140"/>
      <c r="T936" s="90"/>
      <c r="U936" s="140"/>
      <c r="V936" s="90"/>
      <c r="W936" s="140"/>
      <c r="X936" s="90"/>
      <c r="Y936" s="140"/>
      <c r="Z936" s="90"/>
      <c r="AA936" s="140"/>
      <c r="AB936" s="62"/>
      <c r="AC936" s="140"/>
      <c r="AD936" s="62"/>
      <c r="AE936" s="140"/>
      <c r="AF936" s="189" t="str">
        <f t="shared" si="40"/>
        <v/>
      </c>
      <c r="AG936" s="304" t="b">
        <f t="shared" si="39"/>
        <v>0</v>
      </c>
      <c r="AH936" s="9"/>
      <c r="AI936" s="145">
        <f t="shared" si="38"/>
        <v>0</v>
      </c>
      <c r="AJ936" s="147" t="s">
        <v>36</v>
      </c>
    </row>
    <row r="937" spans="1:36" ht="30" customHeight="1">
      <c r="A937" s="90"/>
      <c r="B937" s="90"/>
      <c r="C937" s="90"/>
      <c r="D937" s="90"/>
      <c r="E937" s="90"/>
      <c r="F937" s="90"/>
      <c r="G937" s="90"/>
      <c r="H937" s="90"/>
      <c r="I937" s="90"/>
      <c r="J937" s="90"/>
      <c r="K937" s="90"/>
      <c r="L937" s="90"/>
      <c r="M937" s="90"/>
      <c r="N937" s="150"/>
      <c r="O937" s="152"/>
      <c r="P937" s="90"/>
      <c r="Q937" s="140"/>
      <c r="R937" s="90"/>
      <c r="S937" s="140"/>
      <c r="T937" s="90"/>
      <c r="U937" s="140"/>
      <c r="V937" s="90"/>
      <c r="W937" s="140"/>
      <c r="X937" s="90"/>
      <c r="Y937" s="140"/>
      <c r="Z937" s="90"/>
      <c r="AA937" s="140"/>
      <c r="AB937" s="62"/>
      <c r="AC937" s="140"/>
      <c r="AD937" s="62"/>
      <c r="AE937" s="140"/>
      <c r="AF937" s="189" t="str">
        <f t="shared" si="40"/>
        <v/>
      </c>
      <c r="AG937" s="304" t="b">
        <f t="shared" si="39"/>
        <v>0</v>
      </c>
      <c r="AH937" s="9"/>
      <c r="AI937" s="145">
        <f t="shared" si="38"/>
        <v>0</v>
      </c>
      <c r="AJ937" s="147" t="s">
        <v>36</v>
      </c>
    </row>
    <row r="938" spans="1:36" ht="30" customHeight="1">
      <c r="A938" s="90"/>
      <c r="B938" s="90"/>
      <c r="C938" s="90"/>
      <c r="D938" s="90"/>
      <c r="E938" s="90"/>
      <c r="F938" s="90"/>
      <c r="G938" s="90"/>
      <c r="H938" s="90"/>
      <c r="I938" s="90"/>
      <c r="J938" s="90"/>
      <c r="K938" s="90"/>
      <c r="L938" s="90"/>
      <c r="M938" s="90"/>
      <c r="N938" s="150"/>
      <c r="O938" s="152"/>
      <c r="P938" s="90"/>
      <c r="Q938" s="140"/>
      <c r="R938" s="90"/>
      <c r="S938" s="140"/>
      <c r="T938" s="90"/>
      <c r="U938" s="140"/>
      <c r="V938" s="90"/>
      <c r="W938" s="140"/>
      <c r="X938" s="90"/>
      <c r="Y938" s="140"/>
      <c r="Z938" s="90"/>
      <c r="AA938" s="140"/>
      <c r="AB938" s="62"/>
      <c r="AC938" s="140"/>
      <c r="AD938" s="62"/>
      <c r="AE938" s="140"/>
      <c r="AF938" s="189" t="str">
        <f t="shared" si="40"/>
        <v/>
      </c>
      <c r="AG938" s="304" t="b">
        <f t="shared" si="39"/>
        <v>0</v>
      </c>
      <c r="AH938" s="9"/>
      <c r="AI938" s="145">
        <f t="shared" si="38"/>
        <v>0</v>
      </c>
      <c r="AJ938" s="147" t="s">
        <v>36</v>
      </c>
    </row>
    <row r="939" spans="1:36" ht="30" customHeight="1">
      <c r="A939" s="90"/>
      <c r="B939" s="90"/>
      <c r="C939" s="90"/>
      <c r="D939" s="90"/>
      <c r="E939" s="90"/>
      <c r="F939" s="90"/>
      <c r="G939" s="90"/>
      <c r="H939" s="90"/>
      <c r="I939" s="90"/>
      <c r="J939" s="90"/>
      <c r="K939" s="90"/>
      <c r="L939" s="90"/>
      <c r="M939" s="90"/>
      <c r="N939" s="150"/>
      <c r="O939" s="152"/>
      <c r="P939" s="90"/>
      <c r="Q939" s="140"/>
      <c r="R939" s="90"/>
      <c r="S939" s="140"/>
      <c r="T939" s="90"/>
      <c r="U939" s="140"/>
      <c r="V939" s="90"/>
      <c r="W939" s="140"/>
      <c r="X939" s="90"/>
      <c r="Y939" s="140"/>
      <c r="Z939" s="90"/>
      <c r="AA939" s="140"/>
      <c r="AB939" s="62"/>
      <c r="AC939" s="140"/>
      <c r="AD939" s="62"/>
      <c r="AE939" s="140"/>
      <c r="AF939" s="189" t="str">
        <f t="shared" si="40"/>
        <v/>
      </c>
      <c r="AG939" s="304" t="b">
        <f t="shared" si="39"/>
        <v>0</v>
      </c>
      <c r="AH939" s="9"/>
      <c r="AI939" s="145">
        <f t="shared" si="38"/>
        <v>0</v>
      </c>
      <c r="AJ939" s="147" t="s">
        <v>36</v>
      </c>
    </row>
    <row r="940" spans="1:36" ht="30" customHeight="1">
      <c r="A940" s="90"/>
      <c r="B940" s="90"/>
      <c r="C940" s="90"/>
      <c r="D940" s="90"/>
      <c r="E940" s="90"/>
      <c r="F940" s="90"/>
      <c r="G940" s="90"/>
      <c r="H940" s="90"/>
      <c r="I940" s="90"/>
      <c r="J940" s="90"/>
      <c r="K940" s="90"/>
      <c r="L940" s="90"/>
      <c r="M940" s="90"/>
      <c r="N940" s="150"/>
      <c r="O940" s="152"/>
      <c r="P940" s="90"/>
      <c r="Q940" s="140"/>
      <c r="R940" s="90"/>
      <c r="S940" s="140"/>
      <c r="T940" s="90"/>
      <c r="U940" s="140"/>
      <c r="V940" s="90"/>
      <c r="W940" s="140"/>
      <c r="X940" s="90"/>
      <c r="Y940" s="140"/>
      <c r="Z940" s="90"/>
      <c r="AA940" s="140"/>
      <c r="AB940" s="62"/>
      <c r="AC940" s="140"/>
      <c r="AD940" s="62"/>
      <c r="AE940" s="140"/>
      <c r="AF940" s="189" t="str">
        <f t="shared" si="40"/>
        <v/>
      </c>
      <c r="AG940" s="304" t="b">
        <f t="shared" si="39"/>
        <v>0</v>
      </c>
      <c r="AH940" s="9"/>
      <c r="AI940" s="145">
        <f t="shared" si="38"/>
        <v>0</v>
      </c>
      <c r="AJ940" s="147" t="s">
        <v>36</v>
      </c>
    </row>
    <row r="941" spans="1:36" ht="30" customHeight="1">
      <c r="A941" s="90"/>
      <c r="B941" s="90"/>
      <c r="C941" s="90"/>
      <c r="D941" s="90"/>
      <c r="E941" s="90"/>
      <c r="F941" s="90"/>
      <c r="G941" s="90"/>
      <c r="H941" s="90"/>
      <c r="I941" s="90"/>
      <c r="J941" s="90"/>
      <c r="K941" s="90"/>
      <c r="L941" s="90"/>
      <c r="M941" s="90"/>
      <c r="N941" s="150"/>
      <c r="O941" s="152"/>
      <c r="P941" s="90"/>
      <c r="Q941" s="140"/>
      <c r="R941" s="90"/>
      <c r="S941" s="140"/>
      <c r="T941" s="90"/>
      <c r="U941" s="140"/>
      <c r="V941" s="90"/>
      <c r="W941" s="140"/>
      <c r="X941" s="90"/>
      <c r="Y941" s="140"/>
      <c r="Z941" s="90"/>
      <c r="AA941" s="140"/>
      <c r="AB941" s="62"/>
      <c r="AC941" s="140"/>
      <c r="AD941" s="62"/>
      <c r="AE941" s="140"/>
      <c r="AF941" s="189" t="str">
        <f t="shared" si="40"/>
        <v/>
      </c>
      <c r="AG941" s="304" t="b">
        <f t="shared" si="39"/>
        <v>0</v>
      </c>
      <c r="AH941" s="9"/>
      <c r="AI941" s="145">
        <f t="shared" si="38"/>
        <v>0</v>
      </c>
      <c r="AJ941" s="147" t="s">
        <v>36</v>
      </c>
    </row>
    <row r="942" spans="1:36" ht="30" customHeight="1">
      <c r="A942" s="90"/>
      <c r="B942" s="90"/>
      <c r="C942" s="90"/>
      <c r="D942" s="90"/>
      <c r="E942" s="90"/>
      <c r="F942" s="90"/>
      <c r="G942" s="90"/>
      <c r="H942" s="90"/>
      <c r="I942" s="90"/>
      <c r="J942" s="90"/>
      <c r="K942" s="90"/>
      <c r="L942" s="90"/>
      <c r="M942" s="90"/>
      <c r="N942" s="150"/>
      <c r="O942" s="152"/>
      <c r="P942" s="90"/>
      <c r="Q942" s="140"/>
      <c r="R942" s="90"/>
      <c r="S942" s="140"/>
      <c r="T942" s="90"/>
      <c r="U942" s="140"/>
      <c r="V942" s="90"/>
      <c r="W942" s="140"/>
      <c r="X942" s="90"/>
      <c r="Y942" s="140"/>
      <c r="Z942" s="90"/>
      <c r="AA942" s="140"/>
      <c r="AB942" s="62"/>
      <c r="AC942" s="140"/>
      <c r="AD942" s="62"/>
      <c r="AE942" s="140"/>
      <c r="AF942" s="189" t="str">
        <f t="shared" si="40"/>
        <v/>
      </c>
      <c r="AG942" s="304" t="b">
        <f t="shared" si="39"/>
        <v>0</v>
      </c>
      <c r="AH942" s="9"/>
      <c r="AI942" s="145">
        <f t="shared" si="38"/>
        <v>0</v>
      </c>
      <c r="AJ942" s="147" t="s">
        <v>36</v>
      </c>
    </row>
    <row r="943" spans="1:36" ht="30" customHeight="1">
      <c r="A943" s="90"/>
      <c r="B943" s="90"/>
      <c r="C943" s="90"/>
      <c r="D943" s="90"/>
      <c r="E943" s="90"/>
      <c r="F943" s="90"/>
      <c r="G943" s="90"/>
      <c r="H943" s="90"/>
      <c r="I943" s="90"/>
      <c r="J943" s="90"/>
      <c r="K943" s="90"/>
      <c r="L943" s="90"/>
      <c r="M943" s="90"/>
      <c r="N943" s="150"/>
      <c r="O943" s="152"/>
      <c r="P943" s="90"/>
      <c r="Q943" s="140"/>
      <c r="R943" s="90"/>
      <c r="S943" s="140"/>
      <c r="T943" s="90"/>
      <c r="U943" s="140"/>
      <c r="V943" s="90"/>
      <c r="W943" s="140"/>
      <c r="X943" s="90"/>
      <c r="Y943" s="140"/>
      <c r="Z943" s="90"/>
      <c r="AA943" s="140"/>
      <c r="AB943" s="62"/>
      <c r="AC943" s="140"/>
      <c r="AD943" s="62"/>
      <c r="AE943" s="140"/>
      <c r="AF943" s="189" t="str">
        <f t="shared" si="40"/>
        <v/>
      </c>
      <c r="AG943" s="304" t="b">
        <f t="shared" si="39"/>
        <v>0</v>
      </c>
      <c r="AH943" s="9"/>
      <c r="AI943" s="145">
        <f t="shared" si="38"/>
        <v>0</v>
      </c>
      <c r="AJ943" s="147" t="s">
        <v>36</v>
      </c>
    </row>
    <row r="944" spans="1:36" ht="30" customHeight="1">
      <c r="A944" s="90"/>
      <c r="B944" s="90"/>
      <c r="C944" s="90"/>
      <c r="D944" s="90"/>
      <c r="E944" s="90"/>
      <c r="F944" s="90"/>
      <c r="G944" s="90"/>
      <c r="H944" s="90"/>
      <c r="I944" s="90"/>
      <c r="J944" s="90"/>
      <c r="K944" s="90"/>
      <c r="L944" s="90"/>
      <c r="M944" s="90"/>
      <c r="N944" s="150"/>
      <c r="O944" s="152"/>
      <c r="P944" s="90"/>
      <c r="Q944" s="140"/>
      <c r="R944" s="90"/>
      <c r="S944" s="140"/>
      <c r="T944" s="90"/>
      <c r="U944" s="140"/>
      <c r="V944" s="90"/>
      <c r="W944" s="140"/>
      <c r="X944" s="90"/>
      <c r="Y944" s="140"/>
      <c r="Z944" s="90"/>
      <c r="AA944" s="140"/>
      <c r="AB944" s="62"/>
      <c r="AC944" s="140"/>
      <c r="AD944" s="62"/>
      <c r="AE944" s="140"/>
      <c r="AF944" s="189" t="str">
        <f t="shared" si="40"/>
        <v/>
      </c>
      <c r="AG944" s="304" t="b">
        <f t="shared" si="39"/>
        <v>0</v>
      </c>
      <c r="AH944" s="9"/>
      <c r="AI944" s="145">
        <f t="shared" si="38"/>
        <v>0</v>
      </c>
      <c r="AJ944" s="147" t="s">
        <v>36</v>
      </c>
    </row>
    <row r="945" spans="1:36" ht="30" customHeight="1">
      <c r="A945" s="90"/>
      <c r="B945" s="90"/>
      <c r="C945" s="90"/>
      <c r="D945" s="90"/>
      <c r="E945" s="90"/>
      <c r="F945" s="90"/>
      <c r="G945" s="90"/>
      <c r="H945" s="90"/>
      <c r="I945" s="90"/>
      <c r="J945" s="90"/>
      <c r="K945" s="90"/>
      <c r="L945" s="90"/>
      <c r="M945" s="90"/>
      <c r="N945" s="150"/>
      <c r="O945" s="152"/>
      <c r="P945" s="90"/>
      <c r="Q945" s="140"/>
      <c r="R945" s="90"/>
      <c r="S945" s="140"/>
      <c r="T945" s="90"/>
      <c r="U945" s="140"/>
      <c r="V945" s="90"/>
      <c r="W945" s="140"/>
      <c r="X945" s="90"/>
      <c r="Y945" s="140"/>
      <c r="Z945" s="90"/>
      <c r="AA945" s="140"/>
      <c r="AB945" s="62"/>
      <c r="AC945" s="140"/>
      <c r="AD945" s="62"/>
      <c r="AE945" s="140"/>
      <c r="AF945" s="189" t="str">
        <f t="shared" si="40"/>
        <v/>
      </c>
      <c r="AG945" s="304" t="b">
        <f t="shared" si="39"/>
        <v>0</v>
      </c>
      <c r="AH945" s="9"/>
      <c r="AI945" s="145">
        <f t="shared" si="38"/>
        <v>0</v>
      </c>
      <c r="AJ945" s="147" t="s">
        <v>36</v>
      </c>
    </row>
    <row r="946" spans="1:36" ht="30" customHeight="1">
      <c r="A946" s="90"/>
      <c r="B946" s="90"/>
      <c r="C946" s="90"/>
      <c r="D946" s="90"/>
      <c r="E946" s="90"/>
      <c r="F946" s="90"/>
      <c r="G946" s="90"/>
      <c r="H946" s="90"/>
      <c r="I946" s="90"/>
      <c r="J946" s="90"/>
      <c r="K946" s="90"/>
      <c r="L946" s="90"/>
      <c r="M946" s="90"/>
      <c r="N946" s="150"/>
      <c r="O946" s="152"/>
      <c r="P946" s="90"/>
      <c r="Q946" s="140"/>
      <c r="R946" s="90"/>
      <c r="S946" s="140"/>
      <c r="T946" s="90"/>
      <c r="U946" s="140"/>
      <c r="V946" s="90"/>
      <c r="W946" s="140"/>
      <c r="X946" s="90"/>
      <c r="Y946" s="140"/>
      <c r="Z946" s="90"/>
      <c r="AA946" s="140"/>
      <c r="AB946" s="62"/>
      <c r="AC946" s="140"/>
      <c r="AD946" s="62"/>
      <c r="AE946" s="140"/>
      <c r="AF946" s="189" t="str">
        <f t="shared" si="40"/>
        <v/>
      </c>
      <c r="AG946" s="304" t="b">
        <f t="shared" si="39"/>
        <v>0</v>
      </c>
      <c r="AH946" s="9"/>
      <c r="AI946" s="145">
        <f t="shared" si="38"/>
        <v>0</v>
      </c>
      <c r="AJ946" s="147" t="s">
        <v>36</v>
      </c>
    </row>
    <row r="947" spans="1:36" ht="30" customHeight="1">
      <c r="A947" s="90"/>
      <c r="B947" s="90"/>
      <c r="C947" s="90"/>
      <c r="D947" s="90"/>
      <c r="E947" s="90"/>
      <c r="F947" s="90"/>
      <c r="G947" s="90"/>
      <c r="H947" s="90"/>
      <c r="I947" s="90"/>
      <c r="J947" s="90"/>
      <c r="K947" s="90"/>
      <c r="L947" s="90"/>
      <c r="M947" s="90"/>
      <c r="N947" s="150"/>
      <c r="O947" s="152"/>
      <c r="P947" s="90"/>
      <c r="Q947" s="140"/>
      <c r="R947" s="90"/>
      <c r="S947" s="140"/>
      <c r="T947" s="90"/>
      <c r="U947" s="140"/>
      <c r="V947" s="90"/>
      <c r="W947" s="140"/>
      <c r="X947" s="90"/>
      <c r="Y947" s="140"/>
      <c r="Z947" s="90"/>
      <c r="AA947" s="140"/>
      <c r="AB947" s="62"/>
      <c r="AC947" s="140"/>
      <c r="AD947" s="62"/>
      <c r="AE947" s="140"/>
      <c r="AF947" s="189" t="str">
        <f t="shared" si="40"/>
        <v/>
      </c>
      <c r="AG947" s="304" t="b">
        <f t="shared" si="39"/>
        <v>0</v>
      </c>
      <c r="AH947" s="9"/>
      <c r="AI947" s="145">
        <f t="shared" si="38"/>
        <v>0</v>
      </c>
      <c r="AJ947" s="147" t="s">
        <v>36</v>
      </c>
    </row>
    <row r="948" spans="1:36" ht="30" customHeight="1">
      <c r="A948" s="90"/>
      <c r="B948" s="90"/>
      <c r="C948" s="90"/>
      <c r="D948" s="90"/>
      <c r="E948" s="90"/>
      <c r="F948" s="90"/>
      <c r="G948" s="90"/>
      <c r="H948" s="90"/>
      <c r="I948" s="90"/>
      <c r="J948" s="90"/>
      <c r="K948" s="90"/>
      <c r="L948" s="90"/>
      <c r="M948" s="90"/>
      <c r="N948" s="150"/>
      <c r="O948" s="152"/>
      <c r="P948" s="90"/>
      <c r="Q948" s="140"/>
      <c r="R948" s="90"/>
      <c r="S948" s="140"/>
      <c r="T948" s="90"/>
      <c r="U948" s="140"/>
      <c r="V948" s="90"/>
      <c r="W948" s="140"/>
      <c r="X948" s="90"/>
      <c r="Y948" s="140"/>
      <c r="Z948" s="90"/>
      <c r="AA948" s="140"/>
      <c r="AB948" s="62"/>
      <c r="AC948" s="140"/>
      <c r="AD948" s="62"/>
      <c r="AE948" s="140"/>
      <c r="AF948" s="189" t="str">
        <f t="shared" si="40"/>
        <v/>
      </c>
      <c r="AG948" s="304" t="b">
        <f t="shared" si="39"/>
        <v>0</v>
      </c>
      <c r="AH948" s="9"/>
      <c r="AI948" s="145">
        <f t="shared" si="38"/>
        <v>0</v>
      </c>
      <c r="AJ948" s="147" t="s">
        <v>36</v>
      </c>
    </row>
    <row r="949" spans="1:36" ht="30" customHeight="1">
      <c r="A949" s="90"/>
      <c r="B949" s="90"/>
      <c r="C949" s="90"/>
      <c r="D949" s="90"/>
      <c r="E949" s="90"/>
      <c r="F949" s="90"/>
      <c r="G949" s="90"/>
      <c r="H949" s="90"/>
      <c r="I949" s="90"/>
      <c r="J949" s="90"/>
      <c r="K949" s="90"/>
      <c r="L949" s="90"/>
      <c r="M949" s="90"/>
      <c r="N949" s="150"/>
      <c r="O949" s="152"/>
      <c r="P949" s="90"/>
      <c r="Q949" s="140"/>
      <c r="R949" s="90"/>
      <c r="S949" s="140"/>
      <c r="T949" s="90"/>
      <c r="U949" s="140"/>
      <c r="V949" s="90"/>
      <c r="W949" s="140"/>
      <c r="X949" s="90"/>
      <c r="Y949" s="140"/>
      <c r="Z949" s="90"/>
      <c r="AA949" s="140"/>
      <c r="AB949" s="62"/>
      <c r="AC949" s="140"/>
      <c r="AD949" s="62"/>
      <c r="AE949" s="140"/>
      <c r="AF949" s="189" t="str">
        <f t="shared" si="40"/>
        <v/>
      </c>
      <c r="AG949" s="304" t="b">
        <f t="shared" si="39"/>
        <v>0</v>
      </c>
      <c r="AH949" s="9"/>
      <c r="AI949" s="145">
        <f t="shared" si="38"/>
        <v>0</v>
      </c>
      <c r="AJ949" s="147" t="s">
        <v>36</v>
      </c>
    </row>
    <row r="950" spans="1:36" ht="30" customHeight="1">
      <c r="A950" s="90"/>
      <c r="B950" s="90"/>
      <c r="C950" s="90"/>
      <c r="D950" s="90"/>
      <c r="E950" s="90"/>
      <c r="F950" s="90"/>
      <c r="G950" s="90"/>
      <c r="H950" s="90"/>
      <c r="I950" s="90"/>
      <c r="J950" s="90"/>
      <c r="K950" s="90"/>
      <c r="L950" s="90"/>
      <c r="M950" s="90"/>
      <c r="N950" s="150"/>
      <c r="O950" s="152"/>
      <c r="P950" s="90"/>
      <c r="Q950" s="140"/>
      <c r="R950" s="90"/>
      <c r="S950" s="140"/>
      <c r="T950" s="90"/>
      <c r="U950" s="140"/>
      <c r="V950" s="90"/>
      <c r="W950" s="140"/>
      <c r="X950" s="90"/>
      <c r="Y950" s="140"/>
      <c r="Z950" s="90"/>
      <c r="AA950" s="140"/>
      <c r="AB950" s="62"/>
      <c r="AC950" s="140"/>
      <c r="AD950" s="62"/>
      <c r="AE950" s="140"/>
      <c r="AF950" s="189" t="str">
        <f t="shared" si="40"/>
        <v/>
      </c>
      <c r="AG950" s="304" t="b">
        <f t="shared" si="39"/>
        <v>0</v>
      </c>
      <c r="AH950" s="9"/>
      <c r="AI950" s="145">
        <f t="shared" si="38"/>
        <v>0</v>
      </c>
      <c r="AJ950" s="147" t="s">
        <v>36</v>
      </c>
    </row>
    <row r="951" spans="1:36" ht="30" customHeight="1">
      <c r="A951" s="90"/>
      <c r="B951" s="90"/>
      <c r="C951" s="90"/>
      <c r="D951" s="90"/>
      <c r="E951" s="90"/>
      <c r="F951" s="90"/>
      <c r="G951" s="90"/>
      <c r="H951" s="90"/>
      <c r="I951" s="90"/>
      <c r="J951" s="90"/>
      <c r="K951" s="90"/>
      <c r="L951" s="90"/>
      <c r="M951" s="90"/>
      <c r="N951" s="150"/>
      <c r="O951" s="152"/>
      <c r="P951" s="90"/>
      <c r="Q951" s="140"/>
      <c r="R951" s="90"/>
      <c r="S951" s="140"/>
      <c r="T951" s="90"/>
      <c r="U951" s="140"/>
      <c r="V951" s="90"/>
      <c r="W951" s="140"/>
      <c r="X951" s="90"/>
      <c r="Y951" s="140"/>
      <c r="Z951" s="90"/>
      <c r="AA951" s="140"/>
      <c r="AB951" s="62"/>
      <c r="AC951" s="140"/>
      <c r="AD951" s="62"/>
      <c r="AE951" s="140"/>
      <c r="AF951" s="189" t="str">
        <f t="shared" si="40"/>
        <v/>
      </c>
      <c r="AG951" s="304" t="b">
        <f t="shared" si="39"/>
        <v>0</v>
      </c>
      <c r="AH951" s="9"/>
      <c r="AI951" s="145">
        <f t="shared" si="38"/>
        <v>0</v>
      </c>
      <c r="AJ951" s="147" t="s">
        <v>36</v>
      </c>
    </row>
    <row r="952" spans="1:36" ht="30" customHeight="1">
      <c r="A952" s="90"/>
      <c r="B952" s="90"/>
      <c r="C952" s="90"/>
      <c r="D952" s="90"/>
      <c r="E952" s="90"/>
      <c r="F952" s="90"/>
      <c r="G952" s="90"/>
      <c r="H952" s="90"/>
      <c r="I952" s="90"/>
      <c r="J952" s="90"/>
      <c r="K952" s="90"/>
      <c r="L952" s="90"/>
      <c r="M952" s="90"/>
      <c r="N952" s="150"/>
      <c r="O952" s="152"/>
      <c r="P952" s="90"/>
      <c r="Q952" s="140"/>
      <c r="R952" s="90"/>
      <c r="S952" s="140"/>
      <c r="T952" s="90"/>
      <c r="U952" s="140"/>
      <c r="V952" s="90"/>
      <c r="W952" s="140"/>
      <c r="X952" s="90"/>
      <c r="Y952" s="140"/>
      <c r="Z952" s="90"/>
      <c r="AA952" s="140"/>
      <c r="AB952" s="62"/>
      <c r="AC952" s="140"/>
      <c r="AD952" s="62"/>
      <c r="AE952" s="140"/>
      <c r="AF952" s="189" t="str">
        <f t="shared" si="40"/>
        <v/>
      </c>
      <c r="AG952" s="304" t="b">
        <f t="shared" si="39"/>
        <v>0</v>
      </c>
      <c r="AH952" s="9"/>
      <c r="AI952" s="145">
        <f t="shared" ref="AI952:AI971" si="41">E952</f>
        <v>0</v>
      </c>
      <c r="AJ952" s="147" t="s">
        <v>36</v>
      </c>
    </row>
    <row r="953" spans="1:36" ht="30" customHeight="1">
      <c r="A953" s="90"/>
      <c r="B953" s="90"/>
      <c r="C953" s="90"/>
      <c r="D953" s="90"/>
      <c r="E953" s="90"/>
      <c r="F953" s="90"/>
      <c r="G953" s="90"/>
      <c r="H953" s="90"/>
      <c r="I953" s="90"/>
      <c r="J953" s="90"/>
      <c r="K953" s="90"/>
      <c r="L953" s="90"/>
      <c r="M953" s="90"/>
      <c r="N953" s="150"/>
      <c r="O953" s="152"/>
      <c r="P953" s="90"/>
      <c r="Q953" s="140"/>
      <c r="R953" s="90"/>
      <c r="S953" s="140"/>
      <c r="T953" s="90"/>
      <c r="U953" s="140"/>
      <c r="V953" s="90"/>
      <c r="W953" s="140"/>
      <c r="X953" s="90"/>
      <c r="Y953" s="140"/>
      <c r="Z953" s="90"/>
      <c r="AA953" s="140"/>
      <c r="AB953" s="62"/>
      <c r="AC953" s="140"/>
      <c r="AD953" s="62"/>
      <c r="AE953" s="140"/>
      <c r="AF953" s="189" t="str">
        <f t="shared" si="40"/>
        <v/>
      </c>
      <c r="AG953" s="304" t="b">
        <f t="shared" si="39"/>
        <v>0</v>
      </c>
      <c r="AH953" s="9"/>
      <c r="AI953" s="145">
        <f t="shared" si="41"/>
        <v>0</v>
      </c>
      <c r="AJ953" s="147" t="s">
        <v>36</v>
      </c>
    </row>
    <row r="954" spans="1:36" ht="30" customHeight="1">
      <c r="A954" s="90"/>
      <c r="B954" s="90"/>
      <c r="C954" s="90"/>
      <c r="D954" s="90"/>
      <c r="E954" s="90"/>
      <c r="F954" s="90"/>
      <c r="G954" s="90"/>
      <c r="H954" s="90"/>
      <c r="I954" s="90"/>
      <c r="J954" s="90"/>
      <c r="K954" s="90"/>
      <c r="L954" s="90"/>
      <c r="M954" s="90"/>
      <c r="N954" s="150"/>
      <c r="O954" s="152"/>
      <c r="P954" s="90"/>
      <c r="Q954" s="140"/>
      <c r="R954" s="90"/>
      <c r="S954" s="140"/>
      <c r="T954" s="90"/>
      <c r="U954" s="140"/>
      <c r="V954" s="90"/>
      <c r="W954" s="140"/>
      <c r="X954" s="90"/>
      <c r="Y954" s="140"/>
      <c r="Z954" s="90"/>
      <c r="AA954" s="140"/>
      <c r="AB954" s="62"/>
      <c r="AC954" s="140"/>
      <c r="AD954" s="62"/>
      <c r="AE954" s="140"/>
      <c r="AF954" s="189" t="str">
        <f t="shared" si="40"/>
        <v/>
      </c>
      <c r="AG954" s="304" t="b">
        <f t="shared" si="39"/>
        <v>0</v>
      </c>
      <c r="AH954" s="9"/>
      <c r="AI954" s="145">
        <f t="shared" si="41"/>
        <v>0</v>
      </c>
      <c r="AJ954" s="147" t="s">
        <v>36</v>
      </c>
    </row>
    <row r="955" spans="1:36" ht="30" customHeight="1">
      <c r="A955" s="90"/>
      <c r="B955" s="90"/>
      <c r="C955" s="90"/>
      <c r="D955" s="90"/>
      <c r="E955" s="90"/>
      <c r="F955" s="90"/>
      <c r="G955" s="90"/>
      <c r="H955" s="90"/>
      <c r="I955" s="90"/>
      <c r="J955" s="90"/>
      <c r="K955" s="90"/>
      <c r="L955" s="90"/>
      <c r="M955" s="90"/>
      <c r="N955" s="150"/>
      <c r="O955" s="152"/>
      <c r="P955" s="90"/>
      <c r="Q955" s="140"/>
      <c r="R955" s="90"/>
      <c r="S955" s="140"/>
      <c r="T955" s="90"/>
      <c r="U955" s="140"/>
      <c r="V955" s="90"/>
      <c r="W955" s="140"/>
      <c r="X955" s="90"/>
      <c r="Y955" s="140"/>
      <c r="Z955" s="90"/>
      <c r="AA955" s="140"/>
      <c r="AB955" s="62"/>
      <c r="AC955" s="140"/>
      <c r="AD955" s="62"/>
      <c r="AE955" s="140"/>
      <c r="AF955" s="189" t="str">
        <f t="shared" si="40"/>
        <v/>
      </c>
      <c r="AG955" s="304" t="b">
        <f t="shared" si="39"/>
        <v>0</v>
      </c>
      <c r="AH955" s="9"/>
      <c r="AI955" s="145">
        <f t="shared" si="41"/>
        <v>0</v>
      </c>
      <c r="AJ955" s="147" t="s">
        <v>36</v>
      </c>
    </row>
    <row r="956" spans="1:36" ht="30" customHeight="1">
      <c r="A956" s="90"/>
      <c r="B956" s="90"/>
      <c r="C956" s="90"/>
      <c r="D956" s="90"/>
      <c r="E956" s="90"/>
      <c r="F956" s="90"/>
      <c r="G956" s="90"/>
      <c r="H956" s="90"/>
      <c r="I956" s="90"/>
      <c r="J956" s="90"/>
      <c r="K956" s="90"/>
      <c r="L956" s="90"/>
      <c r="M956" s="90"/>
      <c r="N956" s="150"/>
      <c r="O956" s="152"/>
      <c r="P956" s="90"/>
      <c r="Q956" s="140"/>
      <c r="R956" s="90"/>
      <c r="S956" s="140"/>
      <c r="T956" s="90"/>
      <c r="U956" s="140"/>
      <c r="V956" s="90"/>
      <c r="W956" s="140"/>
      <c r="X956" s="90"/>
      <c r="Y956" s="140"/>
      <c r="Z956" s="90"/>
      <c r="AA956" s="140"/>
      <c r="AB956" s="62"/>
      <c r="AC956" s="140"/>
      <c r="AD956" s="62"/>
      <c r="AE956" s="140"/>
      <c r="AF956" s="189" t="str">
        <f t="shared" si="40"/>
        <v/>
      </c>
      <c r="AG956" s="304" t="b">
        <f t="shared" si="39"/>
        <v>0</v>
      </c>
      <c r="AH956" s="9"/>
      <c r="AI956" s="145">
        <f t="shared" si="41"/>
        <v>0</v>
      </c>
      <c r="AJ956" s="147" t="s">
        <v>36</v>
      </c>
    </row>
    <row r="957" spans="1:36" ht="30" customHeight="1">
      <c r="A957" s="90"/>
      <c r="B957" s="90"/>
      <c r="C957" s="90"/>
      <c r="D957" s="90"/>
      <c r="E957" s="90"/>
      <c r="F957" s="90"/>
      <c r="G957" s="90"/>
      <c r="H957" s="90"/>
      <c r="I957" s="90"/>
      <c r="J957" s="90"/>
      <c r="K957" s="90"/>
      <c r="L957" s="90"/>
      <c r="M957" s="90"/>
      <c r="N957" s="150"/>
      <c r="O957" s="152"/>
      <c r="P957" s="90"/>
      <c r="Q957" s="140"/>
      <c r="R957" s="90"/>
      <c r="S957" s="140"/>
      <c r="T957" s="90"/>
      <c r="U957" s="140"/>
      <c r="V957" s="90"/>
      <c r="W957" s="140"/>
      <c r="X957" s="90"/>
      <c r="Y957" s="140"/>
      <c r="Z957" s="90"/>
      <c r="AA957" s="140"/>
      <c r="AB957" s="62"/>
      <c r="AC957" s="140"/>
      <c r="AD957" s="62"/>
      <c r="AE957" s="140"/>
      <c r="AF957" s="189" t="str">
        <f t="shared" si="40"/>
        <v/>
      </c>
      <c r="AG957" s="304" t="b">
        <f t="shared" si="39"/>
        <v>0</v>
      </c>
      <c r="AH957" s="9"/>
      <c r="AI957" s="145">
        <f t="shared" si="41"/>
        <v>0</v>
      </c>
      <c r="AJ957" s="147" t="s">
        <v>36</v>
      </c>
    </row>
    <row r="958" spans="1:36" ht="30" customHeight="1">
      <c r="A958" s="90"/>
      <c r="B958" s="90"/>
      <c r="C958" s="90"/>
      <c r="D958" s="90"/>
      <c r="E958" s="90"/>
      <c r="F958" s="90"/>
      <c r="G958" s="90"/>
      <c r="H958" s="90"/>
      <c r="I958" s="90"/>
      <c r="J958" s="90"/>
      <c r="K958" s="90"/>
      <c r="L958" s="90"/>
      <c r="M958" s="90"/>
      <c r="N958" s="150"/>
      <c r="O958" s="152"/>
      <c r="P958" s="90"/>
      <c r="Q958" s="140"/>
      <c r="R958" s="90"/>
      <c r="S958" s="140"/>
      <c r="T958" s="90"/>
      <c r="U958" s="140"/>
      <c r="V958" s="90"/>
      <c r="W958" s="140"/>
      <c r="X958" s="90"/>
      <c r="Y958" s="140"/>
      <c r="Z958" s="90"/>
      <c r="AA958" s="140"/>
      <c r="AB958" s="62"/>
      <c r="AC958" s="140"/>
      <c r="AD958" s="62"/>
      <c r="AE958" s="140"/>
      <c r="AF958" s="189" t="str">
        <f t="shared" si="40"/>
        <v/>
      </c>
      <c r="AG958" s="304" t="b">
        <f t="shared" si="39"/>
        <v>0</v>
      </c>
      <c r="AH958" s="9"/>
      <c r="AI958" s="145">
        <f t="shared" si="41"/>
        <v>0</v>
      </c>
      <c r="AJ958" s="147" t="s">
        <v>36</v>
      </c>
    </row>
    <row r="959" spans="1:36" ht="30" customHeight="1">
      <c r="A959" s="90"/>
      <c r="B959" s="90"/>
      <c r="C959" s="90"/>
      <c r="D959" s="90"/>
      <c r="E959" s="90"/>
      <c r="F959" s="90"/>
      <c r="G959" s="90"/>
      <c r="H959" s="90"/>
      <c r="I959" s="90"/>
      <c r="J959" s="90"/>
      <c r="K959" s="90"/>
      <c r="L959" s="90"/>
      <c r="M959" s="90"/>
      <c r="N959" s="150"/>
      <c r="O959" s="152"/>
      <c r="P959" s="90"/>
      <c r="Q959" s="140"/>
      <c r="R959" s="90"/>
      <c r="S959" s="140"/>
      <c r="T959" s="90"/>
      <c r="U959" s="140"/>
      <c r="V959" s="90"/>
      <c r="W959" s="140"/>
      <c r="X959" s="90"/>
      <c r="Y959" s="140"/>
      <c r="Z959" s="90"/>
      <c r="AA959" s="140"/>
      <c r="AB959" s="62"/>
      <c r="AC959" s="140"/>
      <c r="AD959" s="62"/>
      <c r="AE959" s="140"/>
      <c r="AF959" s="189" t="str">
        <f t="shared" si="40"/>
        <v/>
      </c>
      <c r="AG959" s="304" t="b">
        <f t="shared" si="39"/>
        <v>0</v>
      </c>
      <c r="AH959" s="9"/>
      <c r="AI959" s="145">
        <f t="shared" si="41"/>
        <v>0</v>
      </c>
      <c r="AJ959" s="147" t="s">
        <v>36</v>
      </c>
    </row>
    <row r="960" spans="1:36" ht="30" customHeight="1">
      <c r="A960" s="90"/>
      <c r="B960" s="90"/>
      <c r="C960" s="90"/>
      <c r="D960" s="90"/>
      <c r="E960" s="90"/>
      <c r="F960" s="90"/>
      <c r="G960" s="90"/>
      <c r="H960" s="90"/>
      <c r="I960" s="90"/>
      <c r="J960" s="90"/>
      <c r="K960" s="90"/>
      <c r="L960" s="90"/>
      <c r="M960" s="90"/>
      <c r="N960" s="150"/>
      <c r="O960" s="152"/>
      <c r="P960" s="90"/>
      <c r="Q960" s="140"/>
      <c r="R960" s="90"/>
      <c r="S960" s="140"/>
      <c r="T960" s="90"/>
      <c r="U960" s="140"/>
      <c r="V960" s="90"/>
      <c r="W960" s="140"/>
      <c r="X960" s="90"/>
      <c r="Y960" s="140"/>
      <c r="Z960" s="90"/>
      <c r="AA960" s="140"/>
      <c r="AB960" s="62"/>
      <c r="AC960" s="140"/>
      <c r="AD960" s="62"/>
      <c r="AE960" s="140"/>
      <c r="AF960" s="189" t="str">
        <f t="shared" si="40"/>
        <v/>
      </c>
      <c r="AG960" s="304" t="b">
        <f t="shared" si="39"/>
        <v>0</v>
      </c>
      <c r="AH960" s="9"/>
      <c r="AI960" s="145">
        <f t="shared" si="41"/>
        <v>0</v>
      </c>
      <c r="AJ960" s="147" t="s">
        <v>36</v>
      </c>
    </row>
    <row r="961" spans="1:36" ht="30" customHeight="1">
      <c r="A961" s="90"/>
      <c r="B961" s="90"/>
      <c r="C961" s="90"/>
      <c r="D961" s="90"/>
      <c r="E961" s="90"/>
      <c r="F961" s="90"/>
      <c r="G961" s="90"/>
      <c r="H961" s="90"/>
      <c r="I961" s="90"/>
      <c r="J961" s="90"/>
      <c r="K961" s="90"/>
      <c r="L961" s="90"/>
      <c r="M961" s="90"/>
      <c r="N961" s="150"/>
      <c r="O961" s="152"/>
      <c r="P961" s="90"/>
      <c r="Q961" s="140"/>
      <c r="R961" s="90"/>
      <c r="S961" s="140"/>
      <c r="T961" s="90"/>
      <c r="U961" s="140"/>
      <c r="V961" s="90"/>
      <c r="W961" s="140"/>
      <c r="X961" s="90"/>
      <c r="Y961" s="140"/>
      <c r="Z961" s="90"/>
      <c r="AA961" s="140"/>
      <c r="AB961" s="62"/>
      <c r="AC961" s="140"/>
      <c r="AD961" s="62"/>
      <c r="AE961" s="140"/>
      <c r="AF961" s="189" t="str">
        <f t="shared" si="40"/>
        <v/>
      </c>
      <c r="AG961" s="304" t="b">
        <f t="shared" si="39"/>
        <v>0</v>
      </c>
      <c r="AH961" s="9"/>
      <c r="AI961" s="145">
        <f t="shared" si="41"/>
        <v>0</v>
      </c>
      <c r="AJ961" s="147" t="s">
        <v>36</v>
      </c>
    </row>
    <row r="962" spans="1:36" ht="30" customHeight="1">
      <c r="A962" s="90"/>
      <c r="B962" s="90"/>
      <c r="C962" s="90"/>
      <c r="D962" s="90"/>
      <c r="E962" s="90"/>
      <c r="F962" s="90"/>
      <c r="G962" s="90"/>
      <c r="H962" s="90"/>
      <c r="I962" s="90"/>
      <c r="J962" s="90"/>
      <c r="K962" s="90"/>
      <c r="L962" s="90"/>
      <c r="M962" s="90"/>
      <c r="N962" s="150"/>
      <c r="O962" s="152"/>
      <c r="P962" s="90"/>
      <c r="Q962" s="140"/>
      <c r="R962" s="90"/>
      <c r="S962" s="140"/>
      <c r="T962" s="90"/>
      <c r="U962" s="140"/>
      <c r="V962" s="90"/>
      <c r="W962" s="140"/>
      <c r="X962" s="90"/>
      <c r="Y962" s="140"/>
      <c r="Z962" s="90"/>
      <c r="AA962" s="140"/>
      <c r="AB962" s="62"/>
      <c r="AC962" s="140"/>
      <c r="AD962" s="62"/>
      <c r="AE962" s="140"/>
      <c r="AF962" s="189" t="str">
        <f t="shared" si="40"/>
        <v/>
      </c>
      <c r="AG962" s="304" t="b">
        <f t="shared" ref="AG962:AG1000" si="42">IF(AND(AE962="C",AF962="C"),"UTILIZOU O PDA CORRETAMENTE",IF(AND(AE962="C",AF962="NC"),"UTILIZOU O PDA CORRETAMENTE. NÃO HÁ FOTOS DE TODAS AS ETAPAS",IF(AND(AE962="NC",AF962="NC"),"NÃO UTILIZOU O PDA",IF(AND(AE962="NA",AF962="NA"),"NÃO AVALIADO POR FALHA DE SINCRONISMO"))))</f>
        <v>0</v>
      </c>
      <c r="AH962" s="9"/>
      <c r="AI962" s="145">
        <f t="shared" si="41"/>
        <v>0</v>
      </c>
      <c r="AJ962" s="147" t="s">
        <v>36</v>
      </c>
    </row>
    <row r="963" spans="1:36" ht="30" customHeight="1">
      <c r="A963" s="90"/>
      <c r="B963" s="90"/>
      <c r="C963" s="90"/>
      <c r="D963" s="90"/>
      <c r="E963" s="90"/>
      <c r="F963" s="90"/>
      <c r="G963" s="90"/>
      <c r="H963" s="90"/>
      <c r="I963" s="90"/>
      <c r="J963" s="90"/>
      <c r="K963" s="90"/>
      <c r="L963" s="90"/>
      <c r="M963" s="90"/>
      <c r="N963" s="150"/>
      <c r="O963" s="152"/>
      <c r="P963" s="90"/>
      <c r="Q963" s="140"/>
      <c r="R963" s="90"/>
      <c r="S963" s="140"/>
      <c r="T963" s="90"/>
      <c r="U963" s="140"/>
      <c r="V963" s="90"/>
      <c r="W963" s="140"/>
      <c r="X963" s="90"/>
      <c r="Y963" s="140"/>
      <c r="Z963" s="90"/>
      <c r="AA963" s="140"/>
      <c r="AB963" s="62"/>
      <c r="AC963" s="140"/>
      <c r="AD963" s="62"/>
      <c r="AE963" s="140"/>
      <c r="AF963" s="189" t="str">
        <f t="shared" ref="AF963:AF1000" si="43">IF(AND(O963="",Q963="",S963="",U963="",W963="",Y963="",AA963="",AC963=""),"",
IF(OR(    AND(O963&lt;&gt;"NA",O963&lt;&gt;"C",O963&lt;&gt;"NC",O963&lt;&gt;"SF",O963&lt;&gt;""),
    AND(Q963&lt;&gt;"NA",Q963&lt;&gt;"C",Q963&lt;&gt;"NC",Q963&lt;&gt;"SF",Q963&lt;&gt;""),
    AND(S963&lt;&gt;"NA",S963&lt;&gt;"C",S963&lt;&gt;"NC",S963&lt;&gt;"SF",S963&lt;&gt;""),
    AND(U963&lt;&gt;"NA",U963&lt;&gt;"C",U963&lt;&gt;"NC",U963&lt;&gt;"SF",U963&lt;&gt;""),
    AND(W963&lt;&gt;"NA",W963&lt;&gt;"C",W963&lt;&gt;"NC",W963&lt;&gt;"SF",W963&lt;&gt;""),
    AND(Y963&lt;&gt;"NA",Y963&lt;&gt;"C",Y963&lt;&gt;"NC",Y963&lt;&gt;"SF",Y963&lt;&gt;""),
    AND(AA963&lt;&gt;"NA",AA963&lt;&gt;"C",AA963&lt;&gt;"NC",AA963&lt;&gt;"SF",AA963&lt;&gt;""),
    AND(AC963&lt;&gt;"NA",AC963&lt;&gt;"C",AC963&lt;&gt;"NC",AC963&lt;&gt;"SF",AC963&lt;&gt;"")
),"FALSO",
IF(AND(O963="NA",Q963="NA",S963="NA",U963="NA",W963="NA",Y963="NA",AA963="NA",AC963="NA"),"NA",
IF(OR(O963="NC",Q963="NC",S963="NC",U963="NC",W963="NC",Y963="NC",AA963="NC",AC963="NC",
       O963="SF",Q963="SF",S963="SF",U963="SF",W963="SF",Y963="SF",AA963="SF",AC963="SF"),"NC",
IF(SUM(IF(O963="C",1,0),IF(Q963="C",1,0),IF(S963="C",1,0),IF(U963="C",1,0),IF(W963="C",1,0),IF(Y963="C",1,0),IF(AA963="C",1,0),IF(AC963="C",1,0))=1,"C","C")))))</f>
        <v/>
      </c>
      <c r="AG963" s="304" t="b">
        <f t="shared" si="42"/>
        <v>0</v>
      </c>
      <c r="AH963" s="9"/>
      <c r="AI963" s="145">
        <f t="shared" si="41"/>
        <v>0</v>
      </c>
      <c r="AJ963" s="147" t="s">
        <v>36</v>
      </c>
    </row>
    <row r="964" spans="1:36" ht="30" customHeight="1">
      <c r="A964" s="90"/>
      <c r="B964" s="90"/>
      <c r="C964" s="90"/>
      <c r="D964" s="90"/>
      <c r="E964" s="90"/>
      <c r="F964" s="90"/>
      <c r="G964" s="90"/>
      <c r="H964" s="90"/>
      <c r="I964" s="90"/>
      <c r="J964" s="90"/>
      <c r="K964" s="90"/>
      <c r="L964" s="90"/>
      <c r="M964" s="90"/>
      <c r="N964" s="150"/>
      <c r="O964" s="152"/>
      <c r="P964" s="90"/>
      <c r="Q964" s="140"/>
      <c r="R964" s="90"/>
      <c r="S964" s="140"/>
      <c r="T964" s="90"/>
      <c r="U964" s="140"/>
      <c r="V964" s="90"/>
      <c r="W964" s="140"/>
      <c r="X964" s="90"/>
      <c r="Y964" s="140"/>
      <c r="Z964" s="90"/>
      <c r="AA964" s="140"/>
      <c r="AB964" s="62"/>
      <c r="AC964" s="140"/>
      <c r="AD964" s="62"/>
      <c r="AE964" s="140"/>
      <c r="AF964" s="189" t="str">
        <f t="shared" si="43"/>
        <v/>
      </c>
      <c r="AG964" s="304" t="b">
        <f t="shared" si="42"/>
        <v>0</v>
      </c>
      <c r="AH964" s="9"/>
      <c r="AI964" s="145">
        <f t="shared" si="41"/>
        <v>0</v>
      </c>
      <c r="AJ964" s="147" t="s">
        <v>36</v>
      </c>
    </row>
    <row r="965" spans="1:36" ht="30" customHeight="1">
      <c r="A965" s="90"/>
      <c r="B965" s="90"/>
      <c r="C965" s="90"/>
      <c r="D965" s="90"/>
      <c r="E965" s="90"/>
      <c r="F965" s="90"/>
      <c r="G965" s="90"/>
      <c r="H965" s="90"/>
      <c r="I965" s="90"/>
      <c r="J965" s="90"/>
      <c r="K965" s="90"/>
      <c r="L965" s="90"/>
      <c r="M965" s="90"/>
      <c r="N965" s="150"/>
      <c r="O965" s="152"/>
      <c r="P965" s="90"/>
      <c r="Q965" s="140"/>
      <c r="R965" s="90"/>
      <c r="S965" s="140"/>
      <c r="T965" s="90"/>
      <c r="U965" s="140"/>
      <c r="V965" s="90"/>
      <c r="W965" s="140"/>
      <c r="X965" s="90"/>
      <c r="Y965" s="140"/>
      <c r="Z965" s="90"/>
      <c r="AA965" s="140"/>
      <c r="AB965" s="62"/>
      <c r="AC965" s="140"/>
      <c r="AD965" s="62"/>
      <c r="AE965" s="140"/>
      <c r="AF965" s="189" t="str">
        <f t="shared" si="43"/>
        <v/>
      </c>
      <c r="AG965" s="304" t="b">
        <f t="shared" si="42"/>
        <v>0</v>
      </c>
      <c r="AH965" s="9"/>
      <c r="AI965" s="145">
        <f t="shared" si="41"/>
        <v>0</v>
      </c>
      <c r="AJ965" s="147" t="s">
        <v>36</v>
      </c>
    </row>
    <row r="966" spans="1:36" ht="30" customHeight="1">
      <c r="A966" s="90"/>
      <c r="B966" s="90"/>
      <c r="C966" s="90"/>
      <c r="D966" s="90"/>
      <c r="E966" s="90"/>
      <c r="F966" s="90"/>
      <c r="G966" s="90"/>
      <c r="H966" s="90"/>
      <c r="I966" s="90"/>
      <c r="J966" s="90"/>
      <c r="K966" s="90"/>
      <c r="L966" s="90"/>
      <c r="M966" s="90"/>
      <c r="N966" s="150"/>
      <c r="O966" s="152"/>
      <c r="P966" s="90"/>
      <c r="Q966" s="140"/>
      <c r="R966" s="90"/>
      <c r="S966" s="140"/>
      <c r="T966" s="90"/>
      <c r="U966" s="140"/>
      <c r="V966" s="90"/>
      <c r="W966" s="140"/>
      <c r="X966" s="90"/>
      <c r="Y966" s="140"/>
      <c r="Z966" s="90"/>
      <c r="AA966" s="140"/>
      <c r="AB966" s="62"/>
      <c r="AC966" s="140"/>
      <c r="AD966" s="62"/>
      <c r="AE966" s="140"/>
      <c r="AF966" s="189" t="str">
        <f t="shared" si="43"/>
        <v/>
      </c>
      <c r="AG966" s="304" t="b">
        <f t="shared" si="42"/>
        <v>0</v>
      </c>
      <c r="AH966" s="9"/>
      <c r="AI966" s="145">
        <f t="shared" si="41"/>
        <v>0</v>
      </c>
      <c r="AJ966" s="147" t="s">
        <v>36</v>
      </c>
    </row>
    <row r="967" spans="1:36" ht="30" customHeight="1">
      <c r="A967" s="90"/>
      <c r="B967" s="90"/>
      <c r="C967" s="90"/>
      <c r="D967" s="90"/>
      <c r="E967" s="90"/>
      <c r="F967" s="90"/>
      <c r="G967" s="90"/>
      <c r="H967" s="90"/>
      <c r="I967" s="90"/>
      <c r="J967" s="90"/>
      <c r="K967" s="90"/>
      <c r="L967" s="90"/>
      <c r="M967" s="90"/>
      <c r="N967" s="150"/>
      <c r="O967" s="152"/>
      <c r="P967" s="90"/>
      <c r="Q967" s="140"/>
      <c r="R967" s="90"/>
      <c r="S967" s="140"/>
      <c r="T967" s="90"/>
      <c r="U967" s="140"/>
      <c r="V967" s="90"/>
      <c r="W967" s="140"/>
      <c r="X967" s="90"/>
      <c r="Y967" s="140"/>
      <c r="Z967" s="90"/>
      <c r="AA967" s="140"/>
      <c r="AB967" s="62"/>
      <c r="AC967" s="140"/>
      <c r="AD967" s="62"/>
      <c r="AE967" s="140"/>
      <c r="AF967" s="189" t="str">
        <f t="shared" si="43"/>
        <v/>
      </c>
      <c r="AG967" s="304" t="b">
        <f t="shared" si="42"/>
        <v>0</v>
      </c>
      <c r="AH967" s="9"/>
      <c r="AI967" s="145">
        <f t="shared" si="41"/>
        <v>0</v>
      </c>
      <c r="AJ967" s="147" t="s">
        <v>36</v>
      </c>
    </row>
    <row r="968" spans="1:36" ht="30" customHeight="1">
      <c r="A968" s="90"/>
      <c r="B968" s="90"/>
      <c r="C968" s="90"/>
      <c r="D968" s="90"/>
      <c r="E968" s="90"/>
      <c r="F968" s="90"/>
      <c r="G968" s="90"/>
      <c r="H968" s="90"/>
      <c r="I968" s="90"/>
      <c r="J968" s="90"/>
      <c r="K968" s="90"/>
      <c r="L968" s="90"/>
      <c r="M968" s="90"/>
      <c r="N968" s="150"/>
      <c r="O968" s="152"/>
      <c r="P968" s="90"/>
      <c r="Q968" s="140"/>
      <c r="R968" s="90"/>
      <c r="S968" s="140"/>
      <c r="T968" s="90"/>
      <c r="U968" s="140"/>
      <c r="V968" s="90"/>
      <c r="W968" s="140"/>
      <c r="X968" s="90"/>
      <c r="Y968" s="140"/>
      <c r="Z968" s="90"/>
      <c r="AA968" s="140"/>
      <c r="AB968" s="62"/>
      <c r="AC968" s="140"/>
      <c r="AD968" s="62"/>
      <c r="AE968" s="140"/>
      <c r="AF968" s="189" t="str">
        <f t="shared" si="43"/>
        <v/>
      </c>
      <c r="AG968" s="304" t="b">
        <f t="shared" si="42"/>
        <v>0</v>
      </c>
      <c r="AH968" s="9"/>
      <c r="AI968" s="145">
        <f t="shared" si="41"/>
        <v>0</v>
      </c>
      <c r="AJ968" s="147" t="s">
        <v>36</v>
      </c>
    </row>
    <row r="969" spans="1:36" ht="30" customHeight="1">
      <c r="A969" s="90"/>
      <c r="B969" s="90"/>
      <c r="C969" s="90"/>
      <c r="D969" s="90"/>
      <c r="E969" s="90"/>
      <c r="F969" s="90"/>
      <c r="G969" s="90"/>
      <c r="H969" s="90"/>
      <c r="I969" s="90"/>
      <c r="J969" s="90"/>
      <c r="K969" s="90"/>
      <c r="L969" s="90"/>
      <c r="M969" s="90"/>
      <c r="N969" s="150"/>
      <c r="O969" s="152"/>
      <c r="P969" s="90"/>
      <c r="Q969" s="140"/>
      <c r="R969" s="90"/>
      <c r="S969" s="140"/>
      <c r="T969" s="90"/>
      <c r="U969" s="140"/>
      <c r="V969" s="90"/>
      <c r="W969" s="140"/>
      <c r="X969" s="90"/>
      <c r="Y969" s="140"/>
      <c r="Z969" s="90"/>
      <c r="AA969" s="140"/>
      <c r="AB969" s="62"/>
      <c r="AC969" s="140"/>
      <c r="AD969" s="62"/>
      <c r="AE969" s="140"/>
      <c r="AF969" s="189" t="str">
        <f t="shared" si="43"/>
        <v/>
      </c>
      <c r="AG969" s="304" t="b">
        <f t="shared" si="42"/>
        <v>0</v>
      </c>
      <c r="AH969" s="9"/>
      <c r="AI969" s="145">
        <f t="shared" si="41"/>
        <v>0</v>
      </c>
      <c r="AJ969" s="147" t="s">
        <v>36</v>
      </c>
    </row>
    <row r="970" spans="1:36" ht="30" customHeight="1">
      <c r="A970" s="90"/>
      <c r="B970" s="90"/>
      <c r="C970" s="90"/>
      <c r="D970" s="90"/>
      <c r="E970" s="90"/>
      <c r="F970" s="90"/>
      <c r="G970" s="90"/>
      <c r="H970" s="90"/>
      <c r="I970" s="90"/>
      <c r="J970" s="90"/>
      <c r="K970" s="90"/>
      <c r="L970" s="90"/>
      <c r="M970" s="90"/>
      <c r="N970" s="150"/>
      <c r="O970" s="152"/>
      <c r="P970" s="90"/>
      <c r="Q970" s="140"/>
      <c r="R970" s="90"/>
      <c r="S970" s="140"/>
      <c r="T970" s="90"/>
      <c r="U970" s="140"/>
      <c r="V970" s="90"/>
      <c r="W970" s="140"/>
      <c r="X970" s="90"/>
      <c r="Y970" s="140"/>
      <c r="Z970" s="90"/>
      <c r="AA970" s="140"/>
      <c r="AB970" s="62"/>
      <c r="AC970" s="140"/>
      <c r="AD970" s="62"/>
      <c r="AE970" s="140"/>
      <c r="AF970" s="189" t="str">
        <f t="shared" si="43"/>
        <v/>
      </c>
      <c r="AG970" s="304" t="b">
        <f t="shared" si="42"/>
        <v>0</v>
      </c>
      <c r="AH970" s="9"/>
      <c r="AI970" s="145">
        <f t="shared" si="41"/>
        <v>0</v>
      </c>
      <c r="AJ970" s="147" t="s">
        <v>36</v>
      </c>
    </row>
    <row r="971" spans="1:36" ht="30" customHeight="1">
      <c r="A971" s="90"/>
      <c r="B971" s="90"/>
      <c r="C971" s="90"/>
      <c r="D971" s="90"/>
      <c r="E971" s="90"/>
      <c r="F971" s="90"/>
      <c r="G971" s="90"/>
      <c r="H971" s="90"/>
      <c r="I971" s="90"/>
      <c r="J971" s="90"/>
      <c r="K971" s="90"/>
      <c r="L971" s="90"/>
      <c r="M971" s="90"/>
      <c r="N971" s="150"/>
      <c r="O971" s="152"/>
      <c r="P971" s="90"/>
      <c r="Q971" s="140"/>
      <c r="R971" s="90"/>
      <c r="S971" s="140"/>
      <c r="T971" s="90"/>
      <c r="U971" s="140"/>
      <c r="V971" s="90"/>
      <c r="W971" s="140"/>
      <c r="X971" s="90"/>
      <c r="Y971" s="140"/>
      <c r="Z971" s="90"/>
      <c r="AA971" s="140"/>
      <c r="AB971" s="62"/>
      <c r="AC971" s="140"/>
      <c r="AD971" s="62"/>
      <c r="AE971" s="140"/>
      <c r="AF971" s="189" t="str">
        <f t="shared" si="43"/>
        <v/>
      </c>
      <c r="AG971" s="304" t="b">
        <f t="shared" si="42"/>
        <v>0</v>
      </c>
      <c r="AH971" s="9"/>
      <c r="AI971" s="147">
        <f t="shared" si="41"/>
        <v>0</v>
      </c>
      <c r="AJ971" s="147" t="s">
        <v>36</v>
      </c>
    </row>
    <row r="972" spans="1:36" ht="30" customHeight="1">
      <c r="A972" s="90"/>
      <c r="B972" s="90"/>
      <c r="C972" s="90"/>
      <c r="D972" s="90"/>
      <c r="E972" s="90"/>
      <c r="F972" s="90"/>
      <c r="G972" s="90"/>
      <c r="H972" s="90"/>
      <c r="I972" s="90"/>
      <c r="J972" s="90"/>
      <c r="K972" s="90"/>
      <c r="L972" s="90"/>
      <c r="M972" s="90"/>
      <c r="N972" s="150"/>
      <c r="O972" s="152"/>
      <c r="P972" s="90"/>
      <c r="Q972" s="140"/>
      <c r="R972" s="90"/>
      <c r="S972" s="140"/>
      <c r="T972" s="90"/>
      <c r="U972" s="140"/>
      <c r="V972" s="90"/>
      <c r="W972" s="140"/>
      <c r="X972" s="90"/>
      <c r="Y972" s="140"/>
      <c r="Z972" s="90"/>
      <c r="AA972" s="140"/>
      <c r="AB972" s="62"/>
      <c r="AC972" s="140"/>
      <c r="AD972" s="62"/>
      <c r="AE972" s="140"/>
      <c r="AF972" s="189" t="str">
        <f t="shared" si="43"/>
        <v/>
      </c>
      <c r="AG972" s="304" t="b">
        <f t="shared" si="42"/>
        <v>0</v>
      </c>
      <c r="AH972" s="9"/>
      <c r="AI972" s="147">
        <f t="shared" ref="AI972:AI1000" si="44">E972</f>
        <v>0</v>
      </c>
      <c r="AJ972" s="147" t="s">
        <v>36</v>
      </c>
    </row>
    <row r="973" spans="1:36" ht="30" customHeight="1">
      <c r="A973" s="90"/>
      <c r="B973" s="90"/>
      <c r="C973" s="90"/>
      <c r="D973" s="90"/>
      <c r="E973" s="90"/>
      <c r="F973" s="90"/>
      <c r="G973" s="90"/>
      <c r="H973" s="90"/>
      <c r="I973" s="90"/>
      <c r="J973" s="90"/>
      <c r="K973" s="90"/>
      <c r="L973" s="90"/>
      <c r="M973" s="90"/>
      <c r="N973" s="150"/>
      <c r="O973" s="152"/>
      <c r="P973" s="90"/>
      <c r="Q973" s="140"/>
      <c r="R973" s="90"/>
      <c r="S973" s="140"/>
      <c r="T973" s="90"/>
      <c r="U973" s="140"/>
      <c r="V973" s="90"/>
      <c r="W973" s="140"/>
      <c r="X973" s="90"/>
      <c r="Y973" s="140"/>
      <c r="Z973" s="90"/>
      <c r="AA973" s="140"/>
      <c r="AB973" s="62"/>
      <c r="AC973" s="140"/>
      <c r="AD973" s="62"/>
      <c r="AE973" s="140"/>
      <c r="AF973" s="189" t="str">
        <f t="shared" si="43"/>
        <v/>
      </c>
      <c r="AG973" s="304" t="b">
        <f t="shared" si="42"/>
        <v>0</v>
      </c>
      <c r="AH973" s="9"/>
      <c r="AI973" s="147">
        <f t="shared" si="44"/>
        <v>0</v>
      </c>
      <c r="AJ973" s="147" t="s">
        <v>36</v>
      </c>
    </row>
    <row r="974" spans="1:36" ht="30" customHeight="1">
      <c r="A974" s="90"/>
      <c r="B974" s="90"/>
      <c r="C974" s="90"/>
      <c r="D974" s="90"/>
      <c r="E974" s="90"/>
      <c r="F974" s="90"/>
      <c r="G974" s="90"/>
      <c r="H974" s="90"/>
      <c r="I974" s="90"/>
      <c r="J974" s="90"/>
      <c r="K974" s="90"/>
      <c r="L974" s="90"/>
      <c r="M974" s="90"/>
      <c r="N974" s="150"/>
      <c r="O974" s="152"/>
      <c r="P974" s="90"/>
      <c r="Q974" s="140"/>
      <c r="R974" s="90"/>
      <c r="S974" s="140"/>
      <c r="T974" s="90"/>
      <c r="U974" s="140"/>
      <c r="V974" s="90"/>
      <c r="W974" s="140"/>
      <c r="X974" s="90"/>
      <c r="Y974" s="140"/>
      <c r="Z974" s="90"/>
      <c r="AA974" s="140"/>
      <c r="AB974" s="62"/>
      <c r="AC974" s="140"/>
      <c r="AD974" s="62"/>
      <c r="AE974" s="140"/>
      <c r="AF974" s="189" t="str">
        <f t="shared" si="43"/>
        <v/>
      </c>
      <c r="AG974" s="304" t="b">
        <f t="shared" si="42"/>
        <v>0</v>
      </c>
      <c r="AH974" s="9"/>
      <c r="AI974" s="147">
        <f t="shared" si="44"/>
        <v>0</v>
      </c>
      <c r="AJ974" s="147" t="s">
        <v>36</v>
      </c>
    </row>
    <row r="975" spans="1:36" ht="30" customHeight="1">
      <c r="A975" s="90"/>
      <c r="B975" s="90"/>
      <c r="C975" s="90"/>
      <c r="D975" s="90"/>
      <c r="E975" s="90"/>
      <c r="F975" s="90"/>
      <c r="G975" s="90"/>
      <c r="H975" s="90"/>
      <c r="I975" s="90"/>
      <c r="J975" s="90"/>
      <c r="K975" s="90"/>
      <c r="L975" s="90"/>
      <c r="M975" s="90"/>
      <c r="N975" s="150"/>
      <c r="O975" s="152"/>
      <c r="P975" s="90"/>
      <c r="Q975" s="140"/>
      <c r="R975" s="90"/>
      <c r="S975" s="140"/>
      <c r="T975" s="90"/>
      <c r="U975" s="140"/>
      <c r="V975" s="90"/>
      <c r="W975" s="140"/>
      <c r="X975" s="90"/>
      <c r="Y975" s="140"/>
      <c r="Z975" s="90"/>
      <c r="AA975" s="140"/>
      <c r="AB975" s="62"/>
      <c r="AC975" s="140"/>
      <c r="AD975" s="62"/>
      <c r="AE975" s="140"/>
      <c r="AF975" s="189" t="str">
        <f t="shared" si="43"/>
        <v/>
      </c>
      <c r="AG975" s="304" t="b">
        <f t="shared" si="42"/>
        <v>0</v>
      </c>
      <c r="AH975" s="9"/>
      <c r="AI975" s="147">
        <f t="shared" si="44"/>
        <v>0</v>
      </c>
      <c r="AJ975" s="147" t="s">
        <v>36</v>
      </c>
    </row>
    <row r="976" spans="1:36" ht="30" customHeight="1">
      <c r="A976" s="90"/>
      <c r="B976" s="90"/>
      <c r="C976" s="90"/>
      <c r="D976" s="90"/>
      <c r="E976" s="90"/>
      <c r="F976" s="90"/>
      <c r="G976" s="90"/>
      <c r="H976" s="90"/>
      <c r="I976" s="90"/>
      <c r="J976" s="90"/>
      <c r="K976" s="90"/>
      <c r="L976" s="90"/>
      <c r="M976" s="90"/>
      <c r="N976" s="150"/>
      <c r="O976" s="152"/>
      <c r="P976" s="90"/>
      <c r="Q976" s="140"/>
      <c r="R976" s="90"/>
      <c r="S976" s="140"/>
      <c r="T976" s="90"/>
      <c r="U976" s="140"/>
      <c r="V976" s="90"/>
      <c r="W976" s="140"/>
      <c r="X976" s="90"/>
      <c r="Y976" s="140"/>
      <c r="Z976" s="90"/>
      <c r="AA976" s="140"/>
      <c r="AB976" s="62"/>
      <c r="AC976" s="140"/>
      <c r="AD976" s="62"/>
      <c r="AE976" s="140"/>
      <c r="AF976" s="189" t="str">
        <f t="shared" si="43"/>
        <v/>
      </c>
      <c r="AG976" s="304" t="b">
        <f t="shared" si="42"/>
        <v>0</v>
      </c>
      <c r="AH976" s="9"/>
      <c r="AI976" s="147">
        <f t="shared" si="44"/>
        <v>0</v>
      </c>
      <c r="AJ976" s="147" t="s">
        <v>36</v>
      </c>
    </row>
    <row r="977" spans="1:36" ht="30" customHeight="1">
      <c r="A977" s="90"/>
      <c r="B977" s="90"/>
      <c r="C977" s="90"/>
      <c r="D977" s="90"/>
      <c r="E977" s="90"/>
      <c r="F977" s="90"/>
      <c r="G977" s="90"/>
      <c r="H977" s="90"/>
      <c r="I977" s="90"/>
      <c r="J977" s="90"/>
      <c r="K977" s="90"/>
      <c r="L977" s="90"/>
      <c r="M977" s="90"/>
      <c r="N977" s="150"/>
      <c r="O977" s="152"/>
      <c r="P977" s="90"/>
      <c r="Q977" s="140"/>
      <c r="R977" s="90"/>
      <c r="S977" s="140"/>
      <c r="T977" s="90"/>
      <c r="U977" s="140"/>
      <c r="V977" s="90"/>
      <c r="W977" s="140"/>
      <c r="X977" s="90"/>
      <c r="Y977" s="140"/>
      <c r="Z977" s="90"/>
      <c r="AA977" s="140"/>
      <c r="AB977" s="62"/>
      <c r="AC977" s="140"/>
      <c r="AD977" s="62"/>
      <c r="AE977" s="140"/>
      <c r="AF977" s="189" t="str">
        <f t="shared" si="43"/>
        <v/>
      </c>
      <c r="AG977" s="304" t="b">
        <f t="shared" si="42"/>
        <v>0</v>
      </c>
      <c r="AH977" s="9"/>
      <c r="AI977" s="147">
        <f t="shared" si="44"/>
        <v>0</v>
      </c>
      <c r="AJ977" s="147" t="s">
        <v>36</v>
      </c>
    </row>
    <row r="978" spans="1:36" ht="30" customHeight="1">
      <c r="A978" s="90"/>
      <c r="B978" s="90"/>
      <c r="C978" s="90"/>
      <c r="D978" s="90"/>
      <c r="E978" s="90"/>
      <c r="F978" s="90"/>
      <c r="G978" s="90"/>
      <c r="H978" s="90"/>
      <c r="I978" s="90"/>
      <c r="J978" s="90"/>
      <c r="K978" s="90"/>
      <c r="L978" s="90"/>
      <c r="M978" s="90"/>
      <c r="N978" s="150"/>
      <c r="O978" s="152"/>
      <c r="P978" s="90"/>
      <c r="Q978" s="140"/>
      <c r="R978" s="90"/>
      <c r="S978" s="140"/>
      <c r="T978" s="90"/>
      <c r="U978" s="140"/>
      <c r="V978" s="90"/>
      <c r="W978" s="140"/>
      <c r="X978" s="90"/>
      <c r="Y978" s="140"/>
      <c r="Z978" s="90"/>
      <c r="AA978" s="140"/>
      <c r="AB978" s="62"/>
      <c r="AC978" s="140"/>
      <c r="AD978" s="62"/>
      <c r="AE978" s="140"/>
      <c r="AF978" s="189" t="str">
        <f t="shared" si="43"/>
        <v/>
      </c>
      <c r="AG978" s="304" t="b">
        <f t="shared" si="42"/>
        <v>0</v>
      </c>
      <c r="AH978" s="9"/>
      <c r="AI978" s="147">
        <f t="shared" si="44"/>
        <v>0</v>
      </c>
      <c r="AJ978" s="147" t="s">
        <v>36</v>
      </c>
    </row>
    <row r="979" spans="1:36" ht="30" customHeight="1">
      <c r="A979" s="90"/>
      <c r="B979" s="90"/>
      <c r="C979" s="90"/>
      <c r="D979" s="90"/>
      <c r="E979" s="90"/>
      <c r="F979" s="90"/>
      <c r="G979" s="90"/>
      <c r="H979" s="90"/>
      <c r="I979" s="90"/>
      <c r="J979" s="90"/>
      <c r="K979" s="90"/>
      <c r="L979" s="90"/>
      <c r="M979" s="90"/>
      <c r="N979" s="150"/>
      <c r="O979" s="152"/>
      <c r="P979" s="90"/>
      <c r="Q979" s="140"/>
      <c r="R979" s="90"/>
      <c r="S979" s="140"/>
      <c r="T979" s="90"/>
      <c r="U979" s="140"/>
      <c r="V979" s="90"/>
      <c r="W979" s="140"/>
      <c r="X979" s="90"/>
      <c r="Y979" s="140"/>
      <c r="Z979" s="90"/>
      <c r="AA979" s="140"/>
      <c r="AB979" s="62"/>
      <c r="AC979" s="140"/>
      <c r="AD979" s="62"/>
      <c r="AE979" s="140"/>
      <c r="AF979" s="189" t="str">
        <f t="shared" si="43"/>
        <v/>
      </c>
      <c r="AG979" s="304" t="b">
        <f t="shared" si="42"/>
        <v>0</v>
      </c>
      <c r="AH979" s="9"/>
      <c r="AI979" s="147">
        <f t="shared" si="44"/>
        <v>0</v>
      </c>
      <c r="AJ979" s="147" t="s">
        <v>36</v>
      </c>
    </row>
    <row r="980" spans="1:36" ht="30" customHeight="1">
      <c r="A980" s="90"/>
      <c r="B980" s="90"/>
      <c r="C980" s="90"/>
      <c r="D980" s="90"/>
      <c r="E980" s="90"/>
      <c r="F980" s="90"/>
      <c r="G980" s="90"/>
      <c r="H980" s="90"/>
      <c r="I980" s="90"/>
      <c r="J980" s="90"/>
      <c r="K980" s="90"/>
      <c r="L980" s="90"/>
      <c r="M980" s="90"/>
      <c r="N980" s="150"/>
      <c r="O980" s="152"/>
      <c r="P980" s="90"/>
      <c r="Q980" s="140"/>
      <c r="R980" s="90"/>
      <c r="S980" s="140"/>
      <c r="T980" s="90"/>
      <c r="U980" s="140"/>
      <c r="V980" s="90"/>
      <c r="W980" s="140"/>
      <c r="X980" s="90"/>
      <c r="Y980" s="140"/>
      <c r="Z980" s="90"/>
      <c r="AA980" s="140"/>
      <c r="AB980" s="62"/>
      <c r="AC980" s="140"/>
      <c r="AD980" s="62"/>
      <c r="AE980" s="140"/>
      <c r="AF980" s="189" t="str">
        <f t="shared" si="43"/>
        <v/>
      </c>
      <c r="AG980" s="304" t="b">
        <f t="shared" si="42"/>
        <v>0</v>
      </c>
      <c r="AH980" s="9"/>
      <c r="AI980" s="147">
        <f t="shared" si="44"/>
        <v>0</v>
      </c>
      <c r="AJ980" s="147" t="s">
        <v>36</v>
      </c>
    </row>
    <row r="981" spans="1:36" ht="30" customHeight="1">
      <c r="A981" s="90"/>
      <c r="B981" s="90"/>
      <c r="C981" s="90"/>
      <c r="D981" s="90"/>
      <c r="E981" s="90"/>
      <c r="F981" s="90"/>
      <c r="G981" s="90"/>
      <c r="H981" s="90"/>
      <c r="I981" s="90"/>
      <c r="J981" s="90"/>
      <c r="K981" s="90"/>
      <c r="L981" s="90"/>
      <c r="M981" s="90"/>
      <c r="N981" s="150"/>
      <c r="O981" s="152"/>
      <c r="P981" s="90"/>
      <c r="Q981" s="140"/>
      <c r="R981" s="90"/>
      <c r="S981" s="140"/>
      <c r="T981" s="90"/>
      <c r="U981" s="140"/>
      <c r="V981" s="90"/>
      <c r="W981" s="140"/>
      <c r="X981" s="90"/>
      <c r="Y981" s="140"/>
      <c r="Z981" s="90"/>
      <c r="AA981" s="140"/>
      <c r="AB981" s="62"/>
      <c r="AC981" s="140"/>
      <c r="AD981" s="62"/>
      <c r="AE981" s="140"/>
      <c r="AF981" s="189" t="str">
        <f t="shared" si="43"/>
        <v/>
      </c>
      <c r="AG981" s="304" t="b">
        <f t="shared" si="42"/>
        <v>0</v>
      </c>
      <c r="AH981" s="9"/>
      <c r="AI981" s="147">
        <f t="shared" si="44"/>
        <v>0</v>
      </c>
      <c r="AJ981" s="147" t="s">
        <v>36</v>
      </c>
    </row>
    <row r="982" spans="1:36" ht="30" customHeight="1">
      <c r="A982" s="90"/>
      <c r="B982" s="90"/>
      <c r="C982" s="90"/>
      <c r="D982" s="90"/>
      <c r="E982" s="90"/>
      <c r="F982" s="90"/>
      <c r="G982" s="90"/>
      <c r="H982" s="90"/>
      <c r="I982" s="90"/>
      <c r="J982" s="90"/>
      <c r="K982" s="90"/>
      <c r="L982" s="90"/>
      <c r="M982" s="90"/>
      <c r="N982" s="150"/>
      <c r="O982" s="152"/>
      <c r="P982" s="90"/>
      <c r="Q982" s="140"/>
      <c r="R982" s="90"/>
      <c r="S982" s="140"/>
      <c r="T982" s="90"/>
      <c r="U982" s="140"/>
      <c r="V982" s="90"/>
      <c r="W982" s="140"/>
      <c r="X982" s="90"/>
      <c r="Y982" s="140"/>
      <c r="Z982" s="90"/>
      <c r="AA982" s="140"/>
      <c r="AB982" s="62"/>
      <c r="AC982" s="140"/>
      <c r="AD982" s="62"/>
      <c r="AE982" s="140"/>
      <c r="AF982" s="189" t="str">
        <f t="shared" si="43"/>
        <v/>
      </c>
      <c r="AG982" s="304" t="b">
        <f t="shared" si="42"/>
        <v>0</v>
      </c>
      <c r="AH982" s="9"/>
      <c r="AI982" s="147">
        <f t="shared" si="44"/>
        <v>0</v>
      </c>
      <c r="AJ982" s="147" t="s">
        <v>36</v>
      </c>
    </row>
    <row r="983" spans="1:36" ht="30" customHeight="1">
      <c r="A983" s="90"/>
      <c r="B983" s="90"/>
      <c r="C983" s="90"/>
      <c r="D983" s="90"/>
      <c r="E983" s="90"/>
      <c r="F983" s="90"/>
      <c r="G983" s="90"/>
      <c r="H983" s="90"/>
      <c r="I983" s="90"/>
      <c r="J983" s="90"/>
      <c r="K983" s="90"/>
      <c r="L983" s="90"/>
      <c r="M983" s="90"/>
      <c r="N983" s="150"/>
      <c r="O983" s="152"/>
      <c r="P983" s="90"/>
      <c r="Q983" s="140"/>
      <c r="R983" s="90"/>
      <c r="S983" s="140"/>
      <c r="T983" s="90"/>
      <c r="U983" s="140"/>
      <c r="V983" s="90"/>
      <c r="W983" s="140"/>
      <c r="X983" s="90"/>
      <c r="Y983" s="140"/>
      <c r="Z983" s="90"/>
      <c r="AA983" s="140"/>
      <c r="AB983" s="62"/>
      <c r="AC983" s="140"/>
      <c r="AD983" s="62"/>
      <c r="AE983" s="140"/>
      <c r="AF983" s="189" t="str">
        <f t="shared" si="43"/>
        <v/>
      </c>
      <c r="AG983" s="304" t="b">
        <f t="shared" si="42"/>
        <v>0</v>
      </c>
      <c r="AH983" s="9"/>
      <c r="AI983" s="147">
        <f t="shared" si="44"/>
        <v>0</v>
      </c>
      <c r="AJ983" s="147" t="s">
        <v>36</v>
      </c>
    </row>
    <row r="984" spans="1:36" ht="30" customHeight="1">
      <c r="A984" s="90"/>
      <c r="B984" s="90"/>
      <c r="C984" s="90"/>
      <c r="D984" s="90"/>
      <c r="E984" s="90"/>
      <c r="F984" s="90"/>
      <c r="G984" s="90"/>
      <c r="H984" s="90"/>
      <c r="I984" s="90"/>
      <c r="J984" s="90"/>
      <c r="K984" s="90"/>
      <c r="L984" s="90"/>
      <c r="M984" s="90"/>
      <c r="N984" s="150"/>
      <c r="O984" s="152"/>
      <c r="P984" s="90"/>
      <c r="Q984" s="140"/>
      <c r="R984" s="90"/>
      <c r="S984" s="140"/>
      <c r="T984" s="90"/>
      <c r="U984" s="140"/>
      <c r="V984" s="90"/>
      <c r="W984" s="140"/>
      <c r="X984" s="90"/>
      <c r="Y984" s="140"/>
      <c r="Z984" s="90"/>
      <c r="AA984" s="140"/>
      <c r="AB984" s="62"/>
      <c r="AC984" s="140"/>
      <c r="AD984" s="62"/>
      <c r="AE984" s="140"/>
      <c r="AF984" s="189" t="str">
        <f t="shared" si="43"/>
        <v/>
      </c>
      <c r="AG984" s="304" t="b">
        <f t="shared" si="42"/>
        <v>0</v>
      </c>
      <c r="AH984" s="9"/>
      <c r="AI984" s="147">
        <f t="shared" si="44"/>
        <v>0</v>
      </c>
      <c r="AJ984" s="147" t="s">
        <v>36</v>
      </c>
    </row>
    <row r="985" spans="1:36" ht="30" customHeight="1">
      <c r="A985" s="90"/>
      <c r="B985" s="90"/>
      <c r="C985" s="90"/>
      <c r="D985" s="90"/>
      <c r="E985" s="90"/>
      <c r="F985" s="90"/>
      <c r="G985" s="90"/>
      <c r="H985" s="90"/>
      <c r="I985" s="90"/>
      <c r="J985" s="90"/>
      <c r="K985" s="90"/>
      <c r="L985" s="90"/>
      <c r="M985" s="90"/>
      <c r="N985" s="150"/>
      <c r="O985" s="152"/>
      <c r="P985" s="90"/>
      <c r="Q985" s="140"/>
      <c r="R985" s="90"/>
      <c r="S985" s="140"/>
      <c r="T985" s="90"/>
      <c r="U985" s="140"/>
      <c r="V985" s="90"/>
      <c r="W985" s="140"/>
      <c r="X985" s="90"/>
      <c r="Y985" s="140"/>
      <c r="Z985" s="90"/>
      <c r="AA985" s="140"/>
      <c r="AB985" s="62"/>
      <c r="AC985" s="140"/>
      <c r="AD985" s="62"/>
      <c r="AE985" s="140"/>
      <c r="AF985" s="189" t="str">
        <f t="shared" si="43"/>
        <v/>
      </c>
      <c r="AG985" s="304" t="b">
        <f t="shared" si="42"/>
        <v>0</v>
      </c>
      <c r="AH985" s="9"/>
      <c r="AI985" s="147">
        <f t="shared" si="44"/>
        <v>0</v>
      </c>
      <c r="AJ985" s="147" t="s">
        <v>36</v>
      </c>
    </row>
    <row r="986" spans="1:36" ht="30" customHeight="1">
      <c r="A986" s="90"/>
      <c r="B986" s="90"/>
      <c r="C986" s="90"/>
      <c r="D986" s="90"/>
      <c r="E986" s="90"/>
      <c r="F986" s="90"/>
      <c r="G986" s="90"/>
      <c r="H986" s="90"/>
      <c r="I986" s="90"/>
      <c r="J986" s="90"/>
      <c r="K986" s="90"/>
      <c r="L986" s="90"/>
      <c r="M986" s="90"/>
      <c r="N986" s="150"/>
      <c r="O986" s="152"/>
      <c r="P986" s="90"/>
      <c r="Q986" s="140"/>
      <c r="R986" s="90"/>
      <c r="S986" s="140"/>
      <c r="T986" s="90"/>
      <c r="U986" s="140"/>
      <c r="V986" s="90"/>
      <c r="W986" s="140"/>
      <c r="X986" s="90"/>
      <c r="Y986" s="140"/>
      <c r="Z986" s="90"/>
      <c r="AA986" s="140"/>
      <c r="AB986" s="62"/>
      <c r="AC986" s="140"/>
      <c r="AD986" s="62"/>
      <c r="AE986" s="140"/>
      <c r="AF986" s="189" t="str">
        <f t="shared" si="43"/>
        <v/>
      </c>
      <c r="AG986" s="304" t="b">
        <f t="shared" si="42"/>
        <v>0</v>
      </c>
      <c r="AH986" s="9"/>
      <c r="AI986" s="147">
        <f t="shared" si="44"/>
        <v>0</v>
      </c>
      <c r="AJ986" s="147" t="s">
        <v>36</v>
      </c>
    </row>
    <row r="987" spans="1:36" ht="30" customHeight="1">
      <c r="A987" s="90"/>
      <c r="B987" s="90"/>
      <c r="C987" s="90"/>
      <c r="D987" s="90"/>
      <c r="E987" s="90"/>
      <c r="F987" s="90"/>
      <c r="G987" s="90"/>
      <c r="H987" s="90"/>
      <c r="I987" s="90"/>
      <c r="J987" s="90"/>
      <c r="K987" s="90"/>
      <c r="L987" s="90"/>
      <c r="M987" s="90"/>
      <c r="N987" s="150"/>
      <c r="O987" s="152"/>
      <c r="P987" s="90"/>
      <c r="Q987" s="140"/>
      <c r="R987" s="90"/>
      <c r="S987" s="140"/>
      <c r="T987" s="90"/>
      <c r="U987" s="140"/>
      <c r="V987" s="90"/>
      <c r="W987" s="140"/>
      <c r="X987" s="90"/>
      <c r="Y987" s="140"/>
      <c r="Z987" s="90"/>
      <c r="AA987" s="140"/>
      <c r="AB987" s="62"/>
      <c r="AC987" s="140"/>
      <c r="AD987" s="62"/>
      <c r="AE987" s="140"/>
      <c r="AF987" s="189" t="str">
        <f t="shared" si="43"/>
        <v/>
      </c>
      <c r="AG987" s="304" t="b">
        <f t="shared" si="42"/>
        <v>0</v>
      </c>
      <c r="AH987" s="9"/>
      <c r="AI987" s="147">
        <f t="shared" si="44"/>
        <v>0</v>
      </c>
      <c r="AJ987" s="147" t="s">
        <v>36</v>
      </c>
    </row>
    <row r="988" spans="1:36" ht="30" customHeight="1">
      <c r="A988" s="90"/>
      <c r="B988" s="90"/>
      <c r="C988" s="90"/>
      <c r="D988" s="90"/>
      <c r="E988" s="90"/>
      <c r="F988" s="90"/>
      <c r="G988" s="90"/>
      <c r="H988" s="90"/>
      <c r="I988" s="90"/>
      <c r="J988" s="90"/>
      <c r="K988" s="90"/>
      <c r="L988" s="90"/>
      <c r="M988" s="90"/>
      <c r="N988" s="150"/>
      <c r="O988" s="152"/>
      <c r="P988" s="90"/>
      <c r="Q988" s="140"/>
      <c r="R988" s="90"/>
      <c r="S988" s="140"/>
      <c r="T988" s="90"/>
      <c r="U988" s="140"/>
      <c r="V988" s="90"/>
      <c r="W988" s="140"/>
      <c r="X988" s="90"/>
      <c r="Y988" s="140"/>
      <c r="Z988" s="90"/>
      <c r="AA988" s="140"/>
      <c r="AB988" s="62"/>
      <c r="AC988" s="140"/>
      <c r="AD988" s="62"/>
      <c r="AE988" s="140"/>
      <c r="AF988" s="189" t="str">
        <f t="shared" si="43"/>
        <v/>
      </c>
      <c r="AG988" s="304" t="b">
        <f t="shared" si="42"/>
        <v>0</v>
      </c>
      <c r="AH988" s="9"/>
      <c r="AI988" s="147">
        <f t="shared" si="44"/>
        <v>0</v>
      </c>
      <c r="AJ988" s="147" t="s">
        <v>36</v>
      </c>
    </row>
    <row r="989" spans="1:36" ht="30" customHeight="1">
      <c r="A989" s="90"/>
      <c r="B989" s="90"/>
      <c r="C989" s="90"/>
      <c r="D989" s="90"/>
      <c r="E989" s="90"/>
      <c r="F989" s="90"/>
      <c r="G989" s="90"/>
      <c r="H989" s="90"/>
      <c r="I989" s="90"/>
      <c r="J989" s="90"/>
      <c r="K989" s="90"/>
      <c r="L989" s="90"/>
      <c r="M989" s="90"/>
      <c r="N989" s="150"/>
      <c r="O989" s="152"/>
      <c r="P989" s="90"/>
      <c r="Q989" s="140"/>
      <c r="R989" s="90"/>
      <c r="S989" s="140"/>
      <c r="T989" s="90"/>
      <c r="U989" s="140"/>
      <c r="V989" s="90"/>
      <c r="W989" s="140"/>
      <c r="X989" s="90"/>
      <c r="Y989" s="140"/>
      <c r="Z989" s="90"/>
      <c r="AA989" s="140"/>
      <c r="AB989" s="62"/>
      <c r="AC989" s="140"/>
      <c r="AD989" s="62"/>
      <c r="AE989" s="140"/>
      <c r="AF989" s="189" t="str">
        <f t="shared" si="43"/>
        <v/>
      </c>
      <c r="AG989" s="304" t="b">
        <f t="shared" si="42"/>
        <v>0</v>
      </c>
      <c r="AH989" s="9"/>
      <c r="AI989" s="147">
        <f t="shared" si="44"/>
        <v>0</v>
      </c>
      <c r="AJ989" s="147" t="s">
        <v>36</v>
      </c>
    </row>
    <row r="990" spans="1:36" ht="30" customHeight="1">
      <c r="A990" s="90"/>
      <c r="B990" s="90"/>
      <c r="C990" s="90"/>
      <c r="D990" s="90"/>
      <c r="E990" s="90"/>
      <c r="F990" s="90"/>
      <c r="G990" s="90"/>
      <c r="H990" s="90"/>
      <c r="I990" s="90"/>
      <c r="J990" s="90"/>
      <c r="K990" s="90"/>
      <c r="L990" s="90"/>
      <c r="M990" s="90"/>
      <c r="N990" s="150"/>
      <c r="O990" s="152"/>
      <c r="P990" s="90"/>
      <c r="Q990" s="140"/>
      <c r="R990" s="90"/>
      <c r="S990" s="140"/>
      <c r="T990" s="90"/>
      <c r="U990" s="140"/>
      <c r="V990" s="90"/>
      <c r="W990" s="140"/>
      <c r="X990" s="90"/>
      <c r="Y990" s="140"/>
      <c r="Z990" s="90"/>
      <c r="AA990" s="140"/>
      <c r="AB990" s="62"/>
      <c r="AC990" s="140"/>
      <c r="AD990" s="62"/>
      <c r="AE990" s="140"/>
      <c r="AF990" s="189" t="str">
        <f t="shared" si="43"/>
        <v/>
      </c>
      <c r="AG990" s="304" t="b">
        <f t="shared" si="42"/>
        <v>0</v>
      </c>
      <c r="AH990" s="9"/>
      <c r="AI990" s="147">
        <f t="shared" si="44"/>
        <v>0</v>
      </c>
      <c r="AJ990" s="147" t="s">
        <v>36</v>
      </c>
    </row>
    <row r="991" spans="1:36" ht="30" customHeight="1">
      <c r="A991" s="90"/>
      <c r="B991" s="90"/>
      <c r="C991" s="90"/>
      <c r="D991" s="90"/>
      <c r="E991" s="90"/>
      <c r="F991" s="90"/>
      <c r="G991" s="90"/>
      <c r="H991" s="90"/>
      <c r="I991" s="90"/>
      <c r="J991" s="90"/>
      <c r="K991" s="90"/>
      <c r="L991" s="90"/>
      <c r="M991" s="90"/>
      <c r="N991" s="150"/>
      <c r="O991" s="152"/>
      <c r="P991" s="90"/>
      <c r="Q991" s="140"/>
      <c r="R991" s="90"/>
      <c r="S991" s="140"/>
      <c r="T991" s="90"/>
      <c r="U991" s="140"/>
      <c r="V991" s="90"/>
      <c r="W991" s="140"/>
      <c r="X991" s="90"/>
      <c r="Y991" s="140"/>
      <c r="Z991" s="90"/>
      <c r="AA991" s="140"/>
      <c r="AB991" s="62"/>
      <c r="AC991" s="140"/>
      <c r="AD991" s="62"/>
      <c r="AE991" s="140"/>
      <c r="AF991" s="189" t="str">
        <f t="shared" si="43"/>
        <v/>
      </c>
      <c r="AG991" s="304" t="b">
        <f t="shared" si="42"/>
        <v>0</v>
      </c>
      <c r="AH991" s="9"/>
      <c r="AI991" s="147">
        <f t="shared" si="44"/>
        <v>0</v>
      </c>
      <c r="AJ991" s="147" t="s">
        <v>36</v>
      </c>
    </row>
    <row r="992" spans="1:36" ht="30" customHeight="1">
      <c r="A992" s="90"/>
      <c r="B992" s="90"/>
      <c r="C992" s="90"/>
      <c r="D992" s="90"/>
      <c r="E992" s="90"/>
      <c r="F992" s="90"/>
      <c r="G992" s="90"/>
      <c r="H992" s="90"/>
      <c r="I992" s="90"/>
      <c r="J992" s="90"/>
      <c r="K992" s="90"/>
      <c r="L992" s="90"/>
      <c r="M992" s="90"/>
      <c r="N992" s="150"/>
      <c r="O992" s="152"/>
      <c r="P992" s="90"/>
      <c r="Q992" s="140"/>
      <c r="R992" s="90"/>
      <c r="S992" s="140"/>
      <c r="T992" s="90"/>
      <c r="U992" s="140"/>
      <c r="V992" s="90"/>
      <c r="W992" s="140"/>
      <c r="X992" s="90"/>
      <c r="Y992" s="140"/>
      <c r="Z992" s="90"/>
      <c r="AA992" s="140"/>
      <c r="AB992" s="62"/>
      <c r="AC992" s="140"/>
      <c r="AD992" s="62"/>
      <c r="AE992" s="140"/>
      <c r="AF992" s="189" t="str">
        <f t="shared" si="43"/>
        <v/>
      </c>
      <c r="AG992" s="304" t="b">
        <f t="shared" si="42"/>
        <v>0</v>
      </c>
      <c r="AH992" s="9"/>
      <c r="AI992" s="147">
        <f t="shared" si="44"/>
        <v>0</v>
      </c>
      <c r="AJ992" s="147" t="s">
        <v>36</v>
      </c>
    </row>
    <row r="993" spans="1:36" ht="30" customHeight="1">
      <c r="A993" s="90"/>
      <c r="B993" s="90"/>
      <c r="C993" s="90"/>
      <c r="D993" s="90"/>
      <c r="E993" s="90"/>
      <c r="F993" s="90"/>
      <c r="G993" s="90"/>
      <c r="H993" s="90"/>
      <c r="I993" s="90"/>
      <c r="J993" s="90"/>
      <c r="K993" s="90"/>
      <c r="L993" s="90"/>
      <c r="M993" s="90"/>
      <c r="N993" s="150"/>
      <c r="O993" s="152"/>
      <c r="P993" s="90"/>
      <c r="Q993" s="140"/>
      <c r="R993" s="90"/>
      <c r="S993" s="140"/>
      <c r="T993" s="90"/>
      <c r="U993" s="140"/>
      <c r="V993" s="90"/>
      <c r="W993" s="140"/>
      <c r="X993" s="90"/>
      <c r="Y993" s="140"/>
      <c r="Z993" s="90"/>
      <c r="AA993" s="140"/>
      <c r="AB993" s="62"/>
      <c r="AC993" s="140"/>
      <c r="AD993" s="62"/>
      <c r="AE993" s="140"/>
      <c r="AF993" s="189" t="str">
        <f t="shared" si="43"/>
        <v/>
      </c>
      <c r="AG993" s="304" t="b">
        <f t="shared" si="42"/>
        <v>0</v>
      </c>
      <c r="AH993" s="9"/>
      <c r="AI993" s="147">
        <f t="shared" si="44"/>
        <v>0</v>
      </c>
      <c r="AJ993" s="147" t="s">
        <v>36</v>
      </c>
    </row>
    <row r="994" spans="1:36" ht="30" customHeight="1">
      <c r="A994" s="90"/>
      <c r="B994" s="90"/>
      <c r="C994" s="90"/>
      <c r="D994" s="90"/>
      <c r="E994" s="90"/>
      <c r="F994" s="90"/>
      <c r="G994" s="90"/>
      <c r="H994" s="90"/>
      <c r="I994" s="90"/>
      <c r="J994" s="90"/>
      <c r="K994" s="90"/>
      <c r="L994" s="90"/>
      <c r="M994" s="90"/>
      <c r="N994" s="150"/>
      <c r="O994" s="152"/>
      <c r="P994" s="90"/>
      <c r="Q994" s="140"/>
      <c r="R994" s="90"/>
      <c r="S994" s="140"/>
      <c r="T994" s="90"/>
      <c r="U994" s="140"/>
      <c r="V994" s="90"/>
      <c r="W994" s="140"/>
      <c r="X994" s="90"/>
      <c r="Y994" s="140"/>
      <c r="Z994" s="90"/>
      <c r="AA994" s="140"/>
      <c r="AB994" s="62"/>
      <c r="AC994" s="140"/>
      <c r="AD994" s="62"/>
      <c r="AE994" s="140"/>
      <c r="AF994" s="189" t="str">
        <f t="shared" si="43"/>
        <v/>
      </c>
      <c r="AG994" s="304" t="b">
        <f t="shared" si="42"/>
        <v>0</v>
      </c>
      <c r="AH994" s="9"/>
      <c r="AI994" s="147">
        <f t="shared" si="44"/>
        <v>0</v>
      </c>
      <c r="AJ994" s="147" t="s">
        <v>36</v>
      </c>
    </row>
    <row r="995" spans="1:36" ht="30" customHeight="1">
      <c r="A995" s="90"/>
      <c r="B995" s="90"/>
      <c r="C995" s="90"/>
      <c r="D995" s="90"/>
      <c r="E995" s="90"/>
      <c r="F995" s="90"/>
      <c r="G995" s="90"/>
      <c r="H995" s="90"/>
      <c r="I995" s="90"/>
      <c r="J995" s="90"/>
      <c r="K995" s="90"/>
      <c r="L995" s="90"/>
      <c r="M995" s="90"/>
      <c r="N995" s="150"/>
      <c r="O995" s="152"/>
      <c r="P995" s="90"/>
      <c r="Q995" s="140"/>
      <c r="R995" s="90"/>
      <c r="S995" s="140"/>
      <c r="T995" s="90"/>
      <c r="U995" s="140"/>
      <c r="V995" s="90"/>
      <c r="W995" s="140"/>
      <c r="X995" s="90"/>
      <c r="Y995" s="140"/>
      <c r="Z995" s="90"/>
      <c r="AA995" s="140"/>
      <c r="AB995" s="62"/>
      <c r="AC995" s="140"/>
      <c r="AD995" s="62"/>
      <c r="AE995" s="140"/>
      <c r="AF995" s="189" t="str">
        <f t="shared" si="43"/>
        <v/>
      </c>
      <c r="AG995" s="304" t="b">
        <f t="shared" si="42"/>
        <v>0</v>
      </c>
      <c r="AH995" s="9"/>
      <c r="AI995" s="147">
        <f t="shared" si="44"/>
        <v>0</v>
      </c>
      <c r="AJ995" s="147" t="s">
        <v>36</v>
      </c>
    </row>
    <row r="996" spans="1:36" ht="30" customHeight="1">
      <c r="A996" s="90"/>
      <c r="B996" s="90"/>
      <c r="C996" s="90"/>
      <c r="D996" s="90"/>
      <c r="E996" s="90"/>
      <c r="F996" s="90"/>
      <c r="G996" s="90"/>
      <c r="H996" s="90"/>
      <c r="I996" s="90"/>
      <c r="J996" s="90"/>
      <c r="K996" s="90"/>
      <c r="L996" s="90"/>
      <c r="M996" s="90"/>
      <c r="N996" s="150"/>
      <c r="O996" s="152"/>
      <c r="P996" s="90"/>
      <c r="Q996" s="140"/>
      <c r="R996" s="90"/>
      <c r="S996" s="140"/>
      <c r="T996" s="90"/>
      <c r="U996" s="140"/>
      <c r="V996" s="90"/>
      <c r="W996" s="140"/>
      <c r="X996" s="90"/>
      <c r="Y996" s="140"/>
      <c r="Z996" s="90"/>
      <c r="AA996" s="140"/>
      <c r="AB996" s="62"/>
      <c r="AC996" s="140"/>
      <c r="AD996" s="62"/>
      <c r="AE996" s="140"/>
      <c r="AF996" s="189" t="str">
        <f t="shared" si="43"/>
        <v/>
      </c>
      <c r="AG996" s="304" t="b">
        <f t="shared" si="42"/>
        <v>0</v>
      </c>
      <c r="AH996" s="9"/>
      <c r="AI996" s="147">
        <f t="shared" si="44"/>
        <v>0</v>
      </c>
      <c r="AJ996" s="147" t="s">
        <v>36</v>
      </c>
    </row>
    <row r="997" spans="1:36" ht="30" customHeight="1">
      <c r="A997" s="90"/>
      <c r="B997" s="90"/>
      <c r="C997" s="90"/>
      <c r="D997" s="90"/>
      <c r="E997" s="90"/>
      <c r="F997" s="90"/>
      <c r="G997" s="90"/>
      <c r="H997" s="90"/>
      <c r="I997" s="90"/>
      <c r="J997" s="90"/>
      <c r="K997" s="90"/>
      <c r="L997" s="90"/>
      <c r="M997" s="90"/>
      <c r="N997" s="150"/>
      <c r="O997" s="152"/>
      <c r="P997" s="90"/>
      <c r="Q997" s="140"/>
      <c r="R997" s="90"/>
      <c r="S997" s="140"/>
      <c r="T997" s="90"/>
      <c r="U997" s="140"/>
      <c r="V997" s="90"/>
      <c r="W997" s="140"/>
      <c r="X997" s="90"/>
      <c r="Y997" s="140"/>
      <c r="Z997" s="90"/>
      <c r="AA997" s="140"/>
      <c r="AB997" s="62"/>
      <c r="AC997" s="140"/>
      <c r="AD997" s="62"/>
      <c r="AE997" s="140"/>
      <c r="AF997" s="189" t="str">
        <f t="shared" si="43"/>
        <v/>
      </c>
      <c r="AG997" s="304" t="b">
        <f t="shared" si="42"/>
        <v>0</v>
      </c>
      <c r="AH997" s="9"/>
      <c r="AI997" s="147">
        <f t="shared" si="44"/>
        <v>0</v>
      </c>
      <c r="AJ997" s="147" t="s">
        <v>36</v>
      </c>
    </row>
    <row r="998" spans="1:36" ht="30" customHeight="1">
      <c r="A998" s="90"/>
      <c r="B998" s="90"/>
      <c r="C998" s="90"/>
      <c r="D998" s="90"/>
      <c r="E998" s="90"/>
      <c r="F998" s="90"/>
      <c r="G998" s="90"/>
      <c r="H998" s="90"/>
      <c r="I998" s="90"/>
      <c r="J998" s="90"/>
      <c r="K998" s="90"/>
      <c r="L998" s="90"/>
      <c r="M998" s="90"/>
      <c r="N998" s="150"/>
      <c r="O998" s="152"/>
      <c r="P998" s="90"/>
      <c r="Q998" s="140"/>
      <c r="R998" s="90"/>
      <c r="S998" s="140"/>
      <c r="T998" s="90"/>
      <c r="U998" s="140"/>
      <c r="V998" s="90"/>
      <c r="W998" s="140"/>
      <c r="X998" s="90"/>
      <c r="Y998" s="140"/>
      <c r="Z998" s="90"/>
      <c r="AA998" s="140"/>
      <c r="AB998" s="62"/>
      <c r="AC998" s="140"/>
      <c r="AD998" s="62"/>
      <c r="AE998" s="140"/>
      <c r="AF998" s="189" t="str">
        <f t="shared" si="43"/>
        <v/>
      </c>
      <c r="AG998" s="304" t="b">
        <f t="shared" si="42"/>
        <v>0</v>
      </c>
      <c r="AH998" s="9"/>
      <c r="AI998" s="147">
        <f t="shared" si="44"/>
        <v>0</v>
      </c>
      <c r="AJ998" s="147" t="s">
        <v>36</v>
      </c>
    </row>
    <row r="999" spans="1:36" ht="30" customHeight="1">
      <c r="A999" s="90"/>
      <c r="B999" s="90"/>
      <c r="C999" s="90"/>
      <c r="D999" s="90"/>
      <c r="E999" s="90"/>
      <c r="F999" s="90"/>
      <c r="G999" s="90"/>
      <c r="H999" s="90"/>
      <c r="I999" s="90"/>
      <c r="J999" s="90"/>
      <c r="K999" s="90"/>
      <c r="L999" s="90"/>
      <c r="M999" s="90"/>
      <c r="N999" s="150"/>
      <c r="O999" s="152"/>
      <c r="P999" s="90"/>
      <c r="Q999" s="140"/>
      <c r="R999" s="90"/>
      <c r="S999" s="140"/>
      <c r="T999" s="90"/>
      <c r="U999" s="140"/>
      <c r="V999" s="90"/>
      <c r="W999" s="140"/>
      <c r="X999" s="90"/>
      <c r="Y999" s="140"/>
      <c r="Z999" s="90"/>
      <c r="AA999" s="140"/>
      <c r="AB999" s="62"/>
      <c r="AC999" s="140"/>
      <c r="AD999" s="62"/>
      <c r="AE999" s="140"/>
      <c r="AF999" s="189" t="str">
        <f t="shared" si="43"/>
        <v/>
      </c>
      <c r="AG999" s="304" t="b">
        <f t="shared" si="42"/>
        <v>0</v>
      </c>
      <c r="AH999" s="9"/>
      <c r="AI999" s="147">
        <f t="shared" si="44"/>
        <v>0</v>
      </c>
      <c r="AJ999" s="147" t="s">
        <v>36</v>
      </c>
    </row>
    <row r="1000" spans="1:36" ht="30" customHeight="1">
      <c r="A1000" s="90"/>
      <c r="B1000" s="90"/>
      <c r="C1000" s="90"/>
      <c r="D1000" s="90"/>
      <c r="E1000" s="90"/>
      <c r="F1000" s="90"/>
      <c r="G1000" s="90"/>
      <c r="H1000" s="90"/>
      <c r="I1000" s="90"/>
      <c r="J1000" s="90"/>
      <c r="K1000" s="90"/>
      <c r="L1000" s="90"/>
      <c r="M1000" s="90"/>
      <c r="N1000" s="150"/>
      <c r="O1000" s="152"/>
      <c r="P1000" s="90"/>
      <c r="Q1000" s="140"/>
      <c r="R1000" s="90"/>
      <c r="S1000" s="140"/>
      <c r="T1000" s="90"/>
      <c r="U1000" s="140"/>
      <c r="V1000" s="90"/>
      <c r="W1000" s="140"/>
      <c r="X1000" s="90"/>
      <c r="Y1000" s="140"/>
      <c r="Z1000" s="90"/>
      <c r="AA1000" s="140"/>
      <c r="AB1000" s="62"/>
      <c r="AC1000" s="140"/>
      <c r="AD1000" s="62"/>
      <c r="AE1000" s="140"/>
      <c r="AF1000" s="189" t="str">
        <f t="shared" si="43"/>
        <v/>
      </c>
      <c r="AG1000" s="304" t="b">
        <f t="shared" si="42"/>
        <v>0</v>
      </c>
      <c r="AH1000" s="9"/>
      <c r="AI1000" s="147">
        <f t="shared" si="44"/>
        <v>0</v>
      </c>
      <c r="AJ1000" s="147" t="s">
        <v>36</v>
      </c>
    </row>
  </sheetData>
  <conditionalFormatting sqref="A1 C1:E1">
    <cfRule type="duplicateValues" dxfId="31" priority="48"/>
  </conditionalFormatting>
  <conditionalFormatting sqref="A1 C1:E1">
    <cfRule type="duplicateValues" dxfId="30" priority="47" stopIfTrue="1"/>
  </conditionalFormatting>
  <conditionalFormatting sqref="O2:O73 O101:O1000 Q82:Q1000 S82:S1000 U82:U1000 O82:O84 W3:W1000 Y3:Y1000 AA3:AA1000 AC3:AC1000 AE3:AF1000 AF2:AF1000">
    <cfRule type="expression" dxfId="29" priority="45">
      <formula>O2=""</formula>
    </cfRule>
    <cfRule type="expression" dxfId="28" priority="46" stopIfTrue="1">
      <formula>NOT(OR(O2="C",O2="NC",O2="SF",O2="NA"))</formula>
    </cfRule>
  </conditionalFormatting>
  <conditionalFormatting sqref="Q2 Q4 Q6 Q8 Q10 Q12 Q14 Q16 Q19 Q21 Q23 Q25 Q27 Q29 Q31 Q33:Q34 Q36 Q38:Q48 Q50:Q72 Q74:Q78">
    <cfRule type="expression" dxfId="27" priority="43">
      <formula>Q2=""</formula>
    </cfRule>
    <cfRule type="expression" dxfId="26" priority="44" stopIfTrue="1">
      <formula>NOT(OR(Q2="C",Q2="NC",Q2="SF",Q2="NA"))</formula>
    </cfRule>
  </conditionalFormatting>
  <conditionalFormatting sqref="Q3 Q5 Q7 Q9 Q11 Q13 Q15 Q17:Q18 Q20 Q22 Q24 Q26 Q28 Q30 Q32 Q35 Q37 Q49 Q79:Q81">
    <cfRule type="expression" dxfId="25" priority="41">
      <formula>Q3=""</formula>
    </cfRule>
    <cfRule type="expression" dxfId="24" priority="42" stopIfTrue="1">
      <formula>NOT(OR(Q3="C",Q3="NC",Q3="SF",Q3="NA"))</formula>
    </cfRule>
  </conditionalFormatting>
  <conditionalFormatting sqref="S2 S4 S6 S8 S10 S12 S14 S16 S19 S21 S23 S25 S27 S29 S31 S33:S34 S36 S38:S48 S50:S72 S74:S78">
    <cfRule type="expression" dxfId="23" priority="39">
      <formula>S2=""</formula>
    </cfRule>
    <cfRule type="expression" dxfId="22" priority="40" stopIfTrue="1">
      <formula>NOT(OR(S2="C",S2="NC",S2="SF",S2="NA"))</formula>
    </cfRule>
  </conditionalFormatting>
  <conditionalFormatting sqref="S3 S5 S7 S9 S11 S13 S15 S17:S18 S20 S22 S24 S26 S28 S30 S32 S35 S37 S49 S79:S81">
    <cfRule type="expression" dxfId="21" priority="37">
      <formula>S3=""</formula>
    </cfRule>
    <cfRule type="expression" dxfId="20" priority="38" stopIfTrue="1">
      <formula>NOT(OR(S3="C",S3="NC",S3="SF",S3="NA"))</formula>
    </cfRule>
  </conditionalFormatting>
  <conditionalFormatting sqref="U2 U4 U6 U8 U10 U12 U14 U16 U19 U21 U23 U25 U27 U29 U31 U33:U34 U36 U38:U48 U50:U72 U74:U78">
    <cfRule type="expression" dxfId="19" priority="35">
      <formula>U2=""</formula>
    </cfRule>
    <cfRule type="expression" dxfId="18" priority="36" stopIfTrue="1">
      <formula>NOT(OR(U2="C",U2="NC",U2="SF",U2="NA"))</formula>
    </cfRule>
  </conditionalFormatting>
  <conditionalFormatting sqref="U3 U5 U7 U9 U11 U13 U15 U17:U18 U20 U22 U24 U26 U28 U30 U32 U35 U37 U49 U79:U81">
    <cfRule type="expression" dxfId="17" priority="33">
      <formula>U3=""</formula>
    </cfRule>
    <cfRule type="expression" dxfId="16" priority="34" stopIfTrue="1">
      <formula>NOT(OR(U3="C",U3="NC",U3="SF",U3="NA"))</formula>
    </cfRule>
  </conditionalFormatting>
  <conditionalFormatting sqref="W2">
    <cfRule type="expression" dxfId="15" priority="31">
      <formula>W2=""</formula>
    </cfRule>
    <cfRule type="expression" dxfId="14" priority="32" stopIfTrue="1">
      <formula>NOT(OR(W2="C",W2="NC",W2="SF",W2="NA"))</formula>
    </cfRule>
  </conditionalFormatting>
  <conditionalFormatting sqref="Y2">
    <cfRule type="expression" dxfId="13" priority="27">
      <formula>Y2=""</formula>
    </cfRule>
    <cfRule type="expression" dxfId="12" priority="28" stopIfTrue="1">
      <formula>NOT(OR(Y2="C",Y2="NC",Y2="SF",Y2="NA"))</formula>
    </cfRule>
  </conditionalFormatting>
  <conditionalFormatting sqref="AA2">
    <cfRule type="expression" dxfId="11" priority="23">
      <formula>AA2=""</formula>
    </cfRule>
    <cfRule type="expression" dxfId="10" priority="24" stopIfTrue="1">
      <formula>NOT(OR(AA2="C",AA2="NC",AA2="SF",AA2="NA"))</formula>
    </cfRule>
  </conditionalFormatting>
  <conditionalFormatting sqref="AE2">
    <cfRule type="expression" dxfId="9" priority="19">
      <formula>AE2=""</formula>
    </cfRule>
    <cfRule type="expression" dxfId="8" priority="20" stopIfTrue="1">
      <formula>NOT(OR(AE2="C",AE2="NC",AE2="SF",AE2="NA"))</formula>
    </cfRule>
  </conditionalFormatting>
  <conditionalFormatting sqref="AC2">
    <cfRule type="expression" dxfId="7" priority="11">
      <formula>AC2=""</formula>
    </cfRule>
    <cfRule type="expression" dxfId="6" priority="12" stopIfTrue="1">
      <formula>NOT(OR(AC2="C",AC2="NC",AC2="SF",AC2="NA"))</formula>
    </cfRule>
  </conditionalFormatting>
  <conditionalFormatting sqref="Q73">
    <cfRule type="expression" dxfId="5" priority="5">
      <formula>Q73=""</formula>
    </cfRule>
    <cfRule type="expression" dxfId="4" priority="6" stopIfTrue="1">
      <formula>NOT(OR(Q73="C",Q73="NC",Q73="SF",Q73="NA"))</formula>
    </cfRule>
  </conditionalFormatting>
  <conditionalFormatting sqref="S73">
    <cfRule type="expression" dxfId="3" priority="3">
      <formula>S73=""</formula>
    </cfRule>
    <cfRule type="expression" dxfId="2" priority="4" stopIfTrue="1">
      <formula>NOT(OR(S73="C",S73="NC",S73="SF",S73="NA"))</formula>
    </cfRule>
  </conditionalFormatting>
  <conditionalFormatting sqref="U73">
    <cfRule type="expression" dxfId="1" priority="1">
      <formula>U73=""</formula>
    </cfRule>
    <cfRule type="expression" dxfId="0" priority="2" stopIfTrue="1">
      <formula>NOT(OR(U73="C",U73="NC",U73="SF",U73="NA"))</formula>
    </cfRule>
  </conditionalFormatting>
  <pageMargins left="0.511811024" right="0.511811024" top="0.78740157499999996" bottom="0.78740157499999996" header="0.31496062000000002" footer="0.31496062000000002"/>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2" tint="-0.249977111117893"/>
    <pageSetUpPr fitToPage="1"/>
  </sheetPr>
  <dimension ref="A1:H14"/>
  <sheetViews>
    <sheetView zoomScale="70" zoomScaleNormal="70" zoomScaleSheetLayoutView="70" workbookViewId="0">
      <selection activeCell="B32" sqref="B32"/>
    </sheetView>
  </sheetViews>
  <sheetFormatPr defaultColWidth="9.140625" defaultRowHeight="21" customHeight="1"/>
  <cols>
    <col min="1" max="1" width="5.7109375" style="96" customWidth="1"/>
    <col min="2" max="2" width="30.7109375" style="96" customWidth="1"/>
    <col min="3" max="3" width="34.7109375" style="96" customWidth="1"/>
    <col min="4" max="7" width="30.7109375" style="96" customWidth="1"/>
    <col min="8" max="8" width="5.7109375" style="96" customWidth="1"/>
    <col min="9" max="12" width="9.140625" style="96" bestFit="1" customWidth="1"/>
    <col min="13" max="16384" width="9.140625" style="96"/>
  </cols>
  <sheetData>
    <row r="1" spans="1:8" s="30" customFormat="1" ht="35.1" customHeight="1">
      <c r="A1" s="382" t="s">
        <v>83</v>
      </c>
      <c r="B1" s="382"/>
      <c r="C1" s="382"/>
      <c r="D1" s="382"/>
      <c r="E1" s="382"/>
      <c r="F1" s="382"/>
      <c r="G1" s="382"/>
      <c r="H1" s="382"/>
    </row>
    <row r="2" spans="1:8" s="31" customFormat="1" ht="20.100000000000001" customHeight="1">
      <c r="A2" s="42"/>
      <c r="B2" s="42"/>
      <c r="C2" s="42"/>
      <c r="D2" s="42"/>
      <c r="E2" s="42"/>
      <c r="F2" s="42"/>
      <c r="G2" s="42"/>
      <c r="H2" s="43"/>
    </row>
    <row r="3" spans="1:8" s="29" customFormat="1" ht="20.100000000000001" customHeight="1">
      <c r="A3" s="388" t="s">
        <v>1514</v>
      </c>
      <c r="B3" s="388"/>
      <c r="C3" s="388"/>
      <c r="D3" s="388"/>
      <c r="E3" s="388"/>
      <c r="F3" s="388"/>
      <c r="G3" s="388"/>
      <c r="H3" s="388"/>
    </row>
    <row r="5" spans="1:8" ht="21" customHeight="1">
      <c r="B5" s="389" t="str">
        <f>'DADOS - PIRITUBA'!B400</f>
        <v>TESTE</v>
      </c>
      <c r="C5" s="389"/>
      <c r="D5" s="389"/>
      <c r="E5" s="389"/>
      <c r="F5" s="389"/>
      <c r="G5" s="389"/>
    </row>
    <row r="6" spans="1:8" ht="21" customHeight="1">
      <c r="B6" s="390" t="s">
        <v>1515</v>
      </c>
      <c r="C6" s="390"/>
      <c r="D6" s="126" t="s">
        <v>71</v>
      </c>
      <c r="E6" s="126" t="s">
        <v>1516</v>
      </c>
      <c r="F6" s="126" t="s">
        <v>56</v>
      </c>
      <c r="G6" s="126" t="s">
        <v>57</v>
      </c>
    </row>
    <row r="7" spans="1:8" ht="21" customHeight="1">
      <c r="B7" s="395" t="s">
        <v>61</v>
      </c>
      <c r="C7" s="395"/>
      <c r="D7" s="98">
        <f t="shared" ref="D7:D14" si="0">F7+G7+E7</f>
        <v>0</v>
      </c>
      <c r="E7" s="98">
        <f>COUNTIFS(REPOSIÇÃO!N:N,'EQUIPES - REPOSIÇÃO'!B5,REPOSIÇÃO!O:O,"SF")</f>
        <v>0</v>
      </c>
      <c r="F7" s="98">
        <f>COUNTIFS(REPOSIÇÃO!N:N,'EQUIPES - REPOSIÇÃO'!B5,REPOSIÇÃO!O:O,"c")</f>
        <v>0</v>
      </c>
      <c r="G7" s="98">
        <f>COUNTIFS(REPOSIÇÃO!N:N,'EQUIPES - REPOSIÇÃO'!B5,REPOSIÇÃO!O:O,"Nc")</f>
        <v>0</v>
      </c>
    </row>
    <row r="8" spans="1:8" ht="21" customHeight="1">
      <c r="B8" s="395" t="s">
        <v>62</v>
      </c>
      <c r="C8" s="395"/>
      <c r="D8" s="98">
        <f t="shared" si="0"/>
        <v>0</v>
      </c>
      <c r="E8" s="98">
        <f>COUNTIFS(REPOSIÇÃO!N:N,'EQUIPES - REPOSIÇÃO'!B5,REPOSIÇÃO!Q:Q,"SF")</f>
        <v>0</v>
      </c>
      <c r="F8" s="98">
        <f>COUNTIFS(REPOSIÇÃO!N:N,'EQUIPES - REPOSIÇÃO'!B5,REPOSIÇÃO!Q:Q,"c")</f>
        <v>0</v>
      </c>
      <c r="G8" s="98">
        <f>COUNTIFS(REPOSIÇÃO!N:N,'EQUIPES - REPOSIÇÃO'!B5,REPOSIÇÃO!Q:Q,"Nc")</f>
        <v>0</v>
      </c>
    </row>
    <row r="9" spans="1:8" ht="21" customHeight="1">
      <c r="B9" s="395" t="s">
        <v>84</v>
      </c>
      <c r="C9" s="395"/>
      <c r="D9" s="98">
        <f t="shared" si="0"/>
        <v>0</v>
      </c>
      <c r="E9" s="98">
        <f>COUNTIFS(REPOSIÇÃO!N:N,'EQUIPES - REPOSIÇÃO'!B5,REPOSIÇÃO!S:S,"SF")</f>
        <v>0</v>
      </c>
      <c r="F9" s="98">
        <f>COUNTIFS(REPOSIÇÃO!N:N,'EQUIPES - REPOSIÇÃO'!B5,REPOSIÇÃO!S:S,"c")</f>
        <v>0</v>
      </c>
      <c r="G9" s="98">
        <f>COUNTIFS(REPOSIÇÃO!N:N,'EQUIPES - REPOSIÇÃO'!B5,REPOSIÇÃO!S:S,"Nc")</f>
        <v>0</v>
      </c>
    </row>
    <row r="10" spans="1:8" ht="21" customHeight="1">
      <c r="B10" s="395" t="s">
        <v>85</v>
      </c>
      <c r="C10" s="395"/>
      <c r="D10" s="98">
        <f t="shared" si="0"/>
        <v>0</v>
      </c>
      <c r="E10" s="98">
        <f>COUNTIFS(REPOSIÇÃO!N:N,'EQUIPES - REPOSIÇÃO'!B5,REPOSIÇÃO!U:U,"SF")</f>
        <v>0</v>
      </c>
      <c r="F10" s="98">
        <f>COUNTIFS(REPOSIÇÃO!N:N,'EQUIPES - REPOSIÇÃO'!B5,REPOSIÇÃO!U:U,"c")</f>
        <v>0</v>
      </c>
      <c r="G10" s="98">
        <f>COUNTIFS(REPOSIÇÃO!N:N,'EQUIPES - REPOSIÇÃO'!B5,REPOSIÇÃO!U:U,"Nc")</f>
        <v>0</v>
      </c>
    </row>
    <row r="11" spans="1:8" ht="21" customHeight="1">
      <c r="B11" s="395" t="s">
        <v>86</v>
      </c>
      <c r="C11" s="395"/>
      <c r="D11" s="98">
        <f t="shared" si="0"/>
        <v>0</v>
      </c>
      <c r="E11" s="98">
        <f>COUNTIFS(REPOSIÇÃO!N:N,'EQUIPES - REPOSIÇÃO'!B5,REPOSIÇÃO!W:W,"SF")</f>
        <v>0</v>
      </c>
      <c r="F11" s="98">
        <f>COUNTIFS(REPOSIÇÃO!N:N,'EQUIPES - REPOSIÇÃO'!B5,REPOSIÇÃO!W:W,"c")</f>
        <v>0</v>
      </c>
      <c r="G11" s="98">
        <f>COUNTIFS(REPOSIÇÃO!N:N,'EQUIPES - REPOSIÇÃO'!B5,REPOSIÇÃO!W:W,"Nc")</f>
        <v>0</v>
      </c>
    </row>
    <row r="12" spans="1:8" ht="21" customHeight="1">
      <c r="B12" s="395" t="s">
        <v>87</v>
      </c>
      <c r="C12" s="395"/>
      <c r="D12" s="98">
        <f t="shared" si="0"/>
        <v>0</v>
      </c>
      <c r="E12" s="98">
        <f>COUNTIFS(REPOSIÇÃO!N:N,'EQUIPES - REPOSIÇÃO'!B5,REPOSIÇÃO!Y:Y,"SF")</f>
        <v>0</v>
      </c>
      <c r="F12" s="98">
        <f>COUNTIFS(REPOSIÇÃO!N:N,'EQUIPES - REPOSIÇÃO'!B5,REPOSIÇÃO!Y:Y,"c")</f>
        <v>0</v>
      </c>
      <c r="G12" s="98">
        <f>COUNTIFS(REPOSIÇÃO!N:N,'EQUIPES - REPOSIÇÃO'!B5,REPOSIÇÃO!Y:Y,"Nc")</f>
        <v>0</v>
      </c>
    </row>
    <row r="13" spans="1:8" ht="21" customHeight="1">
      <c r="B13" s="395" t="s">
        <v>88</v>
      </c>
      <c r="C13" s="395"/>
      <c r="D13" s="98">
        <f t="shared" si="0"/>
        <v>0</v>
      </c>
      <c r="E13" s="98">
        <f>COUNTIFS(REPOSIÇÃO!N:N,'EQUIPES - REPOSIÇÃO'!B5,REPOSIÇÃO!AA:AA,"SF")</f>
        <v>0</v>
      </c>
      <c r="F13" s="98">
        <f>COUNTIFS(REPOSIÇÃO!N:N,'EQUIPES - REPOSIÇÃO'!B5,REPOSIÇÃO!AA:AA,"c")</f>
        <v>0</v>
      </c>
      <c r="G13" s="98">
        <f>COUNTIFS(REPOSIÇÃO!N:N,'EQUIPES - REPOSIÇÃO'!B5,REPOSIÇÃO!AA:AA,"Nc")</f>
        <v>0</v>
      </c>
    </row>
    <row r="14" spans="1:8" ht="21" customHeight="1">
      <c r="B14" s="395" t="s">
        <v>68</v>
      </c>
      <c r="C14" s="395"/>
      <c r="D14" s="98">
        <f t="shared" si="0"/>
        <v>0</v>
      </c>
      <c r="E14" s="98">
        <f>COUNTIFS(REPOSIÇÃO!N:N,'EQUIPES - REPOSIÇÃO'!B5,REPOSIÇÃO!AC:AC,"SF")</f>
        <v>0</v>
      </c>
      <c r="F14" s="98">
        <f>COUNTIFS(REPOSIÇÃO!N:N,'EQUIPES - REPOSIÇÃO'!B5,REPOSIÇÃO!AC:AC,"c")</f>
        <v>0</v>
      </c>
      <c r="G14" s="98">
        <f>COUNTIFS(REPOSIÇÃO!N:N,'EQUIPES - REPOSIÇÃO'!B5,REPOSIÇÃO!AC:AC,"Nc")</f>
        <v>0</v>
      </c>
    </row>
  </sheetData>
  <mergeCells count="12">
    <mergeCell ref="B12:C12"/>
    <mergeCell ref="B13:C13"/>
    <mergeCell ref="B14:C14"/>
    <mergeCell ref="B11:C11"/>
    <mergeCell ref="A1:H1"/>
    <mergeCell ref="A3:H3"/>
    <mergeCell ref="B5:G5"/>
    <mergeCell ref="B6:C6"/>
    <mergeCell ref="B7:C7"/>
    <mergeCell ref="B8:C8"/>
    <mergeCell ref="B9:C9"/>
    <mergeCell ref="B10:C10"/>
  </mergeCells>
  <pageMargins left="0.511811024" right="0.14000000000000001" top="0.78740157499999996" bottom="0.78740157499999996" header="0.31496062000000002" footer="0.31496062000000002"/>
  <pageSetup paperSize="9" scale="4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Greiciele Prado</dc:creator>
  <cp:keywords/>
  <dc:description/>
  <cp:lastModifiedBy>Vinicius Justino Silva</cp:lastModifiedBy>
  <cp:revision/>
  <dcterms:created xsi:type="dcterms:W3CDTF">2025-04-21T18:20:23Z</dcterms:created>
  <dcterms:modified xsi:type="dcterms:W3CDTF">2026-05-28T19:50:54Z</dcterms:modified>
  <cp:category/>
  <cp:contentStatus/>
</cp:coreProperties>
</file>